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Sapir\רופאים\"/>
    </mc:Choice>
  </mc:AlternateContent>
  <xr:revisionPtr revIDLastSave="0" documentId="13_ncr:1_{A2BEEAEE-0F24-40BC-A8E8-94B53036A40E}" xr6:coauthVersionLast="36" xr6:coauthVersionMax="36" xr10:uidLastSave="{00000000-0000-0000-0000-000000000000}"/>
  <bookViews>
    <workbookView xWindow="-120" yWindow="-120" windowWidth="29040" windowHeight="15720" tabRatio="840" activeTab="5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חוב'!$A$1:$AJ$217</definedName>
    <definedName name="_xlnm._FilterDatabase" localSheetId="31" hidden="1">'אפשרויות בחירה'!$A$1:$D$1040</definedName>
    <definedName name="_xlnm._FilterDatabase" localSheetId="17" hidden="1">'לא סחיר איגרות חוב'!$A$1:$AL$11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2" l="1"/>
  <c r="B32" i="2" l="1"/>
  <c r="C30" i="2"/>
  <c r="B29" i="2"/>
  <c r="D29" i="2" s="1"/>
  <c r="B28" i="2"/>
  <c r="D28" i="2" s="1"/>
  <c r="D27" i="2"/>
  <c r="B27" i="2"/>
  <c r="D26" i="2"/>
  <c r="B26" i="2"/>
  <c r="B25" i="2"/>
  <c r="D25" i="2" s="1"/>
  <c r="B24" i="2"/>
  <c r="D24" i="2" s="1"/>
  <c r="D23" i="2"/>
  <c r="B23" i="2"/>
  <c r="D22" i="2"/>
  <c r="B22" i="2"/>
  <c r="B21" i="2"/>
  <c r="D21" i="2" s="1"/>
  <c r="B20" i="2"/>
  <c r="D20" i="2" s="1"/>
  <c r="D19" i="2"/>
  <c r="B19" i="2"/>
  <c r="B18" i="2"/>
  <c r="D18" i="2" s="1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D3" i="2"/>
  <c r="B3" i="2"/>
  <c r="D13" i="38"/>
  <c r="D15" i="38" s="1"/>
  <c r="D30" i="2" l="1"/>
  <c r="B30" i="2"/>
  <c r="E20" i="2" s="1"/>
  <c r="E22" i="2" l="1"/>
  <c r="E8" i="2"/>
  <c r="E17" i="2"/>
  <c r="E6" i="2"/>
  <c r="E12" i="2"/>
  <c r="E28" i="2"/>
  <c r="E14" i="2"/>
  <c r="E13" i="2"/>
  <c r="E29" i="2"/>
  <c r="E27" i="2"/>
  <c r="E24" i="2"/>
  <c r="E26" i="2"/>
  <c r="E18" i="2"/>
  <c r="E7" i="2"/>
  <c r="E11" i="2"/>
  <c r="E5" i="2"/>
  <c r="E21" i="2"/>
  <c r="E15" i="2"/>
  <c r="E10" i="2"/>
  <c r="E16" i="2"/>
  <c r="E3" i="2"/>
  <c r="E19" i="2"/>
  <c r="E9" i="2"/>
  <c r="E25" i="2"/>
  <c r="E23" i="2"/>
  <c r="E4" i="2"/>
  <c r="E30" i="2" l="1"/>
</calcChain>
</file>

<file path=xl/sharedStrings.xml><?xml version="1.0" encoding="utf-8"?>
<sst xmlns="http://schemas.openxmlformats.org/spreadsheetml/2006/main" count="15168" uniqueCount="2715">
  <si>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</si>
  <si>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</si>
  <si>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</si>
  <si>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</si>
  <si>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</si>
  <si>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</si>
  <si>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</si>
  <si>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</si>
  <si>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</si>
  <si>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</si>
  <si>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</si>
  <si>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</si>
  <si>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</si>
  <si>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</si>
  <si>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</si>
  <si>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</si>
  <si>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</si>
  <si>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</si>
  <si>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</si>
  <si>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</si>
  <si>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</si>
  <si>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</si>
  <si>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</si>
  <si>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</si>
  <si>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</si>
  <si>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</si>
  <si>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</si>
  <si>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ממשלתית צמודה 1.10% 1028</t>
  </si>
  <si>
    <t>IL0011973265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</si>
  <si>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</si>
  <si>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</si>
  <si>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</si>
  <si>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</si>
  <si>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</si>
  <si>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</si>
  <si>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31/10/2028</t>
  </si>
  <si>
    <t>שווי הוגן</t>
  </si>
  <si>
    <t>שחר</t>
  </si>
  <si>
    <t>ממשלתית שקלית 1.00% 03/30</t>
  </si>
  <si>
    <t>IL0011609851</t>
  </si>
  <si>
    <t>לא צמוד למדד המחירים לצרכן ריבית קבועה</t>
  </si>
  <si>
    <t>31/03/2030</t>
  </si>
  <si>
    <t>בנק ישראל- מק"מ</t>
  </si>
  <si>
    <t>מלווה קצר מועד 125</t>
  </si>
  <si>
    <t>IL0082501284</t>
  </si>
  <si>
    <t>מק"מ קצר משנים עשר חודשים</t>
  </si>
  <si>
    <t>08/01/2025</t>
  </si>
  <si>
    <t>מלווה קצר מועד 515</t>
  </si>
  <si>
    <t>IL0082505160</t>
  </si>
  <si>
    <t>TASE </t>
  </si>
  <si>
    <t>07/05/2025</t>
  </si>
  <si>
    <t>מלווה קצר מועד 715</t>
  </si>
  <si>
    <t>IL0082507141</t>
  </si>
  <si>
    <t>02/07/2025</t>
  </si>
  <si>
    <t>ממשל צמודה 0527</t>
  </si>
  <si>
    <t>IL0011408478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</si>
  <si>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</si>
  <si>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</si>
  <si>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</si>
  <si>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</si>
  <si>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</si>
  <si>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</si>
  <si>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</si>
  <si>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</si>
  <si>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</si>
  <si>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</si>
  <si>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ממשל צמודה 1151</t>
  </si>
  <si>
    <t>IL0011683013</t>
  </si>
  <si>
    <t>N/R</t>
  </si>
  <si>
    <t>NR</t>
  </si>
  <si>
    <t>30/11/2051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</si>
  <si>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</si>
  <si>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</si>
  <si>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</si>
  <si>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</si>
  <si>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</si>
  <si>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</si>
  <si>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</si>
  <si>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</si>
  <si>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</si>
  <si>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</si>
  <si>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</si>
  <si>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</si>
  <si>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</si>
  <si>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</si>
  <si>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</si>
  <si>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</si>
  <si>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</si>
  <si>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</si>
  <si>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</si>
  <si>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</si>
  <si>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</si>
  <si>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</si>
  <si>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</si>
  <si>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</si>
  <si>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</si>
  <si>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</si>
  <si>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</si>
  <si>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</si>
  <si>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</si>
  <si>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</si>
  <si>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</si>
  <si>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</si>
  <si>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</si>
  <si>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</si>
  <si>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</si>
  <si>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מ.ק.מ. 315</t>
  </si>
  <si>
    <t>IL0082503181</t>
  </si>
  <si>
    <t>05/03/2025</t>
  </si>
  <si>
    <t>מ.ק.מ. 915</t>
  </si>
  <si>
    <t>IL0082509121</t>
  </si>
  <si>
    <t>03/09/2025</t>
  </si>
  <si>
    <t>מלווה קצר מועד 1214</t>
  </si>
  <si>
    <t>IL0082412185</t>
  </si>
  <si>
    <t>04/12/2024</t>
  </si>
  <si>
    <t>מלווה קצר מועד 615</t>
  </si>
  <si>
    <t>IL0082506150</t>
  </si>
  <si>
    <t>04/06/2025</t>
  </si>
  <si>
    <t>ממשל שיקלית 0928</t>
  </si>
  <si>
    <t>IL0011508798</t>
  </si>
  <si>
    <t>28/09/2028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</si>
  <si>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</si>
  <si>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</si>
  <si>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</si>
  <si>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</si>
  <si>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</si>
  <si>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</si>
  <si>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</si>
  <si>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</si>
  <si>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</si>
  <si>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</si>
  <si>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</si>
  <si>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</si>
  <si>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</si>
  <si>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</si>
  <si>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</si>
  <si>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</si>
  <si>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</si>
  <si>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</si>
  <si>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</si>
  <si>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</si>
  <si>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</si>
  <si>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30/09/2024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</si>
  <si>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</si>
  <si>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</si>
  <si>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</si>
  <si>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</si>
  <si>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</si>
  <si>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</si>
  <si>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</si>
  <si>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</si>
  <si>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</si>
  <si>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</si>
  <si>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</si>
  <si>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</si>
  <si>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</si>
  <si>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</si>
  <si>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</si>
  <si>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</si>
  <si>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</si>
  <si>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</si>
  <si>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</si>
  <si>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</si>
  <si>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</si>
  <si>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</si>
  <si>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</si>
  <si>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</si>
  <si>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</si>
  <si>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</si>
  <si>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</si>
  <si>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</si>
  <si>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</si>
  <si>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</si>
  <si>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</si>
  <si>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</si>
  <si>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</si>
  <si>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</si>
  <si>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</si>
  <si>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</si>
  <si>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</si>
  <si>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</si>
  <si>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</si>
  <si>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</si>
  <si>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</si>
  <si>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</si>
  <si>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</si>
  <si>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</si>
  <si>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</si>
  <si>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</si>
  <si>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</si>
  <si>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</si>
  <si>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</si>
  <si>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</si>
  <si>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</si>
  <si>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</si>
  <si>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</si>
  <si>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</si>
  <si>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</si>
  <si>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</si>
  <si>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</si>
  <si>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</si>
  <si>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</si>
  <si>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</si>
  <si>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</si>
  <si>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</si>
  <si>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</si>
  <si>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</si>
  <si>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</si>
  <si>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</si>
  <si>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</si>
  <si>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</si>
  <si>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</si>
  <si>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</si>
  <si>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</si>
  <si>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</si>
  <si>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</si>
  <si>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</si>
  <si>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</si>
  <si>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</si>
  <si>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</si>
  <si>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</si>
  <si>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</si>
  <si>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</si>
  <si>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</si>
  <si>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</si>
  <si>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</si>
  <si>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</si>
  <si>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</si>
  <si>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</si>
  <si>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</si>
  <si>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</si>
  <si>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</si>
  <si>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</si>
  <si>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</si>
  <si>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</si>
  <si>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</si>
  <si>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</si>
  <si>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</si>
  <si>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</si>
  <si>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</si>
  <si>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</si>
  <si>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</si>
  <si>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</si>
  <si>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</si>
  <si>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</si>
  <si>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</si>
  <si>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</si>
  <si>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</si>
  <si>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</si>
  <si>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</si>
  <si>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</si>
  <si>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</si>
  <si>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</si>
  <si>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</si>
  <si>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</si>
  <si>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</si>
  <si>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</si>
  <si>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</si>
  <si>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</si>
  <si>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</si>
  <si>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</si>
  <si>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</si>
  <si>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</si>
  <si>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</si>
  <si>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</si>
  <si>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</si>
  <si>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</si>
  <si>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</si>
  <si>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</si>
  <si>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</si>
  <si>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</si>
  <si>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</si>
  <si>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</si>
  <si>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</si>
  <si>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</si>
  <si>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</si>
  <si>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</si>
  <si>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</si>
  <si>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</si>
  <si>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</si>
  <si>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</si>
  <si>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</si>
  <si>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</si>
  <si>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</si>
  <si>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</si>
  <si>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</si>
  <si>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</si>
  <si>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</si>
  <si>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</si>
  <si>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</si>
  <si>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</si>
  <si>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</si>
  <si>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</si>
  <si>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</si>
  <si>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</si>
  <si>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</si>
  <si>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</si>
  <si>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</si>
  <si>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</si>
  <si>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</si>
  <si>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</si>
  <si>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</si>
  <si>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</si>
  <si>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</si>
  <si>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</si>
  <si>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</si>
  <si>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</si>
  <si>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</si>
  <si>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</si>
  <si>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</si>
  <si>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</si>
  <si>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</si>
  <si>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</si>
  <si>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</si>
  <si>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</si>
  <si>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</si>
  <si>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</si>
  <si>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</si>
  <si>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</si>
  <si>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</si>
  <si>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</si>
  <si>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</si>
  <si>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</si>
  <si>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</si>
  <si>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</si>
  <si>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</si>
  <si>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</si>
  <si>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</si>
  <si>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</si>
  <si>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</si>
  <si>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</si>
  <si>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</si>
  <si>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</si>
  <si>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</si>
  <si>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</si>
  <si>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</si>
  <si>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</si>
  <si>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</si>
  <si>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</si>
  <si>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</si>
  <si>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</si>
  <si>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</si>
  <si>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</si>
  <si>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</si>
  <si>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</si>
  <si>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</si>
  <si>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</si>
  <si>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</si>
  <si>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</si>
  <si>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</si>
  <si>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</si>
  <si>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</si>
  <si>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</si>
  <si>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</si>
  <si>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</si>
  <si>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</si>
  <si>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</si>
  <si>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</si>
  <si>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</si>
  <si>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</si>
  <si>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</si>
  <si>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</si>
  <si>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</si>
  <si>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</si>
  <si>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</si>
  <si>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</si>
  <si>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</si>
  <si>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</si>
  <si>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</si>
  <si>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</si>
  <si>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</si>
  <si>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</si>
  <si>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</si>
  <si>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</si>
  <si>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</si>
  <si>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</si>
  <si>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</si>
  <si>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</si>
  <si>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</si>
  <si>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</si>
  <si>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</si>
  <si>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</si>
  <si>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</si>
  <si>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</si>
  <si>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</si>
  <si>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</si>
  <si>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</si>
  <si>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</si>
  <si>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</si>
  <si>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</si>
  <si>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</si>
  <si>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</si>
  <si>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</si>
  <si>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</si>
  <si>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</si>
  <si>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</si>
  <si>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</si>
  <si>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</si>
  <si>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</si>
  <si>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</si>
  <si>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</si>
  <si>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</si>
  <si>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</si>
  <si>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</si>
  <si>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</si>
  <si>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</si>
  <si>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</si>
  <si>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</si>
  <si>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</si>
  <si>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</si>
  <si>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</si>
  <si>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</si>
  <si>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</si>
  <si>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</si>
  <si>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</si>
  <si>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</si>
  <si>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</si>
  <si>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</si>
  <si>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</si>
  <si>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</si>
  <si>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</si>
  <si>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</si>
  <si>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</si>
  <si>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</si>
  <si>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</si>
  <si>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</si>
  <si>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</si>
  <si>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</si>
  <si>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</si>
  <si>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</si>
  <si>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</si>
  <si>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</si>
  <si>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</si>
  <si>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</si>
  <si>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</si>
  <si>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</si>
  <si>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</si>
  <si>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</si>
  <si>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</si>
  <si>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</si>
  <si>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</si>
  <si>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</si>
  <si>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</si>
  <si>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</si>
  <si>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</si>
  <si>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</si>
  <si>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</si>
  <si>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</si>
  <si>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</si>
  <si>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</si>
  <si>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</si>
  <si>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</si>
  <si>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</si>
  <si>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</si>
  <si>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</si>
  <si>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</si>
  <si>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</si>
  <si>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</si>
  <si>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</si>
  <si>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</si>
  <si>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</si>
  <si>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</si>
  <si>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</si>
  <si>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</si>
  <si>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</si>
  <si>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</si>
  <si>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</si>
  <si>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</si>
  <si>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</si>
  <si>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</si>
  <si>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</si>
  <si>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</si>
  <si>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</si>
  <si>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</si>
  <si>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</si>
  <si>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</si>
  <si>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</si>
  <si>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</si>
  <si>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</si>
  <si>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</si>
  <si>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</si>
  <si>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</si>
  <si>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</si>
  <si>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</si>
  <si>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</si>
  <si>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</si>
  <si>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</si>
  <si>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</si>
  <si>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</si>
  <si>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</si>
  <si>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</si>
  <si>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</si>
  <si>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</si>
  <si>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</si>
  <si>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</si>
  <si>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</si>
  <si>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</si>
  <si>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</si>
  <si>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</si>
  <si>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</si>
  <si>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</si>
  <si>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</si>
  <si>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</si>
  <si>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</si>
  <si>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</si>
  <si>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</si>
  <si>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</si>
  <si>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</si>
  <si>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</si>
  <si>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</si>
  <si>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</si>
  <si>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</si>
  <si>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</si>
  <si>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</si>
  <si>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</si>
  <si>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</si>
  <si>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</si>
  <si>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</si>
  <si>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</si>
  <si>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</si>
  <si>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</si>
  <si>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</si>
  <si>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</si>
  <si>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</si>
  <si>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</si>
  <si>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</si>
  <si>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</si>
  <si>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</si>
  <si>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</si>
  <si>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</si>
  <si>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</si>
  <si>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</si>
  <si>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</si>
  <si>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</si>
  <si>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</si>
  <si>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</si>
  <si>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</si>
  <si>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</si>
  <si>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</si>
  <si>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</si>
  <si>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</si>
  <si>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</si>
  <si>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</si>
  <si>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</si>
  <si>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</si>
  <si>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</si>
  <si>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</si>
  <si>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</si>
  <si>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</si>
  <si>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</si>
  <si>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</si>
  <si>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</si>
  <si>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</si>
  <si>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</si>
  <si>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</si>
  <si>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</si>
  <si>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</si>
  <si>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</si>
  <si>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</si>
  <si>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</si>
  <si>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</si>
  <si>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</si>
  <si>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</si>
  <si>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</si>
  <si>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</si>
  <si>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</si>
  <si>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</si>
  <si>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</si>
  <si>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</si>
  <si>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</si>
  <si>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</si>
  <si>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</si>
  <si>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</si>
  <si>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</si>
  <si>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</si>
  <si>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</si>
  <si>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</si>
  <si>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</si>
  <si>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</si>
  <si>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</si>
  <si>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</si>
  <si>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</si>
  <si>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</si>
  <si>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</si>
  <si>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</si>
  <si>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</si>
  <si>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</si>
  <si>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</si>
  <si>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</si>
  <si>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</si>
  <si>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</si>
  <si>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</si>
  <si>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</si>
  <si>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</si>
  <si>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</si>
  <si>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</si>
  <si>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</si>
  <si>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</si>
  <si>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</si>
  <si>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</si>
  <si>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</si>
  <si>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</si>
  <si>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</si>
  <si>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</si>
  <si>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</si>
  <si>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</si>
  <si>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</si>
  <si>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</si>
  <si>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</si>
  <si>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</si>
  <si>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</si>
  <si>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</si>
  <si>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</si>
  <si>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</si>
  <si>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</si>
  <si>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</si>
  <si>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</si>
  <si>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</si>
  <si>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</si>
  <si>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</si>
  <si>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</si>
  <si>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</si>
  <si>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</si>
  <si>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</si>
  <si>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</si>
  <si>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</si>
  <si>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</si>
  <si>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</si>
  <si>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</si>
  <si>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</si>
  <si>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</si>
  <si>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</si>
  <si>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</si>
  <si>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</si>
  <si>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</si>
  <si>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</si>
  <si>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</si>
  <si>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</si>
  <si>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</si>
  <si>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</si>
  <si>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</si>
  <si>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</si>
  <si>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</si>
  <si>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</si>
  <si>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</si>
  <si>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</si>
  <si>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</si>
  <si>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</si>
  <si>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</si>
  <si>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</si>
  <si>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</si>
  <si>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</si>
  <si>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</si>
  <si>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</si>
  <si>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</si>
  <si>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</si>
  <si>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</si>
  <si>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</si>
  <si>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</si>
  <si>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</si>
  <si>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</si>
  <si>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</si>
  <si>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</si>
  <si>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</si>
  <si>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</si>
  <si>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</si>
  <si>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</si>
  <si>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</si>
  <si>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</si>
  <si>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</si>
  <si>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</si>
  <si>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</si>
  <si>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</si>
  <si>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</si>
  <si>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</si>
  <si>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</si>
  <si>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</si>
  <si>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</si>
  <si>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</si>
  <si>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</si>
  <si>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</si>
  <si>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</si>
  <si>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</si>
  <si>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</si>
  <si>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</si>
  <si>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</si>
  <si>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</si>
  <si>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</si>
  <si>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</si>
  <si>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</si>
  <si>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</si>
  <si>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</si>
  <si>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</si>
  <si>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</si>
  <si>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</si>
  <si>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</si>
  <si>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</si>
  <si>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</si>
  <si>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</si>
  <si>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</si>
  <si>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</si>
  <si>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</si>
  <si>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</si>
  <si>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</si>
  <si>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</si>
  <si>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</si>
  <si>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</si>
  <si>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</si>
  <si>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</si>
  <si>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</si>
  <si>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</si>
  <si>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</si>
  <si>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</si>
  <si>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</si>
  <si>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</si>
  <si>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</si>
  <si>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</si>
  <si>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</si>
  <si>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</si>
  <si>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</si>
  <si>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</si>
  <si>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</si>
  <si>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</si>
  <si>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</si>
  <si>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</si>
  <si>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</si>
  <si>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</si>
  <si>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</si>
  <si>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</si>
  <si>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</si>
  <si>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</si>
  <si>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</si>
  <si>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</si>
  <si>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</si>
  <si>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</si>
  <si>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</si>
  <si>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</si>
  <si>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</si>
  <si>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</si>
  <si>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</si>
  <si>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</si>
  <si>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</si>
  <si>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</si>
  <si>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</si>
  <si>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</si>
  <si>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</si>
  <si>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</si>
  <si>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</si>
  <si>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</si>
  <si>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</si>
  <si>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</si>
  <si>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</si>
  <si>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</si>
  <si>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</si>
  <si>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</si>
  <si>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</si>
  <si>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</si>
  <si>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</si>
  <si>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</si>
  <si>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</si>
  <si>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</si>
  <si>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</si>
  <si>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</si>
  <si>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</si>
  <si>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</si>
  <si>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</si>
  <si>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</si>
  <si>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</si>
  <si>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</si>
  <si>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</si>
  <si>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</si>
  <si>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</si>
  <si>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</si>
  <si>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</si>
  <si>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</si>
  <si>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</si>
  <si>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</si>
  <si>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</si>
  <si>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</si>
  <si>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</si>
  <si>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</si>
  <si>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</si>
  <si>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</si>
  <si>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</si>
  <si>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</si>
  <si>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</si>
  <si>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</si>
  <si>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</si>
  <si>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</si>
  <si>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</si>
  <si>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</si>
  <si>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</si>
  <si>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</si>
  <si>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</si>
  <si>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</si>
  <si>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</si>
  <si>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</si>
  <si>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</si>
  <si>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</si>
  <si>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</si>
  <si>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</si>
  <si>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</si>
  <si>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</si>
  <si>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</si>
  <si>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</si>
  <si>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</si>
  <si>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</si>
  <si>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</si>
  <si>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</si>
  <si>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</si>
  <si>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</si>
  <si>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</si>
  <si>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</si>
  <si>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</si>
  <si>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</si>
  <si>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</si>
  <si>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</si>
  <si>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</si>
  <si>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</si>
  <si>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</si>
  <si>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</si>
  <si>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</si>
  <si>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</si>
  <si>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</si>
  <si>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</si>
  <si>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</si>
  <si>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</si>
  <si>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</si>
  <si>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</si>
  <si>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</si>
  <si>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</si>
  <si>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</si>
  <si>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</si>
  <si>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</si>
  <si>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</si>
  <si>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</si>
  <si>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</si>
  <si>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</si>
  <si>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</si>
  <si>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</si>
  <si>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</si>
  <si>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</si>
  <si>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</si>
  <si>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</si>
  <si>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</si>
  <si>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</si>
  <si>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</si>
  <si>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</si>
  <si>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</si>
  <si>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</si>
  <si>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</si>
  <si>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</si>
  <si>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</si>
  <si>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</si>
  <si>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</si>
  <si>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</si>
  <si>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</si>
  <si>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</si>
  <si>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</si>
  <si>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</si>
  <si>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</si>
  <si>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</si>
  <si>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</si>
  <si>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</si>
  <si>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</si>
  <si>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</si>
  <si>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</si>
  <si>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</si>
  <si>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</si>
  <si>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</si>
  <si>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</si>
  <si>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</si>
  <si>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</si>
  <si>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</si>
  <si>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</si>
  <si>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</si>
  <si>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</si>
  <si>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</si>
  <si>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</si>
  <si>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</si>
  <si>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</si>
  <si>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</si>
  <si>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</si>
  <si>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</si>
  <si>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</si>
  <si>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</si>
  <si>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</si>
  <si>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</si>
  <si>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</si>
  <si>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</si>
  <si>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</si>
  <si>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</si>
  <si>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</si>
  <si>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</si>
  <si>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</si>
  <si>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</si>
  <si>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</si>
  <si>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</si>
  <si>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</si>
  <si>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</si>
  <si>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</si>
  <si>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</si>
  <si>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</si>
  <si>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</si>
  <si>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</si>
  <si>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</si>
  <si>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</si>
  <si>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</si>
  <si>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</si>
  <si>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</si>
  <si>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</si>
  <si>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</si>
  <si>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</si>
  <si>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</si>
  <si>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</si>
  <si>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</si>
  <si>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</si>
  <si>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</si>
  <si>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</si>
  <si>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</si>
  <si>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</si>
  <si>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</si>
  <si>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</si>
  <si>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</si>
  <si>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</si>
  <si>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</si>
  <si>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</si>
  <si>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</si>
  <si>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</si>
  <si>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</si>
  <si>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</si>
  <si>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</si>
  <si>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</si>
  <si>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</si>
  <si>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</si>
  <si>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</si>
  <si>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</si>
  <si>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</si>
  <si>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</si>
  <si>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</si>
  <si>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</si>
  <si>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</si>
  <si>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</si>
  <si>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</si>
  <si>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</si>
  <si>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</si>
  <si>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</si>
  <si>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</si>
  <si>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</si>
  <si>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</si>
  <si>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</si>
  <si>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</si>
  <si>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</si>
  <si>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</si>
  <si>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</si>
  <si>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</si>
  <si>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</si>
  <si>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</si>
  <si>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</si>
  <si>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</si>
  <si>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</si>
  <si>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</si>
  <si>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</si>
  <si>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</si>
  <si>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</si>
  <si>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</si>
  <si>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</si>
  <si>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</si>
  <si>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</si>
  <si>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</si>
  <si>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</si>
  <si>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</si>
  <si>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</si>
  <si>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</si>
  <si>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</si>
  <si>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</si>
  <si>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</si>
  <si>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</si>
  <si>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</si>
  <si>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</si>
  <si>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</si>
  <si>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</si>
  <si>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</si>
  <si>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</si>
  <si>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</si>
  <si>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</si>
  <si>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</si>
  <si>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</si>
  <si>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</si>
  <si>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</si>
  <si>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</si>
  <si>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</si>
  <si>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</si>
  <si>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</si>
  <si>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</si>
  <si>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</si>
  <si>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</si>
  <si>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</si>
  <si>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</si>
  <si>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</si>
  <si>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</si>
  <si>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</si>
  <si>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</si>
  <si>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</si>
  <si>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</si>
  <si>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</si>
  <si>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</si>
  <si>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</si>
  <si>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</si>
  <si>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</si>
  <si>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</si>
  <si>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</si>
  <si>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</si>
  <si>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</si>
  <si>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</si>
  <si>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</si>
  <si>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</si>
  <si>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</si>
  <si>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</si>
  <si>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</si>
  <si>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</si>
  <si>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</si>
  <si>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</si>
  <si>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</si>
  <si>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</si>
  <si>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</si>
  <si>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</si>
  <si>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</si>
  <si>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</si>
  <si>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</si>
  <si>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</si>
  <si>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</si>
  <si>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</si>
  <si>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</si>
  <si>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</si>
  <si>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</si>
  <si>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</si>
  <si>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</si>
  <si>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</si>
  <si>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</si>
  <si>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</si>
  <si>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</si>
  <si>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</si>
  <si>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</si>
  <si>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</si>
  <si>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</si>
  <si>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</si>
  <si>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</si>
  <si>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</si>
  <si>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</si>
  <si>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</si>
  <si>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</si>
  <si>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</si>
  <si>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</si>
  <si>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</si>
  <si>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</si>
  <si>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</si>
  <si>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</si>
  <si>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</si>
  <si>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</si>
  <si>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</si>
  <si>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</si>
  <si>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</si>
  <si>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</si>
  <si>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</si>
  <si>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</si>
  <si>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</si>
  <si>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</si>
  <si>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</si>
  <si>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</si>
  <si>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</si>
  <si>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</si>
  <si>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</si>
  <si>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</si>
  <si>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</si>
  <si>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</si>
  <si>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</si>
  <si>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</si>
  <si>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</si>
  <si>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</si>
  <si>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</si>
  <si>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</si>
  <si>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</si>
  <si>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</si>
  <si>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</si>
  <si>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</si>
  <si>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</si>
  <si>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</si>
  <si>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</si>
  <si>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</si>
  <si>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</si>
  <si>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</si>
  <si>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</si>
  <si>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</si>
  <si>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</si>
  <si>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</si>
  <si>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</si>
  <si>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</si>
  <si>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</si>
  <si>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</si>
  <si>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</si>
  <si>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</si>
  <si>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</si>
  <si>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</si>
  <si>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</si>
  <si>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</si>
  <si>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</si>
  <si>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</si>
  <si>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</si>
  <si>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</si>
  <si>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</si>
  <si>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</si>
  <si>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</si>
  <si>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</si>
  <si>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</si>
  <si>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</si>
  <si>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</si>
  <si>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</si>
  <si>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</si>
  <si>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</si>
  <si>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</si>
  <si>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</si>
  <si>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</si>
  <si>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</si>
  <si>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</si>
  <si>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</si>
  <si>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</si>
  <si>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</si>
  <si>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</si>
  <si>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</si>
  <si>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</si>
  <si>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</si>
  <si>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</si>
  <si>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</si>
  <si>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</si>
  <si>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</si>
  <si>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</si>
  <si>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</si>
  <si>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</si>
  <si>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</si>
  <si>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</si>
  <si>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</si>
  <si>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</si>
  <si>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</si>
  <si>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</si>
  <si>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</si>
  <si>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</si>
  <si>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</si>
  <si>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</si>
  <si>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</si>
  <si>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</si>
  <si>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</si>
  <si>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</si>
  <si>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</si>
  <si>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</si>
  <si>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</si>
  <si>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</si>
  <si>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</si>
  <si>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</si>
  <si>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</si>
  <si>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</si>
  <si>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</si>
  <si>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</si>
  <si>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</si>
  <si>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</si>
  <si>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</si>
  <si>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</si>
  <si>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</si>
  <si>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</si>
  <si>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</si>
  <si>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</si>
  <si>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</si>
  <si>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</si>
  <si>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</si>
  <si>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</si>
  <si>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</si>
  <si>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</si>
  <si>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</si>
  <si>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</si>
  <si>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</si>
  <si>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</si>
  <si>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</si>
  <si>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</si>
  <si>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</si>
  <si>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</si>
  <si>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</si>
  <si>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גמול פועלים סהר</t>
  </si>
  <si>
    <t>33-414</t>
  </si>
  <si>
    <t>USD</t>
  </si>
  <si>
    <t>CAD</t>
  </si>
  <si>
    <t>EUR</t>
  </si>
  <si>
    <t>JPY</t>
  </si>
  <si>
    <t>DKK</t>
  </si>
  <si>
    <t>GBP</t>
  </si>
  <si>
    <t>CHF</t>
  </si>
  <si>
    <t>HKD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</si>
  <si>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</si>
  <si>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</si>
  <si>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</si>
  <si>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</si>
  <si>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</si>
  <si>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</si>
  <si>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</si>
  <si>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</si>
  <si>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</si>
  <si>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</si>
  <si>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</si>
  <si>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</si>
  <si>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</si>
  <si>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</si>
  <si>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</si>
  <si>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</si>
  <si>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</si>
  <si>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</si>
  <si>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</si>
  <si>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</si>
  <si>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</si>
  <si>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</si>
  <si>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</si>
  <si>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</si>
  <si>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</si>
  <si>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</si>
  <si>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</si>
  <si>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</si>
  <si>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</si>
  <si>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</si>
  <si>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</si>
  <si>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</si>
  <si>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</si>
  <si>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</si>
  <si>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</si>
  <si>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</si>
  <si>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</si>
  <si>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</si>
  <si>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</si>
  <si>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</si>
  <si>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</si>
  <si>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</si>
  <si>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</si>
  <si>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</si>
  <si>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</si>
  <si>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</si>
  <si>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</si>
  <si>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</si>
  <si>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</si>
  <si>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</si>
  <si>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</si>
  <si>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</si>
  <si>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</si>
  <si>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</si>
  <si>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</si>
  <si>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</si>
  <si>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</si>
  <si>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</si>
  <si>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</si>
  <si>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</si>
  <si>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</si>
  <si>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</si>
  <si>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</si>
  <si>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</si>
  <si>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</si>
  <si>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</si>
  <si>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</si>
  <si>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</si>
  <si>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</si>
  <si>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</si>
  <si>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</si>
  <si>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</si>
  <si>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</si>
  <si>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</si>
  <si>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</si>
  <si>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</si>
  <si>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</si>
  <si>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</si>
  <si>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</si>
  <si>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</si>
  <si>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</si>
  <si>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</si>
  <si>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</si>
  <si>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</si>
  <si>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</si>
  <si>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</si>
  <si>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</si>
  <si>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</si>
  <si>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</si>
  <si>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</si>
  <si>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</si>
  <si>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</si>
  <si>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</si>
  <si>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</si>
  <si>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</si>
  <si>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</si>
  <si>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</si>
  <si>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</si>
  <si>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</si>
  <si>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</si>
  <si>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</si>
  <si>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</si>
  <si>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</si>
  <si>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</si>
  <si>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</si>
  <si>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</si>
  <si>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</si>
  <si>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</si>
  <si>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</si>
  <si>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</si>
  <si>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</si>
  <si>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</si>
  <si>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</si>
  <si>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419</t>
  </si>
  <si>
    <t>6.07662E+11</t>
  </si>
  <si>
    <t xml:space="preserve">EUR   </t>
  </si>
  <si>
    <t>05/09/24</t>
  </si>
  <si>
    <t>04/11/24</t>
  </si>
  <si>
    <t>0</t>
  </si>
  <si>
    <t>לאומי</t>
  </si>
  <si>
    <t>6.07285E+11</t>
  </si>
  <si>
    <t xml:space="preserve">USD   </t>
  </si>
  <si>
    <t>04/09/24</t>
  </si>
  <si>
    <t>12435</t>
  </si>
  <si>
    <t>516705795</t>
  </si>
  <si>
    <t>ח.פ</t>
  </si>
  <si>
    <t>נמלי הים התיכון אינטרנשיונל א.ד.ג.ד בע"מ-נמל חיפה</t>
  </si>
  <si>
    <t>520000522</t>
  </si>
  <si>
    <t>10/01/2023</t>
  </si>
  <si>
    <t>other</t>
  </si>
  <si>
    <t>12/01/2025</t>
  </si>
  <si>
    <t>מימון רכישת הנמל</t>
  </si>
  <si>
    <t>מרווח הוגן</t>
  </si>
  <si>
    <t>510960586</t>
  </si>
  <si>
    <t>שווי לא צמוד571</t>
  </si>
  <si>
    <t>91571000</t>
  </si>
  <si>
    <t>אנשים פרטיים </t>
  </si>
  <si>
    <t>05/11/2020</t>
  </si>
  <si>
    <t>קבועה</t>
  </si>
  <si>
    <t>06/12/2022</t>
  </si>
  <si>
    <t>הלוואה לעמית</t>
  </si>
  <si>
    <t>מערכת פריים</t>
  </si>
  <si>
    <t>אי תלות</t>
  </si>
  <si>
    <t xml:space="preserve">31/03/2024 </t>
  </si>
  <si>
    <t>אופציות על מדדים בחו"ל</t>
  </si>
  <si>
    <t>27430</t>
  </si>
  <si>
    <t>ODYSIGHT  אופציה לא סחירה (לשעבר SCOUTCAM)</t>
  </si>
  <si>
    <t>62018205</t>
  </si>
  <si>
    <t>31/03/2026</t>
  </si>
  <si>
    <t>29/04/2021</t>
  </si>
  <si>
    <t>מסלקת הבורסה</t>
  </si>
  <si>
    <t>520027152</t>
  </si>
  <si>
    <t>ארו-C0415.0M410</t>
  </si>
  <si>
    <t>IL0851357702</t>
  </si>
  <si>
    <t>נגזרים</t>
  </si>
  <si>
    <t>30/10/2024</t>
  </si>
  <si>
    <t>ארו-P0415.0M410</t>
  </si>
  <si>
    <t>IL0851358957</t>
  </si>
  <si>
    <t>דלר-C0375.0M411</t>
  </si>
  <si>
    <t>IL0851682430</t>
  </si>
  <si>
    <t>27/11/2024</t>
  </si>
  <si>
    <t>דלר-P0375.0M411</t>
  </si>
  <si>
    <t>IL0851684253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</si>
  <si>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</si>
  <si>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</si>
  <si>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</si>
  <si>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</si>
  <si>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</si>
  <si>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</si>
  <si>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Invesco investment management limited</t>
  </si>
  <si>
    <t>549300FEA3DT84FOZ304</t>
  </si>
  <si>
    <t>$INV-GIG CB-CACC</t>
  </si>
  <si>
    <t>LU1218206339</t>
  </si>
  <si>
    <t>White Oak</t>
  </si>
  <si>
    <t>635400CFK4T1LTOQKB10</t>
  </si>
  <si>
    <t>Ashoka India Opport Fd-D Usd</t>
  </si>
  <si>
    <t>IE00BH3N4915</t>
  </si>
  <si>
    <t>COMGEST SA</t>
  </si>
  <si>
    <t>635400C9QFZKPI23YO22</t>
  </si>
  <si>
    <t>Comgest growth europe</t>
  </si>
  <si>
    <t>IE00B5WN3467</t>
  </si>
  <si>
    <t>First trust</t>
  </si>
  <si>
    <t>549300ZLB3EUU3H8NE60</t>
  </si>
  <si>
    <t>FIRST TR NCESGII</t>
  </si>
  <si>
    <t>US33737A1088</t>
  </si>
  <si>
    <t>INV-US SEN-G</t>
  </si>
  <si>
    <t>LU0564079282</t>
  </si>
  <si>
    <t>KBI Global Investors</t>
  </si>
  <si>
    <t>213800G9XQZIV76VNB36</t>
  </si>
  <si>
    <t>KBIFUNDS</t>
  </si>
  <si>
    <t>IE00BNGJJ156</t>
  </si>
  <si>
    <t>Kotak</t>
  </si>
  <si>
    <t>213800SJ3IH3EXMXSJ47</t>
  </si>
  <si>
    <t>KOTAK FDS-INDIA</t>
  </si>
  <si>
    <t>LU2126068639</t>
  </si>
  <si>
    <t>Schroder ISF Greater China</t>
  </si>
  <si>
    <t>8AFAYMK90I2QVGLMLS34</t>
  </si>
  <si>
    <t>Sisf-GRT CHI-IZ</t>
  </si>
  <si>
    <t>LU1953148969</t>
  </si>
  <si>
    <t>Trigon New Europe Fund</t>
  </si>
  <si>
    <t>529900X2YIFA3JTG4580</t>
  </si>
  <si>
    <t>Trig -Nw EUROP-AEUR</t>
  </si>
  <si>
    <t>LU1687402393</t>
  </si>
  <si>
    <t>Union Bancaire</t>
  </si>
  <si>
    <t>IPLPO8C7P68Q5FFRI280</t>
  </si>
  <si>
    <t>Ubam Gb HY</t>
  </si>
  <si>
    <t>LU0569863243</t>
  </si>
  <si>
    <t>מגדל קרנות נאמנות בע"מ</t>
  </si>
  <si>
    <t>511303661</t>
  </si>
  <si>
    <t>MTF סל תא 35</t>
  </si>
  <si>
    <t>IL0011501843</t>
  </si>
  <si>
    <t>הראל קרנות נאמנות בע"מ</t>
  </si>
  <si>
    <t>511776783</t>
  </si>
  <si>
    <t>הראל סל תא 90</t>
  </si>
  <si>
    <t>IL0011489312</t>
  </si>
  <si>
    <t>הראל סל תל בונד 60</t>
  </si>
  <si>
    <t>IL0011504730</t>
  </si>
  <si>
    <t xml:space="preserve">אג"ח בישראל - חברות והמרה  </t>
  </si>
  <si>
    <t>קסם קרנות נאמנות בע"מ</t>
  </si>
  <si>
    <t>510938608</t>
  </si>
  <si>
    <t>קסם MSCI AC World (4D) ETF</t>
  </si>
  <si>
    <t>IL0011466799</t>
  </si>
  <si>
    <t>מניות בחו"ל חשופות מט"ח</t>
  </si>
  <si>
    <t>קסם תל בונד שקלי</t>
  </si>
  <si>
    <t>IL0011464141</t>
  </si>
  <si>
    <t>MTF סל תא 125</t>
  </si>
  <si>
    <t>IL0011502833</t>
  </si>
  <si>
    <t>מור ניהול קרנות נאמנות בע"מ</t>
  </si>
  <si>
    <t>514884485</t>
  </si>
  <si>
    <t>מור סל )4D(י S&amp;P 500</t>
  </si>
  <si>
    <t>IL0011658106</t>
  </si>
  <si>
    <t>קסMSCIACWORLDממ</t>
  </si>
  <si>
    <t>IL0011473621</t>
  </si>
  <si>
    <t xml:space="preserve">מניות בחו"ל משולבת </t>
  </si>
  <si>
    <t>הראל סל SP500</t>
  </si>
  <si>
    <t>IL0011490203</t>
  </si>
  <si>
    <t>MTF סל )00( תל בונד - שקלי A</t>
  </si>
  <si>
    <t>IL0011728248</t>
  </si>
  <si>
    <t>MTF סל תא 90</t>
  </si>
  <si>
    <t>IL0011502593</t>
  </si>
  <si>
    <t>סל mtf Trave l&amp; Vacation</t>
  </si>
  <si>
    <t>IL0011675845</t>
  </si>
  <si>
    <t>Amundi Asset Management</t>
  </si>
  <si>
    <t>213800VZW861M5FHMD50</t>
  </si>
  <si>
    <t>AMUNDI MSCI EURP</t>
  </si>
  <si>
    <t>LU1681041890</t>
  </si>
  <si>
    <t>State Street Corp</t>
  </si>
  <si>
    <t>07F5H7W3ET8ZLWNMFP29</t>
  </si>
  <si>
    <t>Consumer discretionary etf</t>
  </si>
  <si>
    <t>US81369Y4070</t>
  </si>
  <si>
    <t>Financial sel sector spdr</t>
  </si>
  <si>
    <t>US81369Y6059</t>
  </si>
  <si>
    <t>Franklin FTSE South Korea ETF</t>
  </si>
  <si>
    <t>549300UHXVPT5S43XV04</t>
  </si>
  <si>
    <t>FLKR US Franklin FTSE South Korea ETF</t>
  </si>
  <si>
    <t>US35473P7107</t>
  </si>
  <si>
    <t>Global X Management Co LLc</t>
  </si>
  <si>
    <t>5493003RA4QUTSYF1N15</t>
  </si>
  <si>
    <t>GLOBAL X US INFR</t>
  </si>
  <si>
    <t>US37954Y673</t>
  </si>
  <si>
    <t>Health care select xlv</t>
  </si>
  <si>
    <t>US81369Y2090</t>
  </si>
  <si>
    <t>Industrial select</t>
  </si>
  <si>
    <t>US81369Y7040</t>
  </si>
  <si>
    <t>INVESCO AEROSPAC</t>
  </si>
  <si>
    <t>US46137V1008</t>
  </si>
  <si>
    <t>Invesco QQQ  trust NAS1</t>
  </si>
  <si>
    <t>US46090E1038</t>
  </si>
  <si>
    <t xml:space="preserve">BlackRock  Asset Managment </t>
  </si>
  <si>
    <t>5493004330BCAPB3GT42</t>
  </si>
  <si>
    <t>Ishares core s&amp;p 500 etf</t>
  </si>
  <si>
    <t>US4642872000</t>
  </si>
  <si>
    <t>Ishares ftse 100</t>
  </si>
  <si>
    <t>IE0005042456</t>
  </si>
  <si>
    <t>Ishares ftse china25</t>
  </si>
  <si>
    <t>US4642871846</t>
  </si>
  <si>
    <t>Ishares msci china</t>
  </si>
  <si>
    <t>US46429B6719</t>
  </si>
  <si>
    <t>Ishares stoxx europe 600</t>
  </si>
  <si>
    <t>DE0002635307</t>
  </si>
  <si>
    <t>ISHARES U.S.BR</t>
  </si>
  <si>
    <t>US4642887941</t>
  </si>
  <si>
    <t>ISHARES-IND G&amp;S</t>
  </si>
  <si>
    <t>DE000A0H08J9</t>
  </si>
  <si>
    <t>LYXOR ETF</t>
  </si>
  <si>
    <t>LYX STX600 HCARE</t>
  </si>
  <si>
    <t>LU1834986900</t>
  </si>
  <si>
    <t>LYX STX600 UTIL</t>
  </si>
  <si>
    <t>LU1834988864</t>
  </si>
  <si>
    <t>NYSE </t>
  </si>
  <si>
    <t>Materiales sel sector</t>
  </si>
  <si>
    <t>US81369Y1001</t>
  </si>
  <si>
    <t>NASD LN Equity</t>
  </si>
  <si>
    <t>LU1829221024</t>
  </si>
  <si>
    <t>REAL EST SEL SEC</t>
  </si>
  <si>
    <t>US81369y8600</t>
  </si>
  <si>
    <t>Rydex s&amp;p equal etf</t>
  </si>
  <si>
    <t>US46137V3574</t>
  </si>
  <si>
    <t>SPDR BLOOMBERG SASB</t>
  </si>
  <si>
    <t>IE0004TYCC17</t>
  </si>
  <si>
    <t>EUREX </t>
  </si>
  <si>
    <t>SPDR COMM SERV SELECT</t>
  </si>
  <si>
    <t>US81369Y8527</t>
  </si>
  <si>
    <t>SXLE LN</t>
  </si>
  <si>
    <t>549300M0AUGU3NFNF319</t>
  </si>
  <si>
    <t>SPDR US ENERGY</t>
  </si>
  <si>
    <t>IE00BWBXM492</t>
  </si>
  <si>
    <t>Utilities select spdr</t>
  </si>
  <si>
    <t>US81369Y8865</t>
  </si>
  <si>
    <t>Van Eck ETF</t>
  </si>
  <si>
    <t>549300ZLFKNTXC51ZN76</t>
  </si>
  <si>
    <t>VANECK DFNS ETF</t>
  </si>
  <si>
    <t>IE000YYE6WK5</t>
  </si>
  <si>
    <t>Vanguard Group</t>
  </si>
  <si>
    <t>549300Y88GQ3VLJIBX57</t>
  </si>
  <si>
    <t>Vanguard S&amp;P 500 etf</t>
  </si>
  <si>
    <t>US9229083632</t>
  </si>
  <si>
    <t>VANGUARD S&amp;P MID</t>
  </si>
  <si>
    <t>US9219328856</t>
  </si>
  <si>
    <t>VNGRD FTSE250</t>
  </si>
  <si>
    <t>IE00BKX55Q28</t>
  </si>
  <si>
    <t>WisdomTree Europe ltd</t>
  </si>
  <si>
    <t>549300SEVJBU47TE8855</t>
  </si>
  <si>
    <t>WisdomTree emerging markets</t>
  </si>
  <si>
    <t>US97717X5784</t>
  </si>
  <si>
    <t>ISH $ CORP BD $A</t>
  </si>
  <si>
    <t>IE00BYXYYJ35</t>
  </si>
  <si>
    <t>קסם NDX100 ETF</t>
  </si>
  <si>
    <t>IL0011465056</t>
  </si>
  <si>
    <t>קסם תא 90</t>
  </si>
  <si>
    <t>IL0011463317</t>
  </si>
  <si>
    <t>A MSCI WLRD $ACC</t>
  </si>
  <si>
    <t>IE000BI8OT95</t>
  </si>
  <si>
    <t>Amex tech sel indx</t>
  </si>
  <si>
    <t>US81369Y8030</t>
  </si>
  <si>
    <t>AMUNDI MSCI EMII</t>
  </si>
  <si>
    <t>LU2573967036</t>
  </si>
  <si>
    <t>שווקים מתעוררים</t>
  </si>
  <si>
    <t>FIRST TRUST NASDQ 100 TECH</t>
  </si>
  <si>
    <t>US3373451026</t>
  </si>
  <si>
    <t>ISHARES STOXX EU</t>
  </si>
  <si>
    <t>DE000A0F5UJ7</t>
  </si>
  <si>
    <t>LYX CORE EURSTX</t>
  </si>
  <si>
    <t>LU0908500753</t>
  </si>
  <si>
    <t>LYXETF S&amp;P500</t>
  </si>
  <si>
    <t>LU1135865084</t>
  </si>
  <si>
    <t>SOURCE S&amp;P 500 UCITS ETF</t>
  </si>
  <si>
    <t>IE00B3YCGJ38</t>
  </si>
  <si>
    <t>US9219327031</t>
  </si>
  <si>
    <t>Vanguard reit vipers</t>
  </si>
  <si>
    <t>US9229085538</t>
  </si>
  <si>
    <t>VANGUARD TOT WORLD</t>
  </si>
  <si>
    <t>US9220427424</t>
  </si>
  <si>
    <t>Wisdomtree india earnings fund</t>
  </si>
  <si>
    <t>US97717W4226</t>
  </si>
  <si>
    <t>MTF סל (S&amp;P 500 (4D</t>
  </si>
  <si>
    <t>IL0011503336</t>
  </si>
  <si>
    <t>קסם S&amp;P 500 (4D) ETF</t>
  </si>
  <si>
    <t>IL0011464711</t>
  </si>
  <si>
    <t xml:space="preserve">אורמת טכנולגיות אינק </t>
  </si>
  <si>
    <t>880326081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</si>
  <si>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</si>
  <si>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</si>
  <si>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</si>
  <si>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</si>
  <si>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</si>
  <si>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</si>
  <si>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</si>
  <si>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</si>
  <si>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</si>
  <si>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</si>
  <si>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</si>
  <si>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</si>
  <si>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</si>
  <si>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</si>
  <si>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</si>
  <si>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</si>
  <si>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</si>
  <si>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</si>
  <si>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</si>
  <si>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</si>
  <si>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</si>
  <si>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</si>
  <si>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</si>
  <si>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</si>
  <si>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</si>
  <si>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</si>
  <si>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אנליסט אי.אמ.אס.-שרותי ניהול השקעות בע"מ</t>
  </si>
  <si>
    <t>511146490</t>
  </si>
  <si>
    <t>אנליסט</t>
  </si>
  <si>
    <t>IL0010806136</t>
  </si>
  <si>
    <t>Energean plc</t>
  </si>
  <si>
    <t>10758801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</si>
  <si>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</si>
  <si>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</si>
  <si>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</si>
  <si>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</si>
  <si>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</si>
  <si>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</si>
  <si>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</si>
  <si>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</si>
  <si>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</si>
  <si>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</si>
  <si>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</si>
  <si>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</si>
  <si>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</si>
  <si>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</si>
  <si>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</si>
  <si>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</si>
  <si>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</si>
  <si>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</si>
  <si>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ביונ תלת מימד בע"מ</t>
  </si>
  <si>
    <t>514669506</t>
  </si>
  <si>
    <t>IL0011755613</t>
  </si>
  <si>
    <t>ג'י וואן פתרונות אבטחה בע"מ</t>
  </si>
  <si>
    <t>510095987</t>
  </si>
  <si>
    <t>גי וואן</t>
  </si>
  <si>
    <t>IL0011562803</t>
  </si>
  <si>
    <t>ג'נריישן קפיטל בע"מ</t>
  </si>
  <si>
    <t>515846558</t>
  </si>
  <si>
    <t>ג'נריישן קפיטל</t>
  </si>
  <si>
    <t>IL0011569261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</si>
  <si>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</si>
  <si>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</si>
  <si>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</si>
  <si>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</si>
  <si>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</si>
  <si>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</si>
  <si>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</si>
  <si>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</si>
  <si>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הפניקס אחזקות בע"מ</t>
  </si>
  <si>
    <t>520017450</t>
  </si>
  <si>
    <t>הפניקס</t>
  </si>
  <si>
    <t>IL0007670123</t>
  </si>
  <si>
    <t>החברה לישראל בע"מ</t>
  </si>
  <si>
    <t>520028010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</si>
  <si>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</si>
  <si>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</si>
  <si>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</si>
  <si>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</si>
  <si>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</si>
  <si>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</si>
  <si>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</si>
  <si>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</si>
  <si>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</si>
  <si>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</si>
  <si>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</si>
  <si>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</si>
  <si>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</si>
  <si>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</si>
  <si>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</si>
  <si>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</si>
  <si>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</si>
  <si>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</si>
  <si>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</si>
  <si>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</si>
  <si>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</si>
  <si>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</si>
  <si>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</si>
  <si>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</si>
  <si>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</si>
  <si>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</si>
  <si>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</si>
  <si>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</si>
  <si>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</si>
  <si>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</si>
  <si>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</si>
  <si>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</si>
  <si>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520018078</t>
  </si>
  <si>
    <t>IL0006046119</t>
  </si>
  <si>
    <t>לסיכו בע"מ</t>
  </si>
  <si>
    <t>510512056</t>
  </si>
  <si>
    <t>לסיכו</t>
  </si>
  <si>
    <t>IL0011409468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</si>
  <si>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</si>
  <si>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</si>
  <si>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</si>
  <si>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</si>
  <si>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</si>
  <si>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</si>
  <si>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</si>
  <si>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</si>
  <si>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</si>
  <si>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</si>
  <si>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</si>
  <si>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</si>
  <si>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</si>
  <si>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</si>
  <si>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</si>
  <si>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</si>
  <si>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בנק מזרחי טפחות בע"מ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</si>
  <si>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</si>
  <si>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</si>
  <si>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</si>
  <si>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</si>
  <si>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</si>
  <si>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</si>
  <si>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</si>
  <si>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</si>
  <si>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</si>
  <si>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</si>
  <si>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</si>
  <si>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</si>
  <si>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</si>
  <si>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</si>
  <si>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 xml:space="preserve">מניף - שירותים פיננסים בע"מ </t>
  </si>
  <si>
    <t>512764408</t>
  </si>
  <si>
    <t>מניף</t>
  </si>
  <si>
    <t>IL0011708935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</si>
  <si>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</si>
  <si>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</si>
  <si>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</si>
  <si>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</si>
  <si>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</si>
  <si>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</si>
  <si>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</si>
  <si>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</si>
  <si>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</si>
  <si>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</si>
  <si>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</si>
  <si>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</si>
  <si>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</si>
  <si>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</si>
  <si>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</si>
  <si>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</si>
  <si>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</si>
  <si>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</si>
  <si>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</si>
  <si>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</si>
  <si>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</si>
  <si>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</si>
  <si>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</si>
  <si>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</si>
  <si>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</si>
  <si>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</si>
  <si>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</si>
  <si>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</si>
  <si>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</si>
  <si>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</si>
  <si>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</si>
  <si>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</si>
  <si>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</si>
  <si>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</si>
  <si>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</si>
  <si>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</si>
  <si>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</si>
  <si>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</si>
  <si>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</si>
  <si>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</si>
  <si>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</si>
  <si>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</si>
  <si>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זכו' 2</t>
  </si>
  <si>
    <t>IL0012010299</t>
  </si>
  <si>
    <t>ריט אזורים ליווינג</t>
  </si>
  <si>
    <t>IL0011627754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</si>
  <si>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</si>
  <si>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</si>
  <si>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</si>
  <si>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</si>
  <si>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</si>
  <si>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</si>
  <si>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</si>
  <si>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</si>
  <si>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</si>
  <si>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</si>
  <si>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</si>
  <si>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</si>
  <si>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</si>
  <si>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</si>
  <si>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</si>
  <si>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</si>
  <si>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</si>
  <si>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</si>
  <si>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</si>
  <si>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</si>
  <si>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APPLE COMPUTER INC</t>
  </si>
  <si>
    <t>HWUPKR0MPOU8FGXBT394</t>
  </si>
  <si>
    <t>Apple computer inc</t>
  </si>
  <si>
    <t>US0378331005</t>
  </si>
  <si>
    <t>ATERIAN INC</t>
  </si>
  <si>
    <t>11303</t>
  </si>
  <si>
    <t>US02156U2006</t>
  </si>
  <si>
    <t>BERKSHIRE HATHAWAY FIN</t>
  </si>
  <si>
    <t>5493000C01ZX7D35SD85</t>
  </si>
  <si>
    <t>Berkshire Hathway- B</t>
  </si>
  <si>
    <t>US0846707026</t>
  </si>
  <si>
    <t>Diversified Financial Services Financial Services</t>
  </si>
  <si>
    <t>BIOGEN IDEC INC</t>
  </si>
  <si>
    <t>W8J5WZB5IY3K0NDQT671</t>
  </si>
  <si>
    <t>Biogen idec inc</t>
  </si>
  <si>
    <t>US09062X1037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</si>
  <si>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</si>
  <si>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</si>
  <si>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</si>
  <si>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</si>
  <si>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</si>
  <si>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Flextronics International ltd</t>
  </si>
  <si>
    <t>549300EAQH74YHD07T53</t>
  </si>
  <si>
    <t>Flextronics Intll</t>
  </si>
  <si>
    <t>SG9999000020</t>
  </si>
  <si>
    <t>HONEYWELL INTERNATIONAL INC</t>
  </si>
  <si>
    <t>ISRPG12PN4EIEOEMW547</t>
  </si>
  <si>
    <t>Honeywell international inc</t>
  </si>
  <si>
    <t>US4385161066</t>
  </si>
  <si>
    <t>Lvmh Moet Hennessy Louis Vui</t>
  </si>
  <si>
    <t>IOG4E947OATN0KJYSD45</t>
  </si>
  <si>
    <t>LVMH</t>
  </si>
  <si>
    <t>FR0000121014</t>
  </si>
  <si>
    <t>MASTERCARD INC</t>
  </si>
  <si>
    <t>AR5L2ODV9HN37376R084</t>
  </si>
  <si>
    <t>Mastercard inc-cla</t>
  </si>
  <si>
    <t>US57636Q1040</t>
  </si>
  <si>
    <t>MERCK &amp;CO INC</t>
  </si>
  <si>
    <t>4YV9Y5M8S0BRK1RP0397</t>
  </si>
  <si>
    <t>Merck &amp;co inc</t>
  </si>
  <si>
    <t>US58933Y1055</t>
  </si>
  <si>
    <t>MICROSOFT CORP</t>
  </si>
  <si>
    <t>INR2EJN1ERAN0W5ZP974</t>
  </si>
  <si>
    <t>Microsoft corp</t>
  </si>
  <si>
    <t>US5949181045</t>
  </si>
  <si>
    <t>ASTRA SPACE I</t>
  </si>
  <si>
    <t>549300EI6OKH5K5Q2G38</t>
  </si>
  <si>
    <t>MODERNA INC</t>
  </si>
  <si>
    <t>US60770K1079</t>
  </si>
  <si>
    <t>Netflix Inc</t>
  </si>
  <si>
    <t>549300Y7VHGU0I7CE873</t>
  </si>
  <si>
    <t>US64110L1061</t>
  </si>
  <si>
    <t>NIKE INC</t>
  </si>
  <si>
    <t>787RXPR0UX0O0XUXPZ81</t>
  </si>
  <si>
    <t>NIKE INC CL-B</t>
  </si>
  <si>
    <t>US6541061031</t>
  </si>
  <si>
    <t>Novo Nordsik</t>
  </si>
  <si>
    <t>549300DAQ1CVT6CXN342</t>
  </si>
  <si>
    <t>NOVO-NORDISK-ADR</t>
  </si>
  <si>
    <t>us6701002056</t>
  </si>
  <si>
    <t>NVIDIA CORP</t>
  </si>
  <si>
    <t>549300S4KLFTLO7GSQ80</t>
  </si>
  <si>
    <t>Nvidia crop</t>
  </si>
  <si>
    <t>US67066G1040</t>
  </si>
  <si>
    <t>Prologis Inc</t>
  </si>
  <si>
    <t>529900DFH19P073LZ636</t>
  </si>
  <si>
    <t>PROLOGIS INC</t>
  </si>
  <si>
    <t>US74340W1036</t>
  </si>
  <si>
    <t>max sp 500</t>
  </si>
  <si>
    <t>988400E5HRVX81AYLM04</t>
  </si>
  <si>
    <t>RHEINMETALL AG</t>
  </si>
  <si>
    <t>DE0007030009</t>
  </si>
  <si>
    <t>FWB </t>
  </si>
  <si>
    <t>Industrial Conglomerates </t>
  </si>
  <si>
    <t>Samsung Electronics co ltd</t>
  </si>
  <si>
    <t>9884007ER46L6N7EI764</t>
  </si>
  <si>
    <t>Samsung electronics</t>
  </si>
  <si>
    <t>US7960508882</t>
  </si>
  <si>
    <t>SCHLUMBERGER LIMITED</t>
  </si>
  <si>
    <t>529900EZ29I5KXPV2J32</t>
  </si>
  <si>
    <t>Schlumberger Ltd</t>
  </si>
  <si>
    <t>AN8068571086</t>
  </si>
  <si>
    <t>Scoutcam LTD</t>
  </si>
  <si>
    <t>549300FBP1ANSJE5TE25</t>
  </si>
  <si>
    <t>Scoutcam</t>
  </si>
  <si>
    <t>US81063V2043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</si>
  <si>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</si>
  <si>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</si>
  <si>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</si>
  <si>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</si>
  <si>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</si>
  <si>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</si>
  <si>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</si>
  <si>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</si>
  <si>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Vbare Iberian Properties SOCIM</t>
  </si>
  <si>
    <t>959800X1MGWGZZW5ZS47</t>
  </si>
  <si>
    <t>VBARE IBERIAN PR</t>
  </si>
  <si>
    <t>ES0105196002</t>
  </si>
  <si>
    <t>VISA  Inc - CLASS  A</t>
  </si>
  <si>
    <t>549300JZ4OKEHW3DPJ59</t>
  </si>
  <si>
    <t>VISA inc-class a</t>
  </si>
  <si>
    <t>US92826C8394</t>
  </si>
  <si>
    <t>Walt Disney Company</t>
  </si>
  <si>
    <t>549300GZKULIZ0WOW665</t>
  </si>
  <si>
    <t>WALT DISNEY CO</t>
  </si>
  <si>
    <t>US2546871060</t>
  </si>
  <si>
    <t>צים שירותי ספנות משולבים בע"מ</t>
  </si>
  <si>
    <t>21380089EIJRELKAIL21</t>
  </si>
  <si>
    <t>ZIM US Equity 26.7.21</t>
  </si>
  <si>
    <t>IL0065100930</t>
  </si>
  <si>
    <t>הבנק הבינלאומי הראשון לישראל בע"מ</t>
  </si>
  <si>
    <t>520029083</t>
  </si>
  <si>
    <t>בינלאומי 5</t>
  </si>
  <si>
    <t>IL0005930388</t>
  </si>
  <si>
    <t>קבוצת דוראל משאבי אנרגיה מתחדשת בעמ</t>
  </si>
  <si>
    <t>515364891</t>
  </si>
  <si>
    <t>דוראל אנרגיה</t>
  </si>
  <si>
    <t>IL0011667685</t>
  </si>
  <si>
    <t>וואן טכנולוגיות תוכנה(או.אס.טי)בע"מ</t>
  </si>
  <si>
    <t>520034695</t>
  </si>
  <si>
    <t>וואן טכנולוגיות תוכנה</t>
  </si>
  <si>
    <t>IL0001610182</t>
  </si>
  <si>
    <t>סאמיט אחזקות נדל"ן בע"מ</t>
  </si>
  <si>
    <t>520043720</t>
  </si>
  <si>
    <t>סאמיט</t>
  </si>
  <si>
    <t>IL0010816861</t>
  </si>
  <si>
    <t>פז בית זיקוק לנפט-אשדוד בע"מ</t>
  </si>
  <si>
    <t>513775163</t>
  </si>
  <si>
    <t>פז בית זיקוק אשדוד</t>
  </si>
  <si>
    <t>IL0011989105</t>
  </si>
  <si>
    <t>פ.י.ב.י. אחזקות בע"מ</t>
  </si>
  <si>
    <t>520029026</t>
  </si>
  <si>
    <t>פיבי</t>
  </si>
  <si>
    <t>IL0007630119</t>
  </si>
  <si>
    <t>פתאל החזקות 1998 בע"מ</t>
  </si>
  <si>
    <t>512607888</t>
  </si>
  <si>
    <t>פתאל החזקות</t>
  </si>
  <si>
    <t>IL0011434292</t>
  </si>
  <si>
    <t>ALPHABET INC-A</t>
  </si>
  <si>
    <t>US02079K3059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</si>
  <si>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</si>
  <si>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</si>
  <si>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</si>
  <si>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</si>
  <si>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</si>
  <si>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</si>
  <si>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</si>
  <si>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</si>
  <si>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</si>
  <si>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</si>
  <si>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</si>
  <si>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</si>
  <si>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</si>
  <si>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</si>
  <si>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</si>
  <si>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</si>
  <si>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</si>
  <si>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</si>
  <si>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</si>
  <si>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</si>
  <si>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01/09/2030</t>
  </si>
  <si>
    <t xml:space="preserve">אול-יר  הולדינגס לימיטד </t>
  </si>
  <si>
    <t>1841580</t>
  </si>
  <si>
    <t>אול-יר אגח ה בהשעיה -יהב</t>
  </si>
  <si>
    <t>IL0011433047</t>
  </si>
  <si>
    <t>C</t>
  </si>
  <si>
    <t>31/07/2024</t>
  </si>
  <si>
    <t>אזורים-חברה להשקעות בפתוח ובבנין בע"מ</t>
  </si>
  <si>
    <t>520025990</t>
  </si>
  <si>
    <t>אזורים סדרה 14</t>
  </si>
  <si>
    <t>IL0071504448</t>
  </si>
  <si>
    <t>A</t>
  </si>
  <si>
    <t>31/12/2028</t>
  </si>
  <si>
    <t>איי.די.איי. הנפקות (2010) בע"מ</t>
  </si>
  <si>
    <t>514486042</t>
  </si>
  <si>
    <t>איידיאיי הנפקות אגח ו</t>
  </si>
  <si>
    <t>IL0011830374</t>
  </si>
  <si>
    <t>15/12/2028</t>
  </si>
  <si>
    <t>איידיאיי הנפקות התחייבות ה</t>
  </si>
  <si>
    <t>IL0011558785</t>
  </si>
  <si>
    <t>16/11/2025</t>
  </si>
  <si>
    <t>איירפורט סיטי בע"מ</t>
  </si>
  <si>
    <t>511659401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</si>
  <si>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</si>
  <si>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</si>
  <si>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</si>
  <si>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</si>
  <si>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</si>
  <si>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</si>
  <si>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</si>
  <si>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</si>
  <si>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</si>
  <si>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</si>
  <si>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</si>
  <si>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אלקטרה    אגח ד</t>
  </si>
  <si>
    <t>IL0073901493</t>
  </si>
  <si>
    <t>30/06/2026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</si>
  <si>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</si>
  <si>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</si>
  <si>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</si>
  <si>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</si>
  <si>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</si>
  <si>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</si>
  <si>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אמות השקעות בע"מ</t>
  </si>
  <si>
    <t>520026683</t>
  </si>
  <si>
    <t>אמות אגח ח</t>
  </si>
  <si>
    <t>IL0011727828</t>
  </si>
  <si>
    <t>05/01/2032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</si>
  <si>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</si>
  <si>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</si>
  <si>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</si>
  <si>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</si>
  <si>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</si>
  <si>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</si>
  <si>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</si>
  <si>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</si>
  <si>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</si>
  <si>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</si>
  <si>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</si>
  <si>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אפריקה ישראל מגורים בע"מ</t>
  </si>
  <si>
    <t>520034760</t>
  </si>
  <si>
    <t>אפריקה ישראל ד</t>
  </si>
  <si>
    <t>IL0011426454</t>
  </si>
  <si>
    <t>31/03/2025</t>
  </si>
  <si>
    <t>אקויטל בע"מ</t>
  </si>
  <si>
    <t>520030859</t>
  </si>
  <si>
    <t>אקויטל אגח 4</t>
  </si>
  <si>
    <t>IL0011976078</t>
  </si>
  <si>
    <t>25/07/2036</t>
  </si>
  <si>
    <t>ארפורט אגח ט</t>
  </si>
  <si>
    <t>IL0011609448</t>
  </si>
  <si>
    <t>30/08/2035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</si>
  <si>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</si>
  <si>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</si>
  <si>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</si>
  <si>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</si>
  <si>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</si>
  <si>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</si>
  <si>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</si>
  <si>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</si>
  <si>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אשטרום קב אגח ג</t>
  </si>
  <si>
    <t>IL0011401028</t>
  </si>
  <si>
    <t>15/01/2029</t>
  </si>
  <si>
    <t>בי קומיוניקיישנס בע"מ לשעבר סמייל 012</t>
  </si>
  <si>
    <t>512832742</t>
  </si>
  <si>
    <t>בי קומיוניקיישנס אגח ז</t>
  </si>
  <si>
    <t>IL0012109885</t>
  </si>
  <si>
    <t>30/11/2029</t>
  </si>
  <si>
    <t>ביג אגח יח</t>
  </si>
  <si>
    <t>IL0011742264</t>
  </si>
  <si>
    <t>ביג אגח כ</t>
  </si>
  <si>
    <t>IL0011861882</t>
  </si>
  <si>
    <t>01/05/2033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</si>
  <si>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</si>
  <si>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</si>
  <si>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</si>
  <si>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</si>
  <si>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</si>
  <si>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</si>
  <si>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</si>
  <si>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</si>
  <si>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</si>
  <si>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</si>
  <si>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</si>
  <si>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</si>
  <si>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</si>
  <si>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</si>
  <si>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</si>
  <si>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</si>
  <si>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</t>
  </si>
  <si>
    <t>גב ים אגח יא</t>
  </si>
  <si>
    <t>IL0012083395</t>
  </si>
  <si>
    <t>גב ים סד' ו'</t>
  </si>
  <si>
    <t>IL0075901285</t>
  </si>
  <si>
    <t>ג'נריישן קפיטל אגח ג</t>
  </si>
  <si>
    <t>IL0011845554</t>
  </si>
  <si>
    <t>30/09/2033</t>
  </si>
  <si>
    <t>דיסקונט מנפיקים בע"מ</t>
  </si>
  <si>
    <t>520029935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</si>
  <si>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</si>
  <si>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</si>
  <si>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</si>
  <si>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</si>
  <si>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</si>
  <si>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</si>
  <si>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</si>
  <si>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</si>
  <si>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</si>
  <si>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</si>
  <si>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</si>
  <si>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</si>
  <si>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</si>
  <si>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</si>
  <si>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</si>
  <si>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</si>
  <si>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</si>
  <si>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520042177</t>
  </si>
  <si>
    <t>הכש חב בטוחאגח3</t>
  </si>
  <si>
    <t>IL0011510265</t>
  </si>
  <si>
    <t>BBB</t>
  </si>
  <si>
    <t>01/07/2026</t>
  </si>
  <si>
    <t>הכשרה חברה לביטוח ד</t>
  </si>
  <si>
    <t>IL0011560252</t>
  </si>
  <si>
    <t>01/01/2025</t>
  </si>
  <si>
    <t>חברת הכשרת הישוב בישראל בע"מ</t>
  </si>
  <si>
    <t>520020116</t>
  </si>
  <si>
    <t>הכשרת הישוב אגח 24</t>
  </si>
  <si>
    <t>IL0011915191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</si>
  <si>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</si>
  <si>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</si>
  <si>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</si>
  <si>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</si>
  <si>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</si>
  <si>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</si>
  <si>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</si>
  <si>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</si>
  <si>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</si>
  <si>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</si>
  <si>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</si>
  <si>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</si>
  <si>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</si>
  <si>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</si>
  <si>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</si>
  <si>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</si>
  <si>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31/12/2032</t>
  </si>
  <si>
    <t>הראל הנפק אגח כ 31/12/2036</t>
  </si>
  <si>
    <t>IL0012079849</t>
  </si>
  <si>
    <t>31/12/2036</t>
  </si>
  <si>
    <t>הראל הנפקות אגח יט</t>
  </si>
  <si>
    <t>IL0011927725</t>
  </si>
  <si>
    <t>31/12/2029</t>
  </si>
  <si>
    <t>הראל הנפקות יא</t>
  </si>
  <si>
    <t>IL0011363160</t>
  </si>
  <si>
    <t>וילאר אינטרנשיונל בע"מ</t>
  </si>
  <si>
    <t>520038910</t>
  </si>
  <si>
    <t>וילאר אינטרנ' ח'</t>
  </si>
  <si>
    <t>IL0041601563</t>
  </si>
  <si>
    <t>27/06/2025</t>
  </si>
  <si>
    <t>חברה לישראל אגח 14</t>
  </si>
  <si>
    <t>IL0057603016</t>
  </si>
  <si>
    <t>30/06/2028</t>
  </si>
  <si>
    <t>חברת החשמל לישראל בע"מ</t>
  </si>
  <si>
    <t>520000472</t>
  </si>
  <si>
    <t>חשמל אגח 33</t>
  </si>
  <si>
    <t>IL0060003923</t>
  </si>
  <si>
    <t>AA+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</si>
  <si>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</si>
  <si>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</si>
  <si>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</si>
  <si>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</si>
  <si>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</si>
  <si>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</si>
  <si>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</si>
  <si>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יו.אמ.איץ' פרופרטיס אינק.</t>
  </si>
  <si>
    <t>221890929</t>
  </si>
  <si>
    <t>יו.אמ.איץ' אגח א</t>
  </si>
  <si>
    <t>IL0011841678</t>
  </si>
  <si>
    <t>28/02/2027</t>
  </si>
  <si>
    <t>ירושלים מימון והנפקות (2005) בע"מ</t>
  </si>
  <si>
    <t>513682146</t>
  </si>
  <si>
    <t>ירושלים אגח ט"ו</t>
  </si>
  <si>
    <t>IL0011617698</t>
  </si>
  <si>
    <t>31/12/2026</t>
  </si>
  <si>
    <t>ירושלים הנפ אגח טז</t>
  </si>
  <si>
    <t>IL0011721706</t>
  </si>
  <si>
    <t>ירושלים הנפ אגח יט</t>
  </si>
  <si>
    <t>IL0012014333</t>
  </si>
  <si>
    <t>31/01/2031</t>
  </si>
  <si>
    <t>ישראמקו נגב 2 שותפות מוגבלת</t>
  </si>
  <si>
    <t>550010003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</si>
  <si>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</si>
  <si>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</si>
  <si>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</si>
  <si>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</si>
  <si>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</si>
  <si>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</si>
  <si>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</si>
  <si>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</si>
  <si>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</si>
  <si>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</si>
  <si>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</si>
  <si>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</si>
  <si>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</si>
  <si>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</si>
  <si>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</si>
  <si>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</si>
  <si>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</si>
  <si>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</si>
  <si>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</si>
  <si>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</si>
  <si>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</si>
  <si>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</si>
  <si>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</si>
  <si>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31/07/2025</t>
  </si>
  <si>
    <t>לאומי   אגח 179</t>
  </si>
  <si>
    <t>IL0060403727</t>
  </si>
  <si>
    <t>לאומי   אגח 180</t>
  </si>
  <si>
    <t>IL0060404220</t>
  </si>
  <si>
    <t>28/02/2025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</si>
  <si>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</si>
  <si>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</si>
  <si>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</si>
  <si>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</si>
  <si>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</si>
  <si>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</si>
  <si>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מבנה אגח כה</t>
  </si>
  <si>
    <t>IL0022606367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</si>
  <si>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</si>
  <si>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</si>
  <si>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</si>
  <si>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</si>
  <si>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</si>
  <si>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</si>
  <si>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מגדל הון אגח יג 31/12/2032</t>
  </si>
  <si>
    <t>IL0012075136</t>
  </si>
  <si>
    <t>מגדלי תיכון אגח ו</t>
  </si>
  <si>
    <t>IL0011991242</t>
  </si>
  <si>
    <t>30/06/2032</t>
  </si>
  <si>
    <t>מגוריט ישראל בעמ</t>
  </si>
  <si>
    <t>515434074</t>
  </si>
  <si>
    <t>מגוריט אגח ו</t>
  </si>
  <si>
    <t>IL0012035049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</si>
  <si>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</si>
  <si>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</si>
  <si>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</si>
  <si>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</si>
  <si>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</si>
  <si>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</si>
  <si>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</si>
  <si>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04/12/2026</t>
  </si>
  <si>
    <t>מז טפחות הנפ אגח57</t>
  </si>
  <si>
    <t>IL0023104230</t>
  </si>
  <si>
    <t>02/03/2025</t>
  </si>
  <si>
    <t>מזרחי טפ הנפק התח 69</t>
  </si>
  <si>
    <t>IL0012021593</t>
  </si>
  <si>
    <t>25/06/2029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</si>
  <si>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</si>
  <si>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</si>
  <si>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</si>
  <si>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</si>
  <si>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</si>
  <si>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</si>
  <si>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מישורים השקעות נדלן בעמ</t>
  </si>
  <si>
    <t>511491839</t>
  </si>
  <si>
    <t>מישורים   אגח ח</t>
  </si>
  <si>
    <t>IL0011431637</t>
  </si>
  <si>
    <t>BBB+</t>
  </si>
  <si>
    <t>מליסרון  אגח כא</t>
  </si>
  <si>
    <t>IL0011946386</t>
  </si>
  <si>
    <t>01/01/2037</t>
  </si>
  <si>
    <t>ממן-מסופי מטען וניטול בע"מ</t>
  </si>
  <si>
    <t>520036435</t>
  </si>
  <si>
    <t>ממן אגח ג</t>
  </si>
  <si>
    <t>IL0023800530</t>
  </si>
  <si>
    <t>מנורה מב  אגח ג</t>
  </si>
  <si>
    <t>IL0056600633</t>
  </si>
  <si>
    <t>30/09/2026</t>
  </si>
  <si>
    <t>מניף אגח א</t>
  </si>
  <si>
    <t>IL0011858839</t>
  </si>
  <si>
    <t>מניף אגח ב</t>
  </si>
  <si>
    <t>IL0011988602</t>
  </si>
  <si>
    <t>31/07/2028</t>
  </si>
  <si>
    <t>קבוצת מנרב  בע"מ</t>
  </si>
  <si>
    <t>520034505</t>
  </si>
  <si>
    <t>מנרב אגח ד</t>
  </si>
  <si>
    <t>IL0015501690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</si>
  <si>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</si>
  <si>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</si>
  <si>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</si>
  <si>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</si>
  <si>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</si>
  <si>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</si>
  <si>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</si>
  <si>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</si>
  <si>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</si>
  <si>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</si>
  <si>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</si>
  <si>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</si>
  <si>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</si>
  <si>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</si>
  <si>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</si>
  <si>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</si>
  <si>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ע.י נופר אנרגי' בע"מ</t>
  </si>
  <si>
    <t>514599943</t>
  </si>
  <si>
    <t>נופר אנרג אגח א</t>
  </si>
  <si>
    <t>IL0011793408</t>
  </si>
  <si>
    <t>נופר אנרג אגח ג</t>
  </si>
  <si>
    <t>IL0011980435</t>
  </si>
  <si>
    <t>30/06/2030</t>
  </si>
  <si>
    <t>חברת נמלי ישראל - פיתוח נכסים בע"מ</t>
  </si>
  <si>
    <t>513569780</t>
  </si>
  <si>
    <t>נמלי ישראל אג ב</t>
  </si>
  <si>
    <t>IL0011455727</t>
  </si>
  <si>
    <t>נמלי ישראל אגח א</t>
  </si>
  <si>
    <t>IL0011455644</t>
  </si>
  <si>
    <t>נמקו ריאליטי לטד</t>
  </si>
  <si>
    <t>1905761</t>
  </si>
  <si>
    <t>נמקו אגח ד 15/04/2029 6.25%</t>
  </si>
  <si>
    <t>IL0012064734</t>
  </si>
  <si>
    <t>15/04/2029</t>
  </si>
  <si>
    <t>נפטא חברה ישראלית לנפט בע"מ</t>
  </si>
  <si>
    <t>520020942</t>
  </si>
  <si>
    <t>נפטא אגח ח</t>
  </si>
  <si>
    <t>IL0064301695</t>
  </si>
  <si>
    <t>26/01/2025</t>
  </si>
  <si>
    <t>SILVERSTEIN PROPERTIES LTD</t>
  </si>
  <si>
    <t>1970336</t>
  </si>
  <si>
    <t>סילברסטין אגח א</t>
  </si>
  <si>
    <t>IL0011455982</t>
  </si>
  <si>
    <t>31/12/2024</t>
  </si>
  <si>
    <t>סילברסטין אגח ב</t>
  </si>
  <si>
    <t>IL0011605974</t>
  </si>
  <si>
    <t>סילברסטין אגח ג</t>
  </si>
  <si>
    <t>IL0012116484</t>
  </si>
  <si>
    <t>31/12/2030</t>
  </si>
  <si>
    <t>סלקום אגח יג</t>
  </si>
  <si>
    <t>IL0011891905</t>
  </si>
  <si>
    <t>06/01/2030</t>
  </si>
  <si>
    <t>עזריאלי אגח ה</t>
  </si>
  <si>
    <t>IL0011566036</t>
  </si>
  <si>
    <t>עזריאלי אגח ז</t>
  </si>
  <si>
    <t>IL0011786725</t>
  </si>
  <si>
    <t>02/07/2036</t>
  </si>
  <si>
    <t>עזריאלי קבוצה אגח ב סחיר</t>
  </si>
  <si>
    <t>IL0011344368</t>
  </si>
  <si>
    <t>01/04/2025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</si>
  <si>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</si>
  <si>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</si>
  <si>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</si>
  <si>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</si>
  <si>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</si>
  <si>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</si>
  <si>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</si>
  <si>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</si>
  <si>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</si>
  <si>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 נד יא</t>
  </si>
  <si>
    <t>IL0012014663</t>
  </si>
  <si>
    <t>07/12/2029</t>
  </si>
  <si>
    <t>פז חברת הנפט בע"מ</t>
  </si>
  <si>
    <t>510216054</t>
  </si>
  <si>
    <t>פז נפט  אגח ח</t>
  </si>
  <si>
    <t>IL0011628174</t>
  </si>
  <si>
    <t>פז נפט אגח ט</t>
  </si>
  <si>
    <t>IL0012059478</t>
  </si>
  <si>
    <t>31/05/2035</t>
  </si>
  <si>
    <t>הפניקס גיוסי הון (2009) בע"מ</t>
  </si>
  <si>
    <t>514290345</t>
  </si>
  <si>
    <t>פניקס הון אגח טו</t>
  </si>
  <si>
    <t>IL0012019530</t>
  </si>
  <si>
    <t>פניקס הון אגח יא</t>
  </si>
  <si>
    <t>IL0011593592</t>
  </si>
  <si>
    <t>30/04/2029</t>
  </si>
  <si>
    <t>פתאל נכסים(אירופה)בע"מ</t>
  </si>
  <si>
    <t>515328250</t>
  </si>
  <si>
    <t>פתאל אירו אגח א</t>
  </si>
  <si>
    <t>IL0011375123</t>
  </si>
  <si>
    <t>15/08/2025</t>
  </si>
  <si>
    <t>פתאל אירופה אגח ג</t>
  </si>
  <si>
    <t>IL0011418527</t>
  </si>
  <si>
    <t>30/08/2027</t>
  </si>
  <si>
    <t>פתאל החזקות אגח ג</t>
  </si>
  <si>
    <t>IL0011617854</t>
  </si>
  <si>
    <t>31/08/2031</t>
  </si>
  <si>
    <t>צור שמיר אחזקות בע"מ</t>
  </si>
  <si>
    <t>520025586</t>
  </si>
  <si>
    <t>צור אגח י</t>
  </si>
  <si>
    <t>IL0073001716</t>
  </si>
  <si>
    <t>רימון שירותי ייעוץ וניהול בע"מ</t>
  </si>
  <si>
    <t>512467994</t>
  </si>
  <si>
    <t>רימון אגח א</t>
  </si>
  <si>
    <t>IL0012110362</t>
  </si>
  <si>
    <t>שופר-סל בע"מ</t>
  </si>
  <si>
    <t>520022732</t>
  </si>
  <si>
    <t>שופרסל אגח ה</t>
  </si>
  <si>
    <t>IL0077702095</t>
  </si>
  <si>
    <t>08/10/2029</t>
  </si>
  <si>
    <t>Chamoss International Limited</t>
  </si>
  <si>
    <t>633896</t>
  </si>
  <si>
    <t>שמוס אגח א</t>
  </si>
  <si>
    <t>IL0011559510</t>
  </si>
  <si>
    <t>10/07/2028</t>
  </si>
  <si>
    <t>שפיר הנדסה  אג"ח א</t>
  </si>
  <si>
    <t>IL0011361347</t>
  </si>
  <si>
    <t>03/10/2025</t>
  </si>
  <si>
    <t>שפיר הנדסה אגח ב</t>
  </si>
  <si>
    <t>IL0011419517</t>
  </si>
  <si>
    <t>05/07/2030</t>
  </si>
  <si>
    <t>תדיראן גרופ בע"מ</t>
  </si>
  <si>
    <t>520036732</t>
  </si>
  <si>
    <t>תדיראן גרופ אגח 4</t>
  </si>
  <si>
    <t>IL0012087842</t>
  </si>
  <si>
    <t>תמר פטרוליום בעמ</t>
  </si>
  <si>
    <t>515334662</t>
  </si>
  <si>
    <t>תמר פטרו אגח ב</t>
  </si>
  <si>
    <t>IL0011435935</t>
  </si>
  <si>
    <t>30/08/2028</t>
  </si>
  <si>
    <t>TEVA 4 3/8 05/09/30</t>
  </si>
  <si>
    <t>XS2406607171</t>
  </si>
  <si>
    <t>BB-</t>
  </si>
  <si>
    <t>09/05/2030</t>
  </si>
  <si>
    <t>Vodafone Group</t>
  </si>
  <si>
    <t>213800TB53ELEUKM7Q61</t>
  </si>
  <si>
    <t>VODAFONE GROUP</t>
  </si>
  <si>
    <t>XS1888180640</t>
  </si>
  <si>
    <t>BB+</t>
  </si>
  <si>
    <t>03/10/2078</t>
  </si>
  <si>
    <t>אלקטרה נדל"ן בע"מ</t>
  </si>
  <si>
    <t>510607328</t>
  </si>
  <si>
    <t>אלקטרה נדלן אגח ו</t>
  </si>
  <si>
    <t>IL0011745648</t>
  </si>
  <si>
    <t>30/05/2030</t>
  </si>
  <si>
    <t>נמקו אגח א'</t>
  </si>
  <si>
    <t>IL0011395758</t>
  </si>
  <si>
    <t>30/11/2025</t>
  </si>
  <si>
    <t>אמ.ג'י.ג'י בי וי אי לימיטד</t>
  </si>
  <si>
    <t>1981143</t>
  </si>
  <si>
    <t>אמ.ג'יג'י אגח ב</t>
  </si>
  <si>
    <t>IL0011608119</t>
  </si>
  <si>
    <t>21/09/2025</t>
  </si>
  <si>
    <t>בזק אגח 9</t>
  </si>
  <si>
    <t>IL0023001766</t>
  </si>
  <si>
    <t>01/12/2025</t>
  </si>
  <si>
    <t>בי קומיוניקיישנס אגח ו</t>
  </si>
  <si>
    <t>IL0011781510</t>
  </si>
  <si>
    <t>30/11/2026</t>
  </si>
  <si>
    <t>ביג אגח טו</t>
  </si>
  <si>
    <t>IL0011622219</t>
  </si>
  <si>
    <t>31/01/2030</t>
  </si>
  <si>
    <t>חברת השקעות דיסקונט בע"מ</t>
  </si>
  <si>
    <t>520023896</t>
  </si>
  <si>
    <t>דיסקונט השקעות אגח ו</t>
  </si>
  <si>
    <t>IL0063902071</t>
  </si>
  <si>
    <t>חשמל     אגח 29</t>
  </si>
  <si>
    <t>IL0060002362</t>
  </si>
  <si>
    <t>01/03/2026</t>
  </si>
  <si>
    <t>חשמל אגח 31</t>
  </si>
  <si>
    <t>IL0060002859</t>
  </si>
  <si>
    <t>21/09/2031</t>
  </si>
  <si>
    <t>ישרס אגח טז</t>
  </si>
  <si>
    <t>IL0061302233</t>
  </si>
  <si>
    <t>30/07/2031</t>
  </si>
  <si>
    <t>מנורה מבטחים גיוס הון בע"מ</t>
  </si>
  <si>
    <t>513937714</t>
  </si>
  <si>
    <t>מנורה הון התחייבות ו'2030</t>
  </si>
  <si>
    <t>IL0011602419</t>
  </si>
  <si>
    <t>ספנסר אקוויטי גרופ לימיטד</t>
  </si>
  <si>
    <t>1838863</t>
  </si>
  <si>
    <t>ספנסר אגח ב</t>
  </si>
  <si>
    <t>IL0011398984</t>
  </si>
  <si>
    <t>31/03/2028</t>
  </si>
  <si>
    <t>עזריאלי אגח ח</t>
  </si>
  <si>
    <t>IL0011786808</t>
  </si>
  <si>
    <t>02/01/2041</t>
  </si>
  <si>
    <t>שטראוס אגח ו</t>
  </si>
  <si>
    <t>IL0074604211</t>
  </si>
  <si>
    <t>30/06/2037</t>
  </si>
  <si>
    <t>ש.שלמה החזקות בע"מ</t>
  </si>
  <si>
    <t>520034372</t>
  </si>
  <si>
    <t>שלמה החז אגח יח</t>
  </si>
  <si>
    <t>IL0014103076</t>
  </si>
  <si>
    <t>21/06/2026</t>
  </si>
  <si>
    <t>חוזים עתידיים בחול</t>
  </si>
  <si>
    <t>10527</t>
  </si>
  <si>
    <t>ESZ4_S&amp;P500 EMINI FUT dec2024</t>
  </si>
  <si>
    <t>ESZ4 Index</t>
  </si>
  <si>
    <t>CME </t>
  </si>
  <si>
    <t>ריט אזורים אפ 1</t>
  </si>
  <si>
    <t>IL0012010117</t>
  </si>
  <si>
    <t>ביונ תלת מימד אופציה 2</t>
  </si>
  <si>
    <t>IL0011755878</t>
  </si>
  <si>
    <t>11/05/2025</t>
  </si>
  <si>
    <t>סקודיקס בע"מ</t>
  </si>
  <si>
    <t>513973297</t>
  </si>
  <si>
    <t>סקודיקס    אפ</t>
  </si>
  <si>
    <t>IL0011785081</t>
  </si>
  <si>
    <t>IL0011784902</t>
  </si>
  <si>
    <t>30/01/2025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</si>
  <si>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</si>
  <si>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</si>
  <si>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</si>
  <si>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</si>
  <si>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</si>
  <si>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</si>
  <si>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</si>
  <si>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אלפא ערך בע"מ</t>
  </si>
  <si>
    <t>513834986</t>
  </si>
  <si>
    <t>Alpha Value I</t>
  </si>
  <si>
    <t>24/09/2020</t>
  </si>
  <si>
    <t>10/09/2024</t>
  </si>
  <si>
    <t>BRIDGES ISRAEL GP GROWTH FUND 1 LIMITED PARTNERSHI</t>
  </si>
  <si>
    <t>540279460</t>
  </si>
  <si>
    <t>Bridges Israel Growth Investments I</t>
  </si>
  <si>
    <t>02/09/2020</t>
  </si>
  <si>
    <t>14/08/2024</t>
  </si>
  <si>
    <t>Forma european fund 2</t>
  </si>
  <si>
    <t>516190006</t>
  </si>
  <si>
    <t>Forma European Fund II LP-יהב</t>
  </si>
  <si>
    <t>06/12/2021</t>
  </si>
  <si>
    <t>12/08/2024</t>
  </si>
  <si>
    <t>הראל אלטרנטיב קרנות השקעה</t>
  </si>
  <si>
    <t>516463247</t>
  </si>
  <si>
    <t>Harel Alternativ Credit Co-Invest Fund, LP</t>
  </si>
  <si>
    <t>12/05/2023</t>
  </si>
  <si>
    <t>29/09/2024</t>
  </si>
  <si>
    <t xml:space="preserve">Klirmark Opportunity Fund </t>
  </si>
  <si>
    <t>CO-101523</t>
  </si>
  <si>
    <t>KLIRMARK III</t>
  </si>
  <si>
    <t>31/03/2022</t>
  </si>
  <si>
    <t>11/09/2024</t>
  </si>
  <si>
    <t>Pitango Growth Fund</t>
  </si>
  <si>
    <t>MC-103097</t>
  </si>
  <si>
    <t>Pitango Growth Fund II, L.P-יהב</t>
  </si>
  <si>
    <t>31/08/2021</t>
  </si>
  <si>
    <t>22/08/2024</t>
  </si>
  <si>
    <t>ס.ה. סקיי 4 ניהול שותפות מוגבלת</t>
  </si>
  <si>
    <t>540311180</t>
  </si>
  <si>
    <t>Sky IV</t>
  </si>
  <si>
    <t>15/03/2022</t>
  </si>
  <si>
    <t>07/08/2024</t>
  </si>
  <si>
    <t>Winton Capital Management</t>
  </si>
  <si>
    <t>12526</t>
  </si>
  <si>
    <t>Windin' Capital Fund LP</t>
  </si>
  <si>
    <t>14/07/2020</t>
  </si>
  <si>
    <t>01/09/2024</t>
  </si>
  <si>
    <t>ALEMIF III Management LLC</t>
  </si>
  <si>
    <t>84-3368433</t>
  </si>
  <si>
    <t>אלקטרה נדל"ן 3</t>
  </si>
  <si>
    <t>27/07/2020</t>
  </si>
  <si>
    <t>29/08/2024</t>
  </si>
  <si>
    <t>יסודות א נדלן שותפות מוגבלת</t>
  </si>
  <si>
    <t>550257125</t>
  </si>
  <si>
    <t>יסודות נדל"ן ג' פיתוח ושותפות</t>
  </si>
  <si>
    <t xml:space="preserve">ריאליטי שותף כללי 5 בע"מ </t>
  </si>
  <si>
    <t>516758315</t>
  </si>
  <si>
    <t>ריאליטי קרן השקעות בנדלן 5</t>
  </si>
  <si>
    <t>20/11/2023</t>
  </si>
  <si>
    <t>29/05/2024</t>
  </si>
  <si>
    <t>תשתיות ישראל  ג'י. פי. 4 שותפות מוגבלת</t>
  </si>
  <si>
    <t>550243026</t>
  </si>
  <si>
    <t>תשתיות ישראל 4</t>
  </si>
  <si>
    <t>10/02/2021</t>
  </si>
  <si>
    <t>ALTO FUND</t>
  </si>
  <si>
    <t>27092</t>
  </si>
  <si>
    <t>ALTO רופאים</t>
  </si>
  <si>
    <t>12/11/2020</t>
  </si>
  <si>
    <t>03/09/2024</t>
  </si>
  <si>
    <t xml:space="preserve">Direct Lending Fund III General Partner </t>
  </si>
  <si>
    <t xml:space="preserve"> B216569</t>
  </si>
  <si>
    <t>ARCMONT Direct Lending Fund III</t>
  </si>
  <si>
    <t>05/09/2024</t>
  </si>
  <si>
    <t>Bow Advisers II Sarl</t>
  </si>
  <si>
    <t>1104807</t>
  </si>
  <si>
    <t>Arrow -יהב</t>
  </si>
  <si>
    <t>04/01/2023</t>
  </si>
  <si>
    <t>12/09/2024</t>
  </si>
  <si>
    <t>Blue Atlantic PTNR</t>
  </si>
  <si>
    <t>81-1259854</t>
  </si>
  <si>
    <t>Blue Atlantic Partners I</t>
  </si>
  <si>
    <t>25/08/2024</t>
  </si>
  <si>
    <t>AP Fund III GP, LLC</t>
  </si>
  <si>
    <t>84-2057868</t>
  </si>
  <si>
    <t>Blue Atlantic Partners III</t>
  </si>
  <si>
    <t>20/08/2024</t>
  </si>
  <si>
    <t>בי. סי. אי.-בראק קפיטל השקעות בע"מ</t>
  </si>
  <si>
    <t>520041229</t>
  </si>
  <si>
    <t>BRACK CAPITAL REAL ESTATE(INDIA)-יהב</t>
  </si>
  <si>
    <t>05/10/2023</t>
  </si>
  <si>
    <t>HarbourVest Partners</t>
  </si>
  <si>
    <t>801-53287</t>
  </si>
  <si>
    <t>DOVER STREET X LP-יהב</t>
  </si>
  <si>
    <t>19/08/2021</t>
  </si>
  <si>
    <t>DOVER STREET XI LP-יהב</t>
  </si>
  <si>
    <t>20/03/2024</t>
  </si>
  <si>
    <t>22/09/2024</t>
  </si>
  <si>
    <t>Electra America</t>
  </si>
  <si>
    <t>CO-113235</t>
  </si>
  <si>
    <t>Electra America Hospitality</t>
  </si>
  <si>
    <t>18/05/2022</t>
  </si>
  <si>
    <t>82-5051216</t>
  </si>
  <si>
    <t>ELECTRA MULTIFAM 2</t>
  </si>
  <si>
    <t>29/10/2020</t>
  </si>
  <si>
    <t>EQT Infrastructure V</t>
  </si>
  <si>
    <t>2020 2423 842</t>
  </si>
  <si>
    <t>EQT Infrastructure V (No.1) EUR-יהב</t>
  </si>
  <si>
    <t>23/12/2021</t>
  </si>
  <si>
    <t>EQT IX (General Partner) S.à.r.l.</t>
  </si>
  <si>
    <t>2019 2465 878</t>
  </si>
  <si>
    <t>EQT IX</t>
  </si>
  <si>
    <t>04/02/2021</t>
  </si>
  <si>
    <t>Primavera Capital GP IV Ltd.</t>
  </si>
  <si>
    <t>CO-86950</t>
  </si>
  <si>
    <t>Firstime II</t>
  </si>
  <si>
    <t>04/09/2024</t>
  </si>
  <si>
    <t>Forma fund General Partner LTD</t>
  </si>
  <si>
    <t>515527968</t>
  </si>
  <si>
    <t>FORMA FUND I</t>
  </si>
  <si>
    <t>FORTISSIMO CAPITA FUND</t>
  </si>
  <si>
    <t>530278498</t>
  </si>
  <si>
    <t>Fortissimo VI</t>
  </si>
  <si>
    <t>16/10/2023</t>
  </si>
  <si>
    <t>FORTTISSIMO V</t>
  </si>
  <si>
    <t>Hamilton Lane Advisors, LLC</t>
  </si>
  <si>
    <t xml:space="preserve">98-1588386 </t>
  </si>
  <si>
    <t>HAMILTON</t>
  </si>
  <si>
    <t>23/09/2024</t>
  </si>
  <si>
    <t>Hamilton Lane Equity Opportunities Fund V-B LP-יהב</t>
  </si>
  <si>
    <t>28/11/2022</t>
  </si>
  <si>
    <t>17/09/2024</t>
  </si>
  <si>
    <t>Insight Associates XI, L.P.</t>
  </si>
  <si>
    <t>981502442</t>
  </si>
  <si>
    <t>INSIGHT XI</t>
  </si>
  <si>
    <t>15/11/2020</t>
  </si>
  <si>
    <t>18/08/2024</t>
  </si>
  <si>
    <t>ION Crossover Partners GP II LP</t>
  </si>
  <si>
    <t>MC-108979</t>
  </si>
  <si>
    <t>ION Crossover Partners 2</t>
  </si>
  <si>
    <t>Klirmark Opportunity L.P</t>
  </si>
  <si>
    <t>CO-121764</t>
  </si>
  <si>
    <t>Klirmark Opportunity Fund IV, L.P-יהב</t>
  </si>
  <si>
    <t>18/04/2023</t>
  </si>
  <si>
    <t>19/09/2024</t>
  </si>
  <si>
    <t>LLCP Partners VI GP, L.P.</t>
  </si>
  <si>
    <t>820734071</t>
  </si>
  <si>
    <t>Levine Leichtman VI</t>
  </si>
  <si>
    <t>01/07/2021</t>
  </si>
  <si>
    <t>Madison Realty Capital</t>
  </si>
  <si>
    <t>84-2386457</t>
  </si>
  <si>
    <t>Madison Realty Capital Debt Fund V</t>
  </si>
  <si>
    <t>Moneta Capital</t>
  </si>
  <si>
    <t>540296522</t>
  </si>
  <si>
    <t>MONETA CAPITAL</t>
  </si>
  <si>
    <t>30/06/2021</t>
  </si>
  <si>
    <t>10/06/2024</t>
  </si>
  <si>
    <t>MV Senior II</t>
  </si>
  <si>
    <t>16/11/2020</t>
  </si>
  <si>
    <t>OEP VIII General Partner, L.P.</t>
  </si>
  <si>
    <t>981582217</t>
  </si>
  <si>
    <t>One Equity Partners VIII-יהב</t>
  </si>
  <si>
    <t>16/05/2022</t>
  </si>
  <si>
    <t>19/08/2024</t>
  </si>
  <si>
    <t xml:space="preserve">Pantheon Access Feeder LP </t>
  </si>
  <si>
    <t>B 201.101</t>
  </si>
  <si>
    <t>PANTHEON ACCESS-יהב</t>
  </si>
  <si>
    <t>30/09/2021</t>
  </si>
  <si>
    <t>21/08/2024</t>
  </si>
  <si>
    <t xml:space="preserve">Pantheon PGIF IV GP (Lux) </t>
  </si>
  <si>
    <t>B 283012</t>
  </si>
  <si>
    <t>PGIF IV Feeder (Luxembourg) SCSp -יהב</t>
  </si>
  <si>
    <t>31/01/2023</t>
  </si>
  <si>
    <t>24/09/2024</t>
  </si>
  <si>
    <t>PHOENIX CO INVEST</t>
  </si>
  <si>
    <t>13139</t>
  </si>
  <si>
    <t>Phoenix Real Esstate Debt</t>
  </si>
  <si>
    <t>Vintage Fund of Funds VII Breakout</t>
  </si>
  <si>
    <t>7859357</t>
  </si>
  <si>
    <t>Vintage fund of fund VI breakout</t>
  </si>
  <si>
    <t>14/01/2021</t>
  </si>
  <si>
    <t>Helios General 3 ltd</t>
  </si>
  <si>
    <t>7836236</t>
  </si>
  <si>
    <t>Vintage Fund of Funds VI (Access)</t>
  </si>
  <si>
    <t>7515244</t>
  </si>
  <si>
    <t>Vintage Growth Fund III</t>
  </si>
  <si>
    <t>06/07/2020</t>
  </si>
  <si>
    <t>Vintage Investments 11 Access.</t>
  </si>
  <si>
    <t>MC-96011</t>
  </si>
  <si>
    <t>VINTAGE V ACESS</t>
  </si>
  <si>
    <t>מונטה סיד 2</t>
  </si>
  <si>
    <t>21/03/2021</t>
  </si>
  <si>
    <t>אלון חברת הדלק לישראל בע"מ</t>
  </si>
  <si>
    <t>520041690</t>
  </si>
  <si>
    <t>מניות לא סחירות אלון דלק</t>
  </si>
  <si>
    <t>44867</t>
  </si>
  <si>
    <t>31/05/2020</t>
  </si>
  <si>
    <t>18/08/2019</t>
  </si>
  <si>
    <t>אפאר</t>
  </si>
  <si>
    <t>516072931</t>
  </si>
  <si>
    <t>IL0002940174</t>
  </si>
  <si>
    <t>19/10/2021</t>
  </si>
  <si>
    <t>ג'נריישן ניהול בע"מ</t>
  </si>
  <si>
    <t>515785012</t>
  </si>
  <si>
    <t>ויולה ג'נריישן ניהול</t>
  </si>
  <si>
    <t>561841</t>
  </si>
  <si>
    <t>30/11/2020</t>
  </si>
  <si>
    <t>25/07/2024</t>
  </si>
  <si>
    <t>רייכרט תעשיות בע"מ</t>
  </si>
  <si>
    <t>520039652</t>
  </si>
  <si>
    <t>רייכרט</t>
  </si>
  <si>
    <t>IL0004760109</t>
  </si>
  <si>
    <t>30/04/2019</t>
  </si>
  <si>
    <t>מת"ם - מרכז תעשיות מדע חיפה בע"מ</t>
  </si>
  <si>
    <t>510687403</t>
  </si>
  <si>
    <t>מתם מרכז תעשיות מדע חיפה אגח א ר.מ</t>
  </si>
  <si>
    <t>IL0011389991</t>
  </si>
  <si>
    <t>20/07/2040</t>
  </si>
  <si>
    <t>קאר אנד גו 4.95% 2009</t>
  </si>
  <si>
    <t>1088210</t>
  </si>
  <si>
    <t>D</t>
  </si>
  <si>
    <t>01/11/2011</t>
  </si>
  <si>
    <t>אלעד לאס וגאס</t>
  </si>
  <si>
    <t>898</t>
  </si>
  <si>
    <t>2008 14.5%  לאס וגאס סד  א</t>
  </si>
  <si>
    <t>17/04/2013</t>
  </si>
  <si>
    <t>NEON CAPITAL LTD</t>
  </si>
  <si>
    <t>549300K1NZTY5QS1NO76</t>
  </si>
  <si>
    <t>NEONCA 0 01/04/41</t>
  </si>
  <si>
    <t>XS0207404343</t>
  </si>
  <si>
    <t>04/01/2041</t>
  </si>
  <si>
    <t>08/08/2019</t>
  </si>
  <si>
    <t>אלון חברת הדלק א ( תיק 204)</t>
  </si>
  <si>
    <t>IL0011015679</t>
  </si>
  <si>
    <t>R/S</t>
  </si>
  <si>
    <t>22/01/2023</t>
  </si>
  <si>
    <t>וי.אי.די. התפלת מי אשקלון</t>
  </si>
  <si>
    <t>513102384</t>
  </si>
  <si>
    <t>וי.אי.די. אג"ח מאוחד 0706</t>
  </si>
  <si>
    <t>IL0010979974</t>
  </si>
  <si>
    <t>29/11/2020</t>
  </si>
  <si>
    <t>22/10/2025</t>
  </si>
  <si>
    <t>מפעלי פלדה מאוחדים בע"מ</t>
  </si>
  <si>
    <t>520022492</t>
  </si>
  <si>
    <t>מ.פלדה אג-1 מפ1/00</t>
  </si>
  <si>
    <t>31/08/2020</t>
  </si>
  <si>
    <t>31/01/2001</t>
  </si>
  <si>
    <t>10/12/2018</t>
  </si>
  <si>
    <t>מפעלי פלדה אג1</t>
  </si>
  <si>
    <t>IL0039800185</t>
  </si>
  <si>
    <t>נתיבים אגרות חוב בע"מ</t>
  </si>
  <si>
    <t>513502229</t>
  </si>
  <si>
    <t>נתיבים אגח א רמ</t>
  </si>
  <si>
    <t>IL0010902810</t>
  </si>
  <si>
    <t>02/07/2027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</si>
  <si>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</si>
  <si>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</si>
  <si>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</si>
  <si>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</si>
  <si>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</si>
  <si>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</si>
  <si>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</si>
  <si>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</si>
  <si>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Baa3</t>
  </si>
  <si>
    <t>איתי שוורץ</t>
  </si>
  <si>
    <t>053-5247723</t>
  </si>
  <si>
    <t>itay@ag-cpa.co.il</t>
  </si>
  <si>
    <t>23-2962336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</si>
</sst>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3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3" xfId="4" applyNumberFormat="1" applyFont="1" applyFill="1" applyBorder="1" applyAlignment="1">
      <alignment horizontal="center" vertical="center" wrapText="1"/>
    </xf>
    <xf numFmtId="167" fontId="26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4" fillId="0" borderId="0" xfId="4" applyNumberFormat="1" applyFont="1" applyFill="1" applyBorder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4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0" fillId="0" borderId="0" xfId="0" applyNumberFormat="1" applyFont="1" applyFill="1" applyBorder="1"/>
    <xf numFmtId="167" fontId="4" fillId="0" borderId="0" xfId="4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167" fontId="2" fillId="0" borderId="0" xfId="4" applyNumberFormat="1" applyFont="1" applyFill="1" applyBorder="1"/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0" fontId="28" fillId="0" borderId="0" xfId="0" applyNumberFormat="1" applyFont="1" applyFill="1" applyBorder="1" applyProtection="1">
      <protection locked="0"/>
    </xf>
    <xf numFmtId="43" fontId="9" fillId="0" borderId="0" xfId="1"/>
    <xf numFmtId="2" fontId="2" fillId="0" borderId="0" xfId="0" applyNumberFormat="1" applyFont="1" applyFill="1" applyBorder="1"/>
    <xf numFmtId="167" fontId="9" fillId="0" borderId="0" xfId="4" applyNumberFormat="1"/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 applyProtection="1">
      <alignment horizontal="right"/>
      <protection locked="0"/>
    </xf>
    <xf numFmtId="0" fontId="4" fillId="0" borderId="0" xfId="0" applyNumberFormat="1" applyFont="1" applyFill="1" applyBorder="1" applyAlignment="1" applyProtection="1">
      <alignment horizontal="right"/>
      <protection locked="0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tatyanaK/&#1504;&#1499;&#1505;%20&#1489;&#1493;&#1491;&#1491;/&#1506;&#1493;&#1514;&#1511;%20&#1513;&#1500;%20510930654_gm_0324_638657104398470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25" sqref="D2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176</v>
      </c>
      <c r="B1" s="36"/>
      <c r="C1" s="36"/>
      <c r="D1" s="36"/>
    </row>
    <row r="3" spans="1:8">
      <c r="A3" t="s">
        <v>177</v>
      </c>
      <c r="D3" s="104" t="s">
        <v>178</v>
      </c>
    </row>
    <row r="5" spans="1:8">
      <c r="A5" t="s">
        <v>179</v>
      </c>
      <c r="D5" s="104" t="s">
        <v>1209</v>
      </c>
    </row>
    <row r="7" spans="1:8">
      <c r="A7" t="s">
        <v>180</v>
      </c>
      <c r="D7" s="104" t="s">
        <v>1215</v>
      </c>
    </row>
    <row r="8" spans="1:8">
      <c r="D8" s="34"/>
      <c r="E8" s="34"/>
      <c r="F8" s="34"/>
      <c r="G8" s="34"/>
      <c r="H8" s="34"/>
    </row>
    <row r="9" spans="1:8">
      <c r="A9" t="s">
        <v>181</v>
      </c>
      <c r="D9" s="104">
        <v>2024</v>
      </c>
    </row>
    <row r="11" spans="1:8">
      <c r="A11" t="s">
        <v>182</v>
      </c>
      <c r="D11" s="104" t="s">
        <v>1258</v>
      </c>
    </row>
    <row r="13" spans="1:8">
      <c r="A13" t="s">
        <v>183</v>
      </c>
      <c r="D13" s="105">
        <f>IFERROR(VLOOKUP(D11,'File Name Info'!A35:B121,2,0),"תא מחושב")</f>
        <v>510930654</v>
      </c>
    </row>
    <row r="15" spans="1:8" ht="15">
      <c r="A15" s="20" t="s">
        <v>184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510930654_gm_0324.xlxs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185</v>
      </c>
      <c r="B17" s="18" t="s">
        <v>186</v>
      </c>
      <c r="C17" s="18"/>
      <c r="D17" s="106" t="s">
        <v>2711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187</v>
      </c>
      <c r="C19" s="18"/>
      <c r="D19" s="106" t="s">
        <v>2712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188</v>
      </c>
      <c r="C21" s="18"/>
      <c r="D21" s="107" t="s">
        <v>2713</v>
      </c>
    </row>
    <row r="22" spans="1:8">
      <c r="A22" s="16"/>
      <c r="B22" s="17"/>
      <c r="C22" s="17"/>
    </row>
    <row r="23" spans="1:8" ht="15">
      <c r="A23" s="20" t="s">
        <v>189</v>
      </c>
      <c r="D23" t="s">
        <v>190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36" sqref="B36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1179</v>
      </c>
      <c r="D1" s="141"/>
      <c r="E1" s="142"/>
    </row>
    <row r="2" spans="1:5" ht="39.75" customHeight="1">
      <c r="A2" s="47"/>
      <c r="B2" s="137" t="s">
        <v>36</v>
      </c>
      <c r="C2" s="48" t="s">
        <v>903</v>
      </c>
      <c r="D2" s="137" t="s">
        <v>22</v>
      </c>
      <c r="E2" s="142" t="s">
        <v>1180</v>
      </c>
    </row>
    <row r="3" spans="1:5">
      <c r="A3" s="50" t="s">
        <v>956</v>
      </c>
      <c r="B3" s="138">
        <f>SUM('מזומנים ושווי מזומנים'!O:O)</f>
        <v>39636.689000000006</v>
      </c>
      <c r="C3" s="51"/>
      <c r="D3" s="138">
        <f>B3+C3</f>
        <v>39636.689000000006</v>
      </c>
      <c r="E3" s="143">
        <f>SUM('מזומנים ושווי מזומנים'!O:O)/B30</f>
        <v>3.3450204331868787E-2</v>
      </c>
    </row>
    <row r="4" spans="1:5">
      <c r="A4" s="50" t="s">
        <v>966</v>
      </c>
      <c r="B4" s="138">
        <f>SUM('איגרות חוב ממשלתיות'!U:U)</f>
        <v>220512.78900000002</v>
      </c>
      <c r="C4" s="51"/>
      <c r="D4" s="138">
        <f t="shared" ref="D4:D29" si="0">B4+C4</f>
        <v>220512.78900000002</v>
      </c>
      <c r="E4" s="143">
        <f>SUM('איגרות חוב ממשלתיות'!U:U)/B30</f>
        <v>0.18609520714104719</v>
      </c>
    </row>
    <row r="5" spans="1:5">
      <c r="A5" s="50" t="s">
        <v>971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972</v>
      </c>
      <c r="B6" s="138">
        <f>SUM('איגרות חוב'!AD:AD)</f>
        <v>166059.09299999991</v>
      </c>
      <c r="C6" s="51"/>
      <c r="D6" s="138">
        <f t="shared" si="0"/>
        <v>166059.09299999991</v>
      </c>
      <c r="E6" s="143">
        <f>SUM('איגרות חוב'!AD:AD)/B30</f>
        <v>0.1401406306166188</v>
      </c>
    </row>
    <row r="7" spans="1:5">
      <c r="A7" s="50" t="s">
        <v>979</v>
      </c>
      <c r="B7" s="138">
        <f>SUM('מניות מבכ ויהש'!U:U)</f>
        <v>215480.67400000003</v>
      </c>
      <c r="C7" s="51"/>
      <c r="D7" s="138">
        <f t="shared" si="0"/>
        <v>215480.67400000003</v>
      </c>
      <c r="E7" s="143">
        <f>SUM('מניות מבכ ויהש'!U:U)/B30</f>
        <v>0.1818485034123008</v>
      </c>
    </row>
    <row r="8" spans="1:5">
      <c r="A8" s="50" t="s">
        <v>476</v>
      </c>
      <c r="B8" s="138">
        <f>SUM('קרנות סל'!T:T)</f>
        <v>295028.59300000017</v>
      </c>
      <c r="C8" s="51"/>
      <c r="D8" s="138">
        <f t="shared" si="0"/>
        <v>295028.59300000017</v>
      </c>
      <c r="E8" s="143">
        <f>SUM('קרנות סל'!T:T)/B30</f>
        <v>0.24898060278429807</v>
      </c>
    </row>
    <row r="9" spans="1:5">
      <c r="A9" s="50" t="s">
        <v>992</v>
      </c>
      <c r="B9" s="138">
        <f>SUM('קרנות נאמנות'!T:T)</f>
        <v>43688.143000000004</v>
      </c>
      <c r="C9" s="51"/>
      <c r="D9" s="138">
        <f t="shared" si="0"/>
        <v>43688.143000000004</v>
      </c>
      <c r="E9" s="143">
        <f>SUM('קרנות נאמנות'!T:T)/B30</f>
        <v>3.68693083882436E-2</v>
      </c>
    </row>
    <row r="10" spans="1:5">
      <c r="A10" s="50" t="s">
        <v>1124</v>
      </c>
      <c r="B10" s="138">
        <f>SUM('כתבי אופציה'!W:W)</f>
        <v>167.96600000000001</v>
      </c>
      <c r="C10" s="51"/>
      <c r="D10" s="138">
        <f t="shared" si="0"/>
        <v>167.96600000000001</v>
      </c>
      <c r="E10" s="143">
        <f>SUM('כתבי אופציה'!W:W)/B30</f>
        <v>1.4174990804117547E-4</v>
      </c>
    </row>
    <row r="11" spans="1:5">
      <c r="A11" s="50" t="s">
        <v>995</v>
      </c>
      <c r="B11" s="138">
        <f>SUM(אופציות!V:V)</f>
        <v>273.44500000000005</v>
      </c>
      <c r="C11" s="51"/>
      <c r="D11" s="138">
        <f t="shared" si="0"/>
        <v>273.44500000000005</v>
      </c>
      <c r="E11" s="143">
        <f>SUM(אופציות!V:V)/B30</f>
        <v>2.3076577166997625E-4</v>
      </c>
    </row>
    <row r="12" spans="1:5">
      <c r="A12" s="50" t="s">
        <v>1129</v>
      </c>
      <c r="B12" s="138">
        <f>SUM('חוזים עתידיים'!R:R)</f>
        <v>276.96100000000001</v>
      </c>
      <c r="C12" s="51"/>
      <c r="D12" s="138">
        <f t="shared" si="0"/>
        <v>276.96100000000001</v>
      </c>
      <c r="E12" s="143">
        <f>SUM('חוזים עתידיים'!R:R)/B30</f>
        <v>2.3373299525494446E-4</v>
      </c>
    </row>
    <row r="13" spans="1:5">
      <c r="A13" s="50" t="s">
        <v>1000</v>
      </c>
      <c r="B13" s="138">
        <f>SUM('מוצרים מובנים'!Z:Z)</f>
        <v>4371.3610000000008</v>
      </c>
      <c r="C13" s="51"/>
      <c r="D13" s="138">
        <f t="shared" si="0"/>
        <v>4371.3610000000008</v>
      </c>
      <c r="E13" s="143">
        <f>SUM('מוצרים מובנים'!Z:Z)/B30</f>
        <v>3.6890800505148718E-3</v>
      </c>
    </row>
    <row r="14" spans="1:5">
      <c r="A14" s="50" t="s">
        <v>1007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1008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1014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1018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1020</v>
      </c>
      <c r="B18" s="138">
        <f>SUM('לא סחיר איגרות חוב'!AG:AG)</f>
        <v>1450.0820000000001</v>
      </c>
      <c r="C18" s="51"/>
      <c r="D18" s="138">
        <f t="shared" si="0"/>
        <v>1450.0820000000001</v>
      </c>
      <c r="E18" s="143">
        <f>SUM('לא סחיר איגרות חוב'!AG:AG)/B30</f>
        <v>1.2237535581734627E-3</v>
      </c>
    </row>
    <row r="19" spans="1:5">
      <c r="A19" s="50" t="s">
        <v>1023</v>
      </c>
      <c r="B19" s="138">
        <f>SUM('לא סחיר מניות מבכ ויהש'!X:X)</f>
        <v>521.55099999999993</v>
      </c>
      <c r="C19" s="51"/>
      <c r="D19" s="138">
        <f t="shared" si="0"/>
        <v>521.55099999999993</v>
      </c>
      <c r="E19" s="143">
        <f>SUM('לא סחיר מניות מבכ ויהש'!X:X)/B30</f>
        <v>4.4014744822632612E-4</v>
      </c>
    </row>
    <row r="20" spans="1:5">
      <c r="A20" s="50" t="s">
        <v>780</v>
      </c>
      <c r="B20" s="138">
        <f>SUM('קרנות השקעה'!W:W)</f>
        <v>182612.52699999997</v>
      </c>
      <c r="C20" s="51"/>
      <c r="D20" s="138">
        <f t="shared" si="0"/>
        <v>182612.52699999997</v>
      </c>
      <c r="E20" s="143">
        <f>SUM('קרנות השקעה'!W:W)/B30</f>
        <v>0.15411040871019532</v>
      </c>
    </row>
    <row r="21" spans="1:5">
      <c r="A21" s="50" t="s">
        <v>1140</v>
      </c>
      <c r="B21" s="138">
        <f>SUM('לא סחיר כתבי אופציה'!Z:Z)</f>
        <v>46.476999999999997</v>
      </c>
      <c r="C21" s="51"/>
      <c r="D21" s="138">
        <f t="shared" si="0"/>
        <v>46.476999999999997</v>
      </c>
      <c r="E21" s="143">
        <f>SUM('לא סחיר כתבי אופציה'!Z:Z)/B30</f>
        <v>3.9222881273767975E-5</v>
      </c>
    </row>
    <row r="22" spans="1:5">
      <c r="A22" s="50" t="s">
        <v>1038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1047</v>
      </c>
      <c r="B23" s="138">
        <f>SUM('לא סחיר נגזרים אחרים'!R:R)</f>
        <v>-953.18099999999993</v>
      </c>
      <c r="C23" s="51"/>
      <c r="D23" s="138">
        <f t="shared" si="0"/>
        <v>-953.18099999999993</v>
      </c>
      <c r="E23" s="143">
        <f>SUM('לא סחיר נגזרים אחרים'!R:R)/B30</f>
        <v>-8.0440874401126216E-4</v>
      </c>
    </row>
    <row r="24" spans="1:5">
      <c r="A24" s="50" t="s">
        <v>1040</v>
      </c>
      <c r="B24" s="138">
        <f>SUM(הלוואות!AT:AT)</f>
        <v>15835.448</v>
      </c>
      <c r="C24" s="51"/>
      <c r="D24" s="138">
        <f t="shared" si="0"/>
        <v>15835.448</v>
      </c>
      <c r="E24" s="143">
        <f>SUM(הלוואות!AT:AT)/B30</f>
        <v>1.3363855171825346E-2</v>
      </c>
    </row>
    <row r="25" spans="1:5">
      <c r="A25" s="50" t="s">
        <v>1059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1064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1067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1102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1070</v>
      </c>
      <c r="B29" s="138">
        <f>SUM('נכסים אחרים'!N:N)</f>
        <v>-62.522999999999996</v>
      </c>
      <c r="C29" s="51"/>
      <c r="D29" s="138">
        <f t="shared" si="0"/>
        <v>-62.522999999999996</v>
      </c>
      <c r="E29" s="143">
        <f>SUM('נכסים אחרים'!N:N)/B30</f>
        <v>-5.2764425541231042E-5</v>
      </c>
    </row>
    <row r="30" spans="1:5">
      <c r="A30" s="49" t="s">
        <v>1181</v>
      </c>
      <c r="B30" s="139">
        <f>IF(SUM(B3:B29)=0,0.0001,SUM(B3:B29))</f>
        <v>1184946.0950000002</v>
      </c>
      <c r="C30" s="52">
        <f t="shared" ref="C30:E30" si="1">SUM(C3:C29)</f>
        <v>0</v>
      </c>
      <c r="D30" s="139">
        <f t="shared" si="1"/>
        <v>1184946.0950000002</v>
      </c>
      <c r="E30" s="144">
        <f t="shared" si="1"/>
        <v>1</v>
      </c>
    </row>
    <row r="31" spans="1:5">
      <c r="A31" s="50" t="s">
        <v>1178</v>
      </c>
      <c r="B31" s="138"/>
      <c r="C31" s="51"/>
      <c r="D31" s="138"/>
      <c r="E31" s="143"/>
    </row>
    <row r="32" spans="1:5">
      <c r="A32" s="50" t="s">
        <v>1182</v>
      </c>
      <c r="B32" s="138">
        <f>SUM('יתרות התחייבות להשקעה'!O:O)</f>
        <v>48546.178631472001</v>
      </c>
      <c r="C32" s="51"/>
      <c r="D32" s="138">
        <f>B32+C32</f>
        <v>48546.178631472001</v>
      </c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3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168</v>
      </c>
      <c r="D1" s="22" t="s">
        <v>169</v>
      </c>
      <c r="E1" s="22" t="s">
        <v>170</v>
      </c>
      <c r="F1" s="22" t="s">
        <v>5</v>
      </c>
      <c r="G1" s="22" t="s">
        <v>6</v>
      </c>
      <c r="H1" s="22" t="s">
        <v>126</v>
      </c>
      <c r="I1" s="22" t="s">
        <v>172</v>
      </c>
      <c r="J1" s="22" t="s">
        <v>10</v>
      </c>
      <c r="K1" s="22" t="s">
        <v>11</v>
      </c>
      <c r="L1" s="22" t="s">
        <v>136</v>
      </c>
      <c r="M1" s="164" t="s">
        <v>18</v>
      </c>
      <c r="N1" s="166" t="s">
        <v>14</v>
      </c>
      <c r="O1" s="22" t="s">
        <v>20</v>
      </c>
      <c r="P1" s="170" t="s">
        <v>24</v>
      </c>
      <c r="Q1" s="170" t="s">
        <v>25</v>
      </c>
    </row>
    <row r="2" spans="1:17">
      <c r="A2" s="2">
        <v>14947</v>
      </c>
      <c r="B2" s="2">
        <v>14948</v>
      </c>
      <c r="C2" s="2" t="s">
        <v>1183</v>
      </c>
      <c r="D2" s="2" t="s">
        <v>1184</v>
      </c>
      <c r="E2" s="4" t="s">
        <v>318</v>
      </c>
      <c r="F2" s="2" t="s">
        <v>957</v>
      </c>
      <c r="G2" s="2" t="s">
        <v>30</v>
      </c>
      <c r="H2" s="2" t="s">
        <v>140</v>
      </c>
      <c r="I2" s="2" t="s">
        <v>1185</v>
      </c>
      <c r="J2" s="2" t="s">
        <v>416</v>
      </c>
      <c r="K2" s="2" t="s">
        <v>34</v>
      </c>
      <c r="L2" s="155">
        <v>7.2759999999999998</v>
      </c>
      <c r="M2" s="165">
        <v>1</v>
      </c>
      <c r="N2" s="167">
        <v>0</v>
      </c>
      <c r="O2" s="156">
        <v>7.2759999999999998</v>
      </c>
      <c r="P2" s="171">
        <v>1</v>
      </c>
      <c r="Q2" s="171">
        <v>9.0475974465084194E-2</v>
      </c>
    </row>
    <row r="3" spans="1:17">
      <c r="A3" s="2">
        <v>14947</v>
      </c>
      <c r="B3" s="2">
        <v>14949</v>
      </c>
      <c r="C3" s="2" t="s">
        <v>1183</v>
      </c>
      <c r="D3" s="2" t="s">
        <v>1184</v>
      </c>
      <c r="E3" s="21" t="s">
        <v>318</v>
      </c>
      <c r="F3" s="2" t="s">
        <v>957</v>
      </c>
      <c r="G3" s="2" t="s">
        <v>30</v>
      </c>
      <c r="H3" s="2" t="s">
        <v>140</v>
      </c>
      <c r="I3" s="2" t="s">
        <v>1185</v>
      </c>
      <c r="J3" s="2" t="s">
        <v>416</v>
      </c>
      <c r="K3" s="2" t="s">
        <v>34</v>
      </c>
      <c r="L3" s="156">
        <v>2.0870000000000002</v>
      </c>
      <c r="M3" s="165">
        <v>1</v>
      </c>
      <c r="N3" s="168">
        <v>0</v>
      </c>
      <c r="O3" s="156">
        <v>2.0870000000000002</v>
      </c>
      <c r="P3" s="171">
        <v>1</v>
      </c>
      <c r="Q3" s="171">
        <v>4.5855009441784299E-2</v>
      </c>
    </row>
    <row r="4" spans="1:17">
      <c r="A4" s="2">
        <v>14947</v>
      </c>
      <c r="B4" s="2">
        <v>15203</v>
      </c>
      <c r="C4" s="2" t="s">
        <v>1183</v>
      </c>
      <c r="D4" s="2" t="s">
        <v>1184</v>
      </c>
      <c r="E4" s="21" t="s">
        <v>318</v>
      </c>
      <c r="F4" s="2" t="s">
        <v>957</v>
      </c>
      <c r="G4" s="2" t="s">
        <v>30</v>
      </c>
      <c r="H4" s="2" t="s">
        <v>140</v>
      </c>
      <c r="I4" s="2" t="s">
        <v>1185</v>
      </c>
      <c r="J4" s="2" t="s">
        <v>416</v>
      </c>
      <c r="K4" s="2" t="s">
        <v>34</v>
      </c>
      <c r="L4" s="156">
        <v>1.0209999999999999</v>
      </c>
      <c r="M4" s="165">
        <v>1</v>
      </c>
      <c r="N4" s="168">
        <v>0</v>
      </c>
      <c r="O4" s="156">
        <v>1.0209999999999999</v>
      </c>
      <c r="P4" s="171">
        <v>1</v>
      </c>
      <c r="Q4" s="171">
        <v>2.95898285634616E-3</v>
      </c>
    </row>
    <row r="5" spans="1:17">
      <c r="A5" s="2">
        <v>419</v>
      </c>
      <c r="B5" s="2">
        <v>419</v>
      </c>
      <c r="C5" s="2" t="s">
        <v>1186</v>
      </c>
      <c r="D5" s="2" t="s">
        <v>1187</v>
      </c>
      <c r="E5" s="21" t="s">
        <v>318</v>
      </c>
      <c r="F5" s="2" t="s">
        <v>957</v>
      </c>
      <c r="G5" s="2" t="s">
        <v>30</v>
      </c>
      <c r="H5" s="2" t="s">
        <v>140</v>
      </c>
      <c r="I5" s="2" t="s">
        <v>1185</v>
      </c>
      <c r="J5" s="2" t="s">
        <v>416</v>
      </c>
      <c r="K5" s="2" t="s">
        <v>34</v>
      </c>
      <c r="L5" s="156">
        <v>0</v>
      </c>
      <c r="M5" s="165">
        <v>1</v>
      </c>
      <c r="N5" s="168">
        <v>3.7999999999999999E-2</v>
      </c>
      <c r="O5" s="156">
        <v>0</v>
      </c>
      <c r="P5" s="171">
        <v>-2.5485395548522698E-10</v>
      </c>
      <c r="Q5" s="171">
        <v>-8.6256614672708396E-12</v>
      </c>
    </row>
    <row r="6" spans="1:17">
      <c r="A6" s="2">
        <v>419</v>
      </c>
      <c r="B6" s="2">
        <v>419</v>
      </c>
      <c r="C6" s="2" t="s">
        <v>1183</v>
      </c>
      <c r="D6" s="2" t="s">
        <v>1184</v>
      </c>
      <c r="E6" s="21" t="s">
        <v>318</v>
      </c>
      <c r="F6" s="2" t="s">
        <v>959</v>
      </c>
      <c r="G6" s="2" t="s">
        <v>30</v>
      </c>
      <c r="H6" s="2" t="s">
        <v>140</v>
      </c>
      <c r="I6" s="2" t="s">
        <v>1185</v>
      </c>
      <c r="J6" s="2" t="s">
        <v>416</v>
      </c>
      <c r="K6" s="2" t="s">
        <v>1188</v>
      </c>
      <c r="L6" s="156">
        <v>3334.5079999999998</v>
      </c>
      <c r="M6" s="165">
        <v>3.71</v>
      </c>
      <c r="N6" s="168">
        <v>0</v>
      </c>
      <c r="O6" s="156">
        <v>12371.023999999999</v>
      </c>
      <c r="P6" s="171">
        <v>0.31528044974627101</v>
      </c>
      <c r="Q6" s="171">
        <v>1.06708268332836E-2</v>
      </c>
    </row>
    <row r="7" spans="1:17">
      <c r="A7" s="2">
        <v>419</v>
      </c>
      <c r="B7" s="2">
        <v>419</v>
      </c>
      <c r="C7" s="2" t="s">
        <v>1183</v>
      </c>
      <c r="D7" s="2" t="s">
        <v>1184</v>
      </c>
      <c r="E7" s="21" t="s">
        <v>318</v>
      </c>
      <c r="F7" s="2" t="s">
        <v>959</v>
      </c>
      <c r="G7" s="2" t="s">
        <v>30</v>
      </c>
      <c r="H7" s="2" t="s">
        <v>140</v>
      </c>
      <c r="I7" s="2" t="s">
        <v>1185</v>
      </c>
      <c r="J7" s="2" t="s">
        <v>416</v>
      </c>
      <c r="K7" s="2" t="s">
        <v>1189</v>
      </c>
      <c r="L7" s="156">
        <v>0.10299999999999999</v>
      </c>
      <c r="M7" s="165">
        <v>2.7435</v>
      </c>
      <c r="N7" s="168">
        <v>0</v>
      </c>
      <c r="O7" s="156">
        <v>0.28199999999999997</v>
      </c>
      <c r="P7" s="171">
        <v>7.1744073355512502E-6</v>
      </c>
      <c r="Q7" s="171">
        <v>2.4282145743803E-7</v>
      </c>
    </row>
    <row r="8" spans="1:17">
      <c r="A8" s="2">
        <v>419</v>
      </c>
      <c r="B8" s="2">
        <v>419</v>
      </c>
      <c r="C8" s="2" t="s">
        <v>1183</v>
      </c>
      <c r="D8" s="2" t="s">
        <v>1184</v>
      </c>
      <c r="E8" s="21" t="s">
        <v>318</v>
      </c>
      <c r="F8" s="2" t="s">
        <v>959</v>
      </c>
      <c r="G8" s="2" t="s">
        <v>30</v>
      </c>
      <c r="H8" s="2" t="s">
        <v>140</v>
      </c>
      <c r="I8" s="2" t="s">
        <v>1185</v>
      </c>
      <c r="J8" s="2" t="s">
        <v>416</v>
      </c>
      <c r="K8" s="2" t="s">
        <v>1190</v>
      </c>
      <c r="L8" s="156">
        <v>84.23</v>
      </c>
      <c r="M8" s="165">
        <v>4.1524000000000001</v>
      </c>
      <c r="N8" s="168">
        <v>0</v>
      </c>
      <c r="O8" s="156">
        <v>349.75599999999997</v>
      </c>
      <c r="P8" s="171">
        <v>8.9136675733468406E-3</v>
      </c>
      <c r="Q8" s="171">
        <v>3.0168760289826498E-4</v>
      </c>
    </row>
    <row r="9" spans="1:17">
      <c r="A9" s="2">
        <v>419</v>
      </c>
      <c r="B9" s="2">
        <v>419</v>
      </c>
      <c r="C9" s="2" t="s">
        <v>1183</v>
      </c>
      <c r="D9" s="2" t="s">
        <v>1184</v>
      </c>
      <c r="E9" s="21" t="s">
        <v>318</v>
      </c>
      <c r="F9" s="2" t="s">
        <v>959</v>
      </c>
      <c r="G9" s="2" t="s">
        <v>30</v>
      </c>
      <c r="H9" s="2" t="s">
        <v>140</v>
      </c>
      <c r="I9" s="2" t="s">
        <v>1185</v>
      </c>
      <c r="J9" s="2" t="s">
        <v>416</v>
      </c>
      <c r="K9" s="2" t="s">
        <v>1191</v>
      </c>
      <c r="L9" s="156">
        <v>0</v>
      </c>
      <c r="M9" s="165">
        <v>2.6029E-2</v>
      </c>
      <c r="N9" s="168">
        <v>0</v>
      </c>
      <c r="O9" s="156">
        <v>0</v>
      </c>
      <c r="P9" s="171">
        <v>-1.79107027397774E-10</v>
      </c>
      <c r="Q9" s="171">
        <v>-6.0619682429530004E-12</v>
      </c>
    </row>
    <row r="10" spans="1:17">
      <c r="A10" s="2">
        <v>419</v>
      </c>
      <c r="B10" s="2">
        <v>419</v>
      </c>
      <c r="C10" s="2" t="s">
        <v>1183</v>
      </c>
      <c r="D10" s="2" t="s">
        <v>1184</v>
      </c>
      <c r="E10" s="21" t="s">
        <v>318</v>
      </c>
      <c r="F10" s="2" t="s">
        <v>959</v>
      </c>
      <c r="G10" s="2" t="s">
        <v>30</v>
      </c>
      <c r="H10" s="2" t="s">
        <v>140</v>
      </c>
      <c r="I10" s="2" t="s">
        <v>1185</v>
      </c>
      <c r="J10" s="2" t="s">
        <v>416</v>
      </c>
      <c r="K10" s="2" t="s">
        <v>1192</v>
      </c>
      <c r="L10" s="156">
        <v>0</v>
      </c>
      <c r="M10" s="165">
        <v>0.55689999999999995</v>
      </c>
      <c r="N10" s="168">
        <v>0</v>
      </c>
      <c r="O10" s="156">
        <v>0</v>
      </c>
      <c r="P10" s="171">
        <v>4.2578450342916898E-10</v>
      </c>
      <c r="Q10" s="171">
        <v>1.4410892613369399E-11</v>
      </c>
    </row>
    <row r="11" spans="1:17">
      <c r="A11" s="2">
        <v>419</v>
      </c>
      <c r="B11" s="2">
        <v>419</v>
      </c>
      <c r="C11" s="2" t="s">
        <v>1183</v>
      </c>
      <c r="D11" s="2" t="s">
        <v>1184</v>
      </c>
      <c r="E11" s="21" t="s">
        <v>318</v>
      </c>
      <c r="F11" s="2" t="s">
        <v>959</v>
      </c>
      <c r="G11" s="2" t="s">
        <v>30</v>
      </c>
      <c r="H11" s="2" t="s">
        <v>140</v>
      </c>
      <c r="I11" s="2" t="s">
        <v>1185</v>
      </c>
      <c r="J11" s="2" t="s">
        <v>416</v>
      </c>
      <c r="K11" s="2" t="s">
        <v>1193</v>
      </c>
      <c r="L11" s="156">
        <v>118.94199999999999</v>
      </c>
      <c r="M11" s="165">
        <v>4.9748000000000001</v>
      </c>
      <c r="N11" s="168">
        <v>0</v>
      </c>
      <c r="O11" s="156">
        <v>591.71</v>
      </c>
      <c r="P11" s="171">
        <v>1.50799741788096E-2</v>
      </c>
      <c r="Q11" s="171">
        <v>5.1038937949360904E-4</v>
      </c>
    </row>
    <row r="12" spans="1:17">
      <c r="A12" s="2">
        <v>419</v>
      </c>
      <c r="B12" s="2">
        <v>419</v>
      </c>
      <c r="C12" s="2" t="s">
        <v>1183</v>
      </c>
      <c r="D12" s="2" t="s">
        <v>1184</v>
      </c>
      <c r="E12" s="21" t="s">
        <v>318</v>
      </c>
      <c r="F12" s="2" t="s">
        <v>957</v>
      </c>
      <c r="G12" s="2" t="s">
        <v>30</v>
      </c>
      <c r="H12" s="2" t="s">
        <v>140</v>
      </c>
      <c r="I12" s="2" t="s">
        <v>1185</v>
      </c>
      <c r="J12" s="2" t="s">
        <v>416</v>
      </c>
      <c r="K12" s="2" t="s">
        <v>34</v>
      </c>
      <c r="L12" s="156">
        <v>25925.384999999998</v>
      </c>
      <c r="M12" s="165">
        <v>1</v>
      </c>
      <c r="N12" s="168">
        <v>3.7999999999999999E-2</v>
      </c>
      <c r="O12" s="156">
        <v>25925.384999999998</v>
      </c>
      <c r="P12" s="171">
        <v>0.66071868076887097</v>
      </c>
      <c r="Q12" s="171">
        <v>2.23623590795883E-2</v>
      </c>
    </row>
    <row r="13" spans="1:17">
      <c r="A13" s="2">
        <v>419</v>
      </c>
      <c r="B13" s="2">
        <v>419</v>
      </c>
      <c r="C13" s="2" t="s">
        <v>1183</v>
      </c>
      <c r="D13" s="2" t="s">
        <v>1184</v>
      </c>
      <c r="E13" s="21" t="s">
        <v>318</v>
      </c>
      <c r="F13" s="2" t="s">
        <v>959</v>
      </c>
      <c r="G13" s="2" t="s">
        <v>30</v>
      </c>
      <c r="H13" s="2" t="s">
        <v>140</v>
      </c>
      <c r="I13" s="2" t="s">
        <v>1185</v>
      </c>
      <c r="J13" s="2" t="s">
        <v>416</v>
      </c>
      <c r="K13" s="2" t="s">
        <v>1194</v>
      </c>
      <c r="L13" s="156">
        <v>1E-3</v>
      </c>
      <c r="M13" s="165">
        <v>4.3964999999999996</v>
      </c>
      <c r="N13" s="168">
        <v>0</v>
      </c>
      <c r="O13" s="156">
        <v>4.0000000000000001E-3</v>
      </c>
      <c r="P13" s="171">
        <v>1.05323749037335E-7</v>
      </c>
      <c r="Q13" s="171">
        <v>3.5647357402404803E-9</v>
      </c>
    </row>
    <row r="14" spans="1:17">
      <c r="A14" s="2">
        <v>419</v>
      </c>
      <c r="B14" s="2">
        <v>419</v>
      </c>
      <c r="C14" s="2" t="s">
        <v>1183</v>
      </c>
      <c r="D14" s="2" t="s">
        <v>1184</v>
      </c>
      <c r="E14" s="21" t="s">
        <v>318</v>
      </c>
      <c r="F14" s="2" t="s">
        <v>957</v>
      </c>
      <c r="G14" s="2" t="s">
        <v>30</v>
      </c>
      <c r="H14" s="2" t="s">
        <v>140</v>
      </c>
      <c r="I14" s="2" t="s">
        <v>1185</v>
      </c>
      <c r="J14" s="2" t="s">
        <v>416</v>
      </c>
      <c r="K14" s="2" t="s">
        <v>34</v>
      </c>
      <c r="L14" s="156">
        <v>-2E-3</v>
      </c>
      <c r="M14" s="165">
        <v>1</v>
      </c>
      <c r="N14" s="168">
        <v>3.7999999999999999E-2</v>
      </c>
      <c r="O14" s="156">
        <v>-2E-3</v>
      </c>
      <c r="P14" s="171">
        <v>-4.5873711987340899E-8</v>
      </c>
      <c r="Q14" s="171">
        <v>-1.5526190641087501E-9</v>
      </c>
    </row>
    <row r="15" spans="1:17">
      <c r="A15" s="2">
        <v>419</v>
      </c>
      <c r="B15" s="2">
        <v>419</v>
      </c>
      <c r="C15" s="2" t="s">
        <v>1183</v>
      </c>
      <c r="D15" s="2" t="s">
        <v>1184</v>
      </c>
      <c r="E15" s="21" t="s">
        <v>318</v>
      </c>
      <c r="F15" s="2" t="s">
        <v>957</v>
      </c>
      <c r="G15" s="2" t="s">
        <v>30</v>
      </c>
      <c r="H15" s="2" t="s">
        <v>140</v>
      </c>
      <c r="I15" s="2" t="s">
        <v>1185</v>
      </c>
      <c r="J15" s="2" t="s">
        <v>416</v>
      </c>
      <c r="K15" s="2" t="s">
        <v>34</v>
      </c>
      <c r="L15" s="156">
        <v>0</v>
      </c>
      <c r="M15" s="165">
        <v>1</v>
      </c>
      <c r="N15" s="168">
        <v>3.7999999999999999E-2</v>
      </c>
      <c r="O15" s="156">
        <v>0</v>
      </c>
      <c r="P15" s="171">
        <v>-8.9198884419829504E-9</v>
      </c>
      <c r="Q15" s="171">
        <v>-3.0189815135447898E-10</v>
      </c>
    </row>
    <row r="16" spans="1:17">
      <c r="A16" s="2">
        <v>419</v>
      </c>
      <c r="B16" s="2">
        <v>419</v>
      </c>
      <c r="C16" s="2" t="s">
        <v>1183</v>
      </c>
      <c r="D16" s="2" t="s">
        <v>1184</v>
      </c>
      <c r="E16" s="21" t="s">
        <v>318</v>
      </c>
      <c r="F16" s="2" t="s">
        <v>957</v>
      </c>
      <c r="G16" s="2" t="s">
        <v>30</v>
      </c>
      <c r="H16" s="2" t="s">
        <v>140</v>
      </c>
      <c r="I16" s="2" t="s">
        <v>1185</v>
      </c>
      <c r="J16" s="2" t="s">
        <v>416</v>
      </c>
      <c r="K16" s="2" t="s">
        <v>34</v>
      </c>
      <c r="L16" s="156">
        <v>0</v>
      </c>
      <c r="M16" s="165">
        <v>1</v>
      </c>
      <c r="N16" s="168">
        <v>3.7999999999999999E-2</v>
      </c>
      <c r="O16" s="156">
        <v>0</v>
      </c>
      <c r="P16" s="171">
        <v>2.8033935103374999E-9</v>
      </c>
      <c r="Q16" s="171">
        <v>9.4882276139979195E-11</v>
      </c>
    </row>
    <row r="17" spans="1:17">
      <c r="A17" s="2">
        <v>419</v>
      </c>
      <c r="B17" s="2">
        <v>1472</v>
      </c>
      <c r="C17" s="2" t="s">
        <v>1183</v>
      </c>
      <c r="D17" s="2" t="s">
        <v>1184</v>
      </c>
      <c r="E17" s="21" t="s">
        <v>318</v>
      </c>
      <c r="F17" s="2" t="s">
        <v>959</v>
      </c>
      <c r="G17" s="2" t="s">
        <v>30</v>
      </c>
      <c r="H17" s="2" t="s">
        <v>140</v>
      </c>
      <c r="I17" s="2" t="s">
        <v>1185</v>
      </c>
      <c r="J17" s="2" t="s">
        <v>416</v>
      </c>
      <c r="K17" s="2" t="s">
        <v>1188</v>
      </c>
      <c r="L17" s="156">
        <v>5.1999999999999998E-2</v>
      </c>
      <c r="M17" s="165">
        <v>3.71</v>
      </c>
      <c r="N17" s="168">
        <v>0</v>
      </c>
      <c r="O17" s="156">
        <v>0.19400000000000001</v>
      </c>
      <c r="P17" s="171">
        <v>1.0965290705149499E-3</v>
      </c>
      <c r="Q17" s="171">
        <v>1.8571431157504599E-5</v>
      </c>
    </row>
    <row r="18" spans="1:17">
      <c r="A18" s="2">
        <v>419</v>
      </c>
      <c r="B18" s="2">
        <v>1472</v>
      </c>
      <c r="C18" s="2" t="s">
        <v>1183</v>
      </c>
      <c r="D18" s="2" t="s">
        <v>1184</v>
      </c>
      <c r="E18" s="21" t="s">
        <v>318</v>
      </c>
      <c r="F18" s="2" t="s">
        <v>959</v>
      </c>
      <c r="G18" s="2" t="s">
        <v>30</v>
      </c>
      <c r="H18" s="2" t="s">
        <v>140</v>
      </c>
      <c r="I18" s="2" t="s">
        <v>1185</v>
      </c>
      <c r="J18" s="2" t="s">
        <v>416</v>
      </c>
      <c r="K18" s="2" t="s">
        <v>1190</v>
      </c>
      <c r="L18" s="156">
        <v>0.501</v>
      </c>
      <c r="M18" s="165">
        <v>4.1524000000000001</v>
      </c>
      <c r="N18" s="168">
        <v>0</v>
      </c>
      <c r="O18" s="156">
        <v>2.081</v>
      </c>
      <c r="P18" s="171">
        <v>1.17777533117174E-2</v>
      </c>
      <c r="Q18" s="171">
        <v>1.9947463382426401E-4</v>
      </c>
    </row>
    <row r="19" spans="1:17">
      <c r="A19" s="2">
        <v>419</v>
      </c>
      <c r="B19" s="2">
        <v>1472</v>
      </c>
      <c r="C19" s="2" t="s">
        <v>1183</v>
      </c>
      <c r="D19" s="2" t="s">
        <v>1184</v>
      </c>
      <c r="E19" s="21" t="s">
        <v>318</v>
      </c>
      <c r="F19" s="2" t="s">
        <v>957</v>
      </c>
      <c r="G19" s="2" t="s">
        <v>30</v>
      </c>
      <c r="H19" s="2" t="s">
        <v>140</v>
      </c>
      <c r="I19" s="2" t="s">
        <v>1185</v>
      </c>
      <c r="J19" s="2" t="s">
        <v>416</v>
      </c>
      <c r="K19" s="2" t="s">
        <v>34</v>
      </c>
      <c r="L19" s="156">
        <v>174.441</v>
      </c>
      <c r="M19" s="165">
        <v>1</v>
      </c>
      <c r="N19" s="168">
        <v>3.7999999999999999E-2</v>
      </c>
      <c r="O19" s="156">
        <v>174.441</v>
      </c>
      <c r="P19" s="171">
        <v>0.98713194232456403</v>
      </c>
      <c r="Q19" s="171">
        <v>1.6718620055960001E-2</v>
      </c>
    </row>
    <row r="20" spans="1:17">
      <c r="A20" s="2">
        <v>419</v>
      </c>
      <c r="B20" s="2">
        <v>1472</v>
      </c>
      <c r="C20" s="2" t="s">
        <v>1183</v>
      </c>
      <c r="D20" s="2" t="s">
        <v>1184</v>
      </c>
      <c r="E20" s="21" t="s">
        <v>318</v>
      </c>
      <c r="F20" s="2" t="s">
        <v>957</v>
      </c>
      <c r="G20" s="2" t="s">
        <v>30</v>
      </c>
      <c r="H20" s="2" t="s">
        <v>140</v>
      </c>
      <c r="I20" s="2" t="s">
        <v>1185</v>
      </c>
      <c r="J20" s="2" t="s">
        <v>416</v>
      </c>
      <c r="K20" s="2" t="s">
        <v>34</v>
      </c>
      <c r="L20" s="156">
        <v>-1E-3</v>
      </c>
      <c r="M20" s="165">
        <v>1</v>
      </c>
      <c r="N20" s="168">
        <v>3.7999999999999999E-2</v>
      </c>
      <c r="O20" s="156">
        <v>-1E-3</v>
      </c>
      <c r="P20" s="171">
        <v>-6.2247067968933101E-6</v>
      </c>
      <c r="Q20" s="171">
        <v>-1.0542512447925E-7</v>
      </c>
    </row>
    <row r="21" spans="1:17">
      <c r="A21" s="2">
        <v>419</v>
      </c>
      <c r="B21" s="2">
        <v>12435</v>
      </c>
      <c r="C21" s="2" t="s">
        <v>1183</v>
      </c>
      <c r="D21" s="2" t="s">
        <v>1184</v>
      </c>
      <c r="E21" s="4" t="s">
        <v>318</v>
      </c>
      <c r="F21" s="2" t="s">
        <v>959</v>
      </c>
      <c r="G21" s="2" t="s">
        <v>30</v>
      </c>
      <c r="H21" s="2" t="s">
        <v>140</v>
      </c>
      <c r="I21" s="2" t="s">
        <v>1185</v>
      </c>
      <c r="J21" s="2" t="s">
        <v>416</v>
      </c>
      <c r="K21" s="2" t="s">
        <v>1188</v>
      </c>
      <c r="L21" s="156">
        <v>3.1709999999999998</v>
      </c>
      <c r="M21" s="165">
        <v>3.71</v>
      </c>
      <c r="N21" s="169">
        <v>0</v>
      </c>
      <c r="O21" s="156">
        <v>11.766</v>
      </c>
      <c r="P21" s="171">
        <v>5.91428460615663E-2</v>
      </c>
      <c r="Q21" s="171">
        <v>9.7369073049078801E-4</v>
      </c>
    </row>
    <row r="22" spans="1:17">
      <c r="A22" s="2">
        <v>419</v>
      </c>
      <c r="B22" s="2">
        <v>12435</v>
      </c>
      <c r="C22" s="2" t="s">
        <v>1183</v>
      </c>
      <c r="D22" s="2" t="s">
        <v>1184</v>
      </c>
      <c r="E22" s="4" t="s">
        <v>318</v>
      </c>
      <c r="F22" s="2" t="s">
        <v>959</v>
      </c>
      <c r="G22" s="2" t="s">
        <v>30</v>
      </c>
      <c r="H22" s="2" t="s">
        <v>140</v>
      </c>
      <c r="I22" s="2" t="s">
        <v>1185</v>
      </c>
      <c r="J22" s="2" t="s">
        <v>416</v>
      </c>
      <c r="K22" s="2" t="s">
        <v>1195</v>
      </c>
      <c r="L22" s="156">
        <v>8.0000000000000002E-3</v>
      </c>
      <c r="M22" s="165">
        <v>0.47660000000000002</v>
      </c>
      <c r="N22" s="169">
        <v>0</v>
      </c>
      <c r="O22" s="156">
        <v>4.0000000000000001E-3</v>
      </c>
      <c r="P22" s="171">
        <v>1.9883632367061499E-5</v>
      </c>
      <c r="Q22" s="171">
        <v>3.2735165474012801E-7</v>
      </c>
    </row>
    <row r="23" spans="1:17">
      <c r="A23" s="2">
        <v>419</v>
      </c>
      <c r="B23" s="2">
        <v>12435</v>
      </c>
      <c r="C23" s="2" t="s">
        <v>1183</v>
      </c>
      <c r="D23" s="2" t="s">
        <v>1184</v>
      </c>
      <c r="E23" s="4" t="s">
        <v>318</v>
      </c>
      <c r="F23" s="2" t="s">
        <v>959</v>
      </c>
      <c r="G23" s="2" t="s">
        <v>30</v>
      </c>
      <c r="H23" s="2" t="s">
        <v>140</v>
      </c>
      <c r="I23" s="2" t="s">
        <v>1185</v>
      </c>
      <c r="J23" s="2" t="s">
        <v>416</v>
      </c>
      <c r="K23" s="2" t="s">
        <v>1189</v>
      </c>
      <c r="L23" s="156">
        <v>3.0000000000000001E-3</v>
      </c>
      <c r="M23" s="165">
        <v>2.7435</v>
      </c>
      <c r="N23" s="169">
        <v>0</v>
      </c>
      <c r="O23" s="156">
        <v>7.0000000000000001E-3</v>
      </c>
      <c r="P23" s="171">
        <v>3.6543861212564403E-5</v>
      </c>
      <c r="Q23" s="171">
        <v>6.0163521522071099E-7</v>
      </c>
    </row>
    <row r="24" spans="1:17">
      <c r="A24" s="2">
        <v>419</v>
      </c>
      <c r="B24" s="2">
        <v>12435</v>
      </c>
      <c r="C24" s="2" t="s">
        <v>1183</v>
      </c>
      <c r="D24" s="2" t="s">
        <v>1184</v>
      </c>
      <c r="E24" s="4" t="s">
        <v>318</v>
      </c>
      <c r="F24" s="2" t="s">
        <v>959</v>
      </c>
      <c r="G24" s="2" t="s">
        <v>30</v>
      </c>
      <c r="H24" s="2" t="s">
        <v>140</v>
      </c>
      <c r="I24" s="2" t="s">
        <v>1185</v>
      </c>
      <c r="J24" s="2" t="s">
        <v>416</v>
      </c>
      <c r="K24" s="2" t="s">
        <v>1190</v>
      </c>
      <c r="L24" s="156">
        <v>0.17399999999999999</v>
      </c>
      <c r="M24" s="165">
        <v>4.1524000000000001</v>
      </c>
      <c r="N24" s="169">
        <v>0</v>
      </c>
      <c r="O24" s="156">
        <v>0.72399999999999998</v>
      </c>
      <c r="P24" s="171">
        <v>3.6381875189202299E-3</v>
      </c>
      <c r="Q24" s="171">
        <v>5.9896837890964603E-5</v>
      </c>
    </row>
    <row r="25" spans="1:17">
      <c r="A25" s="2">
        <v>419</v>
      </c>
      <c r="B25" s="2">
        <v>12435</v>
      </c>
      <c r="C25" s="2" t="s">
        <v>1183</v>
      </c>
      <c r="D25" s="2" t="s">
        <v>1184</v>
      </c>
      <c r="E25" s="4" t="s">
        <v>318</v>
      </c>
      <c r="F25" s="2" t="s">
        <v>959</v>
      </c>
      <c r="G25" s="2" t="s">
        <v>30</v>
      </c>
      <c r="H25" s="2" t="s">
        <v>140</v>
      </c>
      <c r="I25" s="2" t="s">
        <v>1185</v>
      </c>
      <c r="J25" s="2" t="s">
        <v>416</v>
      </c>
      <c r="K25" s="2" t="s">
        <v>1191</v>
      </c>
      <c r="L25" s="156">
        <v>0</v>
      </c>
      <c r="M25" s="165">
        <v>2.6029E-2</v>
      </c>
      <c r="N25" s="169">
        <v>0</v>
      </c>
      <c r="O25" s="156">
        <v>0</v>
      </c>
      <c r="P25" s="171">
        <v>-2.6166827623489803E-9</v>
      </c>
      <c r="Q25" s="171">
        <v>-4.3079424140021895E-11</v>
      </c>
    </row>
    <row r="26" spans="1:17">
      <c r="A26" s="2">
        <v>419</v>
      </c>
      <c r="B26" s="2">
        <v>12435</v>
      </c>
      <c r="C26" s="2" t="s">
        <v>1183</v>
      </c>
      <c r="D26" s="2" t="s">
        <v>1184</v>
      </c>
      <c r="E26" s="4" t="s">
        <v>318</v>
      </c>
      <c r="F26" s="2" t="s">
        <v>959</v>
      </c>
      <c r="G26" s="2" t="s">
        <v>30</v>
      </c>
      <c r="H26" s="2" t="s">
        <v>140</v>
      </c>
      <c r="I26" s="2" t="s">
        <v>1185</v>
      </c>
      <c r="J26" s="2" t="s">
        <v>416</v>
      </c>
      <c r="K26" s="2" t="s">
        <v>1193</v>
      </c>
      <c r="L26" s="156">
        <v>0.78800000000000003</v>
      </c>
      <c r="M26" s="165">
        <v>4.9748000000000001</v>
      </c>
      <c r="N26" s="169">
        <v>0</v>
      </c>
      <c r="O26" s="156">
        <v>3.9209999999999998</v>
      </c>
      <c r="P26" s="171">
        <v>1.9709001861858901E-2</v>
      </c>
      <c r="Q26" s="171">
        <v>3.2447664760909301E-4</v>
      </c>
    </row>
    <row r="27" spans="1:17">
      <c r="A27" s="2">
        <v>419</v>
      </c>
      <c r="B27" s="2">
        <v>12435</v>
      </c>
      <c r="C27" s="2" t="s">
        <v>1183</v>
      </c>
      <c r="D27" s="2" t="s">
        <v>1184</v>
      </c>
      <c r="E27" s="4" t="s">
        <v>318</v>
      </c>
      <c r="F27" s="2" t="s">
        <v>957</v>
      </c>
      <c r="G27" s="2" t="s">
        <v>30</v>
      </c>
      <c r="H27" s="2" t="s">
        <v>140</v>
      </c>
      <c r="I27" s="2" t="s">
        <v>1185</v>
      </c>
      <c r="J27" s="2" t="s">
        <v>416</v>
      </c>
      <c r="K27" s="2" t="s">
        <v>34</v>
      </c>
      <c r="L27" s="156">
        <v>181.976</v>
      </c>
      <c r="M27" s="165">
        <v>1</v>
      </c>
      <c r="N27" s="169">
        <v>3.7999999999999999E-2</v>
      </c>
      <c r="O27" s="156">
        <v>181.976</v>
      </c>
      <c r="P27" s="171">
        <v>0.91469569490563596</v>
      </c>
      <c r="Q27" s="171">
        <v>1.50589763370928E-2</v>
      </c>
    </row>
    <row r="28" spans="1:17">
      <c r="A28" s="2">
        <v>419</v>
      </c>
      <c r="B28" s="2">
        <v>12435</v>
      </c>
      <c r="C28" s="2" t="s">
        <v>1183</v>
      </c>
      <c r="D28" s="2" t="s">
        <v>1184</v>
      </c>
      <c r="E28" s="4" t="s">
        <v>318</v>
      </c>
      <c r="F28" s="2" t="s">
        <v>959</v>
      </c>
      <c r="G28" s="2" t="s">
        <v>30</v>
      </c>
      <c r="H28" s="2" t="s">
        <v>140</v>
      </c>
      <c r="I28" s="2" t="s">
        <v>1185</v>
      </c>
      <c r="J28" s="2" t="s">
        <v>416</v>
      </c>
      <c r="K28" s="2" t="s">
        <v>1194</v>
      </c>
      <c r="L28" s="156">
        <v>0.125</v>
      </c>
      <c r="M28" s="165">
        <v>4.3964999999999996</v>
      </c>
      <c r="N28" s="169">
        <v>0</v>
      </c>
      <c r="O28" s="156">
        <v>0.55100000000000005</v>
      </c>
      <c r="P28" s="171">
        <v>2.7674453438650899E-3</v>
      </c>
      <c r="Q28" s="171">
        <v>4.55614847424873E-5</v>
      </c>
    </row>
    <row r="29" spans="1:17">
      <c r="A29" s="2">
        <v>419</v>
      </c>
      <c r="B29" s="2">
        <v>12435</v>
      </c>
      <c r="C29" s="2" t="s">
        <v>1183</v>
      </c>
      <c r="D29" s="2" t="s">
        <v>1184</v>
      </c>
      <c r="E29" s="4" t="s">
        <v>318</v>
      </c>
      <c r="F29" s="2" t="s">
        <v>957</v>
      </c>
      <c r="G29" s="2" t="s">
        <v>30</v>
      </c>
      <c r="H29" s="2" t="s">
        <v>140</v>
      </c>
      <c r="I29" s="2" t="s">
        <v>1185</v>
      </c>
      <c r="J29" s="2" t="s">
        <v>416</v>
      </c>
      <c r="K29" s="2" t="s">
        <v>34</v>
      </c>
      <c r="L29" s="156">
        <v>-2E-3</v>
      </c>
      <c r="M29" s="165">
        <v>1</v>
      </c>
      <c r="N29" s="169">
        <v>3.7999999999999999E-2</v>
      </c>
      <c r="O29" s="156">
        <v>-2E-3</v>
      </c>
      <c r="P29" s="171">
        <v>-9.6005687427226592E-6</v>
      </c>
      <c r="Q29" s="171">
        <v>-1.58057743492723E-7</v>
      </c>
    </row>
    <row r="30" spans="1:17">
      <c r="A30" s="2">
        <v>419</v>
      </c>
      <c r="B30" s="2">
        <v>15204</v>
      </c>
      <c r="C30" s="2" t="s">
        <v>1183</v>
      </c>
      <c r="D30" s="2" t="s">
        <v>1184</v>
      </c>
      <c r="E30" s="4" t="s">
        <v>318</v>
      </c>
      <c r="F30" s="2" t="s">
        <v>957</v>
      </c>
      <c r="G30" s="2" t="s">
        <v>30</v>
      </c>
      <c r="H30" s="2" t="s">
        <v>140</v>
      </c>
      <c r="I30" s="2" t="s">
        <v>1185</v>
      </c>
      <c r="J30" s="2" t="s">
        <v>416</v>
      </c>
      <c r="K30" s="2" t="s">
        <v>34</v>
      </c>
      <c r="L30" s="156">
        <v>0</v>
      </c>
      <c r="M30" s="165">
        <v>1</v>
      </c>
      <c r="N30" s="169">
        <v>0</v>
      </c>
      <c r="O30" s="156">
        <v>0</v>
      </c>
      <c r="P30" s="171">
        <v>4.8061139921806403E-6</v>
      </c>
      <c r="Q30" s="171">
        <v>1.6765456833249602E-8</v>
      </c>
    </row>
    <row r="31" spans="1:17">
      <c r="A31" s="2">
        <v>419</v>
      </c>
      <c r="B31" s="2">
        <v>15204</v>
      </c>
      <c r="C31" s="2" t="s">
        <v>1183</v>
      </c>
      <c r="D31" s="2" t="s">
        <v>1184</v>
      </c>
      <c r="E31" s="4" t="s">
        <v>318</v>
      </c>
      <c r="F31" s="2" t="s">
        <v>959</v>
      </c>
      <c r="G31" s="2" t="s">
        <v>30</v>
      </c>
      <c r="H31" s="2" t="s">
        <v>140</v>
      </c>
      <c r="I31" s="2" t="s">
        <v>1185</v>
      </c>
      <c r="J31" s="2" t="s">
        <v>416</v>
      </c>
      <c r="K31" s="2" t="s">
        <v>1188</v>
      </c>
      <c r="L31" s="156">
        <v>1.0960000000000001</v>
      </c>
      <c r="M31" s="165">
        <v>3.71</v>
      </c>
      <c r="N31" s="169">
        <v>0</v>
      </c>
      <c r="O31" s="156">
        <v>4.0659999999999998</v>
      </c>
      <c r="P31" s="171">
        <v>0.325719028296028</v>
      </c>
      <c r="Q31" s="171">
        <v>1.1362252991813399E-3</v>
      </c>
    </row>
    <row r="32" spans="1:17">
      <c r="A32" s="2">
        <v>419</v>
      </c>
      <c r="B32" s="2">
        <v>15204</v>
      </c>
      <c r="C32" s="2" t="s">
        <v>1183</v>
      </c>
      <c r="D32" s="2" t="s">
        <v>1184</v>
      </c>
      <c r="E32" s="4" t="s">
        <v>318</v>
      </c>
      <c r="F32" s="2" t="s">
        <v>957</v>
      </c>
      <c r="G32" s="2" t="s">
        <v>30</v>
      </c>
      <c r="H32" s="2" t="s">
        <v>140</v>
      </c>
      <c r="I32" s="2" t="s">
        <v>1185</v>
      </c>
      <c r="J32" s="2" t="s">
        <v>416</v>
      </c>
      <c r="K32" s="2" t="s">
        <v>34</v>
      </c>
      <c r="L32" s="156">
        <v>8.4179999999999993</v>
      </c>
      <c r="M32" s="165">
        <v>1</v>
      </c>
      <c r="N32" s="169">
        <v>0</v>
      </c>
      <c r="O32" s="156">
        <v>8.4179999999999993</v>
      </c>
      <c r="P32" s="171">
        <v>0.67427616558998005</v>
      </c>
      <c r="Q32" s="171">
        <v>2.3521181491491698E-3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4.25"/>
  <cols>
    <col min="1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6" t="s">
        <v>14</v>
      </c>
      <c r="P1" s="170" t="s">
        <v>15</v>
      </c>
      <c r="Q1" s="22" t="s">
        <v>16</v>
      </c>
      <c r="R1" s="22" t="s">
        <v>17</v>
      </c>
      <c r="S1" s="164" t="s">
        <v>18</v>
      </c>
      <c r="T1" s="175" t="s">
        <v>19</v>
      </c>
      <c r="U1" s="22" t="s">
        <v>20</v>
      </c>
      <c r="V1" s="22" t="s">
        <v>21</v>
      </c>
      <c r="W1" s="22" t="s">
        <v>22</v>
      </c>
      <c r="X1" s="170" t="s">
        <v>23</v>
      </c>
      <c r="Y1" s="170" t="s">
        <v>24</v>
      </c>
      <c r="Z1" s="170" t="s">
        <v>25</v>
      </c>
    </row>
    <row r="2" spans="1:26">
      <c r="A2" s="21">
        <v>14947</v>
      </c>
      <c r="B2" s="21">
        <v>14948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7">
        <v>3.972</v>
      </c>
      <c r="N2" s="4" t="s">
        <v>35</v>
      </c>
      <c r="O2" s="168">
        <v>1.0999999999999999E-2</v>
      </c>
      <c r="P2" s="173">
        <v>1.806E-2</v>
      </c>
      <c r="R2" s="157">
        <v>11506</v>
      </c>
      <c r="S2" s="174">
        <v>1</v>
      </c>
      <c r="T2" s="176">
        <v>102.6</v>
      </c>
      <c r="U2" s="157">
        <v>11.805</v>
      </c>
      <c r="W2" s="21" t="s">
        <v>36</v>
      </c>
      <c r="X2" s="177">
        <v>9.9999999999999995E-7</v>
      </c>
      <c r="Y2" s="173">
        <v>0.60290049065083995</v>
      </c>
      <c r="Z2" s="173">
        <v>0.14679131865703701</v>
      </c>
    </row>
    <row r="3" spans="1:26">
      <c r="A3" s="21">
        <v>14947</v>
      </c>
      <c r="B3" s="21">
        <v>14948</v>
      </c>
      <c r="C3" s="21" t="s">
        <v>37</v>
      </c>
      <c r="D3" s="21" t="s">
        <v>38</v>
      </c>
      <c r="E3" s="21" t="s">
        <v>39</v>
      </c>
      <c r="F3" s="21" t="s">
        <v>40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4" t="s">
        <v>34</v>
      </c>
      <c r="M3" s="157">
        <v>5.33</v>
      </c>
      <c r="N3" s="4" t="s">
        <v>41</v>
      </c>
      <c r="O3" s="168">
        <v>0.01</v>
      </c>
      <c r="P3" s="173">
        <v>4.6289999999999998E-2</v>
      </c>
      <c r="R3" s="157">
        <v>9341</v>
      </c>
      <c r="S3" s="174">
        <v>1</v>
      </c>
      <c r="T3" s="176">
        <v>83.24</v>
      </c>
      <c r="U3" s="157">
        <v>7.7750000000000004</v>
      </c>
      <c r="W3" s="21" t="s">
        <v>36</v>
      </c>
      <c r="X3" s="177">
        <v>0</v>
      </c>
      <c r="Y3" s="173">
        <v>0.39709950934916</v>
      </c>
      <c r="Z3" s="173">
        <v>9.6683883193559805E-2</v>
      </c>
    </row>
    <row r="4" spans="1:26">
      <c r="A4" s="21">
        <v>419</v>
      </c>
      <c r="B4" s="21">
        <v>419</v>
      </c>
      <c r="C4" s="21" t="s">
        <v>42</v>
      </c>
      <c r="D4" s="21" t="s">
        <v>43</v>
      </c>
      <c r="E4" s="21" t="s">
        <v>44</v>
      </c>
      <c r="F4" s="21" t="s">
        <v>45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4" t="s">
        <v>34</v>
      </c>
      <c r="M4" s="157">
        <v>0.23</v>
      </c>
      <c r="N4" s="4" t="s">
        <v>46</v>
      </c>
      <c r="O4" s="168">
        <v>0</v>
      </c>
      <c r="P4" s="173">
        <v>4.3630000000000002E-2</v>
      </c>
      <c r="R4" s="157">
        <v>6200000</v>
      </c>
      <c r="S4" s="174">
        <v>1</v>
      </c>
      <c r="T4" s="176">
        <v>98.86</v>
      </c>
      <c r="U4" s="157">
        <v>6129.32</v>
      </c>
      <c r="W4" s="21" t="s">
        <v>36</v>
      </c>
      <c r="X4" s="177">
        <v>5.1699999999999999E-4</v>
      </c>
      <c r="Y4" s="173">
        <v>2.8902263192885101E-2</v>
      </c>
      <c r="Z4" s="173">
        <v>5.28694393445725E-3</v>
      </c>
    </row>
    <row r="5" spans="1:26">
      <c r="A5" s="21">
        <v>419</v>
      </c>
      <c r="B5" s="21">
        <v>419</v>
      </c>
      <c r="C5" s="21" t="s">
        <v>42</v>
      </c>
      <c r="D5" s="21" t="s">
        <v>47</v>
      </c>
      <c r="E5" s="21" t="s">
        <v>48</v>
      </c>
      <c r="F5" s="21" t="s">
        <v>45</v>
      </c>
      <c r="G5" s="21" t="s">
        <v>30</v>
      </c>
      <c r="H5" s="21" t="s">
        <v>30</v>
      </c>
      <c r="I5" s="21" t="s">
        <v>49</v>
      </c>
      <c r="J5" s="21" t="s">
        <v>32</v>
      </c>
      <c r="K5" s="21" t="s">
        <v>33</v>
      </c>
      <c r="L5" s="4" t="s">
        <v>34</v>
      </c>
      <c r="M5" s="157">
        <v>0.55600000000000005</v>
      </c>
      <c r="N5" s="4" t="s">
        <v>50</v>
      </c>
      <c r="O5" s="168">
        <v>0</v>
      </c>
      <c r="P5" s="173">
        <v>4.3150000000000001E-2</v>
      </c>
      <c r="R5" s="157">
        <v>4778724</v>
      </c>
      <c r="S5" s="174">
        <v>1</v>
      </c>
      <c r="T5" s="176">
        <v>97.52</v>
      </c>
      <c r="U5" s="157">
        <v>4660.2120000000004</v>
      </c>
      <c r="W5" s="21" t="s">
        <v>36</v>
      </c>
      <c r="X5" s="177">
        <v>3.4099999999999999E-4</v>
      </c>
      <c r="Y5" s="173">
        <v>2.19748134364918E-2</v>
      </c>
      <c r="Z5" s="173">
        <v>4.0197408013878198E-3</v>
      </c>
    </row>
    <row r="6" spans="1:26">
      <c r="A6" s="21">
        <v>419</v>
      </c>
      <c r="B6" s="21">
        <v>419</v>
      </c>
      <c r="C6" s="21" t="s">
        <v>42</v>
      </c>
      <c r="D6" s="21" t="s">
        <v>51</v>
      </c>
      <c r="E6" s="21" t="s">
        <v>52</v>
      </c>
      <c r="F6" s="21" t="s">
        <v>45</v>
      </c>
      <c r="G6" s="21" t="s">
        <v>30</v>
      </c>
      <c r="H6" s="21" t="s">
        <v>30</v>
      </c>
      <c r="I6" s="21" t="s">
        <v>49</v>
      </c>
      <c r="J6" s="21" t="s">
        <v>32</v>
      </c>
      <c r="K6" s="21" t="s">
        <v>33</v>
      </c>
      <c r="L6" s="4" t="s">
        <v>34</v>
      </c>
      <c r="M6" s="157">
        <v>0.748</v>
      </c>
      <c r="N6" s="4" t="s">
        <v>53</v>
      </c>
      <c r="O6" s="168">
        <v>0</v>
      </c>
      <c r="P6" s="173">
        <v>4.2999999999999997E-2</v>
      </c>
      <c r="R6" s="157">
        <v>12143360</v>
      </c>
      <c r="S6" s="174">
        <v>1</v>
      </c>
      <c r="T6" s="176">
        <v>96.9</v>
      </c>
      <c r="U6" s="157">
        <v>11766.915999999999</v>
      </c>
      <c r="W6" s="21" t="s">
        <v>36</v>
      </c>
      <c r="X6" s="177">
        <v>1.0120000000000001E-3</v>
      </c>
      <c r="Y6" s="173">
        <v>5.5485844853296697E-2</v>
      </c>
      <c r="Z6" s="173">
        <v>1.01497432549707E-2</v>
      </c>
    </row>
    <row r="7" spans="1:26">
      <c r="A7" s="21">
        <v>419</v>
      </c>
      <c r="B7" s="21">
        <v>419</v>
      </c>
      <c r="C7" s="21" t="s">
        <v>26</v>
      </c>
      <c r="D7" s="21" t="s">
        <v>54</v>
      </c>
      <c r="E7" s="21" t="s">
        <v>55</v>
      </c>
      <c r="F7" s="21" t="s">
        <v>29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4" t="s">
        <v>34</v>
      </c>
      <c r="M7" s="157">
        <v>2.64</v>
      </c>
      <c r="N7" s="4" t="s">
        <v>56</v>
      </c>
      <c r="O7" s="168">
        <v>7.4999999999999997E-3</v>
      </c>
      <c r="P7" s="173">
        <v>1.6299999999999999E-2</v>
      </c>
      <c r="R7" s="157">
        <v>9720572</v>
      </c>
      <c r="S7" s="174">
        <v>1</v>
      </c>
      <c r="T7" s="176">
        <v>114.25</v>
      </c>
      <c r="U7" s="157">
        <v>11105.754000000001</v>
      </c>
      <c r="W7" s="21" t="s">
        <v>36</v>
      </c>
      <c r="X7" s="177">
        <v>4.3600000000000003E-4</v>
      </c>
      <c r="Y7" s="173">
        <v>5.23681927034855E-2</v>
      </c>
      <c r="Z7" s="173">
        <v>9.5794470116214794E-3</v>
      </c>
    </row>
    <row r="8" spans="1:26">
      <c r="A8" s="21">
        <v>419</v>
      </c>
      <c r="B8" s="21">
        <v>419</v>
      </c>
      <c r="C8" s="21" t="s">
        <v>26</v>
      </c>
      <c r="D8" s="21" t="s">
        <v>57</v>
      </c>
      <c r="E8" s="21" t="s">
        <v>58</v>
      </c>
      <c r="F8" s="21" t="s">
        <v>29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4" t="s">
        <v>34</v>
      </c>
      <c r="M8" s="157">
        <v>18.399999999999999</v>
      </c>
      <c r="N8" s="4" t="s">
        <v>59</v>
      </c>
      <c r="O8" s="168">
        <v>0.01</v>
      </c>
      <c r="P8" s="173">
        <v>2.2749999999999999E-2</v>
      </c>
      <c r="R8" s="157">
        <v>3863345</v>
      </c>
      <c r="S8" s="174">
        <v>1</v>
      </c>
      <c r="T8" s="176">
        <v>92.5</v>
      </c>
      <c r="U8" s="157">
        <v>3573.5940000000001</v>
      </c>
      <c r="W8" s="21" t="s">
        <v>36</v>
      </c>
      <c r="X8" s="177">
        <v>1.9900000000000001E-4</v>
      </c>
      <c r="Y8" s="173">
        <v>1.68509651878672E-2</v>
      </c>
      <c r="Z8" s="173">
        <v>3.0824613143677899E-3</v>
      </c>
    </row>
    <row r="9" spans="1:26">
      <c r="A9" s="21">
        <v>419</v>
      </c>
      <c r="B9" s="21">
        <v>419</v>
      </c>
      <c r="C9" s="21" t="s">
        <v>26</v>
      </c>
      <c r="D9" s="21" t="s">
        <v>60</v>
      </c>
      <c r="E9" s="21" t="s">
        <v>61</v>
      </c>
      <c r="F9" s="21" t="s">
        <v>29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4" t="s">
        <v>34</v>
      </c>
      <c r="M9" s="157">
        <v>1.0720000000000001</v>
      </c>
      <c r="N9" s="4" t="s">
        <v>62</v>
      </c>
      <c r="O9" s="168">
        <v>7.4999999999999997E-3</v>
      </c>
      <c r="P9" s="173">
        <v>1.303E-2</v>
      </c>
      <c r="R9" s="157">
        <v>42503250</v>
      </c>
      <c r="S9" s="174">
        <v>1</v>
      </c>
      <c r="T9" s="176">
        <v>116.02</v>
      </c>
      <c r="U9" s="157">
        <v>49312.271000000001</v>
      </c>
      <c r="W9" s="21" t="s">
        <v>36</v>
      </c>
      <c r="X9" s="177">
        <v>1.9589999999999998E-3</v>
      </c>
      <c r="Y9" s="173">
        <v>0.23252762540788899</v>
      </c>
      <c r="Z9" s="173">
        <v>4.2535095280933501E-2</v>
      </c>
    </row>
    <row r="10" spans="1:26">
      <c r="A10" s="21">
        <v>419</v>
      </c>
      <c r="B10" s="21">
        <v>419</v>
      </c>
      <c r="C10" s="21" t="s">
        <v>26</v>
      </c>
      <c r="D10" s="21" t="s">
        <v>63</v>
      </c>
      <c r="E10" s="21" t="s">
        <v>64</v>
      </c>
      <c r="F10" s="21" t="s">
        <v>29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4" t="s">
        <v>34</v>
      </c>
      <c r="M10" s="157">
        <v>7.1340000000000003</v>
      </c>
      <c r="N10" s="4" t="s">
        <v>65</v>
      </c>
      <c r="O10" s="168">
        <v>1E-3</v>
      </c>
      <c r="P10" s="173">
        <v>1.9910000000000001E-2</v>
      </c>
      <c r="R10" s="157">
        <v>12380882</v>
      </c>
      <c r="S10" s="174">
        <v>1</v>
      </c>
      <c r="T10" s="176">
        <v>101.1</v>
      </c>
      <c r="U10" s="157">
        <v>12517.072</v>
      </c>
      <c r="W10" s="21" t="s">
        <v>36</v>
      </c>
      <c r="X10" s="177">
        <v>4.0299999999999998E-4</v>
      </c>
      <c r="Y10" s="173">
        <v>5.9023138086348598E-2</v>
      </c>
      <c r="Z10" s="173">
        <v>1.07968023063008E-2</v>
      </c>
    </row>
    <row r="11" spans="1:26">
      <c r="A11" s="21">
        <v>419</v>
      </c>
      <c r="B11" s="21">
        <v>419</v>
      </c>
      <c r="C11" s="21" t="s">
        <v>26</v>
      </c>
      <c r="D11" s="21" t="s">
        <v>66</v>
      </c>
      <c r="E11" s="21" t="s">
        <v>67</v>
      </c>
      <c r="F11" s="21" t="s">
        <v>29</v>
      </c>
      <c r="G11" s="21" t="s">
        <v>30</v>
      </c>
      <c r="H11" s="21" t="s">
        <v>30</v>
      </c>
      <c r="I11" s="21" t="s">
        <v>31</v>
      </c>
      <c r="J11" s="21" t="s">
        <v>68</v>
      </c>
      <c r="K11" s="21" t="s">
        <v>69</v>
      </c>
      <c r="L11" s="4" t="s">
        <v>34</v>
      </c>
      <c r="M11" s="157">
        <v>24.73</v>
      </c>
      <c r="N11" s="4" t="s">
        <v>70</v>
      </c>
      <c r="O11" s="168">
        <v>5.0000000000000001E-3</v>
      </c>
      <c r="P11" s="173">
        <v>2.3380000000000001E-2</v>
      </c>
      <c r="R11" s="157">
        <v>943121</v>
      </c>
      <c r="S11" s="174">
        <v>1</v>
      </c>
      <c r="T11" s="176">
        <v>73.53</v>
      </c>
      <c r="U11" s="157">
        <v>693.47699999999998</v>
      </c>
      <c r="W11" s="21" t="s">
        <v>36</v>
      </c>
      <c r="X11" s="177">
        <v>4.1999999999999998E-5</v>
      </c>
      <c r="Y11" s="173">
        <v>3.2700284945950098E-3</v>
      </c>
      <c r="Z11" s="173">
        <v>5.9816967272159399E-4</v>
      </c>
    </row>
    <row r="12" spans="1:26">
      <c r="A12" s="21">
        <v>419</v>
      </c>
      <c r="B12" s="21">
        <v>419</v>
      </c>
      <c r="C12" s="21" t="s">
        <v>37</v>
      </c>
      <c r="D12" s="21" t="s">
        <v>71</v>
      </c>
      <c r="E12" s="21" t="s">
        <v>72</v>
      </c>
      <c r="F12" s="21" t="s">
        <v>40</v>
      </c>
      <c r="G12" s="21" t="s">
        <v>30</v>
      </c>
      <c r="H12" s="21" t="s">
        <v>30</v>
      </c>
      <c r="I12" s="21" t="s">
        <v>31</v>
      </c>
      <c r="J12" s="21" t="s">
        <v>32</v>
      </c>
      <c r="K12" s="21" t="s">
        <v>33</v>
      </c>
      <c r="L12" s="4" t="s">
        <v>34</v>
      </c>
      <c r="M12" s="157">
        <v>4.0549999999999997</v>
      </c>
      <c r="N12" s="4" t="s">
        <v>73</v>
      </c>
      <c r="O12" s="168">
        <v>3.7499999999999999E-2</v>
      </c>
      <c r="P12" s="173">
        <v>4.5620000000000001E-2</v>
      </c>
      <c r="R12" s="157">
        <v>11734036</v>
      </c>
      <c r="S12" s="174">
        <v>1</v>
      </c>
      <c r="T12" s="176">
        <v>99.02</v>
      </c>
      <c r="U12" s="157">
        <v>11619.041999999999</v>
      </c>
      <c r="W12" s="21" t="s">
        <v>36</v>
      </c>
      <c r="X12" s="177">
        <v>3.6200000000000002E-4</v>
      </c>
      <c r="Y12" s="173">
        <v>5.4788561024433101E-2</v>
      </c>
      <c r="Z12" s="173">
        <v>1.00221926723397E-2</v>
      </c>
    </row>
    <row r="13" spans="1:26">
      <c r="A13" s="21">
        <v>419</v>
      </c>
      <c r="B13" s="21">
        <v>419</v>
      </c>
      <c r="C13" s="21" t="s">
        <v>37</v>
      </c>
      <c r="D13" s="21" t="s">
        <v>74</v>
      </c>
      <c r="E13" s="21" t="s">
        <v>75</v>
      </c>
      <c r="F13" s="21" t="s">
        <v>40</v>
      </c>
      <c r="G13" s="21" t="s">
        <v>30</v>
      </c>
      <c r="H13" s="21" t="s">
        <v>30</v>
      </c>
      <c r="I13" s="21" t="s">
        <v>31</v>
      </c>
      <c r="J13" s="21" t="s">
        <v>32</v>
      </c>
      <c r="K13" s="21" t="s">
        <v>33</v>
      </c>
      <c r="L13" s="4" t="s">
        <v>34</v>
      </c>
      <c r="M13" s="157">
        <v>2.44</v>
      </c>
      <c r="N13" s="4" t="s">
        <v>76</v>
      </c>
      <c r="O13" s="168">
        <v>0.02</v>
      </c>
      <c r="P13" s="173">
        <v>4.4049999999999999E-2</v>
      </c>
      <c r="R13" s="157">
        <v>2372518</v>
      </c>
      <c r="S13" s="174">
        <v>1</v>
      </c>
      <c r="T13" s="176">
        <v>95.44</v>
      </c>
      <c r="U13" s="157">
        <v>2264.3310000000001</v>
      </c>
      <c r="W13" s="21" t="s">
        <v>36</v>
      </c>
      <c r="X13" s="177">
        <v>9.2E-5</v>
      </c>
      <c r="Y13" s="173">
        <v>1.0677252239578701E-2</v>
      </c>
      <c r="Z13" s="173">
        <v>1.9531354201565401E-3</v>
      </c>
    </row>
    <row r="14" spans="1:26">
      <c r="A14" s="21">
        <v>419</v>
      </c>
      <c r="B14" s="21">
        <v>419</v>
      </c>
      <c r="C14" s="21" t="s">
        <v>37</v>
      </c>
      <c r="D14" s="21" t="s">
        <v>77</v>
      </c>
      <c r="E14" s="21" t="s">
        <v>78</v>
      </c>
      <c r="F14" s="21" t="s">
        <v>40</v>
      </c>
      <c r="G14" s="21" t="s">
        <v>30</v>
      </c>
      <c r="H14" s="21" t="s">
        <v>30</v>
      </c>
      <c r="I14" s="21" t="s">
        <v>31</v>
      </c>
      <c r="J14" s="21" t="s">
        <v>32</v>
      </c>
      <c r="K14" s="21" t="s">
        <v>33</v>
      </c>
      <c r="L14" s="4" t="s">
        <v>34</v>
      </c>
      <c r="M14" s="157">
        <v>14.32</v>
      </c>
      <c r="N14" s="4" t="s">
        <v>79</v>
      </c>
      <c r="O14" s="168">
        <v>3.7499999999999999E-2</v>
      </c>
      <c r="P14" s="173">
        <v>5.3379999999999997E-2</v>
      </c>
      <c r="R14" s="157">
        <v>651531</v>
      </c>
      <c r="S14" s="174">
        <v>1</v>
      </c>
      <c r="T14" s="176">
        <v>81.36</v>
      </c>
      <c r="U14" s="157">
        <v>530.08600000000001</v>
      </c>
      <c r="W14" s="21" t="s">
        <v>36</v>
      </c>
      <c r="X14" s="177">
        <v>2.5000000000000001E-5</v>
      </c>
      <c r="Y14" s="173">
        <v>2.49957159199508E-3</v>
      </c>
      <c r="Z14" s="173">
        <v>4.57233912058943E-4</v>
      </c>
    </row>
    <row r="15" spans="1:26">
      <c r="A15" s="21">
        <v>419</v>
      </c>
      <c r="B15" s="21">
        <v>419</v>
      </c>
      <c r="C15" s="21" t="s">
        <v>26</v>
      </c>
      <c r="D15" s="21" t="s">
        <v>80</v>
      </c>
      <c r="E15" s="21" t="s">
        <v>81</v>
      </c>
      <c r="F15" s="21" t="s">
        <v>29</v>
      </c>
      <c r="G15" s="21" t="s">
        <v>30</v>
      </c>
      <c r="H15" s="21" t="s">
        <v>30</v>
      </c>
      <c r="I15" s="21" t="s">
        <v>31</v>
      </c>
      <c r="J15" s="21" t="s">
        <v>32</v>
      </c>
      <c r="K15" s="21" t="s">
        <v>33</v>
      </c>
      <c r="L15" s="4" t="s">
        <v>34</v>
      </c>
      <c r="M15" s="157">
        <v>13.85</v>
      </c>
      <c r="N15" s="4" t="s">
        <v>82</v>
      </c>
      <c r="O15" s="168">
        <v>2.75E-2</v>
      </c>
      <c r="P15" s="173">
        <v>2.24E-2</v>
      </c>
      <c r="R15" s="157">
        <v>3872408</v>
      </c>
      <c r="S15" s="174">
        <v>1</v>
      </c>
      <c r="T15" s="176">
        <v>132.61000000000001</v>
      </c>
      <c r="U15" s="157">
        <v>5135.2</v>
      </c>
      <c r="W15" s="21" t="s">
        <v>36</v>
      </c>
      <c r="X15" s="177">
        <v>2.0000000000000001E-4</v>
      </c>
      <c r="Y15" s="173">
        <v>2.4214579943449999E-2</v>
      </c>
      <c r="Z15" s="173">
        <v>4.4294498912793804E-3</v>
      </c>
    </row>
    <row r="16" spans="1:26">
      <c r="A16" s="21">
        <v>419</v>
      </c>
      <c r="B16" s="21">
        <v>419</v>
      </c>
      <c r="C16" s="21" t="s">
        <v>37</v>
      </c>
      <c r="D16" s="21" t="s">
        <v>83</v>
      </c>
      <c r="E16" s="21" t="s">
        <v>84</v>
      </c>
      <c r="F16" s="21" t="s">
        <v>40</v>
      </c>
      <c r="G16" s="21" t="s">
        <v>30</v>
      </c>
      <c r="H16" s="21" t="s">
        <v>30</v>
      </c>
      <c r="I16" s="21" t="s">
        <v>31</v>
      </c>
      <c r="J16" s="21" t="s">
        <v>32</v>
      </c>
      <c r="K16" s="21" t="s">
        <v>33</v>
      </c>
      <c r="L16" s="4" t="s">
        <v>34</v>
      </c>
      <c r="M16" s="157">
        <v>11.238</v>
      </c>
      <c r="N16" s="4" t="s">
        <v>85</v>
      </c>
      <c r="O16" s="168">
        <v>5.5E-2</v>
      </c>
      <c r="P16" s="173">
        <v>5.1729999999999998E-2</v>
      </c>
      <c r="R16" s="157">
        <v>1681687</v>
      </c>
      <c r="S16" s="174">
        <v>1</v>
      </c>
      <c r="T16" s="176">
        <v>107.34</v>
      </c>
      <c r="U16" s="157">
        <v>1805.123</v>
      </c>
      <c r="W16" s="21" t="s">
        <v>36</v>
      </c>
      <c r="X16" s="177">
        <v>7.7999999999999999E-5</v>
      </c>
      <c r="Y16" s="173">
        <v>8.5118961005064397E-3</v>
      </c>
      <c r="Z16" s="173">
        <v>1.5570378402194099E-3</v>
      </c>
    </row>
    <row r="17" spans="1:26">
      <c r="A17" s="21">
        <v>419</v>
      </c>
      <c r="B17" s="21">
        <v>419</v>
      </c>
      <c r="C17" s="21" t="s">
        <v>86</v>
      </c>
      <c r="D17" s="21" t="s">
        <v>87</v>
      </c>
      <c r="E17" s="21" t="s">
        <v>88</v>
      </c>
      <c r="F17" s="21" t="s">
        <v>89</v>
      </c>
      <c r="G17" s="21" t="s">
        <v>30</v>
      </c>
      <c r="H17" s="21" t="s">
        <v>30</v>
      </c>
      <c r="I17" s="21" t="s">
        <v>31</v>
      </c>
      <c r="J17" s="21" t="s">
        <v>32</v>
      </c>
      <c r="K17" s="21" t="s">
        <v>33</v>
      </c>
      <c r="L17" s="4" t="s">
        <v>34</v>
      </c>
      <c r="M17" s="157">
        <v>1.6040000000000001</v>
      </c>
      <c r="N17" s="4" t="s">
        <v>90</v>
      </c>
      <c r="O17" s="168">
        <v>4.1700000000000001E-2</v>
      </c>
      <c r="P17" s="173">
        <v>4.718E-2</v>
      </c>
      <c r="R17" s="157">
        <v>8000000</v>
      </c>
      <c r="S17" s="174">
        <v>1</v>
      </c>
      <c r="T17" s="176">
        <v>99.82</v>
      </c>
      <c r="U17" s="157">
        <v>7985.6</v>
      </c>
      <c r="W17" s="21" t="s">
        <v>36</v>
      </c>
      <c r="X17" s="177">
        <v>3.77E-4</v>
      </c>
      <c r="Y17" s="173">
        <v>3.7655386397366E-2</v>
      </c>
      <c r="Z17" s="173">
        <v>6.8881082213038004E-3</v>
      </c>
    </row>
    <row r="18" spans="1:26">
      <c r="A18" s="21">
        <v>419</v>
      </c>
      <c r="B18" s="21">
        <v>419</v>
      </c>
      <c r="C18" s="21" t="s">
        <v>26</v>
      </c>
      <c r="D18" s="21" t="s">
        <v>91</v>
      </c>
      <c r="E18" s="21" t="s">
        <v>92</v>
      </c>
      <c r="F18" s="21" t="s">
        <v>29</v>
      </c>
      <c r="G18" s="21" t="s">
        <v>30</v>
      </c>
      <c r="H18" s="21" t="s">
        <v>30</v>
      </c>
      <c r="I18" s="21" t="s">
        <v>31</v>
      </c>
      <c r="J18" s="21" t="s">
        <v>32</v>
      </c>
      <c r="K18" s="21" t="s">
        <v>33</v>
      </c>
      <c r="L18" s="4" t="s">
        <v>34</v>
      </c>
      <c r="M18" s="157">
        <v>4.6100000000000003</v>
      </c>
      <c r="N18" s="4" t="s">
        <v>93</v>
      </c>
      <c r="O18" s="168">
        <v>5.0000000000000001E-3</v>
      </c>
      <c r="P18" s="173">
        <v>1.8280000000000001E-2</v>
      </c>
      <c r="R18" s="157">
        <v>4344540</v>
      </c>
      <c r="S18" s="174">
        <v>1</v>
      </c>
      <c r="T18" s="176">
        <v>108.85</v>
      </c>
      <c r="U18" s="157">
        <v>4729.0320000000002</v>
      </c>
      <c r="W18" s="21" t="s">
        <v>36</v>
      </c>
      <c r="X18" s="177">
        <v>1.6100000000000001E-4</v>
      </c>
      <c r="Y18" s="173">
        <v>2.2299328708910701E-2</v>
      </c>
      <c r="Z18" s="173">
        <v>4.0791027288501801E-3</v>
      </c>
    </row>
    <row r="19" spans="1:26">
      <c r="A19" s="21">
        <v>419</v>
      </c>
      <c r="B19" s="21">
        <v>419</v>
      </c>
      <c r="C19" s="21" t="s">
        <v>26</v>
      </c>
      <c r="D19" s="21" t="s">
        <v>94</v>
      </c>
      <c r="E19" s="21" t="s">
        <v>95</v>
      </c>
      <c r="F19" s="21" t="s">
        <v>29</v>
      </c>
      <c r="G19" s="21" t="s">
        <v>30</v>
      </c>
      <c r="H19" s="21" t="s">
        <v>30</v>
      </c>
      <c r="I19" s="21" t="s">
        <v>31</v>
      </c>
      <c r="J19" s="21" t="s">
        <v>32</v>
      </c>
      <c r="K19" s="21" t="s">
        <v>33</v>
      </c>
      <c r="L19" s="4" t="s">
        <v>34</v>
      </c>
      <c r="M19" s="157">
        <v>1.83</v>
      </c>
      <c r="N19" s="4" t="s">
        <v>96</v>
      </c>
      <c r="O19" s="168">
        <v>1E-3</v>
      </c>
      <c r="P19" s="173">
        <v>1.5679999999999999E-2</v>
      </c>
      <c r="R19" s="157">
        <v>5839415</v>
      </c>
      <c r="S19" s="174">
        <v>1</v>
      </c>
      <c r="T19" s="176">
        <v>112.44</v>
      </c>
      <c r="U19" s="157">
        <v>6565.8379999999997</v>
      </c>
      <c r="W19" s="21" t="s">
        <v>36</v>
      </c>
      <c r="X19" s="177">
        <v>2.8899999999999998E-4</v>
      </c>
      <c r="Y19" s="173">
        <v>3.0960626054726801E-2</v>
      </c>
      <c r="Z19" s="173">
        <v>5.66346977863421E-3</v>
      </c>
    </row>
    <row r="20" spans="1:26">
      <c r="A20" s="4">
        <v>419</v>
      </c>
      <c r="B20" s="4">
        <v>419</v>
      </c>
      <c r="C20" s="4" t="s">
        <v>26</v>
      </c>
      <c r="D20" s="4" t="s">
        <v>27</v>
      </c>
      <c r="E20" s="4" t="s">
        <v>28</v>
      </c>
      <c r="F20" s="21" t="s">
        <v>29</v>
      </c>
      <c r="G20" s="21" t="s">
        <v>30</v>
      </c>
      <c r="H20" s="21" t="s">
        <v>30</v>
      </c>
      <c r="I20" s="21" t="s">
        <v>31</v>
      </c>
      <c r="J20" s="4" t="s">
        <v>32</v>
      </c>
      <c r="K20" s="21" t="s">
        <v>33</v>
      </c>
      <c r="L20" s="4" t="s">
        <v>34</v>
      </c>
      <c r="M20" s="157">
        <v>3.972</v>
      </c>
      <c r="N20" s="4" t="s">
        <v>35</v>
      </c>
      <c r="O20" s="168">
        <v>1.0999999999999999E-2</v>
      </c>
      <c r="P20" s="173">
        <v>1.806E-2</v>
      </c>
      <c r="R20" s="157">
        <v>16000000</v>
      </c>
      <c r="S20" s="174">
        <v>1</v>
      </c>
      <c r="T20" s="176">
        <v>102.6</v>
      </c>
      <c r="U20" s="157">
        <v>16416</v>
      </c>
      <c r="W20" s="21" t="s">
        <v>36</v>
      </c>
      <c r="X20" s="177">
        <v>7.8399999999999997E-4</v>
      </c>
      <c r="Y20" s="173">
        <v>7.7408187625120195E-2</v>
      </c>
      <c r="Z20" s="173">
        <v>1.41598858646718E-2</v>
      </c>
    </row>
    <row r="21" spans="1:26">
      <c r="A21" s="4">
        <v>419</v>
      </c>
      <c r="B21" s="4">
        <v>419</v>
      </c>
      <c r="C21" s="4" t="s">
        <v>26</v>
      </c>
      <c r="D21" s="4" t="s">
        <v>97</v>
      </c>
      <c r="E21" s="4" t="s">
        <v>98</v>
      </c>
      <c r="F21" s="4" t="s">
        <v>29</v>
      </c>
      <c r="G21" s="4" t="s">
        <v>30</v>
      </c>
      <c r="H21" s="4" t="s">
        <v>30</v>
      </c>
      <c r="I21" s="4" t="s">
        <v>49</v>
      </c>
      <c r="J21" s="4" t="s">
        <v>32</v>
      </c>
      <c r="K21" s="4" t="s">
        <v>33</v>
      </c>
      <c r="L21" s="21" t="s">
        <v>34</v>
      </c>
      <c r="M21" s="157">
        <v>8.4309999999999992</v>
      </c>
      <c r="N21" s="4" t="s">
        <v>99</v>
      </c>
      <c r="O21" s="172">
        <v>1.6E-2</v>
      </c>
      <c r="P21" s="173">
        <v>2.128E-2</v>
      </c>
      <c r="R21" s="157">
        <v>13329242</v>
      </c>
      <c r="S21" s="174">
        <v>1</v>
      </c>
      <c r="T21" s="176">
        <v>100.1</v>
      </c>
      <c r="U21" s="157">
        <v>13342.571</v>
      </c>
      <c r="W21" s="4" t="s">
        <v>36</v>
      </c>
      <c r="X21" s="173">
        <v>1.3829999999999999E-3</v>
      </c>
      <c r="Y21" s="173">
        <v>6.2915707730401393E-2</v>
      </c>
      <c r="Z21" s="173">
        <v>1.15088502636435E-2</v>
      </c>
    </row>
    <row r="22" spans="1:26">
      <c r="A22" s="4">
        <v>419</v>
      </c>
      <c r="B22" s="4">
        <v>419</v>
      </c>
      <c r="C22" s="4" t="s">
        <v>37</v>
      </c>
      <c r="D22" s="4" t="s">
        <v>100</v>
      </c>
      <c r="E22" s="4" t="s">
        <v>101</v>
      </c>
      <c r="F22" s="4" t="s">
        <v>40</v>
      </c>
      <c r="G22" s="4" t="s">
        <v>30</v>
      </c>
      <c r="H22" s="4" t="s">
        <v>30</v>
      </c>
      <c r="I22" s="4" t="s">
        <v>31</v>
      </c>
      <c r="J22" s="4" t="s">
        <v>32</v>
      </c>
      <c r="K22" s="4" t="s">
        <v>33</v>
      </c>
      <c r="L22" s="21" t="s">
        <v>34</v>
      </c>
      <c r="M22" s="157">
        <v>11.205</v>
      </c>
      <c r="N22" s="4" t="s">
        <v>102</v>
      </c>
      <c r="O22" s="172">
        <v>1.4999999999999999E-2</v>
      </c>
      <c r="P22" s="173">
        <v>5.042E-2</v>
      </c>
      <c r="R22" s="157">
        <v>32627602</v>
      </c>
      <c r="S22" s="174">
        <v>1</v>
      </c>
      <c r="T22" s="176">
        <v>67.92</v>
      </c>
      <c r="U22" s="157">
        <v>22160.667000000001</v>
      </c>
      <c r="W22" s="4" t="s">
        <v>36</v>
      </c>
      <c r="X22" s="173">
        <v>1.0169999999999999E-3</v>
      </c>
      <c r="Y22" s="173">
        <v>0.104496655128183</v>
      </c>
      <c r="Z22" s="173">
        <v>1.9115041383230402E-2</v>
      </c>
    </row>
    <row r="23" spans="1:26">
      <c r="A23" s="4">
        <v>419</v>
      </c>
      <c r="B23" s="4">
        <v>419</v>
      </c>
      <c r="C23" s="4" t="s">
        <v>37</v>
      </c>
      <c r="D23" s="4" t="s">
        <v>38</v>
      </c>
      <c r="E23" s="4" t="s">
        <v>39</v>
      </c>
      <c r="F23" s="4" t="s">
        <v>40</v>
      </c>
      <c r="G23" s="4" t="s">
        <v>30</v>
      </c>
      <c r="H23" s="4" t="s">
        <v>30</v>
      </c>
      <c r="I23" s="4" t="s">
        <v>31</v>
      </c>
      <c r="J23" s="4" t="s">
        <v>32</v>
      </c>
      <c r="K23" s="4" t="s">
        <v>33</v>
      </c>
      <c r="L23" s="21" t="s">
        <v>34</v>
      </c>
      <c r="M23" s="157">
        <v>5.33</v>
      </c>
      <c r="N23" s="4" t="s">
        <v>41</v>
      </c>
      <c r="O23" s="172">
        <v>0.01</v>
      </c>
      <c r="P23" s="173">
        <v>4.6289999999999998E-2</v>
      </c>
      <c r="R23" s="157">
        <v>9000000</v>
      </c>
      <c r="S23" s="174">
        <v>1</v>
      </c>
      <c r="T23" s="176">
        <v>83.24</v>
      </c>
      <c r="U23" s="157">
        <v>7491.6</v>
      </c>
      <c r="W23" s="4" t="s">
        <v>36</v>
      </c>
      <c r="X23" s="173">
        <v>2.3800000000000001E-4</v>
      </c>
      <c r="Y23" s="173">
        <v>3.53259733438323E-2</v>
      </c>
      <c r="Z23" s="173">
        <v>6.4620005448206199E-3</v>
      </c>
    </row>
    <row r="24" spans="1:26">
      <c r="A24" s="4">
        <v>419</v>
      </c>
      <c r="B24" s="4">
        <v>419</v>
      </c>
      <c r="C24" s="4" t="s">
        <v>37</v>
      </c>
      <c r="D24" s="4" t="s">
        <v>103</v>
      </c>
      <c r="E24" s="4" t="s">
        <v>104</v>
      </c>
      <c r="F24" s="4" t="s">
        <v>40</v>
      </c>
      <c r="G24" s="4" t="s">
        <v>30</v>
      </c>
      <c r="H24" s="4" t="s">
        <v>30</v>
      </c>
      <c r="I24" s="4" t="s">
        <v>31</v>
      </c>
      <c r="J24" s="4" t="s">
        <v>32</v>
      </c>
      <c r="K24" s="4" t="s">
        <v>33</v>
      </c>
      <c r="L24" s="21" t="s">
        <v>34</v>
      </c>
      <c r="M24" s="157">
        <v>7.1239999999999997</v>
      </c>
      <c r="N24" s="4" t="s">
        <v>105</v>
      </c>
      <c r="O24" s="172">
        <v>1.2999999999999999E-2</v>
      </c>
      <c r="P24" s="173">
        <v>4.7539999999999999E-2</v>
      </c>
      <c r="R24" s="157">
        <v>15531634</v>
      </c>
      <c r="S24" s="174">
        <v>1</v>
      </c>
      <c r="T24" s="176">
        <v>78.98</v>
      </c>
      <c r="U24" s="157">
        <v>12266.885</v>
      </c>
      <c r="W24" s="4" t="s">
        <v>36</v>
      </c>
      <c r="X24" s="173">
        <v>5.1800000000000001E-4</v>
      </c>
      <c r="Y24" s="173">
        <v>5.7843402748637397E-2</v>
      </c>
      <c r="Z24" s="173">
        <v>1.05809993241484E-2</v>
      </c>
    </row>
    <row r="25" spans="1:26">
      <c r="A25" s="4">
        <v>419</v>
      </c>
      <c r="B25" s="4">
        <v>1472</v>
      </c>
      <c r="C25" s="4" t="s">
        <v>42</v>
      </c>
      <c r="D25" s="4" t="s">
        <v>106</v>
      </c>
      <c r="E25" s="4" t="s">
        <v>107</v>
      </c>
      <c r="F25" s="4" t="s">
        <v>45</v>
      </c>
      <c r="G25" s="4" t="s">
        <v>30</v>
      </c>
      <c r="H25" s="4" t="s">
        <v>30</v>
      </c>
      <c r="I25" s="4" t="s">
        <v>49</v>
      </c>
      <c r="J25" s="4" t="s">
        <v>32</v>
      </c>
      <c r="K25" s="4" t="s">
        <v>33</v>
      </c>
      <c r="L25" s="21" t="s">
        <v>34</v>
      </c>
      <c r="M25" s="157">
        <v>0.42</v>
      </c>
      <c r="N25" s="4" t="s">
        <v>108</v>
      </c>
      <c r="O25" s="172">
        <v>0</v>
      </c>
      <c r="P25" s="173">
        <v>4.3490000000000001E-2</v>
      </c>
      <c r="R25" s="157">
        <v>400000</v>
      </c>
      <c r="S25" s="174">
        <v>1</v>
      </c>
      <c r="T25" s="176">
        <v>98.22</v>
      </c>
      <c r="U25" s="157">
        <v>392.88</v>
      </c>
      <c r="W25" s="4" t="s">
        <v>36</v>
      </c>
      <c r="X25" s="173">
        <v>3.3000000000000003E-5</v>
      </c>
      <c r="Y25" s="173">
        <v>4.6645834780118897E-2</v>
      </c>
      <c r="Z25" s="173">
        <v>3.7654020823098003E-2</v>
      </c>
    </row>
    <row r="26" spans="1:26">
      <c r="A26" s="4">
        <v>419</v>
      </c>
      <c r="B26" s="4">
        <v>1472</v>
      </c>
      <c r="C26" s="4" t="s">
        <v>42</v>
      </c>
      <c r="D26" s="4" t="s">
        <v>109</v>
      </c>
      <c r="E26" s="4" t="s">
        <v>110</v>
      </c>
      <c r="F26" s="4" t="s">
        <v>45</v>
      </c>
      <c r="G26" s="4" t="s">
        <v>30</v>
      </c>
      <c r="H26" s="4" t="s">
        <v>30</v>
      </c>
      <c r="I26" s="4" t="s">
        <v>49</v>
      </c>
      <c r="J26" s="4" t="s">
        <v>32</v>
      </c>
      <c r="K26" s="4" t="s">
        <v>33</v>
      </c>
      <c r="L26" s="21" t="s">
        <v>34</v>
      </c>
      <c r="M26" s="157">
        <v>0.92</v>
      </c>
      <c r="N26" s="4" t="s">
        <v>111</v>
      </c>
      <c r="O26" s="172">
        <v>0</v>
      </c>
      <c r="P26" s="173">
        <v>4.2979999999999997E-2</v>
      </c>
      <c r="R26" s="157">
        <v>735034</v>
      </c>
      <c r="S26" s="174">
        <v>1</v>
      </c>
      <c r="T26" s="176">
        <v>96.2</v>
      </c>
      <c r="U26" s="157">
        <v>707.10299999999995</v>
      </c>
      <c r="W26" s="4" t="s">
        <v>36</v>
      </c>
      <c r="X26" s="173">
        <v>6.0999999999999999E-5</v>
      </c>
      <c r="Y26" s="173">
        <v>8.3952850972161194E-2</v>
      </c>
      <c r="Z26" s="173">
        <v>6.7769446373195305E-2</v>
      </c>
    </row>
    <row r="27" spans="1:26">
      <c r="A27" s="4">
        <v>419</v>
      </c>
      <c r="B27" s="4">
        <v>1472</v>
      </c>
      <c r="C27" s="4" t="s">
        <v>42</v>
      </c>
      <c r="D27" s="4" t="s">
        <v>112</v>
      </c>
      <c r="E27" s="4" t="s">
        <v>113</v>
      </c>
      <c r="F27" s="4" t="s">
        <v>45</v>
      </c>
      <c r="G27" s="4" t="s">
        <v>30</v>
      </c>
      <c r="H27" s="4" t="s">
        <v>30</v>
      </c>
      <c r="I27" s="4" t="s">
        <v>31</v>
      </c>
      <c r="J27" s="4" t="s">
        <v>32</v>
      </c>
      <c r="K27" s="4" t="s">
        <v>33</v>
      </c>
      <c r="L27" s="4" t="s">
        <v>34</v>
      </c>
      <c r="M27" s="157">
        <v>0.18</v>
      </c>
      <c r="N27" s="4" t="s">
        <v>114</v>
      </c>
      <c r="O27" s="172">
        <v>0</v>
      </c>
      <c r="P27" s="173">
        <v>4.3360000000000003E-2</v>
      </c>
      <c r="R27" s="157">
        <v>505770</v>
      </c>
      <c r="S27" s="174">
        <v>1</v>
      </c>
      <c r="T27" s="176">
        <v>99.27</v>
      </c>
      <c r="U27" s="157">
        <v>502.07799999999997</v>
      </c>
      <c r="W27" s="4" t="s">
        <v>36</v>
      </c>
      <c r="X27" s="173">
        <v>1.2999999999999999E-5</v>
      </c>
      <c r="Y27" s="173">
        <v>5.9610674482250402E-2</v>
      </c>
      <c r="Z27" s="173">
        <v>4.8119657174411697E-2</v>
      </c>
    </row>
    <row r="28" spans="1:26">
      <c r="A28" s="4">
        <v>419</v>
      </c>
      <c r="B28" s="4">
        <v>1472</v>
      </c>
      <c r="C28" s="4" t="s">
        <v>42</v>
      </c>
      <c r="D28" s="4" t="s">
        <v>47</v>
      </c>
      <c r="E28" s="4" t="s">
        <v>48</v>
      </c>
      <c r="F28" s="4" t="s">
        <v>45</v>
      </c>
      <c r="G28" s="4" t="s">
        <v>30</v>
      </c>
      <c r="H28" s="4" t="s">
        <v>30</v>
      </c>
      <c r="I28" s="4" t="s">
        <v>49</v>
      </c>
      <c r="J28" s="4" t="s">
        <v>32</v>
      </c>
      <c r="K28" s="4" t="s">
        <v>33</v>
      </c>
      <c r="L28" s="4" t="s">
        <v>34</v>
      </c>
      <c r="M28" s="157">
        <v>0.55600000000000005</v>
      </c>
      <c r="N28" s="4" t="s">
        <v>50</v>
      </c>
      <c r="O28" s="172">
        <v>0</v>
      </c>
      <c r="P28" s="173">
        <v>4.3150000000000001E-2</v>
      </c>
      <c r="R28" s="157">
        <v>5718</v>
      </c>
      <c r="S28" s="174">
        <v>1</v>
      </c>
      <c r="T28" s="176">
        <v>97.52</v>
      </c>
      <c r="U28" s="157">
        <v>5.5759999999999996</v>
      </c>
      <c r="W28" s="4" t="s">
        <v>36</v>
      </c>
      <c r="X28" s="173">
        <v>0</v>
      </c>
      <c r="Y28" s="173">
        <v>6.6205000348085001E-4</v>
      </c>
      <c r="Z28" s="173">
        <v>5.3442809490945203E-4</v>
      </c>
    </row>
    <row r="29" spans="1:26">
      <c r="A29" s="4">
        <v>419</v>
      </c>
      <c r="B29" s="4">
        <v>1472</v>
      </c>
      <c r="C29" s="4" t="s">
        <v>42</v>
      </c>
      <c r="D29" s="4" t="s">
        <v>115</v>
      </c>
      <c r="E29" s="4" t="s">
        <v>116</v>
      </c>
      <c r="F29" s="4" t="s">
        <v>45</v>
      </c>
      <c r="G29" s="4" t="s">
        <v>30</v>
      </c>
      <c r="H29" s="4" t="s">
        <v>30</v>
      </c>
      <c r="I29" s="4" t="s">
        <v>49</v>
      </c>
      <c r="J29" s="4" t="s">
        <v>32</v>
      </c>
      <c r="K29" s="4" t="s">
        <v>33</v>
      </c>
      <c r="L29" s="4" t="s">
        <v>34</v>
      </c>
      <c r="M29" s="157">
        <v>0.63300000000000001</v>
      </c>
      <c r="N29" s="4" t="s">
        <v>117</v>
      </c>
      <c r="O29" s="172">
        <v>0</v>
      </c>
      <c r="P29" s="173">
        <v>4.2900000000000001E-2</v>
      </c>
      <c r="R29" s="157">
        <v>51600</v>
      </c>
      <c r="S29" s="174">
        <v>1</v>
      </c>
      <c r="T29" s="176">
        <v>97.22</v>
      </c>
      <c r="U29" s="157">
        <v>50.165999999999997</v>
      </c>
      <c r="W29" s="4" t="s">
        <v>36</v>
      </c>
      <c r="X29" s="173">
        <v>3.9999999999999998E-6</v>
      </c>
      <c r="Y29" s="173">
        <v>5.9560490673456297E-3</v>
      </c>
      <c r="Z29" s="173">
        <v>4.8079147186966403E-3</v>
      </c>
    </row>
    <row r="30" spans="1:26">
      <c r="A30" s="4">
        <v>419</v>
      </c>
      <c r="B30" s="4">
        <v>1472</v>
      </c>
      <c r="C30" s="4" t="s">
        <v>42</v>
      </c>
      <c r="D30" s="4" t="s">
        <v>51</v>
      </c>
      <c r="E30" s="4" t="s">
        <v>52</v>
      </c>
      <c r="F30" s="4" t="s">
        <v>45</v>
      </c>
      <c r="G30" s="4" t="s">
        <v>30</v>
      </c>
      <c r="H30" s="4" t="s">
        <v>30</v>
      </c>
      <c r="I30" s="4" t="s">
        <v>49</v>
      </c>
      <c r="J30" s="4" t="s">
        <v>32</v>
      </c>
      <c r="K30" s="4" t="s">
        <v>33</v>
      </c>
      <c r="L30" s="4" t="s">
        <v>34</v>
      </c>
      <c r="M30" s="157">
        <v>0.748</v>
      </c>
      <c r="N30" s="4" t="s">
        <v>53</v>
      </c>
      <c r="O30" s="172">
        <v>0</v>
      </c>
      <c r="P30" s="173">
        <v>4.2999999999999997E-2</v>
      </c>
      <c r="R30" s="157">
        <v>200000</v>
      </c>
      <c r="S30" s="174">
        <v>1</v>
      </c>
      <c r="T30" s="176">
        <v>96.9</v>
      </c>
      <c r="U30" s="157">
        <v>193.8</v>
      </c>
      <c r="W30" s="4" t="s">
        <v>36</v>
      </c>
      <c r="X30" s="173">
        <v>1.7E-5</v>
      </c>
      <c r="Y30" s="173">
        <v>2.3009475616949299E-2</v>
      </c>
      <c r="Z30" s="173">
        <v>1.85739901127988E-2</v>
      </c>
    </row>
    <row r="31" spans="1:26">
      <c r="A31" s="4">
        <v>419</v>
      </c>
      <c r="B31" s="4">
        <v>1472</v>
      </c>
      <c r="C31" s="4" t="s">
        <v>26</v>
      </c>
      <c r="D31" s="4" t="s">
        <v>54</v>
      </c>
      <c r="E31" s="4" t="s">
        <v>55</v>
      </c>
      <c r="F31" s="4" t="s">
        <v>29</v>
      </c>
      <c r="G31" s="4" t="s">
        <v>30</v>
      </c>
      <c r="H31" s="4" t="s">
        <v>30</v>
      </c>
      <c r="I31" s="4" t="s">
        <v>31</v>
      </c>
      <c r="J31" s="4" t="s">
        <v>32</v>
      </c>
      <c r="K31" s="4" t="s">
        <v>33</v>
      </c>
      <c r="L31" s="4" t="s">
        <v>34</v>
      </c>
      <c r="M31" s="157">
        <v>2.64</v>
      </c>
      <c r="N31" s="4" t="s">
        <v>56</v>
      </c>
      <c r="O31" s="172">
        <v>7.4999999999999997E-3</v>
      </c>
      <c r="P31" s="173">
        <v>1.6299999999999999E-2</v>
      </c>
      <c r="R31" s="157">
        <v>518795</v>
      </c>
      <c r="S31" s="174">
        <v>1</v>
      </c>
      <c r="T31" s="176">
        <v>114.25</v>
      </c>
      <c r="U31" s="157">
        <v>592.72299999999996</v>
      </c>
      <c r="W31" s="4" t="s">
        <v>36</v>
      </c>
      <c r="X31" s="173">
        <v>2.3E-5</v>
      </c>
      <c r="Y31" s="173">
        <v>7.0372817499119097E-2</v>
      </c>
      <c r="Z31" s="173">
        <v>5.6807205787670699E-2</v>
      </c>
    </row>
    <row r="32" spans="1:26">
      <c r="A32" s="4">
        <v>419</v>
      </c>
      <c r="B32" s="4">
        <v>1472</v>
      </c>
      <c r="C32" s="4" t="s">
        <v>26</v>
      </c>
      <c r="D32" s="4" t="s">
        <v>60</v>
      </c>
      <c r="E32" s="4" t="s">
        <v>61</v>
      </c>
      <c r="F32" s="4" t="s">
        <v>29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57">
        <v>1.0720000000000001</v>
      </c>
      <c r="N32" s="4" t="s">
        <v>62</v>
      </c>
      <c r="O32" s="172">
        <v>7.4999999999999997E-3</v>
      </c>
      <c r="P32" s="173">
        <v>1.303E-2</v>
      </c>
      <c r="R32" s="157">
        <v>565987</v>
      </c>
      <c r="S32" s="174">
        <v>1</v>
      </c>
      <c r="T32" s="176">
        <v>116.02</v>
      </c>
      <c r="U32" s="157">
        <v>656.65800000000002</v>
      </c>
      <c r="W32" s="4" t="s">
        <v>36</v>
      </c>
      <c r="X32" s="173">
        <v>2.5999999999999998E-5</v>
      </c>
      <c r="Y32" s="173">
        <v>7.7963668426146202E-2</v>
      </c>
      <c r="Z32" s="173">
        <v>6.2934785242913599E-2</v>
      </c>
    </row>
    <row r="33" spans="1:26">
      <c r="A33" s="4">
        <v>419</v>
      </c>
      <c r="B33" s="4">
        <v>1472</v>
      </c>
      <c r="C33" s="4" t="s">
        <v>37</v>
      </c>
      <c r="D33" s="4" t="s">
        <v>118</v>
      </c>
      <c r="E33" s="4" t="s">
        <v>119</v>
      </c>
      <c r="F33" s="4" t="s">
        <v>40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57">
        <v>3.86</v>
      </c>
      <c r="N33" s="4" t="s">
        <v>120</v>
      </c>
      <c r="O33" s="172">
        <v>2.2499999999999999E-2</v>
      </c>
      <c r="P33" s="173">
        <v>4.5159999999999999E-2</v>
      </c>
      <c r="R33" s="157">
        <v>573097</v>
      </c>
      <c r="S33" s="174">
        <v>1</v>
      </c>
      <c r="T33" s="176">
        <v>91.9</v>
      </c>
      <c r="U33" s="157">
        <v>526.67600000000004</v>
      </c>
      <c r="W33" s="4" t="s">
        <v>36</v>
      </c>
      <c r="X33" s="173">
        <v>1.7E-5</v>
      </c>
      <c r="Y33" s="173">
        <v>6.2531175801792599E-2</v>
      </c>
      <c r="Z33" s="173">
        <v>5.0477179941842101E-2</v>
      </c>
    </row>
    <row r="34" spans="1:26">
      <c r="A34" s="4">
        <v>419</v>
      </c>
      <c r="B34" s="4">
        <v>1472</v>
      </c>
      <c r="C34" s="4" t="s">
        <v>37</v>
      </c>
      <c r="D34" s="4" t="s">
        <v>71</v>
      </c>
      <c r="E34" s="4" t="s">
        <v>72</v>
      </c>
      <c r="F34" s="4" t="s">
        <v>40</v>
      </c>
      <c r="G34" s="4" t="s">
        <v>30</v>
      </c>
      <c r="H34" s="4" t="s">
        <v>30</v>
      </c>
      <c r="I34" s="4" t="s">
        <v>31</v>
      </c>
      <c r="J34" s="4" t="s">
        <v>32</v>
      </c>
      <c r="K34" s="4" t="s">
        <v>33</v>
      </c>
      <c r="L34" s="4" t="s">
        <v>34</v>
      </c>
      <c r="M34" s="157">
        <v>4.0549999999999997</v>
      </c>
      <c r="N34" s="4" t="s">
        <v>73</v>
      </c>
      <c r="O34" s="172">
        <v>3.7499999999999999E-2</v>
      </c>
      <c r="P34" s="173">
        <v>4.5620000000000001E-2</v>
      </c>
      <c r="R34" s="157">
        <v>595150</v>
      </c>
      <c r="S34" s="174">
        <v>1</v>
      </c>
      <c r="T34" s="176">
        <v>99.02</v>
      </c>
      <c r="U34" s="157">
        <v>589.31799999999998</v>
      </c>
      <c r="W34" s="4" t="s">
        <v>36</v>
      </c>
      <c r="X34" s="173">
        <v>1.8E-5</v>
      </c>
      <c r="Y34" s="173">
        <v>6.9968458912155806E-2</v>
      </c>
      <c r="Z34" s="173">
        <v>5.6480794507321998E-2</v>
      </c>
    </row>
    <row r="35" spans="1:26">
      <c r="A35" s="4">
        <v>419</v>
      </c>
      <c r="B35" s="4">
        <v>1472</v>
      </c>
      <c r="C35" s="4" t="s">
        <v>86</v>
      </c>
      <c r="D35" s="4" t="s">
        <v>87</v>
      </c>
      <c r="E35" s="4" t="s">
        <v>88</v>
      </c>
      <c r="F35" s="4" t="s">
        <v>89</v>
      </c>
      <c r="G35" s="4" t="s">
        <v>30</v>
      </c>
      <c r="H35" s="4" t="s">
        <v>30</v>
      </c>
      <c r="I35" s="4" t="s">
        <v>31</v>
      </c>
      <c r="J35" s="4" t="s">
        <v>32</v>
      </c>
      <c r="K35" s="4" t="s">
        <v>33</v>
      </c>
      <c r="L35" s="4" t="s">
        <v>34</v>
      </c>
      <c r="M35" s="157">
        <v>1.6040000000000001</v>
      </c>
      <c r="N35" s="4" t="s">
        <v>90</v>
      </c>
      <c r="O35" s="172">
        <v>4.1700000000000001E-2</v>
      </c>
      <c r="P35" s="173">
        <v>4.718E-2</v>
      </c>
      <c r="R35" s="157">
        <v>860613</v>
      </c>
      <c r="S35" s="174">
        <v>1</v>
      </c>
      <c r="T35" s="176">
        <v>99.82</v>
      </c>
      <c r="U35" s="157">
        <v>859.06399999999996</v>
      </c>
      <c r="W35" s="4" t="s">
        <v>36</v>
      </c>
      <c r="X35" s="173">
        <v>4.1E-5</v>
      </c>
      <c r="Y35" s="173">
        <v>0.101994890517127</v>
      </c>
      <c r="Z35" s="173">
        <v>8.2333562031531402E-2</v>
      </c>
    </row>
    <row r="36" spans="1:26">
      <c r="A36" s="4">
        <v>419</v>
      </c>
      <c r="B36" s="4">
        <v>1472</v>
      </c>
      <c r="C36" s="4" t="s">
        <v>26</v>
      </c>
      <c r="D36" s="4" t="s">
        <v>91</v>
      </c>
      <c r="E36" s="4" t="s">
        <v>92</v>
      </c>
      <c r="F36" s="4" t="s">
        <v>29</v>
      </c>
      <c r="G36" s="4" t="s">
        <v>30</v>
      </c>
      <c r="H36" s="4" t="s">
        <v>30</v>
      </c>
      <c r="I36" s="4" t="s">
        <v>31</v>
      </c>
      <c r="J36" s="4" t="s">
        <v>32</v>
      </c>
      <c r="K36" s="4" t="s">
        <v>33</v>
      </c>
      <c r="L36" s="4" t="s">
        <v>34</v>
      </c>
      <c r="M36" s="157">
        <v>4.6100000000000003</v>
      </c>
      <c r="N36" s="4" t="s">
        <v>93</v>
      </c>
      <c r="O36" s="172">
        <v>5.0000000000000001E-3</v>
      </c>
      <c r="P36" s="173">
        <v>1.8280000000000001E-2</v>
      </c>
      <c r="R36" s="157">
        <v>1404351</v>
      </c>
      <c r="S36" s="174">
        <v>1</v>
      </c>
      <c r="T36" s="176">
        <v>108.85</v>
      </c>
      <c r="U36" s="157">
        <v>1528.636</v>
      </c>
      <c r="W36" s="4" t="s">
        <v>36</v>
      </c>
      <c r="X36" s="173">
        <v>5.1999999999999997E-5</v>
      </c>
      <c r="Y36" s="173">
        <v>0.18149181749377</v>
      </c>
      <c r="Z36" s="173">
        <v>0.146506042979962</v>
      </c>
    </row>
    <row r="37" spans="1:26">
      <c r="A37" s="4">
        <v>419</v>
      </c>
      <c r="B37" s="4">
        <v>1472</v>
      </c>
      <c r="C37" s="4" t="s">
        <v>26</v>
      </c>
      <c r="D37" s="4" t="s">
        <v>94</v>
      </c>
      <c r="E37" s="4" t="s">
        <v>95</v>
      </c>
      <c r="F37" s="4" t="s">
        <v>29</v>
      </c>
      <c r="G37" s="4" t="s">
        <v>30</v>
      </c>
      <c r="H37" s="4" t="s">
        <v>30</v>
      </c>
      <c r="I37" s="4" t="s">
        <v>31</v>
      </c>
      <c r="J37" s="4" t="s">
        <v>32</v>
      </c>
      <c r="K37" s="4" t="s">
        <v>33</v>
      </c>
      <c r="L37" s="4" t="s">
        <v>34</v>
      </c>
      <c r="M37" s="157">
        <v>1.83</v>
      </c>
      <c r="N37" s="4" t="s">
        <v>96</v>
      </c>
      <c r="O37" s="172">
        <v>1E-3</v>
      </c>
      <c r="P37" s="173">
        <v>1.5679999999999999E-2</v>
      </c>
      <c r="R37" s="157">
        <v>860810</v>
      </c>
      <c r="S37" s="174">
        <v>1</v>
      </c>
      <c r="T37" s="176">
        <v>112.44</v>
      </c>
      <c r="U37" s="157">
        <v>967.89499999999998</v>
      </c>
      <c r="W37" s="4" t="s">
        <v>36</v>
      </c>
      <c r="X37" s="173">
        <v>4.3000000000000002E-5</v>
      </c>
      <c r="Y37" s="173">
        <v>0.114916155686434</v>
      </c>
      <c r="Z37" s="173">
        <v>9.2764023615922106E-2</v>
      </c>
    </row>
    <row r="38" spans="1:26">
      <c r="A38" s="4">
        <v>419</v>
      </c>
      <c r="B38" s="4">
        <v>1472</v>
      </c>
      <c r="C38" s="4" t="s">
        <v>26</v>
      </c>
      <c r="D38" s="4" t="s">
        <v>27</v>
      </c>
      <c r="E38" s="4" t="s">
        <v>28</v>
      </c>
      <c r="F38" s="4" t="s">
        <v>29</v>
      </c>
      <c r="G38" s="4" t="s">
        <v>30</v>
      </c>
      <c r="H38" s="4" t="s">
        <v>30</v>
      </c>
      <c r="I38" s="4" t="s">
        <v>31</v>
      </c>
      <c r="J38" s="4" t="s">
        <v>32</v>
      </c>
      <c r="K38" s="4" t="s">
        <v>33</v>
      </c>
      <c r="L38" s="4" t="s">
        <v>34</v>
      </c>
      <c r="M38" s="157">
        <v>3.972</v>
      </c>
      <c r="N38" s="4" t="s">
        <v>35</v>
      </c>
      <c r="O38" s="172">
        <v>1.0999999999999999E-2</v>
      </c>
      <c r="P38" s="173">
        <v>1.806E-2</v>
      </c>
      <c r="R38" s="157">
        <v>677464</v>
      </c>
      <c r="S38" s="174">
        <v>1</v>
      </c>
      <c r="T38" s="176">
        <v>102.6</v>
      </c>
      <c r="U38" s="157">
        <v>695.07799999999997</v>
      </c>
      <c r="W38" s="4" t="s">
        <v>36</v>
      </c>
      <c r="X38" s="173">
        <v>3.3000000000000003E-5</v>
      </c>
      <c r="Y38" s="173">
        <v>8.2525189708381505E-2</v>
      </c>
      <c r="Z38" s="173">
        <v>6.6616992199996505E-2</v>
      </c>
    </row>
    <row r="39" spans="1:26">
      <c r="A39" s="4">
        <v>419</v>
      </c>
      <c r="B39" s="4">
        <v>1472</v>
      </c>
      <c r="C39" s="4" t="s">
        <v>26</v>
      </c>
      <c r="D39" s="4" t="s">
        <v>97</v>
      </c>
      <c r="E39" s="4" t="s">
        <v>98</v>
      </c>
      <c r="F39" s="4" t="s">
        <v>29</v>
      </c>
      <c r="G39" s="4" t="s">
        <v>30</v>
      </c>
      <c r="H39" s="4" t="s">
        <v>30</v>
      </c>
      <c r="I39" s="4" t="s">
        <v>49</v>
      </c>
      <c r="J39" s="4" t="s">
        <v>32</v>
      </c>
      <c r="K39" s="4" t="s">
        <v>33</v>
      </c>
      <c r="L39" s="4" t="s">
        <v>34</v>
      </c>
      <c r="M39" s="157">
        <v>8.4309999999999992</v>
      </c>
      <c r="N39" s="4" t="s">
        <v>99</v>
      </c>
      <c r="O39" s="172">
        <v>1.6E-2</v>
      </c>
      <c r="P39" s="173">
        <v>2.128E-2</v>
      </c>
      <c r="R39" s="157">
        <v>154812</v>
      </c>
      <c r="S39" s="174">
        <v>1</v>
      </c>
      <c r="T39" s="176">
        <v>100.1</v>
      </c>
      <c r="U39" s="157">
        <v>154.96700000000001</v>
      </c>
      <c r="W39" s="4" t="s">
        <v>36</v>
      </c>
      <c r="X39" s="173">
        <v>1.5999999999999999E-5</v>
      </c>
      <c r="Y39" s="173">
        <v>1.8398891032767602E-2</v>
      </c>
      <c r="Z39" s="173">
        <v>1.48521776775023E-2</v>
      </c>
    </row>
    <row r="40" spans="1:26">
      <c r="X40" s="154"/>
    </row>
    <row r="41" spans="1:26">
      <c r="X41" s="154"/>
    </row>
    <row r="42" spans="1:26">
      <c r="X42" s="154"/>
    </row>
    <row r="43" spans="1:26">
      <c r="X43" s="154"/>
    </row>
    <row r="44" spans="1:26">
      <c r="X44" s="154"/>
    </row>
    <row r="45" spans="1:26">
      <c r="X45" s="154"/>
    </row>
    <row r="46" spans="1:26">
      <c r="X46" s="154"/>
    </row>
    <row r="47" spans="1:26">
      <c r="X47" s="154"/>
    </row>
    <row r="48" spans="1:26">
      <c r="X48" s="154"/>
    </row>
    <row r="49" spans="24:24">
      <c r="X49" s="154"/>
    </row>
    <row r="50" spans="24:24">
      <c r="X50" s="154"/>
    </row>
    <row r="51" spans="24:24">
      <c r="X51" s="154"/>
    </row>
    <row r="52" spans="24:24">
      <c r="X52" s="154"/>
    </row>
    <row r="53" spans="24:24">
      <c r="X53" s="154"/>
    </row>
    <row r="54" spans="24:24">
      <c r="X54" s="154"/>
    </row>
    <row r="55" spans="24:24">
      <c r="X55" s="154"/>
    </row>
    <row r="56" spans="24:24">
      <c r="X56" s="154"/>
    </row>
    <row r="57" spans="24:24">
      <c r="X57" s="154"/>
    </row>
    <row r="58" spans="24:24">
      <c r="X58" s="154"/>
    </row>
    <row r="59" spans="24:24">
      <c r="X59" s="154"/>
    </row>
    <row r="60" spans="24:24">
      <c r="X60" s="154"/>
    </row>
    <row r="61" spans="24:24">
      <c r="X61" s="154"/>
    </row>
    <row r="62" spans="24:24">
      <c r="X62" s="154"/>
    </row>
    <row r="63" spans="24:24">
      <c r="X63" s="154"/>
    </row>
    <row r="64" spans="24:24">
      <c r="X64" s="154"/>
    </row>
    <row r="65" spans="24:24">
      <c r="X65" s="154"/>
    </row>
    <row r="66" spans="24:24">
      <c r="X66" s="154"/>
    </row>
    <row r="67" spans="24:24">
      <c r="X67" s="154"/>
    </row>
    <row r="68" spans="24:24">
      <c r="X68" s="154"/>
    </row>
    <row r="69" spans="24:24">
      <c r="X69" s="154"/>
    </row>
    <row r="70" spans="24:24">
      <c r="X70" s="154"/>
    </row>
    <row r="71" spans="24:24">
      <c r="X71" s="154"/>
    </row>
    <row r="72" spans="24:24">
      <c r="X72" s="154"/>
    </row>
    <row r="73" spans="24:24">
      <c r="X73" s="154"/>
    </row>
    <row r="74" spans="24:24">
      <c r="X74" s="154"/>
    </row>
    <row r="75" spans="24:24">
      <c r="X75" s="154"/>
    </row>
    <row r="76" spans="24:24">
      <c r="X76" s="154"/>
    </row>
    <row r="77" spans="24:24">
      <c r="X77" s="154"/>
    </row>
    <row r="78" spans="24:24">
      <c r="X78" s="154"/>
    </row>
    <row r="79" spans="24:24">
      <c r="X79" s="154"/>
    </row>
    <row r="80" spans="24:24">
      <c r="X80" s="154"/>
    </row>
    <row r="81" spans="24:24">
      <c r="X81" s="154"/>
    </row>
    <row r="82" spans="24:24">
      <c r="X82" s="154"/>
    </row>
    <row r="83" spans="24:24">
      <c r="X83" s="154"/>
    </row>
    <row r="84" spans="24:24">
      <c r="X84" s="154"/>
    </row>
    <row r="85" spans="24:24">
      <c r="X85" s="154"/>
    </row>
    <row r="86" spans="24:24">
      <c r="X86" s="154"/>
    </row>
    <row r="87" spans="24:24">
      <c r="X87" s="154"/>
    </row>
    <row r="88" spans="24:24">
      <c r="X88" s="154"/>
    </row>
    <row r="89" spans="24:24">
      <c r="X89" s="154"/>
    </row>
    <row r="90" spans="24:24">
      <c r="X90" s="154"/>
    </row>
    <row r="91" spans="24:24">
      <c r="X91" s="154"/>
    </row>
    <row r="92" spans="24:24">
      <c r="X92" s="154"/>
    </row>
    <row r="93" spans="24:24">
      <c r="X93" s="154"/>
    </row>
    <row r="94" spans="24:24">
      <c r="X94" s="154"/>
    </row>
    <row r="95" spans="24:24">
      <c r="X95" s="154"/>
    </row>
    <row r="96" spans="24:24">
      <c r="X96" s="154"/>
    </row>
    <row r="97" spans="24:24">
      <c r="X97" s="154"/>
    </row>
    <row r="98" spans="24:24">
      <c r="X98" s="154"/>
    </row>
    <row r="99" spans="24:24">
      <c r="X99" s="154"/>
    </row>
    <row r="100" spans="24:24">
      <c r="X100" s="154"/>
    </row>
    <row r="101" spans="24:24">
      <c r="X101" s="154"/>
    </row>
    <row r="102" spans="24:24">
      <c r="X102" s="154"/>
    </row>
    <row r="103" spans="24:24">
      <c r="X103" s="154"/>
    </row>
    <row r="104" spans="24:24">
      <c r="X104" s="154"/>
    </row>
    <row r="105" spans="24:24">
      <c r="X105" s="154"/>
    </row>
    <row r="106" spans="24:24">
      <c r="X106" s="154"/>
    </row>
    <row r="107" spans="24:24">
      <c r="X107" s="154"/>
    </row>
    <row r="108" spans="24:24">
      <c r="X108" s="154"/>
    </row>
    <row r="109" spans="24:24">
      <c r="X109" s="154"/>
    </row>
    <row r="110" spans="24:24">
      <c r="X110" s="154"/>
    </row>
    <row r="111" spans="24:24">
      <c r="X111" s="154"/>
    </row>
    <row r="112" spans="24:24">
      <c r="X112" s="154"/>
    </row>
    <row r="113" spans="24:24">
      <c r="X113" s="154"/>
    </row>
    <row r="114" spans="24:24">
      <c r="X114" s="154"/>
    </row>
    <row r="115" spans="24:24">
      <c r="X115" s="154"/>
    </row>
    <row r="116" spans="24:24">
      <c r="X116" s="154"/>
    </row>
    <row r="117" spans="24:24">
      <c r="X117" s="154"/>
    </row>
    <row r="118" spans="24:24">
      <c r="X118" s="154"/>
    </row>
    <row r="119" spans="24:24">
      <c r="X119" s="154"/>
    </row>
    <row r="120" spans="24:24">
      <c r="X120" s="154"/>
    </row>
    <row r="121" spans="24:24">
      <c r="X121" s="154"/>
    </row>
    <row r="122" spans="24:24">
      <c r="X122" s="154"/>
    </row>
    <row r="123" spans="24:24">
      <c r="X123" s="154"/>
    </row>
    <row r="124" spans="24:24">
      <c r="X124" s="154"/>
    </row>
    <row r="125" spans="24:24">
      <c r="X125" s="154"/>
    </row>
    <row r="126" spans="24:24">
      <c r="X126" s="154"/>
    </row>
    <row r="127" spans="24:24">
      <c r="X127" s="154"/>
    </row>
    <row r="128" spans="24:24">
      <c r="X128" s="154"/>
    </row>
    <row r="129" spans="24:24">
      <c r="X129" s="154"/>
    </row>
    <row r="130" spans="24:24">
      <c r="X130" s="154"/>
    </row>
    <row r="131" spans="24:24">
      <c r="X131" s="154"/>
    </row>
    <row r="132" spans="24:24">
      <c r="X132" s="154"/>
    </row>
    <row r="133" spans="24:24">
      <c r="X133" s="154"/>
    </row>
    <row r="134" spans="24:24">
      <c r="X134" s="154"/>
    </row>
    <row r="135" spans="24:24">
      <c r="X135" s="154"/>
    </row>
    <row r="136" spans="24:24">
      <c r="X136" s="154"/>
    </row>
    <row r="137" spans="24:24">
      <c r="X137" s="154"/>
    </row>
    <row r="138" spans="24:24">
      <c r="X138" s="154"/>
    </row>
    <row r="139" spans="24:24">
      <c r="X139" s="154"/>
    </row>
    <row r="140" spans="24:24">
      <c r="X140" s="154"/>
    </row>
    <row r="141" spans="24:24">
      <c r="X141" s="154"/>
    </row>
    <row r="142" spans="24:24">
      <c r="X142" s="154"/>
    </row>
    <row r="143" spans="24:24">
      <c r="X143" s="154"/>
    </row>
    <row r="144" spans="24:24">
      <c r="X144" s="154"/>
    </row>
    <row r="145" spans="24:24">
      <c r="X145" s="154"/>
    </row>
    <row r="146" spans="24:24">
      <c r="X146" s="154"/>
    </row>
    <row r="147" spans="24:24">
      <c r="X147" s="154"/>
    </row>
    <row r="148" spans="24:24">
      <c r="X148" s="154"/>
    </row>
    <row r="149" spans="24:24">
      <c r="X149" s="154"/>
    </row>
    <row r="150" spans="24:24">
      <c r="X150" s="154"/>
    </row>
    <row r="151" spans="24:24">
      <c r="X151" s="154"/>
    </row>
    <row r="152" spans="24:24">
      <c r="X152" s="154"/>
    </row>
    <row r="153" spans="24:24">
      <c r="X153" s="154"/>
    </row>
    <row r="154" spans="24:24">
      <c r="X154" s="154"/>
    </row>
    <row r="155" spans="24:24">
      <c r="X155" s="154"/>
    </row>
    <row r="156" spans="24:24">
      <c r="X156" s="154"/>
    </row>
    <row r="157" spans="24:24">
      <c r="X157" s="154"/>
    </row>
    <row r="158" spans="24:24">
      <c r="X158" s="154"/>
    </row>
    <row r="159" spans="24:24">
      <c r="X159" s="154"/>
    </row>
    <row r="160" spans="24:24">
      <c r="X160" s="154"/>
    </row>
    <row r="161" spans="24:24">
      <c r="X161" s="154"/>
    </row>
    <row r="162" spans="24:24">
      <c r="X162" s="154"/>
    </row>
    <row r="163" spans="24:24">
      <c r="X163" s="154"/>
    </row>
    <row r="164" spans="24:24">
      <c r="X164" s="154"/>
    </row>
    <row r="165" spans="24:24">
      <c r="X165" s="154"/>
    </row>
    <row r="166" spans="24:24">
      <c r="X166" s="154"/>
    </row>
    <row r="167" spans="24:24">
      <c r="X167" s="154"/>
    </row>
    <row r="168" spans="24:24">
      <c r="X168" s="154"/>
    </row>
    <row r="169" spans="24:24">
      <c r="X169" s="154"/>
    </row>
    <row r="170" spans="24:24">
      <c r="X170" s="154"/>
    </row>
    <row r="171" spans="24:24">
      <c r="X171" s="154"/>
    </row>
    <row r="172" spans="24:24">
      <c r="X172" s="154"/>
    </row>
    <row r="173" spans="24:24">
      <c r="X173" s="154"/>
    </row>
    <row r="174" spans="24:24">
      <c r="X174" s="154"/>
    </row>
    <row r="175" spans="24:24">
      <c r="X175" s="154"/>
    </row>
    <row r="176" spans="24:24">
      <c r="X176" s="154"/>
    </row>
    <row r="177" spans="24:24">
      <c r="X177" s="154"/>
    </row>
    <row r="178" spans="24:24">
      <c r="X178" s="154"/>
    </row>
    <row r="179" spans="24:24">
      <c r="X179" s="154"/>
    </row>
    <row r="180" spans="24:24">
      <c r="X180" s="154"/>
    </row>
    <row r="181" spans="24:24">
      <c r="X181" s="154"/>
    </row>
    <row r="182" spans="24:24">
      <c r="X182" s="154"/>
    </row>
    <row r="183" spans="24:24">
      <c r="X183" s="154"/>
    </row>
    <row r="184" spans="24:24">
      <c r="X184" s="154"/>
    </row>
    <row r="185" spans="24:24">
      <c r="X185" s="154"/>
    </row>
    <row r="186" spans="24:24">
      <c r="X186" s="154"/>
    </row>
    <row r="187" spans="24:24">
      <c r="X187" s="154"/>
    </row>
    <row r="188" spans="24:24">
      <c r="X188" s="154"/>
    </row>
    <row r="189" spans="24:24">
      <c r="X189" s="154"/>
    </row>
    <row r="190" spans="24:24">
      <c r="X190" s="154"/>
    </row>
    <row r="191" spans="24:24">
      <c r="X191" s="154"/>
    </row>
    <row r="192" spans="24:24">
      <c r="X192" s="154"/>
    </row>
    <row r="193" spans="24:24">
      <c r="X193" s="154"/>
    </row>
    <row r="194" spans="24:24">
      <c r="X194" s="154"/>
    </row>
    <row r="195" spans="24:24">
      <c r="X195" s="154"/>
    </row>
    <row r="196" spans="24:24">
      <c r="X196" s="154"/>
    </row>
    <row r="197" spans="24:24">
      <c r="X197" s="154"/>
    </row>
    <row r="198" spans="24:24">
      <c r="X198" s="154"/>
    </row>
    <row r="199" spans="24:24">
      <c r="X199" s="154"/>
    </row>
    <row r="200" spans="24:24">
      <c r="X200" s="154"/>
    </row>
    <row r="201" spans="24:24">
      <c r="X201" s="154"/>
    </row>
    <row r="202" spans="24:24">
      <c r="X202" s="154"/>
    </row>
    <row r="203" spans="24:24">
      <c r="X203" s="154"/>
    </row>
    <row r="204" spans="24:24">
      <c r="X204" s="154"/>
    </row>
    <row r="205" spans="24:24">
      <c r="X205" s="154"/>
    </row>
    <row r="206" spans="24:24">
      <c r="X206" s="154"/>
    </row>
    <row r="207" spans="24:24">
      <c r="X207" s="154"/>
    </row>
    <row r="208" spans="24:24">
      <c r="X208" s="154"/>
    </row>
    <row r="209" spans="24:24">
      <c r="X209" s="154"/>
    </row>
    <row r="210" spans="24:24">
      <c r="X210" s="154"/>
    </row>
    <row r="211" spans="24:24">
      <c r="X211" s="154"/>
    </row>
    <row r="212" spans="24:24">
      <c r="X212" s="154"/>
    </row>
    <row r="213" spans="24:24">
      <c r="X213" s="154"/>
    </row>
    <row r="214" spans="24:24">
      <c r="X214" s="154"/>
    </row>
    <row r="215" spans="24:24">
      <c r="X215" s="154"/>
    </row>
    <row r="216" spans="24:24">
      <c r="X216" s="154"/>
    </row>
    <row r="217" spans="24:24">
      <c r="X217" s="154"/>
    </row>
    <row r="218" spans="24:24">
      <c r="X218" s="154"/>
    </row>
    <row r="219" spans="24:24">
      <c r="X219" s="154"/>
    </row>
    <row r="220" spans="24:24">
      <c r="X220" s="154"/>
    </row>
    <row r="221" spans="24:24">
      <c r="X221" s="154"/>
    </row>
    <row r="222" spans="24:24">
      <c r="X222" s="154"/>
    </row>
    <row r="223" spans="24:24">
      <c r="X223" s="154"/>
    </row>
    <row r="224" spans="24:24">
      <c r="X224" s="154"/>
    </row>
    <row r="225" spans="24:24">
      <c r="X225" s="154"/>
    </row>
    <row r="226" spans="24:24">
      <c r="X226" s="154"/>
    </row>
    <row r="227" spans="24:24">
      <c r="X227" s="154"/>
    </row>
    <row r="228" spans="24:24">
      <c r="X228" s="154"/>
    </row>
    <row r="229" spans="24:24">
      <c r="X229" s="154"/>
    </row>
    <row r="230" spans="24:24">
      <c r="X230" s="154"/>
    </row>
    <row r="231" spans="24:24">
      <c r="X231" s="154"/>
    </row>
    <row r="232" spans="24:24">
      <c r="X232" s="154"/>
    </row>
    <row r="233" spans="24:24">
      <c r="X233" s="154"/>
    </row>
    <row r="234" spans="24:24">
      <c r="X234" s="154"/>
    </row>
    <row r="235" spans="24:24">
      <c r="X235" s="154"/>
    </row>
    <row r="236" spans="24:24">
      <c r="X236" s="154"/>
    </row>
    <row r="237" spans="24:24">
      <c r="X237" s="154"/>
    </row>
    <row r="238" spans="24:24">
      <c r="X238" s="154"/>
    </row>
    <row r="239" spans="24:24">
      <c r="X239" s="154"/>
    </row>
    <row r="240" spans="24:24">
      <c r="X240" s="154"/>
    </row>
    <row r="241" spans="24:24">
      <c r="X241" s="154"/>
    </row>
    <row r="242" spans="24:24">
      <c r="X242" s="154"/>
    </row>
    <row r="243" spans="24:24">
      <c r="X243" s="154"/>
    </row>
    <row r="244" spans="24:24">
      <c r="X244" s="154"/>
    </row>
    <row r="245" spans="24:24">
      <c r="X245" s="154"/>
    </row>
    <row r="246" spans="24:24">
      <c r="X246" s="154"/>
    </row>
    <row r="247" spans="24:24">
      <c r="X247" s="154"/>
    </row>
    <row r="248" spans="24:24">
      <c r="X248" s="154"/>
    </row>
    <row r="249" spans="24:24">
      <c r="X249" s="154"/>
    </row>
    <row r="250" spans="24:24">
      <c r="X250" s="154"/>
    </row>
    <row r="251" spans="24:24">
      <c r="X251" s="154"/>
    </row>
    <row r="252" spans="24:24">
      <c r="X252" s="154"/>
    </row>
    <row r="253" spans="24:24">
      <c r="X253" s="154"/>
    </row>
    <row r="254" spans="24:24">
      <c r="X254" s="154"/>
    </row>
    <row r="255" spans="24:24">
      <c r="X255" s="154"/>
    </row>
    <row r="256" spans="24:24">
      <c r="X256" s="154"/>
    </row>
    <row r="257" spans="24:24">
      <c r="X257" s="154"/>
    </row>
    <row r="258" spans="24:24">
      <c r="X258" s="154"/>
    </row>
    <row r="259" spans="24:24">
      <c r="X259" s="154"/>
    </row>
    <row r="260" spans="24:24">
      <c r="X260" s="154"/>
    </row>
    <row r="261" spans="24:24">
      <c r="X261" s="154"/>
    </row>
    <row r="262" spans="24:24">
      <c r="X262" s="154"/>
    </row>
    <row r="263" spans="24:24">
      <c r="X263" s="154"/>
    </row>
    <row r="264" spans="24:24">
      <c r="X264" s="154"/>
    </row>
    <row r="265" spans="24:24">
      <c r="X265" s="154"/>
    </row>
    <row r="266" spans="24:24">
      <c r="X266" s="154"/>
    </row>
    <row r="267" spans="24:24">
      <c r="X267" s="154"/>
    </row>
    <row r="268" spans="24:24">
      <c r="X268" s="154"/>
    </row>
    <row r="269" spans="24:24">
      <c r="X269" s="154"/>
    </row>
    <row r="270" spans="24:24">
      <c r="X270" s="154"/>
    </row>
    <row r="271" spans="24:24">
      <c r="X271" s="154"/>
    </row>
    <row r="272" spans="24:24">
      <c r="X272" s="154"/>
    </row>
    <row r="273" spans="24:24">
      <c r="X273" s="154"/>
    </row>
    <row r="274" spans="24:24">
      <c r="X274" s="154"/>
    </row>
    <row r="275" spans="24:24">
      <c r="X275" s="154"/>
    </row>
    <row r="276" spans="24:24">
      <c r="X276" s="154"/>
    </row>
    <row r="277" spans="24:24">
      <c r="X277" s="154"/>
    </row>
    <row r="278" spans="24:24">
      <c r="X278" s="154"/>
    </row>
    <row r="279" spans="24:24">
      <c r="X279" s="154"/>
    </row>
    <row r="280" spans="24:24">
      <c r="X280" s="154"/>
    </row>
    <row r="281" spans="24:24">
      <c r="X281" s="154"/>
    </row>
    <row r="282" spans="24:24">
      <c r="X282" s="154"/>
    </row>
    <row r="283" spans="24:24">
      <c r="X283" s="154"/>
    </row>
    <row r="284" spans="24:24">
      <c r="X284" s="154"/>
    </row>
    <row r="285" spans="24:24">
      <c r="X285" s="154"/>
    </row>
    <row r="286" spans="24:24">
      <c r="X286" s="154"/>
    </row>
    <row r="287" spans="24:24">
      <c r="X287" s="154"/>
    </row>
    <row r="288" spans="24:24">
      <c r="X288" s="154"/>
    </row>
    <row r="289" spans="24:24">
      <c r="X289" s="154"/>
    </row>
    <row r="290" spans="24:24">
      <c r="X290" s="154"/>
    </row>
    <row r="291" spans="24:24">
      <c r="X291" s="154"/>
    </row>
    <row r="292" spans="24:24">
      <c r="X292" s="154"/>
    </row>
    <row r="293" spans="24:24">
      <c r="X293" s="154"/>
    </row>
    <row r="294" spans="24:24">
      <c r="X294" s="154"/>
    </row>
    <row r="295" spans="24:24">
      <c r="X295" s="154"/>
    </row>
    <row r="296" spans="24:24">
      <c r="X296" s="154"/>
    </row>
    <row r="297" spans="24:24">
      <c r="X297" s="154"/>
    </row>
    <row r="298" spans="24:24">
      <c r="X298" s="154"/>
    </row>
    <row r="299" spans="24:24">
      <c r="X299" s="154"/>
    </row>
    <row r="300" spans="24:24">
      <c r="X300" s="154"/>
    </row>
    <row r="301" spans="24:24">
      <c r="X301" s="154"/>
    </row>
    <row r="302" spans="24:24">
      <c r="X302" s="154"/>
    </row>
    <row r="303" spans="24:24">
      <c r="X303" s="154"/>
    </row>
    <row r="304" spans="24:24">
      <c r="X304" s="154"/>
    </row>
    <row r="305" spans="24:24">
      <c r="X305" s="154"/>
    </row>
    <row r="306" spans="24:24">
      <c r="X306" s="154"/>
    </row>
    <row r="307" spans="24:24">
      <c r="X307" s="154"/>
    </row>
    <row r="308" spans="24:24">
      <c r="X308" s="154"/>
    </row>
    <row r="309" spans="24:24">
      <c r="X309" s="154"/>
    </row>
    <row r="310" spans="24:24">
      <c r="X310" s="154"/>
    </row>
    <row r="311" spans="24:24">
      <c r="X311" s="154"/>
    </row>
    <row r="312" spans="24:24">
      <c r="X312" s="154"/>
    </row>
    <row r="313" spans="24:24">
      <c r="X313" s="154"/>
    </row>
    <row r="314" spans="24:24">
      <c r="X314" s="154"/>
    </row>
    <row r="315" spans="24:24">
      <c r="X315" s="154"/>
    </row>
    <row r="316" spans="24:24">
      <c r="X316" s="154"/>
    </row>
    <row r="317" spans="24:24">
      <c r="X317" s="154"/>
    </row>
    <row r="318" spans="24:24">
      <c r="X318" s="154"/>
    </row>
    <row r="319" spans="24:24">
      <c r="X319" s="154"/>
    </row>
    <row r="320" spans="24:24">
      <c r="X320" s="154"/>
    </row>
    <row r="321" spans="24:24">
      <c r="X321" s="154"/>
    </row>
    <row r="322" spans="24:24">
      <c r="X322" s="154"/>
    </row>
    <row r="323" spans="24:24">
      <c r="X323" s="154"/>
    </row>
    <row r="324" spans="24:24">
      <c r="X324" s="154"/>
    </row>
    <row r="325" spans="24:24">
      <c r="X325" s="154"/>
    </row>
    <row r="326" spans="24:24">
      <c r="X326" s="154"/>
    </row>
    <row r="327" spans="24:24">
      <c r="X327" s="154"/>
    </row>
    <row r="328" spans="24:24">
      <c r="X328" s="154"/>
    </row>
    <row r="329" spans="24:24">
      <c r="X329" s="154"/>
    </row>
    <row r="330" spans="24:24">
      <c r="X330" s="154"/>
    </row>
    <row r="331" spans="24:24">
      <c r="X331" s="154"/>
    </row>
    <row r="332" spans="24:24">
      <c r="X332" s="154"/>
    </row>
    <row r="333" spans="24:24">
      <c r="X333" s="154"/>
    </row>
    <row r="334" spans="24:24">
      <c r="X334" s="154"/>
    </row>
    <row r="335" spans="24:24">
      <c r="X335" s="154"/>
    </row>
    <row r="336" spans="24:24">
      <c r="X336" s="154"/>
    </row>
    <row r="337" spans="24:24">
      <c r="X337" s="154"/>
    </row>
    <row r="338" spans="24:24">
      <c r="X338" s="154"/>
    </row>
    <row r="339" spans="24:24">
      <c r="X339" s="154"/>
    </row>
    <row r="340" spans="24:24">
      <c r="X340" s="154"/>
    </row>
    <row r="341" spans="24:24">
      <c r="X341" s="154"/>
    </row>
    <row r="342" spans="24:24">
      <c r="X342" s="154"/>
    </row>
    <row r="343" spans="24:24">
      <c r="X343" s="154"/>
    </row>
    <row r="344" spans="24:24">
      <c r="X344" s="154"/>
    </row>
    <row r="345" spans="24:24">
      <c r="X345" s="154"/>
    </row>
    <row r="346" spans="24:24">
      <c r="X346" s="154"/>
    </row>
    <row r="347" spans="24:24">
      <c r="X347" s="154"/>
    </row>
    <row r="348" spans="24:24">
      <c r="X348" s="154"/>
    </row>
    <row r="349" spans="24:24">
      <c r="X349" s="154"/>
    </row>
    <row r="350" spans="24:24">
      <c r="X350" s="154"/>
    </row>
    <row r="351" spans="24:24">
      <c r="X351" s="154"/>
    </row>
    <row r="352" spans="24:24">
      <c r="X352" s="154"/>
    </row>
    <row r="353" spans="24:24">
      <c r="X353" s="154"/>
    </row>
    <row r="354" spans="24:24">
      <c r="X354" s="154"/>
    </row>
    <row r="355" spans="24:24">
      <c r="X355" s="154"/>
    </row>
    <row r="356" spans="24:24">
      <c r="X356" s="154"/>
    </row>
    <row r="357" spans="24:24">
      <c r="X357" s="154"/>
    </row>
    <row r="358" spans="24:24">
      <c r="X358" s="154"/>
    </row>
    <row r="359" spans="24:24">
      <c r="X359" s="154"/>
    </row>
    <row r="360" spans="24:24">
      <c r="X360" s="154"/>
    </row>
    <row r="361" spans="24:24">
      <c r="X361" s="154"/>
    </row>
    <row r="362" spans="24:24">
      <c r="X362" s="154"/>
    </row>
    <row r="363" spans="24:24">
      <c r="X363" s="154"/>
    </row>
    <row r="364" spans="24:24">
      <c r="X364" s="154"/>
    </row>
    <row r="365" spans="24:24">
      <c r="X365" s="154"/>
    </row>
    <row r="366" spans="24:24">
      <c r="X366" s="154"/>
    </row>
    <row r="367" spans="24:24">
      <c r="X367" s="154"/>
    </row>
    <row r="368" spans="24:24">
      <c r="X368" s="154"/>
    </row>
    <row r="369" spans="24:24">
      <c r="X369" s="154"/>
    </row>
    <row r="370" spans="24:24">
      <c r="X370" s="154"/>
    </row>
    <row r="371" spans="24:24">
      <c r="X371" s="154"/>
    </row>
    <row r="372" spans="24:24">
      <c r="X372" s="154"/>
    </row>
    <row r="373" spans="24:24">
      <c r="X373" s="154"/>
    </row>
    <row r="374" spans="24:24">
      <c r="X374" s="154"/>
    </row>
    <row r="375" spans="24:24">
      <c r="X375" s="154"/>
    </row>
    <row r="376" spans="24:24">
      <c r="X376" s="154"/>
    </row>
    <row r="377" spans="24:24">
      <c r="X377" s="154"/>
    </row>
    <row r="378" spans="24:24">
      <c r="X378" s="154"/>
    </row>
    <row r="379" spans="24:24">
      <c r="X379" s="154"/>
    </row>
    <row r="380" spans="24:24">
      <c r="X380" s="154"/>
    </row>
    <row r="381" spans="24:24">
      <c r="X381" s="154"/>
    </row>
    <row r="382" spans="24:24">
      <c r="X382" s="154"/>
    </row>
    <row r="383" spans="24:24">
      <c r="X383" s="154"/>
    </row>
    <row r="384" spans="24:24">
      <c r="X384" s="154"/>
    </row>
    <row r="385" spans="24:24">
      <c r="X385" s="154"/>
    </row>
    <row r="386" spans="24:24">
      <c r="X386" s="154"/>
    </row>
    <row r="387" spans="24:24">
      <c r="X387" s="154"/>
    </row>
    <row r="388" spans="24:24">
      <c r="X388" s="154"/>
    </row>
    <row r="389" spans="24:24">
      <c r="X389" s="154"/>
    </row>
    <row r="390" spans="24:24">
      <c r="X390" s="154"/>
    </row>
    <row r="391" spans="24:24">
      <c r="X391" s="154"/>
    </row>
    <row r="392" spans="24:24">
      <c r="X392" s="154"/>
    </row>
    <row r="393" spans="24:24">
      <c r="X393" s="154"/>
    </row>
    <row r="394" spans="24:24">
      <c r="X394" s="154"/>
    </row>
    <row r="395" spans="24:24">
      <c r="X395" s="154"/>
    </row>
    <row r="396" spans="24:24">
      <c r="X396" s="154"/>
    </row>
    <row r="397" spans="24:24">
      <c r="X397" s="154"/>
    </row>
    <row r="398" spans="24:24">
      <c r="X398" s="154"/>
    </row>
    <row r="399" spans="24:24">
      <c r="X399" s="154"/>
    </row>
    <row r="400" spans="24:24">
      <c r="X400" s="154"/>
    </row>
    <row r="401" spans="24:24">
      <c r="X401" s="154"/>
    </row>
    <row r="402" spans="24:24">
      <c r="X402" s="154"/>
    </row>
    <row r="403" spans="24:24">
      <c r="X403" s="154"/>
    </row>
    <row r="404" spans="24:24">
      <c r="X404" s="154"/>
    </row>
    <row r="405" spans="24:24">
      <c r="X405" s="154"/>
    </row>
    <row r="406" spans="24:24">
      <c r="X406" s="154"/>
    </row>
    <row r="407" spans="24:24">
      <c r="X407" s="154"/>
    </row>
    <row r="408" spans="24:24">
      <c r="X408" s="154"/>
    </row>
    <row r="409" spans="24:24">
      <c r="X409" s="154"/>
    </row>
    <row r="410" spans="24:24">
      <c r="X410" s="154"/>
    </row>
    <row r="411" spans="24:24">
      <c r="X411" s="154"/>
    </row>
    <row r="412" spans="24:24">
      <c r="X412" s="154"/>
    </row>
    <row r="413" spans="24:24">
      <c r="X413" s="154"/>
    </row>
    <row r="414" spans="24:24">
      <c r="X414" s="154"/>
    </row>
    <row r="415" spans="24:24">
      <c r="X415" s="154"/>
    </row>
    <row r="416" spans="24:24">
      <c r="X416" s="154"/>
    </row>
    <row r="417" spans="24:24">
      <c r="X417" s="154"/>
    </row>
    <row r="418" spans="24:24">
      <c r="X418" s="154"/>
    </row>
    <row r="419" spans="24:24">
      <c r="X419" s="154"/>
    </row>
    <row r="420" spans="24:24">
      <c r="X420" s="154"/>
    </row>
    <row r="421" spans="24:24">
      <c r="X421" s="154"/>
    </row>
    <row r="422" spans="24:24">
      <c r="X422" s="154"/>
    </row>
    <row r="423" spans="24:24">
      <c r="X423" s="154"/>
    </row>
    <row r="424" spans="24:24">
      <c r="X424" s="154"/>
    </row>
    <row r="425" spans="24:24">
      <c r="X425" s="154"/>
    </row>
    <row r="426" spans="24:24">
      <c r="X426" s="154"/>
    </row>
    <row r="427" spans="24:24">
      <c r="X427" s="154"/>
    </row>
    <row r="428" spans="24:24">
      <c r="X428" s="154"/>
    </row>
    <row r="429" spans="24:24">
      <c r="X429" s="154"/>
    </row>
    <row r="430" spans="24:24">
      <c r="X430" s="154"/>
    </row>
    <row r="431" spans="24:24">
      <c r="X431" s="154"/>
    </row>
    <row r="432" spans="24:24">
      <c r="X432" s="154"/>
    </row>
    <row r="433" spans="24:24">
      <c r="X433" s="154"/>
    </row>
    <row r="434" spans="24:24">
      <c r="X434" s="154"/>
    </row>
    <row r="435" spans="24:24">
      <c r="X435" s="154"/>
    </row>
    <row r="436" spans="24:24">
      <c r="X436" s="154"/>
    </row>
    <row r="437" spans="24:24">
      <c r="X437" s="154"/>
    </row>
    <row r="438" spans="24:24">
      <c r="X438" s="154"/>
    </row>
    <row r="439" spans="24:24">
      <c r="X439" s="154"/>
    </row>
    <row r="440" spans="24:24">
      <c r="X440" s="154"/>
    </row>
    <row r="441" spans="24:24">
      <c r="X441" s="154"/>
    </row>
    <row r="442" spans="24:24">
      <c r="X442" s="154"/>
    </row>
    <row r="443" spans="24:24">
      <c r="X443" s="154"/>
    </row>
    <row r="444" spans="24:24">
      <c r="X444" s="154"/>
    </row>
    <row r="445" spans="24:24">
      <c r="X445" s="154"/>
    </row>
    <row r="446" spans="24:24">
      <c r="X446" s="154"/>
    </row>
    <row r="447" spans="24:24">
      <c r="X447" s="154"/>
    </row>
    <row r="448" spans="24:24">
      <c r="X448" s="154"/>
    </row>
    <row r="449" spans="24:24">
      <c r="X449" s="154"/>
    </row>
    <row r="450" spans="24:24">
      <c r="X450" s="154"/>
    </row>
    <row r="451" spans="24:24">
      <c r="X451" s="154"/>
    </row>
    <row r="452" spans="24:24">
      <c r="X452" s="154"/>
    </row>
    <row r="453" spans="24:24">
      <c r="X453" s="154"/>
    </row>
    <row r="454" spans="24:24">
      <c r="X454" s="154"/>
    </row>
    <row r="455" spans="24:24">
      <c r="X455" s="154"/>
    </row>
    <row r="456" spans="24:24">
      <c r="X456" s="154"/>
    </row>
    <row r="457" spans="24:24">
      <c r="X457" s="154"/>
    </row>
    <row r="458" spans="24:24">
      <c r="X458" s="154"/>
    </row>
    <row r="459" spans="24:24">
      <c r="X459" s="154"/>
    </row>
    <row r="460" spans="24:24">
      <c r="X460" s="154"/>
    </row>
    <row r="461" spans="24:24">
      <c r="X461" s="154"/>
    </row>
    <row r="462" spans="24:24">
      <c r="X462" s="154"/>
    </row>
    <row r="463" spans="24:24">
      <c r="X463" s="154"/>
    </row>
    <row r="464" spans="24:24">
      <c r="X464" s="154"/>
    </row>
    <row r="465" spans="24:24">
      <c r="X465" s="154"/>
    </row>
    <row r="466" spans="24:24">
      <c r="X466" s="154"/>
    </row>
    <row r="467" spans="24:24">
      <c r="X467" s="154"/>
    </row>
    <row r="468" spans="24:24">
      <c r="X468" s="154"/>
    </row>
    <row r="469" spans="24:24">
      <c r="X469" s="154"/>
    </row>
    <row r="470" spans="24:24">
      <c r="X470" s="154"/>
    </row>
    <row r="471" spans="24:24">
      <c r="X471" s="154"/>
    </row>
    <row r="472" spans="24:24">
      <c r="X472" s="154"/>
    </row>
    <row r="473" spans="24:24">
      <c r="X473" s="154"/>
    </row>
    <row r="474" spans="24:24">
      <c r="X474" s="154"/>
    </row>
    <row r="475" spans="24:24">
      <c r="X475" s="154"/>
    </row>
    <row r="476" spans="24:24">
      <c r="X476" s="154"/>
    </row>
    <row r="477" spans="24:24">
      <c r="X477" s="154"/>
    </row>
    <row r="478" spans="24:24">
      <c r="X478" s="154"/>
    </row>
    <row r="479" spans="24:24">
      <c r="X479" s="154"/>
    </row>
    <row r="480" spans="24:24">
      <c r="X480" s="154"/>
    </row>
    <row r="481" spans="24:24">
      <c r="X481" s="154"/>
    </row>
    <row r="482" spans="24:24">
      <c r="X482" s="154"/>
    </row>
    <row r="483" spans="24:24">
      <c r="X483" s="154"/>
    </row>
    <row r="484" spans="24:24">
      <c r="X484" s="154"/>
    </row>
    <row r="485" spans="24:24">
      <c r="X485" s="154"/>
    </row>
    <row r="486" spans="24:24">
      <c r="X486" s="154"/>
    </row>
    <row r="487" spans="24:24">
      <c r="X487" s="154"/>
    </row>
    <row r="488" spans="24:24">
      <c r="X488" s="154"/>
    </row>
    <row r="489" spans="24:24">
      <c r="X489" s="154"/>
    </row>
    <row r="490" spans="24:24">
      <c r="X490" s="154"/>
    </row>
    <row r="491" spans="24:24">
      <c r="X491" s="154"/>
    </row>
    <row r="492" spans="24:24">
      <c r="X492" s="154"/>
    </row>
    <row r="493" spans="24:24">
      <c r="X493" s="154"/>
    </row>
    <row r="494" spans="24:24">
      <c r="X494" s="154"/>
    </row>
    <row r="495" spans="24:24">
      <c r="X495" s="154"/>
    </row>
    <row r="496" spans="24:24">
      <c r="X496" s="154"/>
    </row>
    <row r="497" spans="24:24">
      <c r="X497" s="154"/>
    </row>
    <row r="498" spans="24:24">
      <c r="X498" s="154"/>
    </row>
    <row r="499" spans="24:24">
      <c r="X499" s="154"/>
    </row>
    <row r="500" spans="24:24">
      <c r="X500" s="154"/>
    </row>
    <row r="501" spans="24:24">
      <c r="X501" s="154"/>
    </row>
    <row r="502" spans="24:24">
      <c r="X502" s="154"/>
    </row>
    <row r="503" spans="24:24">
      <c r="X503" s="154"/>
    </row>
    <row r="504" spans="24:24">
      <c r="X504" s="154"/>
    </row>
    <row r="505" spans="24:24">
      <c r="X505" s="154"/>
    </row>
    <row r="506" spans="24:24">
      <c r="X506" s="154"/>
    </row>
    <row r="507" spans="24:24">
      <c r="X507" s="154"/>
    </row>
    <row r="508" spans="24:24">
      <c r="X508" s="154"/>
    </row>
    <row r="509" spans="24:24">
      <c r="X509" s="154"/>
    </row>
    <row r="510" spans="24:24">
      <c r="X510" s="154"/>
    </row>
    <row r="511" spans="24:24">
      <c r="X511" s="154"/>
    </row>
    <row r="512" spans="24:24">
      <c r="X512" s="154"/>
    </row>
    <row r="513" spans="24:24">
      <c r="X513" s="154"/>
    </row>
    <row r="514" spans="24:24">
      <c r="X514" s="154"/>
    </row>
    <row r="515" spans="24:24">
      <c r="X515" s="154"/>
    </row>
    <row r="516" spans="24:24">
      <c r="X516" s="154"/>
    </row>
    <row r="517" spans="24:24">
      <c r="X517" s="154"/>
    </row>
    <row r="518" spans="24:24">
      <c r="X518" s="154"/>
    </row>
    <row r="519" spans="24:24">
      <c r="X519" s="154"/>
    </row>
    <row r="520" spans="24:24">
      <c r="X520" s="154"/>
    </row>
    <row r="521" spans="24:24">
      <c r="X521" s="154"/>
    </row>
    <row r="522" spans="24:24">
      <c r="X522" s="154"/>
    </row>
    <row r="523" spans="24:24">
      <c r="X523" s="154"/>
    </row>
    <row r="524" spans="24:24">
      <c r="X524" s="154"/>
    </row>
    <row r="525" spans="24:24">
      <c r="X525" s="154"/>
    </row>
    <row r="526" spans="24:24">
      <c r="X526" s="154"/>
    </row>
    <row r="527" spans="24:24">
      <c r="X527" s="154"/>
    </row>
    <row r="528" spans="24:24">
      <c r="X528" s="154"/>
    </row>
    <row r="529" spans="24:24">
      <c r="X529" s="154"/>
    </row>
    <row r="530" spans="24:24">
      <c r="X530" s="154"/>
    </row>
    <row r="531" spans="24:24">
      <c r="X531" s="154"/>
    </row>
    <row r="532" spans="24:24">
      <c r="X532" s="154"/>
    </row>
    <row r="533" spans="24:24">
      <c r="X533" s="154"/>
    </row>
    <row r="534" spans="24:24">
      <c r="X534" s="154"/>
    </row>
    <row r="535" spans="24:24">
      <c r="X535" s="154"/>
    </row>
    <row r="536" spans="24:24">
      <c r="X536" s="154"/>
    </row>
    <row r="537" spans="24:24">
      <c r="X537" s="154"/>
    </row>
    <row r="538" spans="24:24">
      <c r="X538" s="154"/>
    </row>
    <row r="539" spans="24:24">
      <c r="X539" s="154"/>
    </row>
    <row r="540" spans="24:24">
      <c r="X540" s="154"/>
    </row>
    <row r="541" spans="24:24">
      <c r="X541" s="154"/>
    </row>
    <row r="542" spans="24:24">
      <c r="X542" s="154"/>
    </row>
    <row r="543" spans="24:24">
      <c r="X543" s="154"/>
    </row>
    <row r="544" spans="24:24">
      <c r="X544" s="154"/>
    </row>
    <row r="545" spans="24:24">
      <c r="X545" s="154"/>
    </row>
    <row r="546" spans="24:24">
      <c r="X546" s="154"/>
    </row>
    <row r="547" spans="24:24">
      <c r="X547" s="154"/>
    </row>
    <row r="548" spans="24:24">
      <c r="X548" s="154"/>
    </row>
    <row r="549" spans="24:24">
      <c r="X549" s="154"/>
    </row>
    <row r="550" spans="24:24">
      <c r="X550" s="154"/>
    </row>
    <row r="551" spans="24:24">
      <c r="X551" s="154"/>
    </row>
    <row r="552" spans="24:24">
      <c r="X552" s="154"/>
    </row>
    <row r="553" spans="24:24">
      <c r="X553" s="154"/>
    </row>
    <row r="554" spans="24:24">
      <c r="X554" s="154"/>
    </row>
    <row r="555" spans="24:24">
      <c r="X555" s="154"/>
    </row>
    <row r="556" spans="24:24">
      <c r="X556" s="154"/>
    </row>
    <row r="557" spans="24:24">
      <c r="X557" s="154"/>
    </row>
    <row r="558" spans="24:24">
      <c r="X558" s="154"/>
    </row>
    <row r="559" spans="24:24">
      <c r="X559" s="154"/>
    </row>
    <row r="560" spans="24:24">
      <c r="X560" s="154"/>
    </row>
    <row r="561" spans="24:24">
      <c r="X561" s="154"/>
    </row>
    <row r="562" spans="24:24">
      <c r="X562" s="154"/>
    </row>
    <row r="563" spans="24:24">
      <c r="X563" s="154"/>
    </row>
    <row r="564" spans="24:24">
      <c r="X564" s="154"/>
    </row>
    <row r="565" spans="24:24">
      <c r="X565" s="154"/>
    </row>
    <row r="566" spans="24:24">
      <c r="X566" s="154"/>
    </row>
    <row r="567" spans="24:24">
      <c r="X567" s="154"/>
    </row>
    <row r="568" spans="24:24">
      <c r="X568" s="154"/>
    </row>
    <row r="569" spans="24:24">
      <c r="X569" s="154"/>
    </row>
    <row r="570" spans="24:24">
      <c r="X570" s="154"/>
    </row>
    <row r="571" spans="24:24">
      <c r="X571" s="154"/>
    </row>
    <row r="572" spans="24:24">
      <c r="X572" s="154"/>
    </row>
    <row r="573" spans="24:24">
      <c r="X573" s="154"/>
    </row>
    <row r="574" spans="24:24">
      <c r="X574" s="154"/>
    </row>
    <row r="575" spans="24:24">
      <c r="X575" s="154"/>
    </row>
    <row r="576" spans="24:24">
      <c r="X576" s="154"/>
    </row>
    <row r="577" spans="24:24">
      <c r="X577" s="154"/>
    </row>
    <row r="578" spans="24:24">
      <c r="X578" s="154"/>
    </row>
    <row r="579" spans="24:24">
      <c r="X579" s="154"/>
    </row>
    <row r="580" spans="24:24">
      <c r="X580" s="154"/>
    </row>
    <row r="581" spans="24:24">
      <c r="X581" s="154"/>
    </row>
    <row r="582" spans="24:24">
      <c r="X582" s="154"/>
    </row>
    <row r="583" spans="24:24">
      <c r="X583" s="154"/>
    </row>
    <row r="584" spans="24:24">
      <c r="X584" s="154"/>
    </row>
    <row r="585" spans="24:24">
      <c r="X585" s="154"/>
    </row>
    <row r="586" spans="24:24">
      <c r="X586" s="154"/>
    </row>
    <row r="587" spans="24:24">
      <c r="X587" s="154"/>
    </row>
    <row r="588" spans="24:24">
      <c r="X588" s="154"/>
    </row>
    <row r="589" spans="24:24">
      <c r="X589" s="154"/>
    </row>
    <row r="590" spans="24:24">
      <c r="X590" s="154"/>
    </row>
    <row r="591" spans="24:24">
      <c r="X591" s="154"/>
    </row>
    <row r="592" spans="24:24">
      <c r="X592" s="154"/>
    </row>
    <row r="593" spans="24:24">
      <c r="X593" s="154"/>
    </row>
    <row r="594" spans="24:24">
      <c r="X594" s="154"/>
    </row>
    <row r="595" spans="24:24">
      <c r="X595" s="154"/>
    </row>
    <row r="596" spans="24:24">
      <c r="X596" s="154"/>
    </row>
    <row r="597" spans="24:24">
      <c r="X597" s="154"/>
    </row>
    <row r="598" spans="24:24">
      <c r="X598" s="154"/>
    </row>
    <row r="599" spans="24:24">
      <c r="X599" s="154"/>
    </row>
    <row r="600" spans="24:24">
      <c r="X600" s="154"/>
    </row>
    <row r="601" spans="24:24">
      <c r="X601" s="154"/>
    </row>
    <row r="602" spans="24:24">
      <c r="X602" s="154"/>
    </row>
    <row r="603" spans="24:24">
      <c r="X603" s="154"/>
    </row>
    <row r="604" spans="24:24">
      <c r="X604" s="154"/>
    </row>
    <row r="605" spans="24:24">
      <c r="X605" s="154"/>
    </row>
    <row r="606" spans="24:24">
      <c r="X606" s="154"/>
    </row>
    <row r="607" spans="24:24">
      <c r="X607" s="154"/>
    </row>
    <row r="608" spans="24:24">
      <c r="X608" s="154"/>
    </row>
    <row r="609" spans="24:24">
      <c r="X609" s="154"/>
    </row>
    <row r="610" spans="24:24">
      <c r="X610" s="154"/>
    </row>
    <row r="611" spans="24:24">
      <c r="X611" s="154"/>
    </row>
    <row r="612" spans="24:24">
      <c r="X612" s="154"/>
    </row>
    <row r="613" spans="24:24">
      <c r="X613" s="154"/>
    </row>
    <row r="614" spans="24:24">
      <c r="X614" s="154"/>
    </row>
    <row r="615" spans="24:24">
      <c r="X615" s="154"/>
    </row>
    <row r="616" spans="24:24">
      <c r="X616" s="154"/>
    </row>
    <row r="617" spans="24:24">
      <c r="X617" s="154"/>
    </row>
    <row r="618" spans="24:24">
      <c r="X618" s="154"/>
    </row>
    <row r="619" spans="24:24">
      <c r="X619" s="154"/>
    </row>
    <row r="620" spans="24:24">
      <c r="X620" s="154"/>
    </row>
    <row r="621" spans="24:24">
      <c r="X621" s="154"/>
    </row>
    <row r="622" spans="24:24">
      <c r="X622" s="154"/>
    </row>
    <row r="623" spans="24:24">
      <c r="X623" s="154"/>
    </row>
    <row r="624" spans="24:24">
      <c r="X624" s="154"/>
    </row>
    <row r="625" spans="24:24">
      <c r="X625" s="154"/>
    </row>
    <row r="626" spans="24:24">
      <c r="X626" s="154"/>
    </row>
    <row r="627" spans="24:24">
      <c r="X627" s="154"/>
    </row>
    <row r="628" spans="24:24">
      <c r="X628" s="154"/>
    </row>
    <row r="629" spans="24:24">
      <c r="X629" s="154"/>
    </row>
    <row r="630" spans="24:24">
      <c r="X630" s="154"/>
    </row>
    <row r="631" spans="24:24">
      <c r="X631" s="154"/>
    </row>
    <row r="632" spans="24:24">
      <c r="X632" s="154"/>
    </row>
    <row r="633" spans="24:24">
      <c r="X633" s="154"/>
    </row>
    <row r="634" spans="24:24">
      <c r="X634" s="154"/>
    </row>
    <row r="635" spans="24:24">
      <c r="X635" s="154"/>
    </row>
    <row r="636" spans="24:24">
      <c r="X636" s="154"/>
    </row>
    <row r="637" spans="24:24">
      <c r="X637" s="154"/>
    </row>
    <row r="638" spans="24:24">
      <c r="X638" s="154"/>
    </row>
    <row r="639" spans="24:24">
      <c r="X639" s="154"/>
    </row>
    <row r="640" spans="24:24">
      <c r="X640" s="154"/>
    </row>
    <row r="641" spans="24:24">
      <c r="X641" s="154"/>
    </row>
    <row r="642" spans="24:24">
      <c r="X642" s="154"/>
    </row>
    <row r="643" spans="24:24">
      <c r="X643" s="154"/>
    </row>
    <row r="644" spans="24:24">
      <c r="X644" s="154"/>
    </row>
    <row r="645" spans="24:24">
      <c r="X645" s="154"/>
    </row>
    <row r="646" spans="24:24">
      <c r="X646" s="154"/>
    </row>
    <row r="647" spans="24:24">
      <c r="X647" s="154"/>
    </row>
    <row r="648" spans="24:24">
      <c r="X648" s="154"/>
    </row>
    <row r="649" spans="24:24">
      <c r="X649" s="154"/>
    </row>
    <row r="650" spans="24:24">
      <c r="X650" s="154"/>
    </row>
    <row r="651" spans="24:24">
      <c r="X651" s="154"/>
    </row>
    <row r="652" spans="24:24">
      <c r="X652" s="154"/>
    </row>
    <row r="653" spans="24:24">
      <c r="X653" s="154"/>
    </row>
    <row r="654" spans="24:24">
      <c r="X654" s="154"/>
    </row>
    <row r="655" spans="24:24">
      <c r="X655" s="154"/>
    </row>
    <row r="656" spans="24:24">
      <c r="X656" s="154"/>
    </row>
    <row r="657" spans="24:24">
      <c r="X657" s="154"/>
    </row>
    <row r="658" spans="24:24">
      <c r="X658" s="154"/>
    </row>
    <row r="659" spans="24:24">
      <c r="X659" s="154"/>
    </row>
    <row r="660" spans="24:24">
      <c r="X660" s="154"/>
    </row>
    <row r="661" spans="24:24">
      <c r="X661" s="154"/>
    </row>
    <row r="662" spans="24:24">
      <c r="X662" s="154"/>
    </row>
    <row r="663" spans="24:24">
      <c r="X663" s="154"/>
    </row>
    <row r="664" spans="24:24">
      <c r="X664" s="154"/>
    </row>
    <row r="665" spans="24:24">
      <c r="X665" s="154"/>
    </row>
    <row r="666" spans="24:24">
      <c r="X666" s="154"/>
    </row>
    <row r="667" spans="24:24">
      <c r="X667" s="154"/>
    </row>
    <row r="668" spans="24:24">
      <c r="X668" s="154"/>
    </row>
    <row r="669" spans="24:24">
      <c r="X669" s="154"/>
    </row>
    <row r="670" spans="24:24">
      <c r="X670" s="154"/>
    </row>
    <row r="671" spans="24:24">
      <c r="X671" s="154"/>
    </row>
    <row r="672" spans="24:24">
      <c r="X672" s="154"/>
    </row>
    <row r="673" spans="24:24">
      <c r="X673" s="154"/>
    </row>
    <row r="674" spans="24:24">
      <c r="X674" s="154"/>
    </row>
    <row r="675" spans="24:24">
      <c r="X675" s="154"/>
    </row>
    <row r="676" spans="24:24">
      <c r="X676" s="154"/>
    </row>
    <row r="677" spans="24:24">
      <c r="X677" s="154"/>
    </row>
    <row r="678" spans="24:24">
      <c r="X678" s="154"/>
    </row>
    <row r="679" spans="24:24">
      <c r="X679" s="154"/>
    </row>
    <row r="680" spans="24:24">
      <c r="X680" s="154"/>
    </row>
    <row r="681" spans="24:24">
      <c r="X681" s="154"/>
    </row>
    <row r="682" spans="24:24">
      <c r="X682" s="154"/>
    </row>
    <row r="683" spans="24:24">
      <c r="X683" s="154"/>
    </row>
    <row r="684" spans="24:24">
      <c r="X684" s="154"/>
    </row>
    <row r="685" spans="24:24">
      <c r="X685" s="154"/>
    </row>
    <row r="686" spans="24:24">
      <c r="X686" s="154"/>
    </row>
    <row r="687" spans="24:24">
      <c r="X687" s="154"/>
    </row>
    <row r="688" spans="24:24">
      <c r="X688" s="154"/>
    </row>
    <row r="689" spans="24:24">
      <c r="X689" s="154"/>
    </row>
    <row r="690" spans="24:24">
      <c r="X690" s="154"/>
    </row>
    <row r="691" spans="24:24">
      <c r="X691" s="154"/>
    </row>
    <row r="692" spans="24:24">
      <c r="X692" s="154"/>
    </row>
    <row r="693" spans="24:24">
      <c r="X693" s="154"/>
    </row>
    <row r="694" spans="24:24">
      <c r="X694" s="154"/>
    </row>
    <row r="695" spans="24:24">
      <c r="X695" s="154"/>
    </row>
    <row r="696" spans="24:24">
      <c r="X696" s="154"/>
    </row>
    <row r="697" spans="24:24">
      <c r="X697" s="154"/>
    </row>
    <row r="698" spans="24:24">
      <c r="X698" s="154"/>
    </row>
    <row r="699" spans="24:24">
      <c r="X699" s="154"/>
    </row>
    <row r="700" spans="24:24">
      <c r="X700" s="154"/>
    </row>
    <row r="701" spans="24:24">
      <c r="X701" s="154"/>
    </row>
    <row r="702" spans="24:24">
      <c r="X702" s="154"/>
    </row>
    <row r="703" spans="24:24">
      <c r="X703" s="154"/>
    </row>
    <row r="704" spans="24:24">
      <c r="X704" s="154"/>
    </row>
    <row r="705" spans="24:24">
      <c r="X705" s="154"/>
    </row>
    <row r="706" spans="24:24">
      <c r="X706" s="154"/>
    </row>
    <row r="707" spans="24:24">
      <c r="X707" s="154"/>
    </row>
    <row r="708" spans="24:24">
      <c r="X708" s="154"/>
    </row>
    <row r="709" spans="24:24">
      <c r="X709" s="154"/>
    </row>
    <row r="710" spans="24:24">
      <c r="X710" s="154"/>
    </row>
    <row r="711" spans="24:24">
      <c r="X711" s="154"/>
    </row>
    <row r="712" spans="24:24">
      <c r="X712" s="154"/>
    </row>
    <row r="713" spans="24:24">
      <c r="X713" s="154"/>
    </row>
    <row r="714" spans="24:24">
      <c r="X714" s="154"/>
    </row>
    <row r="715" spans="24:24">
      <c r="X715" s="154"/>
    </row>
    <row r="716" spans="24:24">
      <c r="X716" s="154"/>
    </row>
    <row r="717" spans="24:24">
      <c r="X717" s="154"/>
    </row>
    <row r="718" spans="24:24">
      <c r="X718" s="154"/>
    </row>
    <row r="719" spans="24:24">
      <c r="X719" s="154"/>
    </row>
    <row r="720" spans="24:24">
      <c r="X720" s="154"/>
    </row>
    <row r="721" spans="24:24">
      <c r="X721" s="154"/>
    </row>
    <row r="722" spans="24:24">
      <c r="X722" s="154"/>
    </row>
    <row r="723" spans="24:24">
      <c r="X723" s="154"/>
    </row>
    <row r="724" spans="24:24">
      <c r="X724" s="154"/>
    </row>
    <row r="725" spans="24:24">
      <c r="X725" s="154"/>
    </row>
    <row r="726" spans="24:24">
      <c r="X726" s="154"/>
    </row>
    <row r="727" spans="24:24">
      <c r="X727" s="154"/>
    </row>
    <row r="728" spans="24:24">
      <c r="X728" s="154"/>
    </row>
    <row r="729" spans="24:24">
      <c r="X729" s="154"/>
    </row>
    <row r="730" spans="24:24">
      <c r="X730" s="154"/>
    </row>
    <row r="731" spans="24:24">
      <c r="X731" s="154"/>
    </row>
    <row r="732" spans="24:24">
      <c r="X732" s="154"/>
    </row>
    <row r="733" spans="24:24">
      <c r="X733" s="154"/>
    </row>
    <row r="734" spans="24:24">
      <c r="X734" s="154"/>
    </row>
    <row r="735" spans="24:24">
      <c r="X735" s="154"/>
    </row>
    <row r="736" spans="24:24">
      <c r="X736" s="154"/>
    </row>
    <row r="737" spans="24:24">
      <c r="X737" s="154"/>
    </row>
    <row r="738" spans="24:24">
      <c r="X738" s="154"/>
    </row>
    <row r="739" spans="24:24">
      <c r="X739" s="154"/>
    </row>
    <row r="740" spans="24:24">
      <c r="X740" s="154"/>
    </row>
    <row r="741" spans="24:24">
      <c r="X741" s="154"/>
    </row>
    <row r="742" spans="24:24">
      <c r="X742" s="154"/>
    </row>
    <row r="743" spans="24:24">
      <c r="X743" s="154"/>
    </row>
    <row r="744" spans="24:24">
      <c r="X744" s="154"/>
    </row>
    <row r="745" spans="24:24">
      <c r="X745" s="154"/>
    </row>
    <row r="746" spans="24:24">
      <c r="X746" s="154"/>
    </row>
    <row r="747" spans="24:24">
      <c r="X747" s="154"/>
    </row>
    <row r="748" spans="24:24">
      <c r="X748" s="154"/>
    </row>
    <row r="749" spans="24:24">
      <c r="X749" s="154"/>
    </row>
    <row r="750" spans="24:24">
      <c r="X750" s="154"/>
    </row>
    <row r="751" spans="24:24">
      <c r="X751" s="154"/>
    </row>
    <row r="752" spans="24:24">
      <c r="X752" s="154"/>
    </row>
    <row r="753" spans="24:24">
      <c r="X753" s="154"/>
    </row>
    <row r="754" spans="24:24">
      <c r="X754" s="154"/>
    </row>
    <row r="755" spans="24:24">
      <c r="X755" s="154"/>
    </row>
    <row r="756" spans="24:24">
      <c r="X756" s="154"/>
    </row>
    <row r="757" spans="24:24">
      <c r="X757" s="154"/>
    </row>
    <row r="758" spans="24:24">
      <c r="X758" s="154"/>
    </row>
    <row r="759" spans="24:24">
      <c r="X759" s="154"/>
    </row>
    <row r="760" spans="24:24">
      <c r="X760" s="154"/>
    </row>
    <row r="761" spans="24:24">
      <c r="X761" s="154"/>
    </row>
    <row r="762" spans="24:24">
      <c r="X762" s="154"/>
    </row>
    <row r="763" spans="24:24">
      <c r="X763" s="154"/>
    </row>
    <row r="764" spans="24:24">
      <c r="X764" s="154"/>
    </row>
    <row r="765" spans="24:24">
      <c r="X765" s="154"/>
    </row>
    <row r="766" spans="24:24">
      <c r="X766" s="154"/>
    </row>
    <row r="767" spans="24:24">
      <c r="X767" s="154"/>
    </row>
    <row r="768" spans="24:24">
      <c r="X768" s="154"/>
    </row>
    <row r="769" spans="24:24">
      <c r="X769" s="154"/>
    </row>
    <row r="770" spans="24:24">
      <c r="X770" s="154"/>
    </row>
    <row r="771" spans="24:24">
      <c r="X771" s="154"/>
    </row>
    <row r="772" spans="24:24">
      <c r="X772" s="154"/>
    </row>
    <row r="773" spans="24:24">
      <c r="X773" s="154"/>
    </row>
    <row r="774" spans="24:24">
      <c r="X774" s="154"/>
    </row>
    <row r="775" spans="24:24">
      <c r="X775" s="154"/>
    </row>
    <row r="776" spans="24:24">
      <c r="X776" s="154"/>
    </row>
    <row r="777" spans="24:24">
      <c r="X777" s="154"/>
    </row>
    <row r="778" spans="24:24">
      <c r="X778" s="154"/>
    </row>
    <row r="779" spans="24:24">
      <c r="X779" s="154"/>
    </row>
    <row r="780" spans="24:24">
      <c r="X780" s="154"/>
    </row>
    <row r="781" spans="24:24">
      <c r="X781" s="154"/>
    </row>
    <row r="782" spans="24:24">
      <c r="X782" s="154"/>
    </row>
    <row r="783" spans="24:24">
      <c r="X783" s="154"/>
    </row>
    <row r="784" spans="24:24">
      <c r="X784" s="154"/>
    </row>
    <row r="785" spans="24:24">
      <c r="X785" s="154"/>
    </row>
    <row r="786" spans="24:24">
      <c r="X786" s="154"/>
    </row>
    <row r="787" spans="24:24">
      <c r="X787" s="154"/>
    </row>
    <row r="788" spans="24:24">
      <c r="X788" s="154"/>
    </row>
    <row r="789" spans="24:24">
      <c r="X789" s="154"/>
    </row>
    <row r="790" spans="24:24">
      <c r="X790" s="154"/>
    </row>
    <row r="791" spans="24:24">
      <c r="X791" s="154"/>
    </row>
    <row r="792" spans="24:24">
      <c r="X792" s="154"/>
    </row>
    <row r="793" spans="24:24">
      <c r="X793" s="154"/>
    </row>
    <row r="794" spans="24:24">
      <c r="X794" s="154"/>
    </row>
    <row r="795" spans="24:24">
      <c r="X795" s="154"/>
    </row>
    <row r="796" spans="24:24">
      <c r="X796" s="154"/>
    </row>
    <row r="797" spans="24:24">
      <c r="X797" s="154"/>
    </row>
    <row r="798" spans="24:24">
      <c r="X798" s="154"/>
    </row>
    <row r="799" spans="24:24">
      <c r="X799" s="154"/>
    </row>
    <row r="800" spans="24:24">
      <c r="X800" s="154"/>
    </row>
    <row r="801" spans="24:24">
      <c r="X801" s="154"/>
    </row>
    <row r="802" spans="24:24">
      <c r="X802" s="154"/>
    </row>
    <row r="803" spans="24:24">
      <c r="X803" s="154"/>
    </row>
    <row r="804" spans="24:24">
      <c r="X804" s="154"/>
    </row>
    <row r="805" spans="24:24">
      <c r="X805" s="154"/>
    </row>
    <row r="806" spans="24:24">
      <c r="X806" s="154"/>
    </row>
    <row r="807" spans="24:24">
      <c r="X807" s="154"/>
    </row>
    <row r="808" spans="24:24">
      <c r="X808" s="154"/>
    </row>
    <row r="809" spans="24:24">
      <c r="X809" s="154"/>
    </row>
    <row r="810" spans="24:24">
      <c r="X810" s="154"/>
    </row>
    <row r="811" spans="24:24">
      <c r="X811" s="154"/>
    </row>
    <row r="812" spans="24:24">
      <c r="X812" s="154"/>
    </row>
    <row r="813" spans="24:24">
      <c r="X813" s="154"/>
    </row>
    <row r="814" spans="24:24">
      <c r="X814" s="154"/>
    </row>
    <row r="815" spans="24:24">
      <c r="X815" s="154"/>
    </row>
    <row r="816" spans="24:24">
      <c r="X816" s="154"/>
    </row>
    <row r="817" spans="24:24">
      <c r="X817" s="154"/>
    </row>
    <row r="818" spans="24:24">
      <c r="X818" s="154"/>
    </row>
    <row r="819" spans="24:24">
      <c r="X819" s="154"/>
    </row>
    <row r="820" spans="24:24">
      <c r="X820" s="154"/>
    </row>
    <row r="821" spans="24:24">
      <c r="X821" s="154"/>
    </row>
    <row r="822" spans="24:24">
      <c r="X822" s="154"/>
    </row>
    <row r="823" spans="24:24">
      <c r="X823" s="154"/>
    </row>
    <row r="824" spans="24:24">
      <c r="X824" s="154"/>
    </row>
    <row r="825" spans="24:24">
      <c r="X825" s="154"/>
    </row>
    <row r="826" spans="24:24">
      <c r="X826" s="154"/>
    </row>
    <row r="827" spans="24:24">
      <c r="X827" s="154"/>
    </row>
    <row r="828" spans="24:24">
      <c r="X828" s="154"/>
    </row>
    <row r="829" spans="24:24">
      <c r="X829" s="154"/>
    </row>
    <row r="830" spans="24:24">
      <c r="X830" s="154"/>
    </row>
    <row r="831" spans="24:24">
      <c r="X831" s="154"/>
    </row>
    <row r="832" spans="24:24">
      <c r="X832" s="154"/>
    </row>
    <row r="833" spans="24:24">
      <c r="X833" s="154"/>
    </row>
    <row r="834" spans="24:24">
      <c r="X834" s="154"/>
    </row>
    <row r="835" spans="24:24">
      <c r="X835" s="154"/>
    </row>
    <row r="836" spans="24:24">
      <c r="X836" s="154"/>
    </row>
    <row r="837" spans="24:24">
      <c r="X837" s="154"/>
    </row>
    <row r="838" spans="24:24">
      <c r="X838" s="154"/>
    </row>
    <row r="839" spans="24:24">
      <c r="X839" s="154"/>
    </row>
    <row r="840" spans="24:24">
      <c r="X840" s="154"/>
    </row>
    <row r="841" spans="24:24">
      <c r="X841" s="154"/>
    </row>
    <row r="842" spans="24:24">
      <c r="X842" s="154"/>
    </row>
    <row r="843" spans="24:24">
      <c r="X843" s="154"/>
    </row>
    <row r="844" spans="24:24">
      <c r="X844" s="15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151</v>
      </c>
      <c r="N1" s="22" t="s">
        <v>126</v>
      </c>
      <c r="O1" s="22" t="s">
        <v>9</v>
      </c>
      <c r="P1" s="22" t="s">
        <v>10</v>
      </c>
      <c r="Q1" s="22" t="s">
        <v>175</v>
      </c>
      <c r="R1" s="22" t="s">
        <v>11</v>
      </c>
      <c r="S1" s="22" t="s">
        <v>12</v>
      </c>
      <c r="T1" s="22" t="s">
        <v>915</v>
      </c>
      <c r="U1" s="22" t="s">
        <v>13</v>
      </c>
      <c r="V1" s="146" t="s">
        <v>14</v>
      </c>
      <c r="W1" s="22" t="s">
        <v>15</v>
      </c>
      <c r="X1" s="22" t="s">
        <v>413</v>
      </c>
      <c r="Y1" s="22" t="s">
        <v>836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167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17"/>
  <sheetViews>
    <sheetView rightToLeft="1" tabSelected="1" topLeftCell="A181" zoomScale="70" zoomScaleNormal="70" workbookViewId="0">
      <selection activeCell="I199" sqref="I199"/>
    </sheetView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5</v>
      </c>
      <c r="J1" s="22" t="s">
        <v>6</v>
      </c>
      <c r="K1" s="22" t="s">
        <v>7</v>
      </c>
      <c r="L1" s="22" t="s">
        <v>329</v>
      </c>
      <c r="M1" s="22" t="s">
        <v>8</v>
      </c>
      <c r="N1" s="22" t="s">
        <v>151</v>
      </c>
      <c r="O1" s="22" t="s">
        <v>126</v>
      </c>
      <c r="P1" s="22" t="s">
        <v>9</v>
      </c>
      <c r="Q1" s="22" t="s">
        <v>10</v>
      </c>
      <c r="R1" s="22" t="s">
        <v>175</v>
      </c>
      <c r="S1" s="22" t="s">
        <v>11</v>
      </c>
      <c r="T1" s="22" t="s">
        <v>12</v>
      </c>
      <c r="U1" s="22" t="s">
        <v>13</v>
      </c>
      <c r="V1" s="166" t="s">
        <v>14</v>
      </c>
      <c r="W1" s="170" t="s">
        <v>15</v>
      </c>
      <c r="X1" s="22" t="s">
        <v>413</v>
      </c>
      <c r="Y1" s="22" t="s">
        <v>836</v>
      </c>
      <c r="Z1" s="22" t="s">
        <v>17</v>
      </c>
      <c r="AA1" s="164" t="s">
        <v>18</v>
      </c>
      <c r="AB1" s="175" t="s">
        <v>19</v>
      </c>
      <c r="AC1" s="22" t="s">
        <v>16</v>
      </c>
      <c r="AD1" s="22" t="s">
        <v>20</v>
      </c>
      <c r="AE1" s="22" t="s">
        <v>21</v>
      </c>
      <c r="AF1" s="22" t="s">
        <v>167</v>
      </c>
      <c r="AG1" s="22" t="s">
        <v>22</v>
      </c>
      <c r="AH1" s="170" t="s">
        <v>23</v>
      </c>
      <c r="AI1" s="170" t="s">
        <v>24</v>
      </c>
      <c r="AJ1" s="170" t="s">
        <v>25</v>
      </c>
    </row>
    <row r="2" spans="1:36">
      <c r="A2" s="2">
        <v>419</v>
      </c>
      <c r="B2" s="23">
        <v>419</v>
      </c>
      <c r="C2" s="23" t="s">
        <v>1911</v>
      </c>
      <c r="D2" s="23" t="s">
        <v>1912</v>
      </c>
      <c r="E2" s="21" t="s">
        <v>1321</v>
      </c>
      <c r="F2" s="23" t="s">
        <v>1913</v>
      </c>
      <c r="G2" s="23" t="s">
        <v>1914</v>
      </c>
      <c r="H2" s="21" t="s">
        <v>324</v>
      </c>
      <c r="I2" s="30" t="s">
        <v>761</v>
      </c>
      <c r="J2" s="21" t="s">
        <v>30</v>
      </c>
      <c r="K2" s="21" t="s">
        <v>30</v>
      </c>
      <c r="L2" s="23" t="s">
        <v>330</v>
      </c>
      <c r="M2" s="21" t="s">
        <v>31</v>
      </c>
      <c r="N2" s="23" t="s">
        <v>469</v>
      </c>
      <c r="O2" s="23" t="s">
        <v>140</v>
      </c>
      <c r="P2" s="23" t="s">
        <v>1915</v>
      </c>
      <c r="Q2" s="23" t="s">
        <v>416</v>
      </c>
      <c r="R2" s="23" t="s">
        <v>410</v>
      </c>
      <c r="S2" s="21" t="s">
        <v>34</v>
      </c>
      <c r="T2" s="158">
        <v>0.72799999999999998</v>
      </c>
      <c r="U2" s="23" t="s">
        <v>1916</v>
      </c>
      <c r="V2" s="178">
        <v>3.9E-2</v>
      </c>
      <c r="W2" s="179">
        <v>6.8220000000000003E-2</v>
      </c>
      <c r="X2" s="21" t="s">
        <v>415</v>
      </c>
      <c r="Y2" s="21" t="s">
        <v>140</v>
      </c>
      <c r="Z2" s="158">
        <v>546808.68999999994</v>
      </c>
      <c r="AA2" s="180">
        <v>1</v>
      </c>
      <c r="AB2" s="181">
        <v>100.82</v>
      </c>
      <c r="AC2" s="23"/>
      <c r="AD2" s="158">
        <v>551.29300000000001</v>
      </c>
      <c r="AE2" s="23"/>
      <c r="AF2" s="30"/>
      <c r="AG2" s="21" t="s">
        <v>36</v>
      </c>
      <c r="AH2" s="171">
        <v>6.9360000000000003E-3</v>
      </c>
      <c r="AI2" s="171">
        <v>3.3501177100098102E-3</v>
      </c>
      <c r="AJ2" s="171">
        <v>4.7552626578097198E-4</v>
      </c>
    </row>
    <row r="3" spans="1:36">
      <c r="A3" s="23">
        <v>419</v>
      </c>
      <c r="B3" s="23">
        <v>419</v>
      </c>
      <c r="C3" s="23" t="s">
        <v>1917</v>
      </c>
      <c r="D3" s="23" t="s">
        <v>1918</v>
      </c>
      <c r="E3" s="21" t="s">
        <v>1321</v>
      </c>
      <c r="F3" s="23" t="s">
        <v>1919</v>
      </c>
      <c r="G3" s="23" t="s">
        <v>1920</v>
      </c>
      <c r="H3" s="21" t="s">
        <v>324</v>
      </c>
      <c r="I3" s="23" t="s">
        <v>760</v>
      </c>
      <c r="J3" s="21" t="s">
        <v>30</v>
      </c>
      <c r="K3" s="21" t="s">
        <v>30</v>
      </c>
      <c r="L3" s="23" t="s">
        <v>330</v>
      </c>
      <c r="M3" s="21" t="s">
        <v>31</v>
      </c>
      <c r="N3" s="23" t="s">
        <v>459</v>
      </c>
      <c r="O3" s="23" t="s">
        <v>140</v>
      </c>
      <c r="P3" s="23" t="s">
        <v>1921</v>
      </c>
      <c r="Q3" s="23" t="s">
        <v>416</v>
      </c>
      <c r="R3" s="23" t="s">
        <v>410</v>
      </c>
      <c r="S3" s="21" t="s">
        <v>34</v>
      </c>
      <c r="T3" s="158">
        <v>5.0199999999999996</v>
      </c>
      <c r="U3" s="23" t="s">
        <v>1922</v>
      </c>
      <c r="V3" s="178">
        <v>5.1499999999999997E-2</v>
      </c>
      <c r="W3" s="179">
        <v>5.1479999999999998E-2</v>
      </c>
      <c r="X3" s="21" t="s">
        <v>415</v>
      </c>
      <c r="Y3" s="21" t="s">
        <v>140</v>
      </c>
      <c r="Z3" s="158">
        <v>0.24</v>
      </c>
      <c r="AA3" s="180">
        <v>1</v>
      </c>
      <c r="AB3" s="181">
        <v>141.9</v>
      </c>
      <c r="AC3" s="23"/>
      <c r="AD3" s="158">
        <v>0</v>
      </c>
      <c r="AE3" s="23"/>
      <c r="AG3" s="21" t="s">
        <v>36</v>
      </c>
      <c r="AH3" s="171">
        <v>0</v>
      </c>
      <c r="AI3" s="171">
        <v>2.0695294119308402E-9</v>
      </c>
      <c r="AJ3" s="171">
        <v>2.9375552692937499E-10</v>
      </c>
    </row>
    <row r="4" spans="1:36">
      <c r="A4" s="23">
        <v>419</v>
      </c>
      <c r="B4" s="23">
        <v>419</v>
      </c>
      <c r="C4" s="23" t="s">
        <v>1923</v>
      </c>
      <c r="D4" s="23" t="s">
        <v>1924</v>
      </c>
      <c r="E4" s="21" t="s">
        <v>1321</v>
      </c>
      <c r="F4" s="23" t="s">
        <v>1925</v>
      </c>
      <c r="G4" s="23" t="s">
        <v>1926</v>
      </c>
      <c r="H4" s="21" t="s">
        <v>324</v>
      </c>
      <c r="I4" s="23" t="s">
        <v>760</v>
      </c>
      <c r="J4" s="21" t="s">
        <v>30</v>
      </c>
      <c r="K4" s="21" t="s">
        <v>30</v>
      </c>
      <c r="L4" s="23" t="s">
        <v>330</v>
      </c>
      <c r="M4" s="21" t="s">
        <v>31</v>
      </c>
      <c r="N4" s="23" t="s">
        <v>443</v>
      </c>
      <c r="O4" s="23" t="s">
        <v>140</v>
      </c>
      <c r="P4" s="23" t="s">
        <v>1927</v>
      </c>
      <c r="Q4" s="23" t="s">
        <v>416</v>
      </c>
      <c r="R4" s="23" t="s">
        <v>410</v>
      </c>
      <c r="S4" s="21" t="s">
        <v>34</v>
      </c>
      <c r="T4" s="158">
        <v>2.9049999999999998</v>
      </c>
      <c r="U4" s="23" t="s">
        <v>1928</v>
      </c>
      <c r="V4" s="178">
        <v>2.75E-2</v>
      </c>
      <c r="W4" s="179">
        <v>3.1E-2</v>
      </c>
      <c r="X4" s="21" t="s">
        <v>415</v>
      </c>
      <c r="Y4" s="21" t="s">
        <v>140</v>
      </c>
      <c r="Z4" s="158">
        <v>628917.82999999996</v>
      </c>
      <c r="AA4" s="180">
        <v>1</v>
      </c>
      <c r="AB4" s="181">
        <v>113.65</v>
      </c>
      <c r="AC4" s="23"/>
      <c r="AD4" s="158">
        <v>714.76499999999999</v>
      </c>
      <c r="AE4" s="23"/>
      <c r="AG4" s="21" t="s">
        <v>36</v>
      </c>
      <c r="AH4" s="171">
        <v>7.4799999999999997E-4</v>
      </c>
      <c r="AI4" s="171">
        <v>4.3435148743858603E-3</v>
      </c>
      <c r="AJ4" s="171">
        <v>6.1653219002109796E-4</v>
      </c>
    </row>
    <row r="5" spans="1:36">
      <c r="A5" s="23">
        <v>419</v>
      </c>
      <c r="B5" s="23">
        <v>419</v>
      </c>
      <c r="C5" s="23" t="s">
        <v>1923</v>
      </c>
      <c r="D5" s="23" t="s">
        <v>1924</v>
      </c>
      <c r="E5" s="21" t="s">
        <v>1321</v>
      </c>
      <c r="F5" s="23" t="s">
        <v>1929</v>
      </c>
      <c r="G5" s="23" t="s">
        <v>1930</v>
      </c>
      <c r="H5" s="21" t="s">
        <v>324</v>
      </c>
      <c r="I5" s="23" t="s">
        <v>973</v>
      </c>
      <c r="J5" s="21" t="s">
        <v>30</v>
      </c>
      <c r="K5" s="21" t="s">
        <v>30</v>
      </c>
      <c r="L5" s="23" t="s">
        <v>330</v>
      </c>
      <c r="M5" s="21" t="s">
        <v>31</v>
      </c>
      <c r="N5" s="23" t="s">
        <v>443</v>
      </c>
      <c r="O5" s="23" t="s">
        <v>140</v>
      </c>
      <c r="P5" s="23" t="s">
        <v>1927</v>
      </c>
      <c r="Q5" s="23" t="s">
        <v>416</v>
      </c>
      <c r="R5" s="23" t="s">
        <v>410</v>
      </c>
      <c r="S5" s="21" t="s">
        <v>34</v>
      </c>
      <c r="T5" s="158">
        <v>2.4820000000000002</v>
      </c>
      <c r="U5" s="23" t="s">
        <v>1931</v>
      </c>
      <c r="V5" s="178">
        <v>2.5000000000000001E-2</v>
      </c>
      <c r="W5" s="179">
        <v>6.1120000000000001E-2</v>
      </c>
      <c r="X5" s="21" t="s">
        <v>415</v>
      </c>
      <c r="Y5" s="21" t="s">
        <v>140</v>
      </c>
      <c r="Z5" s="158">
        <v>1166197.47</v>
      </c>
      <c r="AA5" s="180">
        <v>1</v>
      </c>
      <c r="AB5" s="181">
        <v>89.41</v>
      </c>
      <c r="AC5" s="23"/>
      <c r="AD5" s="158">
        <v>1042.6969999999999</v>
      </c>
      <c r="AE5" s="23"/>
      <c r="AG5" s="21" t="s">
        <v>36</v>
      </c>
      <c r="AH5" s="171">
        <v>1.523E-3</v>
      </c>
      <c r="AI5" s="171">
        <v>6.3363061900006601E-3</v>
      </c>
      <c r="AJ5" s="171">
        <v>8.9939526971637401E-4</v>
      </c>
    </row>
    <row r="6" spans="1:36">
      <c r="A6" s="23">
        <v>419</v>
      </c>
      <c r="B6" s="23">
        <v>419</v>
      </c>
      <c r="C6" s="23" t="s">
        <v>1932</v>
      </c>
      <c r="D6" s="23" t="s">
        <v>1933</v>
      </c>
      <c r="E6" s="21" t="s">
        <v>315</v>
      </c>
      <c r="F6" s="23" t="s">
        <v>1934</v>
      </c>
      <c r="G6" s="23" t="s">
        <v>1935</v>
      </c>
      <c r="H6" s="21" t="s">
        <v>324</v>
      </c>
      <c r="I6" s="23" t="s">
        <v>973</v>
      </c>
      <c r="J6" s="21" t="s">
        <v>30</v>
      </c>
      <c r="K6" s="21" t="s">
        <v>228</v>
      </c>
      <c r="L6" s="23" t="s">
        <v>330</v>
      </c>
      <c r="M6" s="21" t="s">
        <v>31</v>
      </c>
      <c r="N6" s="23" t="s">
        <v>468</v>
      </c>
      <c r="O6" s="23" t="s">
        <v>140</v>
      </c>
      <c r="P6" s="23" t="s">
        <v>1936</v>
      </c>
      <c r="Q6" s="23" t="s">
        <v>418</v>
      </c>
      <c r="R6" s="23" t="s">
        <v>410</v>
      </c>
      <c r="S6" s="21" t="s">
        <v>34</v>
      </c>
      <c r="T6" s="158">
        <v>0</v>
      </c>
      <c r="U6" s="23" t="s">
        <v>1937</v>
      </c>
      <c r="V6" s="178">
        <v>0.03</v>
      </c>
      <c r="W6" s="179">
        <v>0</v>
      </c>
      <c r="X6" s="21" t="s">
        <v>415</v>
      </c>
      <c r="Y6" s="21" t="s">
        <v>140</v>
      </c>
      <c r="Z6" s="156">
        <v>200000</v>
      </c>
      <c r="AA6" s="165">
        <v>1</v>
      </c>
      <c r="AB6" s="182">
        <v>0.01</v>
      </c>
      <c r="AC6" s="23"/>
      <c r="AD6" s="156">
        <v>0.02</v>
      </c>
      <c r="AG6" s="2" t="s">
        <v>36</v>
      </c>
      <c r="AH6" s="171">
        <v>0</v>
      </c>
      <c r="AI6" s="171">
        <v>1.21536845896808E-7</v>
      </c>
      <c r="AJ6" s="171">
        <v>1.7251322934541701E-8</v>
      </c>
    </row>
    <row r="7" spans="1:36">
      <c r="A7" s="23">
        <v>419</v>
      </c>
      <c r="B7" s="23">
        <v>419</v>
      </c>
      <c r="C7" s="23" t="s">
        <v>1938</v>
      </c>
      <c r="D7" s="23" t="s">
        <v>1939</v>
      </c>
      <c r="E7" s="21" t="s">
        <v>1321</v>
      </c>
      <c r="F7" s="23" t="s">
        <v>1940</v>
      </c>
      <c r="G7" s="23" t="s">
        <v>1941</v>
      </c>
      <c r="H7" s="21" t="s">
        <v>324</v>
      </c>
      <c r="I7" s="23" t="s">
        <v>973</v>
      </c>
      <c r="J7" s="21" t="s">
        <v>30</v>
      </c>
      <c r="K7" s="21" t="s">
        <v>30</v>
      </c>
      <c r="L7" s="23" t="s">
        <v>330</v>
      </c>
      <c r="M7" s="21" t="s">
        <v>31</v>
      </c>
      <c r="N7" s="23" t="s">
        <v>450</v>
      </c>
      <c r="O7" s="23" t="s">
        <v>140</v>
      </c>
      <c r="P7" s="23" t="s">
        <v>1942</v>
      </c>
      <c r="Q7" s="23" t="s">
        <v>418</v>
      </c>
      <c r="R7" s="23" t="s">
        <v>410</v>
      </c>
      <c r="S7" s="21" t="s">
        <v>34</v>
      </c>
      <c r="T7" s="158">
        <v>2.2480000000000002</v>
      </c>
      <c r="U7" s="23" t="s">
        <v>1943</v>
      </c>
      <c r="V7" s="178">
        <v>2.5499999999999998E-2</v>
      </c>
      <c r="W7" s="179">
        <v>6.0019999999999997E-2</v>
      </c>
      <c r="X7" s="21" t="s">
        <v>415</v>
      </c>
      <c r="Y7" s="21" t="s">
        <v>140</v>
      </c>
      <c r="Z7" s="156">
        <v>1312336</v>
      </c>
      <c r="AA7" s="165">
        <v>1</v>
      </c>
      <c r="AB7" s="182">
        <v>93.37</v>
      </c>
      <c r="AC7" s="23"/>
      <c r="AD7" s="156">
        <v>1225.328</v>
      </c>
      <c r="AG7" s="2" t="s">
        <v>36</v>
      </c>
      <c r="AH7" s="171">
        <v>1.707E-3</v>
      </c>
      <c r="AI7" s="171">
        <v>7.4461257641191599E-3</v>
      </c>
      <c r="AJ7" s="171">
        <v>1.0569265577049501E-3</v>
      </c>
    </row>
    <row r="8" spans="1:36">
      <c r="A8" s="23">
        <v>419</v>
      </c>
      <c r="B8" s="23">
        <v>419</v>
      </c>
      <c r="C8" s="23" t="s">
        <v>1944</v>
      </c>
      <c r="D8" s="23" t="s">
        <v>1945</v>
      </c>
      <c r="E8" s="21" t="s">
        <v>1321</v>
      </c>
      <c r="F8" s="23" t="s">
        <v>1946</v>
      </c>
      <c r="G8" s="23" t="s">
        <v>1947</v>
      </c>
      <c r="H8" s="21" t="s">
        <v>324</v>
      </c>
      <c r="I8" s="23" t="s">
        <v>973</v>
      </c>
      <c r="J8" s="21" t="s">
        <v>30</v>
      </c>
      <c r="K8" s="21" t="s">
        <v>30</v>
      </c>
      <c r="L8" s="23" t="s">
        <v>330</v>
      </c>
      <c r="M8" s="21" t="s">
        <v>31</v>
      </c>
      <c r="N8" s="23" t="s">
        <v>448</v>
      </c>
      <c r="O8" s="23" t="s">
        <v>140</v>
      </c>
      <c r="P8" s="23" t="s">
        <v>1942</v>
      </c>
      <c r="Q8" s="23" t="s">
        <v>418</v>
      </c>
      <c r="R8" s="23" t="s">
        <v>410</v>
      </c>
      <c r="S8" s="21" t="s">
        <v>34</v>
      </c>
      <c r="T8" s="158">
        <v>3.9980000000000002</v>
      </c>
      <c r="U8" s="23" t="s">
        <v>1948</v>
      </c>
      <c r="V8" s="178">
        <v>2.18E-2</v>
      </c>
      <c r="W8" s="179">
        <v>6.139E-2</v>
      </c>
      <c r="X8" s="21" t="s">
        <v>415</v>
      </c>
      <c r="Y8" s="21" t="s">
        <v>140</v>
      </c>
      <c r="Z8" s="158">
        <v>2451569</v>
      </c>
      <c r="AA8" s="180">
        <v>1</v>
      </c>
      <c r="AB8" s="181">
        <v>86.45</v>
      </c>
      <c r="AC8" s="23"/>
      <c r="AD8" s="158">
        <v>2119.3809999999999</v>
      </c>
      <c r="AE8" s="23"/>
      <c r="AG8" s="21" t="s">
        <v>36</v>
      </c>
      <c r="AH8" s="171">
        <v>1.4912E-2</v>
      </c>
      <c r="AI8" s="171">
        <v>1.28791465334565E-2</v>
      </c>
      <c r="AJ8" s="171">
        <v>1.82810664807433E-3</v>
      </c>
    </row>
    <row r="9" spans="1:36">
      <c r="A9" s="23">
        <v>419</v>
      </c>
      <c r="B9" s="23">
        <v>419</v>
      </c>
      <c r="C9" s="23" t="s">
        <v>1944</v>
      </c>
      <c r="D9" s="23" t="s">
        <v>1945</v>
      </c>
      <c r="E9" s="21" t="s">
        <v>1321</v>
      </c>
      <c r="F9" s="23" t="s">
        <v>1949</v>
      </c>
      <c r="G9" s="23" t="s">
        <v>1950</v>
      </c>
      <c r="H9" s="21" t="s">
        <v>324</v>
      </c>
      <c r="I9" s="23" t="s">
        <v>973</v>
      </c>
      <c r="J9" s="21" t="s">
        <v>30</v>
      </c>
      <c r="K9" s="21" t="s">
        <v>30</v>
      </c>
      <c r="L9" s="23" t="s">
        <v>330</v>
      </c>
      <c r="M9" s="21" t="s">
        <v>31</v>
      </c>
      <c r="N9" s="23" t="s">
        <v>448</v>
      </c>
      <c r="O9" s="23" t="s">
        <v>140</v>
      </c>
      <c r="P9" s="23" t="s">
        <v>1942</v>
      </c>
      <c r="Q9" s="23" t="s">
        <v>418</v>
      </c>
      <c r="R9" s="23" t="s">
        <v>410</v>
      </c>
      <c r="S9" s="21" t="s">
        <v>34</v>
      </c>
      <c r="T9" s="158">
        <v>1.101</v>
      </c>
      <c r="U9" s="23" t="s">
        <v>1951</v>
      </c>
      <c r="V9" s="178">
        <v>3.27E-2</v>
      </c>
      <c r="W9" s="179">
        <v>5.543E-2</v>
      </c>
      <c r="X9" s="21" t="s">
        <v>415</v>
      </c>
      <c r="Y9" s="21" t="s">
        <v>140</v>
      </c>
      <c r="Z9" s="158">
        <v>142000</v>
      </c>
      <c r="AA9" s="180">
        <v>1</v>
      </c>
      <c r="AB9" s="181">
        <v>98.85</v>
      </c>
      <c r="AC9" s="23"/>
      <c r="AD9" s="158">
        <v>140.36699999999999</v>
      </c>
      <c r="AE9" s="23"/>
      <c r="AG9" s="21" t="s">
        <v>36</v>
      </c>
      <c r="AH9" s="171">
        <v>4.4999999999999999E-4</v>
      </c>
      <c r="AI9" s="171">
        <v>8.5298812239986103E-4</v>
      </c>
      <c r="AJ9" s="171">
        <v>1.2107582231764E-4</v>
      </c>
    </row>
    <row r="10" spans="1:36">
      <c r="A10" s="23">
        <v>419</v>
      </c>
      <c r="B10" s="23">
        <v>419</v>
      </c>
      <c r="C10" s="23" t="s">
        <v>1952</v>
      </c>
      <c r="D10" s="23" t="s">
        <v>1953</v>
      </c>
      <c r="E10" s="21" t="s">
        <v>1321</v>
      </c>
      <c r="F10" s="23" t="s">
        <v>1954</v>
      </c>
      <c r="G10" s="23" t="s">
        <v>1955</v>
      </c>
      <c r="H10" s="21" t="s">
        <v>324</v>
      </c>
      <c r="I10" s="23" t="s">
        <v>760</v>
      </c>
      <c r="J10" s="21" t="s">
        <v>30</v>
      </c>
      <c r="K10" s="21" t="s">
        <v>30</v>
      </c>
      <c r="L10" s="23" t="s">
        <v>330</v>
      </c>
      <c r="M10" s="21" t="s">
        <v>31</v>
      </c>
      <c r="N10" s="23" t="s">
        <v>467</v>
      </c>
      <c r="O10" s="23" t="s">
        <v>140</v>
      </c>
      <c r="P10" s="23" t="s">
        <v>1956</v>
      </c>
      <c r="Q10" s="23" t="s">
        <v>416</v>
      </c>
      <c r="R10" s="23" t="s">
        <v>410</v>
      </c>
      <c r="S10" s="21" t="s">
        <v>34</v>
      </c>
      <c r="T10" s="158">
        <v>2.012</v>
      </c>
      <c r="U10" s="23" t="s">
        <v>73</v>
      </c>
      <c r="V10" s="178">
        <v>2.3400000000000001E-2</v>
      </c>
      <c r="W10" s="179">
        <v>2.664E-2</v>
      </c>
      <c r="X10" s="21" t="s">
        <v>415</v>
      </c>
      <c r="Y10" s="21" t="s">
        <v>140</v>
      </c>
      <c r="Z10" s="158">
        <v>521788.23</v>
      </c>
      <c r="AA10" s="180">
        <v>1</v>
      </c>
      <c r="AB10" s="181">
        <v>115.87</v>
      </c>
      <c r="AC10" s="23"/>
      <c r="AD10" s="158">
        <v>604.596</v>
      </c>
      <c r="AE10" s="23"/>
      <c r="AG10" s="21" t="s">
        <v>36</v>
      </c>
      <c r="AH10" s="171">
        <v>2.4699999999999999E-4</v>
      </c>
      <c r="AI10" s="171">
        <v>3.6740346783956102E-3</v>
      </c>
      <c r="AJ10" s="171">
        <v>5.2150406111018202E-4</v>
      </c>
    </row>
    <row r="11" spans="1:36">
      <c r="A11" s="23">
        <v>419</v>
      </c>
      <c r="B11" s="23">
        <v>419</v>
      </c>
      <c r="C11" s="23" t="s">
        <v>1957</v>
      </c>
      <c r="D11" s="23" t="s">
        <v>1958</v>
      </c>
      <c r="E11" s="21" t="s">
        <v>1321</v>
      </c>
      <c r="F11" s="23" t="s">
        <v>1959</v>
      </c>
      <c r="G11" s="23" t="s">
        <v>1960</v>
      </c>
      <c r="H11" s="21" t="s">
        <v>324</v>
      </c>
      <c r="I11" s="23" t="s">
        <v>973</v>
      </c>
      <c r="J11" s="21" t="s">
        <v>30</v>
      </c>
      <c r="K11" s="21" t="s">
        <v>30</v>
      </c>
      <c r="L11" s="23" t="s">
        <v>330</v>
      </c>
      <c r="M11" s="21" t="s">
        <v>31</v>
      </c>
      <c r="N11" s="23" t="s">
        <v>467</v>
      </c>
      <c r="O11" s="23" t="s">
        <v>140</v>
      </c>
      <c r="P11" s="23" t="s">
        <v>1921</v>
      </c>
      <c r="Q11" s="23" t="s">
        <v>416</v>
      </c>
      <c r="R11" s="23" t="s">
        <v>410</v>
      </c>
      <c r="S11" s="21" t="s">
        <v>34</v>
      </c>
      <c r="T11" s="158">
        <v>3.9049999999999998</v>
      </c>
      <c r="U11" s="23" t="s">
        <v>1961</v>
      </c>
      <c r="V11" s="178">
        <v>2.41E-2</v>
      </c>
      <c r="W11" s="179">
        <v>6.3320000000000001E-2</v>
      </c>
      <c r="X11" s="21" t="s">
        <v>415</v>
      </c>
      <c r="Y11" s="21" t="s">
        <v>140</v>
      </c>
      <c r="Z11" s="158">
        <v>1022222.23</v>
      </c>
      <c r="AA11" s="180">
        <v>1</v>
      </c>
      <c r="AB11" s="181">
        <v>86.08</v>
      </c>
      <c r="AC11" s="23"/>
      <c r="AD11" s="158">
        <v>879.92899999999997</v>
      </c>
      <c r="AE11" s="23"/>
      <c r="AG11" s="21" t="s">
        <v>36</v>
      </c>
      <c r="AH11" s="171">
        <v>4.9700000000000005E-4</v>
      </c>
      <c r="AI11" s="171">
        <v>5.3471891291370496E-3</v>
      </c>
      <c r="AJ11" s="171">
        <v>7.5899687685770901E-4</v>
      </c>
    </row>
    <row r="12" spans="1:36">
      <c r="A12" s="23">
        <v>419</v>
      </c>
      <c r="B12" s="23">
        <v>419</v>
      </c>
      <c r="C12" s="23" t="s">
        <v>1957</v>
      </c>
      <c r="D12" s="23" t="s">
        <v>1958</v>
      </c>
      <c r="E12" s="21" t="s">
        <v>1321</v>
      </c>
      <c r="F12" s="23" t="s">
        <v>1962</v>
      </c>
      <c r="G12" s="23" t="s">
        <v>1963</v>
      </c>
      <c r="H12" s="21" t="s">
        <v>324</v>
      </c>
      <c r="I12" s="23" t="s">
        <v>973</v>
      </c>
      <c r="J12" s="21" t="s">
        <v>30</v>
      </c>
      <c r="K12" s="21" t="s">
        <v>30</v>
      </c>
      <c r="L12" s="23" t="s">
        <v>330</v>
      </c>
      <c r="M12" s="21" t="s">
        <v>31</v>
      </c>
      <c r="N12" s="23" t="s">
        <v>467</v>
      </c>
      <c r="O12" s="23" t="s">
        <v>140</v>
      </c>
      <c r="P12" s="23" t="s">
        <v>1921</v>
      </c>
      <c r="Q12" s="23" t="s">
        <v>416</v>
      </c>
      <c r="R12" s="23" t="s">
        <v>410</v>
      </c>
      <c r="S12" s="21" t="s">
        <v>34</v>
      </c>
      <c r="T12" s="158">
        <v>6.2430000000000003</v>
      </c>
      <c r="U12" s="23" t="s">
        <v>1964</v>
      </c>
      <c r="V12" s="178">
        <v>4.9399999999999999E-2</v>
      </c>
      <c r="W12" s="179">
        <v>6.6839999999999997E-2</v>
      </c>
      <c r="X12" s="21" t="s">
        <v>415</v>
      </c>
      <c r="Y12" s="21" t="s">
        <v>140</v>
      </c>
      <c r="Z12" s="158">
        <v>409710</v>
      </c>
      <c r="AA12" s="180">
        <v>1</v>
      </c>
      <c r="AB12" s="181">
        <v>92.67</v>
      </c>
      <c r="AC12" s="23"/>
      <c r="AD12" s="158">
        <v>379.678</v>
      </c>
      <c r="AE12" s="23"/>
      <c r="AG12" s="21" t="s">
        <v>36</v>
      </c>
      <c r="AH12" s="171">
        <v>4.5600000000000003E-4</v>
      </c>
      <c r="AI12" s="171">
        <v>2.3072448905688799E-3</v>
      </c>
      <c r="AJ12" s="171">
        <v>3.2749761113654501E-4</v>
      </c>
    </row>
    <row r="13" spans="1:36">
      <c r="A13" s="23">
        <v>419</v>
      </c>
      <c r="B13" s="23">
        <v>419</v>
      </c>
      <c r="C13" s="23" t="s">
        <v>1575</v>
      </c>
      <c r="D13" s="23" t="s">
        <v>1576</v>
      </c>
      <c r="E13" s="21" t="s">
        <v>1321</v>
      </c>
      <c r="F13" s="23" t="s">
        <v>1965</v>
      </c>
      <c r="G13" s="23" t="s">
        <v>1966</v>
      </c>
      <c r="H13" s="21" t="s">
        <v>324</v>
      </c>
      <c r="I13" s="23" t="s">
        <v>973</v>
      </c>
      <c r="J13" s="21" t="s">
        <v>30</v>
      </c>
      <c r="K13" s="21" t="s">
        <v>30</v>
      </c>
      <c r="L13" s="23" t="s">
        <v>330</v>
      </c>
      <c r="M13" s="21" t="s">
        <v>31</v>
      </c>
      <c r="N13" s="23" t="s">
        <v>454</v>
      </c>
      <c r="O13" s="23" t="s">
        <v>140</v>
      </c>
      <c r="P13" s="23" t="s">
        <v>1915</v>
      </c>
      <c r="Q13" s="23" t="s">
        <v>416</v>
      </c>
      <c r="R13" s="23" t="s">
        <v>410</v>
      </c>
      <c r="S13" s="21" t="s">
        <v>34</v>
      </c>
      <c r="T13" s="158">
        <v>1.208</v>
      </c>
      <c r="U13" s="23" t="s">
        <v>1967</v>
      </c>
      <c r="V13" s="178">
        <v>0.04</v>
      </c>
      <c r="W13" s="179">
        <v>5.4780000000000002E-2</v>
      </c>
      <c r="X13" s="21" t="s">
        <v>415</v>
      </c>
      <c r="Y13" s="21" t="s">
        <v>140</v>
      </c>
      <c r="Z13" s="158">
        <v>461242.57</v>
      </c>
      <c r="AA13" s="180">
        <v>1</v>
      </c>
      <c r="AB13" s="181">
        <v>99.35</v>
      </c>
      <c r="AC13" s="23"/>
      <c r="AD13" s="158">
        <v>458.24400000000003</v>
      </c>
      <c r="AE13" s="23"/>
      <c r="AG13" s="21" t="s">
        <v>36</v>
      </c>
      <c r="AH13" s="171">
        <v>3.5010000000000002E-3</v>
      </c>
      <c r="AI13" s="171">
        <v>2.7846795182327601E-3</v>
      </c>
      <c r="AJ13" s="171">
        <v>3.95266186840373E-4</v>
      </c>
    </row>
    <row r="14" spans="1:36">
      <c r="A14" s="23">
        <v>419</v>
      </c>
      <c r="B14" s="23">
        <v>419</v>
      </c>
      <c r="C14" s="23" t="s">
        <v>1575</v>
      </c>
      <c r="D14" s="23" t="s">
        <v>1576</v>
      </c>
      <c r="E14" s="21" t="s">
        <v>1321</v>
      </c>
      <c r="F14" s="23" t="s">
        <v>1968</v>
      </c>
      <c r="G14" s="23" t="s">
        <v>1969</v>
      </c>
      <c r="H14" s="21" t="s">
        <v>324</v>
      </c>
      <c r="I14" s="23" t="s">
        <v>973</v>
      </c>
      <c r="J14" s="21" t="s">
        <v>30</v>
      </c>
      <c r="K14" s="21" t="s">
        <v>30</v>
      </c>
      <c r="L14" s="23" t="s">
        <v>330</v>
      </c>
      <c r="M14" s="21" t="s">
        <v>31</v>
      </c>
      <c r="N14" s="23" t="s">
        <v>454</v>
      </c>
      <c r="O14" s="23" t="s">
        <v>140</v>
      </c>
      <c r="P14" s="23" t="s">
        <v>1915</v>
      </c>
      <c r="Q14" s="23" t="s">
        <v>416</v>
      </c>
      <c r="R14" s="23" t="s">
        <v>410</v>
      </c>
      <c r="S14" s="21" t="s">
        <v>34</v>
      </c>
      <c r="T14" s="158">
        <v>2.2240000000000002</v>
      </c>
      <c r="U14" s="23" t="s">
        <v>1970</v>
      </c>
      <c r="V14" s="178">
        <v>0.04</v>
      </c>
      <c r="W14" s="179">
        <v>5.774E-2</v>
      </c>
      <c r="X14" s="21" t="s">
        <v>415</v>
      </c>
      <c r="Y14" s="21" t="s">
        <v>140</v>
      </c>
      <c r="Z14" s="158">
        <v>1487500.17</v>
      </c>
      <c r="AA14" s="180">
        <v>1</v>
      </c>
      <c r="AB14" s="181">
        <v>96.04</v>
      </c>
      <c r="AC14" s="23"/>
      <c r="AD14" s="158">
        <v>1428.595</v>
      </c>
      <c r="AE14" s="23"/>
      <c r="AG14" s="21" t="s">
        <v>36</v>
      </c>
      <c r="AH14" s="171">
        <v>2.196E-3</v>
      </c>
      <c r="AI14" s="171">
        <v>8.6813475103514007E-3</v>
      </c>
      <c r="AJ14" s="171">
        <v>1.2322578252130299E-3</v>
      </c>
    </row>
    <row r="15" spans="1:36">
      <c r="A15" s="23">
        <v>419</v>
      </c>
      <c r="B15" s="23">
        <v>419</v>
      </c>
      <c r="C15" s="23" t="s">
        <v>1575</v>
      </c>
      <c r="D15" s="23" t="s">
        <v>1576</v>
      </c>
      <c r="E15" s="21" t="s">
        <v>1321</v>
      </c>
      <c r="F15" s="23" t="s">
        <v>1971</v>
      </c>
      <c r="G15" s="23" t="s">
        <v>1972</v>
      </c>
      <c r="H15" s="21" t="s">
        <v>324</v>
      </c>
      <c r="I15" s="23" t="s">
        <v>973</v>
      </c>
      <c r="J15" s="21" t="s">
        <v>30</v>
      </c>
      <c r="K15" s="21" t="s">
        <v>30</v>
      </c>
      <c r="L15" s="23" t="s">
        <v>330</v>
      </c>
      <c r="M15" s="21" t="s">
        <v>31</v>
      </c>
      <c r="N15" s="23" t="s">
        <v>454</v>
      </c>
      <c r="O15" s="23" t="s">
        <v>140</v>
      </c>
      <c r="P15" s="23" t="s">
        <v>1915</v>
      </c>
      <c r="Q15" s="23" t="s">
        <v>416</v>
      </c>
      <c r="R15" s="23" t="s">
        <v>410</v>
      </c>
      <c r="S15" s="21" t="s">
        <v>34</v>
      </c>
      <c r="T15" s="158">
        <v>3.7080000000000002</v>
      </c>
      <c r="U15" s="23" t="s">
        <v>1973</v>
      </c>
      <c r="V15" s="178">
        <v>2.07E-2</v>
      </c>
      <c r="W15" s="179">
        <v>5.9970000000000002E-2</v>
      </c>
      <c r="X15" s="21" t="s">
        <v>415</v>
      </c>
      <c r="Y15" s="21" t="s">
        <v>140</v>
      </c>
      <c r="Z15" s="158">
        <v>2099857</v>
      </c>
      <c r="AA15" s="180">
        <v>1</v>
      </c>
      <c r="AB15" s="181">
        <v>83.35</v>
      </c>
      <c r="AC15" s="23"/>
      <c r="AD15" s="158">
        <v>1750.231</v>
      </c>
      <c r="AE15" s="23"/>
      <c r="AG15" s="21" t="s">
        <v>36</v>
      </c>
      <c r="AH15" s="171">
        <v>5.1130000000000004E-3</v>
      </c>
      <c r="AI15" s="171">
        <v>1.0635876608902301E-2</v>
      </c>
      <c r="AJ15" s="171">
        <v>1.5096898452334399E-3</v>
      </c>
    </row>
    <row r="16" spans="1:36">
      <c r="A16" s="23">
        <v>419</v>
      </c>
      <c r="B16" s="23">
        <v>419</v>
      </c>
      <c r="C16" s="23" t="s">
        <v>1974</v>
      </c>
      <c r="D16" s="23" t="s">
        <v>1975</v>
      </c>
      <c r="E16" s="21" t="s">
        <v>1321</v>
      </c>
      <c r="F16" s="23" t="s">
        <v>1976</v>
      </c>
      <c r="G16" s="23" t="s">
        <v>1977</v>
      </c>
      <c r="H16" s="21" t="s">
        <v>324</v>
      </c>
      <c r="I16" s="23" t="s">
        <v>760</v>
      </c>
      <c r="J16" s="21" t="s">
        <v>30</v>
      </c>
      <c r="K16" s="21" t="s">
        <v>30</v>
      </c>
      <c r="L16" s="23" t="s">
        <v>330</v>
      </c>
      <c r="M16" s="21" t="s">
        <v>31</v>
      </c>
      <c r="N16" s="23" t="s">
        <v>467</v>
      </c>
      <c r="O16" s="23" t="s">
        <v>140</v>
      </c>
      <c r="P16" s="23" t="s">
        <v>1956</v>
      </c>
      <c r="Q16" s="23" t="s">
        <v>416</v>
      </c>
      <c r="R16" s="23" t="s">
        <v>410</v>
      </c>
      <c r="S16" s="21" t="s">
        <v>34</v>
      </c>
      <c r="T16" s="158">
        <v>5.5579999999999998</v>
      </c>
      <c r="U16" s="23" t="s">
        <v>1978</v>
      </c>
      <c r="V16" s="178">
        <v>9.1999999999999998E-3</v>
      </c>
      <c r="W16" s="179">
        <v>3.3070000000000002E-2</v>
      </c>
      <c r="X16" s="21" t="s">
        <v>415</v>
      </c>
      <c r="Y16" s="21" t="s">
        <v>140</v>
      </c>
      <c r="Z16" s="158">
        <v>4953</v>
      </c>
      <c r="AA16" s="180">
        <v>1</v>
      </c>
      <c r="AB16" s="181">
        <v>102.12</v>
      </c>
      <c r="AC16" s="23"/>
      <c r="AD16" s="158">
        <v>5.0579999999999998</v>
      </c>
      <c r="AE16" s="23"/>
      <c r="AG16" s="21" t="s">
        <v>36</v>
      </c>
      <c r="AH16" s="171">
        <v>1.9999999999999999E-6</v>
      </c>
      <c r="AI16" s="171">
        <v>3.0736690203934999E-5</v>
      </c>
      <c r="AJ16" s="171">
        <v>4.3628626753837199E-6</v>
      </c>
    </row>
    <row r="17" spans="1:36">
      <c r="A17" s="23">
        <v>419</v>
      </c>
      <c r="B17" s="23">
        <v>419</v>
      </c>
      <c r="C17" s="23" t="s">
        <v>1979</v>
      </c>
      <c r="D17" s="23" t="s">
        <v>1980</v>
      </c>
      <c r="E17" s="21" t="s">
        <v>1321</v>
      </c>
      <c r="F17" s="23" t="s">
        <v>1981</v>
      </c>
      <c r="G17" s="23" t="s">
        <v>1982</v>
      </c>
      <c r="H17" s="21" t="s">
        <v>324</v>
      </c>
      <c r="I17" s="23" t="s">
        <v>760</v>
      </c>
      <c r="J17" s="21" t="s">
        <v>30</v>
      </c>
      <c r="K17" s="21" t="s">
        <v>30</v>
      </c>
      <c r="L17" s="23" t="s">
        <v>330</v>
      </c>
      <c r="M17" s="21" t="s">
        <v>31</v>
      </c>
      <c r="N17" s="23" t="s">
        <v>468</v>
      </c>
      <c r="O17" s="23" t="s">
        <v>140</v>
      </c>
      <c r="P17" s="23" t="s">
        <v>1942</v>
      </c>
      <c r="Q17" s="23" t="s">
        <v>418</v>
      </c>
      <c r="R17" s="23" t="s">
        <v>410</v>
      </c>
      <c r="S17" s="21" t="s">
        <v>34</v>
      </c>
      <c r="T17" s="158">
        <v>1.7330000000000001</v>
      </c>
      <c r="U17" s="23" t="s">
        <v>1983</v>
      </c>
      <c r="V17" s="178">
        <v>2.5700000000000001E-2</v>
      </c>
      <c r="W17" s="179">
        <v>3.109E-2</v>
      </c>
      <c r="X17" s="21" t="s">
        <v>415</v>
      </c>
      <c r="Y17" s="21" t="s">
        <v>140</v>
      </c>
      <c r="Z17" s="158">
        <v>1177513</v>
      </c>
      <c r="AA17" s="180">
        <v>1</v>
      </c>
      <c r="AB17" s="181">
        <v>116.88</v>
      </c>
      <c r="AC17" s="23"/>
      <c r="AD17" s="158">
        <v>1376.277</v>
      </c>
      <c r="AE17" s="23"/>
      <c r="AG17" s="21" t="s">
        <v>36</v>
      </c>
      <c r="AH17" s="171">
        <v>9.1799999999999998E-4</v>
      </c>
      <c r="AI17" s="171">
        <v>8.3634194643541892E-3</v>
      </c>
      <c r="AJ17" s="171">
        <v>1.1871301164019701E-3</v>
      </c>
    </row>
    <row r="18" spans="1:36">
      <c r="A18" s="23">
        <v>419</v>
      </c>
      <c r="B18" s="23">
        <v>419</v>
      </c>
      <c r="C18" s="23" t="s">
        <v>1979</v>
      </c>
      <c r="D18" s="23" t="s">
        <v>1980</v>
      </c>
      <c r="E18" s="21" t="s">
        <v>1321</v>
      </c>
      <c r="F18" s="23" t="s">
        <v>1984</v>
      </c>
      <c r="G18" s="23" t="s">
        <v>1985</v>
      </c>
      <c r="H18" s="21" t="s">
        <v>324</v>
      </c>
      <c r="I18" s="23" t="s">
        <v>760</v>
      </c>
      <c r="J18" s="21" t="s">
        <v>30</v>
      </c>
      <c r="K18" s="21" t="s">
        <v>30</v>
      </c>
      <c r="L18" s="23" t="s">
        <v>330</v>
      </c>
      <c r="M18" s="21" t="s">
        <v>31</v>
      </c>
      <c r="N18" s="23" t="s">
        <v>468</v>
      </c>
      <c r="O18" s="23" t="s">
        <v>140</v>
      </c>
      <c r="P18" s="23" t="s">
        <v>1942</v>
      </c>
      <c r="Q18" s="23" t="s">
        <v>418</v>
      </c>
      <c r="R18" s="23" t="s">
        <v>410</v>
      </c>
      <c r="S18" s="21" t="s">
        <v>34</v>
      </c>
      <c r="T18" s="158">
        <v>3.3610000000000002</v>
      </c>
      <c r="U18" s="23" t="s">
        <v>1986</v>
      </c>
      <c r="V18" s="178">
        <v>1.54E-2</v>
      </c>
      <c r="W18" s="179">
        <v>3.662E-2</v>
      </c>
      <c r="X18" s="21" t="s">
        <v>415</v>
      </c>
      <c r="Y18" s="21" t="s">
        <v>140</v>
      </c>
      <c r="Z18" s="158">
        <v>1934000</v>
      </c>
      <c r="AA18" s="180">
        <v>1</v>
      </c>
      <c r="AB18" s="181">
        <v>100.74</v>
      </c>
      <c r="AC18" s="23"/>
      <c r="AD18" s="158">
        <v>1948.3119999999999</v>
      </c>
      <c r="AE18" s="23"/>
      <c r="AG18" s="21" t="s">
        <v>36</v>
      </c>
      <c r="AH18" s="171">
        <v>3.2429999999999998E-3</v>
      </c>
      <c r="AI18" s="171">
        <v>1.18395823344082E-2</v>
      </c>
      <c r="AJ18" s="171">
        <v>1.6805476294356799E-3</v>
      </c>
    </row>
    <row r="19" spans="1:36">
      <c r="A19" s="23">
        <v>419</v>
      </c>
      <c r="B19" s="23">
        <v>419</v>
      </c>
      <c r="C19" s="23" t="s">
        <v>1979</v>
      </c>
      <c r="D19" s="23" t="s">
        <v>1980</v>
      </c>
      <c r="E19" s="21" t="s">
        <v>1321</v>
      </c>
      <c r="F19" s="23" t="s">
        <v>1987</v>
      </c>
      <c r="G19" s="23" t="s">
        <v>1988</v>
      </c>
      <c r="H19" s="21" t="s">
        <v>324</v>
      </c>
      <c r="I19" s="23" t="s">
        <v>760</v>
      </c>
      <c r="J19" s="21" t="s">
        <v>30</v>
      </c>
      <c r="K19" s="21" t="s">
        <v>30</v>
      </c>
      <c r="L19" s="23" t="s">
        <v>330</v>
      </c>
      <c r="M19" s="21" t="s">
        <v>49</v>
      </c>
      <c r="N19" s="23" t="s">
        <v>468</v>
      </c>
      <c r="O19" s="23" t="s">
        <v>140</v>
      </c>
      <c r="P19" s="23" t="s">
        <v>1915</v>
      </c>
      <c r="Q19" s="23" t="s">
        <v>416</v>
      </c>
      <c r="R19" s="23" t="s">
        <v>410</v>
      </c>
      <c r="S19" s="21" t="s">
        <v>34</v>
      </c>
      <c r="T19" s="158">
        <v>7.1020000000000003</v>
      </c>
      <c r="U19" s="23" t="s">
        <v>1989</v>
      </c>
      <c r="V19" s="178">
        <v>4.02E-2</v>
      </c>
      <c r="W19" s="179">
        <v>3.9660000000000001E-2</v>
      </c>
      <c r="X19" s="21" t="s">
        <v>415</v>
      </c>
      <c r="Y19" s="21" t="s">
        <v>140</v>
      </c>
      <c r="Z19" s="158">
        <v>1145000</v>
      </c>
      <c r="AA19" s="180">
        <v>1</v>
      </c>
      <c r="AB19" s="181">
        <v>101.8</v>
      </c>
      <c r="AC19" s="23"/>
      <c r="AD19" s="158">
        <v>1165.6099999999999</v>
      </c>
      <c r="AE19" s="23"/>
      <c r="AG19" s="21" t="s">
        <v>36</v>
      </c>
      <c r="AH19" s="171">
        <v>3.271E-3</v>
      </c>
      <c r="AI19" s="171">
        <v>7.0832281472889098E-3</v>
      </c>
      <c r="AJ19" s="171">
        <v>1.0054157262865599E-3</v>
      </c>
    </row>
    <row r="20" spans="1:36">
      <c r="A20" s="2">
        <v>419</v>
      </c>
      <c r="B20" s="2">
        <v>419</v>
      </c>
      <c r="C20" s="2" t="s">
        <v>1990</v>
      </c>
      <c r="D20" s="2" t="s">
        <v>1991</v>
      </c>
      <c r="E20" s="21" t="s">
        <v>1321</v>
      </c>
      <c r="F20" s="2" t="s">
        <v>1992</v>
      </c>
      <c r="G20" s="2" t="s">
        <v>1993</v>
      </c>
      <c r="H20" s="21" t="s">
        <v>324</v>
      </c>
      <c r="I20" s="23" t="s">
        <v>973</v>
      </c>
      <c r="J20" s="21" t="s">
        <v>30</v>
      </c>
      <c r="K20" s="21" t="s">
        <v>30</v>
      </c>
      <c r="L20" s="23" t="s">
        <v>330</v>
      </c>
      <c r="M20" s="21" t="s">
        <v>31</v>
      </c>
      <c r="N20" s="23" t="s">
        <v>450</v>
      </c>
      <c r="O20" s="23" t="s">
        <v>140</v>
      </c>
      <c r="P20" s="2" t="s">
        <v>1942</v>
      </c>
      <c r="Q20" s="23" t="s">
        <v>418</v>
      </c>
      <c r="R20" s="23" t="s">
        <v>410</v>
      </c>
      <c r="S20" s="2" t="s">
        <v>34</v>
      </c>
      <c r="T20" s="156">
        <v>0.496</v>
      </c>
      <c r="U20" s="2" t="s">
        <v>1994</v>
      </c>
      <c r="V20" s="169">
        <v>2.75E-2</v>
      </c>
      <c r="W20" s="171">
        <v>5.8860000000000003E-2</v>
      </c>
      <c r="X20" s="21" t="s">
        <v>415</v>
      </c>
      <c r="Y20" s="21" t="s">
        <v>140</v>
      </c>
      <c r="Z20" s="156">
        <v>892236</v>
      </c>
      <c r="AA20" s="165">
        <v>1</v>
      </c>
      <c r="AB20" s="182">
        <v>98.54</v>
      </c>
      <c r="AD20" s="156">
        <v>879.20899999999995</v>
      </c>
      <c r="AG20" s="2" t="s">
        <v>36</v>
      </c>
      <c r="AH20" s="171">
        <v>1.0000999999999999E-2</v>
      </c>
      <c r="AI20" s="171">
        <v>5.3428165908372396E-3</v>
      </c>
      <c r="AJ20" s="171">
        <v>7.5837622499121495E-4</v>
      </c>
    </row>
    <row r="21" spans="1:36">
      <c r="A21" s="2">
        <v>419</v>
      </c>
      <c r="B21" s="2">
        <v>419</v>
      </c>
      <c r="C21" s="2" t="s">
        <v>1995</v>
      </c>
      <c r="D21" s="2" t="s">
        <v>1996</v>
      </c>
      <c r="E21" s="4" t="s">
        <v>1321</v>
      </c>
      <c r="F21" s="2" t="s">
        <v>1997</v>
      </c>
      <c r="G21" s="2" t="s">
        <v>1998</v>
      </c>
      <c r="H21" s="4" t="s">
        <v>324</v>
      </c>
      <c r="I21" s="2" t="s">
        <v>973</v>
      </c>
      <c r="J21" s="2" t="s">
        <v>30</v>
      </c>
      <c r="K21" s="2" t="s">
        <v>30</v>
      </c>
      <c r="L21" s="2" t="s">
        <v>330</v>
      </c>
      <c r="M21" s="4" t="s">
        <v>31</v>
      </c>
      <c r="N21" s="2" t="s">
        <v>454</v>
      </c>
      <c r="O21" s="2" t="s">
        <v>140</v>
      </c>
      <c r="P21" s="2" t="s">
        <v>1956</v>
      </c>
      <c r="Q21" s="2" t="s">
        <v>416</v>
      </c>
      <c r="R21" s="2" t="s">
        <v>410</v>
      </c>
      <c r="S21" s="2" t="s">
        <v>34</v>
      </c>
      <c r="T21" s="156">
        <v>5.5060000000000002</v>
      </c>
      <c r="U21" s="2" t="s">
        <v>1999</v>
      </c>
      <c r="V21" s="169">
        <v>5.3100000000000001E-2</v>
      </c>
      <c r="W21" s="171">
        <v>5.9760000000000001E-2</v>
      </c>
      <c r="X21" s="4" t="s">
        <v>415</v>
      </c>
      <c r="Y21" s="4" t="s">
        <v>140</v>
      </c>
      <c r="Z21" s="156">
        <v>287000</v>
      </c>
      <c r="AA21" s="165">
        <v>1</v>
      </c>
      <c r="AB21" s="182">
        <v>97.42</v>
      </c>
      <c r="AD21" s="156">
        <v>279.59500000000003</v>
      </c>
      <c r="AG21" s="2" t="s">
        <v>36</v>
      </c>
      <c r="AH21" s="171">
        <v>9.0200000000000002E-4</v>
      </c>
      <c r="AI21" s="171">
        <v>1.69905715216282E-3</v>
      </c>
      <c r="AJ21" s="171">
        <v>2.4116952682061801E-4</v>
      </c>
    </row>
    <row r="22" spans="1:36">
      <c r="A22" s="2">
        <v>419</v>
      </c>
      <c r="B22" s="2">
        <v>419</v>
      </c>
      <c r="C22" s="2" t="s">
        <v>1952</v>
      </c>
      <c r="D22" s="2" t="s">
        <v>1953</v>
      </c>
      <c r="E22" s="4" t="s">
        <v>1321</v>
      </c>
      <c r="F22" s="2" t="s">
        <v>2000</v>
      </c>
      <c r="G22" s="2" t="s">
        <v>2001</v>
      </c>
      <c r="H22" s="4" t="s">
        <v>324</v>
      </c>
      <c r="I22" s="2" t="s">
        <v>760</v>
      </c>
      <c r="J22" s="2" t="s">
        <v>30</v>
      </c>
      <c r="K22" s="2" t="s">
        <v>30</v>
      </c>
      <c r="L22" s="2" t="s">
        <v>330</v>
      </c>
      <c r="M22" s="4" t="s">
        <v>31</v>
      </c>
      <c r="N22" s="2" t="s">
        <v>467</v>
      </c>
      <c r="O22" s="2" t="s">
        <v>140</v>
      </c>
      <c r="P22" s="2" t="s">
        <v>1956</v>
      </c>
      <c r="Q22" s="2" t="s">
        <v>416</v>
      </c>
      <c r="R22" s="2" t="s">
        <v>410</v>
      </c>
      <c r="S22" s="2" t="s">
        <v>34</v>
      </c>
      <c r="T22" s="156">
        <v>5.3609999999999998</v>
      </c>
      <c r="U22" s="2" t="s">
        <v>2002</v>
      </c>
      <c r="V22" s="169">
        <v>6.4999999999999997E-3</v>
      </c>
      <c r="W22" s="171">
        <v>3.3059999999999999E-2</v>
      </c>
      <c r="X22" s="4" t="s">
        <v>415</v>
      </c>
      <c r="Y22" s="4" t="s">
        <v>140</v>
      </c>
      <c r="Z22" s="156">
        <v>1003522.34</v>
      </c>
      <c r="AA22" s="165">
        <v>1</v>
      </c>
      <c r="AB22" s="182">
        <v>99.45</v>
      </c>
      <c r="AD22" s="156">
        <v>998.00300000000004</v>
      </c>
      <c r="AG22" s="2" t="s">
        <v>36</v>
      </c>
      <c r="AH22" s="171">
        <v>4.44E-4</v>
      </c>
      <c r="AI22" s="171">
        <v>6.0647066410317897E-3</v>
      </c>
      <c r="AJ22" s="171">
        <v>8.6084357377952002E-4</v>
      </c>
    </row>
    <row r="23" spans="1:36">
      <c r="A23" s="2">
        <v>419</v>
      </c>
      <c r="B23" s="2">
        <v>419</v>
      </c>
      <c r="C23" s="2" t="s">
        <v>2003</v>
      </c>
      <c r="D23" s="2" t="s">
        <v>2004</v>
      </c>
      <c r="E23" s="4" t="s">
        <v>1321</v>
      </c>
      <c r="F23" s="2" t="s">
        <v>2005</v>
      </c>
      <c r="G23" s="2" t="s">
        <v>2006</v>
      </c>
      <c r="H23" s="4" t="s">
        <v>324</v>
      </c>
      <c r="I23" s="2" t="s">
        <v>760</v>
      </c>
      <c r="J23" s="2" t="s">
        <v>30</v>
      </c>
      <c r="K23" s="2" t="s">
        <v>30</v>
      </c>
      <c r="L23" s="2" t="s">
        <v>330</v>
      </c>
      <c r="M23" s="2" t="s">
        <v>31</v>
      </c>
      <c r="N23" s="2" t="s">
        <v>467</v>
      </c>
      <c r="O23" s="2" t="s">
        <v>140</v>
      </c>
      <c r="P23" s="2" t="s">
        <v>1942</v>
      </c>
      <c r="Q23" s="2" t="s">
        <v>416</v>
      </c>
      <c r="R23" s="2" t="s">
        <v>410</v>
      </c>
      <c r="S23" s="2" t="s">
        <v>34</v>
      </c>
      <c r="T23" s="156">
        <v>5.99</v>
      </c>
      <c r="U23" s="2" t="s">
        <v>2007</v>
      </c>
      <c r="V23" s="169">
        <v>3.6799999999999999E-2</v>
      </c>
      <c r="W23" s="171">
        <v>4.0779999999999997E-2</v>
      </c>
      <c r="X23" s="4" t="s">
        <v>415</v>
      </c>
      <c r="Y23" s="4" t="s">
        <v>140</v>
      </c>
      <c r="Z23" s="156">
        <v>1508000</v>
      </c>
      <c r="AA23" s="165">
        <v>1</v>
      </c>
      <c r="AB23" s="182">
        <v>102.26</v>
      </c>
      <c r="AD23" s="156">
        <v>1542.0809999999999</v>
      </c>
      <c r="AG23" s="2" t="s">
        <v>36</v>
      </c>
      <c r="AH23" s="171">
        <v>6.1890000000000001E-3</v>
      </c>
      <c r="AI23" s="171">
        <v>9.3709818275013092E-3</v>
      </c>
      <c r="AJ23" s="171">
        <v>1.33014669359782E-3</v>
      </c>
    </row>
    <row r="24" spans="1:36">
      <c r="A24" s="2">
        <v>419</v>
      </c>
      <c r="B24" s="2">
        <v>419</v>
      </c>
      <c r="C24" s="2" t="s">
        <v>2003</v>
      </c>
      <c r="D24" s="2" t="s">
        <v>2004</v>
      </c>
      <c r="E24" s="4" t="s">
        <v>1321</v>
      </c>
      <c r="F24" s="2" t="s">
        <v>2008</v>
      </c>
      <c r="G24" s="2" t="s">
        <v>2009</v>
      </c>
      <c r="H24" s="2" t="s">
        <v>324</v>
      </c>
      <c r="I24" s="2" t="s">
        <v>760</v>
      </c>
      <c r="J24" s="2" t="s">
        <v>30</v>
      </c>
      <c r="K24" s="2" t="s">
        <v>30</v>
      </c>
      <c r="L24" s="2" t="s">
        <v>330</v>
      </c>
      <c r="M24" s="2" t="s">
        <v>31</v>
      </c>
      <c r="N24" s="2" t="s">
        <v>467</v>
      </c>
      <c r="O24" s="2" t="s">
        <v>140</v>
      </c>
      <c r="P24" s="2" t="s">
        <v>1942</v>
      </c>
      <c r="Q24" s="2" t="s">
        <v>416</v>
      </c>
      <c r="R24" s="2" t="s">
        <v>410</v>
      </c>
      <c r="S24" s="2" t="s">
        <v>34</v>
      </c>
      <c r="T24" s="156">
        <v>1.302</v>
      </c>
      <c r="U24" s="2" t="s">
        <v>2010</v>
      </c>
      <c r="V24" s="169">
        <v>3.4599999999999999E-2</v>
      </c>
      <c r="W24" s="171">
        <v>2.785E-2</v>
      </c>
      <c r="X24" s="4" t="s">
        <v>415</v>
      </c>
      <c r="Y24" s="4" t="s">
        <v>140</v>
      </c>
      <c r="Z24" s="156">
        <v>1174545.5</v>
      </c>
      <c r="AA24" s="165">
        <v>1</v>
      </c>
      <c r="AB24" s="182">
        <v>118.52</v>
      </c>
      <c r="AD24" s="156">
        <v>1392.0709999999999</v>
      </c>
      <c r="AG24" s="2" t="s">
        <v>36</v>
      </c>
      <c r="AH24" s="171">
        <v>3.3639999999999998E-3</v>
      </c>
      <c r="AI24" s="171">
        <v>8.4593979149174495E-3</v>
      </c>
      <c r="AJ24" s="171">
        <v>1.2007536001546199E-3</v>
      </c>
    </row>
    <row r="25" spans="1:36">
      <c r="A25" s="2">
        <v>419</v>
      </c>
      <c r="B25" s="2">
        <v>419</v>
      </c>
      <c r="C25" s="2" t="s">
        <v>1595</v>
      </c>
      <c r="D25" s="2" t="s">
        <v>1596</v>
      </c>
      <c r="E25" s="4" t="s">
        <v>1321</v>
      </c>
      <c r="F25" s="2" t="s">
        <v>2011</v>
      </c>
      <c r="G25" s="2" t="s">
        <v>2012</v>
      </c>
      <c r="H25" s="2" t="s">
        <v>324</v>
      </c>
      <c r="I25" s="2" t="s">
        <v>973</v>
      </c>
      <c r="J25" s="2" t="s">
        <v>30</v>
      </c>
      <c r="K25" s="2" t="s">
        <v>30</v>
      </c>
      <c r="L25" s="2" t="s">
        <v>330</v>
      </c>
      <c r="M25" s="2" t="s">
        <v>31</v>
      </c>
      <c r="N25" s="2" t="s">
        <v>450</v>
      </c>
      <c r="O25" s="2" t="s">
        <v>140</v>
      </c>
      <c r="P25" s="2" t="s">
        <v>1942</v>
      </c>
      <c r="Q25" s="2" t="s">
        <v>416</v>
      </c>
      <c r="R25" s="2" t="s">
        <v>410</v>
      </c>
      <c r="S25" s="2" t="s">
        <v>34</v>
      </c>
      <c r="T25" s="156">
        <v>1.61</v>
      </c>
      <c r="U25" s="2" t="s">
        <v>2013</v>
      </c>
      <c r="V25" s="169">
        <v>4.2999999999999997E-2</v>
      </c>
      <c r="W25" s="171">
        <v>6.1170000000000002E-2</v>
      </c>
      <c r="X25" s="4" t="s">
        <v>415</v>
      </c>
      <c r="Y25" s="4" t="s">
        <v>140</v>
      </c>
      <c r="Z25" s="156">
        <v>862969.54</v>
      </c>
      <c r="AA25" s="165">
        <v>1</v>
      </c>
      <c r="AB25" s="182">
        <v>97.33</v>
      </c>
      <c r="AD25" s="156">
        <v>839.928</v>
      </c>
      <c r="AG25" s="2" t="s">
        <v>36</v>
      </c>
      <c r="AH25" s="171">
        <v>9.5E-4</v>
      </c>
      <c r="AI25" s="171">
        <v>5.1041115341754701E-3</v>
      </c>
      <c r="AJ25" s="171">
        <v>7.2449367696066395E-4</v>
      </c>
    </row>
    <row r="26" spans="1:36">
      <c r="A26" s="2">
        <v>419</v>
      </c>
      <c r="B26" s="2">
        <v>419</v>
      </c>
      <c r="C26" s="2" t="s">
        <v>2014</v>
      </c>
      <c r="D26" s="2" t="s">
        <v>2015</v>
      </c>
      <c r="E26" s="4" t="s">
        <v>1321</v>
      </c>
      <c r="F26" s="2" t="s">
        <v>2016</v>
      </c>
      <c r="G26" s="2" t="s">
        <v>2017</v>
      </c>
      <c r="H26" s="2" t="s">
        <v>324</v>
      </c>
      <c r="I26" s="2" t="s">
        <v>973</v>
      </c>
      <c r="J26" s="2" t="s">
        <v>30</v>
      </c>
      <c r="K26" s="2" t="s">
        <v>30</v>
      </c>
      <c r="L26" s="2" t="s">
        <v>330</v>
      </c>
      <c r="M26" s="2" t="s">
        <v>49</v>
      </c>
      <c r="N26" s="2" t="s">
        <v>488</v>
      </c>
      <c r="O26" s="2" t="s">
        <v>140</v>
      </c>
      <c r="P26" s="2" t="s">
        <v>1927</v>
      </c>
      <c r="Q26" s="2" t="s">
        <v>418</v>
      </c>
      <c r="R26" s="2" t="s">
        <v>410</v>
      </c>
      <c r="S26" s="2" t="s">
        <v>34</v>
      </c>
      <c r="T26" s="156">
        <v>4.5069999999999997</v>
      </c>
      <c r="U26" s="2" t="s">
        <v>2018</v>
      </c>
      <c r="V26" s="169">
        <v>5.5E-2</v>
      </c>
      <c r="W26" s="171">
        <v>6.1679999999999999E-2</v>
      </c>
      <c r="X26" s="4" t="s">
        <v>415</v>
      </c>
      <c r="Y26" s="4" t="s">
        <v>140</v>
      </c>
      <c r="Z26" s="156">
        <v>2656300</v>
      </c>
      <c r="AA26" s="165">
        <v>1</v>
      </c>
      <c r="AB26" s="182">
        <v>97.66</v>
      </c>
      <c r="AD26" s="156">
        <v>2594.143</v>
      </c>
      <c r="AG26" s="2" t="s">
        <v>36</v>
      </c>
      <c r="AH26" s="171">
        <v>2.6319999999999998E-3</v>
      </c>
      <c r="AI26" s="171">
        <v>1.5764195348990401E-2</v>
      </c>
      <c r="AJ26" s="171">
        <v>2.2376195692912501E-3</v>
      </c>
    </row>
    <row r="27" spans="1:36">
      <c r="A27" s="2">
        <v>419</v>
      </c>
      <c r="B27" s="2">
        <v>419</v>
      </c>
      <c r="C27" s="2" t="s">
        <v>1603</v>
      </c>
      <c r="D27" s="2" t="s">
        <v>1604</v>
      </c>
      <c r="E27" s="4" t="s">
        <v>1321</v>
      </c>
      <c r="F27" s="2" t="s">
        <v>2019</v>
      </c>
      <c r="G27" s="2" t="s">
        <v>2020</v>
      </c>
      <c r="H27" s="2" t="s">
        <v>324</v>
      </c>
      <c r="I27" s="2" t="s">
        <v>760</v>
      </c>
      <c r="J27" s="2" t="s">
        <v>30</v>
      </c>
      <c r="K27" s="2" t="s">
        <v>30</v>
      </c>
      <c r="L27" s="2" t="s">
        <v>330</v>
      </c>
      <c r="M27" s="2" t="s">
        <v>31</v>
      </c>
      <c r="N27" s="2" t="s">
        <v>467</v>
      </c>
      <c r="O27" s="2" t="s">
        <v>140</v>
      </c>
      <c r="P27" s="2" t="s">
        <v>1921</v>
      </c>
      <c r="Q27" s="2" t="s">
        <v>418</v>
      </c>
      <c r="R27" s="2" t="s">
        <v>410</v>
      </c>
      <c r="S27" s="2" t="s">
        <v>34</v>
      </c>
      <c r="T27" s="156">
        <v>4.3570000000000002</v>
      </c>
      <c r="U27" s="2" t="s">
        <v>1986</v>
      </c>
      <c r="V27" s="169">
        <v>1.3299999999999999E-2</v>
      </c>
      <c r="W27" s="171">
        <v>3.1530000000000002E-2</v>
      </c>
      <c r="X27" s="4" t="s">
        <v>415</v>
      </c>
      <c r="Y27" s="4" t="s">
        <v>140</v>
      </c>
      <c r="Z27" s="156">
        <v>2090000</v>
      </c>
      <c r="AA27" s="165">
        <v>1</v>
      </c>
      <c r="AB27" s="182">
        <v>106.76</v>
      </c>
      <c r="AD27" s="156">
        <v>2231.2840000000001</v>
      </c>
      <c r="AG27" s="2" t="s">
        <v>36</v>
      </c>
      <c r="AH27" s="171">
        <v>1.7600000000000001E-3</v>
      </c>
      <c r="AI27" s="171">
        <v>1.35591609830006E-2</v>
      </c>
      <c r="AJ27" s="171">
        <v>1.92463004213379E-3</v>
      </c>
    </row>
    <row r="28" spans="1:36">
      <c r="A28" s="2">
        <v>419</v>
      </c>
      <c r="B28" s="2">
        <v>419</v>
      </c>
      <c r="C28" s="2" t="s">
        <v>1603</v>
      </c>
      <c r="D28" s="2" t="s">
        <v>1604</v>
      </c>
      <c r="E28" s="4" t="s">
        <v>1321</v>
      </c>
      <c r="F28" s="2" t="s">
        <v>2021</v>
      </c>
      <c r="G28" s="2" t="s">
        <v>2022</v>
      </c>
      <c r="H28" s="2" t="s">
        <v>324</v>
      </c>
      <c r="I28" s="2" t="s">
        <v>760</v>
      </c>
      <c r="J28" s="2" t="s">
        <v>30</v>
      </c>
      <c r="K28" s="2" t="s">
        <v>30</v>
      </c>
      <c r="L28" s="2" t="s">
        <v>330</v>
      </c>
      <c r="M28" s="2" t="s">
        <v>31</v>
      </c>
      <c r="N28" s="2" t="s">
        <v>467</v>
      </c>
      <c r="O28" s="2" t="s">
        <v>140</v>
      </c>
      <c r="P28" s="2" t="s">
        <v>1921</v>
      </c>
      <c r="Q28" s="2" t="s">
        <v>416</v>
      </c>
      <c r="R28" s="2" t="s">
        <v>410</v>
      </c>
      <c r="S28" s="2" t="s">
        <v>34</v>
      </c>
      <c r="T28" s="156">
        <v>5.3090000000000002</v>
      </c>
      <c r="U28" s="2" t="s">
        <v>2023</v>
      </c>
      <c r="V28" s="169">
        <v>1.8700000000000001E-2</v>
      </c>
      <c r="W28" s="171">
        <v>3.3750000000000002E-2</v>
      </c>
      <c r="X28" s="4" t="s">
        <v>415</v>
      </c>
      <c r="Y28" s="4" t="s">
        <v>140</v>
      </c>
      <c r="Z28" s="156">
        <v>1143999.98</v>
      </c>
      <c r="AA28" s="165">
        <v>1</v>
      </c>
      <c r="AB28" s="182">
        <v>103.16</v>
      </c>
      <c r="AD28" s="156">
        <v>1180.1500000000001</v>
      </c>
      <c r="AG28" s="2" t="s">
        <v>36</v>
      </c>
      <c r="AH28" s="171">
        <v>2.1849999999999999E-3</v>
      </c>
      <c r="AI28" s="171">
        <v>7.1715877396154003E-3</v>
      </c>
      <c r="AJ28" s="171">
        <v>1.01795776528996E-3</v>
      </c>
    </row>
    <row r="29" spans="1:36">
      <c r="A29" s="2">
        <v>419</v>
      </c>
      <c r="B29" s="2">
        <v>419</v>
      </c>
      <c r="C29" s="2" t="s">
        <v>2024</v>
      </c>
      <c r="D29" s="2" t="s">
        <v>2025</v>
      </c>
      <c r="E29" s="4" t="s">
        <v>1321</v>
      </c>
      <c r="F29" s="2" t="s">
        <v>2026</v>
      </c>
      <c r="G29" s="2" t="s">
        <v>2027</v>
      </c>
      <c r="H29" s="2" t="s">
        <v>324</v>
      </c>
      <c r="I29" s="2" t="s">
        <v>973</v>
      </c>
      <c r="J29" s="2" t="s">
        <v>30</v>
      </c>
      <c r="K29" s="2" t="s">
        <v>30</v>
      </c>
      <c r="L29" s="2" t="s">
        <v>330</v>
      </c>
      <c r="M29" s="2" t="s">
        <v>31</v>
      </c>
      <c r="N29" s="2" t="s">
        <v>443</v>
      </c>
      <c r="O29" s="2" t="s">
        <v>140</v>
      </c>
      <c r="P29" s="2" t="s">
        <v>1915</v>
      </c>
      <c r="Q29" s="2" t="s">
        <v>416</v>
      </c>
      <c r="R29" s="2" t="s">
        <v>410</v>
      </c>
      <c r="S29" s="2" t="s">
        <v>34</v>
      </c>
      <c r="T29" s="156">
        <v>4.0220000000000002</v>
      </c>
      <c r="U29" s="2" t="s">
        <v>2028</v>
      </c>
      <c r="V29" s="169">
        <v>5.7500000000000002E-2</v>
      </c>
      <c r="W29" s="171">
        <v>6.4329999999999998E-2</v>
      </c>
      <c r="X29" s="4" t="s">
        <v>415</v>
      </c>
      <c r="Y29" s="4" t="s">
        <v>140</v>
      </c>
      <c r="Z29" s="156">
        <v>959230</v>
      </c>
      <c r="AA29" s="165">
        <v>1</v>
      </c>
      <c r="AB29" s="182">
        <v>97.51</v>
      </c>
      <c r="AD29" s="156">
        <v>935.34500000000003</v>
      </c>
      <c r="AG29" s="2" t="s">
        <v>36</v>
      </c>
      <c r="AH29" s="171">
        <v>1.8270000000000001E-3</v>
      </c>
      <c r="AI29" s="171">
        <v>5.6839451075611997E-3</v>
      </c>
      <c r="AJ29" s="171">
        <v>8.0679708173438699E-4</v>
      </c>
    </row>
    <row r="30" spans="1:36">
      <c r="A30" s="2">
        <v>419</v>
      </c>
      <c r="B30" s="2">
        <v>419</v>
      </c>
      <c r="C30" s="2" t="s">
        <v>2029</v>
      </c>
      <c r="D30" s="2" t="s">
        <v>2030</v>
      </c>
      <c r="E30" s="4" t="s">
        <v>1321</v>
      </c>
      <c r="F30" s="2" t="s">
        <v>2031</v>
      </c>
      <c r="G30" s="2" t="s">
        <v>2032</v>
      </c>
      <c r="H30" s="2" t="s">
        <v>324</v>
      </c>
      <c r="I30" s="2" t="s">
        <v>973</v>
      </c>
      <c r="J30" s="2" t="s">
        <v>30</v>
      </c>
      <c r="K30" s="2" t="s">
        <v>30</v>
      </c>
      <c r="L30" s="2" t="s">
        <v>330</v>
      </c>
      <c r="M30" s="2" t="s">
        <v>31</v>
      </c>
      <c r="N30" s="2" t="s">
        <v>467</v>
      </c>
      <c r="O30" s="2" t="s">
        <v>140</v>
      </c>
      <c r="P30" s="2" t="s">
        <v>1956</v>
      </c>
      <c r="Q30" s="2" t="s">
        <v>416</v>
      </c>
      <c r="R30" s="2" t="s">
        <v>410</v>
      </c>
      <c r="S30" s="2" t="s">
        <v>34</v>
      </c>
      <c r="T30" s="156">
        <v>5.14</v>
      </c>
      <c r="U30" s="2" t="s">
        <v>2033</v>
      </c>
      <c r="V30" s="169">
        <v>2.5499999999999998E-2</v>
      </c>
      <c r="W30" s="171">
        <v>6.0060000000000002E-2</v>
      </c>
      <c r="X30" s="4" t="s">
        <v>415</v>
      </c>
      <c r="Y30" s="4" t="s">
        <v>140</v>
      </c>
      <c r="Z30" s="156">
        <v>829310.35</v>
      </c>
      <c r="AA30" s="165">
        <v>1</v>
      </c>
      <c r="AB30" s="182">
        <v>84.61</v>
      </c>
      <c r="AD30" s="156">
        <v>701.67899999999997</v>
      </c>
      <c r="AG30" s="2" t="s">
        <v>36</v>
      </c>
      <c r="AH30" s="171">
        <v>4.7800000000000002E-4</v>
      </c>
      <c r="AI30" s="171">
        <v>4.2639955848438804E-3</v>
      </c>
      <c r="AJ30" s="171">
        <v>6.0524497145547304E-4</v>
      </c>
    </row>
    <row r="31" spans="1:36">
      <c r="A31" s="2">
        <v>419</v>
      </c>
      <c r="B31" s="2">
        <v>419</v>
      </c>
      <c r="C31" s="2" t="s">
        <v>2029</v>
      </c>
      <c r="D31" s="2" t="s">
        <v>2030</v>
      </c>
      <c r="E31" s="4" t="s">
        <v>1321</v>
      </c>
      <c r="F31" s="2" t="s">
        <v>2034</v>
      </c>
      <c r="G31" s="2" t="s">
        <v>2035</v>
      </c>
      <c r="H31" s="2" t="s">
        <v>324</v>
      </c>
      <c r="I31" s="2" t="s">
        <v>760</v>
      </c>
      <c r="J31" s="2" t="s">
        <v>30</v>
      </c>
      <c r="K31" s="2" t="s">
        <v>30</v>
      </c>
      <c r="L31" s="2" t="s">
        <v>330</v>
      </c>
      <c r="M31" s="2" t="s">
        <v>31</v>
      </c>
      <c r="N31" s="2" t="s">
        <v>467</v>
      </c>
      <c r="O31" s="2" t="s">
        <v>140</v>
      </c>
      <c r="P31" s="2" t="s">
        <v>1956</v>
      </c>
      <c r="Q31" s="2" t="s">
        <v>416</v>
      </c>
      <c r="R31" s="2" t="s">
        <v>410</v>
      </c>
      <c r="S31" s="2" t="s">
        <v>34</v>
      </c>
      <c r="T31" s="156">
        <v>3.9689999999999999</v>
      </c>
      <c r="U31" s="2" t="s">
        <v>2036</v>
      </c>
      <c r="V31" s="169">
        <v>5.0000000000000001E-3</v>
      </c>
      <c r="W31" s="171">
        <v>3.1890000000000002E-2</v>
      </c>
      <c r="X31" s="4" t="s">
        <v>415</v>
      </c>
      <c r="Y31" s="4" t="s">
        <v>140</v>
      </c>
      <c r="Z31" s="156">
        <v>317139.26</v>
      </c>
      <c r="AA31" s="165">
        <v>1</v>
      </c>
      <c r="AB31" s="182">
        <v>103.53</v>
      </c>
      <c r="AD31" s="156">
        <v>328.334</v>
      </c>
      <c r="AG31" s="2" t="s">
        <v>36</v>
      </c>
      <c r="AH31" s="171">
        <v>1.9699999999999999E-4</v>
      </c>
      <c r="AI31" s="171">
        <v>1.99523561450122E-3</v>
      </c>
      <c r="AJ31" s="171">
        <v>2.8321003118251398E-4</v>
      </c>
    </row>
    <row r="32" spans="1:36">
      <c r="A32" s="2">
        <v>419</v>
      </c>
      <c r="B32" s="2">
        <v>419</v>
      </c>
      <c r="C32" s="2" t="s">
        <v>2029</v>
      </c>
      <c r="D32" s="2" t="s">
        <v>2030</v>
      </c>
      <c r="E32" s="4" t="s">
        <v>1321</v>
      </c>
      <c r="F32" s="2" t="s">
        <v>2037</v>
      </c>
      <c r="G32" s="2" t="s">
        <v>2038</v>
      </c>
      <c r="H32" s="2" t="s">
        <v>324</v>
      </c>
      <c r="I32" s="2" t="s">
        <v>760</v>
      </c>
      <c r="J32" s="2" t="s">
        <v>30</v>
      </c>
      <c r="K32" s="2" t="s">
        <v>30</v>
      </c>
      <c r="L32" s="2" t="s">
        <v>330</v>
      </c>
      <c r="M32" s="2" t="s">
        <v>31</v>
      </c>
      <c r="N32" s="2" t="s">
        <v>467</v>
      </c>
      <c r="O32" s="2" t="s">
        <v>140</v>
      </c>
      <c r="P32" s="2" t="s">
        <v>1956</v>
      </c>
      <c r="Q32" s="2" t="s">
        <v>416</v>
      </c>
      <c r="R32" s="2" t="s">
        <v>410</v>
      </c>
      <c r="S32" s="2" t="s">
        <v>34</v>
      </c>
      <c r="T32" s="156">
        <v>5.1369999999999996</v>
      </c>
      <c r="U32" s="2" t="s">
        <v>2039</v>
      </c>
      <c r="V32" s="169">
        <v>5.8999999999999999E-3</v>
      </c>
      <c r="W32" s="171">
        <v>3.3239999999999999E-2</v>
      </c>
      <c r="X32" s="4" t="s">
        <v>415</v>
      </c>
      <c r="Y32" s="4" t="s">
        <v>140</v>
      </c>
      <c r="Z32" s="156">
        <v>1285472</v>
      </c>
      <c r="AA32" s="165">
        <v>1</v>
      </c>
      <c r="AB32" s="182">
        <v>97.54</v>
      </c>
      <c r="AD32" s="156">
        <v>1253.8489999999999</v>
      </c>
      <c r="AG32" s="2" t="s">
        <v>36</v>
      </c>
      <c r="AH32" s="171">
        <v>9.1799999999999998E-4</v>
      </c>
      <c r="AI32" s="171">
        <v>7.6194449972196198E-3</v>
      </c>
      <c r="AJ32" s="171">
        <v>1.0815280358733199E-3</v>
      </c>
    </row>
    <row r="33" spans="1:36">
      <c r="A33" s="2">
        <v>419</v>
      </c>
      <c r="B33" s="2">
        <v>419</v>
      </c>
      <c r="C33" s="2" t="s">
        <v>2040</v>
      </c>
      <c r="E33" s="4" t="s">
        <v>317</v>
      </c>
      <c r="F33" s="2" t="s">
        <v>2041</v>
      </c>
      <c r="G33" s="2" t="s">
        <v>2042</v>
      </c>
      <c r="H33" s="2" t="s">
        <v>324</v>
      </c>
      <c r="I33" s="2" t="s">
        <v>760</v>
      </c>
      <c r="J33" s="2" t="s">
        <v>30</v>
      </c>
      <c r="K33" s="2" t="s">
        <v>30</v>
      </c>
      <c r="L33" s="2" t="s">
        <v>330</v>
      </c>
      <c r="M33" s="2" t="s">
        <v>49</v>
      </c>
      <c r="N33" s="2" t="s">
        <v>467</v>
      </c>
      <c r="O33" s="2" t="s">
        <v>140</v>
      </c>
      <c r="P33" s="2" t="s">
        <v>1956</v>
      </c>
      <c r="Q33" s="2" t="s">
        <v>416</v>
      </c>
      <c r="R33" s="2" t="s">
        <v>410</v>
      </c>
      <c r="S33" s="2" t="s">
        <v>34</v>
      </c>
      <c r="T33" s="156">
        <v>3.6840000000000002</v>
      </c>
      <c r="U33" s="2" t="s">
        <v>41</v>
      </c>
      <c r="V33" s="169">
        <v>3.3399999999999999E-2</v>
      </c>
      <c r="W33" s="171">
        <v>3.0720000000000001E-2</v>
      </c>
      <c r="X33" s="4" t="s">
        <v>415</v>
      </c>
      <c r="Y33" s="4" t="s">
        <v>140</v>
      </c>
      <c r="Z33" s="156">
        <v>1140000</v>
      </c>
      <c r="AA33" s="165">
        <v>1</v>
      </c>
      <c r="AB33" s="182">
        <v>103.53</v>
      </c>
      <c r="AD33" s="156">
        <v>1180.242</v>
      </c>
      <c r="AG33" s="2" t="s">
        <v>36</v>
      </c>
      <c r="AH33" s="171">
        <v>1.534E-3</v>
      </c>
      <c r="AI33" s="171">
        <v>7.1721445037470103E-3</v>
      </c>
      <c r="AJ33" s="171">
        <v>1.01803679414547E-3</v>
      </c>
    </row>
    <row r="34" spans="1:36">
      <c r="A34" s="2">
        <v>419</v>
      </c>
      <c r="B34" s="2">
        <v>419</v>
      </c>
      <c r="C34" s="2" t="s">
        <v>2029</v>
      </c>
      <c r="D34" s="2" t="s">
        <v>2030</v>
      </c>
      <c r="E34" s="4" t="s">
        <v>1321</v>
      </c>
      <c r="F34" s="2" t="s">
        <v>2043</v>
      </c>
      <c r="G34" s="2" t="s">
        <v>2044</v>
      </c>
      <c r="H34" s="2" t="s">
        <v>324</v>
      </c>
      <c r="I34" s="2" t="s">
        <v>760</v>
      </c>
      <c r="J34" s="2" t="s">
        <v>30</v>
      </c>
      <c r="K34" s="2" t="s">
        <v>30</v>
      </c>
      <c r="L34" s="2" t="s">
        <v>330</v>
      </c>
      <c r="M34" s="2" t="s">
        <v>31</v>
      </c>
      <c r="N34" s="2" t="s">
        <v>467</v>
      </c>
      <c r="O34" s="2" t="s">
        <v>140</v>
      </c>
      <c r="P34" s="2" t="s">
        <v>1956</v>
      </c>
      <c r="Q34" s="2" t="s">
        <v>416</v>
      </c>
      <c r="R34" s="2" t="s">
        <v>410</v>
      </c>
      <c r="S34" s="2" t="s">
        <v>34</v>
      </c>
      <c r="T34" s="156">
        <v>0.85199999999999998</v>
      </c>
      <c r="U34" s="2" t="s">
        <v>1344</v>
      </c>
      <c r="V34" s="169">
        <v>4.7500000000000001E-2</v>
      </c>
      <c r="W34" s="171">
        <v>2.555E-2</v>
      </c>
      <c r="X34" s="4" t="s">
        <v>415</v>
      </c>
      <c r="Y34" s="4" t="s">
        <v>140</v>
      </c>
      <c r="Z34" s="156">
        <v>350000.17</v>
      </c>
      <c r="AA34" s="165">
        <v>1</v>
      </c>
      <c r="AB34" s="182">
        <v>142.99</v>
      </c>
      <c r="AD34" s="156">
        <v>500.46499999999997</v>
      </c>
      <c r="AG34" s="2" t="s">
        <v>36</v>
      </c>
      <c r="AH34" s="171">
        <v>3.6600000000000001E-4</v>
      </c>
      <c r="AI34" s="171">
        <v>3.0412483562643499E-3</v>
      </c>
      <c r="AJ34" s="171">
        <v>4.3168437629693599E-4</v>
      </c>
    </row>
    <row r="35" spans="1:36">
      <c r="A35" s="2">
        <v>419</v>
      </c>
      <c r="B35" s="2">
        <v>419</v>
      </c>
      <c r="C35" s="2" t="s">
        <v>1614</v>
      </c>
      <c r="D35" s="2" t="s">
        <v>1615</v>
      </c>
      <c r="E35" s="4" t="s">
        <v>1321</v>
      </c>
      <c r="F35" s="2" t="s">
        <v>2045</v>
      </c>
      <c r="G35" s="2" t="s">
        <v>2046</v>
      </c>
      <c r="H35" s="2" t="s">
        <v>324</v>
      </c>
      <c r="I35" s="2" t="s">
        <v>760</v>
      </c>
      <c r="J35" s="2" t="s">
        <v>30</v>
      </c>
      <c r="K35" s="2" t="s">
        <v>30</v>
      </c>
      <c r="L35" s="2" t="s">
        <v>330</v>
      </c>
      <c r="M35" s="2" t="s">
        <v>31</v>
      </c>
      <c r="N35" s="2" t="s">
        <v>454</v>
      </c>
      <c r="O35" s="2" t="s">
        <v>140</v>
      </c>
      <c r="P35" s="2" t="s">
        <v>1915</v>
      </c>
      <c r="Q35" s="2" t="s">
        <v>416</v>
      </c>
      <c r="R35" s="2" t="s">
        <v>410</v>
      </c>
      <c r="S35" s="2" t="s">
        <v>34</v>
      </c>
      <c r="T35" s="156">
        <v>4.702</v>
      </c>
      <c r="U35" s="2" t="s">
        <v>2047</v>
      </c>
      <c r="V35" s="169">
        <v>7.4999999999999997E-3</v>
      </c>
      <c r="W35" s="171">
        <v>3.6729999999999999E-2</v>
      </c>
      <c r="X35" s="4" t="s">
        <v>415</v>
      </c>
      <c r="Y35" s="4" t="s">
        <v>140</v>
      </c>
      <c r="Z35" s="156">
        <v>1860498</v>
      </c>
      <c r="AA35" s="165">
        <v>1</v>
      </c>
      <c r="AB35" s="182">
        <v>97.72</v>
      </c>
      <c r="AD35" s="156">
        <v>1818.079</v>
      </c>
      <c r="AG35" s="2" t="s">
        <v>36</v>
      </c>
      <c r="AH35" s="171">
        <v>1.776E-3</v>
      </c>
      <c r="AI35" s="171">
        <v>1.10481772089282E-2</v>
      </c>
      <c r="AJ35" s="171">
        <v>1.5682130917819899E-3</v>
      </c>
    </row>
    <row r="36" spans="1:36">
      <c r="A36" s="2">
        <v>419</v>
      </c>
      <c r="B36" s="2">
        <v>419</v>
      </c>
      <c r="C36" s="2" t="s">
        <v>2048</v>
      </c>
      <c r="D36" s="2" t="s">
        <v>2049</v>
      </c>
      <c r="E36" s="4" t="s">
        <v>1321</v>
      </c>
      <c r="F36" s="2" t="s">
        <v>2050</v>
      </c>
      <c r="G36" s="2" t="s">
        <v>2051</v>
      </c>
      <c r="H36" s="2" t="s">
        <v>324</v>
      </c>
      <c r="I36" s="2" t="s">
        <v>760</v>
      </c>
      <c r="J36" s="2" t="s">
        <v>30</v>
      </c>
      <c r="K36" s="2" t="s">
        <v>30</v>
      </c>
      <c r="L36" s="2" t="s">
        <v>330</v>
      </c>
      <c r="M36" s="2" t="s">
        <v>31</v>
      </c>
      <c r="N36" s="2" t="s">
        <v>451</v>
      </c>
      <c r="O36" s="2" t="s">
        <v>140</v>
      </c>
      <c r="P36" s="2" t="s">
        <v>1185</v>
      </c>
      <c r="Q36" s="2" t="s">
        <v>416</v>
      </c>
      <c r="R36" s="2" t="s">
        <v>410</v>
      </c>
      <c r="S36" s="2" t="s">
        <v>34</v>
      </c>
      <c r="T36" s="156">
        <v>4.9290000000000003</v>
      </c>
      <c r="U36" s="2" t="s">
        <v>2052</v>
      </c>
      <c r="V36" s="169">
        <v>2.47E-2</v>
      </c>
      <c r="W36" s="171">
        <v>2.5839999999999998E-2</v>
      </c>
      <c r="X36" s="4" t="s">
        <v>415</v>
      </c>
      <c r="Y36" s="4" t="s">
        <v>140</v>
      </c>
      <c r="Z36" s="156">
        <v>3075532</v>
      </c>
      <c r="AA36" s="165">
        <v>1</v>
      </c>
      <c r="AB36" s="182">
        <v>102.7</v>
      </c>
      <c r="AD36" s="156">
        <v>3158.5709999999999</v>
      </c>
      <c r="AG36" s="2" t="s">
        <v>36</v>
      </c>
      <c r="AH36" s="171">
        <v>1.0759999999999999E-3</v>
      </c>
      <c r="AI36" s="171">
        <v>1.91941400560269E-2</v>
      </c>
      <c r="AJ36" s="171">
        <v>2.7244767306079899E-3</v>
      </c>
    </row>
    <row r="37" spans="1:36">
      <c r="A37" s="2">
        <v>419</v>
      </c>
      <c r="B37" s="2">
        <v>419</v>
      </c>
      <c r="C37" s="2" t="s">
        <v>2048</v>
      </c>
      <c r="D37" s="2" t="s">
        <v>2049</v>
      </c>
      <c r="E37" s="4" t="s">
        <v>1321</v>
      </c>
      <c r="F37" s="2" t="s">
        <v>2053</v>
      </c>
      <c r="G37" s="2" t="s">
        <v>2054</v>
      </c>
      <c r="H37" s="2" t="s">
        <v>324</v>
      </c>
      <c r="I37" s="2" t="s">
        <v>973</v>
      </c>
      <c r="J37" s="2" t="s">
        <v>30</v>
      </c>
      <c r="K37" s="2" t="s">
        <v>30</v>
      </c>
      <c r="L37" s="2" t="s">
        <v>330</v>
      </c>
      <c r="M37" s="2" t="s">
        <v>31</v>
      </c>
      <c r="N37" s="2" t="s">
        <v>451</v>
      </c>
      <c r="O37" s="2" t="s">
        <v>140</v>
      </c>
      <c r="P37" s="2" t="s">
        <v>1185</v>
      </c>
      <c r="Q37" s="2" t="s">
        <v>416</v>
      </c>
      <c r="R37" s="2" t="s">
        <v>410</v>
      </c>
      <c r="S37" s="2" t="s">
        <v>34</v>
      </c>
      <c r="T37" s="156">
        <v>2.89</v>
      </c>
      <c r="U37" s="2" t="s">
        <v>2055</v>
      </c>
      <c r="V37" s="169">
        <v>2.6800000000000001E-2</v>
      </c>
      <c r="W37" s="171">
        <v>5.1090000000000003E-2</v>
      </c>
      <c r="X37" s="4" t="s">
        <v>415</v>
      </c>
      <c r="Y37" s="4" t="s">
        <v>140</v>
      </c>
      <c r="Z37" s="156">
        <v>1350067</v>
      </c>
      <c r="AA37" s="165">
        <v>1</v>
      </c>
      <c r="AB37" s="182">
        <v>95.42</v>
      </c>
      <c r="AD37" s="156">
        <v>1288.2339999999999</v>
      </c>
      <c r="AG37" s="2" t="s">
        <v>36</v>
      </c>
      <c r="AH37" s="171">
        <v>5.9100000000000005E-4</v>
      </c>
      <c r="AI37" s="171">
        <v>7.8283944399800392E-3</v>
      </c>
      <c r="AJ37" s="171">
        <v>1.1111869782907801E-3</v>
      </c>
    </row>
    <row r="38" spans="1:36">
      <c r="A38" s="2">
        <v>419</v>
      </c>
      <c r="B38" s="2">
        <v>419</v>
      </c>
      <c r="C38" s="2" t="s">
        <v>2048</v>
      </c>
      <c r="D38" s="2" t="s">
        <v>2049</v>
      </c>
      <c r="E38" s="4" t="s">
        <v>1321</v>
      </c>
      <c r="F38" s="2" t="s">
        <v>2056</v>
      </c>
      <c r="G38" s="2" t="s">
        <v>2057</v>
      </c>
      <c r="H38" s="2" t="s">
        <v>324</v>
      </c>
      <c r="I38" s="2" t="s">
        <v>760</v>
      </c>
      <c r="J38" s="2" t="s">
        <v>30</v>
      </c>
      <c r="K38" s="2" t="s">
        <v>30</v>
      </c>
      <c r="L38" s="2" t="s">
        <v>330</v>
      </c>
      <c r="M38" s="2" t="s">
        <v>31</v>
      </c>
      <c r="N38" s="2" t="s">
        <v>451</v>
      </c>
      <c r="O38" s="2" t="s">
        <v>140</v>
      </c>
      <c r="P38" s="2" t="s">
        <v>1921</v>
      </c>
      <c r="Q38" s="2" t="s">
        <v>416</v>
      </c>
      <c r="R38" s="2" t="s">
        <v>410</v>
      </c>
      <c r="S38" s="2" t="s">
        <v>34</v>
      </c>
      <c r="T38" s="156">
        <v>3.87</v>
      </c>
      <c r="U38" s="2" t="s">
        <v>2058</v>
      </c>
      <c r="V38" s="169">
        <v>3.1699999999999999E-2</v>
      </c>
      <c r="W38" s="171">
        <v>3.0759999999999999E-2</v>
      </c>
      <c r="X38" s="4" t="s">
        <v>415</v>
      </c>
      <c r="Y38" s="4" t="s">
        <v>140</v>
      </c>
      <c r="Z38" s="156">
        <v>1700000</v>
      </c>
      <c r="AA38" s="165">
        <v>1</v>
      </c>
      <c r="AB38" s="182">
        <v>110.29</v>
      </c>
      <c r="AD38" s="156">
        <v>1874.93</v>
      </c>
      <c r="AG38" s="2" t="s">
        <v>36</v>
      </c>
      <c r="AH38" s="171">
        <v>2.013E-3</v>
      </c>
      <c r="AI38" s="171">
        <v>1.1393653923865101E-2</v>
      </c>
      <c r="AJ38" s="171">
        <v>1.6172511454830101E-3</v>
      </c>
    </row>
    <row r="39" spans="1:36">
      <c r="A39" s="2">
        <v>419</v>
      </c>
      <c r="B39" s="2">
        <v>419</v>
      </c>
      <c r="C39" s="2" t="s">
        <v>2059</v>
      </c>
      <c r="D39" s="2" t="s">
        <v>2060</v>
      </c>
      <c r="E39" s="4" t="s">
        <v>1321</v>
      </c>
      <c r="F39" s="2" t="s">
        <v>2061</v>
      </c>
      <c r="G39" s="2" t="s">
        <v>2062</v>
      </c>
      <c r="H39" s="2" t="s">
        <v>324</v>
      </c>
      <c r="I39" s="2" t="s">
        <v>760</v>
      </c>
      <c r="J39" s="2" t="s">
        <v>30</v>
      </c>
      <c r="K39" s="2" t="s">
        <v>30</v>
      </c>
      <c r="L39" s="2" t="s">
        <v>330</v>
      </c>
      <c r="M39" s="2" t="s">
        <v>31</v>
      </c>
      <c r="N39" s="2" t="s">
        <v>443</v>
      </c>
      <c r="O39" s="2" t="s">
        <v>140</v>
      </c>
      <c r="P39" s="2" t="s">
        <v>1927</v>
      </c>
      <c r="Q39" s="2" t="s">
        <v>418</v>
      </c>
      <c r="R39" s="2" t="s">
        <v>410</v>
      </c>
      <c r="S39" s="2" t="s">
        <v>34</v>
      </c>
      <c r="T39" s="156">
        <v>3.4649999999999999</v>
      </c>
      <c r="U39" s="2" t="s">
        <v>2063</v>
      </c>
      <c r="V39" s="169">
        <v>1.7999999999999999E-2</v>
      </c>
      <c r="W39" s="171">
        <v>3.6589999999999998E-2</v>
      </c>
      <c r="X39" s="4" t="s">
        <v>415</v>
      </c>
      <c r="Y39" s="4" t="s">
        <v>140</v>
      </c>
      <c r="Z39" s="156">
        <v>967741.93</v>
      </c>
      <c r="AA39" s="165">
        <v>1</v>
      </c>
      <c r="AB39" s="182">
        <v>107.89</v>
      </c>
      <c r="AD39" s="156">
        <v>1044.097</v>
      </c>
      <c r="AG39" s="2" t="s">
        <v>36</v>
      </c>
      <c r="AH39" s="171">
        <v>9.7300000000000002E-4</v>
      </c>
      <c r="AI39" s="171">
        <v>6.34481140137184E-3</v>
      </c>
      <c r="AJ39" s="171">
        <v>9.00602526222892E-4</v>
      </c>
    </row>
    <row r="40" spans="1:36">
      <c r="A40" s="2">
        <v>419</v>
      </c>
      <c r="B40" s="2">
        <v>419</v>
      </c>
      <c r="C40" s="2" t="s">
        <v>2059</v>
      </c>
      <c r="D40" s="2" t="s">
        <v>2060</v>
      </c>
      <c r="E40" s="4" t="s">
        <v>1321</v>
      </c>
      <c r="F40" s="2" t="s">
        <v>2064</v>
      </c>
      <c r="G40" s="2" t="s">
        <v>2065</v>
      </c>
      <c r="H40" s="2" t="s">
        <v>324</v>
      </c>
      <c r="I40" s="2" t="s">
        <v>760</v>
      </c>
      <c r="J40" s="2" t="s">
        <v>30</v>
      </c>
      <c r="K40" s="2" t="s">
        <v>30</v>
      </c>
      <c r="L40" s="2" t="s">
        <v>330</v>
      </c>
      <c r="M40" s="2" t="s">
        <v>31</v>
      </c>
      <c r="N40" s="2" t="s">
        <v>443</v>
      </c>
      <c r="O40" s="2" t="s">
        <v>140</v>
      </c>
      <c r="P40" s="2" t="s">
        <v>1927</v>
      </c>
      <c r="Q40" s="2" t="s">
        <v>416</v>
      </c>
      <c r="R40" s="2" t="s">
        <v>410</v>
      </c>
      <c r="S40" s="2" t="s">
        <v>34</v>
      </c>
      <c r="T40" s="156">
        <v>5.843</v>
      </c>
      <c r="U40" s="2" t="s">
        <v>2066</v>
      </c>
      <c r="V40" s="169">
        <v>3.3000000000000002E-2</v>
      </c>
      <c r="W40" s="171">
        <v>4.2569999999999997E-2</v>
      </c>
      <c r="X40" s="4" t="s">
        <v>415</v>
      </c>
      <c r="Y40" s="4" t="s">
        <v>140</v>
      </c>
      <c r="Z40" s="156">
        <v>2219667.98</v>
      </c>
      <c r="AA40" s="165">
        <v>1</v>
      </c>
      <c r="AB40" s="182">
        <v>101.08</v>
      </c>
      <c r="AD40" s="156">
        <v>2243.64</v>
      </c>
      <c r="AG40" s="2" t="s">
        <v>36</v>
      </c>
      <c r="AH40" s="171">
        <v>1.7730000000000001E-3</v>
      </c>
      <c r="AI40" s="171">
        <v>1.36342488417897E-2</v>
      </c>
      <c r="AJ40" s="171">
        <v>1.9352882494525301E-3</v>
      </c>
    </row>
    <row r="41" spans="1:36">
      <c r="A41" s="2">
        <v>419</v>
      </c>
      <c r="B41" s="2">
        <v>419</v>
      </c>
      <c r="C41" s="2" t="s">
        <v>1245</v>
      </c>
      <c r="D41" s="2" t="s">
        <v>2067</v>
      </c>
      <c r="E41" s="4" t="s">
        <v>1321</v>
      </c>
      <c r="F41" s="2" t="s">
        <v>2068</v>
      </c>
      <c r="G41" s="2" t="s">
        <v>2069</v>
      </c>
      <c r="H41" s="2" t="s">
        <v>324</v>
      </c>
      <c r="I41" s="2" t="s">
        <v>973</v>
      </c>
      <c r="J41" s="2" t="s">
        <v>30</v>
      </c>
      <c r="K41" s="2" t="s">
        <v>30</v>
      </c>
      <c r="L41" s="2" t="s">
        <v>330</v>
      </c>
      <c r="M41" s="2" t="s">
        <v>31</v>
      </c>
      <c r="N41" s="2" t="s">
        <v>448</v>
      </c>
      <c r="O41" s="2" t="s">
        <v>140</v>
      </c>
      <c r="P41" s="2" t="s">
        <v>2070</v>
      </c>
      <c r="Q41" s="2" t="s">
        <v>418</v>
      </c>
      <c r="R41" s="2" t="s">
        <v>410</v>
      </c>
      <c r="S41" s="2" t="s">
        <v>34</v>
      </c>
      <c r="T41" s="156">
        <v>1.651</v>
      </c>
      <c r="U41" s="2" t="s">
        <v>2071</v>
      </c>
      <c r="V41" s="169">
        <v>6.2934000000000004E-2</v>
      </c>
      <c r="W41" s="171">
        <v>6.4680000000000001E-2</v>
      </c>
      <c r="X41" s="4" t="s">
        <v>415</v>
      </c>
      <c r="Y41" s="4" t="s">
        <v>140</v>
      </c>
      <c r="Z41" s="156">
        <v>235200.97</v>
      </c>
      <c r="AA41" s="165">
        <v>1</v>
      </c>
      <c r="AB41" s="182">
        <v>99.97</v>
      </c>
      <c r="AC41" s="156">
        <v>3.7010000000000001</v>
      </c>
      <c r="AD41" s="156">
        <v>238.83099999999999</v>
      </c>
      <c r="AG41" s="2" t="s">
        <v>36</v>
      </c>
      <c r="AH41" s="171">
        <v>5.4799999999999996E-3</v>
      </c>
      <c r="AI41" s="171">
        <v>1.45133783420328E-3</v>
      </c>
      <c r="AJ41" s="171">
        <v>2.06007466132678E-4</v>
      </c>
    </row>
    <row r="42" spans="1:36">
      <c r="A42" s="2">
        <v>419</v>
      </c>
      <c r="B42" s="2">
        <v>419</v>
      </c>
      <c r="C42" s="2" t="s">
        <v>1245</v>
      </c>
      <c r="D42" s="2" t="s">
        <v>2067</v>
      </c>
      <c r="E42" s="4" t="s">
        <v>1321</v>
      </c>
      <c r="F42" s="2" t="s">
        <v>2072</v>
      </c>
      <c r="G42" s="2" t="s">
        <v>2073</v>
      </c>
      <c r="H42" s="2" t="s">
        <v>324</v>
      </c>
      <c r="I42" s="2" t="s">
        <v>973</v>
      </c>
      <c r="J42" s="2" t="s">
        <v>30</v>
      </c>
      <c r="K42" s="2" t="s">
        <v>30</v>
      </c>
      <c r="L42" s="2" t="s">
        <v>330</v>
      </c>
      <c r="M42" s="2" t="s">
        <v>31</v>
      </c>
      <c r="N42" s="2" t="s">
        <v>448</v>
      </c>
      <c r="O42" s="2" t="s">
        <v>140</v>
      </c>
      <c r="P42" s="2" t="s">
        <v>2070</v>
      </c>
      <c r="Q42" s="2" t="s">
        <v>418</v>
      </c>
      <c r="R42" s="2" t="s">
        <v>410</v>
      </c>
      <c r="S42" s="2" t="s">
        <v>34</v>
      </c>
      <c r="T42" s="156">
        <v>2.9079999999999999</v>
      </c>
      <c r="U42" s="2" t="s">
        <v>2074</v>
      </c>
      <c r="V42" s="169">
        <v>5.45E-2</v>
      </c>
      <c r="W42" s="171">
        <v>0.12501000000000001</v>
      </c>
      <c r="X42" s="4" t="s">
        <v>415</v>
      </c>
      <c r="Y42" s="4" t="s">
        <v>140</v>
      </c>
      <c r="Z42" s="156">
        <v>1338000</v>
      </c>
      <c r="AA42" s="165">
        <v>1</v>
      </c>
      <c r="AB42" s="182">
        <v>99.72</v>
      </c>
      <c r="AD42" s="156">
        <v>1334.2539999999999</v>
      </c>
      <c r="AG42" s="2" t="s">
        <v>36</v>
      </c>
      <c r="AH42" s="171">
        <v>7.9089999999999994E-3</v>
      </c>
      <c r="AI42" s="171">
        <v>8.1080487085230593E-3</v>
      </c>
      <c r="AJ42" s="171">
        <v>1.15088198650874E-3</v>
      </c>
    </row>
    <row r="43" spans="1:36">
      <c r="A43" s="2">
        <v>419</v>
      </c>
      <c r="B43" s="2">
        <v>419</v>
      </c>
      <c r="C43" s="2" t="s">
        <v>2075</v>
      </c>
      <c r="D43" s="2" t="s">
        <v>2076</v>
      </c>
      <c r="E43" s="4" t="s">
        <v>1321</v>
      </c>
      <c r="F43" s="2" t="s">
        <v>2077</v>
      </c>
      <c r="G43" s="2" t="s">
        <v>2078</v>
      </c>
      <c r="H43" s="2" t="s">
        <v>324</v>
      </c>
      <c r="I43" s="2" t="s">
        <v>760</v>
      </c>
      <c r="J43" s="2" t="s">
        <v>30</v>
      </c>
      <c r="K43" s="2" t="s">
        <v>30</v>
      </c>
      <c r="L43" s="2" t="s">
        <v>330</v>
      </c>
      <c r="M43" s="2" t="s">
        <v>31</v>
      </c>
      <c r="N43" s="2" t="s">
        <v>467</v>
      </c>
      <c r="O43" s="2" t="s">
        <v>140</v>
      </c>
      <c r="P43" s="2" t="s">
        <v>1927</v>
      </c>
      <c r="Q43" s="2" t="s">
        <v>416</v>
      </c>
      <c r="R43" s="2" t="s">
        <v>410</v>
      </c>
      <c r="S43" s="2" t="s">
        <v>34</v>
      </c>
      <c r="T43" s="156">
        <v>3.8849999999999998</v>
      </c>
      <c r="U43" s="2" t="s">
        <v>1943</v>
      </c>
      <c r="V43" s="169">
        <v>3.6499999999999998E-2</v>
      </c>
      <c r="W43" s="171">
        <v>3.2820000000000002E-2</v>
      </c>
      <c r="X43" s="4" t="s">
        <v>415</v>
      </c>
      <c r="Y43" s="4" t="s">
        <v>140</v>
      </c>
      <c r="Z43" s="156">
        <v>1344000</v>
      </c>
      <c r="AA43" s="165">
        <v>1</v>
      </c>
      <c r="AB43" s="182">
        <v>108.95</v>
      </c>
      <c r="AD43" s="156">
        <v>1464.288</v>
      </c>
      <c r="AG43" s="2" t="s">
        <v>36</v>
      </c>
      <c r="AH43" s="171">
        <v>4.1219999999999998E-3</v>
      </c>
      <c r="AI43" s="171">
        <v>8.8982472502272501E-3</v>
      </c>
      <c r="AJ43" s="171">
        <v>1.26304525785871E-3</v>
      </c>
    </row>
    <row r="44" spans="1:36">
      <c r="A44" s="2">
        <v>419</v>
      </c>
      <c r="B44" s="2">
        <v>419</v>
      </c>
      <c r="C44" s="2" t="s">
        <v>2075</v>
      </c>
      <c r="D44" s="2" t="s">
        <v>2076</v>
      </c>
      <c r="E44" s="4" t="s">
        <v>1321</v>
      </c>
      <c r="F44" s="2" t="s">
        <v>2079</v>
      </c>
      <c r="G44" s="2" t="s">
        <v>2080</v>
      </c>
      <c r="H44" s="2" t="s">
        <v>324</v>
      </c>
      <c r="I44" s="2" t="s">
        <v>760</v>
      </c>
      <c r="J44" s="2" t="s">
        <v>30</v>
      </c>
      <c r="K44" s="2" t="s">
        <v>30</v>
      </c>
      <c r="L44" s="2" t="s">
        <v>330</v>
      </c>
      <c r="M44" s="2" t="s">
        <v>31</v>
      </c>
      <c r="N44" s="2" t="s">
        <v>467</v>
      </c>
      <c r="O44" s="2" t="s">
        <v>140</v>
      </c>
      <c r="P44" s="2" t="s">
        <v>1942</v>
      </c>
      <c r="Q44" s="2" t="s">
        <v>416</v>
      </c>
      <c r="R44" s="2" t="s">
        <v>410</v>
      </c>
      <c r="S44" s="2" t="s">
        <v>34</v>
      </c>
      <c r="T44" s="156">
        <v>1.536</v>
      </c>
      <c r="U44" s="2" t="s">
        <v>2081</v>
      </c>
      <c r="V44" s="169">
        <v>1.7999999999999999E-2</v>
      </c>
      <c r="W44" s="171">
        <v>2.742E-2</v>
      </c>
      <c r="X44" s="4" t="s">
        <v>415</v>
      </c>
      <c r="Y44" s="4" t="s">
        <v>140</v>
      </c>
      <c r="Z44" s="156">
        <v>1414779.94</v>
      </c>
      <c r="AA44" s="165">
        <v>1</v>
      </c>
      <c r="AB44" s="182">
        <v>113.45</v>
      </c>
      <c r="AD44" s="156">
        <v>1605.068</v>
      </c>
      <c r="AG44" s="2" t="s">
        <v>36</v>
      </c>
      <c r="AH44" s="171">
        <v>1.794E-3</v>
      </c>
      <c r="AI44" s="171">
        <v>9.7537441479284195E-3</v>
      </c>
      <c r="AJ44" s="171">
        <v>1.3844771836491201E-3</v>
      </c>
    </row>
    <row r="45" spans="1:36">
      <c r="A45" s="2">
        <v>419</v>
      </c>
      <c r="B45" s="2">
        <v>419</v>
      </c>
      <c r="C45" s="2" t="s">
        <v>2075</v>
      </c>
      <c r="D45" s="2" t="s">
        <v>2076</v>
      </c>
      <c r="E45" s="4" t="s">
        <v>1321</v>
      </c>
      <c r="F45" s="2" t="s">
        <v>2082</v>
      </c>
      <c r="G45" s="2" t="s">
        <v>2083</v>
      </c>
      <c r="H45" s="2" t="s">
        <v>324</v>
      </c>
      <c r="I45" s="2" t="s">
        <v>760</v>
      </c>
      <c r="J45" s="2" t="s">
        <v>30</v>
      </c>
      <c r="K45" s="2" t="s">
        <v>30</v>
      </c>
      <c r="L45" s="2" t="s">
        <v>330</v>
      </c>
      <c r="M45" s="2" t="s">
        <v>31</v>
      </c>
      <c r="N45" s="2" t="s">
        <v>467</v>
      </c>
      <c r="O45" s="2" t="s">
        <v>140</v>
      </c>
      <c r="P45" s="2" t="s">
        <v>1927</v>
      </c>
      <c r="Q45" s="2" t="s">
        <v>416</v>
      </c>
      <c r="R45" s="2" t="s">
        <v>410</v>
      </c>
      <c r="S45" s="2" t="s">
        <v>34</v>
      </c>
      <c r="T45" s="156">
        <v>1.6160000000000001</v>
      </c>
      <c r="U45" s="2" t="s">
        <v>2084</v>
      </c>
      <c r="V45" s="169">
        <v>2.2499999999999999E-2</v>
      </c>
      <c r="W45" s="171">
        <v>2.656E-2</v>
      </c>
      <c r="X45" s="4" t="s">
        <v>415</v>
      </c>
      <c r="Y45" s="4" t="s">
        <v>140</v>
      </c>
      <c r="Z45" s="156">
        <v>690832.55</v>
      </c>
      <c r="AA45" s="165">
        <v>1</v>
      </c>
      <c r="AB45" s="182">
        <v>115.29</v>
      </c>
      <c r="AD45" s="156">
        <v>796.46100000000001</v>
      </c>
      <c r="AG45" s="2" t="s">
        <v>36</v>
      </c>
      <c r="AH45" s="171">
        <v>1.8450000000000001E-3</v>
      </c>
      <c r="AI45" s="171">
        <v>4.8399669605959303E-3</v>
      </c>
      <c r="AJ45" s="171">
        <v>6.8700016372521004E-4</v>
      </c>
    </row>
    <row r="46" spans="1:36">
      <c r="A46" s="2">
        <v>419</v>
      </c>
      <c r="B46" s="2">
        <v>419</v>
      </c>
      <c r="C46" s="2" t="s">
        <v>1626</v>
      </c>
      <c r="D46" s="2" t="s">
        <v>1627</v>
      </c>
      <c r="E46" s="4" t="s">
        <v>1321</v>
      </c>
      <c r="F46" s="2" t="s">
        <v>2085</v>
      </c>
      <c r="G46" s="2" t="s">
        <v>2086</v>
      </c>
      <c r="H46" s="2" t="s">
        <v>324</v>
      </c>
      <c r="I46" s="2" t="s">
        <v>760</v>
      </c>
      <c r="J46" s="2" t="s">
        <v>30</v>
      </c>
      <c r="K46" s="2" t="s">
        <v>30</v>
      </c>
      <c r="L46" s="2" t="s">
        <v>330</v>
      </c>
      <c r="M46" s="2" t="s">
        <v>31</v>
      </c>
      <c r="N46" s="2" t="s">
        <v>448</v>
      </c>
      <c r="O46" s="2" t="s">
        <v>140</v>
      </c>
      <c r="P46" s="2" t="s">
        <v>1956</v>
      </c>
      <c r="Q46" s="2" t="s">
        <v>416</v>
      </c>
      <c r="R46" s="2" t="s">
        <v>410</v>
      </c>
      <c r="S46" s="2" t="s">
        <v>34</v>
      </c>
      <c r="T46" s="156">
        <v>4.5369999999999999</v>
      </c>
      <c r="U46" s="2" t="s">
        <v>2087</v>
      </c>
      <c r="V46" s="169">
        <v>4.4000000000000003E-3</v>
      </c>
      <c r="W46" s="171">
        <v>2.7050000000000001E-2</v>
      </c>
      <c r="X46" s="4" t="s">
        <v>415</v>
      </c>
      <c r="Y46" s="4" t="s">
        <v>140</v>
      </c>
      <c r="Z46" s="156">
        <v>368719.97</v>
      </c>
      <c r="AA46" s="165">
        <v>1</v>
      </c>
      <c r="AB46" s="182">
        <v>104.2</v>
      </c>
      <c r="AD46" s="156">
        <v>384.20600000000002</v>
      </c>
      <c r="AG46" s="2" t="s">
        <v>36</v>
      </c>
      <c r="AH46" s="171">
        <v>4.3199999999999998E-4</v>
      </c>
      <c r="AI46" s="171">
        <v>2.33476053921151E-3</v>
      </c>
      <c r="AJ46" s="171">
        <v>3.3140326902148301E-4</v>
      </c>
    </row>
    <row r="47" spans="1:36">
      <c r="A47" s="2">
        <v>419</v>
      </c>
      <c r="B47" s="2">
        <v>419</v>
      </c>
      <c r="C47" s="2" t="s">
        <v>2088</v>
      </c>
      <c r="D47" s="2" t="s">
        <v>2089</v>
      </c>
      <c r="E47" s="4" t="s">
        <v>1321</v>
      </c>
      <c r="F47" s="2" t="s">
        <v>2090</v>
      </c>
      <c r="G47" s="2" t="s">
        <v>2091</v>
      </c>
      <c r="H47" s="2" t="s">
        <v>324</v>
      </c>
      <c r="I47" s="2" t="s">
        <v>973</v>
      </c>
      <c r="J47" s="2" t="s">
        <v>30</v>
      </c>
      <c r="K47" s="2" t="s">
        <v>30</v>
      </c>
      <c r="L47" s="2" t="s">
        <v>330</v>
      </c>
      <c r="M47" s="2" t="s">
        <v>31</v>
      </c>
      <c r="N47" s="2" t="s">
        <v>448</v>
      </c>
      <c r="O47" s="2" t="s">
        <v>140</v>
      </c>
      <c r="P47" s="2" t="s">
        <v>1921</v>
      </c>
      <c r="Q47" s="2" t="s">
        <v>416</v>
      </c>
      <c r="R47" s="2" t="s">
        <v>410</v>
      </c>
      <c r="S47" s="2" t="s">
        <v>34</v>
      </c>
      <c r="T47" s="156">
        <v>8.5960000000000001</v>
      </c>
      <c r="U47" s="2" t="s">
        <v>2092</v>
      </c>
      <c r="V47" s="169">
        <v>3.0499999999999999E-2</v>
      </c>
      <c r="W47" s="171">
        <v>5.8979999999999998E-2</v>
      </c>
      <c r="X47" s="4" t="s">
        <v>415</v>
      </c>
      <c r="Y47" s="4" t="s">
        <v>140</v>
      </c>
      <c r="Z47" s="156">
        <v>1034151</v>
      </c>
      <c r="AA47" s="165">
        <v>1</v>
      </c>
      <c r="AB47" s="182">
        <v>84.59</v>
      </c>
      <c r="AD47" s="156">
        <v>874.78800000000001</v>
      </c>
      <c r="AG47" s="2" t="s">
        <v>36</v>
      </c>
      <c r="AH47" s="171">
        <v>1.5150000000000001E-3</v>
      </c>
      <c r="AI47" s="171">
        <v>5.3159507282459504E-3</v>
      </c>
      <c r="AJ47" s="171">
        <v>7.5456279978623004E-4</v>
      </c>
    </row>
    <row r="48" spans="1:36">
      <c r="A48" s="2">
        <v>419</v>
      </c>
      <c r="B48" s="2">
        <v>419</v>
      </c>
      <c r="C48" s="2" t="s">
        <v>2088</v>
      </c>
      <c r="D48" s="2" t="s">
        <v>2089</v>
      </c>
      <c r="E48" s="4" t="s">
        <v>1321</v>
      </c>
      <c r="F48" s="2" t="s">
        <v>2093</v>
      </c>
      <c r="G48" s="2" t="s">
        <v>2094</v>
      </c>
      <c r="H48" s="2" t="s">
        <v>324</v>
      </c>
      <c r="I48" s="2" t="s">
        <v>973</v>
      </c>
      <c r="J48" s="2" t="s">
        <v>30</v>
      </c>
      <c r="K48" s="2" t="s">
        <v>30</v>
      </c>
      <c r="L48" s="2" t="s">
        <v>330</v>
      </c>
      <c r="M48" s="2" t="s">
        <v>31</v>
      </c>
      <c r="N48" s="2" t="s">
        <v>448</v>
      </c>
      <c r="O48" s="2" t="s">
        <v>140</v>
      </c>
      <c r="P48" s="2" t="s">
        <v>1921</v>
      </c>
      <c r="Q48" s="2" t="s">
        <v>416</v>
      </c>
      <c r="R48" s="2" t="s">
        <v>410</v>
      </c>
      <c r="S48" s="2" t="s">
        <v>34</v>
      </c>
      <c r="T48" s="156">
        <v>7.2880000000000003</v>
      </c>
      <c r="U48" s="2" t="s">
        <v>2095</v>
      </c>
      <c r="V48" s="169">
        <v>2.63E-2</v>
      </c>
      <c r="W48" s="171">
        <v>6.003E-2</v>
      </c>
      <c r="X48" s="4" t="s">
        <v>415</v>
      </c>
      <c r="Y48" s="4" t="s">
        <v>140</v>
      </c>
      <c r="Z48" s="156">
        <v>940000</v>
      </c>
      <c r="AA48" s="165">
        <v>1</v>
      </c>
      <c r="AB48" s="182">
        <v>79.430000000000007</v>
      </c>
      <c r="AD48" s="156">
        <v>746.64200000000005</v>
      </c>
      <c r="AG48" s="2" t="s">
        <v>36</v>
      </c>
      <c r="AH48" s="171">
        <v>1.3550000000000001E-3</v>
      </c>
      <c r="AI48" s="171">
        <v>4.5372256847042202E-3</v>
      </c>
      <c r="AJ48" s="171">
        <v>6.4402811292460299E-4</v>
      </c>
    </row>
    <row r="49" spans="1:36">
      <c r="A49" s="2">
        <v>419</v>
      </c>
      <c r="B49" s="2">
        <v>419</v>
      </c>
      <c r="C49" s="2" t="s">
        <v>2088</v>
      </c>
      <c r="D49" s="2" t="s">
        <v>2089</v>
      </c>
      <c r="E49" s="4" t="s">
        <v>1321</v>
      </c>
      <c r="F49" s="2" t="s">
        <v>2096</v>
      </c>
      <c r="G49" s="2" t="s">
        <v>2097</v>
      </c>
      <c r="H49" s="2" t="s">
        <v>324</v>
      </c>
      <c r="I49" s="2" t="s">
        <v>973</v>
      </c>
      <c r="J49" s="2" t="s">
        <v>30</v>
      </c>
      <c r="K49" s="2" t="s">
        <v>30</v>
      </c>
      <c r="L49" s="2" t="s">
        <v>330</v>
      </c>
      <c r="M49" s="2" t="s">
        <v>49</v>
      </c>
      <c r="N49" s="2" t="s">
        <v>448</v>
      </c>
      <c r="O49" s="2" t="s">
        <v>140</v>
      </c>
      <c r="P49" s="2" t="s">
        <v>1921</v>
      </c>
      <c r="Q49" s="2" t="s">
        <v>416</v>
      </c>
      <c r="R49" s="2" t="s">
        <v>410</v>
      </c>
      <c r="S49" s="2" t="s">
        <v>34</v>
      </c>
      <c r="T49" s="156">
        <v>8.6649999999999991</v>
      </c>
      <c r="U49" s="2" t="s">
        <v>2098</v>
      </c>
      <c r="V49" s="169">
        <v>6.0199999999999997E-2</v>
      </c>
      <c r="W49" s="171">
        <v>5.9959999999999999E-2</v>
      </c>
      <c r="X49" s="4" t="s">
        <v>415</v>
      </c>
      <c r="Y49" s="4" t="s">
        <v>140</v>
      </c>
      <c r="Z49" s="156">
        <v>1672893</v>
      </c>
      <c r="AA49" s="165">
        <v>1</v>
      </c>
      <c r="AB49" s="182">
        <v>102.28</v>
      </c>
      <c r="AD49" s="156">
        <v>1711.0350000000001</v>
      </c>
      <c r="AG49" s="2" t="s">
        <v>36</v>
      </c>
      <c r="AH49" s="171">
        <v>3.346E-3</v>
      </c>
      <c r="AI49" s="171">
        <v>1.03976896153093E-2</v>
      </c>
      <c r="AJ49" s="171">
        <v>1.47588083270756E-3</v>
      </c>
    </row>
    <row r="50" spans="1:36">
      <c r="A50" s="2">
        <v>419</v>
      </c>
      <c r="B50" s="2">
        <v>419</v>
      </c>
      <c r="C50" s="2" t="s">
        <v>2088</v>
      </c>
      <c r="D50" s="2" t="s">
        <v>2089</v>
      </c>
      <c r="E50" s="4" t="s">
        <v>1321</v>
      </c>
      <c r="F50" s="2" t="s">
        <v>2099</v>
      </c>
      <c r="G50" s="2" t="s">
        <v>2100</v>
      </c>
      <c r="H50" s="2" t="s">
        <v>324</v>
      </c>
      <c r="I50" s="2" t="s">
        <v>973</v>
      </c>
      <c r="J50" s="2" t="s">
        <v>30</v>
      </c>
      <c r="K50" s="2" t="s">
        <v>30</v>
      </c>
      <c r="L50" s="2" t="s">
        <v>330</v>
      </c>
      <c r="M50" s="2" t="s">
        <v>31</v>
      </c>
      <c r="N50" s="2" t="s">
        <v>448</v>
      </c>
      <c r="O50" s="2" t="s">
        <v>140</v>
      </c>
      <c r="P50" s="2" t="s">
        <v>1921</v>
      </c>
      <c r="Q50" s="2" t="s">
        <v>416</v>
      </c>
      <c r="R50" s="2" t="s">
        <v>410</v>
      </c>
      <c r="S50" s="2" t="s">
        <v>34</v>
      </c>
      <c r="T50" s="156">
        <v>4.681</v>
      </c>
      <c r="U50" s="2" t="s">
        <v>2101</v>
      </c>
      <c r="V50" s="169">
        <v>4.3799999999999999E-2</v>
      </c>
      <c r="W50" s="171">
        <v>5.527E-2</v>
      </c>
      <c r="X50" s="4" t="s">
        <v>415</v>
      </c>
      <c r="Y50" s="4" t="s">
        <v>140</v>
      </c>
      <c r="Z50" s="156">
        <v>544000</v>
      </c>
      <c r="AA50" s="165">
        <v>1</v>
      </c>
      <c r="AB50" s="182">
        <v>96.24</v>
      </c>
      <c r="AD50" s="156">
        <v>523.54600000000005</v>
      </c>
      <c r="AG50" s="2" t="s">
        <v>36</v>
      </c>
      <c r="AH50" s="171">
        <v>1.088E-3</v>
      </c>
      <c r="AI50" s="171">
        <v>3.18150404535759E-3</v>
      </c>
      <c r="AJ50" s="171">
        <v>4.51592710827919E-4</v>
      </c>
    </row>
    <row r="51" spans="1:36">
      <c r="A51" s="2">
        <v>419</v>
      </c>
      <c r="B51" s="2">
        <v>419</v>
      </c>
      <c r="C51" s="2" t="s">
        <v>2088</v>
      </c>
      <c r="D51" s="2" t="s">
        <v>2089</v>
      </c>
      <c r="E51" s="4" t="s">
        <v>1321</v>
      </c>
      <c r="F51" s="2" t="s">
        <v>2102</v>
      </c>
      <c r="G51" s="2" t="s">
        <v>2103</v>
      </c>
      <c r="H51" s="2" t="s">
        <v>324</v>
      </c>
      <c r="I51" s="2" t="s">
        <v>973</v>
      </c>
      <c r="J51" s="2" t="s">
        <v>30</v>
      </c>
      <c r="K51" s="2" t="s">
        <v>30</v>
      </c>
      <c r="L51" s="2" t="s">
        <v>330</v>
      </c>
      <c r="M51" s="2" t="s">
        <v>31</v>
      </c>
      <c r="N51" s="2" t="s">
        <v>448</v>
      </c>
      <c r="O51" s="2" t="s">
        <v>140</v>
      </c>
      <c r="P51" s="2" t="s">
        <v>1921</v>
      </c>
      <c r="Q51" s="2" t="s">
        <v>416</v>
      </c>
      <c r="R51" s="2" t="s">
        <v>410</v>
      </c>
      <c r="S51" s="2" t="s">
        <v>34</v>
      </c>
      <c r="T51" s="156">
        <v>3.0310000000000001</v>
      </c>
      <c r="U51" s="2" t="s">
        <v>2081</v>
      </c>
      <c r="V51" s="169">
        <v>4.36E-2</v>
      </c>
      <c r="W51" s="171">
        <v>4.9369999999999997E-2</v>
      </c>
      <c r="X51" s="4" t="s">
        <v>415</v>
      </c>
      <c r="Y51" s="4" t="s">
        <v>140</v>
      </c>
      <c r="Z51" s="156">
        <v>1545000</v>
      </c>
      <c r="AA51" s="165">
        <v>1</v>
      </c>
      <c r="AB51" s="182">
        <v>99.55</v>
      </c>
      <c r="AD51" s="156">
        <v>1538.047</v>
      </c>
      <c r="AG51" s="2" t="s">
        <v>36</v>
      </c>
      <c r="AH51" s="171">
        <v>5.1500000000000001E-3</v>
      </c>
      <c r="AI51" s="171">
        <v>9.3464720994735299E-3</v>
      </c>
      <c r="AJ51" s="171">
        <v>1.32666770555822E-3</v>
      </c>
    </row>
    <row r="52" spans="1:36">
      <c r="A52" s="2">
        <v>419</v>
      </c>
      <c r="B52" s="2">
        <v>419</v>
      </c>
      <c r="C52" s="2" t="s">
        <v>2104</v>
      </c>
      <c r="D52" s="2" t="s">
        <v>2105</v>
      </c>
      <c r="E52" s="4" t="s">
        <v>1321</v>
      </c>
      <c r="F52" s="2" t="s">
        <v>2106</v>
      </c>
      <c r="G52" s="2" t="s">
        <v>2107</v>
      </c>
      <c r="H52" s="2" t="s">
        <v>324</v>
      </c>
      <c r="I52" s="2" t="s">
        <v>973</v>
      </c>
      <c r="J52" s="2" t="s">
        <v>30</v>
      </c>
      <c r="K52" s="2" t="s">
        <v>30</v>
      </c>
      <c r="L52" s="2" t="s">
        <v>330</v>
      </c>
      <c r="M52" s="2" t="s">
        <v>31</v>
      </c>
      <c r="N52" s="2" t="s">
        <v>467</v>
      </c>
      <c r="O52" s="2" t="s">
        <v>140</v>
      </c>
      <c r="P52" s="2" t="s">
        <v>1956</v>
      </c>
      <c r="Q52" s="2" t="s">
        <v>416</v>
      </c>
      <c r="R52" s="2" t="s">
        <v>410</v>
      </c>
      <c r="S52" s="2" t="s">
        <v>34</v>
      </c>
      <c r="T52" s="156">
        <v>0.73099999999999998</v>
      </c>
      <c r="U52" s="2" t="s">
        <v>2108</v>
      </c>
      <c r="V52" s="169">
        <v>2.5499999999999998E-2</v>
      </c>
      <c r="W52" s="171">
        <v>4.8809999999999999E-2</v>
      </c>
      <c r="X52" s="4" t="s">
        <v>415</v>
      </c>
      <c r="Y52" s="4" t="s">
        <v>140</v>
      </c>
      <c r="Z52" s="156">
        <v>1132485.94</v>
      </c>
      <c r="AA52" s="165">
        <v>1</v>
      </c>
      <c r="AB52" s="182">
        <v>99.04</v>
      </c>
      <c r="AD52" s="156">
        <v>1121.614</v>
      </c>
      <c r="AG52" s="2" t="s">
        <v>36</v>
      </c>
      <c r="AH52" s="171">
        <v>1.6875999999999999E-2</v>
      </c>
      <c r="AI52" s="171">
        <v>6.8158718493024403E-3</v>
      </c>
      <c r="AJ52" s="171">
        <v>9.6746633076691001E-4</v>
      </c>
    </row>
    <row r="53" spans="1:36">
      <c r="A53" s="2">
        <v>419</v>
      </c>
      <c r="B53" s="2">
        <v>419</v>
      </c>
      <c r="C53" s="2" t="s">
        <v>1630</v>
      </c>
      <c r="D53" s="2" t="s">
        <v>1631</v>
      </c>
      <c r="E53" s="4" t="s">
        <v>1321</v>
      </c>
      <c r="F53" s="2" t="s">
        <v>2109</v>
      </c>
      <c r="G53" s="2" t="s">
        <v>2110</v>
      </c>
      <c r="H53" s="2" t="s">
        <v>324</v>
      </c>
      <c r="I53" s="2" t="s">
        <v>973</v>
      </c>
      <c r="J53" s="2" t="s">
        <v>30</v>
      </c>
      <c r="K53" s="2" t="s">
        <v>30</v>
      </c>
      <c r="L53" s="2" t="s">
        <v>330</v>
      </c>
      <c r="M53" s="2" t="s">
        <v>31</v>
      </c>
      <c r="N53" s="2" t="s">
        <v>454</v>
      </c>
      <c r="O53" s="2" t="s">
        <v>140</v>
      </c>
      <c r="P53" s="2" t="s">
        <v>1915</v>
      </c>
      <c r="Q53" s="2" t="s">
        <v>416</v>
      </c>
      <c r="R53" s="2" t="s">
        <v>410</v>
      </c>
      <c r="S53" s="2" t="s">
        <v>34</v>
      </c>
      <c r="T53" s="156">
        <v>1.859</v>
      </c>
      <c r="U53" s="2" t="s">
        <v>2111</v>
      </c>
      <c r="V53" s="169">
        <v>2.1999999999999999E-2</v>
      </c>
      <c r="W53" s="171">
        <v>5.6399999999999999E-2</v>
      </c>
      <c r="X53" s="4" t="s">
        <v>415</v>
      </c>
      <c r="Y53" s="4" t="s">
        <v>140</v>
      </c>
      <c r="Z53" s="156">
        <v>1974227.28</v>
      </c>
      <c r="AA53" s="165">
        <v>1</v>
      </c>
      <c r="AB53" s="182">
        <v>93.06</v>
      </c>
      <c r="AD53" s="156">
        <v>1837.2159999999999</v>
      </c>
      <c r="AG53" s="2" t="s">
        <v>36</v>
      </c>
      <c r="AH53" s="171">
        <v>1.8220000000000001E-3</v>
      </c>
      <c r="AI53" s="171">
        <v>1.11644713270013E-2</v>
      </c>
      <c r="AJ53" s="171">
        <v>1.58472024540658E-3</v>
      </c>
    </row>
    <row r="54" spans="1:36">
      <c r="A54" s="2">
        <v>419</v>
      </c>
      <c r="B54" s="2">
        <v>419</v>
      </c>
      <c r="C54" s="2" t="s">
        <v>2112</v>
      </c>
      <c r="D54" s="2" t="s">
        <v>2113</v>
      </c>
      <c r="E54" s="4" t="s">
        <v>1321</v>
      </c>
      <c r="F54" s="2" t="s">
        <v>2114</v>
      </c>
      <c r="G54" s="2" t="s">
        <v>2115</v>
      </c>
      <c r="H54" s="2" t="s">
        <v>324</v>
      </c>
      <c r="I54" s="2" t="s">
        <v>760</v>
      </c>
      <c r="J54" s="2" t="s">
        <v>30</v>
      </c>
      <c r="K54" s="2" t="s">
        <v>30</v>
      </c>
      <c r="L54" s="2" t="s">
        <v>330</v>
      </c>
      <c r="M54" s="2" t="s">
        <v>31</v>
      </c>
      <c r="N54" s="2" t="s">
        <v>443</v>
      </c>
      <c r="O54" s="2" t="s">
        <v>140</v>
      </c>
      <c r="P54" s="2" t="s">
        <v>2116</v>
      </c>
      <c r="Q54" s="2" t="s">
        <v>416</v>
      </c>
      <c r="R54" s="2" t="s">
        <v>410</v>
      </c>
      <c r="S54" s="2" t="s">
        <v>34</v>
      </c>
      <c r="T54" s="156">
        <v>10.627000000000001</v>
      </c>
      <c r="U54" s="2" t="s">
        <v>2117</v>
      </c>
      <c r="V54" s="169">
        <v>1.2500000000000001E-2</v>
      </c>
      <c r="W54" s="171">
        <v>3.4939999999999999E-2</v>
      </c>
      <c r="X54" s="4" t="s">
        <v>415</v>
      </c>
      <c r="Y54" s="4" t="s">
        <v>140</v>
      </c>
      <c r="Z54" s="156">
        <v>2080000</v>
      </c>
      <c r="AA54" s="165">
        <v>1</v>
      </c>
      <c r="AB54" s="182">
        <v>90</v>
      </c>
      <c r="AD54" s="156">
        <v>1872</v>
      </c>
      <c r="AG54" s="2" t="s">
        <v>36</v>
      </c>
      <c r="AH54" s="171">
        <v>4.8500000000000003E-4</v>
      </c>
      <c r="AI54" s="171">
        <v>1.1375848775941199E-2</v>
      </c>
      <c r="AJ54" s="171">
        <v>1.6147238266731E-3</v>
      </c>
    </row>
    <row r="55" spans="1:36">
      <c r="A55" s="2">
        <v>419</v>
      </c>
      <c r="B55" s="2">
        <v>419</v>
      </c>
      <c r="C55" s="2" t="s">
        <v>2112</v>
      </c>
      <c r="D55" s="2" t="s">
        <v>2113</v>
      </c>
      <c r="E55" s="4" t="s">
        <v>1321</v>
      </c>
      <c r="F55" s="2" t="s">
        <v>2118</v>
      </c>
      <c r="G55" s="2" t="s">
        <v>2119</v>
      </c>
      <c r="H55" s="2" t="s">
        <v>324</v>
      </c>
      <c r="I55" s="2" t="s">
        <v>760</v>
      </c>
      <c r="J55" s="2" t="s">
        <v>30</v>
      </c>
      <c r="K55" s="2" t="s">
        <v>30</v>
      </c>
      <c r="L55" s="2" t="s">
        <v>330</v>
      </c>
      <c r="M55" s="2" t="s">
        <v>31</v>
      </c>
      <c r="N55" s="2" t="s">
        <v>443</v>
      </c>
      <c r="O55" s="2" t="s">
        <v>140</v>
      </c>
      <c r="P55" s="2" t="s">
        <v>2116</v>
      </c>
      <c r="Q55" s="2" t="s">
        <v>416</v>
      </c>
      <c r="R55" s="2" t="s">
        <v>410</v>
      </c>
      <c r="S55" s="2" t="s">
        <v>34</v>
      </c>
      <c r="T55" s="156">
        <v>7.5629999999999997</v>
      </c>
      <c r="U55" s="2" t="s">
        <v>2120</v>
      </c>
      <c r="V55" s="169">
        <v>0.03</v>
      </c>
      <c r="W55" s="171">
        <v>3.2599999999999997E-2</v>
      </c>
      <c r="X55" s="4" t="s">
        <v>415</v>
      </c>
      <c r="Y55" s="4" t="s">
        <v>140</v>
      </c>
      <c r="Z55" s="156">
        <v>4149000</v>
      </c>
      <c r="AA55" s="165">
        <v>1</v>
      </c>
      <c r="AB55" s="182">
        <v>103.71</v>
      </c>
      <c r="AD55" s="156">
        <v>4302.9279999999999</v>
      </c>
      <c r="AG55" s="2" t="s">
        <v>36</v>
      </c>
      <c r="AH55" s="171">
        <v>1.0169999999999999E-3</v>
      </c>
      <c r="AI55" s="171">
        <v>2.6148214254368699E-2</v>
      </c>
      <c r="AJ55" s="171">
        <v>3.7115599383474602E-3</v>
      </c>
    </row>
    <row r="56" spans="1:36">
      <c r="A56" s="2">
        <v>419</v>
      </c>
      <c r="B56" s="2">
        <v>419</v>
      </c>
      <c r="C56" s="2" t="s">
        <v>2112</v>
      </c>
      <c r="D56" s="2" t="s">
        <v>2113</v>
      </c>
      <c r="E56" s="4" t="s">
        <v>1321</v>
      </c>
      <c r="F56" s="2" t="s">
        <v>2121</v>
      </c>
      <c r="G56" s="2" t="s">
        <v>2122</v>
      </c>
      <c r="H56" s="2" t="s">
        <v>324</v>
      </c>
      <c r="I56" s="2" t="s">
        <v>760</v>
      </c>
      <c r="J56" s="2" t="s">
        <v>30</v>
      </c>
      <c r="K56" s="2" t="s">
        <v>30</v>
      </c>
      <c r="L56" s="2" t="s">
        <v>330</v>
      </c>
      <c r="M56" s="2" t="s">
        <v>31</v>
      </c>
      <c r="N56" s="2" t="s">
        <v>443</v>
      </c>
      <c r="O56" s="2" t="s">
        <v>140</v>
      </c>
      <c r="P56" s="2" t="s">
        <v>2116</v>
      </c>
      <c r="Q56" s="2" t="s">
        <v>418</v>
      </c>
      <c r="R56" s="2" t="s">
        <v>410</v>
      </c>
      <c r="S56" s="2" t="s">
        <v>34</v>
      </c>
      <c r="T56" s="156">
        <v>10.287000000000001</v>
      </c>
      <c r="U56" s="2" t="s">
        <v>2123</v>
      </c>
      <c r="V56" s="169">
        <v>3.2000000000000001E-2</v>
      </c>
      <c r="W56" s="171">
        <v>3.4759999999999999E-2</v>
      </c>
      <c r="X56" s="4" t="s">
        <v>415</v>
      </c>
      <c r="Y56" s="4" t="s">
        <v>140</v>
      </c>
      <c r="Z56" s="156">
        <v>2800000</v>
      </c>
      <c r="AA56" s="165">
        <v>1</v>
      </c>
      <c r="AB56" s="182">
        <v>102.97</v>
      </c>
      <c r="AD56" s="156">
        <v>2883.16</v>
      </c>
      <c r="AG56" s="2" t="s">
        <v>36</v>
      </c>
      <c r="AH56" s="171">
        <v>5.6899999999999995E-4</v>
      </c>
      <c r="AI56" s="171">
        <v>1.7520508630791999E-2</v>
      </c>
      <c r="AJ56" s="171">
        <v>2.48691621159766E-3</v>
      </c>
    </row>
    <row r="57" spans="1:36">
      <c r="A57" s="2">
        <v>419</v>
      </c>
      <c r="B57" s="2">
        <v>419</v>
      </c>
      <c r="C57" s="2" t="s">
        <v>2124</v>
      </c>
      <c r="D57" s="2" t="s">
        <v>2125</v>
      </c>
      <c r="E57" s="4" t="s">
        <v>33</v>
      </c>
      <c r="F57" s="2" t="s">
        <v>2126</v>
      </c>
      <c r="G57" s="2" t="s">
        <v>2127</v>
      </c>
      <c r="H57" s="2" t="s">
        <v>324</v>
      </c>
      <c r="I57" s="2" t="s">
        <v>761</v>
      </c>
      <c r="J57" s="2" t="s">
        <v>30</v>
      </c>
      <c r="K57" s="2" t="s">
        <v>228</v>
      </c>
      <c r="L57" s="2" t="s">
        <v>330</v>
      </c>
      <c r="M57" s="2" t="s">
        <v>31</v>
      </c>
      <c r="N57" s="2" t="s">
        <v>468</v>
      </c>
      <c r="O57" s="2" t="s">
        <v>140</v>
      </c>
      <c r="P57" s="2" t="s">
        <v>1921</v>
      </c>
      <c r="Q57" s="2" t="s">
        <v>416</v>
      </c>
      <c r="R57" s="2" t="s">
        <v>410</v>
      </c>
      <c r="S57" s="2" t="s">
        <v>1188</v>
      </c>
      <c r="T57" s="156">
        <v>2.2949999999999999</v>
      </c>
      <c r="U57" s="2" t="s">
        <v>2128</v>
      </c>
      <c r="V57" s="169">
        <v>4.7199999999999999E-2</v>
      </c>
      <c r="W57" s="171">
        <v>6.9839999999999999E-2</v>
      </c>
      <c r="X57" s="4" t="s">
        <v>415</v>
      </c>
      <c r="Y57" s="4" t="s">
        <v>140</v>
      </c>
      <c r="Z57" s="156">
        <v>2700000</v>
      </c>
      <c r="AA57" s="165">
        <v>3.71</v>
      </c>
      <c r="AB57" s="182">
        <v>29.989000000000001</v>
      </c>
      <c r="AD57" s="156">
        <v>3004.02</v>
      </c>
      <c r="AG57" s="2" t="s">
        <v>36</v>
      </c>
      <c r="AH57" s="171">
        <v>8.208E-3</v>
      </c>
      <c r="AI57" s="171">
        <v>1.8254955790546399E-2</v>
      </c>
      <c r="AJ57" s="171">
        <v>2.5911659560910899E-3</v>
      </c>
    </row>
    <row r="58" spans="1:36">
      <c r="A58" s="2">
        <v>419</v>
      </c>
      <c r="B58" s="2">
        <v>419</v>
      </c>
      <c r="C58" s="2" t="s">
        <v>2129</v>
      </c>
      <c r="D58" s="2" t="s">
        <v>2130</v>
      </c>
      <c r="E58" s="4" t="s">
        <v>1321</v>
      </c>
      <c r="F58" s="2" t="s">
        <v>2131</v>
      </c>
      <c r="G58" s="2" t="s">
        <v>2132</v>
      </c>
      <c r="H58" s="2" t="s">
        <v>324</v>
      </c>
      <c r="I58" s="2" t="s">
        <v>760</v>
      </c>
      <c r="J58" s="2" t="s">
        <v>30</v>
      </c>
      <c r="K58" s="2" t="s">
        <v>30</v>
      </c>
      <c r="L58" s="2" t="s">
        <v>330</v>
      </c>
      <c r="M58" s="2" t="s">
        <v>31</v>
      </c>
      <c r="N58" s="2" t="s">
        <v>451</v>
      </c>
      <c r="O58" s="2" t="s">
        <v>140</v>
      </c>
      <c r="P58" s="2" t="s">
        <v>1921</v>
      </c>
      <c r="Q58" s="2" t="s">
        <v>416</v>
      </c>
      <c r="R58" s="2" t="s">
        <v>410</v>
      </c>
      <c r="S58" s="2" t="s">
        <v>34</v>
      </c>
      <c r="T58" s="156">
        <v>1.2350000000000001</v>
      </c>
      <c r="U58" s="2" t="s">
        <v>2133</v>
      </c>
      <c r="V58" s="169">
        <v>2E-3</v>
      </c>
      <c r="W58" s="171">
        <v>2.0129999999999999E-2</v>
      </c>
      <c r="X58" s="4" t="s">
        <v>415</v>
      </c>
      <c r="Y58" s="4" t="s">
        <v>140</v>
      </c>
      <c r="Z58" s="156">
        <v>1007250</v>
      </c>
      <c r="AA58" s="165">
        <v>1</v>
      </c>
      <c r="AB58" s="182">
        <v>111.85</v>
      </c>
      <c r="AD58" s="156">
        <v>1126.6089999999999</v>
      </c>
      <c r="AG58" s="2" t="s">
        <v>36</v>
      </c>
      <c r="AH58" s="171">
        <v>2.408E-3</v>
      </c>
      <c r="AI58" s="171">
        <v>6.8462259805531301E-3</v>
      </c>
      <c r="AJ58" s="171">
        <v>9.7177489181882095E-4</v>
      </c>
    </row>
    <row r="59" spans="1:36">
      <c r="A59" s="2">
        <v>419</v>
      </c>
      <c r="B59" s="2">
        <v>419</v>
      </c>
      <c r="C59" s="2" t="s">
        <v>2129</v>
      </c>
      <c r="D59" s="2" t="s">
        <v>2130</v>
      </c>
      <c r="E59" s="4" t="s">
        <v>1321</v>
      </c>
      <c r="F59" s="2" t="s">
        <v>2134</v>
      </c>
      <c r="G59" s="2" t="s">
        <v>2135</v>
      </c>
      <c r="H59" s="2" t="s">
        <v>324</v>
      </c>
      <c r="I59" s="2" t="s">
        <v>760</v>
      </c>
      <c r="J59" s="2" t="s">
        <v>30</v>
      </c>
      <c r="K59" s="2" t="s">
        <v>30</v>
      </c>
      <c r="L59" s="2" t="s">
        <v>330</v>
      </c>
      <c r="M59" s="2" t="s">
        <v>31</v>
      </c>
      <c r="N59" s="2" t="s">
        <v>451</v>
      </c>
      <c r="O59" s="2" t="s">
        <v>140</v>
      </c>
      <c r="P59" s="2" t="s">
        <v>1921</v>
      </c>
      <c r="Q59" s="2" t="s">
        <v>416</v>
      </c>
      <c r="R59" s="2" t="s">
        <v>410</v>
      </c>
      <c r="S59" s="2" t="s">
        <v>34</v>
      </c>
      <c r="T59" s="156">
        <v>2.09</v>
      </c>
      <c r="U59" s="2" t="s">
        <v>2111</v>
      </c>
      <c r="V59" s="169">
        <v>2E-3</v>
      </c>
      <c r="W59" s="171">
        <v>2.2919999999999999E-2</v>
      </c>
      <c r="X59" s="4" t="s">
        <v>415</v>
      </c>
      <c r="Y59" s="4" t="s">
        <v>140</v>
      </c>
      <c r="Z59" s="156">
        <v>2643000</v>
      </c>
      <c r="AA59" s="165">
        <v>1</v>
      </c>
      <c r="AB59" s="182">
        <v>110.31</v>
      </c>
      <c r="AD59" s="156">
        <v>2915.4929999999999</v>
      </c>
      <c r="AG59" s="2" t="s">
        <v>36</v>
      </c>
      <c r="AH59" s="171">
        <v>3.137E-3</v>
      </c>
      <c r="AI59" s="171">
        <v>1.7716992995763799E-2</v>
      </c>
      <c r="AJ59" s="171">
        <v>2.5148058215896298E-3</v>
      </c>
    </row>
    <row r="60" spans="1:36">
      <c r="A60" s="2">
        <v>419</v>
      </c>
      <c r="B60" s="2">
        <v>419</v>
      </c>
      <c r="C60" s="2" t="s">
        <v>2129</v>
      </c>
      <c r="D60" s="2" t="s">
        <v>2130</v>
      </c>
      <c r="E60" s="4" t="s">
        <v>1321</v>
      </c>
      <c r="F60" s="2" t="s">
        <v>2136</v>
      </c>
      <c r="G60" s="2" t="s">
        <v>2137</v>
      </c>
      <c r="H60" s="2" t="s">
        <v>324</v>
      </c>
      <c r="I60" s="2" t="s">
        <v>760</v>
      </c>
      <c r="J60" s="2" t="s">
        <v>30</v>
      </c>
      <c r="K60" s="2" t="s">
        <v>30</v>
      </c>
      <c r="L60" s="2" t="s">
        <v>330</v>
      </c>
      <c r="M60" s="2" t="s">
        <v>31</v>
      </c>
      <c r="N60" s="2" t="s">
        <v>451</v>
      </c>
      <c r="O60" s="2" t="s">
        <v>140</v>
      </c>
      <c r="P60" s="2" t="s">
        <v>1921</v>
      </c>
      <c r="Q60" s="2" t="s">
        <v>416</v>
      </c>
      <c r="R60" s="2" t="s">
        <v>410</v>
      </c>
      <c r="S60" s="2" t="s">
        <v>34</v>
      </c>
      <c r="T60" s="156">
        <v>4.5019999999999998</v>
      </c>
      <c r="U60" s="2" t="s">
        <v>2138</v>
      </c>
      <c r="V60" s="169">
        <v>2.5899999999999999E-2</v>
      </c>
      <c r="W60" s="171">
        <v>2.647E-2</v>
      </c>
      <c r="X60" s="4" t="s">
        <v>415</v>
      </c>
      <c r="Y60" s="4" t="s">
        <v>140</v>
      </c>
      <c r="Z60" s="156">
        <v>1589000</v>
      </c>
      <c r="AA60" s="165">
        <v>1</v>
      </c>
      <c r="AB60" s="182">
        <v>105.13</v>
      </c>
      <c r="AD60" s="156">
        <v>1670.5160000000001</v>
      </c>
      <c r="AG60" s="2" t="s">
        <v>36</v>
      </c>
      <c r="AH60" s="171">
        <v>3.5309999999999999E-3</v>
      </c>
      <c r="AI60" s="171">
        <v>1.01514604599549E-2</v>
      </c>
      <c r="AJ60" s="171">
        <v>1.4409302903961E-3</v>
      </c>
    </row>
    <row r="61" spans="1:36">
      <c r="A61" s="2">
        <v>419</v>
      </c>
      <c r="B61" s="2">
        <v>419</v>
      </c>
      <c r="C61" s="2" t="s">
        <v>2139</v>
      </c>
      <c r="D61" s="2" t="s">
        <v>2140</v>
      </c>
      <c r="E61" s="4" t="s">
        <v>314</v>
      </c>
      <c r="F61" s="2" t="s">
        <v>2141</v>
      </c>
      <c r="G61" s="2" t="s">
        <v>2142</v>
      </c>
      <c r="H61" s="2" t="s">
        <v>324</v>
      </c>
      <c r="I61" s="2" t="s">
        <v>973</v>
      </c>
      <c r="J61" s="2" t="s">
        <v>30</v>
      </c>
      <c r="K61" s="2" t="s">
        <v>30</v>
      </c>
      <c r="L61" s="2" t="s">
        <v>330</v>
      </c>
      <c r="M61" s="2" t="s">
        <v>31</v>
      </c>
      <c r="N61" s="2" t="s">
        <v>457</v>
      </c>
      <c r="O61" s="2" t="s">
        <v>140</v>
      </c>
      <c r="P61" s="2" t="s">
        <v>1956</v>
      </c>
      <c r="Q61" s="2" t="s">
        <v>416</v>
      </c>
      <c r="R61" s="2" t="s">
        <v>410</v>
      </c>
      <c r="S61" s="2" t="s">
        <v>34</v>
      </c>
      <c r="T61" s="156">
        <v>3.2370000000000001</v>
      </c>
      <c r="U61" s="2" t="s">
        <v>2143</v>
      </c>
      <c r="V61" s="169">
        <v>2.24E-2</v>
      </c>
      <c r="W61" s="171">
        <v>5.6430000000000001E-2</v>
      </c>
      <c r="X61" s="4" t="s">
        <v>415</v>
      </c>
      <c r="Y61" s="4" t="s">
        <v>140</v>
      </c>
      <c r="Z61" s="156">
        <v>1386454.61</v>
      </c>
      <c r="AA61" s="165">
        <v>1</v>
      </c>
      <c r="AB61" s="182">
        <v>90.78</v>
      </c>
      <c r="AD61" s="156">
        <v>1258.623</v>
      </c>
      <c r="AG61" s="2" t="s">
        <v>36</v>
      </c>
      <c r="AH61" s="171">
        <v>2.3600000000000001E-3</v>
      </c>
      <c r="AI61" s="171">
        <v>7.6484564874406101E-3</v>
      </c>
      <c r="AJ61" s="171">
        <v>1.0856460182261001E-3</v>
      </c>
    </row>
    <row r="62" spans="1:36">
      <c r="A62" s="2">
        <v>419</v>
      </c>
      <c r="B62" s="2">
        <v>419</v>
      </c>
      <c r="C62" s="2" t="s">
        <v>2144</v>
      </c>
      <c r="D62" s="2" t="s">
        <v>2145</v>
      </c>
      <c r="E62" s="4" t="s">
        <v>1321</v>
      </c>
      <c r="F62" s="2" t="s">
        <v>2146</v>
      </c>
      <c r="G62" s="2" t="s">
        <v>2147</v>
      </c>
      <c r="H62" s="2" t="s">
        <v>324</v>
      </c>
      <c r="I62" s="2" t="s">
        <v>760</v>
      </c>
      <c r="J62" s="2" t="s">
        <v>30</v>
      </c>
      <c r="K62" s="2" t="s">
        <v>30</v>
      </c>
      <c r="L62" s="2" t="s">
        <v>330</v>
      </c>
      <c r="M62" s="2" t="s">
        <v>31</v>
      </c>
      <c r="N62" s="2" t="s">
        <v>467</v>
      </c>
      <c r="O62" s="2" t="s">
        <v>140</v>
      </c>
      <c r="P62" s="2" t="s">
        <v>1921</v>
      </c>
      <c r="Q62" s="2" t="s">
        <v>416</v>
      </c>
      <c r="R62" s="2" t="s">
        <v>410</v>
      </c>
      <c r="S62" s="2" t="s">
        <v>34</v>
      </c>
      <c r="T62" s="156">
        <v>5.8170000000000002</v>
      </c>
      <c r="U62" s="2" t="s">
        <v>2148</v>
      </c>
      <c r="V62" s="169">
        <v>1.4999999999999999E-2</v>
      </c>
      <c r="W62" s="171">
        <v>3.2969999999999999E-2</v>
      </c>
      <c r="X62" s="4" t="s">
        <v>415</v>
      </c>
      <c r="Y62" s="4" t="s">
        <v>140</v>
      </c>
      <c r="Z62" s="156">
        <v>1108128.54</v>
      </c>
      <c r="AA62" s="165">
        <v>1</v>
      </c>
      <c r="AB62" s="182">
        <v>100.38</v>
      </c>
      <c r="AD62" s="156">
        <v>1112.3389999999999</v>
      </c>
      <c r="AG62" s="2" t="s">
        <v>36</v>
      </c>
      <c r="AH62" s="171">
        <v>4.522E-3</v>
      </c>
      <c r="AI62" s="171">
        <v>6.7595112850357001E-3</v>
      </c>
      <c r="AJ62" s="171">
        <v>9.5946633465244797E-4</v>
      </c>
    </row>
    <row r="63" spans="1:36">
      <c r="A63" s="2">
        <v>419</v>
      </c>
      <c r="B63" s="2">
        <v>419</v>
      </c>
      <c r="C63" s="2" t="s">
        <v>2149</v>
      </c>
      <c r="D63" s="2" t="s">
        <v>2150</v>
      </c>
      <c r="E63" s="4" t="s">
        <v>1321</v>
      </c>
      <c r="F63" s="2" t="s">
        <v>2151</v>
      </c>
      <c r="G63" s="2" t="s">
        <v>2152</v>
      </c>
      <c r="H63" s="2" t="s">
        <v>324</v>
      </c>
      <c r="I63" s="2" t="s">
        <v>973</v>
      </c>
      <c r="J63" s="2" t="s">
        <v>30</v>
      </c>
      <c r="K63" s="2" t="s">
        <v>30</v>
      </c>
      <c r="L63" s="2" t="s">
        <v>330</v>
      </c>
      <c r="M63" s="2" t="s">
        <v>31</v>
      </c>
      <c r="N63" s="2" t="s">
        <v>448</v>
      </c>
      <c r="O63" s="2" t="s">
        <v>140</v>
      </c>
      <c r="P63" s="2" t="s">
        <v>1921</v>
      </c>
      <c r="Q63" s="2" t="s">
        <v>416</v>
      </c>
      <c r="R63" s="2" t="s">
        <v>410</v>
      </c>
      <c r="S63" s="2" t="s">
        <v>34</v>
      </c>
      <c r="T63" s="156">
        <v>7.5170000000000003</v>
      </c>
      <c r="U63" s="2" t="s">
        <v>41</v>
      </c>
      <c r="V63" s="169">
        <v>2.64E-2</v>
      </c>
      <c r="W63" s="171">
        <v>5.7770000000000002E-2</v>
      </c>
      <c r="X63" s="4" t="s">
        <v>415</v>
      </c>
      <c r="Y63" s="4" t="s">
        <v>140</v>
      </c>
      <c r="Z63" s="156">
        <v>300000.73</v>
      </c>
      <c r="AA63" s="165">
        <v>1</v>
      </c>
      <c r="AB63" s="182">
        <v>85.75</v>
      </c>
      <c r="AD63" s="156">
        <v>257.25099999999998</v>
      </c>
      <c r="AG63" s="2" t="s">
        <v>36</v>
      </c>
      <c r="AH63" s="171">
        <v>1.83E-4</v>
      </c>
      <c r="AI63" s="171">
        <v>1.5632714842990501E-3</v>
      </c>
      <c r="AJ63" s="171">
        <v>2.21895681190386E-4</v>
      </c>
    </row>
    <row r="64" spans="1:36">
      <c r="A64" s="2">
        <v>419</v>
      </c>
      <c r="B64" s="2">
        <v>419</v>
      </c>
      <c r="C64" s="2" t="s">
        <v>1660</v>
      </c>
      <c r="D64" s="2" t="s">
        <v>1661</v>
      </c>
      <c r="E64" s="4" t="s">
        <v>1321</v>
      </c>
      <c r="F64" s="2" t="s">
        <v>2153</v>
      </c>
      <c r="G64" s="2" t="s">
        <v>2154</v>
      </c>
      <c r="H64" s="2" t="s">
        <v>324</v>
      </c>
      <c r="I64" s="2" t="s">
        <v>973</v>
      </c>
      <c r="J64" s="2" t="s">
        <v>30</v>
      </c>
      <c r="K64" s="2" t="s">
        <v>30</v>
      </c>
      <c r="L64" s="2" t="s">
        <v>330</v>
      </c>
      <c r="M64" s="2" t="s">
        <v>31</v>
      </c>
      <c r="N64" s="2" t="s">
        <v>448</v>
      </c>
      <c r="O64" s="2" t="s">
        <v>140</v>
      </c>
      <c r="P64" s="2" t="s">
        <v>1921</v>
      </c>
      <c r="Q64" s="2" t="s">
        <v>416</v>
      </c>
      <c r="R64" s="2" t="s">
        <v>410</v>
      </c>
      <c r="S64" s="2" t="s">
        <v>34</v>
      </c>
      <c r="T64" s="156">
        <v>3.105</v>
      </c>
      <c r="U64" s="2" t="s">
        <v>2155</v>
      </c>
      <c r="V64" s="169">
        <v>4.7E-2</v>
      </c>
      <c r="W64" s="171">
        <v>5.4760000000000003E-2</v>
      </c>
      <c r="X64" s="4" t="s">
        <v>415</v>
      </c>
      <c r="Y64" s="4" t="s">
        <v>140</v>
      </c>
      <c r="Z64" s="156">
        <v>1038000</v>
      </c>
      <c r="AA64" s="165">
        <v>1</v>
      </c>
      <c r="AB64" s="182">
        <v>100.38</v>
      </c>
      <c r="AD64" s="156">
        <v>1041.944</v>
      </c>
      <c r="AG64" s="2" t="s">
        <v>36</v>
      </c>
      <c r="AH64" s="171">
        <v>1.1540000000000001E-3</v>
      </c>
      <c r="AI64" s="171">
        <v>6.3317317987920899E-3</v>
      </c>
      <c r="AJ64" s="171">
        <v>8.9874596621186296E-4</v>
      </c>
    </row>
    <row r="65" spans="1:36">
      <c r="A65" s="2">
        <v>419</v>
      </c>
      <c r="B65" s="2">
        <v>419</v>
      </c>
      <c r="C65" s="2" t="s">
        <v>2149</v>
      </c>
      <c r="D65" s="2" t="s">
        <v>2150</v>
      </c>
      <c r="E65" s="4" t="s">
        <v>1321</v>
      </c>
      <c r="F65" s="2" t="s">
        <v>2156</v>
      </c>
      <c r="G65" s="2" t="s">
        <v>2157</v>
      </c>
      <c r="H65" s="2" t="s">
        <v>324</v>
      </c>
      <c r="I65" s="2" t="s">
        <v>973</v>
      </c>
      <c r="J65" s="2" t="s">
        <v>30</v>
      </c>
      <c r="K65" s="2" t="s">
        <v>30</v>
      </c>
      <c r="L65" s="2" t="s">
        <v>330</v>
      </c>
      <c r="M65" s="2" t="s">
        <v>31</v>
      </c>
      <c r="N65" s="2" t="s">
        <v>448</v>
      </c>
      <c r="O65" s="2" t="s">
        <v>140</v>
      </c>
      <c r="P65" s="2" t="s">
        <v>1921</v>
      </c>
      <c r="Q65" s="2" t="s">
        <v>416</v>
      </c>
      <c r="R65" s="2" t="s">
        <v>410</v>
      </c>
      <c r="S65" s="2" t="s">
        <v>34</v>
      </c>
      <c r="T65" s="156">
        <v>9.0619999999999994</v>
      </c>
      <c r="U65" s="2" t="s">
        <v>2158</v>
      </c>
      <c r="V65" s="169">
        <v>2.5000000000000001E-2</v>
      </c>
      <c r="W65" s="171">
        <v>6.0569999999999999E-2</v>
      </c>
      <c r="X65" s="4" t="s">
        <v>415</v>
      </c>
      <c r="Y65" s="4" t="s">
        <v>140</v>
      </c>
      <c r="Z65" s="156">
        <v>5266930</v>
      </c>
      <c r="AA65" s="165">
        <v>1</v>
      </c>
      <c r="AB65" s="182">
        <v>79.27</v>
      </c>
      <c r="AD65" s="156">
        <v>4175.0950000000003</v>
      </c>
      <c r="AG65" s="2" t="s">
        <v>36</v>
      </c>
      <c r="AH65" s="171">
        <v>3.9490000000000003E-3</v>
      </c>
      <c r="AI65" s="171">
        <v>2.53713963785588E-2</v>
      </c>
      <c r="AJ65" s="171">
        <v>3.6012959608841999E-3</v>
      </c>
    </row>
    <row r="66" spans="1:36">
      <c r="A66" s="2">
        <v>419</v>
      </c>
      <c r="B66" s="2">
        <v>419</v>
      </c>
      <c r="C66" s="2" t="s">
        <v>2149</v>
      </c>
      <c r="D66" s="2" t="s">
        <v>2150</v>
      </c>
      <c r="E66" s="4" t="s">
        <v>1321</v>
      </c>
      <c r="F66" s="2" t="s">
        <v>2159</v>
      </c>
      <c r="G66" s="2" t="s">
        <v>2160</v>
      </c>
      <c r="H66" s="2" t="s">
        <v>324</v>
      </c>
      <c r="I66" s="2" t="s">
        <v>973</v>
      </c>
      <c r="J66" s="2" t="s">
        <v>30</v>
      </c>
      <c r="K66" s="2" t="s">
        <v>30</v>
      </c>
      <c r="L66" s="2" t="s">
        <v>330</v>
      </c>
      <c r="M66" s="2" t="s">
        <v>31</v>
      </c>
      <c r="N66" s="2" t="s">
        <v>482</v>
      </c>
      <c r="O66" s="2" t="s">
        <v>140</v>
      </c>
      <c r="P66" s="2" t="s">
        <v>1921</v>
      </c>
      <c r="Q66" s="2" t="s">
        <v>416</v>
      </c>
      <c r="R66" s="2" t="s">
        <v>410</v>
      </c>
      <c r="S66" s="2" t="s">
        <v>34</v>
      </c>
      <c r="T66" s="156">
        <v>9.2230000000000008</v>
      </c>
      <c r="U66" s="2" t="s">
        <v>2161</v>
      </c>
      <c r="V66" s="169">
        <v>5.3100000000000001E-2</v>
      </c>
      <c r="W66" s="171">
        <v>6.1010000000000002E-2</v>
      </c>
      <c r="X66" s="4" t="s">
        <v>415</v>
      </c>
      <c r="Y66" s="4" t="s">
        <v>140</v>
      </c>
      <c r="Z66" s="156">
        <v>1776519</v>
      </c>
      <c r="AA66" s="165">
        <v>1</v>
      </c>
      <c r="AB66" s="182">
        <v>95.72</v>
      </c>
      <c r="AD66" s="156">
        <v>1700.4839999999999</v>
      </c>
      <c r="AG66" s="2" t="s">
        <v>36</v>
      </c>
      <c r="AH66" s="171">
        <v>1.395E-3</v>
      </c>
      <c r="AI66" s="171">
        <v>1.03335730126851E-2</v>
      </c>
      <c r="AJ66" s="171">
        <v>1.4667799200651799E-3</v>
      </c>
    </row>
    <row r="67" spans="1:36">
      <c r="A67" s="2">
        <v>419</v>
      </c>
      <c r="B67" s="2">
        <v>419</v>
      </c>
      <c r="C67" s="2" t="s">
        <v>2149</v>
      </c>
      <c r="D67" s="2" t="s">
        <v>2150</v>
      </c>
      <c r="E67" s="4" t="s">
        <v>1321</v>
      </c>
      <c r="F67" s="2" t="s">
        <v>2162</v>
      </c>
      <c r="G67" s="2" t="s">
        <v>2163</v>
      </c>
      <c r="H67" s="2" t="s">
        <v>324</v>
      </c>
      <c r="I67" s="2" t="s">
        <v>760</v>
      </c>
      <c r="J67" s="2" t="s">
        <v>30</v>
      </c>
      <c r="K67" s="2" t="s">
        <v>30</v>
      </c>
      <c r="L67" s="2" t="s">
        <v>330</v>
      </c>
      <c r="M67" s="2" t="s">
        <v>31</v>
      </c>
      <c r="N67" s="2" t="s">
        <v>448</v>
      </c>
      <c r="O67" s="2" t="s">
        <v>140</v>
      </c>
      <c r="P67" s="2" t="s">
        <v>1921</v>
      </c>
      <c r="Q67" s="2" t="s">
        <v>416</v>
      </c>
      <c r="R67" s="2" t="s">
        <v>410</v>
      </c>
      <c r="S67" s="2" t="s">
        <v>34</v>
      </c>
      <c r="T67" s="156">
        <v>3.5760000000000001</v>
      </c>
      <c r="U67" s="2" t="s">
        <v>2164</v>
      </c>
      <c r="V67" s="169">
        <v>2.4799999999999999E-2</v>
      </c>
      <c r="W67" s="171">
        <v>2.5989999999999999E-2</v>
      </c>
      <c r="X67" s="4" t="s">
        <v>415</v>
      </c>
      <c r="Y67" s="4" t="s">
        <v>140</v>
      </c>
      <c r="Z67" s="156">
        <v>4654736.4800000004</v>
      </c>
      <c r="AA67" s="165">
        <v>1</v>
      </c>
      <c r="AB67" s="182">
        <v>115.94</v>
      </c>
      <c r="AD67" s="156">
        <v>5396.701</v>
      </c>
      <c r="AG67" s="2" t="s">
        <v>36</v>
      </c>
      <c r="AH67" s="171">
        <v>1.0991000000000001E-2</v>
      </c>
      <c r="AI67" s="171">
        <v>3.2794903775372801E-2</v>
      </c>
      <c r="AJ67" s="171">
        <v>4.6550119962512097E-3</v>
      </c>
    </row>
    <row r="68" spans="1:36">
      <c r="A68" s="2">
        <v>419</v>
      </c>
      <c r="B68" s="2">
        <v>419</v>
      </c>
      <c r="C68" s="2" t="s">
        <v>1183</v>
      </c>
      <c r="D68" s="2" t="s">
        <v>1664</v>
      </c>
      <c r="E68" s="4" t="s">
        <v>1321</v>
      </c>
      <c r="F68" s="2" t="s">
        <v>2165</v>
      </c>
      <c r="G68" s="2" t="s">
        <v>2166</v>
      </c>
      <c r="H68" s="2" t="s">
        <v>324</v>
      </c>
      <c r="I68" s="2" t="s">
        <v>760</v>
      </c>
      <c r="J68" s="2" t="s">
        <v>30</v>
      </c>
      <c r="K68" s="2" t="s">
        <v>30</v>
      </c>
      <c r="L68" s="2" t="s">
        <v>330</v>
      </c>
      <c r="M68" s="2" t="s">
        <v>31</v>
      </c>
      <c r="N68" s="2" t="s">
        <v>451</v>
      </c>
      <c r="O68" s="2" t="s">
        <v>140</v>
      </c>
      <c r="P68" s="2" t="s">
        <v>1185</v>
      </c>
      <c r="Q68" s="2" t="s">
        <v>416</v>
      </c>
      <c r="R68" s="2" t="s">
        <v>410</v>
      </c>
      <c r="S68" s="2" t="s">
        <v>34</v>
      </c>
      <c r="T68" s="156">
        <v>1.7370000000000001</v>
      </c>
      <c r="U68" s="2" t="s">
        <v>1967</v>
      </c>
      <c r="V68" s="169">
        <v>8.3000000000000001E-3</v>
      </c>
      <c r="W68" s="171">
        <v>2.0449999999999999E-2</v>
      </c>
      <c r="X68" s="4" t="s">
        <v>415</v>
      </c>
      <c r="Y68" s="4" t="s">
        <v>140</v>
      </c>
      <c r="Z68" s="156">
        <v>1626364</v>
      </c>
      <c r="AA68" s="165">
        <v>1</v>
      </c>
      <c r="AB68" s="182">
        <v>113.2</v>
      </c>
      <c r="AD68" s="156">
        <v>1841.0440000000001</v>
      </c>
      <c r="AG68" s="2" t="s">
        <v>36</v>
      </c>
      <c r="AH68" s="171">
        <v>1.0690000000000001E-3</v>
      </c>
      <c r="AI68" s="171">
        <v>1.11877343375506E-2</v>
      </c>
      <c r="AJ68" s="171">
        <v>1.58802227043819E-3</v>
      </c>
    </row>
    <row r="69" spans="1:36">
      <c r="A69" s="2">
        <v>419</v>
      </c>
      <c r="B69" s="2">
        <v>419</v>
      </c>
      <c r="C69" s="2" t="s">
        <v>1183</v>
      </c>
      <c r="D69" s="2" t="s">
        <v>1664</v>
      </c>
      <c r="E69" s="4" t="s">
        <v>1321</v>
      </c>
      <c r="F69" s="2" t="s">
        <v>2167</v>
      </c>
      <c r="G69" s="2" t="s">
        <v>2168</v>
      </c>
      <c r="H69" s="2" t="s">
        <v>324</v>
      </c>
      <c r="I69" s="2" t="s">
        <v>973</v>
      </c>
      <c r="J69" s="2" t="s">
        <v>30</v>
      </c>
      <c r="K69" s="2" t="s">
        <v>30</v>
      </c>
      <c r="L69" s="2" t="s">
        <v>330</v>
      </c>
      <c r="M69" s="2" t="s">
        <v>31</v>
      </c>
      <c r="N69" s="2" t="s">
        <v>451</v>
      </c>
      <c r="O69" s="2" t="s">
        <v>140</v>
      </c>
      <c r="P69" s="2" t="s">
        <v>1185</v>
      </c>
      <c r="Q69" s="2" t="s">
        <v>416</v>
      </c>
      <c r="R69" s="2" t="s">
        <v>410</v>
      </c>
      <c r="S69" s="2" t="s">
        <v>34</v>
      </c>
      <c r="T69" s="156">
        <v>0.41099999999999998</v>
      </c>
      <c r="U69" s="2" t="s">
        <v>2169</v>
      </c>
      <c r="V69" s="169">
        <v>2.0199999999999999E-2</v>
      </c>
      <c r="W69" s="171">
        <v>4.4269999999999997E-2</v>
      </c>
      <c r="X69" s="4" t="s">
        <v>415</v>
      </c>
      <c r="Y69" s="4" t="s">
        <v>140</v>
      </c>
      <c r="Z69" s="156">
        <v>818000</v>
      </c>
      <c r="AA69" s="165">
        <v>1</v>
      </c>
      <c r="AB69" s="182">
        <v>100.22</v>
      </c>
      <c r="AD69" s="156">
        <v>819.8</v>
      </c>
      <c r="AG69" s="2" t="s">
        <v>36</v>
      </c>
      <c r="AH69" s="171">
        <v>9.68E-4</v>
      </c>
      <c r="AI69" s="171">
        <v>4.9817928825732398E-3</v>
      </c>
      <c r="AJ69" s="171">
        <v>7.0713138206040399E-4</v>
      </c>
    </row>
    <row r="70" spans="1:36">
      <c r="A70" s="2">
        <v>419</v>
      </c>
      <c r="B70" s="2">
        <v>419</v>
      </c>
      <c r="C70" s="2" t="s">
        <v>1183</v>
      </c>
      <c r="D70" s="2" t="s">
        <v>1664</v>
      </c>
      <c r="E70" s="4" t="s">
        <v>1321</v>
      </c>
      <c r="F70" s="2" t="s">
        <v>2170</v>
      </c>
      <c r="G70" s="2" t="s">
        <v>2171</v>
      </c>
      <c r="H70" s="2" t="s">
        <v>324</v>
      </c>
      <c r="I70" s="2" t="s">
        <v>760</v>
      </c>
      <c r="J70" s="2" t="s">
        <v>30</v>
      </c>
      <c r="K70" s="2" t="s">
        <v>30</v>
      </c>
      <c r="L70" s="2" t="s">
        <v>330</v>
      </c>
      <c r="M70" s="2" t="s">
        <v>31</v>
      </c>
      <c r="N70" s="2" t="s">
        <v>451</v>
      </c>
      <c r="O70" s="2" t="s">
        <v>140</v>
      </c>
      <c r="P70" s="2" t="s">
        <v>1185</v>
      </c>
      <c r="Q70" s="2" t="s">
        <v>416</v>
      </c>
      <c r="R70" s="2" t="s">
        <v>410</v>
      </c>
      <c r="S70" s="2" t="s">
        <v>34</v>
      </c>
      <c r="T70" s="156">
        <v>5.0449999999999999</v>
      </c>
      <c r="U70" s="2" t="s">
        <v>2172</v>
      </c>
      <c r="V70" s="169">
        <v>2.0199999999999999E-2</v>
      </c>
      <c r="W70" s="171">
        <v>2.5940000000000001E-2</v>
      </c>
      <c r="X70" s="4" t="s">
        <v>415</v>
      </c>
      <c r="Y70" s="4" t="s">
        <v>140</v>
      </c>
      <c r="Z70" s="156">
        <v>2270000</v>
      </c>
      <c r="AA70" s="165">
        <v>1</v>
      </c>
      <c r="AB70" s="182">
        <v>101.35</v>
      </c>
      <c r="AD70" s="156">
        <v>2300.645</v>
      </c>
      <c r="AG70" s="2" t="s">
        <v>36</v>
      </c>
      <c r="AH70" s="171">
        <v>6.3599999999999996E-4</v>
      </c>
      <c r="AI70" s="171">
        <v>1.39806568414131E-2</v>
      </c>
      <c r="AJ70" s="171">
        <v>1.9844584926369301E-3</v>
      </c>
    </row>
    <row r="71" spans="1:36">
      <c r="A71" s="2">
        <v>419</v>
      </c>
      <c r="B71" s="2">
        <v>419</v>
      </c>
      <c r="C71" s="2" t="s">
        <v>1183</v>
      </c>
      <c r="D71" s="2" t="s">
        <v>1664</v>
      </c>
      <c r="E71" s="4" t="s">
        <v>1321</v>
      </c>
      <c r="F71" s="2" t="s">
        <v>2173</v>
      </c>
      <c r="G71" s="2" t="s">
        <v>2174</v>
      </c>
      <c r="H71" s="2" t="s">
        <v>324</v>
      </c>
      <c r="I71" s="2" t="s">
        <v>760</v>
      </c>
      <c r="J71" s="2" t="s">
        <v>30</v>
      </c>
      <c r="K71" s="2" t="s">
        <v>30</v>
      </c>
      <c r="L71" s="2" t="s">
        <v>330</v>
      </c>
      <c r="M71" s="2" t="s">
        <v>31</v>
      </c>
      <c r="N71" s="2" t="s">
        <v>451</v>
      </c>
      <c r="O71" s="2" t="s">
        <v>140</v>
      </c>
      <c r="P71" s="2" t="s">
        <v>1185</v>
      </c>
      <c r="Q71" s="2" t="s">
        <v>416</v>
      </c>
      <c r="R71" s="2" t="s">
        <v>410</v>
      </c>
      <c r="S71" s="2" t="s">
        <v>34</v>
      </c>
      <c r="T71" s="156">
        <v>5.1369999999999996</v>
      </c>
      <c r="U71" s="2" t="s">
        <v>2175</v>
      </c>
      <c r="V71" s="169">
        <v>1E-3</v>
      </c>
      <c r="W71" s="171">
        <v>2.622E-2</v>
      </c>
      <c r="X71" s="4" t="s">
        <v>415</v>
      </c>
      <c r="Y71" s="4" t="s">
        <v>140</v>
      </c>
      <c r="Z71" s="156">
        <v>1700000</v>
      </c>
      <c r="AA71" s="165">
        <v>1</v>
      </c>
      <c r="AB71" s="182">
        <v>99.1</v>
      </c>
      <c r="AD71" s="156">
        <v>1684.7</v>
      </c>
      <c r="AG71" s="2" t="s">
        <v>36</v>
      </c>
      <c r="AH71" s="171">
        <v>6.8400000000000004E-4</v>
      </c>
      <c r="AI71" s="171">
        <v>1.02376562141176E-2</v>
      </c>
      <c r="AJ71" s="171">
        <v>1.45316518739112E-3</v>
      </c>
    </row>
    <row r="72" spans="1:36">
      <c r="A72" s="2">
        <v>419</v>
      </c>
      <c r="B72" s="2">
        <v>419</v>
      </c>
      <c r="C72" s="2" t="s">
        <v>1670</v>
      </c>
      <c r="D72" s="2" t="s">
        <v>1671</v>
      </c>
      <c r="E72" s="4" t="s">
        <v>1321</v>
      </c>
      <c r="F72" s="2" t="s">
        <v>2176</v>
      </c>
      <c r="G72" s="2" t="s">
        <v>2177</v>
      </c>
      <c r="H72" s="2" t="s">
        <v>324</v>
      </c>
      <c r="I72" s="2" t="s">
        <v>760</v>
      </c>
      <c r="J72" s="2" t="s">
        <v>30</v>
      </c>
      <c r="K72" s="2" t="s">
        <v>30</v>
      </c>
      <c r="L72" s="2" t="s">
        <v>330</v>
      </c>
      <c r="M72" s="2" t="s">
        <v>31</v>
      </c>
      <c r="N72" s="2" t="s">
        <v>467</v>
      </c>
      <c r="O72" s="2" t="s">
        <v>140</v>
      </c>
      <c r="P72" s="2" t="s">
        <v>1956</v>
      </c>
      <c r="Q72" s="2" t="s">
        <v>416</v>
      </c>
      <c r="R72" s="2" t="s">
        <v>410</v>
      </c>
      <c r="S72" s="2" t="s">
        <v>34</v>
      </c>
      <c r="T72" s="156">
        <v>5.83</v>
      </c>
      <c r="U72" s="2" t="s">
        <v>2047</v>
      </c>
      <c r="V72" s="169">
        <v>3.5000000000000001E-3</v>
      </c>
      <c r="W72" s="171">
        <v>3.4130000000000001E-2</v>
      </c>
      <c r="X72" s="4" t="s">
        <v>415</v>
      </c>
      <c r="Y72" s="4" t="s">
        <v>140</v>
      </c>
      <c r="Z72" s="156">
        <v>1600000</v>
      </c>
      <c r="AA72" s="165">
        <v>1</v>
      </c>
      <c r="AB72" s="182">
        <v>94.3</v>
      </c>
      <c r="AD72" s="156">
        <v>1508.8</v>
      </c>
      <c r="AG72" s="2" t="s">
        <v>36</v>
      </c>
      <c r="AH72" s="171">
        <v>4.5899999999999999E-4</v>
      </c>
      <c r="AI72" s="171">
        <v>9.1687396544551797E-3</v>
      </c>
      <c r="AJ72" s="171">
        <v>1.30143980218182E-3</v>
      </c>
    </row>
    <row r="73" spans="1:36">
      <c r="A73" s="2">
        <v>419</v>
      </c>
      <c r="B73" s="2">
        <v>419</v>
      </c>
      <c r="C73" s="2" t="s">
        <v>1670</v>
      </c>
      <c r="D73" s="2" t="s">
        <v>1671</v>
      </c>
      <c r="E73" s="4" t="s">
        <v>1321</v>
      </c>
      <c r="F73" s="2" t="s">
        <v>2178</v>
      </c>
      <c r="G73" s="2" t="s">
        <v>2179</v>
      </c>
      <c r="H73" s="2" t="s">
        <v>324</v>
      </c>
      <c r="I73" s="2" t="s">
        <v>760</v>
      </c>
      <c r="J73" s="2" t="s">
        <v>30</v>
      </c>
      <c r="K73" s="2" t="s">
        <v>30</v>
      </c>
      <c r="L73" s="2" t="s">
        <v>330</v>
      </c>
      <c r="M73" s="2" t="s">
        <v>31</v>
      </c>
      <c r="N73" s="2" t="s">
        <v>467</v>
      </c>
      <c r="O73" s="2" t="s">
        <v>140</v>
      </c>
      <c r="P73" s="2" t="s">
        <v>1956</v>
      </c>
      <c r="Q73" s="2" t="s">
        <v>416</v>
      </c>
      <c r="R73" s="2" t="s">
        <v>410</v>
      </c>
      <c r="S73" s="2" t="s">
        <v>34</v>
      </c>
      <c r="T73" s="156">
        <v>2.024</v>
      </c>
      <c r="U73" s="2" t="s">
        <v>2111</v>
      </c>
      <c r="V73" s="169">
        <v>3.6999999999999998E-2</v>
      </c>
      <c r="W73" s="171">
        <v>2.6419999999999999E-2</v>
      </c>
      <c r="X73" s="4" t="s">
        <v>415</v>
      </c>
      <c r="Y73" s="4" t="s">
        <v>140</v>
      </c>
      <c r="Z73" s="156">
        <v>361177.34</v>
      </c>
      <c r="AA73" s="165">
        <v>1</v>
      </c>
      <c r="AB73" s="182">
        <v>119.19</v>
      </c>
      <c r="AD73" s="156">
        <v>430.48700000000002</v>
      </c>
      <c r="AG73" s="2" t="s">
        <v>36</v>
      </c>
      <c r="AH73" s="171">
        <v>1.201E-3</v>
      </c>
      <c r="AI73" s="171">
        <v>2.6160032591211698E-3</v>
      </c>
      <c r="AJ73" s="171">
        <v>3.7132374703248899E-4</v>
      </c>
    </row>
    <row r="74" spans="1:36">
      <c r="A74" s="2">
        <v>419</v>
      </c>
      <c r="B74" s="2">
        <v>419</v>
      </c>
      <c r="C74" s="2" t="s">
        <v>2180</v>
      </c>
      <c r="D74" s="2" t="s">
        <v>2181</v>
      </c>
      <c r="E74" s="4" t="s">
        <v>1321</v>
      </c>
      <c r="F74" s="2" t="s">
        <v>2182</v>
      </c>
      <c r="G74" s="2" t="s">
        <v>2183</v>
      </c>
      <c r="H74" s="2" t="s">
        <v>324</v>
      </c>
      <c r="I74" s="2" t="s">
        <v>973</v>
      </c>
      <c r="J74" s="2" t="s">
        <v>30</v>
      </c>
      <c r="K74" s="2" t="s">
        <v>30</v>
      </c>
      <c r="L74" s="2" t="s">
        <v>330</v>
      </c>
      <c r="M74" s="2" t="s">
        <v>49</v>
      </c>
      <c r="N74" s="2" t="s">
        <v>448</v>
      </c>
      <c r="O74" s="2" t="s">
        <v>140</v>
      </c>
      <c r="P74" s="2" t="s">
        <v>1915</v>
      </c>
      <c r="Q74" s="2" t="s">
        <v>418</v>
      </c>
      <c r="R74" s="2" t="s">
        <v>410</v>
      </c>
      <c r="S74" s="2" t="s">
        <v>34</v>
      </c>
      <c r="T74" s="156">
        <v>9.5030000000000001</v>
      </c>
      <c r="U74" s="2" t="s">
        <v>2007</v>
      </c>
      <c r="V74" s="169">
        <v>6.0699999999999997E-2</v>
      </c>
      <c r="W74" s="171">
        <v>6.1519999999999998E-2</v>
      </c>
      <c r="X74" s="4" t="s">
        <v>415</v>
      </c>
      <c r="Y74" s="4" t="s">
        <v>140</v>
      </c>
      <c r="Z74" s="156">
        <v>1147132</v>
      </c>
      <c r="AA74" s="165">
        <v>1</v>
      </c>
      <c r="AB74" s="182">
        <v>101.97</v>
      </c>
      <c r="AD74" s="156">
        <v>1169.731</v>
      </c>
      <c r="AG74" s="2" t="s">
        <v>36</v>
      </c>
      <c r="AH74" s="171">
        <v>5.4539999999999996E-3</v>
      </c>
      <c r="AI74" s="171">
        <v>7.1082677783955396E-3</v>
      </c>
      <c r="AJ74" s="171">
        <v>1.0089699304391699E-3</v>
      </c>
    </row>
    <row r="75" spans="1:36">
      <c r="A75" s="2">
        <v>419</v>
      </c>
      <c r="B75" s="2">
        <v>419</v>
      </c>
      <c r="C75" s="2" t="s">
        <v>2180</v>
      </c>
      <c r="D75" s="2" t="s">
        <v>2181</v>
      </c>
      <c r="E75" s="4" t="s">
        <v>1321</v>
      </c>
      <c r="F75" s="2" t="s">
        <v>2184</v>
      </c>
      <c r="G75" s="2" t="s">
        <v>2185</v>
      </c>
      <c r="H75" s="2" t="s">
        <v>324</v>
      </c>
      <c r="I75" s="2" t="s">
        <v>973</v>
      </c>
      <c r="J75" s="2" t="s">
        <v>30</v>
      </c>
      <c r="K75" s="2" t="s">
        <v>30</v>
      </c>
      <c r="L75" s="2" t="s">
        <v>330</v>
      </c>
      <c r="M75" s="2" t="s">
        <v>49</v>
      </c>
      <c r="N75" s="2" t="s">
        <v>448</v>
      </c>
      <c r="O75" s="2" t="s">
        <v>140</v>
      </c>
      <c r="P75" s="2" t="s">
        <v>1915</v>
      </c>
      <c r="Q75" s="2" t="s">
        <v>416</v>
      </c>
      <c r="R75" s="2" t="s">
        <v>410</v>
      </c>
      <c r="S75" s="2" t="s">
        <v>34</v>
      </c>
      <c r="T75" s="156">
        <v>9.0589999999999993</v>
      </c>
      <c r="U75" s="2" t="s">
        <v>2095</v>
      </c>
      <c r="V75" s="169">
        <v>6.0699999999999997E-2</v>
      </c>
      <c r="W75" s="171">
        <v>6.0609999999999997E-2</v>
      </c>
      <c r="X75" s="4" t="s">
        <v>415</v>
      </c>
      <c r="Y75" s="4" t="s">
        <v>140</v>
      </c>
      <c r="Z75" s="156">
        <v>1139259</v>
      </c>
      <c r="AA75" s="165">
        <v>1</v>
      </c>
      <c r="AB75" s="182">
        <v>102.54</v>
      </c>
      <c r="AD75" s="156">
        <v>1168.1959999999999</v>
      </c>
      <c r="AG75" s="2" t="s">
        <v>36</v>
      </c>
      <c r="AH75" s="171">
        <v>5.4169999999999999E-3</v>
      </c>
      <c r="AI75" s="171">
        <v>7.0989439467874001E-3</v>
      </c>
      <c r="AJ75" s="171">
        <v>1.0076464763963101E-3</v>
      </c>
    </row>
    <row r="76" spans="1:36">
      <c r="A76" s="2">
        <v>419</v>
      </c>
      <c r="B76" s="2">
        <v>419</v>
      </c>
      <c r="C76" s="2" t="s">
        <v>1674</v>
      </c>
      <c r="D76" s="2" t="s">
        <v>1675</v>
      </c>
      <c r="E76" s="4" t="s">
        <v>1321</v>
      </c>
      <c r="F76" s="2" t="s">
        <v>2186</v>
      </c>
      <c r="G76" s="2" t="s">
        <v>2187</v>
      </c>
      <c r="H76" s="2" t="s">
        <v>324</v>
      </c>
      <c r="I76" s="2" t="s">
        <v>973</v>
      </c>
      <c r="J76" s="2" t="s">
        <v>30</v>
      </c>
      <c r="K76" s="2" t="s">
        <v>30</v>
      </c>
      <c r="L76" s="2" t="s">
        <v>330</v>
      </c>
      <c r="M76" s="2" t="s">
        <v>31</v>
      </c>
      <c r="N76" s="2" t="s">
        <v>467</v>
      </c>
      <c r="O76" s="2" t="s">
        <v>140</v>
      </c>
      <c r="P76" s="2" t="s">
        <v>1942</v>
      </c>
      <c r="Q76" s="2" t="s">
        <v>418</v>
      </c>
      <c r="R76" s="2" t="s">
        <v>410</v>
      </c>
      <c r="S76" s="2" t="s">
        <v>34</v>
      </c>
      <c r="T76" s="156">
        <v>4.8710000000000004</v>
      </c>
      <c r="U76" s="2" t="s">
        <v>2188</v>
      </c>
      <c r="V76" s="169">
        <v>5.4800000000000001E-2</v>
      </c>
      <c r="W76" s="171">
        <v>6.2E-2</v>
      </c>
      <c r="X76" s="4" t="s">
        <v>415</v>
      </c>
      <c r="Y76" s="4" t="s">
        <v>140</v>
      </c>
      <c r="Z76" s="156">
        <v>1725000</v>
      </c>
      <c r="AA76" s="165">
        <v>1</v>
      </c>
      <c r="AB76" s="182">
        <v>98.13</v>
      </c>
      <c r="AD76" s="156">
        <v>1692.7429999999999</v>
      </c>
      <c r="AG76" s="2" t="s">
        <v>36</v>
      </c>
      <c r="AH76" s="171">
        <v>5.7499999999999999E-3</v>
      </c>
      <c r="AI76" s="171">
        <v>1.02865292182739E-2</v>
      </c>
      <c r="AJ76" s="171">
        <v>1.4601023756261699E-3</v>
      </c>
    </row>
    <row r="77" spans="1:36">
      <c r="A77" s="2">
        <v>419</v>
      </c>
      <c r="B77" s="2">
        <v>419</v>
      </c>
      <c r="C77" s="2" t="s">
        <v>2189</v>
      </c>
      <c r="D77" s="2" t="s">
        <v>2190</v>
      </c>
      <c r="E77" s="4" t="s">
        <v>1321</v>
      </c>
      <c r="F77" s="2" t="s">
        <v>2191</v>
      </c>
      <c r="G77" s="2" t="s">
        <v>2192</v>
      </c>
      <c r="H77" s="2" t="s">
        <v>324</v>
      </c>
      <c r="I77" s="2" t="s">
        <v>760</v>
      </c>
      <c r="J77" s="2" t="s">
        <v>30</v>
      </c>
      <c r="K77" s="2" t="s">
        <v>30</v>
      </c>
      <c r="L77" s="2" t="s">
        <v>330</v>
      </c>
      <c r="M77" s="2" t="s">
        <v>31</v>
      </c>
      <c r="N77" s="2" t="s">
        <v>467</v>
      </c>
      <c r="O77" s="2" t="s">
        <v>140</v>
      </c>
      <c r="P77" s="2" t="s">
        <v>1927</v>
      </c>
      <c r="Q77" s="2" t="s">
        <v>416</v>
      </c>
      <c r="R77" s="2" t="s">
        <v>410</v>
      </c>
      <c r="S77" s="2" t="s">
        <v>34</v>
      </c>
      <c r="T77" s="156">
        <v>2.2000000000000002</v>
      </c>
      <c r="U77" s="2" t="s">
        <v>2133</v>
      </c>
      <c r="V77" s="169">
        <v>3.0000000000000001E-3</v>
      </c>
      <c r="W77" s="171">
        <v>3.1710000000000002E-2</v>
      </c>
      <c r="X77" s="4" t="s">
        <v>415</v>
      </c>
      <c r="Y77" s="4" t="s">
        <v>140</v>
      </c>
      <c r="Z77" s="156">
        <v>1321000</v>
      </c>
      <c r="AA77" s="165">
        <v>1</v>
      </c>
      <c r="AB77" s="182">
        <v>97.34</v>
      </c>
      <c r="AD77" s="156">
        <v>1285.8610000000001</v>
      </c>
      <c r="AG77" s="2" t="s">
        <v>36</v>
      </c>
      <c r="AH77" s="171">
        <v>4.0010000000000002E-3</v>
      </c>
      <c r="AI77" s="171">
        <v>7.8139769408226804E-3</v>
      </c>
      <c r="AJ77" s="171">
        <v>1.1091405130230899E-3</v>
      </c>
    </row>
    <row r="78" spans="1:36">
      <c r="A78" s="2">
        <v>419</v>
      </c>
      <c r="B78" s="2">
        <v>419</v>
      </c>
      <c r="C78" s="2" t="s">
        <v>2193</v>
      </c>
      <c r="D78" s="2" t="s">
        <v>2194</v>
      </c>
      <c r="E78" s="4" t="s">
        <v>1321</v>
      </c>
      <c r="F78" s="2" t="s">
        <v>2195</v>
      </c>
      <c r="G78" s="2" t="s">
        <v>2196</v>
      </c>
      <c r="H78" s="2" t="s">
        <v>324</v>
      </c>
      <c r="I78" s="2" t="s">
        <v>760</v>
      </c>
      <c r="J78" s="2" t="s">
        <v>30</v>
      </c>
      <c r="K78" s="2" t="s">
        <v>30</v>
      </c>
      <c r="L78" s="2" t="s">
        <v>330</v>
      </c>
      <c r="M78" s="2" t="s">
        <v>31</v>
      </c>
      <c r="N78" s="2" t="s">
        <v>451</v>
      </c>
      <c r="O78" s="2" t="s">
        <v>140</v>
      </c>
      <c r="P78" s="2" t="s">
        <v>1185</v>
      </c>
      <c r="Q78" s="2" t="s">
        <v>416</v>
      </c>
      <c r="R78" s="2" t="s">
        <v>410</v>
      </c>
      <c r="S78" s="2" t="s">
        <v>34</v>
      </c>
      <c r="T78" s="156">
        <v>4.0069999999999997</v>
      </c>
      <c r="U78" s="2" t="s">
        <v>2197</v>
      </c>
      <c r="V78" s="169">
        <v>1E-3</v>
      </c>
      <c r="W78" s="171">
        <v>2.5020000000000001E-2</v>
      </c>
      <c r="X78" s="4" t="s">
        <v>415</v>
      </c>
      <c r="Y78" s="4" t="s">
        <v>140</v>
      </c>
      <c r="Z78" s="156">
        <v>1500000</v>
      </c>
      <c r="AA78" s="165">
        <v>1</v>
      </c>
      <c r="AB78" s="182">
        <v>102.41</v>
      </c>
      <c r="AD78" s="156">
        <v>1536.15</v>
      </c>
      <c r="AG78" s="2" t="s">
        <v>36</v>
      </c>
      <c r="AH78" s="171">
        <v>4.44E-4</v>
      </c>
      <c r="AI78" s="171">
        <v>9.3349412912190708E-3</v>
      </c>
      <c r="AJ78" s="171">
        <v>1.32503098629481E-3</v>
      </c>
    </row>
    <row r="79" spans="1:36">
      <c r="A79" s="2">
        <v>419</v>
      </c>
      <c r="B79" s="2">
        <v>419</v>
      </c>
      <c r="C79" s="2" t="s">
        <v>2193</v>
      </c>
      <c r="D79" s="2" t="s">
        <v>2194</v>
      </c>
      <c r="E79" s="4" t="s">
        <v>1321</v>
      </c>
      <c r="F79" s="2" t="s">
        <v>2198</v>
      </c>
      <c r="G79" s="2" t="s">
        <v>2199</v>
      </c>
      <c r="H79" s="2" t="s">
        <v>324</v>
      </c>
      <c r="I79" s="2" t="s">
        <v>760</v>
      </c>
      <c r="J79" s="2" t="s">
        <v>30</v>
      </c>
      <c r="K79" s="2" t="s">
        <v>30</v>
      </c>
      <c r="L79" s="2" t="s">
        <v>330</v>
      </c>
      <c r="M79" s="2" t="s">
        <v>31</v>
      </c>
      <c r="N79" s="2" t="s">
        <v>451</v>
      </c>
      <c r="O79" s="2" t="s">
        <v>140</v>
      </c>
      <c r="P79" s="2" t="s">
        <v>1185</v>
      </c>
      <c r="Q79" s="2" t="s">
        <v>418</v>
      </c>
      <c r="R79" s="2" t="s">
        <v>410</v>
      </c>
      <c r="S79" s="2" t="s">
        <v>34</v>
      </c>
      <c r="T79" s="156">
        <v>2.16</v>
      </c>
      <c r="U79" s="2" t="s">
        <v>2200</v>
      </c>
      <c r="V79" s="169">
        <v>5.0000000000000001E-3</v>
      </c>
      <c r="W79" s="171">
        <v>2.1420000000000002E-2</v>
      </c>
      <c r="X79" s="4" t="s">
        <v>415</v>
      </c>
      <c r="Y79" s="4" t="s">
        <v>140</v>
      </c>
      <c r="Z79" s="156">
        <v>4000000.01</v>
      </c>
      <c r="AA79" s="165">
        <v>1</v>
      </c>
      <c r="AB79" s="182">
        <v>110.72</v>
      </c>
      <c r="AD79" s="156">
        <v>4428.8</v>
      </c>
      <c r="AG79" s="2" t="s">
        <v>36</v>
      </c>
      <c r="AH79" s="171">
        <v>5.241E-3</v>
      </c>
      <c r="AI79" s="171">
        <v>2.6913119222671901E-2</v>
      </c>
      <c r="AJ79" s="171">
        <v>3.8201329601752401E-3</v>
      </c>
    </row>
    <row r="80" spans="1:36">
      <c r="A80" s="2">
        <v>419</v>
      </c>
      <c r="B80" s="2">
        <v>419</v>
      </c>
      <c r="C80" s="2" t="s">
        <v>2193</v>
      </c>
      <c r="D80" s="2" t="s">
        <v>2194</v>
      </c>
      <c r="E80" s="4" t="s">
        <v>1321</v>
      </c>
      <c r="F80" s="2" t="s">
        <v>2201</v>
      </c>
      <c r="G80" s="2" t="s">
        <v>2202</v>
      </c>
      <c r="H80" s="2" t="s">
        <v>324</v>
      </c>
      <c r="I80" s="2" t="s">
        <v>760</v>
      </c>
      <c r="J80" s="2" t="s">
        <v>30</v>
      </c>
      <c r="K80" s="2" t="s">
        <v>30</v>
      </c>
      <c r="L80" s="2" t="s">
        <v>330</v>
      </c>
      <c r="M80" s="2" t="s">
        <v>31</v>
      </c>
      <c r="N80" s="2" t="s">
        <v>451</v>
      </c>
      <c r="O80" s="2" t="s">
        <v>140</v>
      </c>
      <c r="P80" s="2" t="s">
        <v>1185</v>
      </c>
      <c r="Q80" s="2" t="s">
        <v>418</v>
      </c>
      <c r="R80" s="2" t="s">
        <v>410</v>
      </c>
      <c r="S80" s="2" t="s">
        <v>34</v>
      </c>
      <c r="T80" s="156">
        <v>0.375</v>
      </c>
      <c r="U80" s="2" t="s">
        <v>2203</v>
      </c>
      <c r="V80" s="169">
        <v>9.4999999999999998E-3</v>
      </c>
      <c r="W80" s="171">
        <v>2.657E-2</v>
      </c>
      <c r="X80" s="4" t="s">
        <v>415</v>
      </c>
      <c r="Y80" s="4" t="s">
        <v>140</v>
      </c>
      <c r="Z80" s="156">
        <v>584475.09</v>
      </c>
      <c r="AA80" s="165">
        <v>1</v>
      </c>
      <c r="AB80" s="182">
        <v>116.08</v>
      </c>
      <c r="AD80" s="156">
        <v>678.45899999999995</v>
      </c>
      <c r="AG80" s="2" t="s">
        <v>36</v>
      </c>
      <c r="AH80" s="171">
        <v>3.637E-3</v>
      </c>
      <c r="AI80" s="171">
        <v>4.1228864291012199E-3</v>
      </c>
      <c r="AJ80" s="171">
        <v>5.8521549317853896E-4</v>
      </c>
    </row>
    <row r="81" spans="1:36">
      <c r="A81" s="2">
        <v>419</v>
      </c>
      <c r="B81" s="2">
        <v>419</v>
      </c>
      <c r="C81" s="2" t="s">
        <v>2193</v>
      </c>
      <c r="D81" s="2" t="s">
        <v>2194</v>
      </c>
      <c r="E81" s="4" t="s">
        <v>1321</v>
      </c>
      <c r="F81" s="2" t="s">
        <v>2204</v>
      </c>
      <c r="G81" s="2" t="s">
        <v>2205</v>
      </c>
      <c r="H81" s="2" t="s">
        <v>324</v>
      </c>
      <c r="I81" s="2" t="s">
        <v>760</v>
      </c>
      <c r="J81" s="2" t="s">
        <v>30</v>
      </c>
      <c r="K81" s="2" t="s">
        <v>30</v>
      </c>
      <c r="L81" s="2" t="s">
        <v>330</v>
      </c>
      <c r="M81" s="2" t="s">
        <v>31</v>
      </c>
      <c r="N81" s="2" t="s">
        <v>451</v>
      </c>
      <c r="O81" s="2" t="s">
        <v>140</v>
      </c>
      <c r="P81" s="2" t="s">
        <v>1921</v>
      </c>
      <c r="Q81" s="2" t="s">
        <v>416</v>
      </c>
      <c r="R81" s="2" t="s">
        <v>410</v>
      </c>
      <c r="S81" s="2" t="s">
        <v>34</v>
      </c>
      <c r="T81" s="156">
        <v>4.4210000000000003</v>
      </c>
      <c r="U81" s="2" t="s">
        <v>2206</v>
      </c>
      <c r="V81" s="169">
        <v>3.3599999999999998E-2</v>
      </c>
      <c r="W81" s="171">
        <v>3.0880000000000001E-2</v>
      </c>
      <c r="X81" s="4" t="s">
        <v>415</v>
      </c>
      <c r="Y81" s="4" t="s">
        <v>140</v>
      </c>
      <c r="Z81" s="156">
        <v>1700000</v>
      </c>
      <c r="AA81" s="165">
        <v>1</v>
      </c>
      <c r="AB81" s="182">
        <v>105.66</v>
      </c>
      <c r="AD81" s="156">
        <v>1796.22</v>
      </c>
      <c r="AG81" s="2" t="s">
        <v>36</v>
      </c>
      <c r="AH81" s="171">
        <v>1.456E-3</v>
      </c>
      <c r="AI81" s="171">
        <v>1.0915345666838199E-2</v>
      </c>
      <c r="AJ81" s="171">
        <v>1.5493585640741199E-3</v>
      </c>
    </row>
    <row r="82" spans="1:36">
      <c r="A82" s="2">
        <v>419</v>
      </c>
      <c r="B82" s="2">
        <v>419</v>
      </c>
      <c r="C82" s="2" t="s">
        <v>2193</v>
      </c>
      <c r="D82" s="2" t="s">
        <v>2194</v>
      </c>
      <c r="E82" s="4" t="s">
        <v>1321</v>
      </c>
      <c r="F82" s="2" t="s">
        <v>2207</v>
      </c>
      <c r="G82" s="2" t="s">
        <v>2208</v>
      </c>
      <c r="H82" s="2" t="s">
        <v>324</v>
      </c>
      <c r="I82" s="2" t="s">
        <v>760</v>
      </c>
      <c r="J82" s="2" t="s">
        <v>30</v>
      </c>
      <c r="K82" s="2" t="s">
        <v>30</v>
      </c>
      <c r="L82" s="2" t="s">
        <v>330</v>
      </c>
      <c r="M82" s="2" t="s">
        <v>31</v>
      </c>
      <c r="N82" s="2" t="s">
        <v>451</v>
      </c>
      <c r="O82" s="2" t="s">
        <v>140</v>
      </c>
      <c r="P82" s="2" t="s">
        <v>1185</v>
      </c>
      <c r="Q82" s="2" t="s">
        <v>416</v>
      </c>
      <c r="R82" s="2" t="s">
        <v>410</v>
      </c>
      <c r="S82" s="2" t="s">
        <v>34</v>
      </c>
      <c r="T82" s="156">
        <v>1.681</v>
      </c>
      <c r="U82" s="2" t="s">
        <v>2209</v>
      </c>
      <c r="V82" s="169">
        <v>3.8E-3</v>
      </c>
      <c r="W82" s="171">
        <v>2.1440000000000001E-2</v>
      </c>
      <c r="X82" s="4" t="s">
        <v>415</v>
      </c>
      <c r="Y82" s="4" t="s">
        <v>140</v>
      </c>
      <c r="Z82" s="156">
        <v>1000000</v>
      </c>
      <c r="AA82" s="165">
        <v>1</v>
      </c>
      <c r="AB82" s="182">
        <v>110.39</v>
      </c>
      <c r="AD82" s="156">
        <v>1103.9000000000001</v>
      </c>
      <c r="AG82" s="2" t="s">
        <v>36</v>
      </c>
      <c r="AH82" s="171">
        <v>3.3300000000000002E-4</v>
      </c>
      <c r="AI82" s="171">
        <v>6.70822620927431E-3</v>
      </c>
      <c r="AJ82" s="171">
        <v>9.5218676937202696E-4</v>
      </c>
    </row>
    <row r="83" spans="1:36">
      <c r="A83" s="2">
        <v>419</v>
      </c>
      <c r="B83" s="2">
        <v>419</v>
      </c>
      <c r="C83" s="2" t="s">
        <v>2193</v>
      </c>
      <c r="D83" s="2" t="s">
        <v>2194</v>
      </c>
      <c r="E83" s="4" t="s">
        <v>1321</v>
      </c>
      <c r="F83" s="2" t="s">
        <v>2210</v>
      </c>
      <c r="G83" s="2" t="s">
        <v>2211</v>
      </c>
      <c r="H83" s="2" t="s">
        <v>324</v>
      </c>
      <c r="I83" s="2" t="s">
        <v>760</v>
      </c>
      <c r="J83" s="2" t="s">
        <v>30</v>
      </c>
      <c r="K83" s="2" t="s">
        <v>30</v>
      </c>
      <c r="L83" s="2" t="s">
        <v>330</v>
      </c>
      <c r="M83" s="2" t="s">
        <v>31</v>
      </c>
      <c r="N83" s="2" t="s">
        <v>451</v>
      </c>
      <c r="O83" s="2" t="s">
        <v>140</v>
      </c>
      <c r="P83" s="2" t="s">
        <v>1185</v>
      </c>
      <c r="Q83" s="2" t="s">
        <v>416</v>
      </c>
      <c r="R83" s="2" t="s">
        <v>410</v>
      </c>
      <c r="S83" s="2" t="s">
        <v>34</v>
      </c>
      <c r="T83" s="156">
        <v>5.5650000000000004</v>
      </c>
      <c r="U83" s="2" t="s">
        <v>2212</v>
      </c>
      <c r="V83" s="169">
        <v>2.2013000000000001E-2</v>
      </c>
      <c r="W83" s="171">
        <v>2.4819999999999998E-2</v>
      </c>
      <c r="X83" s="4" t="s">
        <v>415</v>
      </c>
      <c r="Y83" s="4" t="s">
        <v>140</v>
      </c>
      <c r="Z83" s="156">
        <v>380000</v>
      </c>
      <c r="AA83" s="165">
        <v>1</v>
      </c>
      <c r="AB83" s="182">
        <v>117</v>
      </c>
      <c r="AD83" s="156">
        <v>444.6</v>
      </c>
      <c r="AG83" s="2" t="s">
        <v>36</v>
      </c>
      <c r="AH83" s="171">
        <v>5.4100000000000003E-4</v>
      </c>
      <c r="AI83" s="171">
        <v>2.7017640842860401E-3</v>
      </c>
      <c r="AJ83" s="171">
        <v>3.8349690883486098E-4</v>
      </c>
    </row>
    <row r="84" spans="1:36">
      <c r="A84" s="2">
        <v>419</v>
      </c>
      <c r="B84" s="2">
        <v>419</v>
      </c>
      <c r="C84" s="2" t="s">
        <v>2213</v>
      </c>
      <c r="D84" s="2" t="s">
        <v>2214</v>
      </c>
      <c r="E84" s="4" t="s">
        <v>1321</v>
      </c>
      <c r="F84" s="2" t="s">
        <v>2215</v>
      </c>
      <c r="G84" s="2" t="s">
        <v>2216</v>
      </c>
      <c r="H84" s="2" t="s">
        <v>324</v>
      </c>
      <c r="I84" s="2" t="s">
        <v>760</v>
      </c>
      <c r="J84" s="2" t="s">
        <v>30</v>
      </c>
      <c r="K84" s="2" t="s">
        <v>30</v>
      </c>
      <c r="L84" s="2" t="s">
        <v>330</v>
      </c>
      <c r="M84" s="2" t="s">
        <v>31</v>
      </c>
      <c r="N84" s="2" t="s">
        <v>468</v>
      </c>
      <c r="O84" s="2" t="s">
        <v>140</v>
      </c>
      <c r="P84" s="2" t="s">
        <v>2217</v>
      </c>
      <c r="Q84" s="2" t="s">
        <v>416</v>
      </c>
      <c r="R84" s="2" t="s">
        <v>410</v>
      </c>
      <c r="S84" s="2" t="s">
        <v>34</v>
      </c>
      <c r="T84" s="156">
        <v>1.3029999999999999</v>
      </c>
      <c r="U84" s="2" t="s">
        <v>96</v>
      </c>
      <c r="V84" s="169">
        <v>0.03</v>
      </c>
      <c r="W84" s="171">
        <v>3.7900000000000003E-2</v>
      </c>
      <c r="X84" s="4" t="s">
        <v>415</v>
      </c>
      <c r="Y84" s="4" t="s">
        <v>140</v>
      </c>
      <c r="Z84" s="156">
        <v>478444.99</v>
      </c>
      <c r="AA84" s="165">
        <v>1</v>
      </c>
      <c r="AB84" s="182">
        <v>115.72</v>
      </c>
      <c r="AD84" s="156">
        <v>553.65700000000004</v>
      </c>
      <c r="AG84" s="2" t="s">
        <v>36</v>
      </c>
      <c r="AH84" s="171">
        <v>5.868E-3</v>
      </c>
      <c r="AI84" s="171">
        <v>3.3644834938415598E-3</v>
      </c>
      <c r="AJ84" s="171">
        <v>4.7756539041235999E-4</v>
      </c>
    </row>
    <row r="85" spans="1:36">
      <c r="A85" s="2">
        <v>419</v>
      </c>
      <c r="B85" s="2">
        <v>419</v>
      </c>
      <c r="C85" s="2" t="s">
        <v>1693</v>
      </c>
      <c r="D85" s="2" t="s">
        <v>1694</v>
      </c>
      <c r="E85" s="4" t="s">
        <v>1321</v>
      </c>
      <c r="F85" s="2" t="s">
        <v>2218</v>
      </c>
      <c r="G85" s="2" t="s">
        <v>2219</v>
      </c>
      <c r="H85" s="2" t="s">
        <v>324</v>
      </c>
      <c r="I85" s="2" t="s">
        <v>760</v>
      </c>
      <c r="J85" s="2" t="s">
        <v>30</v>
      </c>
      <c r="K85" s="2" t="s">
        <v>30</v>
      </c>
      <c r="L85" s="2" t="s">
        <v>330</v>
      </c>
      <c r="M85" s="2" t="s">
        <v>31</v>
      </c>
      <c r="N85" s="2" t="s">
        <v>467</v>
      </c>
      <c r="O85" s="2" t="s">
        <v>140</v>
      </c>
      <c r="P85" s="2" t="s">
        <v>1956</v>
      </c>
      <c r="Q85" s="2" t="s">
        <v>416</v>
      </c>
      <c r="R85" s="2" t="s">
        <v>410</v>
      </c>
      <c r="S85" s="2" t="s">
        <v>34</v>
      </c>
      <c r="T85" s="156">
        <v>5.92</v>
      </c>
      <c r="U85" s="2" t="s">
        <v>2220</v>
      </c>
      <c r="V85" s="169">
        <v>3.61E-2</v>
      </c>
      <c r="W85" s="171">
        <v>3.4549999999999997E-2</v>
      </c>
      <c r="X85" s="4" t="s">
        <v>415</v>
      </c>
      <c r="Y85" s="4" t="s">
        <v>140</v>
      </c>
      <c r="Z85" s="156">
        <v>1187878.8</v>
      </c>
      <c r="AA85" s="165">
        <v>1</v>
      </c>
      <c r="AB85" s="182">
        <v>107.95</v>
      </c>
      <c r="AD85" s="156">
        <v>1282.3150000000001</v>
      </c>
      <c r="AG85" s="2" t="s">
        <v>36</v>
      </c>
      <c r="AH85" s="171">
        <v>1.1119999999999999E-3</v>
      </c>
      <c r="AI85" s="171">
        <v>7.7924270275564998E-3</v>
      </c>
      <c r="AJ85" s="171">
        <v>1.10608165041873E-3</v>
      </c>
    </row>
    <row r="86" spans="1:36">
      <c r="A86" s="2">
        <v>419</v>
      </c>
      <c r="B86" s="2">
        <v>419</v>
      </c>
      <c r="C86" s="2" t="s">
        <v>2221</v>
      </c>
      <c r="D86" s="2" t="s">
        <v>2222</v>
      </c>
      <c r="E86" s="4" t="s">
        <v>1321</v>
      </c>
      <c r="F86" s="2" t="s">
        <v>2223</v>
      </c>
      <c r="G86" s="2" t="s">
        <v>2224</v>
      </c>
      <c r="H86" s="2" t="s">
        <v>324</v>
      </c>
      <c r="I86" s="2" t="s">
        <v>973</v>
      </c>
      <c r="J86" s="2" t="s">
        <v>30</v>
      </c>
      <c r="K86" s="2" t="s">
        <v>30</v>
      </c>
      <c r="L86" s="2" t="s">
        <v>330</v>
      </c>
      <c r="M86" s="2" t="s">
        <v>31</v>
      </c>
      <c r="N86" s="2" t="s">
        <v>481</v>
      </c>
      <c r="O86" s="2" t="s">
        <v>140</v>
      </c>
      <c r="P86" s="2" t="s">
        <v>1915</v>
      </c>
      <c r="Q86" s="2" t="s">
        <v>416</v>
      </c>
      <c r="R86" s="2" t="s">
        <v>410</v>
      </c>
      <c r="S86" s="2" t="s">
        <v>34</v>
      </c>
      <c r="T86" s="156">
        <v>1.587</v>
      </c>
      <c r="U86" s="2" t="s">
        <v>1943</v>
      </c>
      <c r="V86" s="169">
        <v>2.3900000000000001E-2</v>
      </c>
      <c r="W86" s="171">
        <v>5.6009999999999997E-2</v>
      </c>
      <c r="X86" s="4" t="s">
        <v>415</v>
      </c>
      <c r="Y86" s="4" t="s">
        <v>140</v>
      </c>
      <c r="Z86" s="156">
        <v>346183.67999999999</v>
      </c>
      <c r="AA86" s="165">
        <v>1</v>
      </c>
      <c r="AB86" s="182">
        <v>94.18</v>
      </c>
      <c r="AD86" s="156">
        <v>326.036</v>
      </c>
      <c r="AG86" s="2" t="s">
        <v>36</v>
      </c>
      <c r="AH86" s="171">
        <v>2.0690000000000001E-3</v>
      </c>
      <c r="AI86" s="171">
        <v>1.98126807723418E-3</v>
      </c>
      <c r="AJ86" s="171">
        <v>2.81227434923609E-4</v>
      </c>
    </row>
    <row r="87" spans="1:36">
      <c r="A87" s="2">
        <v>419</v>
      </c>
      <c r="B87" s="2">
        <v>419</v>
      </c>
      <c r="C87" s="2" t="s">
        <v>1701</v>
      </c>
      <c r="D87" s="2" t="s">
        <v>1702</v>
      </c>
      <c r="E87" s="4" t="s">
        <v>1321</v>
      </c>
      <c r="F87" s="2" t="s">
        <v>2228</v>
      </c>
      <c r="G87" s="2" t="s">
        <v>2229</v>
      </c>
      <c r="H87" s="2" t="s">
        <v>324</v>
      </c>
      <c r="I87" s="2" t="s">
        <v>973</v>
      </c>
      <c r="J87" s="2" t="s">
        <v>30</v>
      </c>
      <c r="K87" s="2" t="s">
        <v>30</v>
      </c>
      <c r="L87" s="2" t="s">
        <v>330</v>
      </c>
      <c r="M87" s="2" t="s">
        <v>31</v>
      </c>
      <c r="N87" s="2" t="s">
        <v>446</v>
      </c>
      <c r="O87" s="2" t="s">
        <v>140</v>
      </c>
      <c r="P87" s="2" t="s">
        <v>1927</v>
      </c>
      <c r="Q87" s="2" t="s">
        <v>418</v>
      </c>
      <c r="R87" s="2" t="s">
        <v>410</v>
      </c>
      <c r="S87" s="2" t="s">
        <v>34</v>
      </c>
      <c r="T87" s="156">
        <v>1.448</v>
      </c>
      <c r="U87" s="2" t="s">
        <v>2227</v>
      </c>
      <c r="V87" s="169">
        <v>0.114</v>
      </c>
      <c r="W87" s="171">
        <v>6.5989999999999993E-2</v>
      </c>
      <c r="X87" s="4" t="s">
        <v>415</v>
      </c>
      <c r="Y87" s="4" t="s">
        <v>140</v>
      </c>
      <c r="Z87" s="156">
        <v>2264600</v>
      </c>
      <c r="AA87" s="165">
        <v>1</v>
      </c>
      <c r="AB87" s="182">
        <v>100.59</v>
      </c>
      <c r="AD87" s="156">
        <v>2277.9609999999998</v>
      </c>
      <c r="AG87" s="2" t="s">
        <v>36</v>
      </c>
      <c r="AH87" s="171">
        <v>6.2769999999999996E-3</v>
      </c>
      <c r="AI87" s="171">
        <v>1.38428106015548E-2</v>
      </c>
      <c r="AJ87" s="171">
        <v>1.96489216292383E-3</v>
      </c>
    </row>
    <row r="88" spans="1:36">
      <c r="A88" s="2">
        <v>419</v>
      </c>
      <c r="B88" s="2">
        <v>419</v>
      </c>
      <c r="C88" s="2" t="s">
        <v>1701</v>
      </c>
      <c r="D88" s="2" t="s">
        <v>1702</v>
      </c>
      <c r="E88" s="4" t="s">
        <v>1321</v>
      </c>
      <c r="F88" s="2" t="s">
        <v>2230</v>
      </c>
      <c r="G88" s="2" t="s">
        <v>2231</v>
      </c>
      <c r="H88" s="2" t="s">
        <v>324</v>
      </c>
      <c r="I88" s="2" t="s">
        <v>973</v>
      </c>
      <c r="J88" s="2" t="s">
        <v>30</v>
      </c>
      <c r="K88" s="2" t="s">
        <v>30</v>
      </c>
      <c r="L88" s="2" t="s">
        <v>330</v>
      </c>
      <c r="M88" s="2" t="s">
        <v>31</v>
      </c>
      <c r="N88" s="2" t="s">
        <v>446</v>
      </c>
      <c r="O88" s="2" t="s">
        <v>140</v>
      </c>
      <c r="P88" s="2" t="s">
        <v>1927</v>
      </c>
      <c r="Q88" s="2" t="s">
        <v>418</v>
      </c>
      <c r="R88" s="2" t="s">
        <v>410</v>
      </c>
      <c r="S88" s="2" t="s">
        <v>34</v>
      </c>
      <c r="T88" s="156">
        <v>2.266</v>
      </c>
      <c r="U88" s="2" t="s">
        <v>2232</v>
      </c>
      <c r="V88" s="169">
        <v>7.22E-2</v>
      </c>
      <c r="W88" s="171">
        <v>6.855E-2</v>
      </c>
      <c r="X88" s="4" t="s">
        <v>415</v>
      </c>
      <c r="Y88" s="4" t="s">
        <v>140</v>
      </c>
      <c r="Z88" s="156">
        <v>1148000</v>
      </c>
      <c r="AA88" s="165">
        <v>1</v>
      </c>
      <c r="AB88" s="182">
        <v>102.41</v>
      </c>
      <c r="AD88" s="156">
        <v>1175.6669999999999</v>
      </c>
      <c r="AG88" s="2" t="s">
        <v>36</v>
      </c>
      <c r="AH88" s="171">
        <v>5.4359999999999999E-3</v>
      </c>
      <c r="AI88" s="171">
        <v>7.14434173487966E-3</v>
      </c>
      <c r="AJ88" s="171">
        <v>1.01409038151096E-3</v>
      </c>
    </row>
    <row r="89" spans="1:36">
      <c r="A89" s="2">
        <v>419</v>
      </c>
      <c r="B89" s="2">
        <v>419</v>
      </c>
      <c r="C89" s="2" t="s">
        <v>2233</v>
      </c>
      <c r="D89" s="2" t="s">
        <v>2234</v>
      </c>
      <c r="E89" s="4" t="s">
        <v>1321</v>
      </c>
      <c r="F89" s="2" t="s">
        <v>2235</v>
      </c>
      <c r="G89" s="2" t="s">
        <v>2236</v>
      </c>
      <c r="H89" s="2" t="s">
        <v>324</v>
      </c>
      <c r="I89" s="2" t="s">
        <v>760</v>
      </c>
      <c r="J89" s="2" t="s">
        <v>30</v>
      </c>
      <c r="K89" s="2" t="s">
        <v>30</v>
      </c>
      <c r="L89" s="2" t="s">
        <v>330</v>
      </c>
      <c r="M89" s="2" t="s">
        <v>31</v>
      </c>
      <c r="N89" s="2" t="s">
        <v>450</v>
      </c>
      <c r="O89" s="2" t="s">
        <v>140</v>
      </c>
      <c r="P89" s="2" t="s">
        <v>2217</v>
      </c>
      <c r="Q89" s="2" t="s">
        <v>418</v>
      </c>
      <c r="R89" s="2" t="s">
        <v>410</v>
      </c>
      <c r="S89" s="2" t="s">
        <v>34</v>
      </c>
      <c r="T89" s="156">
        <v>3.5590000000000002</v>
      </c>
      <c r="U89" s="2" t="s">
        <v>2237</v>
      </c>
      <c r="V89" s="169">
        <v>2.07E-2</v>
      </c>
      <c r="W89" s="171">
        <v>4.965E-2</v>
      </c>
      <c r="X89" s="4" t="s">
        <v>415</v>
      </c>
      <c r="Y89" s="4" t="s">
        <v>140</v>
      </c>
      <c r="Z89" s="156">
        <v>2789945.1</v>
      </c>
      <c r="AA89" s="165">
        <v>1</v>
      </c>
      <c r="AB89" s="182">
        <v>101.96</v>
      </c>
      <c r="AD89" s="156">
        <v>2844.6280000000002</v>
      </c>
      <c r="AG89" s="2" t="s">
        <v>36</v>
      </c>
      <c r="AH89" s="171">
        <v>5.8500000000000002E-3</v>
      </c>
      <c r="AI89" s="171">
        <v>1.72863558890884E-2</v>
      </c>
      <c r="AJ89" s="171">
        <v>2.45367983349905E-3</v>
      </c>
    </row>
    <row r="90" spans="1:36">
      <c r="A90" s="2">
        <v>419</v>
      </c>
      <c r="B90" s="2">
        <v>419</v>
      </c>
      <c r="C90" s="2" t="s">
        <v>2238</v>
      </c>
      <c r="D90" s="2" t="s">
        <v>2239</v>
      </c>
      <c r="E90" s="4" t="s">
        <v>1321</v>
      </c>
      <c r="F90" s="2" t="s">
        <v>2240</v>
      </c>
      <c r="G90" s="2" t="s">
        <v>2241</v>
      </c>
      <c r="H90" s="2" t="s">
        <v>324</v>
      </c>
      <c r="I90" s="2" t="s">
        <v>760</v>
      </c>
      <c r="J90" s="2" t="s">
        <v>30</v>
      </c>
      <c r="K90" s="2" t="s">
        <v>30</v>
      </c>
      <c r="L90" s="2" t="s">
        <v>330</v>
      </c>
      <c r="M90" s="2" t="s">
        <v>31</v>
      </c>
      <c r="N90" s="2" t="s">
        <v>481</v>
      </c>
      <c r="O90" s="2" t="s">
        <v>140</v>
      </c>
      <c r="P90" s="2" t="s">
        <v>1185</v>
      </c>
      <c r="Q90" s="2" t="s">
        <v>416</v>
      </c>
      <c r="R90" s="2" t="s">
        <v>410</v>
      </c>
      <c r="S90" s="2" t="s">
        <v>34</v>
      </c>
      <c r="T90" s="156">
        <v>11.45</v>
      </c>
      <c r="U90" s="2" t="s">
        <v>2242</v>
      </c>
      <c r="V90" s="169">
        <v>2.07E-2</v>
      </c>
      <c r="W90" s="171">
        <v>3.286E-2</v>
      </c>
      <c r="X90" s="4" t="s">
        <v>415</v>
      </c>
      <c r="Y90" s="4" t="s">
        <v>140</v>
      </c>
      <c r="Z90" s="156">
        <v>1561523.35</v>
      </c>
      <c r="AA90" s="165">
        <v>1</v>
      </c>
      <c r="AB90" s="182">
        <v>99.37</v>
      </c>
      <c r="AD90" s="156">
        <v>1551.6859999999999</v>
      </c>
      <c r="AG90" s="2" t="s">
        <v>36</v>
      </c>
      <c r="AH90" s="171">
        <v>3.4299999999999999E-4</v>
      </c>
      <c r="AI90" s="171">
        <v>9.4293496114935902E-3</v>
      </c>
      <c r="AJ90" s="171">
        <v>1.3384316008059501E-3</v>
      </c>
    </row>
    <row r="91" spans="1:36">
      <c r="A91" s="2">
        <v>419</v>
      </c>
      <c r="B91" s="2">
        <v>419</v>
      </c>
      <c r="C91" s="2" t="s">
        <v>2243</v>
      </c>
      <c r="D91" s="2" t="s">
        <v>2244</v>
      </c>
      <c r="E91" s="4" t="s">
        <v>1321</v>
      </c>
      <c r="F91" s="2" t="s">
        <v>2245</v>
      </c>
      <c r="G91" s="2" t="s">
        <v>2246</v>
      </c>
      <c r="H91" s="2" t="s">
        <v>324</v>
      </c>
      <c r="I91" s="2" t="s">
        <v>760</v>
      </c>
      <c r="J91" s="2" t="s">
        <v>30</v>
      </c>
      <c r="K91" s="2" t="s">
        <v>30</v>
      </c>
      <c r="L91" s="2" t="s">
        <v>330</v>
      </c>
      <c r="M91" s="2" t="s">
        <v>31</v>
      </c>
      <c r="N91" s="2" t="s">
        <v>451</v>
      </c>
      <c r="O91" s="2" t="s">
        <v>140</v>
      </c>
      <c r="P91" s="2" t="s">
        <v>1185</v>
      </c>
      <c r="Q91" s="2" t="s">
        <v>416</v>
      </c>
      <c r="R91" s="2" t="s">
        <v>410</v>
      </c>
      <c r="S91" s="2" t="s">
        <v>34</v>
      </c>
      <c r="T91" s="156">
        <v>2.5339999999999998</v>
      </c>
      <c r="U91" s="2" t="s">
        <v>2247</v>
      </c>
      <c r="V91" s="169">
        <v>1.4999999999999999E-2</v>
      </c>
      <c r="W91" s="171">
        <v>2.2360000000000001E-2</v>
      </c>
      <c r="X91" s="4" t="s">
        <v>415</v>
      </c>
      <c r="Y91" s="4" t="s">
        <v>140</v>
      </c>
      <c r="Z91" s="156">
        <v>1375527.94</v>
      </c>
      <c r="AA91" s="165">
        <v>1</v>
      </c>
      <c r="AB91" s="182">
        <v>114.19</v>
      </c>
      <c r="AD91" s="156">
        <v>1570.7149999999999</v>
      </c>
      <c r="AG91" s="2" t="s">
        <v>36</v>
      </c>
      <c r="AH91" s="171">
        <v>4.9280000000000001E-3</v>
      </c>
      <c r="AI91" s="171">
        <v>9.5449895005111102E-3</v>
      </c>
      <c r="AJ91" s="171">
        <v>1.3548458910965699E-3</v>
      </c>
    </row>
    <row r="92" spans="1:36">
      <c r="A92" s="2">
        <v>419</v>
      </c>
      <c r="B92" s="2">
        <v>419</v>
      </c>
      <c r="C92" s="2" t="s">
        <v>2248</v>
      </c>
      <c r="D92" s="2" t="s">
        <v>2249</v>
      </c>
      <c r="E92" s="4" t="s">
        <v>314</v>
      </c>
      <c r="F92" s="2" t="s">
        <v>2250</v>
      </c>
      <c r="G92" s="2" t="s">
        <v>2251</v>
      </c>
      <c r="H92" s="2" t="s">
        <v>324</v>
      </c>
      <c r="I92" s="2" t="s">
        <v>973</v>
      </c>
      <c r="J92" s="2" t="s">
        <v>30</v>
      </c>
      <c r="K92" s="2" t="s">
        <v>30</v>
      </c>
      <c r="L92" s="2" t="s">
        <v>330</v>
      </c>
      <c r="M92" s="2" t="s">
        <v>49</v>
      </c>
      <c r="N92" s="2" t="s">
        <v>457</v>
      </c>
      <c r="O92" s="2" t="s">
        <v>140</v>
      </c>
      <c r="P92" s="2" t="s">
        <v>1927</v>
      </c>
      <c r="Q92" s="2" t="s">
        <v>416</v>
      </c>
      <c r="R92" s="2" t="s">
        <v>410</v>
      </c>
      <c r="S92" s="2" t="s">
        <v>34</v>
      </c>
      <c r="T92" s="156">
        <v>3.4260000000000002</v>
      </c>
      <c r="U92" s="2" t="s">
        <v>2252</v>
      </c>
      <c r="V92" s="169">
        <v>6.7000000000000004E-2</v>
      </c>
      <c r="W92" s="171">
        <v>6.5699999999999995E-2</v>
      </c>
      <c r="X92" s="4" t="s">
        <v>415</v>
      </c>
      <c r="Y92" s="4" t="s">
        <v>140</v>
      </c>
      <c r="Z92" s="156">
        <v>546000</v>
      </c>
      <c r="AA92" s="165">
        <v>1</v>
      </c>
      <c r="AB92" s="182">
        <v>100.86</v>
      </c>
      <c r="AD92" s="156">
        <v>550.69600000000003</v>
      </c>
      <c r="AG92" s="2" t="s">
        <v>36</v>
      </c>
      <c r="AH92" s="171">
        <v>5.9999999999999995E-4</v>
      </c>
      <c r="AI92" s="171">
        <v>3.3464903136625102E-3</v>
      </c>
      <c r="AJ92" s="171">
        <v>4.7501138171155902E-4</v>
      </c>
    </row>
    <row r="93" spans="1:36">
      <c r="A93" s="2">
        <v>419</v>
      </c>
      <c r="B93" s="2">
        <v>419</v>
      </c>
      <c r="C93" s="2" t="s">
        <v>2253</v>
      </c>
      <c r="D93" s="2" t="s">
        <v>2254</v>
      </c>
      <c r="E93" s="4" t="s">
        <v>1321</v>
      </c>
      <c r="F93" s="2" t="s">
        <v>2255</v>
      </c>
      <c r="G93" s="2" t="s">
        <v>2256</v>
      </c>
      <c r="H93" s="2" t="s">
        <v>324</v>
      </c>
      <c r="I93" s="2" t="s">
        <v>760</v>
      </c>
      <c r="J93" s="2" t="s">
        <v>30</v>
      </c>
      <c r="K93" s="2" t="s">
        <v>30</v>
      </c>
      <c r="L93" s="2" t="s">
        <v>330</v>
      </c>
      <c r="M93" s="2" t="s">
        <v>31</v>
      </c>
      <c r="N93" s="2" t="s">
        <v>444</v>
      </c>
      <c r="O93" s="2" t="s">
        <v>140</v>
      </c>
      <c r="P93" s="2" t="s">
        <v>1927</v>
      </c>
      <c r="Q93" s="2" t="s">
        <v>418</v>
      </c>
      <c r="R93" s="2" t="s">
        <v>410</v>
      </c>
      <c r="S93" s="2" t="s">
        <v>34</v>
      </c>
      <c r="T93" s="156">
        <v>2.3929999999999998</v>
      </c>
      <c r="U93" s="2" t="s">
        <v>2081</v>
      </c>
      <c r="V93" s="169">
        <v>1.4800000000000001E-2</v>
      </c>
      <c r="W93" s="171">
        <v>3.1379999999999998E-2</v>
      </c>
      <c r="X93" s="4" t="s">
        <v>415</v>
      </c>
      <c r="Y93" s="4" t="s">
        <v>140</v>
      </c>
      <c r="Z93" s="156">
        <v>935999.93</v>
      </c>
      <c r="AA93" s="165">
        <v>1</v>
      </c>
      <c r="AB93" s="182">
        <v>109.1</v>
      </c>
      <c r="AD93" s="156">
        <v>1021.176</v>
      </c>
      <c r="AG93" s="2" t="s">
        <v>36</v>
      </c>
      <c r="AH93" s="171">
        <v>1.2409999999999999E-3</v>
      </c>
      <c r="AI93" s="171">
        <v>6.20552504318749E-3</v>
      </c>
      <c r="AJ93" s="171">
        <v>8.8083178157599901E-4</v>
      </c>
    </row>
    <row r="94" spans="1:36">
      <c r="A94" s="2">
        <v>419</v>
      </c>
      <c r="B94" s="2">
        <v>419</v>
      </c>
      <c r="C94" s="2" t="s">
        <v>2253</v>
      </c>
      <c r="D94" s="2" t="s">
        <v>2254</v>
      </c>
      <c r="E94" s="4" t="s">
        <v>1321</v>
      </c>
      <c r="F94" s="2" t="s">
        <v>2257</v>
      </c>
      <c r="G94" s="2" t="s">
        <v>2258</v>
      </c>
      <c r="H94" s="2" t="s">
        <v>324</v>
      </c>
      <c r="I94" s="2" t="s">
        <v>973</v>
      </c>
      <c r="J94" s="2" t="s">
        <v>30</v>
      </c>
      <c r="K94" s="2" t="s">
        <v>30</v>
      </c>
      <c r="L94" s="2" t="s">
        <v>330</v>
      </c>
      <c r="M94" s="2" t="s">
        <v>31</v>
      </c>
      <c r="N94" s="2" t="s">
        <v>444</v>
      </c>
      <c r="O94" s="2" t="s">
        <v>140</v>
      </c>
      <c r="P94" s="2" t="s">
        <v>1927</v>
      </c>
      <c r="Q94" s="2" t="s">
        <v>418</v>
      </c>
      <c r="R94" s="2" t="s">
        <v>410</v>
      </c>
      <c r="S94" s="2" t="s">
        <v>34</v>
      </c>
      <c r="T94" s="156">
        <v>3.61</v>
      </c>
      <c r="U94" s="2" t="s">
        <v>2259</v>
      </c>
      <c r="V94" s="169">
        <v>6.9500000000000006E-2</v>
      </c>
      <c r="W94" s="171">
        <v>6.3530000000000003E-2</v>
      </c>
      <c r="X94" s="4" t="s">
        <v>415</v>
      </c>
      <c r="Y94" s="4" t="s">
        <v>140</v>
      </c>
      <c r="Z94" s="156">
        <v>1600000</v>
      </c>
      <c r="AA94" s="165">
        <v>1</v>
      </c>
      <c r="AB94" s="182">
        <v>104.23</v>
      </c>
      <c r="AD94" s="156">
        <v>1667.68</v>
      </c>
      <c r="AG94" s="2" t="s">
        <v>36</v>
      </c>
      <c r="AH94" s="171">
        <v>2.8630000000000001E-3</v>
      </c>
      <c r="AI94" s="171">
        <v>1.01342283582594E-2</v>
      </c>
      <c r="AJ94" s="171">
        <v>1.43848431157382E-3</v>
      </c>
    </row>
    <row r="95" spans="1:36">
      <c r="A95" s="2">
        <v>419</v>
      </c>
      <c r="B95" s="2">
        <v>419</v>
      </c>
      <c r="C95" s="2" t="s">
        <v>2260</v>
      </c>
      <c r="D95" s="2" t="s">
        <v>2261</v>
      </c>
      <c r="E95" s="4" t="s">
        <v>1321</v>
      </c>
      <c r="F95" s="2" t="s">
        <v>2262</v>
      </c>
      <c r="G95" s="2" t="s">
        <v>2263</v>
      </c>
      <c r="H95" s="2" t="s">
        <v>324</v>
      </c>
      <c r="I95" s="2" t="s">
        <v>760</v>
      </c>
      <c r="J95" s="2" t="s">
        <v>30</v>
      </c>
      <c r="K95" s="2" t="s">
        <v>30</v>
      </c>
      <c r="L95" s="2" t="s">
        <v>330</v>
      </c>
      <c r="M95" s="2" t="s">
        <v>31</v>
      </c>
      <c r="N95" s="2" t="s">
        <v>467</v>
      </c>
      <c r="O95" s="2" t="s">
        <v>140</v>
      </c>
      <c r="P95" s="2" t="s">
        <v>1185</v>
      </c>
      <c r="Q95" s="2" t="s">
        <v>416</v>
      </c>
      <c r="R95" s="2" t="s">
        <v>410</v>
      </c>
      <c r="S95" s="2" t="s">
        <v>34</v>
      </c>
      <c r="T95" s="156">
        <v>4.99</v>
      </c>
      <c r="U95" s="2" t="s">
        <v>2092</v>
      </c>
      <c r="V95" s="169">
        <v>1.6500000000000001E-2</v>
      </c>
      <c r="W95" s="171">
        <v>2.7019999999999999E-2</v>
      </c>
      <c r="X95" s="4" t="s">
        <v>415</v>
      </c>
      <c r="Y95" s="4" t="s">
        <v>140</v>
      </c>
      <c r="Z95" s="156">
        <v>985026</v>
      </c>
      <c r="AA95" s="165">
        <v>1</v>
      </c>
      <c r="AB95" s="182">
        <v>111.02</v>
      </c>
      <c r="AD95" s="156">
        <v>1093.576</v>
      </c>
      <c r="AG95" s="2" t="s">
        <v>36</v>
      </c>
      <c r="AH95" s="171">
        <v>4.66E-4</v>
      </c>
      <c r="AI95" s="171">
        <v>6.64548807026404E-3</v>
      </c>
      <c r="AJ95" s="171">
        <v>9.432815201993E-4</v>
      </c>
    </row>
    <row r="96" spans="1:36">
      <c r="A96" s="2">
        <v>419</v>
      </c>
      <c r="B96" s="2">
        <v>419</v>
      </c>
      <c r="C96" s="2" t="s">
        <v>2260</v>
      </c>
      <c r="D96" s="2" t="s">
        <v>2261</v>
      </c>
      <c r="E96" s="4" t="s">
        <v>1321</v>
      </c>
      <c r="F96" s="2" t="s">
        <v>2264</v>
      </c>
      <c r="G96" s="2" t="s">
        <v>2265</v>
      </c>
      <c r="H96" s="2" t="s">
        <v>324</v>
      </c>
      <c r="I96" s="2" t="s">
        <v>760</v>
      </c>
      <c r="J96" s="2" t="s">
        <v>30</v>
      </c>
      <c r="K96" s="2" t="s">
        <v>30</v>
      </c>
      <c r="L96" s="2" t="s">
        <v>330</v>
      </c>
      <c r="M96" s="2" t="s">
        <v>31</v>
      </c>
      <c r="N96" s="2" t="s">
        <v>467</v>
      </c>
      <c r="O96" s="2" t="s">
        <v>140</v>
      </c>
      <c r="P96" s="2" t="s">
        <v>1185</v>
      </c>
      <c r="Q96" s="2" t="s">
        <v>416</v>
      </c>
      <c r="R96" s="2" t="s">
        <v>410</v>
      </c>
      <c r="S96" s="2" t="s">
        <v>34</v>
      </c>
      <c r="T96" s="156">
        <v>1.3540000000000001</v>
      </c>
      <c r="U96" s="2" t="s">
        <v>2133</v>
      </c>
      <c r="V96" s="169">
        <v>8.3000000000000001E-3</v>
      </c>
      <c r="W96" s="171">
        <v>2.188E-2</v>
      </c>
      <c r="X96" s="4" t="s">
        <v>415</v>
      </c>
      <c r="Y96" s="4" t="s">
        <v>140</v>
      </c>
      <c r="Z96" s="156">
        <v>1695699.98</v>
      </c>
      <c r="AA96" s="165">
        <v>1</v>
      </c>
      <c r="AB96" s="182">
        <v>114.36</v>
      </c>
      <c r="AD96" s="156">
        <v>1939.202</v>
      </c>
      <c r="AG96" s="2" t="s">
        <v>36</v>
      </c>
      <c r="AH96" s="171">
        <v>1.4289999999999999E-3</v>
      </c>
      <c r="AI96" s="171">
        <v>1.17842277528075E-2</v>
      </c>
      <c r="AJ96" s="171">
        <v>1.6726904256712399E-3</v>
      </c>
    </row>
    <row r="97" spans="1:36">
      <c r="A97" s="2">
        <v>419</v>
      </c>
      <c r="B97" s="2">
        <v>419</v>
      </c>
      <c r="C97" s="2" t="s">
        <v>2266</v>
      </c>
      <c r="D97" s="2" t="s">
        <v>2267</v>
      </c>
      <c r="E97" s="4" t="s">
        <v>315</v>
      </c>
      <c r="F97" s="2" t="s">
        <v>2268</v>
      </c>
      <c r="G97" s="2" t="s">
        <v>2269</v>
      </c>
      <c r="H97" s="2" t="s">
        <v>324</v>
      </c>
      <c r="I97" s="2" t="s">
        <v>973</v>
      </c>
      <c r="J97" s="2" t="s">
        <v>30</v>
      </c>
      <c r="K97" s="2" t="s">
        <v>30</v>
      </c>
      <c r="L97" s="2" t="s">
        <v>330</v>
      </c>
      <c r="M97" s="2" t="s">
        <v>49</v>
      </c>
      <c r="N97" s="2" t="s">
        <v>468</v>
      </c>
      <c r="O97" s="2" t="s">
        <v>140</v>
      </c>
      <c r="P97" s="2" t="s">
        <v>1956</v>
      </c>
      <c r="Q97" s="2" t="s">
        <v>416</v>
      </c>
      <c r="R97" s="2" t="s">
        <v>410</v>
      </c>
      <c r="S97" s="2" t="s">
        <v>34</v>
      </c>
      <c r="T97" s="156">
        <v>3.927</v>
      </c>
      <c r="U97" s="2" t="s">
        <v>2270</v>
      </c>
      <c r="V97" s="169">
        <v>6.25E-2</v>
      </c>
      <c r="W97" s="171">
        <v>6.166E-2</v>
      </c>
      <c r="X97" s="4" t="s">
        <v>415</v>
      </c>
      <c r="Y97" s="4" t="s">
        <v>140</v>
      </c>
      <c r="Z97" s="156">
        <v>1203271</v>
      </c>
      <c r="AA97" s="165">
        <v>1</v>
      </c>
      <c r="AB97" s="182">
        <v>103.18</v>
      </c>
      <c r="AD97" s="156">
        <v>1241.5350000000001</v>
      </c>
      <c r="AG97" s="2" t="s">
        <v>36</v>
      </c>
      <c r="AH97" s="171">
        <v>2.1879999999999998E-3</v>
      </c>
      <c r="AI97" s="171">
        <v>7.5446125066924597E-3</v>
      </c>
      <c r="AJ97" s="171">
        <v>1.07090607633049E-3</v>
      </c>
    </row>
    <row r="98" spans="1:36">
      <c r="A98" s="2">
        <v>419</v>
      </c>
      <c r="B98" s="2">
        <v>419</v>
      </c>
      <c r="C98" s="2" t="s">
        <v>2271</v>
      </c>
      <c r="D98" s="2" t="s">
        <v>2272</v>
      </c>
      <c r="E98" s="4" t="s">
        <v>1321</v>
      </c>
      <c r="F98" s="2" t="s">
        <v>2273</v>
      </c>
      <c r="G98" s="2" t="s">
        <v>2274</v>
      </c>
      <c r="H98" s="2" t="s">
        <v>324</v>
      </c>
      <c r="I98" s="2" t="s">
        <v>973</v>
      </c>
      <c r="J98" s="2" t="s">
        <v>30</v>
      </c>
      <c r="K98" s="2" t="s">
        <v>30</v>
      </c>
      <c r="L98" s="2" t="s">
        <v>330</v>
      </c>
      <c r="M98" s="2" t="s">
        <v>31</v>
      </c>
      <c r="N98" s="2" t="s">
        <v>457</v>
      </c>
      <c r="O98" s="2" t="s">
        <v>140</v>
      </c>
      <c r="P98" s="2" t="s">
        <v>1956</v>
      </c>
      <c r="Q98" s="2" t="s">
        <v>416</v>
      </c>
      <c r="R98" s="2" t="s">
        <v>410</v>
      </c>
      <c r="S98" s="2" t="s">
        <v>34</v>
      </c>
      <c r="T98" s="156">
        <v>0.27700000000000002</v>
      </c>
      <c r="U98" s="2" t="s">
        <v>2275</v>
      </c>
      <c r="V98" s="169">
        <v>2.3599999999999999E-2</v>
      </c>
      <c r="W98" s="171">
        <v>4.7370000000000002E-2</v>
      </c>
      <c r="X98" s="4" t="s">
        <v>415</v>
      </c>
      <c r="Y98" s="4" t="s">
        <v>140</v>
      </c>
      <c r="Z98" s="156">
        <v>52854.96</v>
      </c>
      <c r="AA98" s="165">
        <v>1</v>
      </c>
      <c r="AB98" s="182">
        <v>99.69</v>
      </c>
      <c r="AD98" s="156">
        <v>52.691000000000003</v>
      </c>
      <c r="AG98" s="2" t="s">
        <v>36</v>
      </c>
      <c r="AH98" s="171">
        <v>1.678E-3</v>
      </c>
      <c r="AI98" s="171">
        <v>3.2019556352519499E-4</v>
      </c>
      <c r="AJ98" s="171">
        <v>4.5449567395148001E-5</v>
      </c>
    </row>
    <row r="99" spans="1:36">
      <c r="A99" s="2">
        <v>419</v>
      </c>
      <c r="B99" s="2">
        <v>419</v>
      </c>
      <c r="C99" s="2" t="s">
        <v>2276</v>
      </c>
      <c r="D99" s="2" t="s">
        <v>2277</v>
      </c>
      <c r="E99" s="4" t="s">
        <v>315</v>
      </c>
      <c r="F99" s="2" t="s">
        <v>2278</v>
      </c>
      <c r="G99" s="2" t="s">
        <v>2279</v>
      </c>
      <c r="H99" s="2" t="s">
        <v>324</v>
      </c>
      <c r="I99" s="2" t="s">
        <v>973</v>
      </c>
      <c r="J99" s="2" t="s">
        <v>30</v>
      </c>
      <c r="K99" s="2" t="s">
        <v>228</v>
      </c>
      <c r="L99" s="2" t="s">
        <v>330</v>
      </c>
      <c r="M99" s="2" t="s">
        <v>31</v>
      </c>
      <c r="N99" s="2" t="s">
        <v>468</v>
      </c>
      <c r="O99" s="2" t="s">
        <v>140</v>
      </c>
      <c r="P99" s="2" t="s">
        <v>1956</v>
      </c>
      <c r="Q99" s="2" t="s">
        <v>416</v>
      </c>
      <c r="R99" s="2" t="s">
        <v>410</v>
      </c>
      <c r="S99" s="2" t="s">
        <v>34</v>
      </c>
      <c r="T99" s="156">
        <v>0.249</v>
      </c>
      <c r="U99" s="2" t="s">
        <v>2280</v>
      </c>
      <c r="V99" s="169">
        <v>3.3799999999999997E-2</v>
      </c>
      <c r="W99" s="171">
        <v>5.9299999999999999E-2</v>
      </c>
      <c r="X99" s="4" t="s">
        <v>415</v>
      </c>
      <c r="Y99" s="4" t="s">
        <v>140</v>
      </c>
      <c r="Z99" s="156">
        <v>365000.02</v>
      </c>
      <c r="AA99" s="165">
        <v>1</v>
      </c>
      <c r="AB99" s="182">
        <v>100.24</v>
      </c>
      <c r="AD99" s="156">
        <v>365.87599999999998</v>
      </c>
      <c r="AG99" s="2" t="s">
        <v>36</v>
      </c>
      <c r="AH99" s="171">
        <v>1.784E-3</v>
      </c>
      <c r="AI99" s="171">
        <v>2.2233708732955601E-3</v>
      </c>
      <c r="AJ99" s="171">
        <v>3.1559226879264402E-4</v>
      </c>
    </row>
    <row r="100" spans="1:36">
      <c r="A100" s="2">
        <v>419</v>
      </c>
      <c r="B100" s="2">
        <v>419</v>
      </c>
      <c r="C100" s="2" t="s">
        <v>2276</v>
      </c>
      <c r="D100" s="2" t="s">
        <v>2277</v>
      </c>
      <c r="E100" s="4" t="s">
        <v>315</v>
      </c>
      <c r="F100" s="2" t="s">
        <v>2281</v>
      </c>
      <c r="G100" s="2" t="s">
        <v>2282</v>
      </c>
      <c r="H100" s="2" t="s">
        <v>324</v>
      </c>
      <c r="I100" s="2" t="s">
        <v>973</v>
      </c>
      <c r="J100" s="2" t="s">
        <v>30</v>
      </c>
      <c r="K100" s="2" t="s">
        <v>228</v>
      </c>
      <c r="L100" s="2" t="s">
        <v>330</v>
      </c>
      <c r="M100" s="2" t="s">
        <v>31</v>
      </c>
      <c r="N100" s="2" t="s">
        <v>468</v>
      </c>
      <c r="O100" s="2" t="s">
        <v>140</v>
      </c>
      <c r="P100" s="2" t="s">
        <v>1956</v>
      </c>
      <c r="Q100" s="2" t="s">
        <v>416</v>
      </c>
      <c r="R100" s="2" t="s">
        <v>410</v>
      </c>
      <c r="S100" s="2" t="s">
        <v>34</v>
      </c>
      <c r="T100" s="156">
        <v>2.1349999999999998</v>
      </c>
      <c r="U100" s="2" t="s">
        <v>2081</v>
      </c>
      <c r="V100" s="169">
        <v>3.49E-2</v>
      </c>
      <c r="W100" s="171">
        <v>6.4509999999999998E-2</v>
      </c>
      <c r="X100" s="4" t="s">
        <v>415</v>
      </c>
      <c r="Y100" s="4" t="s">
        <v>140</v>
      </c>
      <c r="Z100" s="156">
        <v>1408858</v>
      </c>
      <c r="AA100" s="165">
        <v>1</v>
      </c>
      <c r="AB100" s="182">
        <v>95.01</v>
      </c>
      <c r="AD100" s="156">
        <v>1338.556</v>
      </c>
      <c r="AG100" s="2" t="s">
        <v>36</v>
      </c>
      <c r="AH100" s="171">
        <v>1.49E-3</v>
      </c>
      <c r="AI100" s="171">
        <v>8.1341936285212208E-3</v>
      </c>
      <c r="AJ100" s="171">
        <v>1.1545930788499799E-3</v>
      </c>
    </row>
    <row r="101" spans="1:36">
      <c r="A101" s="2">
        <v>419</v>
      </c>
      <c r="B101" s="2">
        <v>419</v>
      </c>
      <c r="C101" s="2" t="s">
        <v>2276</v>
      </c>
      <c r="D101" s="2" t="s">
        <v>2277</v>
      </c>
      <c r="E101" s="4" t="s">
        <v>315</v>
      </c>
      <c r="F101" s="2" t="s">
        <v>2283</v>
      </c>
      <c r="G101" s="2" t="s">
        <v>2284</v>
      </c>
      <c r="H101" s="2" t="s">
        <v>324</v>
      </c>
      <c r="I101" s="2" t="s">
        <v>973</v>
      </c>
      <c r="J101" s="2" t="s">
        <v>30</v>
      </c>
      <c r="K101" s="2" t="s">
        <v>228</v>
      </c>
      <c r="L101" s="2" t="s">
        <v>330</v>
      </c>
      <c r="M101" s="2" t="s">
        <v>49</v>
      </c>
      <c r="N101" s="2" t="s">
        <v>468</v>
      </c>
      <c r="O101" s="2" t="s">
        <v>140</v>
      </c>
      <c r="P101" s="2" t="s">
        <v>1956</v>
      </c>
      <c r="Q101" s="2" t="s">
        <v>416</v>
      </c>
      <c r="R101" s="2" t="s">
        <v>410</v>
      </c>
      <c r="S101" s="2" t="s">
        <v>34</v>
      </c>
      <c r="T101" s="156">
        <v>4.4989999999999997</v>
      </c>
      <c r="U101" s="2" t="s">
        <v>2285</v>
      </c>
      <c r="V101" s="169">
        <v>6.7400000000000002E-2</v>
      </c>
      <c r="W101" s="171">
        <v>6.7140000000000005E-2</v>
      </c>
      <c r="X101" s="4" t="s">
        <v>415</v>
      </c>
      <c r="Y101" s="4" t="s">
        <v>140</v>
      </c>
      <c r="Z101" s="156">
        <v>1621000</v>
      </c>
      <c r="AA101" s="165">
        <v>1</v>
      </c>
      <c r="AB101" s="182">
        <v>100.67</v>
      </c>
      <c r="AD101" s="156">
        <v>1631.8610000000001</v>
      </c>
      <c r="AG101" s="2" t="s">
        <v>36</v>
      </c>
      <c r="AH101" s="171">
        <v>5.6880000000000003E-3</v>
      </c>
      <c r="AI101" s="171">
        <v>9.9165601210478502E-3</v>
      </c>
      <c r="AJ101" s="171">
        <v>1.4075877959943599E-3</v>
      </c>
    </row>
    <row r="102" spans="1:36">
      <c r="A102" s="2">
        <v>419</v>
      </c>
      <c r="B102" s="2">
        <v>419</v>
      </c>
      <c r="C102" s="2" t="s">
        <v>1717</v>
      </c>
      <c r="D102" s="2" t="s">
        <v>1718</v>
      </c>
      <c r="E102" s="4" t="s">
        <v>1321</v>
      </c>
      <c r="F102" s="2" t="s">
        <v>2286</v>
      </c>
      <c r="G102" s="2" t="s">
        <v>2287</v>
      </c>
      <c r="H102" s="2" t="s">
        <v>324</v>
      </c>
      <c r="I102" s="2" t="s">
        <v>973</v>
      </c>
      <c r="J102" s="2" t="s">
        <v>30</v>
      </c>
      <c r="K102" s="2" t="s">
        <v>30</v>
      </c>
      <c r="L102" s="2" t="s">
        <v>330</v>
      </c>
      <c r="M102" s="2" t="s">
        <v>31</v>
      </c>
      <c r="N102" s="2" t="s">
        <v>488</v>
      </c>
      <c r="O102" s="2" t="s">
        <v>140</v>
      </c>
      <c r="P102" s="2" t="s">
        <v>1915</v>
      </c>
      <c r="Q102" s="2" t="s">
        <v>416</v>
      </c>
      <c r="R102" s="2" t="s">
        <v>410</v>
      </c>
      <c r="S102" s="2" t="s">
        <v>34</v>
      </c>
      <c r="T102" s="156">
        <v>2.6779999999999999</v>
      </c>
      <c r="U102" s="2" t="s">
        <v>2288</v>
      </c>
      <c r="V102" s="169">
        <v>4.7300000000000002E-2</v>
      </c>
      <c r="W102" s="171">
        <v>5.6509999999999998E-2</v>
      </c>
      <c r="X102" s="4" t="s">
        <v>415</v>
      </c>
      <c r="Y102" s="4" t="s">
        <v>140</v>
      </c>
      <c r="Z102" s="156">
        <v>1800000</v>
      </c>
      <c r="AA102" s="165">
        <v>1</v>
      </c>
      <c r="AB102" s="182">
        <v>98.44</v>
      </c>
      <c r="AD102" s="156">
        <v>1771.92</v>
      </c>
      <c r="AG102" s="2" t="s">
        <v>36</v>
      </c>
      <c r="AH102" s="171">
        <v>4.5580000000000004E-3</v>
      </c>
      <c r="AI102" s="171">
        <v>1.07676783990736E-2</v>
      </c>
      <c r="AJ102" s="171">
        <v>1.52839820670865E-3</v>
      </c>
    </row>
    <row r="103" spans="1:36">
      <c r="A103" s="2">
        <v>419</v>
      </c>
      <c r="B103" s="2">
        <v>419</v>
      </c>
      <c r="C103" s="2" t="s">
        <v>1721</v>
      </c>
      <c r="D103" s="2" t="s">
        <v>1722</v>
      </c>
      <c r="E103" s="4" t="s">
        <v>1321</v>
      </c>
      <c r="F103" s="2" t="s">
        <v>2289</v>
      </c>
      <c r="G103" s="2" t="s">
        <v>2290</v>
      </c>
      <c r="H103" s="2" t="s">
        <v>324</v>
      </c>
      <c r="I103" s="2" t="s">
        <v>760</v>
      </c>
      <c r="J103" s="2" t="s">
        <v>30</v>
      </c>
      <c r="K103" s="2" t="s">
        <v>30</v>
      </c>
      <c r="L103" s="2" t="s">
        <v>330</v>
      </c>
      <c r="M103" s="2" t="s">
        <v>31</v>
      </c>
      <c r="N103" s="2" t="s">
        <v>467</v>
      </c>
      <c r="O103" s="2" t="s">
        <v>140</v>
      </c>
      <c r="P103" s="2" t="s">
        <v>2116</v>
      </c>
      <c r="Q103" s="2" t="s">
        <v>418</v>
      </c>
      <c r="R103" s="2" t="s">
        <v>410</v>
      </c>
      <c r="S103" s="2" t="s">
        <v>34</v>
      </c>
      <c r="T103" s="156">
        <v>2.456</v>
      </c>
      <c r="U103" s="2" t="s">
        <v>2111</v>
      </c>
      <c r="V103" s="169">
        <v>1.77E-2</v>
      </c>
      <c r="W103" s="171">
        <v>2.7099999999999999E-2</v>
      </c>
      <c r="X103" s="4" t="s">
        <v>415</v>
      </c>
      <c r="Y103" s="4" t="s">
        <v>140</v>
      </c>
      <c r="Z103" s="156">
        <v>155200</v>
      </c>
      <c r="AA103" s="165">
        <v>1</v>
      </c>
      <c r="AB103" s="182">
        <v>113.19</v>
      </c>
      <c r="AD103" s="156">
        <v>175.67099999999999</v>
      </c>
      <c r="AG103" s="2" t="s">
        <v>36</v>
      </c>
      <c r="AH103" s="171">
        <v>6.0000000000000002E-5</v>
      </c>
      <c r="AI103" s="171">
        <v>1.0675242335558301E-3</v>
      </c>
      <c r="AJ103" s="171">
        <v>1.51527754053756E-4</v>
      </c>
    </row>
    <row r="104" spans="1:36">
      <c r="A104" s="2">
        <v>419</v>
      </c>
      <c r="B104" s="2">
        <v>419</v>
      </c>
      <c r="C104" s="2" t="s">
        <v>1721</v>
      </c>
      <c r="D104" s="2" t="s">
        <v>1722</v>
      </c>
      <c r="E104" s="4" t="s">
        <v>1321</v>
      </c>
      <c r="F104" s="2" t="s">
        <v>2291</v>
      </c>
      <c r="G104" s="2" t="s">
        <v>2292</v>
      </c>
      <c r="H104" s="2" t="s">
        <v>324</v>
      </c>
      <c r="I104" s="2" t="s">
        <v>760</v>
      </c>
      <c r="J104" s="2" t="s">
        <v>30</v>
      </c>
      <c r="K104" s="2" t="s">
        <v>30</v>
      </c>
      <c r="L104" s="2" t="s">
        <v>330</v>
      </c>
      <c r="M104" s="2" t="s">
        <v>31</v>
      </c>
      <c r="N104" s="2" t="s">
        <v>467</v>
      </c>
      <c r="O104" s="2" t="s">
        <v>140</v>
      </c>
      <c r="P104" s="2" t="s">
        <v>2116</v>
      </c>
      <c r="Q104" s="2" t="s">
        <v>416</v>
      </c>
      <c r="R104" s="2" t="s">
        <v>410</v>
      </c>
      <c r="S104" s="2" t="s">
        <v>34</v>
      </c>
      <c r="T104" s="156">
        <v>6.7329999999999997</v>
      </c>
      <c r="U104" s="2" t="s">
        <v>2293</v>
      </c>
      <c r="V104" s="169">
        <v>8.9999999999999993E-3</v>
      </c>
      <c r="W104" s="171">
        <v>3.3419999999999998E-2</v>
      </c>
      <c r="X104" s="4" t="s">
        <v>415</v>
      </c>
      <c r="Y104" s="4" t="s">
        <v>140</v>
      </c>
      <c r="Z104" s="156">
        <v>2300000</v>
      </c>
      <c r="AA104" s="165">
        <v>1</v>
      </c>
      <c r="AB104" s="182">
        <v>96.33</v>
      </c>
      <c r="AD104" s="156">
        <v>2215.59</v>
      </c>
      <c r="AG104" s="2" t="s">
        <v>36</v>
      </c>
      <c r="AH104" s="171">
        <v>8.3600000000000005E-4</v>
      </c>
      <c r="AI104" s="171">
        <v>1.3463791020025401E-2</v>
      </c>
      <c r="AJ104" s="171">
        <v>1.91109292902706E-3</v>
      </c>
    </row>
    <row r="105" spans="1:36">
      <c r="A105" s="2">
        <v>419</v>
      </c>
      <c r="B105" s="2">
        <v>419</v>
      </c>
      <c r="C105" s="2" t="s">
        <v>1721</v>
      </c>
      <c r="D105" s="2" t="s">
        <v>1722</v>
      </c>
      <c r="E105" s="4" t="s">
        <v>1321</v>
      </c>
      <c r="F105" s="2" t="s">
        <v>2294</v>
      </c>
      <c r="G105" s="2" t="s">
        <v>2295</v>
      </c>
      <c r="H105" s="2" t="s">
        <v>324</v>
      </c>
      <c r="I105" s="2" t="s">
        <v>760</v>
      </c>
      <c r="J105" s="2" t="s">
        <v>30</v>
      </c>
      <c r="K105" s="2" t="s">
        <v>30</v>
      </c>
      <c r="L105" s="2" t="s">
        <v>330</v>
      </c>
      <c r="M105" s="2" t="s">
        <v>31</v>
      </c>
      <c r="N105" s="2" t="s">
        <v>467</v>
      </c>
      <c r="O105" s="2" t="s">
        <v>140</v>
      </c>
      <c r="P105" s="2" t="s">
        <v>2116</v>
      </c>
      <c r="Q105" s="2" t="s">
        <v>416</v>
      </c>
      <c r="R105" s="2" t="s">
        <v>410</v>
      </c>
      <c r="S105" s="2" t="s">
        <v>34</v>
      </c>
      <c r="T105" s="156">
        <v>0.45800000000000002</v>
      </c>
      <c r="U105" s="2" t="s">
        <v>2296</v>
      </c>
      <c r="V105" s="169">
        <v>6.4999999999999997E-3</v>
      </c>
      <c r="W105" s="171">
        <v>2.793E-2</v>
      </c>
      <c r="X105" s="4" t="s">
        <v>415</v>
      </c>
      <c r="Y105" s="4" t="s">
        <v>140</v>
      </c>
      <c r="Z105" s="156">
        <v>1050792.55</v>
      </c>
      <c r="AA105" s="165">
        <v>1</v>
      </c>
      <c r="AB105" s="182">
        <v>114.12</v>
      </c>
      <c r="AC105" s="156">
        <v>3.9380000000000002</v>
      </c>
      <c r="AD105" s="156">
        <v>1203.1030000000001</v>
      </c>
      <c r="AG105" s="2" t="s">
        <v>36</v>
      </c>
      <c r="AH105" s="171">
        <v>1.9250000000000001E-3</v>
      </c>
      <c r="AI105" s="171">
        <v>7.3110662721339401E-3</v>
      </c>
      <c r="AJ105" s="171">
        <v>1.0377557877674899E-3</v>
      </c>
    </row>
    <row r="106" spans="1:36">
      <c r="A106" s="2">
        <v>419</v>
      </c>
      <c r="B106" s="2">
        <v>419</v>
      </c>
      <c r="C106" s="2" t="s">
        <v>1725</v>
      </c>
      <c r="D106" s="2" t="s">
        <v>1726</v>
      </c>
      <c r="E106" s="4" t="s">
        <v>1321</v>
      </c>
      <c r="F106" s="2" t="s">
        <v>2297</v>
      </c>
      <c r="G106" s="2" t="s">
        <v>2298</v>
      </c>
      <c r="H106" s="2" t="s">
        <v>324</v>
      </c>
      <c r="I106" s="2" t="s">
        <v>760</v>
      </c>
      <c r="J106" s="2" t="s">
        <v>30</v>
      </c>
      <c r="K106" s="2" t="s">
        <v>30</v>
      </c>
      <c r="L106" s="2" t="s">
        <v>330</v>
      </c>
      <c r="M106" s="2" t="s">
        <v>31</v>
      </c>
      <c r="N106" s="2" t="s">
        <v>451</v>
      </c>
      <c r="O106" s="2" t="s">
        <v>140</v>
      </c>
      <c r="P106" s="2" t="s">
        <v>1185</v>
      </c>
      <c r="Q106" s="2" t="s">
        <v>416</v>
      </c>
      <c r="R106" s="2" t="s">
        <v>410</v>
      </c>
      <c r="S106" s="2" t="s">
        <v>34</v>
      </c>
      <c r="T106" s="156">
        <v>3.5609999999999999</v>
      </c>
      <c r="U106" s="2" t="s">
        <v>2299</v>
      </c>
      <c r="V106" s="169">
        <v>1E-3</v>
      </c>
      <c r="W106" s="171">
        <v>2.3970000000000002E-2</v>
      </c>
      <c r="X106" s="4" t="s">
        <v>415</v>
      </c>
      <c r="Y106" s="4" t="s">
        <v>140</v>
      </c>
      <c r="Z106" s="156">
        <v>1040000.01</v>
      </c>
      <c r="AA106" s="165">
        <v>1</v>
      </c>
      <c r="AB106" s="182">
        <v>103.73</v>
      </c>
      <c r="AD106" s="156">
        <v>1078.7919999999999</v>
      </c>
      <c r="AG106" s="2" t="s">
        <v>36</v>
      </c>
      <c r="AH106" s="171">
        <v>9.2500000000000004E-4</v>
      </c>
      <c r="AI106" s="171">
        <v>6.5556489159705397E-3</v>
      </c>
      <c r="AJ106" s="171">
        <v>9.3052946750740197E-4</v>
      </c>
    </row>
    <row r="107" spans="1:36">
      <c r="A107" s="2">
        <v>419</v>
      </c>
      <c r="B107" s="2">
        <v>419</v>
      </c>
      <c r="C107" s="2" t="s">
        <v>1725</v>
      </c>
      <c r="D107" s="2" t="s">
        <v>1726</v>
      </c>
      <c r="E107" s="4" t="s">
        <v>1321</v>
      </c>
      <c r="F107" s="2" t="s">
        <v>2300</v>
      </c>
      <c r="G107" s="2" t="s">
        <v>2301</v>
      </c>
      <c r="H107" s="2" t="s">
        <v>324</v>
      </c>
      <c r="I107" s="2" t="s">
        <v>760</v>
      </c>
      <c r="J107" s="2" t="s">
        <v>30</v>
      </c>
      <c r="K107" s="2" t="s">
        <v>30</v>
      </c>
      <c r="L107" s="2" t="s">
        <v>330</v>
      </c>
      <c r="M107" s="2" t="s">
        <v>31</v>
      </c>
      <c r="N107" s="2" t="s">
        <v>451</v>
      </c>
      <c r="O107" s="2" t="s">
        <v>140</v>
      </c>
      <c r="P107" s="2" t="s">
        <v>1185</v>
      </c>
      <c r="Q107" s="2" t="s">
        <v>416</v>
      </c>
      <c r="R107" s="2" t="s">
        <v>410</v>
      </c>
      <c r="S107" s="2" t="s">
        <v>34</v>
      </c>
      <c r="T107" s="156">
        <v>1.905</v>
      </c>
      <c r="U107" s="2" t="s">
        <v>2302</v>
      </c>
      <c r="V107" s="169">
        <v>6.0000000000000001E-3</v>
      </c>
      <c r="W107" s="171">
        <v>2.0719999999999999E-2</v>
      </c>
      <c r="X107" s="4" t="s">
        <v>415</v>
      </c>
      <c r="Y107" s="4" t="s">
        <v>140</v>
      </c>
      <c r="Z107" s="156">
        <v>712200.05</v>
      </c>
      <c r="AA107" s="165">
        <v>1</v>
      </c>
      <c r="AB107" s="182">
        <v>113.24</v>
      </c>
      <c r="AD107" s="156">
        <v>806.495</v>
      </c>
      <c r="AG107" s="2" t="s">
        <v>36</v>
      </c>
      <c r="AH107" s="171">
        <v>8.0099999999999995E-4</v>
      </c>
      <c r="AI107" s="171">
        <v>4.9009449721639604E-3</v>
      </c>
      <c r="AJ107" s="171">
        <v>6.9565557486167497E-4</v>
      </c>
    </row>
    <row r="108" spans="1:36">
      <c r="A108" s="2">
        <v>419</v>
      </c>
      <c r="B108" s="2">
        <v>419</v>
      </c>
      <c r="C108" s="2" t="s">
        <v>1725</v>
      </c>
      <c r="D108" s="2" t="s">
        <v>1726</v>
      </c>
      <c r="E108" s="4" t="s">
        <v>1321</v>
      </c>
      <c r="F108" s="2" t="s">
        <v>2303</v>
      </c>
      <c r="G108" s="2" t="s">
        <v>2304</v>
      </c>
      <c r="H108" s="2" t="s">
        <v>324</v>
      </c>
      <c r="I108" s="2" t="s">
        <v>760</v>
      </c>
      <c r="J108" s="2" t="s">
        <v>30</v>
      </c>
      <c r="K108" s="2" t="s">
        <v>30</v>
      </c>
      <c r="L108" s="2" t="s">
        <v>330</v>
      </c>
      <c r="M108" s="2" t="s">
        <v>31</v>
      </c>
      <c r="N108" s="2" t="s">
        <v>451</v>
      </c>
      <c r="O108" s="2" t="s">
        <v>140</v>
      </c>
      <c r="P108" s="2" t="s">
        <v>1185</v>
      </c>
      <c r="Q108" s="2" t="s">
        <v>416</v>
      </c>
      <c r="R108" s="2" t="s">
        <v>410</v>
      </c>
      <c r="S108" s="2" t="s">
        <v>34</v>
      </c>
      <c r="T108" s="156">
        <v>2.786</v>
      </c>
      <c r="U108" s="2" t="s">
        <v>2305</v>
      </c>
      <c r="V108" s="169">
        <v>1.7500000000000002E-2</v>
      </c>
      <c r="W108" s="171">
        <v>2.3460000000000002E-2</v>
      </c>
      <c r="X108" s="4" t="s">
        <v>415</v>
      </c>
      <c r="Y108" s="4" t="s">
        <v>140</v>
      </c>
      <c r="Z108" s="156">
        <v>3015705.47</v>
      </c>
      <c r="AA108" s="165">
        <v>1</v>
      </c>
      <c r="AB108" s="182">
        <v>114.28</v>
      </c>
      <c r="AD108" s="156">
        <v>3446.348</v>
      </c>
      <c r="AG108" s="2" t="s">
        <v>36</v>
      </c>
      <c r="AH108" s="171">
        <v>1.16E-3</v>
      </c>
      <c r="AI108" s="171">
        <v>2.09429145720572E-2</v>
      </c>
      <c r="AJ108" s="171">
        <v>2.9727032967420998E-3</v>
      </c>
    </row>
    <row r="109" spans="1:36">
      <c r="A109" s="2">
        <v>419</v>
      </c>
      <c r="B109" s="2">
        <v>419</v>
      </c>
      <c r="C109" s="2" t="s">
        <v>1725</v>
      </c>
      <c r="D109" s="2" t="s">
        <v>1726</v>
      </c>
      <c r="E109" s="4" t="s">
        <v>1321</v>
      </c>
      <c r="F109" s="2" t="s">
        <v>2306</v>
      </c>
      <c r="G109" s="2" t="s">
        <v>2307</v>
      </c>
      <c r="H109" s="2" t="s">
        <v>324</v>
      </c>
      <c r="I109" s="2" t="s">
        <v>760</v>
      </c>
      <c r="J109" s="2" t="s">
        <v>30</v>
      </c>
      <c r="K109" s="2" t="s">
        <v>30</v>
      </c>
      <c r="L109" s="2" t="s">
        <v>330</v>
      </c>
      <c r="M109" s="2" t="s">
        <v>31</v>
      </c>
      <c r="N109" s="2" t="s">
        <v>451</v>
      </c>
      <c r="O109" s="2" t="s">
        <v>140</v>
      </c>
      <c r="P109" s="2" t="s">
        <v>1921</v>
      </c>
      <c r="Q109" s="2" t="s">
        <v>416</v>
      </c>
      <c r="R109" s="2" t="s">
        <v>410</v>
      </c>
      <c r="S109" s="2" t="s">
        <v>34</v>
      </c>
      <c r="T109" s="156">
        <v>4.6829999999999998</v>
      </c>
      <c r="U109" s="2" t="s">
        <v>2308</v>
      </c>
      <c r="V109" s="169">
        <v>3.7100000000000001E-2</v>
      </c>
      <c r="W109" s="171">
        <v>3.1640000000000001E-2</v>
      </c>
      <c r="X109" s="4" t="s">
        <v>415</v>
      </c>
      <c r="Y109" s="4" t="s">
        <v>140</v>
      </c>
      <c r="Z109" s="156">
        <v>1650000</v>
      </c>
      <c r="AA109" s="165">
        <v>1</v>
      </c>
      <c r="AB109" s="182">
        <v>108.99</v>
      </c>
      <c r="AD109" s="156">
        <v>1798.335</v>
      </c>
      <c r="AG109" s="2" t="s">
        <v>36</v>
      </c>
      <c r="AH109" s="171">
        <v>4.2950000000000002E-3</v>
      </c>
      <c r="AI109" s="171">
        <v>1.0928198188291801E-2</v>
      </c>
      <c r="AJ109" s="171">
        <v>1.5511828914744499E-3</v>
      </c>
    </row>
    <row r="110" spans="1:36">
      <c r="A110" s="2">
        <v>419</v>
      </c>
      <c r="B110" s="2">
        <v>419</v>
      </c>
      <c r="C110" s="2" t="s">
        <v>2309</v>
      </c>
      <c r="D110" s="2" t="s">
        <v>2310</v>
      </c>
      <c r="E110" s="4" t="s">
        <v>1321</v>
      </c>
      <c r="F110" s="2" t="s">
        <v>2311</v>
      </c>
      <c r="G110" s="2" t="s">
        <v>2312</v>
      </c>
      <c r="H110" s="2" t="s">
        <v>324</v>
      </c>
      <c r="I110" s="2" t="s">
        <v>973</v>
      </c>
      <c r="J110" s="2" t="s">
        <v>30</v>
      </c>
      <c r="K110" s="2" t="s">
        <v>30</v>
      </c>
      <c r="L110" s="2" t="s">
        <v>330</v>
      </c>
      <c r="M110" s="2" t="s">
        <v>31</v>
      </c>
      <c r="N110" s="2" t="s">
        <v>443</v>
      </c>
      <c r="O110" s="2" t="s">
        <v>140</v>
      </c>
      <c r="P110" s="2" t="s">
        <v>1921</v>
      </c>
      <c r="Q110" s="2" t="s">
        <v>416</v>
      </c>
      <c r="R110" s="2" t="s">
        <v>410</v>
      </c>
      <c r="S110" s="2" t="s">
        <v>34</v>
      </c>
      <c r="T110" s="156">
        <v>3.7839999999999998</v>
      </c>
      <c r="U110" s="2" t="s">
        <v>65</v>
      </c>
      <c r="V110" s="169">
        <v>2.4299999999999999E-2</v>
      </c>
      <c r="W110" s="171">
        <v>5.6079999999999998E-2</v>
      </c>
      <c r="X110" s="4" t="s">
        <v>415</v>
      </c>
      <c r="Y110" s="4" t="s">
        <v>140</v>
      </c>
      <c r="Z110" s="156">
        <v>504993</v>
      </c>
      <c r="AA110" s="165">
        <v>1</v>
      </c>
      <c r="AB110" s="182">
        <v>89.68</v>
      </c>
      <c r="AD110" s="156">
        <v>452.87799999999999</v>
      </c>
      <c r="AG110" s="2" t="s">
        <v>36</v>
      </c>
      <c r="AH110" s="171">
        <v>3.4499999999999998E-4</v>
      </c>
      <c r="AI110" s="171">
        <v>2.7520664978713102E-3</v>
      </c>
      <c r="AJ110" s="171">
        <v>3.90636991949106E-4</v>
      </c>
    </row>
    <row r="111" spans="1:36">
      <c r="A111" s="2">
        <v>419</v>
      </c>
      <c r="B111" s="2">
        <v>419</v>
      </c>
      <c r="C111" s="2" t="s">
        <v>2309</v>
      </c>
      <c r="D111" s="2" t="s">
        <v>2310</v>
      </c>
      <c r="E111" s="4" t="s">
        <v>1321</v>
      </c>
      <c r="F111" s="2" t="s">
        <v>2313</v>
      </c>
      <c r="G111" s="2" t="s">
        <v>2314</v>
      </c>
      <c r="H111" s="2" t="s">
        <v>324</v>
      </c>
      <c r="I111" s="2" t="s">
        <v>973</v>
      </c>
      <c r="J111" s="2" t="s">
        <v>30</v>
      </c>
      <c r="K111" s="2" t="s">
        <v>30</v>
      </c>
      <c r="L111" s="2" t="s">
        <v>330</v>
      </c>
      <c r="M111" s="2" t="s">
        <v>49</v>
      </c>
      <c r="N111" s="2" t="s">
        <v>443</v>
      </c>
      <c r="O111" s="2" t="s">
        <v>140</v>
      </c>
      <c r="P111" s="2" t="s">
        <v>1921</v>
      </c>
      <c r="Q111" s="2" t="s">
        <v>416</v>
      </c>
      <c r="R111" s="2" t="s">
        <v>410</v>
      </c>
      <c r="S111" s="2" t="s">
        <v>34</v>
      </c>
      <c r="T111" s="156">
        <v>6.3849999999999998</v>
      </c>
      <c r="U111" s="2" t="s">
        <v>2315</v>
      </c>
      <c r="V111" s="169">
        <v>5.8599999999999999E-2</v>
      </c>
      <c r="W111" s="171">
        <v>5.9150000000000001E-2</v>
      </c>
      <c r="X111" s="4" t="s">
        <v>415</v>
      </c>
      <c r="Y111" s="4" t="s">
        <v>140</v>
      </c>
      <c r="Z111" s="156">
        <v>1197604</v>
      </c>
      <c r="AA111" s="165">
        <v>1</v>
      </c>
      <c r="AB111" s="182">
        <v>102.78</v>
      </c>
      <c r="AD111" s="156">
        <v>1230.8969999999999</v>
      </c>
      <c r="AG111" s="2" t="s">
        <v>36</v>
      </c>
      <c r="AH111" s="171">
        <v>6.0029999999999997E-3</v>
      </c>
      <c r="AI111" s="171">
        <v>7.4799693274528603E-3</v>
      </c>
      <c r="AJ111" s="171">
        <v>1.0617304197437999E-3</v>
      </c>
    </row>
    <row r="112" spans="1:36">
      <c r="A112" s="2">
        <v>419</v>
      </c>
      <c r="B112" s="2">
        <v>419</v>
      </c>
      <c r="C112" s="2" t="s">
        <v>2316</v>
      </c>
      <c r="D112" s="2" t="s">
        <v>2317</v>
      </c>
      <c r="E112" s="4" t="s">
        <v>1321</v>
      </c>
      <c r="F112" s="2" t="s">
        <v>2318</v>
      </c>
      <c r="G112" s="2" t="s">
        <v>2319</v>
      </c>
      <c r="H112" s="2" t="s">
        <v>324</v>
      </c>
      <c r="I112" s="2" t="s">
        <v>973</v>
      </c>
      <c r="J112" s="2" t="s">
        <v>30</v>
      </c>
      <c r="K112" s="2" t="s">
        <v>30</v>
      </c>
      <c r="L112" s="2" t="s">
        <v>330</v>
      </c>
      <c r="M112" s="2" t="s">
        <v>31</v>
      </c>
      <c r="N112" s="2" t="s">
        <v>448</v>
      </c>
      <c r="O112" s="2" t="s">
        <v>140</v>
      </c>
      <c r="P112" s="2" t="s">
        <v>1956</v>
      </c>
      <c r="Q112" s="2" t="s">
        <v>416</v>
      </c>
      <c r="R112" s="2" t="s">
        <v>410</v>
      </c>
      <c r="S112" s="2" t="s">
        <v>34</v>
      </c>
      <c r="T112" s="156">
        <v>7.141</v>
      </c>
      <c r="U112" s="2" t="s">
        <v>2259</v>
      </c>
      <c r="V112" s="169">
        <v>4.6899999999999997E-2</v>
      </c>
      <c r="W112" s="171">
        <v>5.654E-2</v>
      </c>
      <c r="X112" s="4" t="s">
        <v>415</v>
      </c>
      <c r="Y112" s="4" t="s">
        <v>140</v>
      </c>
      <c r="Z112" s="156">
        <v>1699000</v>
      </c>
      <c r="AA112" s="165">
        <v>1</v>
      </c>
      <c r="AB112" s="182">
        <v>95.86</v>
      </c>
      <c r="AD112" s="156">
        <v>1628.6610000000001</v>
      </c>
      <c r="AG112" s="2" t="s">
        <v>36</v>
      </c>
      <c r="AH112" s="171">
        <v>3.398E-3</v>
      </c>
      <c r="AI112" s="171">
        <v>9.89711847949396E-3</v>
      </c>
      <c r="AJ112" s="171">
        <v>1.4048281881211401E-3</v>
      </c>
    </row>
    <row r="113" spans="1:36">
      <c r="A113" s="2">
        <v>419</v>
      </c>
      <c r="B113" s="2">
        <v>419</v>
      </c>
      <c r="C113" s="2" t="s">
        <v>2316</v>
      </c>
      <c r="D113" s="2" t="s">
        <v>2317</v>
      </c>
      <c r="E113" s="4" t="s">
        <v>1321</v>
      </c>
      <c r="F113" s="2" t="s">
        <v>2320</v>
      </c>
      <c r="G113" s="2" t="s">
        <v>2321</v>
      </c>
      <c r="H113" s="2" t="s">
        <v>324</v>
      </c>
      <c r="I113" s="2" t="s">
        <v>973</v>
      </c>
      <c r="J113" s="2" t="s">
        <v>30</v>
      </c>
      <c r="K113" s="2" t="s">
        <v>30</v>
      </c>
      <c r="L113" s="2" t="s">
        <v>330</v>
      </c>
      <c r="M113" s="2" t="s">
        <v>31</v>
      </c>
      <c r="N113" s="2" t="s">
        <v>448</v>
      </c>
      <c r="O113" s="2" t="s">
        <v>140</v>
      </c>
      <c r="P113" s="2" t="s">
        <v>1956</v>
      </c>
      <c r="Q113" s="2" t="s">
        <v>416</v>
      </c>
      <c r="R113" s="2" t="s">
        <v>410</v>
      </c>
      <c r="S113" s="2" t="s">
        <v>34</v>
      </c>
      <c r="T113" s="156">
        <v>4.2770000000000001</v>
      </c>
      <c r="U113" s="2" t="s">
        <v>2322</v>
      </c>
      <c r="V113" s="169">
        <v>2.6200000000000001E-2</v>
      </c>
      <c r="W113" s="171">
        <v>5.425E-2</v>
      </c>
      <c r="X113" s="4" t="s">
        <v>415</v>
      </c>
      <c r="Y113" s="4" t="s">
        <v>140</v>
      </c>
      <c r="Z113" s="156">
        <v>160000</v>
      </c>
      <c r="AA113" s="165">
        <v>1</v>
      </c>
      <c r="AB113" s="182">
        <v>90.12</v>
      </c>
      <c r="AD113" s="156">
        <v>144.19200000000001</v>
      </c>
      <c r="AG113" s="2" t="s">
        <v>36</v>
      </c>
      <c r="AH113" s="171">
        <v>1.2400000000000001E-4</v>
      </c>
      <c r="AI113" s="171">
        <v>8.7623204417762598E-4</v>
      </c>
      <c r="AJ113" s="171">
        <v>1.2437513782887199E-4</v>
      </c>
    </row>
    <row r="114" spans="1:36">
      <c r="A114" s="2">
        <v>419</v>
      </c>
      <c r="B114" s="2">
        <v>419</v>
      </c>
      <c r="C114" s="2" t="s">
        <v>2323</v>
      </c>
      <c r="D114" s="2" t="s">
        <v>2324</v>
      </c>
      <c r="E114" s="4" t="s">
        <v>1321</v>
      </c>
      <c r="F114" s="2" t="s">
        <v>2325</v>
      </c>
      <c r="G114" s="2" t="s">
        <v>2326</v>
      </c>
      <c r="H114" s="2" t="s">
        <v>324</v>
      </c>
      <c r="I114" s="2" t="s">
        <v>973</v>
      </c>
      <c r="J114" s="2" t="s">
        <v>30</v>
      </c>
      <c r="K114" s="2" t="s">
        <v>30</v>
      </c>
      <c r="L114" s="2" t="s">
        <v>330</v>
      </c>
      <c r="M114" s="2" t="s">
        <v>31</v>
      </c>
      <c r="N114" s="2" t="s">
        <v>468</v>
      </c>
      <c r="O114" s="2" t="s">
        <v>140</v>
      </c>
      <c r="P114" s="2" t="s">
        <v>1942</v>
      </c>
      <c r="Q114" s="2" t="s">
        <v>418</v>
      </c>
      <c r="R114" s="2" t="s">
        <v>410</v>
      </c>
      <c r="S114" s="2" t="s">
        <v>34</v>
      </c>
      <c r="T114" s="156">
        <v>0.45700000000000002</v>
      </c>
      <c r="U114" s="2" t="s">
        <v>2327</v>
      </c>
      <c r="V114" s="169">
        <v>3.5000000000000003E-2</v>
      </c>
      <c r="W114" s="171">
        <v>5.8599999999999999E-2</v>
      </c>
      <c r="X114" s="4" t="s">
        <v>415</v>
      </c>
      <c r="Y114" s="4" t="s">
        <v>140</v>
      </c>
      <c r="Z114" s="156">
        <v>210336.17</v>
      </c>
      <c r="AA114" s="165">
        <v>1</v>
      </c>
      <c r="AB114" s="182">
        <v>99.06</v>
      </c>
      <c r="AD114" s="156">
        <v>208.35900000000001</v>
      </c>
      <c r="AG114" s="2" t="s">
        <v>36</v>
      </c>
      <c r="AH114" s="171">
        <v>2.1940000000000002E-3</v>
      </c>
      <c r="AI114" s="171">
        <v>1.2661648444912299E-3</v>
      </c>
      <c r="AJ114" s="171">
        <v>1.79723428393295E-4</v>
      </c>
    </row>
    <row r="115" spans="1:36">
      <c r="A115" s="2">
        <v>419</v>
      </c>
      <c r="B115" s="2">
        <v>419</v>
      </c>
      <c r="C115" s="2" t="s">
        <v>2323</v>
      </c>
      <c r="D115" s="2" t="s">
        <v>2324</v>
      </c>
      <c r="E115" s="4" t="s">
        <v>1321</v>
      </c>
      <c r="F115" s="2" t="s">
        <v>2328</v>
      </c>
      <c r="G115" s="2" t="s">
        <v>2329</v>
      </c>
      <c r="H115" s="2" t="s">
        <v>324</v>
      </c>
      <c r="I115" s="2" t="s">
        <v>973</v>
      </c>
      <c r="J115" s="2" t="s">
        <v>30</v>
      </c>
      <c r="K115" s="2" t="s">
        <v>30</v>
      </c>
      <c r="L115" s="2" t="s">
        <v>330</v>
      </c>
      <c r="M115" s="2" t="s">
        <v>31</v>
      </c>
      <c r="N115" s="2" t="s">
        <v>468</v>
      </c>
      <c r="O115" s="2" t="s">
        <v>140</v>
      </c>
      <c r="P115" s="2" t="s">
        <v>1942</v>
      </c>
      <c r="Q115" s="2" t="s">
        <v>418</v>
      </c>
      <c r="R115" s="2" t="s">
        <v>410</v>
      </c>
      <c r="S115" s="2" t="s">
        <v>34</v>
      </c>
      <c r="T115" s="156">
        <v>1.7050000000000001</v>
      </c>
      <c r="U115" s="2" t="s">
        <v>2330</v>
      </c>
      <c r="V115" s="169">
        <v>2.6499999999999999E-2</v>
      </c>
      <c r="W115" s="171">
        <v>5.5120000000000002E-2</v>
      </c>
      <c r="X115" s="4" t="s">
        <v>415</v>
      </c>
      <c r="Y115" s="4" t="s">
        <v>140</v>
      </c>
      <c r="Z115" s="156">
        <v>1321428.58</v>
      </c>
      <c r="AA115" s="165">
        <v>1</v>
      </c>
      <c r="AB115" s="182">
        <v>94.77</v>
      </c>
      <c r="AD115" s="156">
        <v>1252.318</v>
      </c>
      <c r="AG115" s="2" t="s">
        <v>36</v>
      </c>
      <c r="AH115" s="171">
        <v>2.5799999999999998E-3</v>
      </c>
      <c r="AI115" s="171">
        <v>7.6101381702326602E-3</v>
      </c>
      <c r="AJ115" s="171">
        <v>1.08020699551998E-3</v>
      </c>
    </row>
    <row r="116" spans="1:36">
      <c r="A116" s="2">
        <v>419</v>
      </c>
      <c r="B116" s="2">
        <v>419</v>
      </c>
      <c r="C116" s="2" t="s">
        <v>1905</v>
      </c>
      <c r="D116" s="2" t="s">
        <v>1906</v>
      </c>
      <c r="E116" s="4" t="s">
        <v>1321</v>
      </c>
      <c r="F116" s="2" t="s">
        <v>2331</v>
      </c>
      <c r="G116" s="2" t="s">
        <v>2332</v>
      </c>
      <c r="H116" s="2" t="s">
        <v>324</v>
      </c>
      <c r="I116" s="2" t="s">
        <v>973</v>
      </c>
      <c r="J116" s="2" t="s">
        <v>30</v>
      </c>
      <c r="K116" s="2" t="s">
        <v>30</v>
      </c>
      <c r="L116" s="2" t="s">
        <v>330</v>
      </c>
      <c r="M116" s="2" t="s">
        <v>31</v>
      </c>
      <c r="N116" s="2" t="s">
        <v>464</v>
      </c>
      <c r="O116" s="2" t="s">
        <v>140</v>
      </c>
      <c r="P116" s="2" t="s">
        <v>1942</v>
      </c>
      <c r="Q116" s="2" t="s">
        <v>418</v>
      </c>
      <c r="R116" s="2" t="s">
        <v>410</v>
      </c>
      <c r="S116" s="2" t="s">
        <v>34</v>
      </c>
      <c r="T116" s="156">
        <v>3.3730000000000002</v>
      </c>
      <c r="U116" s="2" t="s">
        <v>2333</v>
      </c>
      <c r="V116" s="169">
        <v>2.1600000000000001E-2</v>
      </c>
      <c r="W116" s="171">
        <v>6.3829999999999998E-2</v>
      </c>
      <c r="X116" s="4" t="s">
        <v>415</v>
      </c>
      <c r="Y116" s="4" t="s">
        <v>140</v>
      </c>
      <c r="Z116" s="156">
        <v>0.75</v>
      </c>
      <c r="AA116" s="165">
        <v>1</v>
      </c>
      <c r="AB116" s="182">
        <v>87.13</v>
      </c>
      <c r="AD116" s="156">
        <v>1E-3</v>
      </c>
      <c r="AG116" s="2" t="s">
        <v>36</v>
      </c>
      <c r="AH116" s="171">
        <v>0</v>
      </c>
      <c r="AI116" s="171">
        <v>3.9710645186208203E-9</v>
      </c>
      <c r="AJ116" s="171">
        <v>5.6366541273248104E-10</v>
      </c>
    </row>
    <row r="117" spans="1:36">
      <c r="A117" s="2">
        <v>419</v>
      </c>
      <c r="B117" s="2">
        <v>419</v>
      </c>
      <c r="C117" s="2" t="s">
        <v>2334</v>
      </c>
      <c r="D117" s="2" t="s">
        <v>2335</v>
      </c>
      <c r="E117" s="4" t="s">
        <v>1321</v>
      </c>
      <c r="F117" s="2" t="s">
        <v>2336</v>
      </c>
      <c r="G117" s="2" t="s">
        <v>2337</v>
      </c>
      <c r="H117" s="2" t="s">
        <v>324</v>
      </c>
      <c r="I117" s="2" t="s">
        <v>760</v>
      </c>
      <c r="J117" s="2" t="s">
        <v>30</v>
      </c>
      <c r="K117" s="2" t="s">
        <v>30</v>
      </c>
      <c r="L117" s="2" t="s">
        <v>330</v>
      </c>
      <c r="M117" s="2" t="s">
        <v>31</v>
      </c>
      <c r="N117" s="2" t="s">
        <v>454</v>
      </c>
      <c r="O117" s="2" t="s">
        <v>140</v>
      </c>
      <c r="P117" s="2" t="s">
        <v>68</v>
      </c>
      <c r="Q117" s="2" t="s">
        <v>69</v>
      </c>
      <c r="R117" s="2" t="s">
        <v>69</v>
      </c>
      <c r="S117" s="2" t="s">
        <v>34</v>
      </c>
      <c r="T117" s="156">
        <v>2.6669999999999998</v>
      </c>
      <c r="U117" s="2" t="s">
        <v>2111</v>
      </c>
      <c r="V117" s="169">
        <v>3.6999999999999998E-2</v>
      </c>
      <c r="W117" s="171">
        <v>4.0379999999999999E-2</v>
      </c>
      <c r="X117" s="4" t="s">
        <v>415</v>
      </c>
      <c r="Y117" s="4" t="s">
        <v>140</v>
      </c>
      <c r="Z117" s="156">
        <v>844255.39</v>
      </c>
      <c r="AA117" s="165">
        <v>1</v>
      </c>
      <c r="AB117" s="182">
        <v>115.47</v>
      </c>
      <c r="AD117" s="156">
        <v>974.86199999999997</v>
      </c>
      <c r="AG117" s="2" t="s">
        <v>36</v>
      </c>
      <c r="AH117" s="171">
        <v>1.0690000000000001E-3</v>
      </c>
      <c r="AI117" s="171">
        <v>5.9240808030883302E-3</v>
      </c>
      <c r="AJ117" s="171">
        <v>8.4088269915419899E-4</v>
      </c>
    </row>
    <row r="118" spans="1:36">
      <c r="A118" s="2">
        <v>419</v>
      </c>
      <c r="B118" s="2">
        <v>419</v>
      </c>
      <c r="C118" s="2" t="s">
        <v>2338</v>
      </c>
      <c r="D118" s="2" t="s">
        <v>2339</v>
      </c>
      <c r="E118" s="4" t="s">
        <v>1321</v>
      </c>
      <c r="F118" s="2" t="s">
        <v>2340</v>
      </c>
      <c r="G118" s="2" t="s">
        <v>2341</v>
      </c>
      <c r="H118" s="2" t="s">
        <v>324</v>
      </c>
      <c r="I118" s="2" t="s">
        <v>973</v>
      </c>
      <c r="J118" s="2" t="s">
        <v>30</v>
      </c>
      <c r="K118" s="2" t="s">
        <v>30</v>
      </c>
      <c r="L118" s="2" t="s">
        <v>330</v>
      </c>
      <c r="M118" s="2" t="s">
        <v>49</v>
      </c>
      <c r="N118" s="2" t="s">
        <v>450</v>
      </c>
      <c r="O118" s="2" t="s">
        <v>140</v>
      </c>
      <c r="P118" s="2" t="s">
        <v>1942</v>
      </c>
      <c r="Q118" s="2" t="s">
        <v>418</v>
      </c>
      <c r="R118" s="2" t="s">
        <v>410</v>
      </c>
      <c r="S118" s="2" t="s">
        <v>34</v>
      </c>
      <c r="T118" s="156">
        <v>3.6070000000000002</v>
      </c>
      <c r="U118" s="2" t="s">
        <v>105</v>
      </c>
      <c r="V118" s="169">
        <v>5.8200000000000002E-2</v>
      </c>
      <c r="W118" s="171">
        <v>5.8200000000000002E-2</v>
      </c>
      <c r="X118" s="4" t="s">
        <v>415</v>
      </c>
      <c r="Y118" s="4" t="s">
        <v>140</v>
      </c>
      <c r="Z118" s="156">
        <v>1278000</v>
      </c>
      <c r="AA118" s="165">
        <v>1</v>
      </c>
      <c r="AB118" s="182">
        <v>100.66</v>
      </c>
      <c r="AD118" s="156">
        <v>1286.4349999999999</v>
      </c>
      <c r="AG118" s="2" t="s">
        <v>36</v>
      </c>
      <c r="AH118" s="171">
        <v>7.3029999999999996E-3</v>
      </c>
      <c r="AI118" s="171">
        <v>7.8174614021945393E-3</v>
      </c>
      <c r="AJ118" s="171">
        <v>1.1096351084516299E-3</v>
      </c>
    </row>
    <row r="119" spans="1:36">
      <c r="A119" s="2">
        <v>419</v>
      </c>
      <c r="B119" s="2">
        <v>419</v>
      </c>
      <c r="C119" s="2" t="s">
        <v>2347</v>
      </c>
      <c r="D119" s="2" t="s">
        <v>2348</v>
      </c>
      <c r="E119" s="4" t="s">
        <v>315</v>
      </c>
      <c r="F119" s="2" t="s">
        <v>2349</v>
      </c>
      <c r="G119" s="2" t="s">
        <v>2350</v>
      </c>
      <c r="H119" s="2" t="s">
        <v>324</v>
      </c>
      <c r="I119" s="2" t="s">
        <v>761</v>
      </c>
      <c r="J119" s="2" t="s">
        <v>30</v>
      </c>
      <c r="K119" s="2" t="s">
        <v>237</v>
      </c>
      <c r="L119" s="2" t="s">
        <v>330</v>
      </c>
      <c r="M119" s="2" t="s">
        <v>31</v>
      </c>
      <c r="N119" s="2" t="s">
        <v>468</v>
      </c>
      <c r="O119" s="2" t="s">
        <v>140</v>
      </c>
      <c r="P119" s="2" t="s">
        <v>1921</v>
      </c>
      <c r="Q119" s="2" t="s">
        <v>418</v>
      </c>
      <c r="R119" s="2" t="s">
        <v>410</v>
      </c>
      <c r="S119" s="2" t="s">
        <v>34</v>
      </c>
      <c r="T119" s="156">
        <v>2.91</v>
      </c>
      <c r="U119" s="2" t="s">
        <v>2351</v>
      </c>
      <c r="V119" s="169">
        <v>4.2999999999999997E-2</v>
      </c>
      <c r="W119" s="171">
        <v>0.10149</v>
      </c>
      <c r="X119" s="4" t="s">
        <v>415</v>
      </c>
      <c r="Y119" s="4" t="s">
        <v>140</v>
      </c>
      <c r="Z119" s="156">
        <v>0.31</v>
      </c>
      <c r="AA119" s="165">
        <v>1</v>
      </c>
      <c r="AB119" s="182">
        <v>89.69</v>
      </c>
      <c r="AD119" s="156">
        <v>0</v>
      </c>
      <c r="AG119" s="2" t="s">
        <v>36</v>
      </c>
      <c r="AH119" s="171">
        <v>0</v>
      </c>
      <c r="AI119" s="171">
        <v>1.6895991548151302E-9</v>
      </c>
      <c r="AJ119" s="171">
        <v>2.3982702886985202E-10</v>
      </c>
    </row>
    <row r="120" spans="1:36">
      <c r="A120" s="2">
        <v>419</v>
      </c>
      <c r="B120" s="2">
        <v>419</v>
      </c>
      <c r="C120" s="2" t="s">
        <v>1755</v>
      </c>
      <c r="D120" s="2" t="s">
        <v>1756</v>
      </c>
      <c r="E120" s="4" t="s">
        <v>1321</v>
      </c>
      <c r="F120" s="2" t="s">
        <v>2352</v>
      </c>
      <c r="G120" s="2" t="s">
        <v>2353</v>
      </c>
      <c r="H120" s="2" t="s">
        <v>324</v>
      </c>
      <c r="I120" s="2" t="s">
        <v>973</v>
      </c>
      <c r="J120" s="2" t="s">
        <v>30</v>
      </c>
      <c r="K120" s="2" t="s">
        <v>30</v>
      </c>
      <c r="L120" s="2" t="s">
        <v>330</v>
      </c>
      <c r="M120" s="2" t="s">
        <v>31</v>
      </c>
      <c r="N120" s="2" t="s">
        <v>466</v>
      </c>
      <c r="O120" s="2" t="s">
        <v>140</v>
      </c>
      <c r="P120" s="2" t="s">
        <v>1915</v>
      </c>
      <c r="Q120" s="2" t="s">
        <v>416</v>
      </c>
      <c r="R120" s="2" t="s">
        <v>410</v>
      </c>
      <c r="S120" s="2" t="s">
        <v>34</v>
      </c>
      <c r="T120" s="156">
        <v>0.94899999999999995</v>
      </c>
      <c r="U120" s="2" t="s">
        <v>2354</v>
      </c>
      <c r="V120" s="169">
        <v>3.3500000000000002E-2</v>
      </c>
      <c r="W120" s="171">
        <v>5.7299999999999997E-2</v>
      </c>
      <c r="X120" s="4" t="s">
        <v>415</v>
      </c>
      <c r="Y120" s="4" t="s">
        <v>140</v>
      </c>
      <c r="Z120" s="156">
        <v>165603.63</v>
      </c>
      <c r="AA120" s="165">
        <v>1</v>
      </c>
      <c r="AB120" s="182">
        <v>97.76</v>
      </c>
      <c r="AC120" s="156">
        <v>171.15100000000001</v>
      </c>
      <c r="AD120" s="156">
        <v>333.04500000000002</v>
      </c>
      <c r="AG120" s="2" t="s">
        <v>36</v>
      </c>
      <c r="AH120" s="171">
        <v>2.4099999999999998E-3</v>
      </c>
      <c r="AI120" s="171">
        <v>2.0238647294597602E-3</v>
      </c>
      <c r="AJ120" s="171">
        <v>2.8727373798546202E-4</v>
      </c>
    </row>
    <row r="121" spans="1:36">
      <c r="A121" s="2">
        <v>419</v>
      </c>
      <c r="B121" s="2">
        <v>419</v>
      </c>
      <c r="C121" s="2" t="s">
        <v>2358</v>
      </c>
      <c r="D121" s="2" t="s">
        <v>2359</v>
      </c>
      <c r="E121" s="4" t="s">
        <v>1321</v>
      </c>
      <c r="F121" s="2" t="s">
        <v>2360</v>
      </c>
      <c r="G121" s="2" t="s">
        <v>2361</v>
      </c>
      <c r="H121" s="2" t="s">
        <v>324</v>
      </c>
      <c r="I121" s="2" t="s">
        <v>973</v>
      </c>
      <c r="J121" s="2" t="s">
        <v>30</v>
      </c>
      <c r="K121" s="2" t="s">
        <v>30</v>
      </c>
      <c r="L121" s="2" t="s">
        <v>330</v>
      </c>
      <c r="M121" s="2" t="s">
        <v>49</v>
      </c>
      <c r="N121" s="2" t="s">
        <v>465</v>
      </c>
      <c r="O121" s="2" t="s">
        <v>140</v>
      </c>
      <c r="P121" s="2" t="s">
        <v>1921</v>
      </c>
      <c r="Q121" s="2" t="s">
        <v>418</v>
      </c>
      <c r="R121" s="2" t="s">
        <v>410</v>
      </c>
      <c r="S121" s="2" t="s">
        <v>34</v>
      </c>
      <c r="T121" s="156">
        <v>4.5330000000000004</v>
      </c>
      <c r="U121" s="2" t="s">
        <v>2033</v>
      </c>
      <c r="V121" s="169">
        <v>5.8500000000000003E-2</v>
      </c>
      <c r="W121" s="171">
        <v>5.7729999999999997E-2</v>
      </c>
      <c r="X121" s="4" t="s">
        <v>415</v>
      </c>
      <c r="Y121" s="4" t="s">
        <v>140</v>
      </c>
      <c r="Z121" s="156">
        <v>954000</v>
      </c>
      <c r="AA121" s="165">
        <v>1</v>
      </c>
      <c r="AB121" s="182">
        <v>101.6</v>
      </c>
      <c r="AD121" s="156">
        <v>969.26400000000001</v>
      </c>
      <c r="AG121" s="2" t="s">
        <v>36</v>
      </c>
      <c r="AH121" s="171">
        <v>6.1549999999999999E-3</v>
      </c>
      <c r="AI121" s="171">
        <v>5.89006447006618E-3</v>
      </c>
      <c r="AJ121" s="171">
        <v>8.3605431364127997E-4</v>
      </c>
    </row>
    <row r="122" spans="1:36">
      <c r="A122" s="2">
        <v>419</v>
      </c>
      <c r="B122" s="2">
        <v>419</v>
      </c>
      <c r="C122" s="2" t="s">
        <v>2362</v>
      </c>
      <c r="D122" s="2" t="s">
        <v>2363</v>
      </c>
      <c r="E122" s="4" t="s">
        <v>1321</v>
      </c>
      <c r="F122" s="2" t="s">
        <v>2364</v>
      </c>
      <c r="G122" s="2" t="s">
        <v>2365</v>
      </c>
      <c r="H122" s="2" t="s">
        <v>324</v>
      </c>
      <c r="I122" s="2" t="s">
        <v>761</v>
      </c>
      <c r="J122" s="2" t="s">
        <v>30</v>
      </c>
      <c r="K122" s="2" t="s">
        <v>30</v>
      </c>
      <c r="L122" s="2" t="s">
        <v>330</v>
      </c>
      <c r="M122" s="2" t="s">
        <v>31</v>
      </c>
      <c r="N122" s="2" t="s">
        <v>457</v>
      </c>
      <c r="O122" s="2" t="s">
        <v>140</v>
      </c>
      <c r="P122" s="2" t="s">
        <v>1915</v>
      </c>
      <c r="Q122" s="2" t="s">
        <v>418</v>
      </c>
      <c r="R122" s="2" t="s">
        <v>410</v>
      </c>
      <c r="S122" s="2" t="s">
        <v>34</v>
      </c>
      <c r="T122" s="156">
        <v>3.129</v>
      </c>
      <c r="U122" s="2" t="s">
        <v>2366</v>
      </c>
      <c r="V122" s="169">
        <v>4.6899999999999997E-2</v>
      </c>
      <c r="W122" s="171">
        <v>7.5190000000000007E-2</v>
      </c>
      <c r="X122" s="4" t="s">
        <v>415</v>
      </c>
      <c r="Y122" s="4" t="s">
        <v>140</v>
      </c>
      <c r="Z122" s="156">
        <v>731401.85</v>
      </c>
      <c r="AA122" s="165">
        <v>1</v>
      </c>
      <c r="AB122" s="182">
        <v>99.56</v>
      </c>
      <c r="AD122" s="156">
        <v>728.18399999999997</v>
      </c>
      <c r="AG122" s="2" t="s">
        <v>36</v>
      </c>
      <c r="AH122" s="171">
        <v>6.3699999999999998E-4</v>
      </c>
      <c r="AI122" s="171">
        <v>4.4250573963394496E-3</v>
      </c>
      <c r="AJ122" s="171">
        <v>6.2810659257151998E-4</v>
      </c>
    </row>
    <row r="123" spans="1:36">
      <c r="A123" s="2">
        <v>419</v>
      </c>
      <c r="B123" s="2">
        <v>419</v>
      </c>
      <c r="C123" s="2" t="s">
        <v>1644</v>
      </c>
      <c r="D123" s="2" t="s">
        <v>1645</v>
      </c>
      <c r="E123" s="4" t="s">
        <v>1321</v>
      </c>
      <c r="F123" s="2" t="s">
        <v>2367</v>
      </c>
      <c r="G123" s="2" t="s">
        <v>2368</v>
      </c>
      <c r="H123" s="2" t="s">
        <v>324</v>
      </c>
      <c r="I123" s="2" t="s">
        <v>761</v>
      </c>
      <c r="J123" s="2" t="s">
        <v>209</v>
      </c>
      <c r="K123" s="2" t="s">
        <v>228</v>
      </c>
      <c r="L123" s="2" t="s">
        <v>330</v>
      </c>
      <c r="M123" s="2" t="s">
        <v>317</v>
      </c>
      <c r="N123" s="2" t="s">
        <v>538</v>
      </c>
      <c r="O123" s="2" t="s">
        <v>140</v>
      </c>
      <c r="P123" s="2" t="s">
        <v>2369</v>
      </c>
      <c r="Q123" s="2" t="s">
        <v>436</v>
      </c>
      <c r="R123" s="2" t="s">
        <v>410</v>
      </c>
      <c r="S123" s="2" t="s">
        <v>1190</v>
      </c>
      <c r="T123" s="156">
        <v>4.7110000000000003</v>
      </c>
      <c r="U123" s="2" t="s">
        <v>2370</v>
      </c>
      <c r="V123" s="169">
        <v>4.3749999999999997E-2</v>
      </c>
      <c r="W123" s="171">
        <v>4.5440000000000001E-2</v>
      </c>
      <c r="X123" s="4" t="s">
        <v>415</v>
      </c>
      <c r="Y123" s="4" t="s">
        <v>140</v>
      </c>
      <c r="Z123" s="156">
        <v>840000</v>
      </c>
      <c r="AA123" s="165">
        <v>4.1524000000000001</v>
      </c>
      <c r="AB123" s="182">
        <v>101.511</v>
      </c>
      <c r="AD123" s="156">
        <v>3540.7040000000002</v>
      </c>
      <c r="AG123" s="2" t="s">
        <v>36</v>
      </c>
      <c r="AH123" s="171">
        <v>5.5999999999999995E-4</v>
      </c>
      <c r="AI123" s="171">
        <v>2.1516299425837299E-2</v>
      </c>
      <c r="AJ123" s="171">
        <v>3.0540913499316198E-3</v>
      </c>
    </row>
    <row r="124" spans="1:36">
      <c r="A124" s="2">
        <v>419</v>
      </c>
      <c r="B124" s="2">
        <v>419</v>
      </c>
      <c r="C124" s="2" t="s">
        <v>2371</v>
      </c>
      <c r="D124" s="2" t="s">
        <v>2372</v>
      </c>
      <c r="E124" s="4" t="s">
        <v>316</v>
      </c>
      <c r="F124" s="2" t="s">
        <v>2373</v>
      </c>
      <c r="G124" t="s">
        <v>2374</v>
      </c>
      <c r="H124" s="2" t="s">
        <v>324</v>
      </c>
      <c r="I124" s="2" t="s">
        <v>761</v>
      </c>
      <c r="J124" s="2" t="s">
        <v>209</v>
      </c>
      <c r="K124" s="2" t="s">
        <v>237</v>
      </c>
      <c r="L124" s="2" t="s">
        <v>330</v>
      </c>
      <c r="M124" s="2" t="s">
        <v>383</v>
      </c>
      <c r="N124" s="2" t="s">
        <v>554</v>
      </c>
      <c r="O124" s="2" t="s">
        <v>140</v>
      </c>
      <c r="P124" s="2" t="s">
        <v>2375</v>
      </c>
      <c r="Q124" s="2" t="s">
        <v>436</v>
      </c>
      <c r="R124" s="2" t="s">
        <v>410</v>
      </c>
      <c r="S124" s="2" t="s">
        <v>1188</v>
      </c>
      <c r="T124" s="156">
        <v>8.1000000000000003E-2</v>
      </c>
      <c r="U124" s="2" t="s">
        <v>2376</v>
      </c>
      <c r="V124" s="169">
        <v>6.25E-2</v>
      </c>
      <c r="W124" s="171">
        <v>6.08E-2</v>
      </c>
      <c r="X124" s="4" t="s">
        <v>415</v>
      </c>
      <c r="Y124" s="4" t="s">
        <v>140</v>
      </c>
      <c r="Z124" s="156">
        <v>390000</v>
      </c>
      <c r="AA124" s="165">
        <v>3.71</v>
      </c>
      <c r="AB124" s="182">
        <v>106.32299999999999</v>
      </c>
      <c r="AD124" s="156">
        <v>1538.386</v>
      </c>
      <c r="AG124" s="2" t="s">
        <v>36</v>
      </c>
      <c r="AH124" s="171">
        <v>4.0000000000000002E-4</v>
      </c>
      <c r="AI124" s="171">
        <v>9.3485308197022304E-3</v>
      </c>
      <c r="AJ124" s="171">
        <v>1.32695992679562E-3</v>
      </c>
    </row>
    <row r="125" spans="1:36">
      <c r="A125" s="2">
        <v>419</v>
      </c>
      <c r="B125" s="2">
        <v>419</v>
      </c>
      <c r="C125" s="2" t="s">
        <v>2377</v>
      </c>
      <c r="D125" s="2" t="s">
        <v>2378</v>
      </c>
      <c r="E125" s="4" t="s">
        <v>1321</v>
      </c>
      <c r="F125" s="2" t="s">
        <v>2379</v>
      </c>
      <c r="G125" s="2" t="s">
        <v>2380</v>
      </c>
      <c r="H125" s="2" t="s">
        <v>324</v>
      </c>
      <c r="I125" s="2" t="s">
        <v>973</v>
      </c>
      <c r="J125" s="2" t="s">
        <v>30</v>
      </c>
      <c r="K125" s="2" t="s">
        <v>30</v>
      </c>
      <c r="L125" s="2" t="s">
        <v>330</v>
      </c>
      <c r="M125" s="2" t="s">
        <v>31</v>
      </c>
      <c r="N125" s="2" t="s">
        <v>468</v>
      </c>
      <c r="O125" s="2" t="s">
        <v>140</v>
      </c>
      <c r="P125" s="2" t="s">
        <v>1927</v>
      </c>
      <c r="Q125" s="2" t="s">
        <v>418</v>
      </c>
      <c r="R125" s="2" t="s">
        <v>410</v>
      </c>
      <c r="S125" s="2" t="s">
        <v>34</v>
      </c>
      <c r="T125" s="156">
        <v>2.657</v>
      </c>
      <c r="U125" s="2" t="s">
        <v>2381</v>
      </c>
      <c r="V125" s="169">
        <v>2.8500000000000001E-2</v>
      </c>
      <c r="W125" s="171">
        <v>6.2480000000000001E-2</v>
      </c>
      <c r="X125" s="4" t="s">
        <v>415</v>
      </c>
      <c r="Y125" s="4" t="s">
        <v>140</v>
      </c>
      <c r="Z125" s="156">
        <v>214464.06</v>
      </c>
      <c r="AA125" s="165">
        <v>1</v>
      </c>
      <c r="AB125" s="182">
        <v>92.51</v>
      </c>
      <c r="AD125" s="156">
        <v>198.40100000000001</v>
      </c>
      <c r="AG125" s="2" t="s">
        <v>36</v>
      </c>
      <c r="AH125" s="171">
        <v>4.5399999999999998E-4</v>
      </c>
      <c r="AI125" s="171">
        <v>1.2056497766684E-3</v>
      </c>
      <c r="AJ125" s="171">
        <v>1.7113372895100699E-4</v>
      </c>
    </row>
    <row r="126" spans="1:36">
      <c r="A126" s="2">
        <v>419</v>
      </c>
      <c r="B126" s="2">
        <v>419</v>
      </c>
      <c r="C126" s="2" t="s">
        <v>2266</v>
      </c>
      <c r="D126" s="2" t="s">
        <v>2267</v>
      </c>
      <c r="E126" s="4" t="s">
        <v>315</v>
      </c>
      <c r="F126" s="2" t="s">
        <v>2382</v>
      </c>
      <c r="G126" s="2" t="s">
        <v>2383</v>
      </c>
      <c r="H126" s="2" t="s">
        <v>324</v>
      </c>
      <c r="I126" s="2" t="s">
        <v>973</v>
      </c>
      <c r="J126" s="2" t="s">
        <v>209</v>
      </c>
      <c r="K126" s="2" t="s">
        <v>30</v>
      </c>
      <c r="L126" s="2" t="s">
        <v>330</v>
      </c>
      <c r="M126" s="2" t="s">
        <v>31</v>
      </c>
      <c r="N126" s="2" t="s">
        <v>468</v>
      </c>
      <c r="O126" s="2" t="s">
        <v>140</v>
      </c>
      <c r="P126" s="2" t="s">
        <v>1921</v>
      </c>
      <c r="Q126" s="2" t="s">
        <v>416</v>
      </c>
      <c r="R126" s="2" t="s">
        <v>410</v>
      </c>
      <c r="S126" s="2" t="s">
        <v>34</v>
      </c>
      <c r="T126" s="156">
        <v>0.63700000000000001</v>
      </c>
      <c r="U126" s="2" t="s">
        <v>2384</v>
      </c>
      <c r="V126" s="169">
        <v>5.8000000000000003E-2</v>
      </c>
      <c r="W126" s="171">
        <v>5.9979999999999999E-2</v>
      </c>
      <c r="X126" s="4" t="s">
        <v>415</v>
      </c>
      <c r="Y126" s="4" t="s">
        <v>140</v>
      </c>
      <c r="Z126" s="156">
        <v>248538.51</v>
      </c>
      <c r="AA126" s="165">
        <v>1</v>
      </c>
      <c r="AB126" s="182">
        <v>101.87</v>
      </c>
      <c r="AD126" s="156">
        <v>253.18600000000001</v>
      </c>
      <c r="AG126" s="2" t="s">
        <v>36</v>
      </c>
      <c r="AH126" s="171">
        <v>1.4220000000000001E-3</v>
      </c>
      <c r="AI126" s="171">
        <v>1.5385724879256001E-3</v>
      </c>
      <c r="AJ126" s="171">
        <v>2.1838982780532099E-4</v>
      </c>
    </row>
    <row r="127" spans="1:36">
      <c r="A127" s="2">
        <v>419</v>
      </c>
      <c r="B127" s="2">
        <v>1472</v>
      </c>
      <c r="C127" s="2" t="s">
        <v>1917</v>
      </c>
      <c r="D127" s="2" t="s">
        <v>1918</v>
      </c>
      <c r="E127" s="4" t="s">
        <v>1321</v>
      </c>
      <c r="F127" s="2" t="s">
        <v>1919</v>
      </c>
      <c r="G127" s="2" t="s">
        <v>1920</v>
      </c>
      <c r="H127" s="2" t="s">
        <v>324</v>
      </c>
      <c r="I127" s="2" t="s">
        <v>760</v>
      </c>
      <c r="J127" s="2" t="s">
        <v>30</v>
      </c>
      <c r="K127" s="2" t="s">
        <v>30</v>
      </c>
      <c r="L127" s="2" t="s">
        <v>330</v>
      </c>
      <c r="M127" s="2" t="s">
        <v>31</v>
      </c>
      <c r="N127" s="2" t="s">
        <v>459</v>
      </c>
      <c r="O127" s="2" t="s">
        <v>140</v>
      </c>
      <c r="P127" s="2" t="s">
        <v>1921</v>
      </c>
      <c r="Q127" s="2" t="s">
        <v>416</v>
      </c>
      <c r="R127" s="2" t="s">
        <v>410</v>
      </c>
      <c r="S127" s="2" t="s">
        <v>34</v>
      </c>
      <c r="T127" s="156">
        <v>5.0199999999999996</v>
      </c>
      <c r="U127" s="2" t="s">
        <v>1922</v>
      </c>
      <c r="V127" s="169">
        <v>5.1499999999999997E-2</v>
      </c>
      <c r="W127" s="171">
        <v>5.1479999999999998E-2</v>
      </c>
      <c r="X127" s="4" t="s">
        <v>415</v>
      </c>
      <c r="Y127" s="4" t="s">
        <v>140</v>
      </c>
      <c r="Z127" s="156">
        <v>0.71</v>
      </c>
      <c r="AA127" s="165">
        <v>1</v>
      </c>
      <c r="AB127" s="182">
        <v>141.9</v>
      </c>
      <c r="AD127" s="156">
        <v>1E-3</v>
      </c>
      <c r="AG127" s="2" t="s">
        <v>36</v>
      </c>
      <c r="AH127" s="171">
        <v>0</v>
      </c>
      <c r="AI127" s="171">
        <v>6.7998829237731701E-7</v>
      </c>
      <c r="AJ127" s="171">
        <v>9.6558871510545105E-8</v>
      </c>
    </row>
    <row r="128" spans="1:36">
      <c r="A128" s="2">
        <v>419</v>
      </c>
      <c r="B128" s="2">
        <v>1472</v>
      </c>
      <c r="C128" s="2" t="s">
        <v>1923</v>
      </c>
      <c r="D128" s="2" t="s">
        <v>1924</v>
      </c>
      <c r="E128" s="4" t="s">
        <v>1321</v>
      </c>
      <c r="F128" s="2" t="s">
        <v>1925</v>
      </c>
      <c r="G128" s="2" t="s">
        <v>1926</v>
      </c>
      <c r="H128" s="2" t="s">
        <v>324</v>
      </c>
      <c r="I128" s="2" t="s">
        <v>760</v>
      </c>
      <c r="J128" s="2" t="s">
        <v>30</v>
      </c>
      <c r="K128" s="2" t="s">
        <v>30</v>
      </c>
      <c r="L128" s="2" t="s">
        <v>330</v>
      </c>
      <c r="M128" s="2" t="s">
        <v>31</v>
      </c>
      <c r="N128" s="2" t="s">
        <v>443</v>
      </c>
      <c r="O128" s="2" t="s">
        <v>140</v>
      </c>
      <c r="P128" s="2" t="s">
        <v>1927</v>
      </c>
      <c r="Q128" s="2" t="s">
        <v>416</v>
      </c>
      <c r="R128" s="2" t="s">
        <v>410</v>
      </c>
      <c r="S128" s="2" t="s">
        <v>34</v>
      </c>
      <c r="T128" s="156">
        <v>2.9049999999999998</v>
      </c>
      <c r="U128" s="2" t="s">
        <v>1928</v>
      </c>
      <c r="V128" s="169">
        <v>2.75E-2</v>
      </c>
      <c r="W128" s="171">
        <v>3.1E-2</v>
      </c>
      <c r="X128" s="4" t="s">
        <v>415</v>
      </c>
      <c r="Y128" s="4" t="s">
        <v>140</v>
      </c>
      <c r="Z128" s="156">
        <v>17717.04</v>
      </c>
      <c r="AA128" s="165">
        <v>1</v>
      </c>
      <c r="AB128" s="182">
        <v>113.65</v>
      </c>
      <c r="AD128" s="156">
        <v>20.135000000000002</v>
      </c>
      <c r="AG128" s="2" t="s">
        <v>36</v>
      </c>
      <c r="AH128" s="171">
        <v>2.0999999999999999E-5</v>
      </c>
      <c r="AI128" s="171">
        <v>1.35900575836459E-2</v>
      </c>
      <c r="AJ128" s="171">
        <v>1.9297988491131599E-3</v>
      </c>
    </row>
    <row r="129" spans="1:36">
      <c r="A129" s="2">
        <v>419</v>
      </c>
      <c r="B129" s="2">
        <v>1472</v>
      </c>
      <c r="C129" s="2" t="s">
        <v>1923</v>
      </c>
      <c r="D129" s="2" t="s">
        <v>1924</v>
      </c>
      <c r="E129" s="4" t="s">
        <v>1321</v>
      </c>
      <c r="F129" s="2" t="s">
        <v>1929</v>
      </c>
      <c r="G129" s="2" t="s">
        <v>1930</v>
      </c>
      <c r="H129" s="2" t="s">
        <v>324</v>
      </c>
      <c r="I129" s="2" t="s">
        <v>973</v>
      </c>
      <c r="J129" s="2" t="s">
        <v>30</v>
      </c>
      <c r="K129" s="2" t="s">
        <v>30</v>
      </c>
      <c r="L129" s="2" t="s">
        <v>330</v>
      </c>
      <c r="M129" s="2" t="s">
        <v>31</v>
      </c>
      <c r="N129" s="2" t="s">
        <v>443</v>
      </c>
      <c r="O129" s="2" t="s">
        <v>140</v>
      </c>
      <c r="P129" s="2" t="s">
        <v>1927</v>
      </c>
      <c r="Q129" s="2" t="s">
        <v>416</v>
      </c>
      <c r="R129" s="2" t="s">
        <v>410</v>
      </c>
      <c r="S129" s="2" t="s">
        <v>34</v>
      </c>
      <c r="T129" s="156">
        <v>2.4820000000000002</v>
      </c>
      <c r="U129" s="2" t="s">
        <v>1931</v>
      </c>
      <c r="V129" s="169">
        <v>2.5000000000000001E-2</v>
      </c>
      <c r="W129" s="171">
        <v>6.1120000000000001E-2</v>
      </c>
      <c r="X129" s="4" t="s">
        <v>415</v>
      </c>
      <c r="Y129" s="4" t="s">
        <v>140</v>
      </c>
      <c r="Z129" s="156">
        <v>22310.1</v>
      </c>
      <c r="AA129" s="165">
        <v>1</v>
      </c>
      <c r="AB129" s="182">
        <v>89.41</v>
      </c>
      <c r="AD129" s="156">
        <v>19.946999999999999</v>
      </c>
      <c r="AG129" s="2" t="s">
        <v>36</v>
      </c>
      <c r="AH129" s="171">
        <v>2.9E-5</v>
      </c>
      <c r="AI129" s="171">
        <v>1.34632001721705E-2</v>
      </c>
      <c r="AJ129" s="171">
        <v>1.9117849970628699E-3</v>
      </c>
    </row>
    <row r="130" spans="1:36">
      <c r="A130" s="2">
        <v>419</v>
      </c>
      <c r="B130" s="2">
        <v>1472</v>
      </c>
      <c r="C130" s="2" t="s">
        <v>1932</v>
      </c>
      <c r="D130" s="2" t="s">
        <v>1933</v>
      </c>
      <c r="E130" s="4" t="s">
        <v>315</v>
      </c>
      <c r="F130" s="2" t="s">
        <v>1934</v>
      </c>
      <c r="G130" s="2" t="s">
        <v>1935</v>
      </c>
      <c r="H130" s="2" t="s">
        <v>324</v>
      </c>
      <c r="I130" s="2" t="s">
        <v>973</v>
      </c>
      <c r="J130" s="2" t="s">
        <v>30</v>
      </c>
      <c r="K130" s="2" t="s">
        <v>228</v>
      </c>
      <c r="L130" s="2" t="s">
        <v>330</v>
      </c>
      <c r="M130" s="2" t="s">
        <v>31</v>
      </c>
      <c r="N130" s="2" t="s">
        <v>468</v>
      </c>
      <c r="O130" s="2" t="s">
        <v>140</v>
      </c>
      <c r="P130" s="2" t="s">
        <v>1936</v>
      </c>
      <c r="Q130" s="2" t="s">
        <v>418</v>
      </c>
      <c r="R130" s="2" t="s">
        <v>410</v>
      </c>
      <c r="S130" s="2" t="s">
        <v>34</v>
      </c>
      <c r="T130" s="156">
        <v>0</v>
      </c>
      <c r="U130" s="2" t="s">
        <v>1937</v>
      </c>
      <c r="V130" s="169">
        <v>0.03</v>
      </c>
      <c r="W130" s="171">
        <v>0</v>
      </c>
      <c r="X130" s="4" t="s">
        <v>415</v>
      </c>
      <c r="Y130" s="4" t="s">
        <v>140</v>
      </c>
      <c r="Z130" s="156">
        <v>1570.9</v>
      </c>
      <c r="AA130" s="165">
        <v>1</v>
      </c>
      <c r="AB130" s="182">
        <v>0.01</v>
      </c>
      <c r="AD130" s="156">
        <v>0</v>
      </c>
      <c r="AG130" s="2" t="s">
        <v>36</v>
      </c>
      <c r="AH130" s="171">
        <v>0</v>
      </c>
      <c r="AI130" s="171">
        <v>1.0602523186289999E-7</v>
      </c>
      <c r="AJ130" s="171">
        <v>1.5055666185859399E-8</v>
      </c>
    </row>
    <row r="131" spans="1:36">
      <c r="A131" s="2">
        <v>419</v>
      </c>
      <c r="B131" s="2">
        <v>1472</v>
      </c>
      <c r="C131" s="2" t="s">
        <v>1938</v>
      </c>
      <c r="D131" s="2" t="s">
        <v>1939</v>
      </c>
      <c r="E131" s="4" t="s">
        <v>1321</v>
      </c>
      <c r="F131" s="2" t="s">
        <v>1940</v>
      </c>
      <c r="G131" s="2" t="s">
        <v>1941</v>
      </c>
      <c r="H131" s="2" t="s">
        <v>324</v>
      </c>
      <c r="I131" s="2" t="s">
        <v>973</v>
      </c>
      <c r="J131" s="2" t="s">
        <v>30</v>
      </c>
      <c r="K131" s="2" t="s">
        <v>30</v>
      </c>
      <c r="L131" s="2" t="s">
        <v>330</v>
      </c>
      <c r="M131" s="2" t="s">
        <v>31</v>
      </c>
      <c r="N131" s="2" t="s">
        <v>450</v>
      </c>
      <c r="O131" s="2" t="s">
        <v>140</v>
      </c>
      <c r="P131" s="2" t="s">
        <v>1942</v>
      </c>
      <c r="Q131" s="2" t="s">
        <v>418</v>
      </c>
      <c r="R131" s="2" t="s">
        <v>410</v>
      </c>
      <c r="S131" s="2" t="s">
        <v>34</v>
      </c>
      <c r="T131" s="156">
        <v>2.2480000000000002</v>
      </c>
      <c r="U131" s="2" t="s">
        <v>1943</v>
      </c>
      <c r="V131" s="169">
        <v>2.5499999999999998E-2</v>
      </c>
      <c r="W131" s="171">
        <v>6.0019999999999997E-2</v>
      </c>
      <c r="X131" s="4" t="s">
        <v>415</v>
      </c>
      <c r="Y131" s="4" t="s">
        <v>140</v>
      </c>
      <c r="Z131" s="156">
        <v>21872</v>
      </c>
      <c r="AA131" s="165">
        <v>1</v>
      </c>
      <c r="AB131" s="182">
        <v>93.37</v>
      </c>
      <c r="AD131" s="156">
        <v>20.422000000000001</v>
      </c>
      <c r="AG131" s="2" t="s">
        <v>36</v>
      </c>
      <c r="AH131" s="171">
        <v>2.8E-5</v>
      </c>
      <c r="AI131" s="171">
        <v>1.3783405949696299E-2</v>
      </c>
      <c r="AJ131" s="171">
        <v>1.9572544689282802E-3</v>
      </c>
    </row>
    <row r="132" spans="1:36">
      <c r="A132" s="2">
        <v>419</v>
      </c>
      <c r="B132" s="2">
        <v>1472</v>
      </c>
      <c r="C132" s="2" t="s">
        <v>1944</v>
      </c>
      <c r="D132" s="2" t="s">
        <v>1945</v>
      </c>
      <c r="E132" s="4" t="s">
        <v>1321</v>
      </c>
      <c r="F132" s="2" t="s">
        <v>1946</v>
      </c>
      <c r="G132" s="2" t="s">
        <v>1947</v>
      </c>
      <c r="H132" s="2" t="s">
        <v>324</v>
      </c>
      <c r="I132" s="2" t="s">
        <v>973</v>
      </c>
      <c r="J132" s="2" t="s">
        <v>30</v>
      </c>
      <c r="K132" s="2" t="s">
        <v>30</v>
      </c>
      <c r="L132" s="2" t="s">
        <v>330</v>
      </c>
      <c r="M132" s="2" t="s">
        <v>31</v>
      </c>
      <c r="N132" s="2" t="s">
        <v>448</v>
      </c>
      <c r="O132" s="2" t="s">
        <v>140</v>
      </c>
      <c r="P132" s="2" t="s">
        <v>1942</v>
      </c>
      <c r="Q132" s="2" t="s">
        <v>418</v>
      </c>
      <c r="R132" s="2" t="s">
        <v>410</v>
      </c>
      <c r="S132" s="2" t="s">
        <v>34</v>
      </c>
      <c r="T132" s="156">
        <v>3.9980000000000002</v>
      </c>
      <c r="U132" s="2" t="s">
        <v>1948</v>
      </c>
      <c r="V132" s="169">
        <v>2.18E-2</v>
      </c>
      <c r="W132" s="171">
        <v>6.139E-2</v>
      </c>
      <c r="X132" s="4" t="s">
        <v>415</v>
      </c>
      <c r="Y132" s="4" t="s">
        <v>140</v>
      </c>
      <c r="Z132" s="156">
        <v>37000</v>
      </c>
      <c r="AA132" s="165">
        <v>1</v>
      </c>
      <c r="AB132" s="182">
        <v>86.45</v>
      </c>
      <c r="AD132" s="156">
        <v>31.986000000000001</v>
      </c>
      <c r="AG132" s="2" t="s">
        <v>36</v>
      </c>
      <c r="AH132" s="171">
        <v>2.2499999999999999E-4</v>
      </c>
      <c r="AI132" s="171">
        <v>2.1588745808025001E-2</v>
      </c>
      <c r="AJ132" s="171">
        <v>3.0656188583232098E-3</v>
      </c>
    </row>
    <row r="133" spans="1:36">
      <c r="A133" s="2">
        <v>419</v>
      </c>
      <c r="B133" s="2">
        <v>1472</v>
      </c>
      <c r="C133" s="2" t="s">
        <v>1957</v>
      </c>
      <c r="D133" s="2" t="s">
        <v>1958</v>
      </c>
      <c r="E133" s="4" t="s">
        <v>1321</v>
      </c>
      <c r="F133" s="2" t="s">
        <v>1959</v>
      </c>
      <c r="G133" s="2" t="s">
        <v>1960</v>
      </c>
      <c r="H133" s="2" t="s">
        <v>324</v>
      </c>
      <c r="I133" s="2" t="s">
        <v>973</v>
      </c>
      <c r="J133" s="2" t="s">
        <v>30</v>
      </c>
      <c r="K133" s="2" t="s">
        <v>30</v>
      </c>
      <c r="L133" s="2" t="s">
        <v>330</v>
      </c>
      <c r="M133" s="2" t="s">
        <v>31</v>
      </c>
      <c r="N133" s="2" t="s">
        <v>467</v>
      </c>
      <c r="O133" s="2" t="s">
        <v>140</v>
      </c>
      <c r="P133" s="2" t="s">
        <v>1921</v>
      </c>
      <c r="Q133" s="2" t="s">
        <v>416</v>
      </c>
      <c r="R133" s="2" t="s">
        <v>410</v>
      </c>
      <c r="S133" s="2" t="s">
        <v>34</v>
      </c>
      <c r="T133" s="156">
        <v>3.9049999999999998</v>
      </c>
      <c r="U133" s="2" t="s">
        <v>1961</v>
      </c>
      <c r="V133" s="169">
        <v>2.41E-2</v>
      </c>
      <c r="W133" s="171">
        <v>6.3320000000000001E-2</v>
      </c>
      <c r="X133" s="4" t="s">
        <v>415</v>
      </c>
      <c r="Y133" s="4" t="s">
        <v>140</v>
      </c>
      <c r="Z133" s="156">
        <v>9777.7800000000007</v>
      </c>
      <c r="AA133" s="165">
        <v>1</v>
      </c>
      <c r="AB133" s="182">
        <v>86.08</v>
      </c>
      <c r="AD133" s="156">
        <v>8.4169999999999998</v>
      </c>
      <c r="AG133" s="2" t="s">
        <v>36</v>
      </c>
      <c r="AH133" s="171">
        <v>5.0000000000000004E-6</v>
      </c>
      <c r="AI133" s="171">
        <v>5.6807177407415298E-3</v>
      </c>
      <c r="AJ133" s="171">
        <v>8.0666638023756804E-4</v>
      </c>
    </row>
    <row r="134" spans="1:36">
      <c r="A134" s="2">
        <v>419</v>
      </c>
      <c r="B134" s="2">
        <v>1472</v>
      </c>
      <c r="C134" s="2" t="s">
        <v>1575</v>
      </c>
      <c r="D134" s="2" t="s">
        <v>1576</v>
      </c>
      <c r="E134" s="4" t="s">
        <v>1321</v>
      </c>
      <c r="F134" s="2" t="s">
        <v>1965</v>
      </c>
      <c r="G134" s="2" t="s">
        <v>1966</v>
      </c>
      <c r="H134" s="2" t="s">
        <v>324</v>
      </c>
      <c r="I134" s="2" t="s">
        <v>973</v>
      </c>
      <c r="J134" s="2" t="s">
        <v>30</v>
      </c>
      <c r="K134" s="2" t="s">
        <v>30</v>
      </c>
      <c r="L134" s="2" t="s">
        <v>330</v>
      </c>
      <c r="M134" s="2" t="s">
        <v>31</v>
      </c>
      <c r="N134" s="2" t="s">
        <v>454</v>
      </c>
      <c r="O134" s="2" t="s">
        <v>140</v>
      </c>
      <c r="P134" s="2" t="s">
        <v>1915</v>
      </c>
      <c r="Q134" s="2" t="s">
        <v>416</v>
      </c>
      <c r="R134" s="2" t="s">
        <v>410</v>
      </c>
      <c r="S134" s="2" t="s">
        <v>34</v>
      </c>
      <c r="T134" s="156">
        <v>1.208</v>
      </c>
      <c r="U134" s="2" t="s">
        <v>1967</v>
      </c>
      <c r="V134" s="169">
        <v>0.04</v>
      </c>
      <c r="W134" s="171">
        <v>5.4780000000000002E-2</v>
      </c>
      <c r="X134" s="4" t="s">
        <v>415</v>
      </c>
      <c r="Y134" s="4" t="s">
        <v>140</v>
      </c>
      <c r="Z134" s="156">
        <v>400</v>
      </c>
      <c r="AA134" s="165">
        <v>1</v>
      </c>
      <c r="AB134" s="182">
        <v>99.35</v>
      </c>
      <c r="AD134" s="156">
        <v>0.39700000000000002</v>
      </c>
      <c r="AG134" s="2" t="s">
        <v>36</v>
      </c>
      <c r="AH134" s="171">
        <v>3.0000000000000001E-6</v>
      </c>
      <c r="AI134" s="171">
        <v>2.68218391637382E-4</v>
      </c>
      <c r="AJ134" s="171">
        <v>3.8087222243685399E-5</v>
      </c>
    </row>
    <row r="135" spans="1:36">
      <c r="A135" s="2">
        <v>419</v>
      </c>
      <c r="B135" s="2">
        <v>1472</v>
      </c>
      <c r="C135" s="2" t="s">
        <v>1575</v>
      </c>
      <c r="D135" s="2" t="s">
        <v>1576</v>
      </c>
      <c r="E135" s="4" t="s">
        <v>1321</v>
      </c>
      <c r="F135" s="2" t="s">
        <v>1968</v>
      </c>
      <c r="G135" s="2" t="s">
        <v>1969</v>
      </c>
      <c r="H135" s="2" t="s">
        <v>324</v>
      </c>
      <c r="I135" s="2" t="s">
        <v>973</v>
      </c>
      <c r="J135" s="2" t="s">
        <v>30</v>
      </c>
      <c r="K135" s="2" t="s">
        <v>30</v>
      </c>
      <c r="L135" s="2" t="s">
        <v>330</v>
      </c>
      <c r="M135" s="2" t="s">
        <v>31</v>
      </c>
      <c r="N135" s="2" t="s">
        <v>454</v>
      </c>
      <c r="O135" s="2" t="s">
        <v>140</v>
      </c>
      <c r="P135" s="2" t="s">
        <v>1915</v>
      </c>
      <c r="Q135" s="2" t="s">
        <v>416</v>
      </c>
      <c r="R135" s="2" t="s">
        <v>410</v>
      </c>
      <c r="S135" s="2" t="s">
        <v>34</v>
      </c>
      <c r="T135" s="156">
        <v>2.2240000000000002</v>
      </c>
      <c r="U135" s="2" t="s">
        <v>1970</v>
      </c>
      <c r="V135" s="169">
        <v>0.04</v>
      </c>
      <c r="W135" s="171">
        <v>5.774E-2</v>
      </c>
      <c r="X135" s="4" t="s">
        <v>415</v>
      </c>
      <c r="Y135" s="4" t="s">
        <v>140</v>
      </c>
      <c r="Z135" s="156">
        <v>14875</v>
      </c>
      <c r="AA135" s="165">
        <v>1</v>
      </c>
      <c r="AB135" s="182">
        <v>96.04</v>
      </c>
      <c r="AD135" s="156">
        <v>14.286</v>
      </c>
      <c r="AG135" s="2" t="s">
        <v>36</v>
      </c>
      <c r="AH135" s="171">
        <v>2.1999999999999999E-5</v>
      </c>
      <c r="AI135" s="171">
        <v>9.6420597181984292E-3</v>
      </c>
      <c r="AJ135" s="171">
        <v>1.3691800518675799E-3</v>
      </c>
    </row>
    <row r="136" spans="1:36">
      <c r="A136" s="2">
        <v>419</v>
      </c>
      <c r="B136" s="2">
        <v>1472</v>
      </c>
      <c r="C136" s="2" t="s">
        <v>2385</v>
      </c>
      <c r="D136" s="2" t="s">
        <v>2386</v>
      </c>
      <c r="E136" s="4" t="s">
        <v>1321</v>
      </c>
      <c r="F136" s="2" t="s">
        <v>2387</v>
      </c>
      <c r="G136" s="2" t="s">
        <v>2388</v>
      </c>
      <c r="H136" s="2" t="s">
        <v>324</v>
      </c>
      <c r="I136" s="2" t="s">
        <v>973</v>
      </c>
      <c r="J136" s="2" t="s">
        <v>30</v>
      </c>
      <c r="K136" s="2" t="s">
        <v>228</v>
      </c>
      <c r="L136" s="2" t="s">
        <v>330</v>
      </c>
      <c r="M136" s="2" t="s">
        <v>31</v>
      </c>
      <c r="N136" s="2" t="s">
        <v>446</v>
      </c>
      <c r="O136" s="2" t="s">
        <v>140</v>
      </c>
      <c r="P136" s="2" t="s">
        <v>1915</v>
      </c>
      <c r="Q136" s="2" t="s">
        <v>416</v>
      </c>
      <c r="R136" s="2" t="s">
        <v>410</v>
      </c>
      <c r="S136" s="2" t="s">
        <v>34</v>
      </c>
      <c r="T136" s="156">
        <v>0.96099999999999997</v>
      </c>
      <c r="U136" s="2" t="s">
        <v>2389</v>
      </c>
      <c r="V136" s="169">
        <v>4.7500000000000001E-2</v>
      </c>
      <c r="W136" s="171">
        <v>6.4089999999999994E-2</v>
      </c>
      <c r="X136" s="4" t="s">
        <v>415</v>
      </c>
      <c r="Y136" s="4" t="s">
        <v>140</v>
      </c>
      <c r="Z136" s="156">
        <v>11950</v>
      </c>
      <c r="AA136" s="165">
        <v>1</v>
      </c>
      <c r="AB136" s="182">
        <v>98.68</v>
      </c>
      <c r="AD136" s="156">
        <v>11.792</v>
      </c>
      <c r="AG136" s="2" t="s">
        <v>36</v>
      </c>
      <c r="AH136" s="171">
        <v>1.9000000000000001E-5</v>
      </c>
      <c r="AI136" s="171">
        <v>7.9589859360086404E-3</v>
      </c>
      <c r="AJ136" s="171">
        <v>1.13018225308335E-3</v>
      </c>
    </row>
    <row r="137" spans="1:36">
      <c r="A137" s="2">
        <v>419</v>
      </c>
      <c r="B137" s="2">
        <v>1472</v>
      </c>
      <c r="C137" s="2" t="s">
        <v>1979</v>
      </c>
      <c r="D137" s="2" t="s">
        <v>1980</v>
      </c>
      <c r="E137" s="4" t="s">
        <v>1321</v>
      </c>
      <c r="F137" s="2" t="s">
        <v>1981</v>
      </c>
      <c r="G137" s="2" t="s">
        <v>1982</v>
      </c>
      <c r="H137" s="2" t="s">
        <v>324</v>
      </c>
      <c r="I137" s="2" t="s">
        <v>760</v>
      </c>
      <c r="J137" s="2" t="s">
        <v>30</v>
      </c>
      <c r="K137" s="2" t="s">
        <v>30</v>
      </c>
      <c r="L137" s="2" t="s">
        <v>330</v>
      </c>
      <c r="M137" s="2" t="s">
        <v>31</v>
      </c>
      <c r="N137" s="2" t="s">
        <v>468</v>
      </c>
      <c r="O137" s="2" t="s">
        <v>140</v>
      </c>
      <c r="P137" s="2" t="s">
        <v>1942</v>
      </c>
      <c r="Q137" s="2" t="s">
        <v>418</v>
      </c>
      <c r="R137" s="2" t="s">
        <v>410</v>
      </c>
      <c r="S137" s="2" t="s">
        <v>34</v>
      </c>
      <c r="T137" s="156">
        <v>1.7330000000000001</v>
      </c>
      <c r="U137" s="2" t="s">
        <v>1983</v>
      </c>
      <c r="V137" s="169">
        <v>2.5700000000000001E-2</v>
      </c>
      <c r="W137" s="171">
        <v>3.109E-2</v>
      </c>
      <c r="X137" s="4" t="s">
        <v>415</v>
      </c>
      <c r="Y137" s="4" t="s">
        <v>140</v>
      </c>
      <c r="Z137" s="156">
        <v>10571</v>
      </c>
      <c r="AA137" s="165">
        <v>1</v>
      </c>
      <c r="AB137" s="182">
        <v>116.88</v>
      </c>
      <c r="AD137" s="156">
        <v>12.355</v>
      </c>
      <c r="AG137" s="2" t="s">
        <v>36</v>
      </c>
      <c r="AH137" s="171">
        <v>7.9999999999999996E-6</v>
      </c>
      <c r="AI137" s="171">
        <v>8.3390574713561993E-3</v>
      </c>
      <c r="AJ137" s="171">
        <v>1.18415270957185E-3</v>
      </c>
    </row>
    <row r="138" spans="1:36">
      <c r="A138" s="2">
        <v>419</v>
      </c>
      <c r="B138" s="2">
        <v>1472</v>
      </c>
      <c r="C138" s="2" t="s">
        <v>1979</v>
      </c>
      <c r="D138" s="2" t="s">
        <v>1980</v>
      </c>
      <c r="E138" s="4" t="s">
        <v>1321</v>
      </c>
      <c r="F138" s="2" t="s">
        <v>1984</v>
      </c>
      <c r="G138" s="2" t="s">
        <v>1985</v>
      </c>
      <c r="H138" s="2" t="s">
        <v>324</v>
      </c>
      <c r="I138" s="2" t="s">
        <v>760</v>
      </c>
      <c r="J138" s="2" t="s">
        <v>30</v>
      </c>
      <c r="K138" s="2" t="s">
        <v>30</v>
      </c>
      <c r="L138" s="2" t="s">
        <v>330</v>
      </c>
      <c r="M138" s="2" t="s">
        <v>31</v>
      </c>
      <c r="N138" s="2" t="s">
        <v>468</v>
      </c>
      <c r="O138" s="2" t="s">
        <v>140</v>
      </c>
      <c r="P138" s="2" t="s">
        <v>1942</v>
      </c>
      <c r="Q138" s="2" t="s">
        <v>418</v>
      </c>
      <c r="R138" s="2" t="s">
        <v>410</v>
      </c>
      <c r="S138" s="2" t="s">
        <v>34</v>
      </c>
      <c r="T138" s="156">
        <v>3.3610000000000002</v>
      </c>
      <c r="U138" s="2" t="s">
        <v>1986</v>
      </c>
      <c r="V138" s="169">
        <v>1.54E-2</v>
      </c>
      <c r="W138" s="171">
        <v>3.662E-2</v>
      </c>
      <c r="X138" s="4" t="s">
        <v>415</v>
      </c>
      <c r="Y138" s="4" t="s">
        <v>140</v>
      </c>
      <c r="Z138" s="156">
        <v>30000</v>
      </c>
      <c r="AA138" s="165">
        <v>1</v>
      </c>
      <c r="AB138" s="182">
        <v>100.74</v>
      </c>
      <c r="AD138" s="156">
        <v>30.222000000000001</v>
      </c>
      <c r="AG138" s="2" t="s">
        <v>36</v>
      </c>
      <c r="AH138" s="171">
        <v>5.0000000000000002E-5</v>
      </c>
      <c r="AI138" s="171">
        <v>2.0397826452101E-2</v>
      </c>
      <c r="AJ138" s="171">
        <v>2.8965073745562701E-3</v>
      </c>
    </row>
    <row r="139" spans="1:36">
      <c r="A139" s="2">
        <v>419</v>
      </c>
      <c r="B139" s="2">
        <v>1472</v>
      </c>
      <c r="C139" s="2" t="s">
        <v>1979</v>
      </c>
      <c r="D139" s="2" t="s">
        <v>1980</v>
      </c>
      <c r="E139" s="4" t="s">
        <v>1321</v>
      </c>
      <c r="F139" s="2" t="s">
        <v>1987</v>
      </c>
      <c r="G139" s="2" t="s">
        <v>1988</v>
      </c>
      <c r="H139" s="2" t="s">
        <v>324</v>
      </c>
      <c r="I139" s="2" t="s">
        <v>760</v>
      </c>
      <c r="J139" s="2" t="s">
        <v>30</v>
      </c>
      <c r="K139" s="2" t="s">
        <v>30</v>
      </c>
      <c r="L139" s="2" t="s">
        <v>330</v>
      </c>
      <c r="M139" s="2" t="s">
        <v>49</v>
      </c>
      <c r="N139" s="2" t="s">
        <v>468</v>
      </c>
      <c r="O139" s="2" t="s">
        <v>140</v>
      </c>
      <c r="P139" s="2" t="s">
        <v>1915</v>
      </c>
      <c r="Q139" s="2" t="s">
        <v>416</v>
      </c>
      <c r="R139" s="2" t="s">
        <v>410</v>
      </c>
      <c r="S139" s="2" t="s">
        <v>34</v>
      </c>
      <c r="T139" s="156">
        <v>7.1020000000000003</v>
      </c>
      <c r="U139" s="2" t="s">
        <v>1989</v>
      </c>
      <c r="V139" s="169">
        <v>4.02E-2</v>
      </c>
      <c r="W139" s="171">
        <v>3.9660000000000001E-2</v>
      </c>
      <c r="X139" s="4" t="s">
        <v>415</v>
      </c>
      <c r="Y139" s="4" t="s">
        <v>140</v>
      </c>
      <c r="Z139" s="156">
        <v>15000</v>
      </c>
      <c r="AA139" s="165">
        <v>1</v>
      </c>
      <c r="AB139" s="182">
        <v>101.8</v>
      </c>
      <c r="AD139" s="156">
        <v>15.27</v>
      </c>
      <c r="AG139" s="2" t="s">
        <v>36</v>
      </c>
      <c r="AH139" s="171">
        <v>4.3000000000000002E-5</v>
      </c>
      <c r="AI139" s="171">
        <v>1.0306227580027199E-2</v>
      </c>
      <c r="AJ139" s="171">
        <v>1.4634924098165E-3</v>
      </c>
    </row>
    <row r="140" spans="1:36">
      <c r="A140" s="2">
        <v>419</v>
      </c>
      <c r="B140" s="2">
        <v>1472</v>
      </c>
      <c r="C140" s="2" t="s">
        <v>1995</v>
      </c>
      <c r="D140" s="2" t="s">
        <v>1996</v>
      </c>
      <c r="E140" s="4" t="s">
        <v>1321</v>
      </c>
      <c r="F140" s="2" t="s">
        <v>1997</v>
      </c>
      <c r="G140" s="2" t="s">
        <v>1998</v>
      </c>
      <c r="H140" s="2" t="s">
        <v>324</v>
      </c>
      <c r="I140" s="2" t="s">
        <v>973</v>
      </c>
      <c r="J140" s="2" t="s">
        <v>30</v>
      </c>
      <c r="K140" s="2" t="s">
        <v>30</v>
      </c>
      <c r="L140" s="2" t="s">
        <v>330</v>
      </c>
      <c r="M140" s="2" t="s">
        <v>31</v>
      </c>
      <c r="N140" s="2" t="s">
        <v>454</v>
      </c>
      <c r="O140" s="2" t="s">
        <v>140</v>
      </c>
      <c r="P140" s="2" t="s">
        <v>1956</v>
      </c>
      <c r="Q140" s="2" t="s">
        <v>416</v>
      </c>
      <c r="R140" s="2" t="s">
        <v>410</v>
      </c>
      <c r="S140" s="2" t="s">
        <v>34</v>
      </c>
      <c r="T140" s="156">
        <v>5.5060000000000002</v>
      </c>
      <c r="U140" s="2" t="s">
        <v>1999</v>
      </c>
      <c r="V140" s="169">
        <v>5.3100000000000001E-2</v>
      </c>
      <c r="W140" s="171">
        <v>5.9760000000000001E-2</v>
      </c>
      <c r="X140" s="4" t="s">
        <v>415</v>
      </c>
      <c r="Y140" s="4" t="s">
        <v>140</v>
      </c>
      <c r="Z140" s="156">
        <v>4000</v>
      </c>
      <c r="AA140" s="165">
        <v>1</v>
      </c>
      <c r="AB140" s="182">
        <v>97.42</v>
      </c>
      <c r="AD140" s="156">
        <v>3.8969999999999998</v>
      </c>
      <c r="AG140" s="2" t="s">
        <v>36</v>
      </c>
      <c r="AH140" s="171">
        <v>1.2999999999999999E-5</v>
      </c>
      <c r="AI140" s="171">
        <v>2.6300790853863898E-3</v>
      </c>
      <c r="AJ140" s="171">
        <v>3.73473295518856E-4</v>
      </c>
    </row>
    <row r="141" spans="1:36">
      <c r="A141" s="2">
        <v>419</v>
      </c>
      <c r="B141" s="2">
        <v>1472</v>
      </c>
      <c r="C141" s="2" t="s">
        <v>1952</v>
      </c>
      <c r="D141" s="2" t="s">
        <v>1953</v>
      </c>
      <c r="E141" s="4" t="s">
        <v>1321</v>
      </c>
      <c r="F141" s="2" t="s">
        <v>2000</v>
      </c>
      <c r="G141" s="2" t="s">
        <v>2001</v>
      </c>
      <c r="H141" s="2" t="s">
        <v>324</v>
      </c>
      <c r="I141" s="2" t="s">
        <v>760</v>
      </c>
      <c r="J141" s="2" t="s">
        <v>30</v>
      </c>
      <c r="K141" s="2" t="s">
        <v>30</v>
      </c>
      <c r="L141" s="2" t="s">
        <v>330</v>
      </c>
      <c r="M141" s="2" t="s">
        <v>31</v>
      </c>
      <c r="N141" s="2" t="s">
        <v>467</v>
      </c>
      <c r="O141" s="2" t="s">
        <v>140</v>
      </c>
      <c r="P141" s="2" t="s">
        <v>1956</v>
      </c>
      <c r="Q141" s="2" t="s">
        <v>416</v>
      </c>
      <c r="R141" s="2" t="s">
        <v>410</v>
      </c>
      <c r="S141" s="2" t="s">
        <v>34</v>
      </c>
      <c r="T141" s="156">
        <v>5.3609999999999998</v>
      </c>
      <c r="U141" s="2" t="s">
        <v>2002</v>
      </c>
      <c r="V141" s="169">
        <v>6.4999999999999997E-3</v>
      </c>
      <c r="W141" s="171">
        <v>3.3059999999999999E-2</v>
      </c>
      <c r="X141" s="4" t="s">
        <v>415</v>
      </c>
      <c r="Y141" s="4" t="s">
        <v>140</v>
      </c>
      <c r="Z141" s="156">
        <v>16614.990000000002</v>
      </c>
      <c r="AA141" s="165">
        <v>1</v>
      </c>
      <c r="AB141" s="182">
        <v>99.45</v>
      </c>
      <c r="AD141" s="156">
        <v>16.524000000000001</v>
      </c>
      <c r="AG141" s="2" t="s">
        <v>36</v>
      </c>
      <c r="AH141" s="171">
        <v>6.9999999999999999E-6</v>
      </c>
      <c r="AI141" s="171">
        <v>1.1152328742952701E-2</v>
      </c>
      <c r="AJ141" s="171">
        <v>1.5836394393928699E-3</v>
      </c>
    </row>
    <row r="142" spans="1:36">
      <c r="A142" s="2">
        <v>419</v>
      </c>
      <c r="B142" s="2">
        <v>1472</v>
      </c>
      <c r="C142" s="2" t="s">
        <v>2003</v>
      </c>
      <c r="D142" s="2" t="s">
        <v>2004</v>
      </c>
      <c r="E142" s="4" t="s">
        <v>1321</v>
      </c>
      <c r="F142" s="2" t="s">
        <v>2005</v>
      </c>
      <c r="G142" s="2" t="s">
        <v>2006</v>
      </c>
      <c r="H142" s="2" t="s">
        <v>324</v>
      </c>
      <c r="I142" s="2" t="s">
        <v>760</v>
      </c>
      <c r="J142" s="2" t="s">
        <v>30</v>
      </c>
      <c r="K142" s="2" t="s">
        <v>30</v>
      </c>
      <c r="L142" s="2" t="s">
        <v>330</v>
      </c>
      <c r="M142" s="2" t="s">
        <v>31</v>
      </c>
      <c r="N142" s="2" t="s">
        <v>467</v>
      </c>
      <c r="O142" s="2" t="s">
        <v>140</v>
      </c>
      <c r="P142" s="2" t="s">
        <v>1942</v>
      </c>
      <c r="Q142" s="2" t="s">
        <v>416</v>
      </c>
      <c r="R142" s="2" t="s">
        <v>410</v>
      </c>
      <c r="S142" s="2" t="s">
        <v>34</v>
      </c>
      <c r="T142" s="156">
        <v>5.99</v>
      </c>
      <c r="U142" s="2" t="s">
        <v>2007</v>
      </c>
      <c r="V142" s="169">
        <v>3.6799999999999999E-2</v>
      </c>
      <c r="W142" s="171">
        <v>4.0779999999999997E-2</v>
      </c>
      <c r="X142" s="4" t="s">
        <v>415</v>
      </c>
      <c r="Y142" s="4" t="s">
        <v>140</v>
      </c>
      <c r="Z142" s="156">
        <v>13000</v>
      </c>
      <c r="AA142" s="165">
        <v>1</v>
      </c>
      <c r="AB142" s="182">
        <v>102.26</v>
      </c>
      <c r="AD142" s="156">
        <v>13.294</v>
      </c>
      <c r="AG142" s="2" t="s">
        <v>36</v>
      </c>
      <c r="AH142" s="171">
        <v>5.3000000000000001E-5</v>
      </c>
      <c r="AI142" s="171">
        <v>8.9724248987142104E-3</v>
      </c>
      <c r="AJ142" s="171">
        <v>1.2740913816384101E-3</v>
      </c>
    </row>
    <row r="143" spans="1:36">
      <c r="A143" s="2">
        <v>419</v>
      </c>
      <c r="B143" s="2">
        <v>1472</v>
      </c>
      <c r="C143" s="2" t="s">
        <v>1599</v>
      </c>
      <c r="D143" s="2" t="s">
        <v>1600</v>
      </c>
      <c r="E143" s="4" t="s">
        <v>1321</v>
      </c>
      <c r="F143" s="2" t="s">
        <v>2390</v>
      </c>
      <c r="G143" s="2" t="s">
        <v>2391</v>
      </c>
      <c r="H143" s="2" t="s">
        <v>324</v>
      </c>
      <c r="I143" s="2" t="s">
        <v>973</v>
      </c>
      <c r="J143" s="2" t="s">
        <v>30</v>
      </c>
      <c r="K143" s="2" t="s">
        <v>30</v>
      </c>
      <c r="L143" s="2" t="s">
        <v>330</v>
      </c>
      <c r="M143" s="2" t="s">
        <v>31</v>
      </c>
      <c r="N143" s="2" t="s">
        <v>488</v>
      </c>
      <c r="O143" s="2" t="s">
        <v>140</v>
      </c>
      <c r="P143" s="2" t="s">
        <v>1956</v>
      </c>
      <c r="Q143" s="2" t="s">
        <v>416</v>
      </c>
      <c r="R143" s="2" t="s">
        <v>410</v>
      </c>
      <c r="S143" s="2" t="s">
        <v>34</v>
      </c>
      <c r="T143" s="156">
        <v>0.37</v>
      </c>
      <c r="U143" s="2" t="s">
        <v>2392</v>
      </c>
      <c r="V143" s="169">
        <v>3.6499999999999998E-2</v>
      </c>
      <c r="W143" s="171">
        <v>5.0500000000000003E-2</v>
      </c>
      <c r="X143" s="4" t="s">
        <v>415</v>
      </c>
      <c r="Y143" s="4" t="s">
        <v>140</v>
      </c>
      <c r="Z143" s="156">
        <v>5993.27</v>
      </c>
      <c r="AA143" s="165">
        <v>1</v>
      </c>
      <c r="AB143" s="182">
        <v>100.35</v>
      </c>
      <c r="AD143" s="156">
        <v>6.0140000000000002</v>
      </c>
      <c r="AG143" s="2" t="s">
        <v>36</v>
      </c>
      <c r="AH143" s="171">
        <v>6.0000000000000002E-6</v>
      </c>
      <c r="AI143" s="171">
        <v>4.0592136597603001E-3</v>
      </c>
      <c r="AJ143" s="171">
        <v>5.7641152737546598E-4</v>
      </c>
    </row>
    <row r="144" spans="1:36">
      <c r="A144" s="2">
        <v>419</v>
      </c>
      <c r="B144" s="2">
        <v>1472</v>
      </c>
      <c r="C144" s="2" t="s">
        <v>2014</v>
      </c>
      <c r="D144" s="2" t="s">
        <v>2015</v>
      </c>
      <c r="E144" s="4" t="s">
        <v>1321</v>
      </c>
      <c r="F144" s="2" t="s">
        <v>2393</v>
      </c>
      <c r="G144" s="2" t="s">
        <v>2394</v>
      </c>
      <c r="H144" s="2" t="s">
        <v>324</v>
      </c>
      <c r="I144" s="2" t="s">
        <v>973</v>
      </c>
      <c r="J144" s="2" t="s">
        <v>30</v>
      </c>
      <c r="K144" s="2" t="s">
        <v>30</v>
      </c>
      <c r="L144" s="2" t="s">
        <v>330</v>
      </c>
      <c r="M144" s="2" t="s">
        <v>31</v>
      </c>
      <c r="N144" s="2" t="s">
        <v>488</v>
      </c>
      <c r="O144" s="2" t="s">
        <v>140</v>
      </c>
      <c r="P144" s="2" t="s">
        <v>1927</v>
      </c>
      <c r="Q144" s="2" t="s">
        <v>418</v>
      </c>
      <c r="R144" s="2" t="s">
        <v>410</v>
      </c>
      <c r="S144" s="2" t="s">
        <v>34</v>
      </c>
      <c r="T144" s="156">
        <v>2.0739999999999998</v>
      </c>
      <c r="U144" s="2" t="s">
        <v>2395</v>
      </c>
      <c r="V144" s="169">
        <v>3.6499999999999998E-2</v>
      </c>
      <c r="W144" s="171">
        <v>5.5930000000000001E-2</v>
      </c>
      <c r="X144" s="4" t="s">
        <v>415</v>
      </c>
      <c r="Y144" s="4" t="s">
        <v>140</v>
      </c>
      <c r="Z144" s="156">
        <v>39569</v>
      </c>
      <c r="AA144" s="165">
        <v>1</v>
      </c>
      <c r="AB144" s="182">
        <v>97.46</v>
      </c>
      <c r="AD144" s="156">
        <v>38.564</v>
      </c>
      <c r="AG144" s="2" t="s">
        <v>36</v>
      </c>
      <c r="AH144" s="171">
        <v>3.8999999999999999E-5</v>
      </c>
      <c r="AI144" s="171">
        <v>2.60280824026588E-2</v>
      </c>
      <c r="AJ144" s="171">
        <v>3.6960081409602298E-3</v>
      </c>
    </row>
    <row r="145" spans="1:36">
      <c r="A145" s="2">
        <v>419</v>
      </c>
      <c r="B145" s="2">
        <v>1472</v>
      </c>
      <c r="C145" s="2" t="s">
        <v>1603</v>
      </c>
      <c r="D145" s="2" t="s">
        <v>1604</v>
      </c>
      <c r="E145" s="4" t="s">
        <v>1321</v>
      </c>
      <c r="F145" s="2" t="s">
        <v>2396</v>
      </c>
      <c r="G145" s="2" t="s">
        <v>2397</v>
      </c>
      <c r="H145" s="2" t="s">
        <v>324</v>
      </c>
      <c r="I145" s="2" t="s">
        <v>760</v>
      </c>
      <c r="J145" s="2" t="s">
        <v>30</v>
      </c>
      <c r="K145" s="2" t="s">
        <v>30</v>
      </c>
      <c r="L145" s="2" t="s">
        <v>330</v>
      </c>
      <c r="M145" s="2" t="s">
        <v>31</v>
      </c>
      <c r="N145" s="2" t="s">
        <v>467</v>
      </c>
      <c r="O145" s="2" t="s">
        <v>140</v>
      </c>
      <c r="P145" s="2" t="s">
        <v>1921</v>
      </c>
      <c r="Q145" s="2" t="s">
        <v>418</v>
      </c>
      <c r="R145" s="2" t="s">
        <v>410</v>
      </c>
      <c r="S145" s="2" t="s">
        <v>34</v>
      </c>
      <c r="T145" s="156">
        <v>4.4729999999999999</v>
      </c>
      <c r="U145" s="2" t="s">
        <v>2398</v>
      </c>
      <c r="V145" s="169">
        <v>1.17E-2</v>
      </c>
      <c r="W145" s="171">
        <v>3.1579999999999997E-2</v>
      </c>
      <c r="X145" s="4" t="s">
        <v>415</v>
      </c>
      <c r="Y145" s="4" t="s">
        <v>140</v>
      </c>
      <c r="Z145" s="156">
        <v>12600</v>
      </c>
      <c r="AA145" s="165">
        <v>1</v>
      </c>
      <c r="AB145" s="182">
        <v>105.29</v>
      </c>
      <c r="AD145" s="156">
        <v>13.266999999999999</v>
      </c>
      <c r="AG145" s="2" t="s">
        <v>36</v>
      </c>
      <c r="AH145" s="171">
        <v>1.8E-5</v>
      </c>
      <c r="AI145" s="171">
        <v>8.9540262239380802E-3</v>
      </c>
      <c r="AJ145" s="171">
        <v>1.2714787553717701E-3</v>
      </c>
    </row>
    <row r="146" spans="1:36">
      <c r="A146" s="2">
        <v>419</v>
      </c>
      <c r="B146" s="2">
        <v>1472</v>
      </c>
      <c r="C146" s="2" t="s">
        <v>1603</v>
      </c>
      <c r="D146" s="2" t="s">
        <v>1604</v>
      </c>
      <c r="E146" s="4" t="s">
        <v>1321</v>
      </c>
      <c r="F146" s="2" t="s">
        <v>2019</v>
      </c>
      <c r="G146" s="2" t="s">
        <v>2020</v>
      </c>
      <c r="H146" s="2" t="s">
        <v>324</v>
      </c>
      <c r="I146" s="2" t="s">
        <v>760</v>
      </c>
      <c r="J146" s="2" t="s">
        <v>30</v>
      </c>
      <c r="K146" s="2" t="s">
        <v>30</v>
      </c>
      <c r="L146" s="2" t="s">
        <v>330</v>
      </c>
      <c r="M146" s="2" t="s">
        <v>31</v>
      </c>
      <c r="N146" s="2" t="s">
        <v>467</v>
      </c>
      <c r="O146" s="2" t="s">
        <v>140</v>
      </c>
      <c r="P146" s="2" t="s">
        <v>1921</v>
      </c>
      <c r="Q146" s="2" t="s">
        <v>418</v>
      </c>
      <c r="R146" s="2" t="s">
        <v>410</v>
      </c>
      <c r="S146" s="2" t="s">
        <v>34</v>
      </c>
      <c r="T146" s="156">
        <v>4.3570000000000002</v>
      </c>
      <c r="U146" s="2" t="s">
        <v>1986</v>
      </c>
      <c r="V146" s="169">
        <v>1.3299999999999999E-2</v>
      </c>
      <c r="W146" s="171">
        <v>3.1530000000000002E-2</v>
      </c>
      <c r="X146" s="4" t="s">
        <v>415</v>
      </c>
      <c r="Y146" s="4" t="s">
        <v>140</v>
      </c>
      <c r="Z146" s="156">
        <v>18050</v>
      </c>
      <c r="AA146" s="165">
        <v>1</v>
      </c>
      <c r="AB146" s="182">
        <v>106.76</v>
      </c>
      <c r="AD146" s="156">
        <v>19.27</v>
      </c>
      <c r="AG146" s="2" t="s">
        <v>36</v>
      </c>
      <c r="AH146" s="171">
        <v>1.5E-5</v>
      </c>
      <c r="AI146" s="171">
        <v>1.30060812434898E-2</v>
      </c>
      <c r="AJ146" s="171">
        <v>1.8468737502159601E-3</v>
      </c>
    </row>
    <row r="147" spans="1:36">
      <c r="A147" s="2">
        <v>419</v>
      </c>
      <c r="B147" s="2">
        <v>1472</v>
      </c>
      <c r="C147" s="2" t="s">
        <v>1603</v>
      </c>
      <c r="D147" s="2" t="s">
        <v>1604</v>
      </c>
      <c r="E147" s="4" t="s">
        <v>1321</v>
      </c>
      <c r="F147" s="2" t="s">
        <v>2021</v>
      </c>
      <c r="G147" s="2" t="s">
        <v>2022</v>
      </c>
      <c r="H147" s="2" t="s">
        <v>324</v>
      </c>
      <c r="I147" s="2" t="s">
        <v>760</v>
      </c>
      <c r="J147" s="2" t="s">
        <v>30</v>
      </c>
      <c r="K147" s="2" t="s">
        <v>30</v>
      </c>
      <c r="L147" s="2" t="s">
        <v>330</v>
      </c>
      <c r="M147" s="2" t="s">
        <v>31</v>
      </c>
      <c r="N147" s="2" t="s">
        <v>467</v>
      </c>
      <c r="O147" s="2" t="s">
        <v>140</v>
      </c>
      <c r="P147" s="2" t="s">
        <v>1921</v>
      </c>
      <c r="Q147" s="2" t="s">
        <v>416</v>
      </c>
      <c r="R147" s="2" t="s">
        <v>410</v>
      </c>
      <c r="S147" s="2" t="s">
        <v>34</v>
      </c>
      <c r="T147" s="156">
        <v>5.3090000000000002</v>
      </c>
      <c r="U147" s="2" t="s">
        <v>2023</v>
      </c>
      <c r="V147" s="169">
        <v>1.8700000000000001E-2</v>
      </c>
      <c r="W147" s="171">
        <v>3.3750000000000002E-2</v>
      </c>
      <c r="X147" s="4" t="s">
        <v>415</v>
      </c>
      <c r="Y147" s="4" t="s">
        <v>140</v>
      </c>
      <c r="Z147" s="156">
        <v>30800</v>
      </c>
      <c r="AA147" s="165">
        <v>1</v>
      </c>
      <c r="AB147" s="182">
        <v>103.16</v>
      </c>
      <c r="AD147" s="156">
        <v>31.773</v>
      </c>
      <c r="AG147" s="2" t="s">
        <v>36</v>
      </c>
      <c r="AH147" s="171">
        <v>5.8999999999999998E-5</v>
      </c>
      <c r="AI147" s="171">
        <v>2.1444836584409099E-2</v>
      </c>
      <c r="AJ147" s="171">
        <v>3.0451836355582401E-3</v>
      </c>
    </row>
    <row r="148" spans="1:36">
      <c r="A148" s="2">
        <v>419</v>
      </c>
      <c r="B148" s="2">
        <v>1472</v>
      </c>
      <c r="C148" s="2" t="s">
        <v>2024</v>
      </c>
      <c r="D148" s="2" t="s">
        <v>2025</v>
      </c>
      <c r="E148" s="4" t="s">
        <v>1321</v>
      </c>
      <c r="F148" s="2" t="s">
        <v>2026</v>
      </c>
      <c r="G148" s="2" t="s">
        <v>2027</v>
      </c>
      <c r="H148" s="2" t="s">
        <v>324</v>
      </c>
      <c r="I148" s="2" t="s">
        <v>973</v>
      </c>
      <c r="J148" s="2" t="s">
        <v>30</v>
      </c>
      <c r="K148" s="2" t="s">
        <v>30</v>
      </c>
      <c r="L148" s="2" t="s">
        <v>330</v>
      </c>
      <c r="M148" s="2" t="s">
        <v>31</v>
      </c>
      <c r="N148" s="2" t="s">
        <v>443</v>
      </c>
      <c r="O148" s="2" t="s">
        <v>140</v>
      </c>
      <c r="P148" s="2" t="s">
        <v>1915</v>
      </c>
      <c r="Q148" s="2" t="s">
        <v>416</v>
      </c>
      <c r="R148" s="2" t="s">
        <v>410</v>
      </c>
      <c r="S148" s="2" t="s">
        <v>34</v>
      </c>
      <c r="T148" s="156">
        <v>4.0220000000000002</v>
      </c>
      <c r="U148" s="2" t="s">
        <v>2028</v>
      </c>
      <c r="V148" s="169">
        <v>5.7500000000000002E-2</v>
      </c>
      <c r="W148" s="171">
        <v>6.4329999999999998E-2</v>
      </c>
      <c r="X148" s="4" t="s">
        <v>415</v>
      </c>
      <c r="Y148" s="4" t="s">
        <v>140</v>
      </c>
      <c r="Z148" s="156">
        <v>20000</v>
      </c>
      <c r="AA148" s="165">
        <v>1</v>
      </c>
      <c r="AB148" s="182">
        <v>97.51</v>
      </c>
      <c r="AD148" s="156">
        <v>19.501999999999999</v>
      </c>
      <c r="AG148" s="2" t="s">
        <v>36</v>
      </c>
      <c r="AH148" s="171">
        <v>3.8000000000000002E-5</v>
      </c>
      <c r="AI148" s="171">
        <v>1.31625442217217E-2</v>
      </c>
      <c r="AJ148" s="171">
        <v>1.86909161599485E-3</v>
      </c>
    </row>
    <row r="149" spans="1:36">
      <c r="A149" s="2">
        <v>419</v>
      </c>
      <c r="B149" s="2">
        <v>1472</v>
      </c>
      <c r="C149" s="2" t="s">
        <v>2029</v>
      </c>
      <c r="D149" s="2" t="s">
        <v>2030</v>
      </c>
      <c r="E149" s="4" t="s">
        <v>1321</v>
      </c>
      <c r="F149" s="2" t="s">
        <v>2037</v>
      </c>
      <c r="G149" s="2" t="s">
        <v>2038</v>
      </c>
      <c r="H149" s="2" t="s">
        <v>324</v>
      </c>
      <c r="I149" s="2" t="s">
        <v>760</v>
      </c>
      <c r="J149" s="2" t="s">
        <v>30</v>
      </c>
      <c r="K149" s="2" t="s">
        <v>30</v>
      </c>
      <c r="L149" s="2" t="s">
        <v>330</v>
      </c>
      <c r="M149" s="2" t="s">
        <v>31</v>
      </c>
      <c r="N149" s="2" t="s">
        <v>467</v>
      </c>
      <c r="O149" s="2" t="s">
        <v>140</v>
      </c>
      <c r="P149" s="2" t="s">
        <v>1956</v>
      </c>
      <c r="Q149" s="2" t="s">
        <v>416</v>
      </c>
      <c r="R149" s="2" t="s">
        <v>410</v>
      </c>
      <c r="S149" s="2" t="s">
        <v>34</v>
      </c>
      <c r="T149" s="156">
        <v>5.1369999999999996</v>
      </c>
      <c r="U149" s="2" t="s">
        <v>2039</v>
      </c>
      <c r="V149" s="169">
        <v>5.8999999999999999E-3</v>
      </c>
      <c r="W149" s="171">
        <v>3.3239999999999999E-2</v>
      </c>
      <c r="X149" s="4" t="s">
        <v>415</v>
      </c>
      <c r="Y149" s="4" t="s">
        <v>140</v>
      </c>
      <c r="Z149" s="156">
        <v>41425</v>
      </c>
      <c r="AA149" s="165">
        <v>1</v>
      </c>
      <c r="AB149" s="182">
        <v>97.54</v>
      </c>
      <c r="AD149" s="156">
        <v>40.405999999999999</v>
      </c>
      <c r="AG149" s="2" t="s">
        <v>36</v>
      </c>
      <c r="AH149" s="171">
        <v>3.0000000000000001E-5</v>
      </c>
      <c r="AI149" s="171">
        <v>2.7271307449644001E-2</v>
      </c>
      <c r="AJ149" s="171">
        <v>3.8725470739333898E-3</v>
      </c>
    </row>
    <row r="150" spans="1:36">
      <c r="A150" s="2">
        <v>419</v>
      </c>
      <c r="B150" s="2">
        <v>1472</v>
      </c>
      <c r="C150" s="2" t="s">
        <v>1614</v>
      </c>
      <c r="D150" s="2" t="s">
        <v>1615</v>
      </c>
      <c r="E150" s="4" t="s">
        <v>1321</v>
      </c>
      <c r="F150" s="2" t="s">
        <v>2045</v>
      </c>
      <c r="G150" s="2" t="s">
        <v>2046</v>
      </c>
      <c r="H150" s="2" t="s">
        <v>324</v>
      </c>
      <c r="I150" s="2" t="s">
        <v>760</v>
      </c>
      <c r="J150" s="2" t="s">
        <v>30</v>
      </c>
      <c r="K150" s="2" t="s">
        <v>30</v>
      </c>
      <c r="L150" s="2" t="s">
        <v>330</v>
      </c>
      <c r="M150" s="2" t="s">
        <v>31</v>
      </c>
      <c r="N150" s="2" t="s">
        <v>454</v>
      </c>
      <c r="O150" s="2" t="s">
        <v>140</v>
      </c>
      <c r="P150" s="2" t="s">
        <v>1915</v>
      </c>
      <c r="Q150" s="2" t="s">
        <v>416</v>
      </c>
      <c r="R150" s="2" t="s">
        <v>410</v>
      </c>
      <c r="S150" s="2" t="s">
        <v>34</v>
      </c>
      <c r="T150" s="156">
        <v>4.702</v>
      </c>
      <c r="U150" s="2" t="s">
        <v>2047</v>
      </c>
      <c r="V150" s="169">
        <v>7.4999999999999997E-3</v>
      </c>
      <c r="W150" s="171">
        <v>3.6729999999999999E-2</v>
      </c>
      <c r="X150" s="4" t="s">
        <v>415</v>
      </c>
      <c r="Y150" s="4" t="s">
        <v>140</v>
      </c>
      <c r="Z150" s="156">
        <v>18180</v>
      </c>
      <c r="AA150" s="165">
        <v>1</v>
      </c>
      <c r="AB150" s="182">
        <v>97.72</v>
      </c>
      <c r="AD150" s="156">
        <v>17.765000000000001</v>
      </c>
      <c r="AG150" s="2" t="s">
        <v>36</v>
      </c>
      <c r="AH150" s="171">
        <v>1.7E-5</v>
      </c>
      <c r="AI150" s="171">
        <v>1.19905202912943E-2</v>
      </c>
      <c r="AJ150" s="171">
        <v>1.7026632974869299E-3</v>
      </c>
    </row>
    <row r="151" spans="1:36">
      <c r="A151" s="2">
        <v>419</v>
      </c>
      <c r="B151" s="2">
        <v>1472</v>
      </c>
      <c r="C151" s="2" t="s">
        <v>2048</v>
      </c>
      <c r="D151" s="2" t="s">
        <v>2049</v>
      </c>
      <c r="E151" s="4" t="s">
        <v>1321</v>
      </c>
      <c r="F151" s="2" t="s">
        <v>2050</v>
      </c>
      <c r="G151" s="2" t="s">
        <v>2051</v>
      </c>
      <c r="H151" s="2" t="s">
        <v>324</v>
      </c>
      <c r="I151" s="2" t="s">
        <v>760</v>
      </c>
      <c r="J151" s="2" t="s">
        <v>30</v>
      </c>
      <c r="K151" s="2" t="s">
        <v>30</v>
      </c>
      <c r="L151" s="2" t="s">
        <v>330</v>
      </c>
      <c r="M151" s="2" t="s">
        <v>31</v>
      </c>
      <c r="N151" s="2" t="s">
        <v>451</v>
      </c>
      <c r="O151" s="2" t="s">
        <v>140</v>
      </c>
      <c r="P151" s="2" t="s">
        <v>1185</v>
      </c>
      <c r="Q151" s="2" t="s">
        <v>416</v>
      </c>
      <c r="R151" s="2" t="s">
        <v>410</v>
      </c>
      <c r="S151" s="2" t="s">
        <v>34</v>
      </c>
      <c r="T151" s="156">
        <v>4.9290000000000003</v>
      </c>
      <c r="U151" s="2" t="s">
        <v>2052</v>
      </c>
      <c r="V151" s="169">
        <v>2.47E-2</v>
      </c>
      <c r="W151" s="171">
        <v>2.5839999999999998E-2</v>
      </c>
      <c r="X151" s="4" t="s">
        <v>415</v>
      </c>
      <c r="Y151" s="4" t="s">
        <v>140</v>
      </c>
      <c r="Z151" s="156">
        <v>32194</v>
      </c>
      <c r="AA151" s="165">
        <v>1</v>
      </c>
      <c r="AB151" s="182">
        <v>102.7</v>
      </c>
      <c r="AD151" s="156">
        <v>33.063000000000002</v>
      </c>
      <c r="AG151" s="2" t="s">
        <v>36</v>
      </c>
      <c r="AH151" s="171">
        <v>1.1E-5</v>
      </c>
      <c r="AI151" s="171">
        <v>2.23154718638248E-2</v>
      </c>
      <c r="AJ151" s="171">
        <v>3.16881452894279E-3</v>
      </c>
    </row>
    <row r="152" spans="1:36">
      <c r="A152" s="2">
        <v>419</v>
      </c>
      <c r="B152" s="2">
        <v>1472</v>
      </c>
      <c r="C152" s="2" t="s">
        <v>2399</v>
      </c>
      <c r="D152" s="2" t="s">
        <v>2400</v>
      </c>
      <c r="E152" s="4" t="s">
        <v>1321</v>
      </c>
      <c r="F152" s="2" t="s">
        <v>2401</v>
      </c>
      <c r="G152" s="2" t="s">
        <v>2402</v>
      </c>
      <c r="H152" s="2" t="s">
        <v>324</v>
      </c>
      <c r="I152" s="2" t="s">
        <v>760</v>
      </c>
      <c r="J152" s="2" t="s">
        <v>30</v>
      </c>
      <c r="K152" s="2" t="s">
        <v>30</v>
      </c>
      <c r="L152" s="2" t="s">
        <v>330</v>
      </c>
      <c r="M152" s="2" t="s">
        <v>31</v>
      </c>
      <c r="N152" s="2" t="s">
        <v>454</v>
      </c>
      <c r="O152" s="2" t="s">
        <v>140</v>
      </c>
      <c r="P152" s="2" t="s">
        <v>2070</v>
      </c>
      <c r="Q152" s="2" t="s">
        <v>416</v>
      </c>
      <c r="R152" s="2" t="s">
        <v>410</v>
      </c>
      <c r="S152" s="2" t="s">
        <v>34</v>
      </c>
      <c r="T152" s="156">
        <v>0.72899999999999998</v>
      </c>
      <c r="U152" s="2" t="s">
        <v>1916</v>
      </c>
      <c r="V152" s="169">
        <v>4.9500000000000002E-2</v>
      </c>
      <c r="W152" s="171">
        <v>3.5880000000000002E-2</v>
      </c>
      <c r="X152" s="4" t="s">
        <v>415</v>
      </c>
      <c r="Y152" s="4" t="s">
        <v>343</v>
      </c>
      <c r="Z152" s="156">
        <v>0.67</v>
      </c>
      <c r="AA152" s="165">
        <v>1</v>
      </c>
      <c r="AB152" s="182">
        <v>145.86000000000001</v>
      </c>
      <c r="AD152" s="156">
        <v>1E-3</v>
      </c>
      <c r="AG152" s="2" t="s">
        <v>36</v>
      </c>
      <c r="AH152" s="171">
        <v>0</v>
      </c>
      <c r="AI152" s="171">
        <v>6.5958641632695299E-7</v>
      </c>
      <c r="AJ152" s="171">
        <v>9.3661789089855397E-8</v>
      </c>
    </row>
    <row r="153" spans="1:36">
      <c r="A153" s="2">
        <v>419</v>
      </c>
      <c r="B153" s="2">
        <v>1472</v>
      </c>
      <c r="C153" s="2" t="s">
        <v>2059</v>
      </c>
      <c r="D153" s="2" t="s">
        <v>2060</v>
      </c>
      <c r="E153" s="4" t="s">
        <v>1321</v>
      </c>
      <c r="F153" s="2" t="s">
        <v>2061</v>
      </c>
      <c r="G153" s="2" t="s">
        <v>2062</v>
      </c>
      <c r="H153" s="2" t="s">
        <v>324</v>
      </c>
      <c r="I153" s="2" t="s">
        <v>760</v>
      </c>
      <c r="J153" s="2" t="s">
        <v>30</v>
      </c>
      <c r="K153" s="2" t="s">
        <v>30</v>
      </c>
      <c r="L153" s="2" t="s">
        <v>330</v>
      </c>
      <c r="M153" s="2" t="s">
        <v>31</v>
      </c>
      <c r="N153" s="2" t="s">
        <v>443</v>
      </c>
      <c r="O153" s="2" t="s">
        <v>140</v>
      </c>
      <c r="P153" s="2" t="s">
        <v>1927</v>
      </c>
      <c r="Q153" s="2" t="s">
        <v>418</v>
      </c>
      <c r="R153" s="2" t="s">
        <v>410</v>
      </c>
      <c r="S153" s="2" t="s">
        <v>34</v>
      </c>
      <c r="T153" s="156">
        <v>3.4649999999999999</v>
      </c>
      <c r="U153" s="2" t="s">
        <v>2063</v>
      </c>
      <c r="V153" s="169">
        <v>1.7999999999999999E-2</v>
      </c>
      <c r="W153" s="171">
        <v>3.6589999999999998E-2</v>
      </c>
      <c r="X153" s="4" t="s">
        <v>415</v>
      </c>
      <c r="Y153" s="4" t="s">
        <v>140</v>
      </c>
      <c r="Z153" s="156">
        <v>17741.919999999998</v>
      </c>
      <c r="AA153" s="165">
        <v>1</v>
      </c>
      <c r="AB153" s="182">
        <v>107.89</v>
      </c>
      <c r="AD153" s="156">
        <v>19.141999999999999</v>
      </c>
      <c r="AG153" s="2" t="s">
        <v>36</v>
      </c>
      <c r="AH153" s="171">
        <v>1.8E-5</v>
      </c>
      <c r="AI153" s="171">
        <v>1.2919404646563101E-2</v>
      </c>
      <c r="AJ153" s="171">
        <v>1.8345656053854701E-3</v>
      </c>
    </row>
    <row r="154" spans="1:36">
      <c r="A154" s="2">
        <v>419</v>
      </c>
      <c r="B154" s="2">
        <v>1472</v>
      </c>
      <c r="C154" s="2" t="s">
        <v>2059</v>
      </c>
      <c r="D154" s="2" t="s">
        <v>2060</v>
      </c>
      <c r="E154" s="4" t="s">
        <v>1321</v>
      </c>
      <c r="F154" s="2" t="s">
        <v>2064</v>
      </c>
      <c r="G154" s="2" t="s">
        <v>2065</v>
      </c>
      <c r="H154" s="2" t="s">
        <v>324</v>
      </c>
      <c r="I154" s="2" t="s">
        <v>760</v>
      </c>
      <c r="J154" s="2" t="s">
        <v>30</v>
      </c>
      <c r="K154" s="2" t="s">
        <v>30</v>
      </c>
      <c r="L154" s="2" t="s">
        <v>330</v>
      </c>
      <c r="M154" s="2" t="s">
        <v>31</v>
      </c>
      <c r="N154" s="2" t="s">
        <v>443</v>
      </c>
      <c r="O154" s="2" t="s">
        <v>140</v>
      </c>
      <c r="P154" s="2" t="s">
        <v>1927</v>
      </c>
      <c r="Q154" s="2" t="s">
        <v>416</v>
      </c>
      <c r="R154" s="2" t="s">
        <v>410</v>
      </c>
      <c r="S154" s="2" t="s">
        <v>34</v>
      </c>
      <c r="T154" s="156">
        <v>5.843</v>
      </c>
      <c r="U154" s="2" t="s">
        <v>2066</v>
      </c>
      <c r="V154" s="169">
        <v>3.3000000000000002E-2</v>
      </c>
      <c r="W154" s="171">
        <v>4.2569999999999997E-2</v>
      </c>
      <c r="X154" s="4" t="s">
        <v>415</v>
      </c>
      <c r="Y154" s="4" t="s">
        <v>140</v>
      </c>
      <c r="Z154" s="156">
        <v>40249.360000000001</v>
      </c>
      <c r="AA154" s="165">
        <v>1</v>
      </c>
      <c r="AB154" s="182">
        <v>101.08</v>
      </c>
      <c r="AD154" s="156">
        <v>40.683999999999997</v>
      </c>
      <c r="AG154" s="2" t="s">
        <v>36</v>
      </c>
      <c r="AH154" s="171">
        <v>3.1999999999999999E-5</v>
      </c>
      <c r="AI154" s="171">
        <v>2.7459011788005101E-2</v>
      </c>
      <c r="AJ154" s="171">
        <v>3.8992012373843801E-3</v>
      </c>
    </row>
    <row r="155" spans="1:36">
      <c r="A155" s="2">
        <v>419</v>
      </c>
      <c r="B155" s="2">
        <v>1472</v>
      </c>
      <c r="C155" s="2" t="s">
        <v>1245</v>
      </c>
      <c r="D155" s="2" t="s">
        <v>2067</v>
      </c>
      <c r="E155" s="4" t="s">
        <v>1321</v>
      </c>
      <c r="F155" s="2" t="s">
        <v>2072</v>
      </c>
      <c r="G155" s="2" t="s">
        <v>2073</v>
      </c>
      <c r="H155" s="2" t="s">
        <v>324</v>
      </c>
      <c r="I155" s="2" t="s">
        <v>973</v>
      </c>
      <c r="J155" s="2" t="s">
        <v>30</v>
      </c>
      <c r="K155" s="2" t="s">
        <v>30</v>
      </c>
      <c r="L155" s="2" t="s">
        <v>330</v>
      </c>
      <c r="M155" s="2" t="s">
        <v>31</v>
      </c>
      <c r="N155" s="2" t="s">
        <v>448</v>
      </c>
      <c r="O155" s="2" t="s">
        <v>140</v>
      </c>
      <c r="P155" s="2" t="s">
        <v>2070</v>
      </c>
      <c r="Q155" s="2" t="s">
        <v>418</v>
      </c>
      <c r="R155" s="2" t="s">
        <v>410</v>
      </c>
      <c r="S155" s="2" t="s">
        <v>34</v>
      </c>
      <c r="T155" s="156">
        <v>2.9079999999999999</v>
      </c>
      <c r="U155" s="2" t="s">
        <v>2074</v>
      </c>
      <c r="V155" s="169">
        <v>5.45E-2</v>
      </c>
      <c r="W155" s="171">
        <v>0.12501000000000001</v>
      </c>
      <c r="X155" s="4" t="s">
        <v>415</v>
      </c>
      <c r="Y155" s="4" t="s">
        <v>140</v>
      </c>
      <c r="Z155" s="156">
        <v>11000</v>
      </c>
      <c r="AA155" s="165">
        <v>1</v>
      </c>
      <c r="AB155" s="182">
        <v>99.72</v>
      </c>
      <c r="AD155" s="156">
        <v>10.968999999999999</v>
      </c>
      <c r="AG155" s="2" t="s">
        <v>36</v>
      </c>
      <c r="AH155" s="171">
        <v>6.4999999999999994E-5</v>
      </c>
      <c r="AI155" s="171">
        <v>7.4034755449138602E-3</v>
      </c>
      <c r="AJ155" s="171">
        <v>1.0512993413070799E-3</v>
      </c>
    </row>
    <row r="156" spans="1:36">
      <c r="A156" s="2">
        <v>419</v>
      </c>
      <c r="B156" s="2">
        <v>1472</v>
      </c>
      <c r="C156" s="2" t="s">
        <v>2075</v>
      </c>
      <c r="D156" s="2" t="s">
        <v>2076</v>
      </c>
      <c r="E156" s="4" t="s">
        <v>1321</v>
      </c>
      <c r="F156" s="2" t="s">
        <v>2077</v>
      </c>
      <c r="G156" s="2" t="s">
        <v>2078</v>
      </c>
      <c r="H156" s="2" t="s">
        <v>324</v>
      </c>
      <c r="I156" s="2" t="s">
        <v>760</v>
      </c>
      <c r="J156" s="2" t="s">
        <v>30</v>
      </c>
      <c r="K156" s="2" t="s">
        <v>30</v>
      </c>
      <c r="L156" s="2" t="s">
        <v>330</v>
      </c>
      <c r="M156" s="2" t="s">
        <v>31</v>
      </c>
      <c r="N156" s="2" t="s">
        <v>467</v>
      </c>
      <c r="O156" s="2" t="s">
        <v>140</v>
      </c>
      <c r="P156" s="2" t="s">
        <v>1927</v>
      </c>
      <c r="Q156" s="2" t="s">
        <v>416</v>
      </c>
      <c r="R156" s="2" t="s">
        <v>410</v>
      </c>
      <c r="S156" s="2" t="s">
        <v>34</v>
      </c>
      <c r="T156" s="156">
        <v>3.8849999999999998</v>
      </c>
      <c r="U156" s="2" t="s">
        <v>1943</v>
      </c>
      <c r="V156" s="169">
        <v>3.6499999999999998E-2</v>
      </c>
      <c r="W156" s="171">
        <v>3.2820000000000002E-2</v>
      </c>
      <c r="X156" s="4" t="s">
        <v>415</v>
      </c>
      <c r="Y156" s="4" t="s">
        <v>140</v>
      </c>
      <c r="Z156" s="156">
        <v>20000</v>
      </c>
      <c r="AA156" s="165">
        <v>1</v>
      </c>
      <c r="AB156" s="182">
        <v>108.95</v>
      </c>
      <c r="AD156" s="156">
        <v>21.79</v>
      </c>
      <c r="AG156" s="2" t="s">
        <v>36</v>
      </c>
      <c r="AH156" s="171">
        <v>6.0999999999999999E-5</v>
      </c>
      <c r="AI156" s="171">
        <v>1.4706791026116099E-2</v>
      </c>
      <c r="AJ156" s="171">
        <v>2.0883758749116899E-3</v>
      </c>
    </row>
    <row r="157" spans="1:36">
      <c r="A157" s="2">
        <v>419</v>
      </c>
      <c r="B157" s="2">
        <v>1472</v>
      </c>
      <c r="C157" s="2" t="s">
        <v>2075</v>
      </c>
      <c r="D157" s="2" t="s">
        <v>2076</v>
      </c>
      <c r="E157" s="4" t="s">
        <v>1321</v>
      </c>
      <c r="F157" s="2" t="s">
        <v>2079</v>
      </c>
      <c r="G157" s="2" t="s">
        <v>2080</v>
      </c>
      <c r="H157" s="2" t="s">
        <v>324</v>
      </c>
      <c r="I157" s="2" t="s">
        <v>760</v>
      </c>
      <c r="J157" s="2" t="s">
        <v>30</v>
      </c>
      <c r="K157" s="2" t="s">
        <v>30</v>
      </c>
      <c r="L157" s="2" t="s">
        <v>330</v>
      </c>
      <c r="M157" s="2" t="s">
        <v>31</v>
      </c>
      <c r="N157" s="2" t="s">
        <v>467</v>
      </c>
      <c r="O157" s="2" t="s">
        <v>140</v>
      </c>
      <c r="P157" s="2" t="s">
        <v>1942</v>
      </c>
      <c r="Q157" s="2" t="s">
        <v>416</v>
      </c>
      <c r="R157" s="2" t="s">
        <v>410</v>
      </c>
      <c r="S157" s="2" t="s">
        <v>34</v>
      </c>
      <c r="T157" s="156">
        <v>1.536</v>
      </c>
      <c r="U157" s="2" t="s">
        <v>2081</v>
      </c>
      <c r="V157" s="169">
        <v>1.7999999999999999E-2</v>
      </c>
      <c r="W157" s="171">
        <v>2.742E-2</v>
      </c>
      <c r="X157" s="4" t="s">
        <v>415</v>
      </c>
      <c r="Y157" s="4" t="s">
        <v>140</v>
      </c>
      <c r="Z157" s="156">
        <v>9952</v>
      </c>
      <c r="AA157" s="165">
        <v>1</v>
      </c>
      <c r="AB157" s="182">
        <v>113.45</v>
      </c>
      <c r="AD157" s="156">
        <v>11.291</v>
      </c>
      <c r="AG157" s="2" t="s">
        <v>36</v>
      </c>
      <c r="AH157" s="171">
        <v>1.2999999999999999E-5</v>
      </c>
      <c r="AI157" s="171">
        <v>7.6203612289660102E-3</v>
      </c>
      <c r="AJ157" s="171">
        <v>1.0820972787622301E-3</v>
      </c>
    </row>
    <row r="158" spans="1:36">
      <c r="A158" s="2">
        <v>419</v>
      </c>
      <c r="B158" s="2">
        <v>1472</v>
      </c>
      <c r="C158" s="2" t="s">
        <v>2075</v>
      </c>
      <c r="D158" s="2" t="s">
        <v>2076</v>
      </c>
      <c r="E158" s="4" t="s">
        <v>1321</v>
      </c>
      <c r="F158" s="2" t="s">
        <v>2082</v>
      </c>
      <c r="G158" s="2" t="s">
        <v>2083</v>
      </c>
      <c r="H158" s="2" t="s">
        <v>324</v>
      </c>
      <c r="I158" s="2" t="s">
        <v>760</v>
      </c>
      <c r="J158" s="2" t="s">
        <v>30</v>
      </c>
      <c r="K158" s="2" t="s">
        <v>30</v>
      </c>
      <c r="L158" s="2" t="s">
        <v>330</v>
      </c>
      <c r="M158" s="2" t="s">
        <v>31</v>
      </c>
      <c r="N158" s="2" t="s">
        <v>467</v>
      </c>
      <c r="O158" s="2" t="s">
        <v>140</v>
      </c>
      <c r="P158" s="2" t="s">
        <v>1927</v>
      </c>
      <c r="Q158" s="2" t="s">
        <v>416</v>
      </c>
      <c r="R158" s="2" t="s">
        <v>410</v>
      </c>
      <c r="S158" s="2" t="s">
        <v>34</v>
      </c>
      <c r="T158" s="156">
        <v>1.6160000000000001</v>
      </c>
      <c r="U158" s="2" t="s">
        <v>2084</v>
      </c>
      <c r="V158" s="169">
        <v>2.2499999999999999E-2</v>
      </c>
      <c r="W158" s="171">
        <v>2.656E-2</v>
      </c>
      <c r="X158" s="4" t="s">
        <v>415</v>
      </c>
      <c r="Y158" s="4" t="s">
        <v>140</v>
      </c>
      <c r="Z158" s="156">
        <v>5270.57</v>
      </c>
      <c r="AA158" s="165">
        <v>1</v>
      </c>
      <c r="AB158" s="182">
        <v>115.29</v>
      </c>
      <c r="AD158" s="156">
        <v>6.0759999999999996</v>
      </c>
      <c r="AG158" s="2" t="s">
        <v>36</v>
      </c>
      <c r="AH158" s="171">
        <v>1.4E-5</v>
      </c>
      <c r="AI158" s="171">
        <v>4.1011902484108399E-3</v>
      </c>
      <c r="AJ158" s="171">
        <v>5.8237223592794401E-4</v>
      </c>
    </row>
    <row r="159" spans="1:36">
      <c r="A159" s="2">
        <v>419</v>
      </c>
      <c r="B159" s="2">
        <v>1472</v>
      </c>
      <c r="C159" s="2" t="s">
        <v>2088</v>
      </c>
      <c r="D159" s="2" t="s">
        <v>2089</v>
      </c>
      <c r="E159" s="4" t="s">
        <v>1321</v>
      </c>
      <c r="F159" s="2" t="s">
        <v>2090</v>
      </c>
      <c r="G159" s="2" t="s">
        <v>2091</v>
      </c>
      <c r="H159" s="2" t="s">
        <v>324</v>
      </c>
      <c r="I159" s="2" t="s">
        <v>973</v>
      </c>
      <c r="J159" s="2" t="s">
        <v>30</v>
      </c>
      <c r="K159" s="2" t="s">
        <v>30</v>
      </c>
      <c r="L159" s="2" t="s">
        <v>330</v>
      </c>
      <c r="M159" s="2" t="s">
        <v>31</v>
      </c>
      <c r="N159" s="2" t="s">
        <v>448</v>
      </c>
      <c r="O159" s="2" t="s">
        <v>140</v>
      </c>
      <c r="P159" s="2" t="s">
        <v>1921</v>
      </c>
      <c r="Q159" s="2" t="s">
        <v>416</v>
      </c>
      <c r="R159" s="2" t="s">
        <v>410</v>
      </c>
      <c r="S159" s="2" t="s">
        <v>34</v>
      </c>
      <c r="T159" s="156">
        <v>8.5960000000000001</v>
      </c>
      <c r="U159" s="2" t="s">
        <v>2092</v>
      </c>
      <c r="V159" s="169">
        <v>3.0499999999999999E-2</v>
      </c>
      <c r="W159" s="171">
        <v>5.8979999999999998E-2</v>
      </c>
      <c r="X159" s="4" t="s">
        <v>415</v>
      </c>
      <c r="Y159" s="4" t="s">
        <v>140</v>
      </c>
      <c r="Z159" s="156">
        <v>20670</v>
      </c>
      <c r="AA159" s="165">
        <v>1</v>
      </c>
      <c r="AB159" s="182">
        <v>84.59</v>
      </c>
      <c r="AD159" s="156">
        <v>17.484999999999999</v>
      </c>
      <c r="AG159" s="2" t="s">
        <v>36</v>
      </c>
      <c r="AH159" s="171">
        <v>3.0000000000000001E-5</v>
      </c>
      <c r="AI159" s="171">
        <v>1.1801037563756601E-2</v>
      </c>
      <c r="AJ159" s="171">
        <v>1.6757566013763099E-3</v>
      </c>
    </row>
    <row r="160" spans="1:36">
      <c r="A160" s="2">
        <v>419</v>
      </c>
      <c r="B160" s="2">
        <v>1472</v>
      </c>
      <c r="C160" s="2" t="s">
        <v>2088</v>
      </c>
      <c r="D160" s="2" t="s">
        <v>2089</v>
      </c>
      <c r="E160" s="4" t="s">
        <v>1321</v>
      </c>
      <c r="F160" s="2" t="s">
        <v>2096</v>
      </c>
      <c r="G160" s="2" t="s">
        <v>2097</v>
      </c>
      <c r="H160" s="2" t="s">
        <v>324</v>
      </c>
      <c r="I160" s="2" t="s">
        <v>973</v>
      </c>
      <c r="J160" s="2" t="s">
        <v>30</v>
      </c>
      <c r="K160" s="2" t="s">
        <v>30</v>
      </c>
      <c r="L160" s="2" t="s">
        <v>330</v>
      </c>
      <c r="M160" s="2" t="s">
        <v>49</v>
      </c>
      <c r="N160" s="2" t="s">
        <v>448</v>
      </c>
      <c r="O160" s="2" t="s">
        <v>140</v>
      </c>
      <c r="P160" s="2" t="s">
        <v>1921</v>
      </c>
      <c r="Q160" s="2" t="s">
        <v>416</v>
      </c>
      <c r="R160" s="2" t="s">
        <v>410</v>
      </c>
      <c r="S160" s="2" t="s">
        <v>34</v>
      </c>
      <c r="T160" s="156">
        <v>8.6649999999999991</v>
      </c>
      <c r="U160" s="2" t="s">
        <v>2098</v>
      </c>
      <c r="V160" s="169">
        <v>6.0199999999999997E-2</v>
      </c>
      <c r="W160" s="171">
        <v>5.9959999999999999E-2</v>
      </c>
      <c r="X160" s="4" t="s">
        <v>415</v>
      </c>
      <c r="Y160" s="4" t="s">
        <v>140</v>
      </c>
      <c r="Z160" s="156">
        <v>10324</v>
      </c>
      <c r="AA160" s="165">
        <v>1</v>
      </c>
      <c r="AB160" s="182">
        <v>102.28</v>
      </c>
      <c r="AD160" s="156">
        <v>10.558999999999999</v>
      </c>
      <c r="AG160" s="2" t="s">
        <v>36</v>
      </c>
      <c r="AH160" s="171">
        <v>2.0999999999999999E-5</v>
      </c>
      <c r="AI160" s="171">
        <v>7.1268793443894198E-3</v>
      </c>
      <c r="AJ160" s="171">
        <v>1.0120224636223599E-3</v>
      </c>
    </row>
    <row r="161" spans="1:36">
      <c r="A161" s="2">
        <v>419</v>
      </c>
      <c r="B161" s="2">
        <v>1472</v>
      </c>
      <c r="C161" s="2" t="s">
        <v>2088</v>
      </c>
      <c r="D161" s="2" t="s">
        <v>2089</v>
      </c>
      <c r="E161" s="4" t="s">
        <v>1321</v>
      </c>
      <c r="F161" s="2" t="s">
        <v>2099</v>
      </c>
      <c r="G161" s="2" t="s">
        <v>2100</v>
      </c>
      <c r="H161" s="2" t="s">
        <v>324</v>
      </c>
      <c r="I161" s="2" t="s">
        <v>973</v>
      </c>
      <c r="J161" s="2" t="s">
        <v>30</v>
      </c>
      <c r="K161" s="2" t="s">
        <v>30</v>
      </c>
      <c r="L161" s="2" t="s">
        <v>330</v>
      </c>
      <c r="M161" s="2" t="s">
        <v>31</v>
      </c>
      <c r="N161" s="2" t="s">
        <v>448</v>
      </c>
      <c r="O161" s="2" t="s">
        <v>140</v>
      </c>
      <c r="P161" s="2" t="s">
        <v>1921</v>
      </c>
      <c r="Q161" s="2" t="s">
        <v>416</v>
      </c>
      <c r="R161" s="2" t="s">
        <v>410</v>
      </c>
      <c r="S161" s="2" t="s">
        <v>34</v>
      </c>
      <c r="T161" s="156">
        <v>4.681</v>
      </c>
      <c r="U161" s="2" t="s">
        <v>2101</v>
      </c>
      <c r="V161" s="169">
        <v>4.3799999999999999E-2</v>
      </c>
      <c r="W161" s="171">
        <v>5.527E-2</v>
      </c>
      <c r="X161" s="4" t="s">
        <v>415</v>
      </c>
      <c r="Y161" s="4" t="s">
        <v>140</v>
      </c>
      <c r="Z161" s="156">
        <v>16000</v>
      </c>
      <c r="AA161" s="165">
        <v>1</v>
      </c>
      <c r="AB161" s="182">
        <v>96.24</v>
      </c>
      <c r="AD161" s="156">
        <v>15.398</v>
      </c>
      <c r="AG161" s="2" t="s">
        <v>36</v>
      </c>
      <c r="AH161" s="171">
        <v>3.1999999999999999E-5</v>
      </c>
      <c r="AI161" s="171">
        <v>1.03928889828612E-2</v>
      </c>
      <c r="AJ161" s="171">
        <v>1.47579839707389E-3</v>
      </c>
    </row>
    <row r="162" spans="1:36">
      <c r="A162" s="2">
        <v>419</v>
      </c>
      <c r="B162" s="2">
        <v>1472</v>
      </c>
      <c r="C162" s="2" t="s">
        <v>2104</v>
      </c>
      <c r="D162" s="2" t="s">
        <v>2105</v>
      </c>
      <c r="E162" s="4" t="s">
        <v>1321</v>
      </c>
      <c r="F162" s="2" t="s">
        <v>2106</v>
      </c>
      <c r="G162" s="2" t="s">
        <v>2107</v>
      </c>
      <c r="H162" s="2" t="s">
        <v>324</v>
      </c>
      <c r="I162" s="2" t="s">
        <v>973</v>
      </c>
      <c r="J162" s="2" t="s">
        <v>30</v>
      </c>
      <c r="K162" s="2" t="s">
        <v>30</v>
      </c>
      <c r="L162" s="2" t="s">
        <v>330</v>
      </c>
      <c r="M162" s="2" t="s">
        <v>31</v>
      </c>
      <c r="N162" s="2" t="s">
        <v>467</v>
      </c>
      <c r="O162" s="2" t="s">
        <v>140</v>
      </c>
      <c r="P162" s="2" t="s">
        <v>1956</v>
      </c>
      <c r="Q162" s="2" t="s">
        <v>416</v>
      </c>
      <c r="R162" s="2" t="s">
        <v>410</v>
      </c>
      <c r="S162" s="2" t="s">
        <v>34</v>
      </c>
      <c r="T162" s="156">
        <v>0.73099999999999998</v>
      </c>
      <c r="U162" s="2" t="s">
        <v>2108</v>
      </c>
      <c r="V162" s="169">
        <v>2.5499999999999998E-2</v>
      </c>
      <c r="W162" s="171">
        <v>4.8809999999999999E-2</v>
      </c>
      <c r="X162" s="4" t="s">
        <v>415</v>
      </c>
      <c r="Y162" s="4" t="s">
        <v>140</v>
      </c>
      <c r="Z162" s="156">
        <v>1000</v>
      </c>
      <c r="AA162" s="165">
        <v>1</v>
      </c>
      <c r="AB162" s="182">
        <v>99.04</v>
      </c>
      <c r="AD162" s="156">
        <v>0.99</v>
      </c>
      <c r="AG162" s="2" t="s">
        <v>36</v>
      </c>
      <c r="AH162" s="171">
        <v>1.5E-5</v>
      </c>
      <c r="AI162" s="171">
        <v>6.6845368665743095E-4</v>
      </c>
      <c r="AJ162" s="171">
        <v>9.4920948440226603E-5</v>
      </c>
    </row>
    <row r="163" spans="1:36">
      <c r="A163" s="2">
        <v>419</v>
      </c>
      <c r="B163" s="2">
        <v>1472</v>
      </c>
      <c r="C163" s="2" t="s">
        <v>1630</v>
      </c>
      <c r="D163" s="2" t="s">
        <v>1631</v>
      </c>
      <c r="E163" s="4" t="s">
        <v>1321</v>
      </c>
      <c r="F163" s="2" t="s">
        <v>2109</v>
      </c>
      <c r="G163" s="2" t="s">
        <v>2110</v>
      </c>
      <c r="H163" s="2" t="s">
        <v>324</v>
      </c>
      <c r="I163" s="2" t="s">
        <v>973</v>
      </c>
      <c r="J163" s="2" t="s">
        <v>30</v>
      </c>
      <c r="K163" s="2" t="s">
        <v>30</v>
      </c>
      <c r="L163" s="2" t="s">
        <v>330</v>
      </c>
      <c r="M163" s="2" t="s">
        <v>31</v>
      </c>
      <c r="N163" s="2" t="s">
        <v>454</v>
      </c>
      <c r="O163" s="2" t="s">
        <v>140</v>
      </c>
      <c r="P163" s="2" t="s">
        <v>1915</v>
      </c>
      <c r="Q163" s="2" t="s">
        <v>416</v>
      </c>
      <c r="R163" s="2" t="s">
        <v>410</v>
      </c>
      <c r="S163" s="2" t="s">
        <v>34</v>
      </c>
      <c r="T163" s="156">
        <v>1.859</v>
      </c>
      <c r="U163" s="2" t="s">
        <v>2111</v>
      </c>
      <c r="V163" s="169">
        <v>2.1999999999999999E-2</v>
      </c>
      <c r="W163" s="171">
        <v>5.6399999999999999E-2</v>
      </c>
      <c r="X163" s="4" t="s">
        <v>415</v>
      </c>
      <c r="Y163" s="4" t="s">
        <v>140</v>
      </c>
      <c r="Z163" s="156">
        <v>8382.75</v>
      </c>
      <c r="AA163" s="165">
        <v>1</v>
      </c>
      <c r="AB163" s="182">
        <v>93.06</v>
      </c>
      <c r="AD163" s="156">
        <v>7.8010000000000002</v>
      </c>
      <c r="AG163" s="2" t="s">
        <v>36</v>
      </c>
      <c r="AH163" s="171">
        <v>7.9999999999999996E-6</v>
      </c>
      <c r="AI163" s="171">
        <v>5.2651440024078597E-3</v>
      </c>
      <c r="AJ163" s="171">
        <v>7.4765458304525503E-4</v>
      </c>
    </row>
    <row r="164" spans="1:36">
      <c r="A164" s="2">
        <v>419</v>
      </c>
      <c r="B164" s="2">
        <v>1472</v>
      </c>
      <c r="C164" s="2" t="s">
        <v>2112</v>
      </c>
      <c r="D164" s="2" t="s">
        <v>2113</v>
      </c>
      <c r="E164" s="4" t="s">
        <v>1321</v>
      </c>
      <c r="F164" s="2" t="s">
        <v>2403</v>
      </c>
      <c r="G164" s="2" t="s">
        <v>2404</v>
      </c>
      <c r="H164" s="2" t="s">
        <v>324</v>
      </c>
      <c r="I164" s="2" t="s">
        <v>760</v>
      </c>
      <c r="J164" s="2" t="s">
        <v>30</v>
      </c>
      <c r="K164" s="2" t="s">
        <v>30</v>
      </c>
      <c r="L164" s="2" t="s">
        <v>330</v>
      </c>
      <c r="M164" s="2" t="s">
        <v>31</v>
      </c>
      <c r="N164" s="2" t="s">
        <v>443</v>
      </c>
      <c r="O164" s="2" t="s">
        <v>140</v>
      </c>
      <c r="P164" s="2" t="s">
        <v>2116</v>
      </c>
      <c r="Q164" s="2" t="s">
        <v>416</v>
      </c>
      <c r="R164" s="2" t="s">
        <v>410</v>
      </c>
      <c r="S164" s="2" t="s">
        <v>34</v>
      </c>
      <c r="T164" s="156">
        <v>0.81299999999999994</v>
      </c>
      <c r="U164" s="2" t="s">
        <v>2405</v>
      </c>
      <c r="V164" s="169">
        <v>4.4999999999999998E-2</v>
      </c>
      <c r="W164" s="171">
        <v>2.615E-2</v>
      </c>
      <c r="X164" s="4" t="s">
        <v>415</v>
      </c>
      <c r="Y164" s="4" t="s">
        <v>140</v>
      </c>
      <c r="Z164" s="156">
        <v>17000</v>
      </c>
      <c r="AA164" s="165">
        <v>1</v>
      </c>
      <c r="AB164" s="182">
        <v>119.4</v>
      </c>
      <c r="AD164" s="156">
        <v>20.297999999999998</v>
      </c>
      <c r="AG164" s="2" t="s">
        <v>36</v>
      </c>
      <c r="AH164" s="171">
        <v>6.0000000000000002E-6</v>
      </c>
      <c r="AI164" s="171">
        <v>1.3699790924649201E-2</v>
      </c>
      <c r="AJ164" s="171">
        <v>1.94538106970892E-3</v>
      </c>
    </row>
    <row r="165" spans="1:36">
      <c r="A165" s="2">
        <v>419</v>
      </c>
      <c r="B165" s="2">
        <v>1472</v>
      </c>
      <c r="C165" s="2" t="s">
        <v>2112</v>
      </c>
      <c r="D165" s="2" t="s">
        <v>2113</v>
      </c>
      <c r="E165" s="4" t="s">
        <v>1321</v>
      </c>
      <c r="F165" s="2" t="s">
        <v>2406</v>
      </c>
      <c r="G165" s="2" t="s">
        <v>2407</v>
      </c>
      <c r="H165" s="2" t="s">
        <v>324</v>
      </c>
      <c r="I165" s="2" t="s">
        <v>760</v>
      </c>
      <c r="J165" s="2" t="s">
        <v>30</v>
      </c>
      <c r="K165" s="2" t="s">
        <v>30</v>
      </c>
      <c r="L165" s="2" t="s">
        <v>330</v>
      </c>
      <c r="M165" s="2" t="s">
        <v>31</v>
      </c>
      <c r="N165" s="2" t="s">
        <v>443</v>
      </c>
      <c r="O165" s="2" t="s">
        <v>140</v>
      </c>
      <c r="P165" s="2" t="s">
        <v>2116</v>
      </c>
      <c r="Q165" s="2" t="s">
        <v>416</v>
      </c>
      <c r="R165" s="2" t="s">
        <v>410</v>
      </c>
      <c r="S165" s="2" t="s">
        <v>34</v>
      </c>
      <c r="T165" s="156">
        <v>5.798</v>
      </c>
      <c r="U165" s="2" t="s">
        <v>2408</v>
      </c>
      <c r="V165" s="169">
        <v>2.3900000000000001E-2</v>
      </c>
      <c r="W165" s="171">
        <v>2.9239999999999999E-2</v>
      </c>
      <c r="X165" s="4" t="s">
        <v>415</v>
      </c>
      <c r="Y165" s="4" t="s">
        <v>140</v>
      </c>
      <c r="Z165" s="156">
        <v>6530</v>
      </c>
      <c r="AA165" s="165">
        <v>1</v>
      </c>
      <c r="AB165" s="182">
        <v>111.74</v>
      </c>
      <c r="AD165" s="156">
        <v>7.2969999999999997</v>
      </c>
      <c r="AG165" s="2" t="s">
        <v>36</v>
      </c>
      <c r="AH165" s="171">
        <v>1.9999999999999999E-6</v>
      </c>
      <c r="AI165" s="171">
        <v>4.92473129649204E-3</v>
      </c>
      <c r="AJ165" s="171">
        <v>6.9931571148003097E-4</v>
      </c>
    </row>
    <row r="166" spans="1:36">
      <c r="A166" s="2">
        <v>419</v>
      </c>
      <c r="B166" s="2">
        <v>1472</v>
      </c>
      <c r="C166" s="2" t="s">
        <v>2112</v>
      </c>
      <c r="D166" s="2" t="s">
        <v>2113</v>
      </c>
      <c r="E166" s="4" t="s">
        <v>1321</v>
      </c>
      <c r="F166" s="2" t="s">
        <v>2114</v>
      </c>
      <c r="G166" s="2" t="s">
        <v>2115</v>
      </c>
      <c r="H166" s="2" t="s">
        <v>324</v>
      </c>
      <c r="I166" s="2" t="s">
        <v>760</v>
      </c>
      <c r="J166" s="2" t="s">
        <v>30</v>
      </c>
      <c r="K166" s="2" t="s">
        <v>30</v>
      </c>
      <c r="L166" s="2" t="s">
        <v>330</v>
      </c>
      <c r="M166" s="2" t="s">
        <v>31</v>
      </c>
      <c r="N166" s="2" t="s">
        <v>443</v>
      </c>
      <c r="O166" s="2" t="s">
        <v>140</v>
      </c>
      <c r="P166" s="2" t="s">
        <v>2116</v>
      </c>
      <c r="Q166" s="2" t="s">
        <v>416</v>
      </c>
      <c r="R166" s="2" t="s">
        <v>410</v>
      </c>
      <c r="S166" s="2" t="s">
        <v>34</v>
      </c>
      <c r="T166" s="156">
        <v>10.627000000000001</v>
      </c>
      <c r="U166" s="2" t="s">
        <v>2117</v>
      </c>
      <c r="V166" s="169">
        <v>1.2500000000000001E-2</v>
      </c>
      <c r="W166" s="171">
        <v>3.4939999999999999E-2</v>
      </c>
      <c r="X166" s="4" t="s">
        <v>415</v>
      </c>
      <c r="Y166" s="4" t="s">
        <v>140</v>
      </c>
      <c r="Z166" s="156">
        <v>20000</v>
      </c>
      <c r="AA166" s="165">
        <v>1</v>
      </c>
      <c r="AB166" s="182">
        <v>90</v>
      </c>
      <c r="AD166" s="156">
        <v>18</v>
      </c>
      <c r="AG166" s="2" t="s">
        <v>36</v>
      </c>
      <c r="AH166" s="171">
        <v>5.0000000000000004E-6</v>
      </c>
      <c r="AI166" s="171">
        <v>1.2148794789816E-2</v>
      </c>
      <c r="AJ166" s="171">
        <v>1.7251384005695499E-3</v>
      </c>
    </row>
    <row r="167" spans="1:36">
      <c r="A167" s="2">
        <v>419</v>
      </c>
      <c r="B167" s="2">
        <v>1472</v>
      </c>
      <c r="C167" s="2" t="s">
        <v>2112</v>
      </c>
      <c r="D167" s="2" t="s">
        <v>2113</v>
      </c>
      <c r="E167" s="4" t="s">
        <v>1321</v>
      </c>
      <c r="F167" s="2" t="s">
        <v>2118</v>
      </c>
      <c r="G167" s="2" t="s">
        <v>2119</v>
      </c>
      <c r="H167" s="2" t="s">
        <v>324</v>
      </c>
      <c r="I167" s="2" t="s">
        <v>760</v>
      </c>
      <c r="J167" s="2" t="s">
        <v>30</v>
      </c>
      <c r="K167" s="2" t="s">
        <v>30</v>
      </c>
      <c r="L167" s="2" t="s">
        <v>330</v>
      </c>
      <c r="M167" s="2" t="s">
        <v>31</v>
      </c>
      <c r="N167" s="2" t="s">
        <v>443</v>
      </c>
      <c r="O167" s="2" t="s">
        <v>140</v>
      </c>
      <c r="P167" s="2" t="s">
        <v>2116</v>
      </c>
      <c r="Q167" s="2" t="s">
        <v>416</v>
      </c>
      <c r="R167" s="2" t="s">
        <v>410</v>
      </c>
      <c r="S167" s="2" t="s">
        <v>34</v>
      </c>
      <c r="T167" s="156">
        <v>7.5629999999999997</v>
      </c>
      <c r="U167" s="2" t="s">
        <v>2120</v>
      </c>
      <c r="V167" s="169">
        <v>0.03</v>
      </c>
      <c r="W167" s="171">
        <v>3.2599999999999997E-2</v>
      </c>
      <c r="X167" s="4" t="s">
        <v>415</v>
      </c>
      <c r="Y167" s="4" t="s">
        <v>140</v>
      </c>
      <c r="Z167" s="156">
        <v>33000</v>
      </c>
      <c r="AA167" s="165">
        <v>1</v>
      </c>
      <c r="AB167" s="182">
        <v>103.71</v>
      </c>
      <c r="AD167" s="156">
        <v>34.223999999999997</v>
      </c>
      <c r="AG167" s="2" t="s">
        <v>36</v>
      </c>
      <c r="AH167" s="171">
        <v>7.9999999999999996E-6</v>
      </c>
      <c r="AI167" s="171">
        <v>2.30991109736166E-2</v>
      </c>
      <c r="AJ167" s="171">
        <v>3.2800918979229098E-3</v>
      </c>
    </row>
    <row r="168" spans="1:36">
      <c r="A168" s="2">
        <v>419</v>
      </c>
      <c r="B168" s="2">
        <v>1472</v>
      </c>
      <c r="C168" s="2" t="s">
        <v>2112</v>
      </c>
      <c r="D168" s="2" t="s">
        <v>2113</v>
      </c>
      <c r="E168" s="4" t="s">
        <v>1321</v>
      </c>
      <c r="F168" s="2" t="s">
        <v>2121</v>
      </c>
      <c r="G168" s="2" t="s">
        <v>2122</v>
      </c>
      <c r="H168" s="2" t="s">
        <v>324</v>
      </c>
      <c r="I168" s="2" t="s">
        <v>760</v>
      </c>
      <c r="J168" s="2" t="s">
        <v>30</v>
      </c>
      <c r="K168" s="2" t="s">
        <v>30</v>
      </c>
      <c r="L168" s="2" t="s">
        <v>330</v>
      </c>
      <c r="M168" s="2" t="s">
        <v>31</v>
      </c>
      <c r="N168" s="2" t="s">
        <v>443</v>
      </c>
      <c r="O168" s="2" t="s">
        <v>140</v>
      </c>
      <c r="P168" s="2" t="s">
        <v>2116</v>
      </c>
      <c r="Q168" s="2" t="s">
        <v>418</v>
      </c>
      <c r="R168" s="2" t="s">
        <v>410</v>
      </c>
      <c r="S168" s="2" t="s">
        <v>34</v>
      </c>
      <c r="T168" s="156">
        <v>10.287000000000001</v>
      </c>
      <c r="U168" s="2" t="s">
        <v>2123</v>
      </c>
      <c r="V168" s="169">
        <v>3.2000000000000001E-2</v>
      </c>
      <c r="W168" s="171">
        <v>3.4759999999999999E-2</v>
      </c>
      <c r="X168" s="4" t="s">
        <v>415</v>
      </c>
      <c r="Y168" s="4" t="s">
        <v>140</v>
      </c>
      <c r="Z168" s="156">
        <v>10000</v>
      </c>
      <c r="AA168" s="165">
        <v>1</v>
      </c>
      <c r="AB168" s="182">
        <v>102.97</v>
      </c>
      <c r="AD168" s="156">
        <v>10.297000000000001</v>
      </c>
      <c r="AG168" s="2" t="s">
        <v>36</v>
      </c>
      <c r="AH168" s="171">
        <v>1.9999999999999999E-6</v>
      </c>
      <c r="AI168" s="171">
        <v>6.9497855528186199E-3</v>
      </c>
      <c r="AJ168" s="171">
        <v>9.8687500614803403E-4</v>
      </c>
    </row>
    <row r="169" spans="1:36">
      <c r="A169" s="2">
        <v>419</v>
      </c>
      <c r="B169" s="2">
        <v>1472</v>
      </c>
      <c r="C169" s="2" t="s">
        <v>2124</v>
      </c>
      <c r="D169" s="2" t="s">
        <v>2125</v>
      </c>
      <c r="E169" s="4" t="s">
        <v>33</v>
      </c>
      <c r="F169" s="2" t="s">
        <v>2126</v>
      </c>
      <c r="G169" s="2" t="s">
        <v>2127</v>
      </c>
      <c r="H169" s="2" t="s">
        <v>324</v>
      </c>
      <c r="I169" s="2" t="s">
        <v>761</v>
      </c>
      <c r="J169" s="2" t="s">
        <v>30</v>
      </c>
      <c r="K169" s="2" t="s">
        <v>228</v>
      </c>
      <c r="L169" s="2" t="s">
        <v>330</v>
      </c>
      <c r="M169" s="2" t="s">
        <v>31</v>
      </c>
      <c r="N169" s="2" t="s">
        <v>468</v>
      </c>
      <c r="O169" s="2" t="s">
        <v>140</v>
      </c>
      <c r="P169" s="2" t="s">
        <v>1921</v>
      </c>
      <c r="Q169" s="2" t="s">
        <v>416</v>
      </c>
      <c r="R169" s="2" t="s">
        <v>410</v>
      </c>
      <c r="S169" s="2" t="s">
        <v>1188</v>
      </c>
      <c r="T169" s="156">
        <v>2.2949999999999999</v>
      </c>
      <c r="U169" s="2" t="s">
        <v>2128</v>
      </c>
      <c r="V169" s="169">
        <v>4.7199999999999999E-2</v>
      </c>
      <c r="W169" s="171">
        <v>6.9839999999999999E-2</v>
      </c>
      <c r="X169" s="4" t="s">
        <v>415</v>
      </c>
      <c r="Y169" s="4" t="s">
        <v>140</v>
      </c>
      <c r="Z169" s="156">
        <v>20000</v>
      </c>
      <c r="AA169" s="165">
        <v>3.71</v>
      </c>
      <c r="AB169" s="182">
        <v>29.989000000000001</v>
      </c>
      <c r="AD169" s="156">
        <v>22.251999999999999</v>
      </c>
      <c r="AG169" s="2" t="s">
        <v>36</v>
      </c>
      <c r="AH169" s="171">
        <v>6.0999999999999999E-5</v>
      </c>
      <c r="AI169" s="171">
        <v>1.5018610092388101E-2</v>
      </c>
      <c r="AJ169" s="171">
        <v>2.1326544271929701E-3</v>
      </c>
    </row>
    <row r="170" spans="1:36">
      <c r="A170" s="2">
        <v>419</v>
      </c>
      <c r="B170" s="2">
        <v>1472</v>
      </c>
      <c r="C170" s="2" t="s">
        <v>2129</v>
      </c>
      <c r="D170" s="2" t="s">
        <v>2130</v>
      </c>
      <c r="E170" s="4" t="s">
        <v>1321</v>
      </c>
      <c r="F170" s="2" t="s">
        <v>2134</v>
      </c>
      <c r="G170" s="2" t="s">
        <v>2135</v>
      </c>
      <c r="H170" s="2" t="s">
        <v>324</v>
      </c>
      <c r="I170" s="2" t="s">
        <v>760</v>
      </c>
      <c r="J170" s="2" t="s">
        <v>30</v>
      </c>
      <c r="K170" s="2" t="s">
        <v>30</v>
      </c>
      <c r="L170" s="2" t="s">
        <v>330</v>
      </c>
      <c r="M170" s="2" t="s">
        <v>31</v>
      </c>
      <c r="N170" s="2" t="s">
        <v>451</v>
      </c>
      <c r="O170" s="2" t="s">
        <v>140</v>
      </c>
      <c r="P170" s="2" t="s">
        <v>1921</v>
      </c>
      <c r="Q170" s="2" t="s">
        <v>416</v>
      </c>
      <c r="R170" s="2" t="s">
        <v>410</v>
      </c>
      <c r="S170" s="2" t="s">
        <v>34</v>
      </c>
      <c r="T170" s="156">
        <v>2.09</v>
      </c>
      <c r="U170" s="2" t="s">
        <v>2111</v>
      </c>
      <c r="V170" s="169">
        <v>2E-3</v>
      </c>
      <c r="W170" s="171">
        <v>2.2919999999999999E-2</v>
      </c>
      <c r="X170" s="4" t="s">
        <v>415</v>
      </c>
      <c r="Y170" s="4" t="s">
        <v>140</v>
      </c>
      <c r="Z170" s="156">
        <v>20000</v>
      </c>
      <c r="AA170" s="165">
        <v>1</v>
      </c>
      <c r="AB170" s="182">
        <v>110.31</v>
      </c>
      <c r="AD170" s="156">
        <v>22.062000000000001</v>
      </c>
      <c r="AG170" s="2" t="s">
        <v>36</v>
      </c>
      <c r="AH170" s="171">
        <v>2.4000000000000001E-5</v>
      </c>
      <c r="AI170" s="171">
        <v>1.48903728140511E-2</v>
      </c>
      <c r="AJ170" s="171">
        <v>2.1144446329647401E-3</v>
      </c>
    </row>
    <row r="171" spans="1:36">
      <c r="A171" s="2">
        <v>419</v>
      </c>
      <c r="B171" s="2">
        <v>1472</v>
      </c>
      <c r="C171" s="2" t="s">
        <v>2129</v>
      </c>
      <c r="D171" s="2" t="s">
        <v>2130</v>
      </c>
      <c r="E171" s="4" t="s">
        <v>1321</v>
      </c>
      <c r="F171" s="2" t="s">
        <v>2136</v>
      </c>
      <c r="G171" s="2" t="s">
        <v>2137</v>
      </c>
      <c r="H171" s="2" t="s">
        <v>324</v>
      </c>
      <c r="I171" s="2" t="s">
        <v>760</v>
      </c>
      <c r="J171" s="2" t="s">
        <v>30</v>
      </c>
      <c r="K171" s="2" t="s">
        <v>30</v>
      </c>
      <c r="L171" s="2" t="s">
        <v>330</v>
      </c>
      <c r="M171" s="2" t="s">
        <v>31</v>
      </c>
      <c r="N171" s="2" t="s">
        <v>451</v>
      </c>
      <c r="O171" s="2" t="s">
        <v>140</v>
      </c>
      <c r="P171" s="2" t="s">
        <v>1921</v>
      </c>
      <c r="Q171" s="2" t="s">
        <v>416</v>
      </c>
      <c r="R171" s="2" t="s">
        <v>410</v>
      </c>
      <c r="S171" s="2" t="s">
        <v>34</v>
      </c>
      <c r="T171" s="156">
        <v>4.5019999999999998</v>
      </c>
      <c r="U171" s="2" t="s">
        <v>2138</v>
      </c>
      <c r="V171" s="169">
        <v>2.5899999999999999E-2</v>
      </c>
      <c r="W171" s="171">
        <v>2.647E-2</v>
      </c>
      <c r="X171" s="4" t="s">
        <v>415</v>
      </c>
      <c r="Y171" s="4" t="s">
        <v>140</v>
      </c>
      <c r="Z171" s="156">
        <v>23000</v>
      </c>
      <c r="AA171" s="165">
        <v>1</v>
      </c>
      <c r="AB171" s="182">
        <v>105.13</v>
      </c>
      <c r="AD171" s="156">
        <v>24.18</v>
      </c>
      <c r="AG171" s="2" t="s">
        <v>36</v>
      </c>
      <c r="AH171" s="171">
        <v>5.1E-5</v>
      </c>
      <c r="AI171" s="171">
        <v>1.6319813507681798E-2</v>
      </c>
      <c r="AJ171" s="171">
        <v>2.3174263339962001E-3</v>
      </c>
    </row>
    <row r="172" spans="1:36">
      <c r="A172" s="2">
        <v>419</v>
      </c>
      <c r="B172" s="2">
        <v>1472</v>
      </c>
      <c r="C172" s="2" t="s">
        <v>2139</v>
      </c>
      <c r="D172" s="2" t="s">
        <v>2140</v>
      </c>
      <c r="E172" s="4" t="s">
        <v>314</v>
      </c>
      <c r="F172" s="2" t="s">
        <v>2141</v>
      </c>
      <c r="G172" s="2" t="s">
        <v>2142</v>
      </c>
      <c r="H172" s="2" t="s">
        <v>324</v>
      </c>
      <c r="I172" s="2" t="s">
        <v>973</v>
      </c>
      <c r="J172" s="2" t="s">
        <v>30</v>
      </c>
      <c r="K172" s="2" t="s">
        <v>30</v>
      </c>
      <c r="L172" s="2" t="s">
        <v>330</v>
      </c>
      <c r="M172" s="2" t="s">
        <v>31</v>
      </c>
      <c r="N172" s="2" t="s">
        <v>457</v>
      </c>
      <c r="O172" s="2" t="s">
        <v>140</v>
      </c>
      <c r="P172" s="2" t="s">
        <v>1956</v>
      </c>
      <c r="Q172" s="2" t="s">
        <v>416</v>
      </c>
      <c r="R172" s="2" t="s">
        <v>410</v>
      </c>
      <c r="S172" s="2" t="s">
        <v>34</v>
      </c>
      <c r="T172" s="156">
        <v>3.2370000000000001</v>
      </c>
      <c r="U172" s="2" t="s">
        <v>2143</v>
      </c>
      <c r="V172" s="169">
        <v>2.24E-2</v>
      </c>
      <c r="W172" s="171">
        <v>5.6430000000000001E-2</v>
      </c>
      <c r="X172" s="4" t="s">
        <v>415</v>
      </c>
      <c r="Y172" s="4" t="s">
        <v>140</v>
      </c>
      <c r="Z172" s="156">
        <v>12812.12</v>
      </c>
      <c r="AA172" s="165">
        <v>1</v>
      </c>
      <c r="AB172" s="182">
        <v>90.78</v>
      </c>
      <c r="AD172" s="156">
        <v>11.631</v>
      </c>
      <c r="AG172" s="2" t="s">
        <v>36</v>
      </c>
      <c r="AH172" s="171">
        <v>2.1999999999999999E-5</v>
      </c>
      <c r="AI172" s="171">
        <v>7.8500399556959404E-3</v>
      </c>
      <c r="AJ172" s="171">
        <v>1.1147118383239599E-3</v>
      </c>
    </row>
    <row r="173" spans="1:36">
      <c r="A173" s="2">
        <v>419</v>
      </c>
      <c r="B173" s="2">
        <v>1472</v>
      </c>
      <c r="C173" s="2" t="s">
        <v>2144</v>
      </c>
      <c r="D173" s="2" t="s">
        <v>2145</v>
      </c>
      <c r="E173" s="4" t="s">
        <v>1321</v>
      </c>
      <c r="F173" s="2" t="s">
        <v>2409</v>
      </c>
      <c r="G173" s="2" t="s">
        <v>2410</v>
      </c>
      <c r="H173" s="2" t="s">
        <v>324</v>
      </c>
      <c r="I173" s="2" t="s">
        <v>760</v>
      </c>
      <c r="J173" s="2" t="s">
        <v>30</v>
      </c>
      <c r="K173" s="2" t="s">
        <v>30</v>
      </c>
      <c r="L173" s="2" t="s">
        <v>330</v>
      </c>
      <c r="M173" s="2" t="s">
        <v>31</v>
      </c>
      <c r="N173" s="2" t="s">
        <v>467</v>
      </c>
      <c r="O173" s="2" t="s">
        <v>140</v>
      </c>
      <c r="P173" s="2" t="s">
        <v>1921</v>
      </c>
      <c r="Q173" s="2" t="s">
        <v>416</v>
      </c>
      <c r="R173" s="2" t="s">
        <v>410</v>
      </c>
      <c r="S173" s="2" t="s">
        <v>34</v>
      </c>
      <c r="T173" s="156">
        <v>3.6829999999999998</v>
      </c>
      <c r="U173" s="2" t="s">
        <v>2411</v>
      </c>
      <c r="V173" s="169">
        <v>2.4E-2</v>
      </c>
      <c r="W173" s="171">
        <v>2.9899999999999999E-2</v>
      </c>
      <c r="X173" s="4" t="s">
        <v>415</v>
      </c>
      <c r="Y173" s="4" t="s">
        <v>140</v>
      </c>
      <c r="Z173" s="156">
        <v>14357.15</v>
      </c>
      <c r="AA173" s="165">
        <v>1</v>
      </c>
      <c r="AB173" s="182">
        <v>114.45</v>
      </c>
      <c r="AD173" s="156">
        <v>16.431999999999999</v>
      </c>
      <c r="AG173" s="2" t="s">
        <v>36</v>
      </c>
      <c r="AH173" s="171">
        <v>1.2E-5</v>
      </c>
      <c r="AI173" s="171">
        <v>1.1090336561330899E-2</v>
      </c>
      <c r="AJ173" s="171">
        <v>1.5748365009202799E-3</v>
      </c>
    </row>
    <row r="174" spans="1:36">
      <c r="A174" s="2">
        <v>419</v>
      </c>
      <c r="B174" s="2">
        <v>1472</v>
      </c>
      <c r="C174" s="2" t="s">
        <v>2144</v>
      </c>
      <c r="D174" s="2" t="s">
        <v>2145</v>
      </c>
      <c r="E174" s="4" t="s">
        <v>1321</v>
      </c>
      <c r="F174" s="2" t="s">
        <v>2146</v>
      </c>
      <c r="G174" s="2" t="s">
        <v>2147</v>
      </c>
      <c r="H174" s="2" t="s">
        <v>324</v>
      </c>
      <c r="I174" s="2" t="s">
        <v>760</v>
      </c>
      <c r="J174" s="2" t="s">
        <v>30</v>
      </c>
      <c r="K174" s="2" t="s">
        <v>30</v>
      </c>
      <c r="L174" s="2" t="s">
        <v>330</v>
      </c>
      <c r="M174" s="2" t="s">
        <v>31</v>
      </c>
      <c r="N174" s="2" t="s">
        <v>467</v>
      </c>
      <c r="O174" s="2" t="s">
        <v>140</v>
      </c>
      <c r="P174" s="2" t="s">
        <v>1921</v>
      </c>
      <c r="Q174" s="2" t="s">
        <v>416</v>
      </c>
      <c r="R174" s="2" t="s">
        <v>410</v>
      </c>
      <c r="S174" s="2" t="s">
        <v>34</v>
      </c>
      <c r="T174" s="156">
        <v>5.8170000000000002</v>
      </c>
      <c r="U174" s="2" t="s">
        <v>2148</v>
      </c>
      <c r="V174" s="169">
        <v>1.4999999999999999E-2</v>
      </c>
      <c r="W174" s="171">
        <v>3.2969999999999999E-2</v>
      </c>
      <c r="X174" s="4" t="s">
        <v>415</v>
      </c>
      <c r="Y174" s="4" t="s">
        <v>140</v>
      </c>
      <c r="Z174" s="156">
        <v>18333.919999999998</v>
      </c>
      <c r="AA174" s="165">
        <v>1</v>
      </c>
      <c r="AB174" s="182">
        <v>100.38</v>
      </c>
      <c r="AD174" s="156">
        <v>18.404</v>
      </c>
      <c r="AG174" s="2" t="s">
        <v>36</v>
      </c>
      <c r="AH174" s="171">
        <v>7.4999999999999993E-5</v>
      </c>
      <c r="AI174" s="171">
        <v>1.2421190271868899E-2</v>
      </c>
      <c r="AJ174" s="171">
        <v>1.76381877293249E-3</v>
      </c>
    </row>
    <row r="175" spans="1:36">
      <c r="A175" s="2">
        <v>419</v>
      </c>
      <c r="B175" s="2">
        <v>1472</v>
      </c>
      <c r="C175" s="2" t="s">
        <v>2149</v>
      </c>
      <c r="D175" s="2" t="s">
        <v>2150</v>
      </c>
      <c r="E175" s="4" t="s">
        <v>1321</v>
      </c>
      <c r="F175" s="2" t="s">
        <v>2151</v>
      </c>
      <c r="G175" s="2" t="s">
        <v>2152</v>
      </c>
      <c r="H175" s="2" t="s">
        <v>324</v>
      </c>
      <c r="I175" s="2" t="s">
        <v>973</v>
      </c>
      <c r="J175" s="2" t="s">
        <v>30</v>
      </c>
      <c r="K175" s="2" t="s">
        <v>30</v>
      </c>
      <c r="L175" s="2" t="s">
        <v>330</v>
      </c>
      <c r="M175" s="2" t="s">
        <v>31</v>
      </c>
      <c r="N175" s="2" t="s">
        <v>448</v>
      </c>
      <c r="O175" s="2" t="s">
        <v>140</v>
      </c>
      <c r="P175" s="2" t="s">
        <v>1921</v>
      </c>
      <c r="Q175" s="2" t="s">
        <v>416</v>
      </c>
      <c r="R175" s="2" t="s">
        <v>410</v>
      </c>
      <c r="S175" s="2" t="s">
        <v>34</v>
      </c>
      <c r="T175" s="156">
        <v>7.5170000000000003</v>
      </c>
      <c r="U175" s="2" t="s">
        <v>41</v>
      </c>
      <c r="V175" s="169">
        <v>2.64E-2</v>
      </c>
      <c r="W175" s="171">
        <v>5.7770000000000002E-2</v>
      </c>
      <c r="X175" s="4" t="s">
        <v>415</v>
      </c>
      <c r="Y175" s="4" t="s">
        <v>140</v>
      </c>
      <c r="Z175" s="156">
        <v>43780.29</v>
      </c>
      <c r="AA175" s="165">
        <v>1</v>
      </c>
      <c r="AB175" s="182">
        <v>85.75</v>
      </c>
      <c r="AD175" s="156">
        <v>37.542000000000002</v>
      </c>
      <c r="AG175" s="2" t="s">
        <v>36</v>
      </c>
      <c r="AH175" s="171">
        <v>2.6999999999999999E-5</v>
      </c>
      <c r="AI175" s="171">
        <v>2.5338065465789001E-2</v>
      </c>
      <c r="AJ175" s="171">
        <v>3.5980251940563E-3</v>
      </c>
    </row>
    <row r="176" spans="1:36">
      <c r="A176" s="2">
        <v>419</v>
      </c>
      <c r="B176" s="2">
        <v>1472</v>
      </c>
      <c r="C176" s="2" t="s">
        <v>1660</v>
      </c>
      <c r="D176" s="2" t="s">
        <v>1661</v>
      </c>
      <c r="E176" s="4" t="s">
        <v>1321</v>
      </c>
      <c r="F176" s="2" t="s">
        <v>2153</v>
      </c>
      <c r="G176" s="2" t="s">
        <v>2154</v>
      </c>
      <c r="H176" s="2" t="s">
        <v>324</v>
      </c>
      <c r="I176" s="2" t="s">
        <v>973</v>
      </c>
      <c r="J176" s="2" t="s">
        <v>30</v>
      </c>
      <c r="K176" s="2" t="s">
        <v>30</v>
      </c>
      <c r="L176" s="2" t="s">
        <v>330</v>
      </c>
      <c r="M176" s="2" t="s">
        <v>31</v>
      </c>
      <c r="N176" s="2" t="s">
        <v>448</v>
      </c>
      <c r="O176" s="2" t="s">
        <v>140</v>
      </c>
      <c r="P176" s="2" t="s">
        <v>1921</v>
      </c>
      <c r="Q176" s="2" t="s">
        <v>416</v>
      </c>
      <c r="R176" s="2" t="s">
        <v>410</v>
      </c>
      <c r="S176" s="2" t="s">
        <v>34</v>
      </c>
      <c r="T176" s="156">
        <v>3.105</v>
      </c>
      <c r="U176" s="2" t="s">
        <v>2155</v>
      </c>
      <c r="V176" s="169">
        <v>4.7E-2</v>
      </c>
      <c r="W176" s="171">
        <v>5.4760000000000003E-2</v>
      </c>
      <c r="X176" s="4" t="s">
        <v>415</v>
      </c>
      <c r="Y176" s="4" t="s">
        <v>140</v>
      </c>
      <c r="Z176" s="156">
        <v>14000</v>
      </c>
      <c r="AA176" s="165">
        <v>1</v>
      </c>
      <c r="AB176" s="182">
        <v>100.38</v>
      </c>
      <c r="AD176" s="156">
        <v>14.053000000000001</v>
      </c>
      <c r="AG176" s="2" t="s">
        <v>36</v>
      </c>
      <c r="AH176" s="171">
        <v>1.5999999999999999E-5</v>
      </c>
      <c r="AI176" s="171">
        <v>9.48496905223567E-3</v>
      </c>
      <c r="AJ176" s="171">
        <v>1.3468730539380001E-3</v>
      </c>
    </row>
    <row r="177" spans="1:36">
      <c r="A177" s="2">
        <v>419</v>
      </c>
      <c r="B177" s="2">
        <v>1472</v>
      </c>
      <c r="C177" s="2" t="s">
        <v>2149</v>
      </c>
      <c r="D177" s="2" t="s">
        <v>2150</v>
      </c>
      <c r="E177" s="4" t="s">
        <v>1321</v>
      </c>
      <c r="F177" s="2" t="s">
        <v>2159</v>
      </c>
      <c r="G177" s="2" t="s">
        <v>2160</v>
      </c>
      <c r="H177" s="2" t="s">
        <v>324</v>
      </c>
      <c r="I177" s="2" t="s">
        <v>973</v>
      </c>
      <c r="J177" s="2" t="s">
        <v>30</v>
      </c>
      <c r="K177" s="2" t="s">
        <v>30</v>
      </c>
      <c r="L177" s="2" t="s">
        <v>330</v>
      </c>
      <c r="M177" s="2" t="s">
        <v>31</v>
      </c>
      <c r="N177" s="2" t="s">
        <v>482</v>
      </c>
      <c r="O177" s="2" t="s">
        <v>140</v>
      </c>
      <c r="P177" s="2" t="s">
        <v>1921</v>
      </c>
      <c r="Q177" s="2" t="s">
        <v>416</v>
      </c>
      <c r="R177" s="2" t="s">
        <v>410</v>
      </c>
      <c r="S177" s="2" t="s">
        <v>34</v>
      </c>
      <c r="T177" s="156">
        <v>9.2230000000000008</v>
      </c>
      <c r="U177" s="2" t="s">
        <v>2161</v>
      </c>
      <c r="V177" s="169">
        <v>5.3100000000000001E-2</v>
      </c>
      <c r="W177" s="171">
        <v>6.1010000000000002E-2</v>
      </c>
      <c r="X177" s="4" t="s">
        <v>415</v>
      </c>
      <c r="Y177" s="4" t="s">
        <v>140</v>
      </c>
      <c r="Z177" s="156">
        <v>21627</v>
      </c>
      <c r="AA177" s="165">
        <v>1</v>
      </c>
      <c r="AB177" s="182">
        <v>95.72</v>
      </c>
      <c r="AD177" s="156">
        <v>20.701000000000001</v>
      </c>
      <c r="AG177" s="2" t="s">
        <v>36</v>
      </c>
      <c r="AH177" s="171">
        <v>1.7E-5</v>
      </c>
      <c r="AI177" s="171">
        <v>1.39720348869335E-2</v>
      </c>
      <c r="AJ177" s="171">
        <v>1.9840399261457399E-3</v>
      </c>
    </row>
    <row r="178" spans="1:36">
      <c r="A178" s="2">
        <v>419</v>
      </c>
      <c r="B178" s="2">
        <v>1472</v>
      </c>
      <c r="C178" s="2" t="s">
        <v>1183</v>
      </c>
      <c r="D178" s="2" t="s">
        <v>1664</v>
      </c>
      <c r="E178" s="4" t="s">
        <v>1321</v>
      </c>
      <c r="F178" s="2" t="s">
        <v>2165</v>
      </c>
      <c r="G178" s="2" t="s">
        <v>2166</v>
      </c>
      <c r="H178" s="2" t="s">
        <v>324</v>
      </c>
      <c r="I178" s="2" t="s">
        <v>760</v>
      </c>
      <c r="J178" s="2" t="s">
        <v>30</v>
      </c>
      <c r="K178" s="2" t="s">
        <v>30</v>
      </c>
      <c r="L178" s="2" t="s">
        <v>330</v>
      </c>
      <c r="M178" s="2" t="s">
        <v>31</v>
      </c>
      <c r="N178" s="2" t="s">
        <v>451</v>
      </c>
      <c r="O178" s="2" t="s">
        <v>140</v>
      </c>
      <c r="P178" s="2" t="s">
        <v>1185</v>
      </c>
      <c r="Q178" s="2" t="s">
        <v>416</v>
      </c>
      <c r="R178" s="2" t="s">
        <v>410</v>
      </c>
      <c r="S178" s="2" t="s">
        <v>34</v>
      </c>
      <c r="T178" s="156">
        <v>1.7370000000000001</v>
      </c>
      <c r="U178" s="2" t="s">
        <v>1967</v>
      </c>
      <c r="V178" s="169">
        <v>8.3000000000000001E-3</v>
      </c>
      <c r="W178" s="171">
        <v>2.0449999999999999E-2</v>
      </c>
      <c r="X178" s="4" t="s">
        <v>415</v>
      </c>
      <c r="Y178" s="4" t="s">
        <v>140</v>
      </c>
      <c r="Z178" s="156">
        <v>13903</v>
      </c>
      <c r="AA178" s="165">
        <v>1</v>
      </c>
      <c r="AB178" s="182">
        <v>113.2</v>
      </c>
      <c r="AD178" s="156">
        <v>15.738</v>
      </c>
      <c r="AG178" s="2" t="s">
        <v>36</v>
      </c>
      <c r="AH178" s="171">
        <v>9.0000000000000002E-6</v>
      </c>
      <c r="AI178" s="171">
        <v>1.0622228531439E-2</v>
      </c>
      <c r="AJ178" s="171">
        <v>1.5083647930716701E-3</v>
      </c>
    </row>
    <row r="179" spans="1:36">
      <c r="A179" s="2">
        <v>419</v>
      </c>
      <c r="B179" s="2">
        <v>1472</v>
      </c>
      <c r="C179" s="2" t="s">
        <v>1183</v>
      </c>
      <c r="D179" s="2" t="s">
        <v>1664</v>
      </c>
      <c r="E179" s="4" t="s">
        <v>1321</v>
      </c>
      <c r="F179" s="2" t="s">
        <v>2170</v>
      </c>
      <c r="G179" s="2" t="s">
        <v>2171</v>
      </c>
      <c r="H179" s="2" t="s">
        <v>324</v>
      </c>
      <c r="I179" s="2" t="s">
        <v>760</v>
      </c>
      <c r="J179" s="2" t="s">
        <v>30</v>
      </c>
      <c r="K179" s="2" t="s">
        <v>30</v>
      </c>
      <c r="L179" s="2" t="s">
        <v>330</v>
      </c>
      <c r="M179" s="2" t="s">
        <v>31</v>
      </c>
      <c r="N179" s="2" t="s">
        <v>451</v>
      </c>
      <c r="O179" s="2" t="s">
        <v>140</v>
      </c>
      <c r="P179" s="2" t="s">
        <v>1185</v>
      </c>
      <c r="Q179" s="2" t="s">
        <v>416</v>
      </c>
      <c r="R179" s="2" t="s">
        <v>410</v>
      </c>
      <c r="S179" s="2" t="s">
        <v>34</v>
      </c>
      <c r="T179" s="156">
        <v>5.0449999999999999</v>
      </c>
      <c r="U179" s="2" t="s">
        <v>2172</v>
      </c>
      <c r="V179" s="169">
        <v>2.0199999999999999E-2</v>
      </c>
      <c r="W179" s="171">
        <v>2.5940000000000001E-2</v>
      </c>
      <c r="X179" s="4" t="s">
        <v>415</v>
      </c>
      <c r="Y179" s="4" t="s">
        <v>140</v>
      </c>
      <c r="Z179" s="156">
        <v>15000</v>
      </c>
      <c r="AA179" s="165">
        <v>1</v>
      </c>
      <c r="AB179" s="182">
        <v>101.35</v>
      </c>
      <c r="AD179" s="156">
        <v>15.202999999999999</v>
      </c>
      <c r="AG179" s="2" t="s">
        <v>36</v>
      </c>
      <c r="AH179" s="171">
        <v>3.9999999999999998E-6</v>
      </c>
      <c r="AI179" s="171">
        <v>1.0260669599565401E-2</v>
      </c>
      <c r="AJ179" s="171">
        <v>1.45702314081436E-3</v>
      </c>
    </row>
    <row r="180" spans="1:36">
      <c r="A180" s="2">
        <v>419</v>
      </c>
      <c r="B180" s="2">
        <v>1472</v>
      </c>
      <c r="C180" s="2" t="s">
        <v>1183</v>
      </c>
      <c r="D180" s="2" t="s">
        <v>1664</v>
      </c>
      <c r="E180" s="4" t="s">
        <v>1321</v>
      </c>
      <c r="F180" s="2" t="s">
        <v>2173</v>
      </c>
      <c r="G180" s="2" t="s">
        <v>2174</v>
      </c>
      <c r="H180" s="2" t="s">
        <v>324</v>
      </c>
      <c r="I180" s="2" t="s">
        <v>760</v>
      </c>
      <c r="J180" s="2" t="s">
        <v>30</v>
      </c>
      <c r="K180" s="2" t="s">
        <v>30</v>
      </c>
      <c r="L180" s="2" t="s">
        <v>330</v>
      </c>
      <c r="M180" s="2" t="s">
        <v>31</v>
      </c>
      <c r="N180" s="2" t="s">
        <v>451</v>
      </c>
      <c r="O180" s="2" t="s">
        <v>140</v>
      </c>
      <c r="P180" s="2" t="s">
        <v>1185</v>
      </c>
      <c r="Q180" s="2" t="s">
        <v>416</v>
      </c>
      <c r="R180" s="2" t="s">
        <v>410</v>
      </c>
      <c r="S180" s="2" t="s">
        <v>34</v>
      </c>
      <c r="T180" s="156">
        <v>5.1369999999999996</v>
      </c>
      <c r="U180" s="2" t="s">
        <v>2175</v>
      </c>
      <c r="V180" s="169">
        <v>1E-3</v>
      </c>
      <c r="W180" s="171">
        <v>2.622E-2</v>
      </c>
      <c r="X180" s="4" t="s">
        <v>415</v>
      </c>
      <c r="Y180" s="4" t="s">
        <v>140</v>
      </c>
      <c r="Z180" s="156">
        <v>34000</v>
      </c>
      <c r="AA180" s="165">
        <v>1</v>
      </c>
      <c r="AB180" s="182">
        <v>99.1</v>
      </c>
      <c r="AD180" s="156">
        <v>33.694000000000003</v>
      </c>
      <c r="AG180" s="2" t="s">
        <v>36</v>
      </c>
      <c r="AH180" s="171">
        <v>1.4E-5</v>
      </c>
      <c r="AI180" s="171">
        <v>2.2741193980447799E-2</v>
      </c>
      <c r="AJ180" s="171">
        <v>3.2292674038216802E-3</v>
      </c>
    </row>
    <row r="181" spans="1:36">
      <c r="A181" s="2">
        <v>419</v>
      </c>
      <c r="B181" s="2">
        <v>1472</v>
      </c>
      <c r="C181" s="2" t="s">
        <v>1670</v>
      </c>
      <c r="D181" s="2" t="s">
        <v>1671</v>
      </c>
      <c r="E181" s="4" t="s">
        <v>1321</v>
      </c>
      <c r="F181" s="2" t="s">
        <v>2176</v>
      </c>
      <c r="G181" s="2" t="s">
        <v>2177</v>
      </c>
      <c r="H181" s="2" t="s">
        <v>324</v>
      </c>
      <c r="I181" s="2" t="s">
        <v>760</v>
      </c>
      <c r="J181" s="2" t="s">
        <v>30</v>
      </c>
      <c r="K181" s="2" t="s">
        <v>30</v>
      </c>
      <c r="L181" s="2" t="s">
        <v>330</v>
      </c>
      <c r="M181" s="2" t="s">
        <v>31</v>
      </c>
      <c r="N181" s="2" t="s">
        <v>467</v>
      </c>
      <c r="O181" s="2" t="s">
        <v>140</v>
      </c>
      <c r="P181" s="2" t="s">
        <v>1956</v>
      </c>
      <c r="Q181" s="2" t="s">
        <v>416</v>
      </c>
      <c r="R181" s="2" t="s">
        <v>410</v>
      </c>
      <c r="S181" s="2" t="s">
        <v>34</v>
      </c>
      <c r="T181" s="156">
        <v>5.83</v>
      </c>
      <c r="U181" s="2" t="s">
        <v>2047</v>
      </c>
      <c r="V181" s="169">
        <v>3.5000000000000001E-3</v>
      </c>
      <c r="W181" s="171">
        <v>3.4130000000000001E-2</v>
      </c>
      <c r="X181" s="4" t="s">
        <v>415</v>
      </c>
      <c r="Y181" s="4" t="s">
        <v>140</v>
      </c>
      <c r="Z181" s="156">
        <v>20000</v>
      </c>
      <c r="AA181" s="165">
        <v>1</v>
      </c>
      <c r="AB181" s="182">
        <v>94.3</v>
      </c>
      <c r="AD181" s="156">
        <v>18.86</v>
      </c>
      <c r="AG181" s="2" t="s">
        <v>36</v>
      </c>
      <c r="AH181" s="171">
        <v>6.0000000000000002E-6</v>
      </c>
      <c r="AI181" s="171">
        <v>1.27292372075516E-2</v>
      </c>
      <c r="AJ181" s="171">
        <v>1.8075616797078699E-3</v>
      </c>
    </row>
    <row r="182" spans="1:36">
      <c r="A182" s="2">
        <v>419</v>
      </c>
      <c r="B182" s="2">
        <v>1472</v>
      </c>
      <c r="C182" s="2" t="s">
        <v>1670</v>
      </c>
      <c r="D182" s="2" t="s">
        <v>1671</v>
      </c>
      <c r="E182" s="4" t="s">
        <v>1321</v>
      </c>
      <c r="F182" s="2" t="s">
        <v>2178</v>
      </c>
      <c r="G182" s="2" t="s">
        <v>2179</v>
      </c>
      <c r="H182" s="2" t="s">
        <v>324</v>
      </c>
      <c r="I182" s="2" t="s">
        <v>760</v>
      </c>
      <c r="J182" s="2" t="s">
        <v>30</v>
      </c>
      <c r="K182" s="2" t="s">
        <v>30</v>
      </c>
      <c r="L182" s="2" t="s">
        <v>330</v>
      </c>
      <c r="M182" s="2" t="s">
        <v>31</v>
      </c>
      <c r="N182" s="2" t="s">
        <v>467</v>
      </c>
      <c r="O182" s="2" t="s">
        <v>140</v>
      </c>
      <c r="P182" s="2" t="s">
        <v>1956</v>
      </c>
      <c r="Q182" s="2" t="s">
        <v>416</v>
      </c>
      <c r="R182" s="2" t="s">
        <v>410</v>
      </c>
      <c r="S182" s="2" t="s">
        <v>34</v>
      </c>
      <c r="T182" s="156">
        <v>2.024</v>
      </c>
      <c r="U182" s="2" t="s">
        <v>2111</v>
      </c>
      <c r="V182" s="169">
        <v>3.6999999999999998E-2</v>
      </c>
      <c r="W182" s="171">
        <v>2.6419999999999999E-2</v>
      </c>
      <c r="X182" s="4" t="s">
        <v>415</v>
      </c>
      <c r="Y182" s="4" t="s">
        <v>140</v>
      </c>
      <c r="Z182" s="156">
        <v>0.42</v>
      </c>
      <c r="AA182" s="165">
        <v>1</v>
      </c>
      <c r="AB182" s="182">
        <v>119.19</v>
      </c>
      <c r="AD182" s="156">
        <v>1E-3</v>
      </c>
      <c r="AG182" s="2" t="s">
        <v>36</v>
      </c>
      <c r="AH182" s="171">
        <v>0</v>
      </c>
      <c r="AI182" s="171">
        <v>3.3787013189957201E-7</v>
      </c>
      <c r="AJ182" s="171">
        <v>4.79778240582397E-8</v>
      </c>
    </row>
    <row r="183" spans="1:36">
      <c r="A183" s="2">
        <v>419</v>
      </c>
      <c r="B183" s="2">
        <v>1472</v>
      </c>
      <c r="C183" s="2" t="s">
        <v>1674</v>
      </c>
      <c r="D183" s="2" t="s">
        <v>1675</v>
      </c>
      <c r="E183" s="4" t="s">
        <v>1321</v>
      </c>
      <c r="F183" s="2" t="s">
        <v>2186</v>
      </c>
      <c r="G183" s="2" t="s">
        <v>2187</v>
      </c>
      <c r="H183" s="2" t="s">
        <v>324</v>
      </c>
      <c r="I183" s="2" t="s">
        <v>973</v>
      </c>
      <c r="J183" s="2" t="s">
        <v>30</v>
      </c>
      <c r="K183" s="2" t="s">
        <v>30</v>
      </c>
      <c r="L183" s="2" t="s">
        <v>330</v>
      </c>
      <c r="M183" s="2" t="s">
        <v>31</v>
      </c>
      <c r="N183" s="2" t="s">
        <v>467</v>
      </c>
      <c r="O183" s="2" t="s">
        <v>140</v>
      </c>
      <c r="P183" s="2" t="s">
        <v>1942</v>
      </c>
      <c r="Q183" s="2" t="s">
        <v>418</v>
      </c>
      <c r="R183" s="2" t="s">
        <v>410</v>
      </c>
      <c r="S183" s="2" t="s">
        <v>34</v>
      </c>
      <c r="T183" s="156">
        <v>4.8710000000000004</v>
      </c>
      <c r="U183" s="2" t="s">
        <v>2188</v>
      </c>
      <c r="V183" s="169">
        <v>5.4800000000000001E-2</v>
      </c>
      <c r="W183" s="171">
        <v>6.2E-2</v>
      </c>
      <c r="X183" s="4" t="s">
        <v>415</v>
      </c>
      <c r="Y183" s="4" t="s">
        <v>140</v>
      </c>
      <c r="Z183" s="156">
        <v>28000</v>
      </c>
      <c r="AA183" s="165">
        <v>1</v>
      </c>
      <c r="AB183" s="182">
        <v>98.13</v>
      </c>
      <c r="AD183" s="156">
        <v>27.475999999999999</v>
      </c>
      <c r="AG183" s="2" t="s">
        <v>36</v>
      </c>
      <c r="AH183" s="171">
        <v>9.2999999999999997E-5</v>
      </c>
      <c r="AI183" s="171">
        <v>1.85447302868278E-2</v>
      </c>
      <c r="AJ183" s="171">
        <v>2.6333662638560601E-3</v>
      </c>
    </row>
    <row r="184" spans="1:36">
      <c r="A184" s="2">
        <v>419</v>
      </c>
      <c r="B184" s="2">
        <v>1472</v>
      </c>
      <c r="C184" s="2" t="s">
        <v>2189</v>
      </c>
      <c r="D184" s="2" t="s">
        <v>2190</v>
      </c>
      <c r="E184" s="4" t="s">
        <v>1321</v>
      </c>
      <c r="F184" s="2" t="s">
        <v>2191</v>
      </c>
      <c r="G184" s="2" t="s">
        <v>2192</v>
      </c>
      <c r="H184" s="2" t="s">
        <v>324</v>
      </c>
      <c r="I184" s="2" t="s">
        <v>760</v>
      </c>
      <c r="J184" s="2" t="s">
        <v>30</v>
      </c>
      <c r="K184" s="2" t="s">
        <v>30</v>
      </c>
      <c r="L184" s="2" t="s">
        <v>330</v>
      </c>
      <c r="M184" s="2" t="s">
        <v>31</v>
      </c>
      <c r="N184" s="2" t="s">
        <v>467</v>
      </c>
      <c r="O184" s="2" t="s">
        <v>140</v>
      </c>
      <c r="P184" s="2" t="s">
        <v>1927</v>
      </c>
      <c r="Q184" s="2" t="s">
        <v>416</v>
      </c>
      <c r="R184" s="2" t="s">
        <v>410</v>
      </c>
      <c r="S184" s="2" t="s">
        <v>34</v>
      </c>
      <c r="T184" s="156">
        <v>2.2000000000000002</v>
      </c>
      <c r="U184" s="2" t="s">
        <v>2133</v>
      </c>
      <c r="V184" s="169">
        <v>3.0000000000000001E-3</v>
      </c>
      <c r="W184" s="171">
        <v>3.1710000000000002E-2</v>
      </c>
      <c r="X184" s="4" t="s">
        <v>415</v>
      </c>
      <c r="Y184" s="4" t="s">
        <v>140</v>
      </c>
      <c r="Z184" s="156">
        <v>16000</v>
      </c>
      <c r="AA184" s="165">
        <v>1</v>
      </c>
      <c r="AB184" s="182">
        <v>97.34</v>
      </c>
      <c r="AD184" s="156">
        <v>15.574</v>
      </c>
      <c r="AG184" s="2" t="s">
        <v>36</v>
      </c>
      <c r="AH184" s="171">
        <v>4.8000000000000001E-5</v>
      </c>
      <c r="AI184" s="171">
        <v>1.05116771985839E-2</v>
      </c>
      <c r="AJ184" s="171">
        <v>1.49266641699057E-3</v>
      </c>
    </row>
    <row r="185" spans="1:36">
      <c r="A185" s="2">
        <v>419</v>
      </c>
      <c r="B185" s="2">
        <v>1472</v>
      </c>
      <c r="C185" s="2" t="s">
        <v>2193</v>
      </c>
      <c r="D185" s="2" t="s">
        <v>2194</v>
      </c>
      <c r="E185" s="4" t="s">
        <v>1321</v>
      </c>
      <c r="F185" s="2" t="s">
        <v>2198</v>
      </c>
      <c r="G185" s="2" t="s">
        <v>2199</v>
      </c>
      <c r="H185" s="2" t="s">
        <v>324</v>
      </c>
      <c r="I185" s="2" t="s">
        <v>760</v>
      </c>
      <c r="J185" s="2" t="s">
        <v>30</v>
      </c>
      <c r="K185" s="2" t="s">
        <v>30</v>
      </c>
      <c r="L185" s="2" t="s">
        <v>330</v>
      </c>
      <c r="M185" s="2" t="s">
        <v>31</v>
      </c>
      <c r="N185" s="2" t="s">
        <v>451</v>
      </c>
      <c r="O185" s="2" t="s">
        <v>140</v>
      </c>
      <c r="P185" s="2" t="s">
        <v>1185</v>
      </c>
      <c r="Q185" s="2" t="s">
        <v>418</v>
      </c>
      <c r="R185" s="2" t="s">
        <v>410</v>
      </c>
      <c r="S185" s="2" t="s">
        <v>34</v>
      </c>
      <c r="T185" s="156">
        <v>2.16</v>
      </c>
      <c r="U185" s="2" t="s">
        <v>2200</v>
      </c>
      <c r="V185" s="169">
        <v>5.0000000000000001E-3</v>
      </c>
      <c r="W185" s="171">
        <v>2.1420000000000002E-2</v>
      </c>
      <c r="X185" s="4" t="s">
        <v>415</v>
      </c>
      <c r="Y185" s="4" t="s">
        <v>140</v>
      </c>
      <c r="Z185" s="156">
        <v>15000.01</v>
      </c>
      <c r="AA185" s="165">
        <v>1</v>
      </c>
      <c r="AB185" s="182">
        <v>110.72</v>
      </c>
      <c r="AD185" s="156">
        <v>16.608000000000001</v>
      </c>
      <c r="AG185" s="2" t="s">
        <v>36</v>
      </c>
      <c r="AH185" s="171">
        <v>2.0000000000000002E-5</v>
      </c>
      <c r="AI185" s="171">
        <v>1.1209295465595501E-2</v>
      </c>
      <c r="AJ185" s="171">
        <v>1.5917287587439699E-3</v>
      </c>
    </row>
    <row r="186" spans="1:36">
      <c r="A186" s="2">
        <v>419</v>
      </c>
      <c r="B186" s="2">
        <v>1472</v>
      </c>
      <c r="C186" s="2" t="s">
        <v>2193</v>
      </c>
      <c r="D186" s="2" t="s">
        <v>2194</v>
      </c>
      <c r="E186" s="4" t="s">
        <v>1321</v>
      </c>
      <c r="F186" s="2" t="s">
        <v>2201</v>
      </c>
      <c r="G186" s="2" t="s">
        <v>2202</v>
      </c>
      <c r="H186" s="2" t="s">
        <v>324</v>
      </c>
      <c r="I186" s="2" t="s">
        <v>760</v>
      </c>
      <c r="J186" s="2" t="s">
        <v>30</v>
      </c>
      <c r="K186" s="2" t="s">
        <v>30</v>
      </c>
      <c r="L186" s="2" t="s">
        <v>330</v>
      </c>
      <c r="M186" s="2" t="s">
        <v>31</v>
      </c>
      <c r="N186" s="2" t="s">
        <v>451</v>
      </c>
      <c r="O186" s="2" t="s">
        <v>140</v>
      </c>
      <c r="P186" s="2" t="s">
        <v>1185</v>
      </c>
      <c r="Q186" s="2" t="s">
        <v>418</v>
      </c>
      <c r="R186" s="2" t="s">
        <v>410</v>
      </c>
      <c r="S186" s="2" t="s">
        <v>34</v>
      </c>
      <c r="T186" s="156">
        <v>0.375</v>
      </c>
      <c r="U186" s="2" t="s">
        <v>2203</v>
      </c>
      <c r="V186" s="169">
        <v>9.4999999999999998E-3</v>
      </c>
      <c r="W186" s="171">
        <v>2.657E-2</v>
      </c>
      <c r="X186" s="4" t="s">
        <v>415</v>
      </c>
      <c r="Y186" s="4" t="s">
        <v>140</v>
      </c>
      <c r="Z186" s="156">
        <v>3375.01</v>
      </c>
      <c r="AA186" s="165">
        <v>1</v>
      </c>
      <c r="AB186" s="182">
        <v>116.08</v>
      </c>
      <c r="AD186" s="156">
        <v>3.9180000000000001</v>
      </c>
      <c r="AG186" s="2" t="s">
        <v>36</v>
      </c>
      <c r="AH186" s="171">
        <v>2.0999999999999999E-5</v>
      </c>
      <c r="AI186" s="171">
        <v>2.6441930206262199E-3</v>
      </c>
      <c r="AJ186" s="171">
        <v>3.75477485406548E-4</v>
      </c>
    </row>
    <row r="187" spans="1:36">
      <c r="A187" s="2">
        <v>419</v>
      </c>
      <c r="B187" s="2">
        <v>1472</v>
      </c>
      <c r="C187" s="2" t="s">
        <v>2193</v>
      </c>
      <c r="D187" s="2" t="s">
        <v>2194</v>
      </c>
      <c r="E187" s="4" t="s">
        <v>1321</v>
      </c>
      <c r="F187" s="2" t="s">
        <v>2210</v>
      </c>
      <c r="G187" s="2" t="s">
        <v>2211</v>
      </c>
      <c r="H187" s="2" t="s">
        <v>324</v>
      </c>
      <c r="I187" s="2" t="s">
        <v>760</v>
      </c>
      <c r="J187" s="2" t="s">
        <v>30</v>
      </c>
      <c r="K187" s="2" t="s">
        <v>30</v>
      </c>
      <c r="L187" s="2" t="s">
        <v>330</v>
      </c>
      <c r="M187" s="2" t="s">
        <v>31</v>
      </c>
      <c r="N187" s="2" t="s">
        <v>451</v>
      </c>
      <c r="O187" s="2" t="s">
        <v>140</v>
      </c>
      <c r="P187" s="2" t="s">
        <v>1185</v>
      </c>
      <c r="Q187" s="2" t="s">
        <v>416</v>
      </c>
      <c r="R187" s="2" t="s">
        <v>410</v>
      </c>
      <c r="S187" s="2" t="s">
        <v>34</v>
      </c>
      <c r="T187" s="156">
        <v>5.5650000000000004</v>
      </c>
      <c r="U187" s="2" t="s">
        <v>2212</v>
      </c>
      <c r="V187" s="169">
        <v>2.2013000000000001E-2</v>
      </c>
      <c r="W187" s="171">
        <v>2.4819999999999998E-2</v>
      </c>
      <c r="X187" s="4" t="s">
        <v>415</v>
      </c>
      <c r="Y187" s="4" t="s">
        <v>140</v>
      </c>
      <c r="Z187" s="156">
        <v>21053</v>
      </c>
      <c r="AA187" s="165">
        <v>1</v>
      </c>
      <c r="AB187" s="182">
        <v>117</v>
      </c>
      <c r="AD187" s="156">
        <v>24.632000000000001</v>
      </c>
      <c r="AG187" s="2" t="s">
        <v>36</v>
      </c>
      <c r="AH187" s="171">
        <v>3.0000000000000001E-5</v>
      </c>
      <c r="AI187" s="171">
        <v>1.66249574861497E-2</v>
      </c>
      <c r="AJ187" s="171">
        <v>2.36075701856739E-3</v>
      </c>
    </row>
    <row r="188" spans="1:36">
      <c r="A188" s="2">
        <v>419</v>
      </c>
      <c r="B188" s="2">
        <v>1472</v>
      </c>
      <c r="C188" s="2" t="s">
        <v>1693</v>
      </c>
      <c r="D188" s="2" t="s">
        <v>1694</v>
      </c>
      <c r="E188" s="4" t="s">
        <v>1321</v>
      </c>
      <c r="F188" s="2" t="s">
        <v>2218</v>
      </c>
      <c r="G188" s="2" t="s">
        <v>2219</v>
      </c>
      <c r="H188" s="2" t="s">
        <v>324</v>
      </c>
      <c r="I188" s="2" t="s">
        <v>760</v>
      </c>
      <c r="J188" s="2" t="s">
        <v>30</v>
      </c>
      <c r="K188" s="2" t="s">
        <v>30</v>
      </c>
      <c r="L188" s="2" t="s">
        <v>330</v>
      </c>
      <c r="M188" s="2" t="s">
        <v>31</v>
      </c>
      <c r="N188" s="2" t="s">
        <v>467</v>
      </c>
      <c r="O188" s="2" t="s">
        <v>140</v>
      </c>
      <c r="P188" s="2" t="s">
        <v>1956</v>
      </c>
      <c r="Q188" s="2" t="s">
        <v>416</v>
      </c>
      <c r="R188" s="2" t="s">
        <v>410</v>
      </c>
      <c r="S188" s="2" t="s">
        <v>34</v>
      </c>
      <c r="T188" s="156">
        <v>5.92</v>
      </c>
      <c r="U188" s="2" t="s">
        <v>2220</v>
      </c>
      <c r="V188" s="169">
        <v>3.61E-2</v>
      </c>
      <c r="W188" s="171">
        <v>3.4549999999999997E-2</v>
      </c>
      <c r="X188" s="4" t="s">
        <v>415</v>
      </c>
      <c r="Y188" s="4" t="s">
        <v>140</v>
      </c>
      <c r="Z188" s="156">
        <v>19797.98</v>
      </c>
      <c r="AA188" s="165">
        <v>1</v>
      </c>
      <c r="AB188" s="182">
        <v>107.95</v>
      </c>
      <c r="AD188" s="156">
        <v>21.372</v>
      </c>
      <c r="AG188" s="2" t="s">
        <v>36</v>
      </c>
      <c r="AH188" s="171">
        <v>1.9000000000000001E-5</v>
      </c>
      <c r="AI188" s="171">
        <v>1.44246146209208E-2</v>
      </c>
      <c r="AJ188" s="171">
        <v>2.04830660378159E-3</v>
      </c>
    </row>
    <row r="189" spans="1:36">
      <c r="A189" s="2">
        <v>419</v>
      </c>
      <c r="B189" s="2">
        <v>1472</v>
      </c>
      <c r="C189" s="2" t="s">
        <v>2221</v>
      </c>
      <c r="D189" s="2" t="s">
        <v>2222</v>
      </c>
      <c r="E189" s="4" t="s">
        <v>1321</v>
      </c>
      <c r="F189" s="2" t="s">
        <v>2223</v>
      </c>
      <c r="G189" s="2" t="s">
        <v>2224</v>
      </c>
      <c r="H189" s="2" t="s">
        <v>324</v>
      </c>
      <c r="I189" s="2" t="s">
        <v>973</v>
      </c>
      <c r="J189" s="2" t="s">
        <v>30</v>
      </c>
      <c r="K189" s="2" t="s">
        <v>30</v>
      </c>
      <c r="L189" s="2" t="s">
        <v>330</v>
      </c>
      <c r="M189" s="2" t="s">
        <v>31</v>
      </c>
      <c r="N189" s="2" t="s">
        <v>481</v>
      </c>
      <c r="O189" s="2" t="s">
        <v>140</v>
      </c>
      <c r="P189" s="2" t="s">
        <v>1915</v>
      </c>
      <c r="Q189" s="2" t="s">
        <v>416</v>
      </c>
      <c r="R189" s="2" t="s">
        <v>410</v>
      </c>
      <c r="S189" s="2" t="s">
        <v>34</v>
      </c>
      <c r="T189" s="156">
        <v>1.587</v>
      </c>
      <c r="U189" s="2" t="s">
        <v>1943</v>
      </c>
      <c r="V189" s="169">
        <v>2.3900000000000001E-2</v>
      </c>
      <c r="W189" s="171">
        <v>5.6009999999999997E-2</v>
      </c>
      <c r="X189" s="4" t="s">
        <v>415</v>
      </c>
      <c r="Y189" s="4" t="s">
        <v>140</v>
      </c>
      <c r="Z189" s="156">
        <v>11554.2</v>
      </c>
      <c r="AA189" s="165">
        <v>1</v>
      </c>
      <c r="AB189" s="182">
        <v>94.18</v>
      </c>
      <c r="AD189" s="156">
        <v>10.882</v>
      </c>
      <c r="AG189" s="2" t="s">
        <v>36</v>
      </c>
      <c r="AH189" s="171">
        <v>6.8999999999999997E-5</v>
      </c>
      <c r="AI189" s="171">
        <v>7.3444496535239601E-3</v>
      </c>
      <c r="AJ189" s="171">
        <v>1.0429176183768399E-3</v>
      </c>
    </row>
    <row r="190" spans="1:36">
      <c r="A190" s="2">
        <v>419</v>
      </c>
      <c r="B190" s="2">
        <v>1472</v>
      </c>
      <c r="C190" s="2" t="s">
        <v>2412</v>
      </c>
      <c r="D190" s="2" t="s">
        <v>2413</v>
      </c>
      <c r="E190" s="4" t="s">
        <v>1321</v>
      </c>
      <c r="F190" s="2" t="s">
        <v>2414</v>
      </c>
      <c r="G190" s="2" t="s">
        <v>2415</v>
      </c>
      <c r="H190" s="2" t="s">
        <v>324</v>
      </c>
      <c r="I190" s="2" t="s">
        <v>973</v>
      </c>
      <c r="J190" s="2" t="s">
        <v>30</v>
      </c>
      <c r="K190" s="2" t="s">
        <v>30</v>
      </c>
      <c r="L190" s="2" t="s">
        <v>330</v>
      </c>
      <c r="M190" s="2" t="s">
        <v>31</v>
      </c>
      <c r="N190" s="2" t="s">
        <v>448</v>
      </c>
      <c r="O190" s="2" t="s">
        <v>140</v>
      </c>
      <c r="P190" s="2" t="s">
        <v>1921</v>
      </c>
      <c r="Q190" s="2" t="s">
        <v>418</v>
      </c>
      <c r="R190" s="2" t="s">
        <v>410</v>
      </c>
      <c r="S190" s="2" t="s">
        <v>34</v>
      </c>
      <c r="T190" s="156">
        <v>1.9690000000000001</v>
      </c>
      <c r="U190" s="2" t="s">
        <v>2227</v>
      </c>
      <c r="V190" s="169">
        <v>1.84E-2</v>
      </c>
      <c r="W190" s="171">
        <v>5.2949999999999997E-2</v>
      </c>
      <c r="X190" s="4" t="s">
        <v>415</v>
      </c>
      <c r="Y190" s="4" t="s">
        <v>140</v>
      </c>
      <c r="Z190" s="156">
        <v>11000</v>
      </c>
      <c r="AA190" s="165">
        <v>1</v>
      </c>
      <c r="AB190" s="182">
        <v>93.66</v>
      </c>
      <c r="AD190" s="156">
        <v>10.303000000000001</v>
      </c>
      <c r="AG190" s="2" t="s">
        <v>36</v>
      </c>
      <c r="AH190" s="171">
        <v>3.6999999999999998E-5</v>
      </c>
      <c r="AI190" s="171">
        <v>6.9535651778643397E-3</v>
      </c>
      <c r="AJ190" s="171">
        <v>9.8741171587265596E-4</v>
      </c>
    </row>
    <row r="191" spans="1:36">
      <c r="A191" s="2">
        <v>419</v>
      </c>
      <c r="B191" s="2">
        <v>1472</v>
      </c>
      <c r="C191" s="2" t="s">
        <v>1697</v>
      </c>
      <c r="D191" s="2" t="s">
        <v>1698</v>
      </c>
      <c r="E191" s="4" t="s">
        <v>1321</v>
      </c>
      <c r="F191" s="2" t="s">
        <v>2225</v>
      </c>
      <c r="G191" t="s">
        <v>2226</v>
      </c>
      <c r="H191" s="2" t="s">
        <v>324</v>
      </c>
      <c r="I191" s="2" t="s">
        <v>973</v>
      </c>
      <c r="J191" s="2" t="s">
        <v>30</v>
      </c>
      <c r="K191" s="2" t="s">
        <v>30</v>
      </c>
      <c r="L191" s="2" t="s">
        <v>330</v>
      </c>
      <c r="M191" s="2" t="s">
        <v>31</v>
      </c>
      <c r="N191" s="2" t="s">
        <v>448</v>
      </c>
      <c r="O191" s="2" t="s">
        <v>140</v>
      </c>
      <c r="P191" s="2" t="s">
        <v>1956</v>
      </c>
      <c r="Q191" s="2" t="s">
        <v>418</v>
      </c>
      <c r="R191" s="2" t="s">
        <v>410</v>
      </c>
      <c r="S191" s="2" t="s">
        <v>34</v>
      </c>
      <c r="T191" s="156">
        <v>1.2</v>
      </c>
      <c r="U191" s="2" t="s">
        <v>2227</v>
      </c>
      <c r="V191" s="169">
        <v>2.9399999999999999E-2</v>
      </c>
      <c r="W191" s="171">
        <v>5.3879999999999997E-2</v>
      </c>
      <c r="X191" s="4" t="s">
        <v>415</v>
      </c>
      <c r="Y191" s="4" t="s">
        <v>140</v>
      </c>
      <c r="Z191" s="156">
        <v>2315.23</v>
      </c>
      <c r="AA191" s="165">
        <v>1</v>
      </c>
      <c r="AB191" s="182">
        <v>96.58</v>
      </c>
      <c r="AD191" s="156">
        <v>2.2360000000000002</v>
      </c>
      <c r="AG191" s="2" t="s">
        <v>36</v>
      </c>
      <c r="AH191" s="171">
        <v>1.4E-5</v>
      </c>
      <c r="AI191" s="171">
        <v>1.5091834482728801E-3</v>
      </c>
      <c r="AJ191" s="171">
        <v>2.1430523481242699E-4</v>
      </c>
    </row>
    <row r="192" spans="1:36">
      <c r="A192" s="2">
        <v>419</v>
      </c>
      <c r="B192" s="2">
        <v>1472</v>
      </c>
      <c r="C192" s="2" t="s">
        <v>1701</v>
      </c>
      <c r="D192" s="2" t="s">
        <v>1702</v>
      </c>
      <c r="E192" s="4" t="s">
        <v>1321</v>
      </c>
      <c r="F192" s="2" t="s">
        <v>2228</v>
      </c>
      <c r="G192" s="2" t="s">
        <v>2229</v>
      </c>
      <c r="H192" s="2" t="s">
        <v>324</v>
      </c>
      <c r="I192" s="2" t="s">
        <v>973</v>
      </c>
      <c r="J192" s="2" t="s">
        <v>30</v>
      </c>
      <c r="K192" s="2" t="s">
        <v>30</v>
      </c>
      <c r="L192" s="2" t="s">
        <v>330</v>
      </c>
      <c r="M192" s="2" t="s">
        <v>31</v>
      </c>
      <c r="N192" s="2" t="s">
        <v>446</v>
      </c>
      <c r="O192" s="2" t="s">
        <v>140</v>
      </c>
      <c r="P192" s="2" t="s">
        <v>1927</v>
      </c>
      <c r="Q192" s="2" t="s">
        <v>418</v>
      </c>
      <c r="R192" s="2" t="s">
        <v>410</v>
      </c>
      <c r="S192" s="2" t="s">
        <v>34</v>
      </c>
      <c r="T192" s="156">
        <v>1.448</v>
      </c>
      <c r="U192" s="2" t="s">
        <v>2227</v>
      </c>
      <c r="V192" s="169">
        <v>0.114</v>
      </c>
      <c r="W192" s="171">
        <v>6.5989999999999993E-2</v>
      </c>
      <c r="X192" s="4" t="s">
        <v>415</v>
      </c>
      <c r="Y192" s="4" t="s">
        <v>140</v>
      </c>
      <c r="Z192" s="156">
        <v>28048.880000000001</v>
      </c>
      <c r="AA192" s="165">
        <v>1</v>
      </c>
      <c r="AB192" s="182">
        <v>100.59</v>
      </c>
      <c r="AD192" s="156">
        <v>28.213999999999999</v>
      </c>
      <c r="AG192" s="2" t="s">
        <v>36</v>
      </c>
      <c r="AH192" s="171">
        <v>7.7999999999999999E-5</v>
      </c>
      <c r="AI192" s="171">
        <v>1.9042809539926601E-2</v>
      </c>
      <c r="AJ192" s="171">
        <v>2.70409390893638E-3</v>
      </c>
    </row>
    <row r="193" spans="1:36">
      <c r="A193" s="2">
        <v>419</v>
      </c>
      <c r="B193" s="2">
        <v>1472</v>
      </c>
      <c r="C193" s="2" t="s">
        <v>2233</v>
      </c>
      <c r="D193" s="2" t="s">
        <v>2234</v>
      </c>
      <c r="E193" s="4" t="s">
        <v>1321</v>
      </c>
      <c r="F193" s="2" t="s">
        <v>2235</v>
      </c>
      <c r="G193" s="2" t="s">
        <v>2236</v>
      </c>
      <c r="H193" s="2" t="s">
        <v>324</v>
      </c>
      <c r="I193" s="2" t="s">
        <v>760</v>
      </c>
      <c r="J193" s="2" t="s">
        <v>30</v>
      </c>
      <c r="K193" s="2" t="s">
        <v>30</v>
      </c>
      <c r="L193" s="2" t="s">
        <v>330</v>
      </c>
      <c r="M193" s="2" t="s">
        <v>31</v>
      </c>
      <c r="N193" s="2" t="s">
        <v>450</v>
      </c>
      <c r="O193" s="2" t="s">
        <v>140</v>
      </c>
      <c r="P193" s="2" t="s">
        <v>2217</v>
      </c>
      <c r="Q193" s="2" t="s">
        <v>418</v>
      </c>
      <c r="R193" s="2" t="s">
        <v>410</v>
      </c>
      <c r="S193" s="2" t="s">
        <v>34</v>
      </c>
      <c r="T193" s="156">
        <v>3.5590000000000002</v>
      </c>
      <c r="U193" s="2" t="s">
        <v>2237</v>
      </c>
      <c r="V193" s="169">
        <v>2.07E-2</v>
      </c>
      <c r="W193" s="171">
        <v>4.965E-2</v>
      </c>
      <c r="X193" s="4" t="s">
        <v>415</v>
      </c>
      <c r="Y193" s="4" t="s">
        <v>140</v>
      </c>
      <c r="Z193" s="156">
        <v>0.88</v>
      </c>
      <c r="AA193" s="165">
        <v>1</v>
      </c>
      <c r="AB193" s="182">
        <v>101.96</v>
      </c>
      <c r="AD193" s="156">
        <v>1E-3</v>
      </c>
      <c r="AG193" s="2" t="s">
        <v>36</v>
      </c>
      <c r="AH193" s="171">
        <v>0</v>
      </c>
      <c r="AI193" s="171">
        <v>6.0558232375404504E-7</v>
      </c>
      <c r="AJ193" s="171">
        <v>8.5993165535234704E-8</v>
      </c>
    </row>
    <row r="194" spans="1:36">
      <c r="A194" s="2">
        <v>419</v>
      </c>
      <c r="B194" s="2">
        <v>1472</v>
      </c>
      <c r="C194" s="2" t="s">
        <v>2238</v>
      </c>
      <c r="D194" s="2" t="s">
        <v>2239</v>
      </c>
      <c r="E194" s="4" t="s">
        <v>1321</v>
      </c>
      <c r="F194" s="2" t="s">
        <v>2240</v>
      </c>
      <c r="G194" s="2" t="s">
        <v>2241</v>
      </c>
      <c r="H194" s="2" t="s">
        <v>324</v>
      </c>
      <c r="I194" s="2" t="s">
        <v>760</v>
      </c>
      <c r="J194" s="2" t="s">
        <v>30</v>
      </c>
      <c r="K194" s="2" t="s">
        <v>30</v>
      </c>
      <c r="L194" s="2" t="s">
        <v>330</v>
      </c>
      <c r="M194" s="2" t="s">
        <v>31</v>
      </c>
      <c r="N194" s="2" t="s">
        <v>481</v>
      </c>
      <c r="O194" s="2" t="s">
        <v>140</v>
      </c>
      <c r="P194" s="2" t="s">
        <v>1185</v>
      </c>
      <c r="Q194" s="2" t="s">
        <v>416</v>
      </c>
      <c r="R194" s="2" t="s">
        <v>410</v>
      </c>
      <c r="S194" s="2" t="s">
        <v>34</v>
      </c>
      <c r="T194" s="156">
        <v>11.45</v>
      </c>
      <c r="U194" s="2" t="s">
        <v>2242</v>
      </c>
      <c r="V194" s="169">
        <v>2.07E-2</v>
      </c>
      <c r="W194" s="171">
        <v>3.286E-2</v>
      </c>
      <c r="X194" s="4" t="s">
        <v>415</v>
      </c>
      <c r="Y194" s="4" t="s">
        <v>140</v>
      </c>
      <c r="Z194" s="156">
        <v>23634.83</v>
      </c>
      <c r="AA194" s="165">
        <v>1</v>
      </c>
      <c r="AB194" s="182">
        <v>99.37</v>
      </c>
      <c r="AD194" s="156">
        <v>23.486000000000001</v>
      </c>
      <c r="AG194" s="2" t="s">
        <v>36</v>
      </c>
      <c r="AH194" s="171">
        <v>5.0000000000000004E-6</v>
      </c>
      <c r="AI194" s="171">
        <v>1.5851430608608E-2</v>
      </c>
      <c r="AJ194" s="171">
        <v>2.2509155945079099E-3</v>
      </c>
    </row>
    <row r="195" spans="1:36">
      <c r="A195" s="2">
        <v>419</v>
      </c>
      <c r="B195" s="2">
        <v>1472</v>
      </c>
      <c r="C195" s="2" t="s">
        <v>2248</v>
      </c>
      <c r="D195" s="2" t="s">
        <v>2249</v>
      </c>
      <c r="E195" s="4" t="s">
        <v>314</v>
      </c>
      <c r="F195" s="2" t="s">
        <v>2250</v>
      </c>
      <c r="G195" s="2" t="s">
        <v>2251</v>
      </c>
      <c r="H195" s="2" t="s">
        <v>324</v>
      </c>
      <c r="I195" s="2" t="s">
        <v>973</v>
      </c>
      <c r="J195" s="2" t="s">
        <v>30</v>
      </c>
      <c r="K195" s="2" t="s">
        <v>30</v>
      </c>
      <c r="L195" s="2" t="s">
        <v>330</v>
      </c>
      <c r="M195" s="2" t="s">
        <v>49</v>
      </c>
      <c r="N195" s="2" t="s">
        <v>457</v>
      </c>
      <c r="O195" s="2" t="s">
        <v>140</v>
      </c>
      <c r="P195" s="2" t="s">
        <v>1927</v>
      </c>
      <c r="Q195" s="2" t="s">
        <v>416</v>
      </c>
      <c r="R195" s="2" t="s">
        <v>410</v>
      </c>
      <c r="S195" s="2" t="s">
        <v>34</v>
      </c>
      <c r="T195" s="156">
        <v>3.4260000000000002</v>
      </c>
      <c r="U195" s="2" t="s">
        <v>2252</v>
      </c>
      <c r="V195" s="169">
        <v>6.7000000000000004E-2</v>
      </c>
      <c r="W195" s="171">
        <v>6.5699999999999995E-2</v>
      </c>
      <c r="X195" s="4" t="s">
        <v>415</v>
      </c>
      <c r="Y195" s="4" t="s">
        <v>140</v>
      </c>
      <c r="Z195" s="156">
        <v>8000</v>
      </c>
      <c r="AA195" s="165">
        <v>1</v>
      </c>
      <c r="AB195" s="182">
        <v>100.86</v>
      </c>
      <c r="AD195" s="156">
        <v>8.0690000000000008</v>
      </c>
      <c r="AG195" s="2" t="s">
        <v>36</v>
      </c>
      <c r="AH195" s="171">
        <v>9.0000000000000002E-6</v>
      </c>
      <c r="AI195" s="171">
        <v>5.4458997444481799E-3</v>
      </c>
      <c r="AJ195" s="171">
        <v>7.7332204036197505E-4</v>
      </c>
    </row>
    <row r="196" spans="1:36">
      <c r="A196" s="2">
        <v>419</v>
      </c>
      <c r="B196" s="2">
        <v>1472</v>
      </c>
      <c r="C196" s="2" t="s">
        <v>2253</v>
      </c>
      <c r="D196" s="2" t="s">
        <v>2254</v>
      </c>
      <c r="E196" s="4" t="s">
        <v>1321</v>
      </c>
      <c r="F196" s="2" t="s">
        <v>2255</v>
      </c>
      <c r="G196" s="2" t="s">
        <v>2256</v>
      </c>
      <c r="H196" s="2" t="s">
        <v>324</v>
      </c>
      <c r="I196" s="2" t="s">
        <v>760</v>
      </c>
      <c r="J196" s="2" t="s">
        <v>30</v>
      </c>
      <c r="K196" s="2" t="s">
        <v>30</v>
      </c>
      <c r="L196" s="2" t="s">
        <v>330</v>
      </c>
      <c r="M196" s="2" t="s">
        <v>31</v>
      </c>
      <c r="N196" s="2" t="s">
        <v>444</v>
      </c>
      <c r="O196" s="2" t="s">
        <v>140</v>
      </c>
      <c r="P196" s="2" t="s">
        <v>1927</v>
      </c>
      <c r="Q196" s="2" t="s">
        <v>418</v>
      </c>
      <c r="R196" s="2" t="s">
        <v>410</v>
      </c>
      <c r="S196" s="2" t="s">
        <v>34</v>
      </c>
      <c r="T196" s="156">
        <v>2.3929999999999998</v>
      </c>
      <c r="U196" s="2" t="s">
        <v>2081</v>
      </c>
      <c r="V196" s="169">
        <v>1.4800000000000001E-2</v>
      </c>
      <c r="W196" s="171">
        <v>3.1379999999999998E-2</v>
      </c>
      <c r="X196" s="4" t="s">
        <v>415</v>
      </c>
      <c r="Y196" s="4" t="s">
        <v>140</v>
      </c>
      <c r="Z196" s="156">
        <v>17160</v>
      </c>
      <c r="AA196" s="165">
        <v>1</v>
      </c>
      <c r="AB196" s="182">
        <v>109.1</v>
      </c>
      <c r="AD196" s="156">
        <v>18.722000000000001</v>
      </c>
      <c r="AG196" s="2" t="s">
        <v>36</v>
      </c>
      <c r="AH196" s="171">
        <v>2.3E-5</v>
      </c>
      <c r="AI196" s="171">
        <v>1.26357994769571E-2</v>
      </c>
      <c r="AJ196" s="171">
        <v>1.7942934485870401E-3</v>
      </c>
    </row>
    <row r="197" spans="1:36">
      <c r="A197" s="2">
        <v>419</v>
      </c>
      <c r="B197" s="2">
        <v>1472</v>
      </c>
      <c r="C197" s="2" t="s">
        <v>2253</v>
      </c>
      <c r="D197" s="2" t="s">
        <v>2254</v>
      </c>
      <c r="E197" s="4" t="s">
        <v>1321</v>
      </c>
      <c r="F197" s="2" t="s">
        <v>2257</v>
      </c>
      <c r="G197" s="2" t="s">
        <v>2258</v>
      </c>
      <c r="H197" s="2" t="s">
        <v>324</v>
      </c>
      <c r="I197" s="2" t="s">
        <v>973</v>
      </c>
      <c r="J197" s="2" t="s">
        <v>30</v>
      </c>
      <c r="K197" s="2" t="s">
        <v>30</v>
      </c>
      <c r="L197" s="2" t="s">
        <v>330</v>
      </c>
      <c r="M197" s="2" t="s">
        <v>31</v>
      </c>
      <c r="N197" s="2" t="s">
        <v>444</v>
      </c>
      <c r="O197" s="2" t="s">
        <v>140</v>
      </c>
      <c r="P197" s="2" t="s">
        <v>1927</v>
      </c>
      <c r="Q197" s="2" t="s">
        <v>418</v>
      </c>
      <c r="R197" s="2" t="s">
        <v>410</v>
      </c>
      <c r="S197" s="2" t="s">
        <v>34</v>
      </c>
      <c r="T197" s="156">
        <v>3.61</v>
      </c>
      <c r="U197" s="2" t="s">
        <v>2259</v>
      </c>
      <c r="V197" s="169">
        <v>6.9500000000000006E-2</v>
      </c>
      <c r="W197" s="171">
        <v>6.3530000000000003E-2</v>
      </c>
      <c r="X197" s="4" t="s">
        <v>415</v>
      </c>
      <c r="Y197" s="4" t="s">
        <v>140</v>
      </c>
      <c r="Z197" s="156">
        <v>20000</v>
      </c>
      <c r="AA197" s="165">
        <v>1</v>
      </c>
      <c r="AB197" s="182">
        <v>104.23</v>
      </c>
      <c r="AD197" s="156">
        <v>20.846</v>
      </c>
      <c r="AG197" s="2" t="s">
        <v>36</v>
      </c>
      <c r="AH197" s="171">
        <v>3.6000000000000001E-5</v>
      </c>
      <c r="AI197" s="171">
        <v>1.4069654232694699E-2</v>
      </c>
      <c r="AJ197" s="171">
        <v>1.9979019499040398E-3</v>
      </c>
    </row>
    <row r="198" spans="1:36">
      <c r="A198" s="2">
        <v>419</v>
      </c>
      <c r="B198" s="2">
        <v>1472</v>
      </c>
      <c r="C198" s="2" t="s">
        <v>2276</v>
      </c>
      <c r="D198" s="2" t="s">
        <v>2277</v>
      </c>
      <c r="E198" s="4" t="s">
        <v>315</v>
      </c>
      <c r="F198" s="2" t="s">
        <v>2281</v>
      </c>
      <c r="G198" s="2" t="s">
        <v>2282</v>
      </c>
      <c r="H198" s="2" t="s">
        <v>324</v>
      </c>
      <c r="I198" s="2" t="s">
        <v>973</v>
      </c>
      <c r="J198" s="2" t="s">
        <v>30</v>
      </c>
      <c r="K198" s="2" t="s">
        <v>228</v>
      </c>
      <c r="L198" s="2" t="s">
        <v>330</v>
      </c>
      <c r="M198" s="2" t="s">
        <v>31</v>
      </c>
      <c r="N198" s="2" t="s">
        <v>468</v>
      </c>
      <c r="O198" s="2" t="s">
        <v>140</v>
      </c>
      <c r="P198" s="2" t="s">
        <v>1956</v>
      </c>
      <c r="Q198" s="2" t="s">
        <v>416</v>
      </c>
      <c r="R198" s="2" t="s">
        <v>410</v>
      </c>
      <c r="S198" s="2" t="s">
        <v>34</v>
      </c>
      <c r="T198" s="156">
        <v>2.1349999999999998</v>
      </c>
      <c r="U198" s="2" t="s">
        <v>2081</v>
      </c>
      <c r="V198" s="169">
        <v>3.49E-2</v>
      </c>
      <c r="W198" s="171">
        <v>6.4509999999999998E-2</v>
      </c>
      <c r="X198" s="4" t="s">
        <v>415</v>
      </c>
      <c r="Y198" s="4" t="s">
        <v>140</v>
      </c>
      <c r="Z198" s="156">
        <v>24150</v>
      </c>
      <c r="AA198" s="165">
        <v>1</v>
      </c>
      <c r="AB198" s="182">
        <v>95.01</v>
      </c>
      <c r="AD198" s="156">
        <v>22.945</v>
      </c>
      <c r="AG198" s="2" t="s">
        <v>36</v>
      </c>
      <c r="AH198" s="171">
        <v>2.5999999999999998E-5</v>
      </c>
      <c r="AI198" s="171">
        <v>1.54862813224873E-2</v>
      </c>
      <c r="AJ198" s="171">
        <v>2.1990641091280102E-3</v>
      </c>
    </row>
    <row r="199" spans="1:36">
      <c r="A199" s="2">
        <v>419</v>
      </c>
      <c r="B199" s="2">
        <v>1472</v>
      </c>
      <c r="C199" s="2" t="s">
        <v>1717</v>
      </c>
      <c r="D199" s="2" t="s">
        <v>1718</v>
      </c>
      <c r="E199" s="4" t="s">
        <v>1321</v>
      </c>
      <c r="F199" s="2" t="s">
        <v>2286</v>
      </c>
      <c r="G199" s="2" t="s">
        <v>2287</v>
      </c>
      <c r="H199" s="2" t="s">
        <v>324</v>
      </c>
      <c r="I199" s="2" t="s">
        <v>973</v>
      </c>
      <c r="J199" s="2" t="s">
        <v>30</v>
      </c>
      <c r="K199" s="2" t="s">
        <v>30</v>
      </c>
      <c r="L199" s="2" t="s">
        <v>330</v>
      </c>
      <c r="M199" s="2" t="s">
        <v>31</v>
      </c>
      <c r="N199" s="2" t="s">
        <v>488</v>
      </c>
      <c r="O199" s="2" t="s">
        <v>140</v>
      </c>
      <c r="P199" s="2" t="s">
        <v>1915</v>
      </c>
      <c r="Q199" s="2" t="s">
        <v>416</v>
      </c>
      <c r="R199" s="2" t="s">
        <v>410</v>
      </c>
      <c r="S199" s="2" t="s">
        <v>34</v>
      </c>
      <c r="T199" s="156">
        <v>2.6779999999999999</v>
      </c>
      <c r="U199" s="2" t="s">
        <v>2288</v>
      </c>
      <c r="V199" s="169">
        <v>4.7300000000000002E-2</v>
      </c>
      <c r="W199" s="171">
        <v>5.6509999999999998E-2</v>
      </c>
      <c r="X199" s="4" t="s">
        <v>415</v>
      </c>
      <c r="Y199" s="4" t="s">
        <v>140</v>
      </c>
      <c r="Z199" s="156">
        <v>33000</v>
      </c>
      <c r="AA199" s="165">
        <v>1</v>
      </c>
      <c r="AB199" s="182">
        <v>98.44</v>
      </c>
      <c r="AD199" s="156">
        <v>32.484999999999999</v>
      </c>
      <c r="AG199" s="2" t="s">
        <v>36</v>
      </c>
      <c r="AH199" s="171">
        <v>8.3999999999999995E-5</v>
      </c>
      <c r="AI199" s="171">
        <v>2.1925334917007201E-2</v>
      </c>
      <c r="AJ199" s="171">
        <v>3.1134147761212099E-3</v>
      </c>
    </row>
    <row r="200" spans="1:36">
      <c r="A200" s="2">
        <v>419</v>
      </c>
      <c r="B200" s="2">
        <v>1472</v>
      </c>
      <c r="C200" s="2" t="s">
        <v>2416</v>
      </c>
      <c r="D200" s="2" t="s">
        <v>2417</v>
      </c>
      <c r="E200" s="4" t="s">
        <v>315</v>
      </c>
      <c r="F200" s="2" t="s">
        <v>2418</v>
      </c>
      <c r="G200" s="2" t="s">
        <v>2419</v>
      </c>
      <c r="H200" s="2" t="s">
        <v>324</v>
      </c>
      <c r="I200" s="2" t="s">
        <v>973</v>
      </c>
      <c r="J200" s="2" t="s">
        <v>30</v>
      </c>
      <c r="K200" s="2" t="s">
        <v>228</v>
      </c>
      <c r="L200" s="2" t="s">
        <v>330</v>
      </c>
      <c r="M200" s="2" t="s">
        <v>31</v>
      </c>
      <c r="N200" s="2" t="s">
        <v>468</v>
      </c>
      <c r="O200" s="2" t="s">
        <v>140</v>
      </c>
      <c r="P200" s="2" t="s">
        <v>1942</v>
      </c>
      <c r="Q200" s="2" t="s">
        <v>416</v>
      </c>
      <c r="R200" s="2" t="s">
        <v>410</v>
      </c>
      <c r="S200" s="2" t="s">
        <v>34</v>
      </c>
      <c r="T200" s="156">
        <v>1.865</v>
      </c>
      <c r="U200" s="2" t="s">
        <v>2420</v>
      </c>
      <c r="V200" s="169">
        <v>5.1499999999999997E-2</v>
      </c>
      <c r="W200" s="171">
        <v>7.0800000000000002E-2</v>
      </c>
      <c r="X200" s="4" t="s">
        <v>415</v>
      </c>
      <c r="Y200" s="4" t="s">
        <v>140</v>
      </c>
      <c r="Z200" s="156">
        <v>0.72</v>
      </c>
      <c r="AA200" s="165">
        <v>1</v>
      </c>
      <c r="AB200" s="182">
        <v>97.67</v>
      </c>
      <c r="AD200" s="156">
        <v>1E-3</v>
      </c>
      <c r="AG200" s="2" t="s">
        <v>36</v>
      </c>
      <c r="AH200" s="171">
        <v>0</v>
      </c>
      <c r="AI200" s="171">
        <v>4.74629114848531E-7</v>
      </c>
      <c r="AJ200" s="171">
        <v>6.7397707033451E-8</v>
      </c>
    </row>
    <row r="201" spans="1:36">
      <c r="A201" s="2">
        <v>419</v>
      </c>
      <c r="B201" s="2">
        <v>1472</v>
      </c>
      <c r="C201" s="2" t="s">
        <v>1721</v>
      </c>
      <c r="D201" s="2" t="s">
        <v>1722</v>
      </c>
      <c r="E201" s="4" t="s">
        <v>1321</v>
      </c>
      <c r="F201" s="2" t="s">
        <v>2289</v>
      </c>
      <c r="G201" s="2" t="s">
        <v>2290</v>
      </c>
      <c r="H201" s="2" t="s">
        <v>324</v>
      </c>
      <c r="I201" s="2" t="s">
        <v>760</v>
      </c>
      <c r="J201" s="2" t="s">
        <v>30</v>
      </c>
      <c r="K201" s="2" t="s">
        <v>30</v>
      </c>
      <c r="L201" s="2" t="s">
        <v>330</v>
      </c>
      <c r="M201" s="2" t="s">
        <v>31</v>
      </c>
      <c r="N201" s="2" t="s">
        <v>467</v>
      </c>
      <c r="O201" s="2" t="s">
        <v>140</v>
      </c>
      <c r="P201" s="2" t="s">
        <v>2116</v>
      </c>
      <c r="Q201" s="2" t="s">
        <v>418</v>
      </c>
      <c r="R201" s="2" t="s">
        <v>410</v>
      </c>
      <c r="S201" s="2" t="s">
        <v>34</v>
      </c>
      <c r="T201" s="156">
        <v>2.456</v>
      </c>
      <c r="U201" s="2" t="s">
        <v>2111</v>
      </c>
      <c r="V201" s="169">
        <v>1.77E-2</v>
      </c>
      <c r="W201" s="171">
        <v>2.7099999999999999E-2</v>
      </c>
      <c r="X201" s="4" t="s">
        <v>415</v>
      </c>
      <c r="Y201" s="4" t="s">
        <v>140</v>
      </c>
      <c r="Z201" s="156">
        <v>8000</v>
      </c>
      <c r="AA201" s="165">
        <v>1</v>
      </c>
      <c r="AB201" s="182">
        <v>113.19</v>
      </c>
      <c r="AD201" s="156">
        <v>9.0549999999999997</v>
      </c>
      <c r="AG201" s="2" t="s">
        <v>36</v>
      </c>
      <c r="AH201" s="171">
        <v>3.0000000000000001E-6</v>
      </c>
      <c r="AI201" s="171">
        <v>6.1116536989301003E-3</v>
      </c>
      <c r="AJ201" s="171">
        <v>8.6785962471318701E-4</v>
      </c>
    </row>
    <row r="202" spans="1:36">
      <c r="A202" s="2">
        <v>419</v>
      </c>
      <c r="B202" s="2">
        <v>1472</v>
      </c>
      <c r="C202" s="2" t="s">
        <v>1721</v>
      </c>
      <c r="D202" s="2" t="s">
        <v>1722</v>
      </c>
      <c r="E202" s="4" t="s">
        <v>1321</v>
      </c>
      <c r="F202" s="2" t="s">
        <v>2291</v>
      </c>
      <c r="G202" s="2" t="s">
        <v>2292</v>
      </c>
      <c r="H202" s="2" t="s">
        <v>324</v>
      </c>
      <c r="I202" s="2" t="s">
        <v>760</v>
      </c>
      <c r="J202" s="2" t="s">
        <v>30</v>
      </c>
      <c r="K202" s="2" t="s">
        <v>30</v>
      </c>
      <c r="L202" s="2" t="s">
        <v>330</v>
      </c>
      <c r="M202" s="2" t="s">
        <v>31</v>
      </c>
      <c r="N202" s="2" t="s">
        <v>467</v>
      </c>
      <c r="O202" s="2" t="s">
        <v>140</v>
      </c>
      <c r="P202" s="2" t="s">
        <v>2116</v>
      </c>
      <c r="Q202" s="2" t="s">
        <v>416</v>
      </c>
      <c r="R202" s="2" t="s">
        <v>410</v>
      </c>
      <c r="S202" s="2" t="s">
        <v>34</v>
      </c>
      <c r="T202" s="156">
        <v>6.7329999999999997</v>
      </c>
      <c r="U202" s="2" t="s">
        <v>2293</v>
      </c>
      <c r="V202" s="169">
        <v>8.9999999999999993E-3</v>
      </c>
      <c r="W202" s="171">
        <v>3.3419999999999998E-2</v>
      </c>
      <c r="X202" s="4" t="s">
        <v>415</v>
      </c>
      <c r="Y202" s="4" t="s">
        <v>140</v>
      </c>
      <c r="Z202" s="156">
        <v>32000</v>
      </c>
      <c r="AA202" s="165">
        <v>1</v>
      </c>
      <c r="AB202" s="182">
        <v>96.33</v>
      </c>
      <c r="AD202" s="156">
        <v>30.826000000000001</v>
      </c>
      <c r="AG202" s="2" t="s">
        <v>36</v>
      </c>
      <c r="AH202" s="171">
        <v>1.2E-5</v>
      </c>
      <c r="AI202" s="171">
        <v>2.08052160373862E-2</v>
      </c>
      <c r="AJ202" s="171">
        <v>2.9543570155886999E-3</v>
      </c>
    </row>
    <row r="203" spans="1:36">
      <c r="A203" s="2">
        <v>419</v>
      </c>
      <c r="B203" s="2">
        <v>1472</v>
      </c>
      <c r="C203" s="2" t="s">
        <v>1721</v>
      </c>
      <c r="D203" s="2" t="s">
        <v>1722</v>
      </c>
      <c r="E203" s="4" t="s">
        <v>1321</v>
      </c>
      <c r="F203" s="2" t="s">
        <v>2421</v>
      </c>
      <c r="G203" s="2" t="s">
        <v>2422</v>
      </c>
      <c r="H203" s="2" t="s">
        <v>324</v>
      </c>
      <c r="I203" s="2" t="s">
        <v>760</v>
      </c>
      <c r="J203" s="2" t="s">
        <v>30</v>
      </c>
      <c r="K203" s="2" t="s">
        <v>30</v>
      </c>
      <c r="L203" s="2" t="s">
        <v>330</v>
      </c>
      <c r="M203" s="2" t="s">
        <v>31</v>
      </c>
      <c r="N203" s="2" t="s">
        <v>467</v>
      </c>
      <c r="O203" s="2" t="s">
        <v>140</v>
      </c>
      <c r="P203" s="2" t="s">
        <v>2116</v>
      </c>
      <c r="Q203" s="2" t="s">
        <v>416</v>
      </c>
      <c r="R203" s="2" t="s">
        <v>410</v>
      </c>
      <c r="S203" s="2" t="s">
        <v>34</v>
      </c>
      <c r="T203" s="156">
        <v>10.343</v>
      </c>
      <c r="U203" s="2" t="s">
        <v>2423</v>
      </c>
      <c r="V203" s="169">
        <v>1.6899999999999998E-2</v>
      </c>
      <c r="W203" s="171">
        <v>3.635E-2</v>
      </c>
      <c r="X203" s="4" t="s">
        <v>415</v>
      </c>
      <c r="Y203" s="4" t="s">
        <v>140</v>
      </c>
      <c r="Z203" s="156">
        <v>40428</v>
      </c>
      <c r="AA203" s="165">
        <v>1</v>
      </c>
      <c r="AB203" s="182">
        <v>93.61</v>
      </c>
      <c r="AD203" s="156">
        <v>37.844999999999999</v>
      </c>
      <c r="AG203" s="2" t="s">
        <v>36</v>
      </c>
      <c r="AH203" s="171">
        <v>9.0000000000000002E-6</v>
      </c>
      <c r="AI203" s="171">
        <v>2.5542605358969201E-2</v>
      </c>
      <c r="AJ203" s="171">
        <v>3.6270700195125002E-3</v>
      </c>
    </row>
    <row r="204" spans="1:36">
      <c r="A204" s="2">
        <v>419</v>
      </c>
      <c r="B204" s="2">
        <v>1472</v>
      </c>
      <c r="C204" s="2" t="s">
        <v>1721</v>
      </c>
      <c r="D204" s="2" t="s">
        <v>1722</v>
      </c>
      <c r="E204" s="4" t="s">
        <v>1321</v>
      </c>
      <c r="F204" s="2" t="s">
        <v>2294</v>
      </c>
      <c r="G204" s="2" t="s">
        <v>2295</v>
      </c>
      <c r="H204" s="2" t="s">
        <v>324</v>
      </c>
      <c r="I204" s="2" t="s">
        <v>760</v>
      </c>
      <c r="J204" s="2" t="s">
        <v>30</v>
      </c>
      <c r="K204" s="2" t="s">
        <v>30</v>
      </c>
      <c r="L204" s="2" t="s">
        <v>330</v>
      </c>
      <c r="M204" s="2" t="s">
        <v>31</v>
      </c>
      <c r="N204" s="2" t="s">
        <v>467</v>
      </c>
      <c r="O204" s="2" t="s">
        <v>140</v>
      </c>
      <c r="P204" s="2" t="s">
        <v>2116</v>
      </c>
      <c r="Q204" s="2" t="s">
        <v>416</v>
      </c>
      <c r="R204" s="2" t="s">
        <v>410</v>
      </c>
      <c r="S204" s="2" t="s">
        <v>34</v>
      </c>
      <c r="T204" s="156">
        <v>0.45800000000000002</v>
      </c>
      <c r="U204" s="2" t="s">
        <v>2296</v>
      </c>
      <c r="V204" s="169">
        <v>6.4999999999999997E-3</v>
      </c>
      <c r="W204" s="171">
        <v>2.793E-2</v>
      </c>
      <c r="X204" s="4" t="s">
        <v>415</v>
      </c>
      <c r="Y204" s="4" t="s">
        <v>140</v>
      </c>
      <c r="Z204" s="156">
        <v>15500</v>
      </c>
      <c r="AA204" s="165">
        <v>1</v>
      </c>
      <c r="AB204" s="182">
        <v>114.12</v>
      </c>
      <c r="AC204" s="156">
        <v>5.8000000000000003E-2</v>
      </c>
      <c r="AD204" s="156">
        <v>17.747</v>
      </c>
      <c r="AG204" s="2" t="s">
        <v>36</v>
      </c>
      <c r="AH204" s="171">
        <v>2.8E-5</v>
      </c>
      <c r="AI204" s="171">
        <v>1.19778275004711E-2</v>
      </c>
      <c r="AJ204" s="171">
        <v>1.70086091122242E-3</v>
      </c>
    </row>
    <row r="205" spans="1:36">
      <c r="A205" s="2">
        <v>419</v>
      </c>
      <c r="B205" s="2">
        <v>1472</v>
      </c>
      <c r="C205" s="2" t="s">
        <v>1725</v>
      </c>
      <c r="D205" s="2" t="s">
        <v>1726</v>
      </c>
      <c r="E205" s="4" t="s">
        <v>1321</v>
      </c>
      <c r="F205" s="2" t="s">
        <v>2303</v>
      </c>
      <c r="G205" s="2" t="s">
        <v>2304</v>
      </c>
      <c r="H205" s="2" t="s">
        <v>324</v>
      </c>
      <c r="I205" s="2" t="s">
        <v>760</v>
      </c>
      <c r="J205" s="2" t="s">
        <v>30</v>
      </c>
      <c r="K205" s="2" t="s">
        <v>30</v>
      </c>
      <c r="L205" s="2" t="s">
        <v>330</v>
      </c>
      <c r="M205" s="2" t="s">
        <v>31</v>
      </c>
      <c r="N205" s="2" t="s">
        <v>451</v>
      </c>
      <c r="O205" s="2" t="s">
        <v>140</v>
      </c>
      <c r="P205" s="2" t="s">
        <v>1185</v>
      </c>
      <c r="Q205" s="2" t="s">
        <v>416</v>
      </c>
      <c r="R205" s="2" t="s">
        <v>410</v>
      </c>
      <c r="S205" s="2" t="s">
        <v>34</v>
      </c>
      <c r="T205" s="156">
        <v>2.786</v>
      </c>
      <c r="U205" s="2" t="s">
        <v>2305</v>
      </c>
      <c r="V205" s="169">
        <v>1.7500000000000002E-2</v>
      </c>
      <c r="W205" s="171">
        <v>2.3460000000000002E-2</v>
      </c>
      <c r="X205" s="4" t="s">
        <v>415</v>
      </c>
      <c r="Y205" s="4" t="s">
        <v>140</v>
      </c>
      <c r="Z205" s="156">
        <v>16338.01</v>
      </c>
      <c r="AA205" s="165">
        <v>1</v>
      </c>
      <c r="AB205" s="182">
        <v>114.28</v>
      </c>
      <c r="AD205" s="156">
        <v>18.670999999999999</v>
      </c>
      <c r="AG205" s="2" t="s">
        <v>36</v>
      </c>
      <c r="AH205" s="171">
        <v>6.0000000000000002E-6</v>
      </c>
      <c r="AI205" s="171">
        <v>1.26017273909475E-2</v>
      </c>
      <c r="AJ205" s="171">
        <v>1.7894551856169701E-3</v>
      </c>
    </row>
    <row r="206" spans="1:36">
      <c r="A206" s="2">
        <v>419</v>
      </c>
      <c r="B206" s="2">
        <v>1472</v>
      </c>
      <c r="C206" s="2" t="s">
        <v>2316</v>
      </c>
      <c r="D206" s="2" t="s">
        <v>2317</v>
      </c>
      <c r="E206" s="4" t="s">
        <v>1321</v>
      </c>
      <c r="F206" s="2" t="s">
        <v>2318</v>
      </c>
      <c r="G206" s="2" t="s">
        <v>2319</v>
      </c>
      <c r="H206" s="2" t="s">
        <v>324</v>
      </c>
      <c r="I206" s="2" t="s">
        <v>973</v>
      </c>
      <c r="J206" s="2" t="s">
        <v>30</v>
      </c>
      <c r="K206" s="2" t="s">
        <v>30</v>
      </c>
      <c r="L206" s="2" t="s">
        <v>330</v>
      </c>
      <c r="M206" s="2" t="s">
        <v>31</v>
      </c>
      <c r="N206" s="2" t="s">
        <v>448</v>
      </c>
      <c r="O206" s="2" t="s">
        <v>140</v>
      </c>
      <c r="P206" s="2" t="s">
        <v>1956</v>
      </c>
      <c r="Q206" s="2" t="s">
        <v>416</v>
      </c>
      <c r="R206" s="2" t="s">
        <v>410</v>
      </c>
      <c r="S206" s="2" t="s">
        <v>34</v>
      </c>
      <c r="T206" s="156">
        <v>7.141</v>
      </c>
      <c r="U206" s="2" t="s">
        <v>2259</v>
      </c>
      <c r="V206" s="169">
        <v>4.6899999999999997E-2</v>
      </c>
      <c r="W206" s="171">
        <v>5.654E-2</v>
      </c>
      <c r="X206" s="4" t="s">
        <v>415</v>
      </c>
      <c r="Y206" s="4" t="s">
        <v>140</v>
      </c>
      <c r="Z206" s="156">
        <v>20000</v>
      </c>
      <c r="AA206" s="165">
        <v>1</v>
      </c>
      <c r="AB206" s="182">
        <v>95.86</v>
      </c>
      <c r="AD206" s="156">
        <v>19.172000000000001</v>
      </c>
      <c r="AG206" s="2" t="s">
        <v>36</v>
      </c>
      <c r="AH206" s="171">
        <v>4.0000000000000003E-5</v>
      </c>
      <c r="AI206" s="171">
        <v>1.29398163172418E-2</v>
      </c>
      <c r="AJ206" s="171">
        <v>1.8374640786510701E-3</v>
      </c>
    </row>
    <row r="207" spans="1:36">
      <c r="A207" s="2">
        <v>419</v>
      </c>
      <c r="B207" s="2">
        <v>1472</v>
      </c>
      <c r="C207" s="2" t="s">
        <v>2323</v>
      </c>
      <c r="D207" s="2" t="s">
        <v>2324</v>
      </c>
      <c r="E207" s="4" t="s">
        <v>1321</v>
      </c>
      <c r="F207" s="2" t="s">
        <v>2328</v>
      </c>
      <c r="G207" s="2" t="s">
        <v>2329</v>
      </c>
      <c r="H207" s="2" t="s">
        <v>324</v>
      </c>
      <c r="I207" s="2" t="s">
        <v>973</v>
      </c>
      <c r="J207" s="2" t="s">
        <v>30</v>
      </c>
      <c r="K207" s="2" t="s">
        <v>30</v>
      </c>
      <c r="L207" s="2" t="s">
        <v>330</v>
      </c>
      <c r="M207" s="2" t="s">
        <v>31</v>
      </c>
      <c r="N207" s="2" t="s">
        <v>468</v>
      </c>
      <c r="O207" s="2" t="s">
        <v>140</v>
      </c>
      <c r="P207" s="2" t="s">
        <v>1942</v>
      </c>
      <c r="Q207" s="2" t="s">
        <v>418</v>
      </c>
      <c r="R207" s="2" t="s">
        <v>410</v>
      </c>
      <c r="S207" s="2" t="s">
        <v>34</v>
      </c>
      <c r="T207" s="156">
        <v>1.7050000000000001</v>
      </c>
      <c r="U207" s="2" t="s">
        <v>2330</v>
      </c>
      <c r="V207" s="169">
        <v>2.6499999999999999E-2</v>
      </c>
      <c r="W207" s="171">
        <v>5.5120000000000002E-2</v>
      </c>
      <c r="X207" s="4" t="s">
        <v>415</v>
      </c>
      <c r="Y207" s="4" t="s">
        <v>140</v>
      </c>
      <c r="Z207" s="156">
        <v>14285.72</v>
      </c>
      <c r="AA207" s="165">
        <v>1</v>
      </c>
      <c r="AB207" s="182">
        <v>94.77</v>
      </c>
      <c r="AD207" s="156">
        <v>13.539</v>
      </c>
      <c r="AG207" s="2" t="s">
        <v>36</v>
      </c>
      <c r="AH207" s="171">
        <v>2.8E-5</v>
      </c>
      <c r="AI207" s="171">
        <v>9.13763287910614E-3</v>
      </c>
      <c r="AJ207" s="171">
        <v>1.29755104459145E-3</v>
      </c>
    </row>
    <row r="208" spans="1:36">
      <c r="A208" s="2">
        <v>419</v>
      </c>
      <c r="B208" s="2">
        <v>1472</v>
      </c>
      <c r="C208" s="2" t="s">
        <v>1905</v>
      </c>
      <c r="D208" s="2" t="s">
        <v>1906</v>
      </c>
      <c r="E208" s="4" t="s">
        <v>1321</v>
      </c>
      <c r="F208" s="2" t="s">
        <v>2331</v>
      </c>
      <c r="G208" s="2" t="s">
        <v>2332</v>
      </c>
      <c r="H208" s="2" t="s">
        <v>324</v>
      </c>
      <c r="I208" s="2" t="s">
        <v>973</v>
      </c>
      <c r="J208" s="2" t="s">
        <v>30</v>
      </c>
      <c r="K208" s="2" t="s">
        <v>30</v>
      </c>
      <c r="L208" s="2" t="s">
        <v>330</v>
      </c>
      <c r="M208" s="2" t="s">
        <v>31</v>
      </c>
      <c r="N208" s="2" t="s">
        <v>464</v>
      </c>
      <c r="O208" s="2" t="s">
        <v>140</v>
      </c>
      <c r="P208" s="2" t="s">
        <v>1942</v>
      </c>
      <c r="Q208" s="2" t="s">
        <v>418</v>
      </c>
      <c r="R208" s="2" t="s">
        <v>410</v>
      </c>
      <c r="S208" s="2" t="s">
        <v>34</v>
      </c>
      <c r="T208" s="156">
        <v>3.3730000000000002</v>
      </c>
      <c r="U208" s="2" t="s">
        <v>2333</v>
      </c>
      <c r="V208" s="169">
        <v>2.1600000000000001E-2</v>
      </c>
      <c r="W208" s="171">
        <v>6.3829999999999998E-2</v>
      </c>
      <c r="X208" s="4" t="s">
        <v>415</v>
      </c>
      <c r="Y208" s="4" t="s">
        <v>140</v>
      </c>
      <c r="Z208" s="156">
        <v>0.44</v>
      </c>
      <c r="AA208" s="165">
        <v>1</v>
      </c>
      <c r="AB208" s="182">
        <v>87.13</v>
      </c>
      <c r="AD208" s="156">
        <v>0</v>
      </c>
      <c r="AG208" s="2" t="s">
        <v>36</v>
      </c>
      <c r="AH208" s="171">
        <v>0</v>
      </c>
      <c r="AI208" s="171">
        <v>2.5875043089785199E-7</v>
      </c>
      <c r="AJ208" s="171">
        <v>3.67427643835082E-8</v>
      </c>
    </row>
    <row r="209" spans="1:36">
      <c r="A209" s="2">
        <v>419</v>
      </c>
      <c r="B209" s="2">
        <v>1472</v>
      </c>
      <c r="C209" s="2" t="s">
        <v>2338</v>
      </c>
      <c r="D209" s="2" t="s">
        <v>2339</v>
      </c>
      <c r="E209" s="4" t="s">
        <v>1321</v>
      </c>
      <c r="F209" s="2" t="s">
        <v>2340</v>
      </c>
      <c r="G209" s="2" t="s">
        <v>2341</v>
      </c>
      <c r="H209" s="2" t="s">
        <v>324</v>
      </c>
      <c r="I209" s="2" t="s">
        <v>973</v>
      </c>
      <c r="J209" s="2" t="s">
        <v>30</v>
      </c>
      <c r="K209" s="2" t="s">
        <v>30</v>
      </c>
      <c r="L209" s="2" t="s">
        <v>330</v>
      </c>
      <c r="M209" s="2" t="s">
        <v>49</v>
      </c>
      <c r="N209" s="2" t="s">
        <v>450</v>
      </c>
      <c r="O209" s="2" t="s">
        <v>140</v>
      </c>
      <c r="P209" s="2" t="s">
        <v>1942</v>
      </c>
      <c r="Q209" s="2" t="s">
        <v>418</v>
      </c>
      <c r="R209" s="2" t="s">
        <v>410</v>
      </c>
      <c r="S209" s="2" t="s">
        <v>34</v>
      </c>
      <c r="T209" s="156">
        <v>3.6070000000000002</v>
      </c>
      <c r="U209" s="2" t="s">
        <v>105</v>
      </c>
      <c r="V209" s="169">
        <v>5.8200000000000002E-2</v>
      </c>
      <c r="W209" s="171">
        <v>5.8200000000000002E-2</v>
      </c>
      <c r="X209" s="4" t="s">
        <v>415</v>
      </c>
      <c r="Y209" s="4" t="s">
        <v>140</v>
      </c>
      <c r="Z209" s="156">
        <v>12000</v>
      </c>
      <c r="AA209" s="165">
        <v>1</v>
      </c>
      <c r="AB209" s="182">
        <v>100.66</v>
      </c>
      <c r="AD209" s="156">
        <v>12.079000000000001</v>
      </c>
      <c r="AG209" s="2" t="s">
        <v>36</v>
      </c>
      <c r="AH209" s="171">
        <v>6.8999999999999997E-5</v>
      </c>
      <c r="AI209" s="171">
        <v>8.1526512236191808E-3</v>
      </c>
      <c r="AJ209" s="171">
        <v>1.15768287600887E-3</v>
      </c>
    </row>
    <row r="210" spans="1:36">
      <c r="A210" s="2">
        <v>419</v>
      </c>
      <c r="B210" s="2">
        <v>1472</v>
      </c>
      <c r="C210" s="2" t="s">
        <v>2342</v>
      </c>
      <c r="D210" s="2" t="s">
        <v>2343</v>
      </c>
      <c r="E210" s="4" t="s">
        <v>1321</v>
      </c>
      <c r="F210" s="2" t="s">
        <v>2344</v>
      </c>
      <c r="G210" t="s">
        <v>2345</v>
      </c>
      <c r="H210" s="2" t="s">
        <v>324</v>
      </c>
      <c r="I210" s="2" t="s">
        <v>973</v>
      </c>
      <c r="J210" s="2" t="s">
        <v>30</v>
      </c>
      <c r="K210" s="2" t="s">
        <v>30</v>
      </c>
      <c r="L210" s="2" t="s">
        <v>330</v>
      </c>
      <c r="M210" s="2" t="s">
        <v>31</v>
      </c>
      <c r="N210" s="2" t="s">
        <v>479</v>
      </c>
      <c r="O210" s="2" t="s">
        <v>140</v>
      </c>
      <c r="P210" s="2" t="s">
        <v>1956</v>
      </c>
      <c r="Q210" s="2" t="s">
        <v>416</v>
      </c>
      <c r="R210" s="2" t="s">
        <v>410</v>
      </c>
      <c r="S210" s="2" t="s">
        <v>34</v>
      </c>
      <c r="T210" s="156">
        <v>2.863</v>
      </c>
      <c r="U210" s="2" t="s">
        <v>2346</v>
      </c>
      <c r="V210" s="169">
        <v>5.0900000000000001E-2</v>
      </c>
      <c r="W210" s="171">
        <v>5.2699999999999997E-2</v>
      </c>
      <c r="X210" s="4" t="s">
        <v>415</v>
      </c>
      <c r="Y210" s="4" t="s">
        <v>140</v>
      </c>
      <c r="Z210" s="156">
        <v>150.46</v>
      </c>
      <c r="AA210" s="165">
        <v>1</v>
      </c>
      <c r="AB210" s="182">
        <v>99.41</v>
      </c>
      <c r="AC210" s="156">
        <v>3.9E-2</v>
      </c>
      <c r="AD210" s="156">
        <v>0.189</v>
      </c>
      <c r="AG210" s="2" t="s">
        <v>36</v>
      </c>
      <c r="AH210" s="171">
        <v>0</v>
      </c>
      <c r="AI210" s="171">
        <v>1.27462648233424E-4</v>
      </c>
      <c r="AJ210" s="171">
        <v>1.8099796145218999E-5</v>
      </c>
    </row>
    <row r="211" spans="1:36">
      <c r="A211" s="2">
        <v>419</v>
      </c>
      <c r="B211" s="2">
        <v>1472</v>
      </c>
      <c r="C211" s="2" t="s">
        <v>1751</v>
      </c>
      <c r="D211" s="2" t="s">
        <v>1752</v>
      </c>
      <c r="E211" s="4" t="s">
        <v>1321</v>
      </c>
      <c r="F211" s="2" t="s">
        <v>2424</v>
      </c>
      <c r="G211" s="2" t="s">
        <v>2425</v>
      </c>
      <c r="H211" s="2" t="s">
        <v>324</v>
      </c>
      <c r="I211" s="2" t="s">
        <v>973</v>
      </c>
      <c r="J211" s="2" t="s">
        <v>30</v>
      </c>
      <c r="K211" s="2" t="s">
        <v>30</v>
      </c>
      <c r="L211" s="2" t="s">
        <v>330</v>
      </c>
      <c r="M211" s="2" t="s">
        <v>31</v>
      </c>
      <c r="N211" s="2" t="s">
        <v>462</v>
      </c>
      <c r="O211" s="2" t="s">
        <v>140</v>
      </c>
      <c r="P211" s="2" t="s">
        <v>2116</v>
      </c>
      <c r="Q211" s="2" t="s">
        <v>416</v>
      </c>
      <c r="R211" s="2" t="s">
        <v>410</v>
      </c>
      <c r="S211" s="2" t="s">
        <v>34</v>
      </c>
      <c r="T211" s="156">
        <v>6.1859999999999999</v>
      </c>
      <c r="U211" s="2" t="s">
        <v>2426</v>
      </c>
      <c r="V211" s="169">
        <v>1.9E-2</v>
      </c>
      <c r="W211" s="171">
        <v>5.5809999999999998E-2</v>
      </c>
      <c r="X211" s="4" t="s">
        <v>415</v>
      </c>
      <c r="Y211" s="4" t="s">
        <v>140</v>
      </c>
      <c r="Z211" s="156">
        <v>19950</v>
      </c>
      <c r="AA211" s="165">
        <v>1</v>
      </c>
      <c r="AB211" s="182">
        <v>80.06</v>
      </c>
      <c r="AD211" s="156">
        <v>15.972</v>
      </c>
      <c r="AG211" s="2" t="s">
        <v>36</v>
      </c>
      <c r="AH211" s="171">
        <v>2.0000000000000002E-5</v>
      </c>
      <c r="AI211" s="171">
        <v>1.0780010328838701E-2</v>
      </c>
      <c r="AJ211" s="171">
        <v>1.5307699322080399E-3</v>
      </c>
    </row>
    <row r="212" spans="1:36">
      <c r="A212" s="2">
        <v>419</v>
      </c>
      <c r="B212" s="2">
        <v>1472</v>
      </c>
      <c r="C212" s="2" t="s">
        <v>2427</v>
      </c>
      <c r="D212" s="2" t="s">
        <v>2428</v>
      </c>
      <c r="E212" s="4" t="s">
        <v>1321</v>
      </c>
      <c r="F212" s="2" t="s">
        <v>2429</v>
      </c>
      <c r="G212" s="2" t="s">
        <v>2430</v>
      </c>
      <c r="H212" s="2" t="s">
        <v>324</v>
      </c>
      <c r="I212" s="2" t="s">
        <v>760</v>
      </c>
      <c r="J212" s="2" t="s">
        <v>30</v>
      </c>
      <c r="K212" s="2" t="s">
        <v>30</v>
      </c>
      <c r="L212" s="2" t="s">
        <v>330</v>
      </c>
      <c r="M212" s="2" t="s">
        <v>31</v>
      </c>
      <c r="N212" s="2" t="s">
        <v>481</v>
      </c>
      <c r="O212" s="2" t="s">
        <v>140</v>
      </c>
      <c r="P212" s="2" t="s">
        <v>1956</v>
      </c>
      <c r="Q212" s="2" t="s">
        <v>416</v>
      </c>
      <c r="R212" s="2" t="s">
        <v>410</v>
      </c>
      <c r="S212" s="2" t="s">
        <v>34</v>
      </c>
      <c r="T212" s="156">
        <v>0.95899999999999996</v>
      </c>
      <c r="U212" s="2" t="s">
        <v>2431</v>
      </c>
      <c r="V212" s="169">
        <v>1.7999999999999999E-2</v>
      </c>
      <c r="W212" s="171">
        <v>2.2749999999999999E-2</v>
      </c>
      <c r="X212" s="4" t="s">
        <v>415</v>
      </c>
      <c r="Y212" s="4" t="s">
        <v>140</v>
      </c>
      <c r="Z212" s="156">
        <v>0.52</v>
      </c>
      <c r="AA212" s="165">
        <v>1</v>
      </c>
      <c r="AB212" s="182">
        <v>115.47</v>
      </c>
      <c r="AD212" s="156">
        <v>1E-3</v>
      </c>
      <c r="AG212" s="2" t="s">
        <v>36</v>
      </c>
      <c r="AH212" s="171">
        <v>0</v>
      </c>
      <c r="AI212" s="171">
        <v>4.0525949659868198E-7</v>
      </c>
      <c r="AJ212" s="171">
        <v>5.7547166766198898E-8</v>
      </c>
    </row>
    <row r="213" spans="1:36">
      <c r="A213" s="2">
        <v>419</v>
      </c>
      <c r="B213" s="2">
        <v>1472</v>
      </c>
      <c r="C213" s="2" t="s">
        <v>2347</v>
      </c>
      <c r="D213" s="2" t="s">
        <v>2348</v>
      </c>
      <c r="E213" s="4" t="s">
        <v>315</v>
      </c>
      <c r="F213" s="2" t="s">
        <v>2349</v>
      </c>
      <c r="G213" s="2" t="s">
        <v>2350</v>
      </c>
      <c r="H213" s="2" t="s">
        <v>324</v>
      </c>
      <c r="I213" s="2" t="s">
        <v>761</v>
      </c>
      <c r="J213" s="2" t="s">
        <v>30</v>
      </c>
      <c r="K213" s="2" t="s">
        <v>237</v>
      </c>
      <c r="L213" s="2" t="s">
        <v>330</v>
      </c>
      <c r="M213" s="2" t="s">
        <v>31</v>
      </c>
      <c r="N213" s="2" t="s">
        <v>468</v>
      </c>
      <c r="O213" s="2" t="s">
        <v>140</v>
      </c>
      <c r="P213" s="2" t="s">
        <v>1921</v>
      </c>
      <c r="Q213" s="2" t="s">
        <v>418</v>
      </c>
      <c r="R213" s="2" t="s">
        <v>410</v>
      </c>
      <c r="S213" s="2" t="s">
        <v>34</v>
      </c>
      <c r="T213" s="156">
        <v>2.91</v>
      </c>
      <c r="U213" s="2" t="s">
        <v>2351</v>
      </c>
      <c r="V213" s="169">
        <v>4.2999999999999997E-2</v>
      </c>
      <c r="W213" s="171">
        <v>0.10149</v>
      </c>
      <c r="X213" s="4" t="s">
        <v>415</v>
      </c>
      <c r="Y213" s="4" t="s">
        <v>140</v>
      </c>
      <c r="Z213" s="156">
        <v>0.9</v>
      </c>
      <c r="AA213" s="165">
        <v>1</v>
      </c>
      <c r="AB213" s="182">
        <v>89.69</v>
      </c>
      <c r="AD213" s="156">
        <v>1E-3</v>
      </c>
      <c r="AG213" s="2" t="s">
        <v>36</v>
      </c>
      <c r="AH213" s="171">
        <v>0</v>
      </c>
      <c r="AI213" s="171">
        <v>5.4481270234929804E-7</v>
      </c>
      <c r="AJ213" s="171">
        <v>7.7363831573541294E-8</v>
      </c>
    </row>
    <row r="214" spans="1:36">
      <c r="A214" s="2">
        <v>419</v>
      </c>
      <c r="B214" s="2">
        <v>1472</v>
      </c>
      <c r="C214" s="2" t="s">
        <v>1755</v>
      </c>
      <c r="D214" s="2" t="s">
        <v>1756</v>
      </c>
      <c r="E214" s="4" t="s">
        <v>1321</v>
      </c>
      <c r="F214" s="2" t="s">
        <v>2355</v>
      </c>
      <c r="G214" t="s">
        <v>2356</v>
      </c>
      <c r="H214" s="2" t="s">
        <v>324</v>
      </c>
      <c r="I214" s="2" t="s">
        <v>973</v>
      </c>
      <c r="J214" s="2" t="s">
        <v>30</v>
      </c>
      <c r="K214" s="2" t="s">
        <v>30</v>
      </c>
      <c r="L214" s="2" t="s">
        <v>330</v>
      </c>
      <c r="M214" s="2" t="s">
        <v>31</v>
      </c>
      <c r="N214" s="2" t="s">
        <v>466</v>
      </c>
      <c r="O214" s="2" t="s">
        <v>140</v>
      </c>
      <c r="P214" s="2" t="s">
        <v>1915</v>
      </c>
      <c r="Q214" s="2" t="s">
        <v>416</v>
      </c>
      <c r="R214" s="2" t="s">
        <v>410</v>
      </c>
      <c r="S214" s="2" t="s">
        <v>34</v>
      </c>
      <c r="T214" s="156">
        <v>3.0219999999999998</v>
      </c>
      <c r="U214" s="2" t="s">
        <v>2357</v>
      </c>
      <c r="V214" s="169">
        <v>2.6200000000000001E-2</v>
      </c>
      <c r="W214" s="171">
        <v>5.7480000000000003E-2</v>
      </c>
      <c r="X214" s="4" t="s">
        <v>415</v>
      </c>
      <c r="Y214" s="4" t="s">
        <v>140</v>
      </c>
      <c r="Z214" s="156">
        <v>6364.5</v>
      </c>
      <c r="AA214" s="165">
        <v>1</v>
      </c>
      <c r="AB214" s="182">
        <v>91.82</v>
      </c>
      <c r="AD214" s="156">
        <v>5.8440000000000003</v>
      </c>
      <c r="AG214" s="2" t="s">
        <v>36</v>
      </c>
      <c r="AH214" s="171">
        <v>1.5E-5</v>
      </c>
      <c r="AI214" s="171">
        <v>3.9442303487005302E-3</v>
      </c>
      <c r="AJ214" s="171">
        <v>5.6008380690889599E-4</v>
      </c>
    </row>
    <row r="215" spans="1:36">
      <c r="A215" s="2">
        <v>419</v>
      </c>
      <c r="B215" s="2">
        <v>1472</v>
      </c>
      <c r="C215" s="2" t="s">
        <v>2358</v>
      </c>
      <c r="D215" s="2" t="s">
        <v>2359</v>
      </c>
      <c r="E215" s="4" t="s">
        <v>1321</v>
      </c>
      <c r="F215" s="2" t="s">
        <v>2360</v>
      </c>
      <c r="G215" s="2" t="s">
        <v>2361</v>
      </c>
      <c r="H215" s="2" t="s">
        <v>324</v>
      </c>
      <c r="I215" s="2" t="s">
        <v>973</v>
      </c>
      <c r="J215" s="2" t="s">
        <v>30</v>
      </c>
      <c r="K215" s="2" t="s">
        <v>30</v>
      </c>
      <c r="L215" s="2" t="s">
        <v>330</v>
      </c>
      <c r="M215" s="2" t="s">
        <v>49</v>
      </c>
      <c r="N215" s="2" t="s">
        <v>465</v>
      </c>
      <c r="O215" s="2" t="s">
        <v>140</v>
      </c>
      <c r="P215" s="2" t="s">
        <v>1921</v>
      </c>
      <c r="Q215" s="2" t="s">
        <v>418</v>
      </c>
      <c r="R215" s="2" t="s">
        <v>410</v>
      </c>
      <c r="S215" s="2" t="s">
        <v>34</v>
      </c>
      <c r="T215" s="156">
        <v>4.5330000000000004</v>
      </c>
      <c r="U215" s="2" t="s">
        <v>2033</v>
      </c>
      <c r="V215" s="169">
        <v>5.8500000000000003E-2</v>
      </c>
      <c r="W215" s="171">
        <v>5.7729999999999997E-2</v>
      </c>
      <c r="X215" s="4" t="s">
        <v>415</v>
      </c>
      <c r="Y215" s="4" t="s">
        <v>140</v>
      </c>
      <c r="Z215" s="156">
        <v>9000</v>
      </c>
      <c r="AA215" s="165">
        <v>1</v>
      </c>
      <c r="AB215" s="182">
        <v>101.6</v>
      </c>
      <c r="AD215" s="156">
        <v>9.1440000000000001</v>
      </c>
      <c r="AG215" s="2" t="s">
        <v>36</v>
      </c>
      <c r="AH215" s="171">
        <v>5.8E-5</v>
      </c>
      <c r="AI215" s="171">
        <v>6.1715877532265203E-3</v>
      </c>
      <c r="AJ215" s="171">
        <v>8.7637030748933002E-4</v>
      </c>
    </row>
    <row r="216" spans="1:36">
      <c r="A216" s="2">
        <v>419</v>
      </c>
      <c r="B216" s="2">
        <v>1472</v>
      </c>
      <c r="C216" s="2" t="s">
        <v>1644</v>
      </c>
      <c r="D216" s="2" t="s">
        <v>1645</v>
      </c>
      <c r="E216" s="4" t="s">
        <v>1321</v>
      </c>
      <c r="F216" s="2" t="s">
        <v>2367</v>
      </c>
      <c r="G216" s="2" t="s">
        <v>2368</v>
      </c>
      <c r="H216" s="2" t="s">
        <v>324</v>
      </c>
      <c r="I216" s="2" t="s">
        <v>761</v>
      </c>
      <c r="J216" s="2" t="s">
        <v>209</v>
      </c>
      <c r="K216" s="2" t="s">
        <v>228</v>
      </c>
      <c r="L216" s="2" t="s">
        <v>330</v>
      </c>
      <c r="M216" s="2" t="s">
        <v>317</v>
      </c>
      <c r="N216" s="2" t="s">
        <v>538</v>
      </c>
      <c r="O216" s="2" t="s">
        <v>140</v>
      </c>
      <c r="P216" s="2" t="s">
        <v>2369</v>
      </c>
      <c r="Q216" s="2" t="s">
        <v>436</v>
      </c>
      <c r="R216" s="2" t="s">
        <v>410</v>
      </c>
      <c r="S216" s="2" t="s">
        <v>1190</v>
      </c>
      <c r="T216" s="156">
        <v>4.7110000000000003</v>
      </c>
      <c r="U216" s="2" t="s">
        <v>2370</v>
      </c>
      <c r="V216" s="169">
        <v>4.3749999999999997E-2</v>
      </c>
      <c r="W216" s="171">
        <v>4.5440000000000001E-2</v>
      </c>
      <c r="X216" s="4" t="s">
        <v>415</v>
      </c>
      <c r="Y216" s="4" t="s">
        <v>140</v>
      </c>
      <c r="Z216" s="156">
        <v>10000</v>
      </c>
      <c r="AA216" s="165">
        <v>4.1524000000000001</v>
      </c>
      <c r="AB216" s="182">
        <v>101.511</v>
      </c>
      <c r="AD216" s="156">
        <v>42.151000000000003</v>
      </c>
      <c r="AG216" s="2" t="s">
        <v>36</v>
      </c>
      <c r="AH216" s="171">
        <v>6.9999999999999999E-6</v>
      </c>
      <c r="AI216" s="171">
        <v>2.84492630021842E-2</v>
      </c>
      <c r="AJ216" s="171">
        <v>4.0398176874394199E-3</v>
      </c>
    </row>
    <row r="217" spans="1:36">
      <c r="A217" s="2">
        <v>419</v>
      </c>
      <c r="B217" s="2">
        <v>12435</v>
      </c>
      <c r="C217" s="2" t="s">
        <v>2003</v>
      </c>
      <c r="D217" s="2" t="s">
        <v>2004</v>
      </c>
      <c r="E217" s="4" t="s">
        <v>1321</v>
      </c>
      <c r="F217" s="2" t="s">
        <v>2008</v>
      </c>
      <c r="G217" s="2" t="s">
        <v>2009</v>
      </c>
      <c r="H217" s="2" t="s">
        <v>324</v>
      </c>
      <c r="I217" s="2" t="s">
        <v>760</v>
      </c>
      <c r="J217" s="2" t="s">
        <v>30</v>
      </c>
      <c r="K217" s="2" t="s">
        <v>30</v>
      </c>
      <c r="L217" s="2" t="s">
        <v>330</v>
      </c>
      <c r="M217" s="2" t="s">
        <v>31</v>
      </c>
      <c r="N217" s="2" t="s">
        <v>467</v>
      </c>
      <c r="O217" s="2" t="s">
        <v>140</v>
      </c>
      <c r="P217" s="2" t="s">
        <v>1942</v>
      </c>
      <c r="Q217" s="2" t="s">
        <v>416</v>
      </c>
      <c r="R217" s="2" t="s">
        <v>410</v>
      </c>
      <c r="S217" s="2" t="s">
        <v>34</v>
      </c>
      <c r="T217" s="156">
        <v>1.302</v>
      </c>
      <c r="U217" s="2" t="s">
        <v>2010</v>
      </c>
      <c r="V217" s="169">
        <v>3.4599999999999999E-2</v>
      </c>
      <c r="W217" s="171">
        <v>2.785E-2</v>
      </c>
      <c r="X217" s="4" t="s">
        <v>415</v>
      </c>
      <c r="Y217" s="4" t="s">
        <v>140</v>
      </c>
      <c r="Z217" s="156">
        <v>15454.55</v>
      </c>
      <c r="AA217" s="165">
        <v>1</v>
      </c>
      <c r="AB217" s="182">
        <v>118.52</v>
      </c>
      <c r="AD217" s="156">
        <v>18.317</v>
      </c>
      <c r="AG217" s="2" t="s">
        <v>36</v>
      </c>
      <c r="AH217" s="171">
        <v>4.3999999999999999E-5</v>
      </c>
      <c r="AI217" s="171">
        <v>1</v>
      </c>
      <c r="AJ217" s="171">
        <v>1.51575991225082E-3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58"/>
  <sheetViews>
    <sheetView rightToLeft="1" zoomScale="70" zoomScaleNormal="70" workbookViewId="0">
      <selection activeCell="C31" sqref="C31"/>
    </sheetView>
  </sheetViews>
  <sheetFormatPr defaultColWidth="9" defaultRowHeight="14.25"/>
  <cols>
    <col min="1" max="11" width="11.625" style="4" customWidth="1"/>
    <col min="12" max="13" width="11.625" style="2" customWidth="1"/>
    <col min="14" max="16" width="11.625" style="4" customWidth="1"/>
    <col min="17" max="17" width="12.5" style="4" bestFit="1" customWidth="1"/>
    <col min="18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5</v>
      </c>
      <c r="J1" s="22" t="s">
        <v>6</v>
      </c>
      <c r="K1" s="22" t="s">
        <v>7</v>
      </c>
      <c r="L1" s="22" t="s">
        <v>329</v>
      </c>
      <c r="M1" s="22" t="s">
        <v>8</v>
      </c>
      <c r="N1" s="22" t="s">
        <v>151</v>
      </c>
      <c r="O1" s="22" t="s">
        <v>126</v>
      </c>
      <c r="P1" s="22" t="s">
        <v>11</v>
      </c>
      <c r="Q1" s="22" t="s">
        <v>17</v>
      </c>
      <c r="R1" s="164" t="s">
        <v>18</v>
      </c>
      <c r="S1" s="175" t="s">
        <v>19</v>
      </c>
      <c r="T1" s="22" t="s">
        <v>16</v>
      </c>
      <c r="U1" s="22" t="s">
        <v>20</v>
      </c>
      <c r="V1" s="170" t="s">
        <v>23</v>
      </c>
      <c r="W1" s="170" t="s">
        <v>24</v>
      </c>
      <c r="X1" s="170" t="s">
        <v>25</v>
      </c>
    </row>
    <row r="2" spans="1:24">
      <c r="A2" s="21">
        <v>419</v>
      </c>
      <c r="B2" s="21">
        <v>419</v>
      </c>
      <c r="C2" s="21" t="s">
        <v>1555</v>
      </c>
      <c r="D2" s="21" t="s">
        <v>1556</v>
      </c>
      <c r="E2" s="21" t="s">
        <v>315</v>
      </c>
      <c r="F2" s="21" t="s">
        <v>1557</v>
      </c>
      <c r="G2" s="21" t="s">
        <v>1558</v>
      </c>
      <c r="H2" s="21" t="s">
        <v>324</v>
      </c>
      <c r="I2" s="21" t="s">
        <v>937</v>
      </c>
      <c r="J2" s="21" t="s">
        <v>30</v>
      </c>
      <c r="K2" s="21" t="s">
        <v>228</v>
      </c>
      <c r="L2" s="23" t="s">
        <v>330</v>
      </c>
      <c r="M2" s="21" t="s">
        <v>31</v>
      </c>
      <c r="N2" s="23" t="s">
        <v>444</v>
      </c>
      <c r="O2" s="23" t="s">
        <v>140</v>
      </c>
      <c r="P2" s="21" t="s">
        <v>34</v>
      </c>
      <c r="Q2" s="159">
        <v>6135.17</v>
      </c>
      <c r="R2" s="183">
        <v>1</v>
      </c>
      <c r="S2" s="184">
        <v>28560</v>
      </c>
      <c r="T2" s="23"/>
      <c r="U2" s="159">
        <v>1752.2049999999999</v>
      </c>
      <c r="V2" s="185">
        <v>1.0900000000000001E-4</v>
      </c>
      <c r="W2" s="185">
        <v>8.2734253818791594E-3</v>
      </c>
      <c r="X2" s="185">
        <v>1.5113923286963001E-3</v>
      </c>
    </row>
    <row r="3" spans="1:24">
      <c r="A3" s="21">
        <v>419</v>
      </c>
      <c r="B3" s="21">
        <v>419</v>
      </c>
      <c r="C3" s="21" t="s">
        <v>1559</v>
      </c>
      <c r="D3" s="21" t="s">
        <v>1560</v>
      </c>
      <c r="E3" s="21" t="s">
        <v>1321</v>
      </c>
      <c r="F3" s="21" t="s">
        <v>1561</v>
      </c>
      <c r="G3" s="21" t="s">
        <v>1562</v>
      </c>
      <c r="H3" s="21" t="s">
        <v>324</v>
      </c>
      <c r="I3" s="21" t="s">
        <v>937</v>
      </c>
      <c r="J3" s="21" t="s">
        <v>30</v>
      </c>
      <c r="K3" s="21" t="s">
        <v>30</v>
      </c>
      <c r="L3" s="23" t="s">
        <v>330</v>
      </c>
      <c r="M3" s="21" t="s">
        <v>31</v>
      </c>
      <c r="N3" s="23" t="s">
        <v>459</v>
      </c>
      <c r="O3" s="23" t="s">
        <v>140</v>
      </c>
      <c r="P3" s="21" t="s">
        <v>34</v>
      </c>
      <c r="Q3" s="159">
        <v>332298</v>
      </c>
      <c r="R3" s="183">
        <v>1</v>
      </c>
      <c r="S3" s="184">
        <v>1588</v>
      </c>
      <c r="T3" s="23"/>
      <c r="U3" s="159">
        <v>5276.8919999999998</v>
      </c>
      <c r="V3" s="185">
        <v>2.5799999999999998E-4</v>
      </c>
      <c r="W3" s="185">
        <v>2.49160260119317E-2</v>
      </c>
      <c r="X3" s="185">
        <v>4.55166860615085E-3</v>
      </c>
    </row>
    <row r="4" spans="1:24">
      <c r="A4" s="21">
        <v>419</v>
      </c>
      <c r="B4" s="21">
        <v>419</v>
      </c>
      <c r="C4" s="21" t="s">
        <v>1563</v>
      </c>
      <c r="D4" s="21" t="s">
        <v>1564</v>
      </c>
      <c r="E4" s="21" t="s">
        <v>1321</v>
      </c>
      <c r="F4" s="21" t="s">
        <v>1565</v>
      </c>
      <c r="G4" s="21" t="s">
        <v>1566</v>
      </c>
      <c r="H4" s="21" t="s">
        <v>324</v>
      </c>
      <c r="I4" s="21" t="s">
        <v>937</v>
      </c>
      <c r="J4" s="21" t="s">
        <v>30</v>
      </c>
      <c r="K4" s="21" t="s">
        <v>30</v>
      </c>
      <c r="L4" s="23" t="s">
        <v>330</v>
      </c>
      <c r="M4" s="21" t="s">
        <v>31</v>
      </c>
      <c r="N4" s="23" t="s">
        <v>448</v>
      </c>
      <c r="O4" s="23" t="s">
        <v>140</v>
      </c>
      <c r="P4" s="21" t="s">
        <v>34</v>
      </c>
      <c r="Q4" s="159">
        <v>12325</v>
      </c>
      <c r="R4" s="183">
        <v>1</v>
      </c>
      <c r="S4" s="184">
        <v>12010</v>
      </c>
      <c r="T4" s="23"/>
      <c r="U4" s="159">
        <v>1480.2329999999999</v>
      </c>
      <c r="V4" s="185">
        <v>8.3900000000000001E-4</v>
      </c>
      <c r="W4" s="185">
        <v>6.9892485569701002E-3</v>
      </c>
      <c r="X4" s="185">
        <v>1.2767984437852E-3</v>
      </c>
    </row>
    <row r="5" spans="1:24">
      <c r="A5" s="21">
        <v>419</v>
      </c>
      <c r="B5" s="21">
        <v>419</v>
      </c>
      <c r="C5" s="21" t="s">
        <v>1567</v>
      </c>
      <c r="D5" s="21" t="s">
        <v>1568</v>
      </c>
      <c r="E5" s="21" t="s">
        <v>1321</v>
      </c>
      <c r="F5" s="21" t="s">
        <v>1569</v>
      </c>
      <c r="G5" s="21" t="s">
        <v>1570</v>
      </c>
      <c r="H5" s="21" t="s">
        <v>324</v>
      </c>
      <c r="I5" s="21" t="s">
        <v>937</v>
      </c>
      <c r="J5" s="21" t="s">
        <v>30</v>
      </c>
      <c r="K5" s="21" t="s">
        <v>30</v>
      </c>
      <c r="L5" s="23" t="s">
        <v>330</v>
      </c>
      <c r="M5" s="21" t="s">
        <v>31</v>
      </c>
      <c r="N5" s="23" t="s">
        <v>466</v>
      </c>
      <c r="O5" s="23" t="s">
        <v>140</v>
      </c>
      <c r="P5" s="21" t="s">
        <v>34</v>
      </c>
      <c r="Q5" s="159">
        <v>92819</v>
      </c>
      <c r="R5" s="183">
        <v>1</v>
      </c>
      <c r="S5" s="184">
        <v>1271</v>
      </c>
      <c r="T5" s="23"/>
      <c r="U5" s="159">
        <v>1179.729</v>
      </c>
      <c r="V5" s="185">
        <v>6.3699999999999998E-4</v>
      </c>
      <c r="W5" s="185">
        <v>5.5703564376525802E-3</v>
      </c>
      <c r="X5" s="185">
        <v>1.01759472036961E-3</v>
      </c>
    </row>
    <row r="6" spans="1:24">
      <c r="A6" s="21">
        <v>419</v>
      </c>
      <c r="B6" s="21">
        <v>419</v>
      </c>
      <c r="C6" s="21" t="s">
        <v>1571</v>
      </c>
      <c r="D6" s="21" t="s">
        <v>1572</v>
      </c>
      <c r="E6" s="21" t="s">
        <v>1321</v>
      </c>
      <c r="F6" s="21" t="s">
        <v>1573</v>
      </c>
      <c r="G6" s="21" t="s">
        <v>1574</v>
      </c>
      <c r="H6" s="21" t="s">
        <v>324</v>
      </c>
      <c r="I6" s="21" t="s">
        <v>937</v>
      </c>
      <c r="J6" s="21" t="s">
        <v>30</v>
      </c>
      <c r="K6" s="21" t="s">
        <v>30</v>
      </c>
      <c r="L6" s="23" t="s">
        <v>330</v>
      </c>
      <c r="M6" s="21" t="s">
        <v>31</v>
      </c>
      <c r="N6" s="23" t="s">
        <v>449</v>
      </c>
      <c r="O6" s="23" t="s">
        <v>140</v>
      </c>
      <c r="P6" s="21" t="s">
        <v>34</v>
      </c>
      <c r="Q6" s="159">
        <v>4361.57</v>
      </c>
      <c r="R6" s="183">
        <v>1</v>
      </c>
      <c r="S6" s="184">
        <v>74080</v>
      </c>
      <c r="T6" s="23"/>
      <c r="U6" s="159">
        <v>3231.0509999999999</v>
      </c>
      <c r="V6" s="185">
        <v>9.7999999999999997E-5</v>
      </c>
      <c r="W6" s="185">
        <v>1.52561296489874E-2</v>
      </c>
      <c r="X6" s="185">
        <v>2.78699525925239E-3</v>
      </c>
    </row>
    <row r="7" spans="1:24">
      <c r="A7" s="21">
        <v>419</v>
      </c>
      <c r="B7" s="21">
        <v>419</v>
      </c>
      <c r="C7" s="21" t="s">
        <v>1575</v>
      </c>
      <c r="D7" s="21" t="s">
        <v>1576</v>
      </c>
      <c r="E7" s="21" t="s">
        <v>1321</v>
      </c>
      <c r="F7" s="21" t="s">
        <v>1577</v>
      </c>
      <c r="G7" s="21" t="s">
        <v>1578</v>
      </c>
      <c r="H7" s="21" t="s">
        <v>324</v>
      </c>
      <c r="I7" s="21" t="s">
        <v>937</v>
      </c>
      <c r="J7" s="21" t="s">
        <v>30</v>
      </c>
      <c r="K7" s="21" t="s">
        <v>30</v>
      </c>
      <c r="L7" s="23" t="s">
        <v>330</v>
      </c>
      <c r="M7" s="21" t="s">
        <v>31</v>
      </c>
      <c r="N7" s="23" t="s">
        <v>454</v>
      </c>
      <c r="O7" s="23" t="s">
        <v>140</v>
      </c>
      <c r="P7" s="21" t="s">
        <v>34</v>
      </c>
      <c r="Q7" s="159">
        <v>1781</v>
      </c>
      <c r="R7" s="183">
        <v>1</v>
      </c>
      <c r="S7" s="184">
        <v>148500</v>
      </c>
      <c r="T7" s="158">
        <v>19.951000000000001</v>
      </c>
      <c r="U7" s="159">
        <v>2664.7359999999999</v>
      </c>
      <c r="V7" s="185">
        <v>4.64E-4</v>
      </c>
      <c r="W7" s="185">
        <v>1.258214829679E-2</v>
      </c>
      <c r="X7" s="185">
        <v>2.2985113827144201E-3</v>
      </c>
    </row>
    <row r="8" spans="1:24">
      <c r="A8" s="21">
        <v>419</v>
      </c>
      <c r="B8" s="21">
        <v>419</v>
      </c>
      <c r="C8" s="21" t="s">
        <v>1579</v>
      </c>
      <c r="D8" s="21" t="s">
        <v>1580</v>
      </c>
      <c r="E8" s="21" t="s">
        <v>1321</v>
      </c>
      <c r="F8" s="21" t="s">
        <v>1581</v>
      </c>
      <c r="G8" s="21" t="s">
        <v>1582</v>
      </c>
      <c r="H8" s="21" t="s">
        <v>324</v>
      </c>
      <c r="I8" s="21" t="s">
        <v>937</v>
      </c>
      <c r="J8" s="21" t="s">
        <v>30</v>
      </c>
      <c r="K8" s="21" t="s">
        <v>228</v>
      </c>
      <c r="L8" s="23" t="s">
        <v>330</v>
      </c>
      <c r="M8" s="21" t="s">
        <v>31</v>
      </c>
      <c r="N8" s="23" t="s">
        <v>444</v>
      </c>
      <c r="O8" s="23" t="s">
        <v>140</v>
      </c>
      <c r="P8" s="21" t="s">
        <v>34</v>
      </c>
      <c r="Q8" s="159">
        <v>51005.4</v>
      </c>
      <c r="R8" s="183">
        <v>1</v>
      </c>
      <c r="S8" s="184">
        <v>6254</v>
      </c>
      <c r="T8" s="23"/>
      <c r="U8" s="159">
        <v>3189.8780000000002</v>
      </c>
      <c r="V8" s="185">
        <v>4.3100000000000001E-4</v>
      </c>
      <c r="W8" s="185">
        <v>1.50617205225963E-2</v>
      </c>
      <c r="X8" s="185">
        <v>2.7514805300207102E-3</v>
      </c>
    </row>
    <row r="9" spans="1:24">
      <c r="A9" s="21">
        <v>419</v>
      </c>
      <c r="B9" s="21">
        <v>419</v>
      </c>
      <c r="C9" s="21" t="s">
        <v>1583</v>
      </c>
      <c r="D9" s="21" t="s">
        <v>1584</v>
      </c>
      <c r="E9" s="21" t="s">
        <v>1321</v>
      </c>
      <c r="F9" s="21" t="s">
        <v>1585</v>
      </c>
      <c r="G9" s="21" t="s">
        <v>1586</v>
      </c>
      <c r="H9" s="21" t="s">
        <v>324</v>
      </c>
      <c r="I9" s="21" t="s">
        <v>937</v>
      </c>
      <c r="J9" s="21" t="s">
        <v>30</v>
      </c>
      <c r="K9" s="21" t="s">
        <v>30</v>
      </c>
      <c r="L9" s="23" t="s">
        <v>330</v>
      </c>
      <c r="M9" s="21" t="s">
        <v>31</v>
      </c>
      <c r="N9" s="23" t="s">
        <v>482</v>
      </c>
      <c r="O9" s="23" t="s">
        <v>140</v>
      </c>
      <c r="P9" s="21" t="s">
        <v>34</v>
      </c>
      <c r="Q9" s="159">
        <v>10881</v>
      </c>
      <c r="R9" s="183">
        <v>1</v>
      </c>
      <c r="S9" s="184">
        <v>3767</v>
      </c>
      <c r="T9" s="23"/>
      <c r="U9" s="159">
        <v>409.887</v>
      </c>
      <c r="V9" s="185">
        <v>7.6900000000000004E-4</v>
      </c>
      <c r="W9" s="185">
        <v>1.9353743485350499E-3</v>
      </c>
      <c r="X9" s="185">
        <v>3.53554883076384E-4</v>
      </c>
    </row>
    <row r="10" spans="1:24">
      <c r="A10" s="21">
        <v>419</v>
      </c>
      <c r="B10" s="21">
        <v>419</v>
      </c>
      <c r="C10" s="21" t="s">
        <v>1587</v>
      </c>
      <c r="D10" s="21" t="s">
        <v>1588</v>
      </c>
      <c r="E10" s="21" t="s">
        <v>315</v>
      </c>
      <c r="F10" s="21" t="s">
        <v>1589</v>
      </c>
      <c r="G10" s="21" t="s">
        <v>1590</v>
      </c>
      <c r="H10" s="21" t="s">
        <v>324</v>
      </c>
      <c r="I10" s="21" t="s">
        <v>937</v>
      </c>
      <c r="J10" s="21" t="s">
        <v>30</v>
      </c>
      <c r="K10" s="21" t="s">
        <v>237</v>
      </c>
      <c r="L10" s="23" t="s">
        <v>330</v>
      </c>
      <c r="M10" s="21" t="s">
        <v>31</v>
      </c>
      <c r="N10" s="23" t="s">
        <v>457</v>
      </c>
      <c r="O10" s="23" t="s">
        <v>140</v>
      </c>
      <c r="P10" s="21" t="s">
        <v>34</v>
      </c>
      <c r="Q10" s="159">
        <v>56432</v>
      </c>
      <c r="R10" s="183">
        <v>1</v>
      </c>
      <c r="S10" s="184">
        <v>4556</v>
      </c>
      <c r="T10" s="23"/>
      <c r="U10" s="159">
        <v>2571.0419999999999</v>
      </c>
      <c r="V10" s="185">
        <v>3.0800000000000001E-4</v>
      </c>
      <c r="W10" s="185">
        <v>1.21397490119084E-2</v>
      </c>
      <c r="X10" s="185">
        <v>2.2176937220081999E-3</v>
      </c>
    </row>
    <row r="11" spans="1:24">
      <c r="A11" s="21">
        <v>419</v>
      </c>
      <c r="B11" s="21">
        <v>419</v>
      </c>
      <c r="C11" s="21" t="s">
        <v>1591</v>
      </c>
      <c r="D11" s="21" t="s">
        <v>1592</v>
      </c>
      <c r="E11" s="21" t="s">
        <v>1321</v>
      </c>
      <c r="F11" s="21" t="s">
        <v>1593</v>
      </c>
      <c r="G11" s="21" t="s">
        <v>1594</v>
      </c>
      <c r="H11" s="21" t="s">
        <v>324</v>
      </c>
      <c r="I11" s="21" t="s">
        <v>937</v>
      </c>
      <c r="J11" s="21" t="s">
        <v>30</v>
      </c>
      <c r="K11" s="21" t="s">
        <v>30</v>
      </c>
      <c r="L11" s="23" t="s">
        <v>330</v>
      </c>
      <c r="M11" s="21" t="s">
        <v>31</v>
      </c>
      <c r="N11" s="23" t="s">
        <v>444</v>
      </c>
      <c r="O11" s="23" t="s">
        <v>140</v>
      </c>
      <c r="P11" s="21" t="s">
        <v>34</v>
      </c>
      <c r="Q11" s="159">
        <v>113500</v>
      </c>
      <c r="R11" s="183">
        <v>1</v>
      </c>
      <c r="S11" s="184">
        <v>1348</v>
      </c>
      <c r="T11" s="23"/>
      <c r="U11" s="159">
        <v>1529.98</v>
      </c>
      <c r="V11" s="185">
        <v>2.0699999999999999E-4</v>
      </c>
      <c r="W11" s="185">
        <v>7.2241424959883704E-3</v>
      </c>
      <c r="X11" s="185">
        <v>1.3197089531695001E-3</v>
      </c>
    </row>
    <row r="12" spans="1:24">
      <c r="A12" s="21">
        <v>419</v>
      </c>
      <c r="B12" s="21">
        <v>419</v>
      </c>
      <c r="C12" s="21" t="s">
        <v>1595</v>
      </c>
      <c r="D12" s="21" t="s">
        <v>1596</v>
      </c>
      <c r="E12" s="21" t="s">
        <v>1321</v>
      </c>
      <c r="F12" s="21" t="s">
        <v>1597</v>
      </c>
      <c r="G12" s="21" t="s">
        <v>1598</v>
      </c>
      <c r="H12" s="21" t="s">
        <v>324</v>
      </c>
      <c r="I12" s="21" t="s">
        <v>937</v>
      </c>
      <c r="J12" s="21" t="s">
        <v>30</v>
      </c>
      <c r="K12" s="21" t="s">
        <v>30</v>
      </c>
      <c r="L12" s="23" t="s">
        <v>330</v>
      </c>
      <c r="M12" s="21" t="s">
        <v>31</v>
      </c>
      <c r="N12" s="23" t="s">
        <v>450</v>
      </c>
      <c r="O12" s="23" t="s">
        <v>140</v>
      </c>
      <c r="P12" s="21" t="s">
        <v>34</v>
      </c>
      <c r="Q12" s="159">
        <v>39632</v>
      </c>
      <c r="R12" s="183">
        <v>1</v>
      </c>
      <c r="S12" s="184">
        <v>5176</v>
      </c>
      <c r="T12" s="23"/>
      <c r="U12" s="159">
        <v>2051.3519999999999</v>
      </c>
      <c r="V12" s="185">
        <v>3.9100000000000002E-4</v>
      </c>
      <c r="W12" s="185">
        <v>9.6859184232188297E-3</v>
      </c>
      <c r="X12" s="185">
        <v>1.7694270662420601E-3</v>
      </c>
    </row>
    <row r="13" spans="1:24">
      <c r="A13" s="21">
        <v>419</v>
      </c>
      <c r="B13" s="21">
        <v>419</v>
      </c>
      <c r="C13" s="21" t="s">
        <v>1599</v>
      </c>
      <c r="D13" s="21" t="s">
        <v>1600</v>
      </c>
      <c r="E13" s="21" t="s">
        <v>1321</v>
      </c>
      <c r="F13" s="21" t="s">
        <v>1601</v>
      </c>
      <c r="G13" s="21" t="s">
        <v>1602</v>
      </c>
      <c r="H13" s="21" t="s">
        <v>324</v>
      </c>
      <c r="I13" s="21" t="s">
        <v>937</v>
      </c>
      <c r="J13" s="21" t="s">
        <v>30</v>
      </c>
      <c r="K13" s="21" t="s">
        <v>30</v>
      </c>
      <c r="L13" s="23" t="s">
        <v>330</v>
      </c>
      <c r="M13" s="21" t="s">
        <v>31</v>
      </c>
      <c r="N13" s="23" t="s">
        <v>488</v>
      </c>
      <c r="O13" s="23" t="s">
        <v>140</v>
      </c>
      <c r="P13" s="21" t="s">
        <v>34</v>
      </c>
      <c r="Q13" s="159">
        <v>1189902.93</v>
      </c>
      <c r="R13" s="183">
        <v>1</v>
      </c>
      <c r="S13" s="184">
        <v>428.6</v>
      </c>
      <c r="T13" s="158">
        <v>174.96199999999999</v>
      </c>
      <c r="U13" s="159">
        <v>5274.8860000000004</v>
      </c>
      <c r="V13" s="185">
        <v>4.2999999999999999E-4</v>
      </c>
      <c r="W13" s="185">
        <v>2.4906551297616399E-2</v>
      </c>
      <c r="X13" s="185">
        <v>4.5499377619271199E-3</v>
      </c>
    </row>
    <row r="14" spans="1:24">
      <c r="A14" s="21">
        <v>419</v>
      </c>
      <c r="B14" s="21">
        <v>419</v>
      </c>
      <c r="C14" s="21" t="s">
        <v>1603</v>
      </c>
      <c r="D14" s="21" t="s">
        <v>1604</v>
      </c>
      <c r="E14" s="21" t="s">
        <v>1321</v>
      </c>
      <c r="F14" s="21" t="s">
        <v>1605</v>
      </c>
      <c r="G14" s="21" t="s">
        <v>1606</v>
      </c>
      <c r="H14" s="21" t="s">
        <v>324</v>
      </c>
      <c r="I14" s="21" t="s">
        <v>937</v>
      </c>
      <c r="J14" s="21" t="s">
        <v>30</v>
      </c>
      <c r="K14" s="21" t="s">
        <v>30</v>
      </c>
      <c r="L14" s="23" t="s">
        <v>330</v>
      </c>
      <c r="M14" s="21" t="s">
        <v>31</v>
      </c>
      <c r="N14" s="23" t="s">
        <v>467</v>
      </c>
      <c r="O14" s="23" t="s">
        <v>140</v>
      </c>
      <c r="P14" s="21" t="s">
        <v>34</v>
      </c>
      <c r="Q14" s="159">
        <v>4953</v>
      </c>
      <c r="R14" s="183">
        <v>1</v>
      </c>
      <c r="S14" s="184">
        <v>41490</v>
      </c>
      <c r="T14" s="23"/>
      <c r="U14" s="159">
        <v>2055</v>
      </c>
      <c r="V14" s="185">
        <v>2.03E-4</v>
      </c>
      <c r="W14" s="185">
        <v>9.7031403430197505E-3</v>
      </c>
      <c r="X14" s="185">
        <v>1.7725731727543099E-3</v>
      </c>
    </row>
    <row r="15" spans="1:24">
      <c r="A15" s="21">
        <v>419</v>
      </c>
      <c r="B15" s="21">
        <v>419</v>
      </c>
      <c r="C15" s="21" t="s">
        <v>1607</v>
      </c>
      <c r="D15" s="21" t="s">
        <v>1608</v>
      </c>
      <c r="E15" s="21" t="s">
        <v>1321</v>
      </c>
      <c r="F15" s="21" t="s">
        <v>1607</v>
      </c>
      <c r="G15" s="21" t="s">
        <v>1609</v>
      </c>
      <c r="H15" s="21" t="s">
        <v>324</v>
      </c>
      <c r="I15" s="21" t="s">
        <v>937</v>
      </c>
      <c r="J15" s="21" t="s">
        <v>30</v>
      </c>
      <c r="K15" s="21" t="s">
        <v>30</v>
      </c>
      <c r="L15" s="23" t="s">
        <v>330</v>
      </c>
      <c r="M15" s="21" t="s">
        <v>31</v>
      </c>
      <c r="N15" s="23" t="s">
        <v>442</v>
      </c>
      <c r="O15" s="23" t="s">
        <v>140</v>
      </c>
      <c r="P15" s="21" t="s">
        <v>34</v>
      </c>
      <c r="Q15" s="159">
        <v>366021</v>
      </c>
      <c r="R15" s="183">
        <v>1</v>
      </c>
      <c r="S15" s="184">
        <v>10.6</v>
      </c>
      <c r="T15" s="23"/>
      <c r="U15" s="159">
        <v>38.798000000000002</v>
      </c>
      <c r="V15" s="185">
        <v>3.2980000000000002E-3</v>
      </c>
      <c r="W15" s="185">
        <v>1.83194494840168E-4</v>
      </c>
      <c r="X15" s="185">
        <v>3.3466036300666501E-5</v>
      </c>
    </row>
    <row r="16" spans="1:24">
      <c r="A16" s="21">
        <v>419</v>
      </c>
      <c r="B16" s="21">
        <v>419</v>
      </c>
      <c r="C16" s="21" t="s">
        <v>1610</v>
      </c>
      <c r="D16" s="21" t="s">
        <v>1611</v>
      </c>
      <c r="E16" s="21" t="s">
        <v>1321</v>
      </c>
      <c r="F16" s="21" t="s">
        <v>1612</v>
      </c>
      <c r="G16" s="21" t="s">
        <v>1613</v>
      </c>
      <c r="H16" s="21" t="s">
        <v>324</v>
      </c>
      <c r="I16" s="21" t="s">
        <v>937</v>
      </c>
      <c r="J16" s="21" t="s">
        <v>30</v>
      </c>
      <c r="K16" s="21" t="s">
        <v>30</v>
      </c>
      <c r="L16" s="23" t="s">
        <v>330</v>
      </c>
      <c r="M16" s="21" t="s">
        <v>31</v>
      </c>
      <c r="N16" s="23" t="s">
        <v>481</v>
      </c>
      <c r="O16" s="23" t="s">
        <v>140</v>
      </c>
      <c r="P16" s="21" t="s">
        <v>34</v>
      </c>
      <c r="Q16" s="159">
        <v>155518</v>
      </c>
      <c r="R16" s="183">
        <v>1</v>
      </c>
      <c r="S16" s="184">
        <v>448.2</v>
      </c>
      <c r="T16" s="23"/>
      <c r="U16" s="159">
        <v>697.03200000000004</v>
      </c>
      <c r="V16" s="185">
        <v>1.9430000000000001E-3</v>
      </c>
      <c r="W16" s="185">
        <v>3.2911908336328601E-3</v>
      </c>
      <c r="X16" s="185">
        <v>6.0123592691404095E-4</v>
      </c>
    </row>
    <row r="17" spans="1:24">
      <c r="A17" s="21">
        <v>419</v>
      </c>
      <c r="B17" s="21">
        <v>419</v>
      </c>
      <c r="C17" s="21" t="s">
        <v>1614</v>
      </c>
      <c r="D17" s="21" t="s">
        <v>1615</v>
      </c>
      <c r="E17" s="21" t="s">
        <v>1321</v>
      </c>
      <c r="F17" s="21" t="s">
        <v>1616</v>
      </c>
      <c r="G17" s="21" t="s">
        <v>1617</v>
      </c>
      <c r="H17" s="21" t="s">
        <v>324</v>
      </c>
      <c r="I17" s="21" t="s">
        <v>937</v>
      </c>
      <c r="J17" s="21" t="s">
        <v>30</v>
      </c>
      <c r="K17" s="21" t="s">
        <v>30</v>
      </c>
      <c r="L17" s="23" t="s">
        <v>330</v>
      </c>
      <c r="M17" s="21" t="s">
        <v>31</v>
      </c>
      <c r="N17" s="23" t="s">
        <v>454</v>
      </c>
      <c r="O17" s="23" t="s">
        <v>140</v>
      </c>
      <c r="P17" s="21" t="s">
        <v>34</v>
      </c>
      <c r="Q17" s="159">
        <v>1081488</v>
      </c>
      <c r="R17" s="183">
        <v>1</v>
      </c>
      <c r="S17" s="184">
        <v>64.8</v>
      </c>
      <c r="T17" s="23"/>
      <c r="U17" s="159">
        <v>700.80399999999997</v>
      </c>
      <c r="V17" s="185">
        <v>8.5499999999999997E-4</v>
      </c>
      <c r="W17" s="185">
        <v>3.3090037621188199E-3</v>
      </c>
      <c r="X17" s="185">
        <v>6.0448999910574404E-4</v>
      </c>
    </row>
    <row r="18" spans="1:24">
      <c r="A18" s="21">
        <v>419</v>
      </c>
      <c r="B18" s="21">
        <v>419</v>
      </c>
      <c r="C18" s="21" t="s">
        <v>1618</v>
      </c>
      <c r="D18" s="21" t="s">
        <v>1619</v>
      </c>
      <c r="E18" s="21" t="s">
        <v>1321</v>
      </c>
      <c r="F18" s="21" t="s">
        <v>1620</v>
      </c>
      <c r="G18" s="21" t="s">
        <v>1621</v>
      </c>
      <c r="H18" s="21" t="s">
        <v>324</v>
      </c>
      <c r="I18" s="21" t="s">
        <v>937</v>
      </c>
      <c r="J18" s="21" t="s">
        <v>30</v>
      </c>
      <c r="K18" s="21" t="s">
        <v>30</v>
      </c>
      <c r="L18" s="23" t="s">
        <v>330</v>
      </c>
      <c r="M18" s="21" t="s">
        <v>31</v>
      </c>
      <c r="N18" s="23" t="s">
        <v>451</v>
      </c>
      <c r="O18" s="23" t="s">
        <v>140</v>
      </c>
      <c r="P18" s="21" t="s">
        <v>34</v>
      </c>
      <c r="Q18" s="159">
        <v>277115</v>
      </c>
      <c r="R18" s="183">
        <v>1</v>
      </c>
      <c r="S18" s="184">
        <v>2085</v>
      </c>
      <c r="T18" s="23"/>
      <c r="U18" s="159">
        <v>5777.848</v>
      </c>
      <c r="V18" s="185">
        <v>2.24E-4</v>
      </c>
      <c r="W18" s="185">
        <v>2.72813994079176E-2</v>
      </c>
      <c r="X18" s="185">
        <v>4.9837758700932502E-3</v>
      </c>
    </row>
    <row r="19" spans="1:24">
      <c r="A19" s="21">
        <v>419</v>
      </c>
      <c r="B19" s="21">
        <v>419</v>
      </c>
      <c r="C19" s="21" t="s">
        <v>1622</v>
      </c>
      <c r="D19" s="21" t="s">
        <v>1623</v>
      </c>
      <c r="E19" s="21" t="s">
        <v>1321</v>
      </c>
      <c r="F19" s="21" t="s">
        <v>1624</v>
      </c>
      <c r="G19" s="21" t="s">
        <v>1625</v>
      </c>
      <c r="H19" s="21" t="s">
        <v>324</v>
      </c>
      <c r="I19" s="21" t="s">
        <v>937</v>
      </c>
      <c r="J19" s="21" t="s">
        <v>30</v>
      </c>
      <c r="K19" s="21" t="s">
        <v>30</v>
      </c>
      <c r="L19" s="23" t="s">
        <v>330</v>
      </c>
      <c r="M19" s="21" t="s">
        <v>31</v>
      </c>
      <c r="N19" s="23" t="s">
        <v>440</v>
      </c>
      <c r="O19" s="23" t="s">
        <v>140</v>
      </c>
      <c r="P19" s="21" t="s">
        <v>34</v>
      </c>
      <c r="Q19" s="159">
        <v>22648</v>
      </c>
      <c r="R19" s="183">
        <v>1</v>
      </c>
      <c r="S19" s="184">
        <v>16850</v>
      </c>
      <c r="T19" s="23"/>
      <c r="U19" s="159">
        <v>3816.1880000000001</v>
      </c>
      <c r="V19" s="185">
        <v>8.7299999999999997E-4</v>
      </c>
      <c r="W19" s="185">
        <v>1.8018984498804499E-2</v>
      </c>
      <c r="X19" s="185">
        <v>3.2917145783461399E-3</v>
      </c>
    </row>
    <row r="20" spans="1:24" ht="15" customHeight="1">
      <c r="A20" s="4">
        <v>419</v>
      </c>
      <c r="B20" s="4">
        <v>419</v>
      </c>
      <c r="C20" s="4" t="s">
        <v>1626</v>
      </c>
      <c r="D20" s="4" t="s">
        <v>1627</v>
      </c>
      <c r="E20" s="21" t="s">
        <v>1321</v>
      </c>
      <c r="F20" s="4" t="s">
        <v>1628</v>
      </c>
      <c r="G20" s="4" t="s">
        <v>1629</v>
      </c>
      <c r="H20" s="21" t="s">
        <v>324</v>
      </c>
      <c r="I20" s="4" t="s">
        <v>937</v>
      </c>
      <c r="J20" s="4" t="s">
        <v>30</v>
      </c>
      <c r="K20" s="21" t="s">
        <v>30</v>
      </c>
      <c r="L20" s="23" t="s">
        <v>330</v>
      </c>
      <c r="M20" s="21" t="s">
        <v>31</v>
      </c>
      <c r="N20" s="23" t="s">
        <v>448</v>
      </c>
      <c r="O20" s="4" t="s">
        <v>140</v>
      </c>
      <c r="P20" s="4" t="s">
        <v>34</v>
      </c>
      <c r="Q20" s="157">
        <v>80597</v>
      </c>
      <c r="R20" s="174">
        <v>1</v>
      </c>
      <c r="S20" s="176">
        <v>4200</v>
      </c>
      <c r="U20" s="157">
        <v>3385.0740000000001</v>
      </c>
      <c r="V20" s="173">
        <v>3.21E-4</v>
      </c>
      <c r="W20" s="173">
        <v>1.5983383400740798E-2</v>
      </c>
      <c r="X20" s="173">
        <v>2.9198502365660401E-3</v>
      </c>
    </row>
    <row r="21" spans="1:24">
      <c r="A21" s="4">
        <v>419</v>
      </c>
      <c r="B21" s="4">
        <v>419</v>
      </c>
      <c r="C21" s="4" t="s">
        <v>1632</v>
      </c>
      <c r="D21" s="4" t="s">
        <v>1633</v>
      </c>
      <c r="E21" s="4" t="s">
        <v>1321</v>
      </c>
      <c r="F21" s="4" t="s">
        <v>1634</v>
      </c>
      <c r="G21" s="4" t="s">
        <v>1635</v>
      </c>
      <c r="H21" s="4" t="s">
        <v>324</v>
      </c>
      <c r="I21" s="4" t="s">
        <v>937</v>
      </c>
      <c r="J21" s="4" t="s">
        <v>30</v>
      </c>
      <c r="K21" s="4" t="s">
        <v>30</v>
      </c>
      <c r="L21" s="2" t="s">
        <v>330</v>
      </c>
      <c r="M21" s="4" t="s">
        <v>31</v>
      </c>
      <c r="N21" s="4" t="s">
        <v>480</v>
      </c>
      <c r="O21" s="4" t="s">
        <v>140</v>
      </c>
      <c r="P21" s="4" t="s">
        <v>34</v>
      </c>
      <c r="Q21" s="157">
        <v>5700</v>
      </c>
      <c r="R21" s="174">
        <v>1</v>
      </c>
      <c r="S21" s="176">
        <v>19560</v>
      </c>
      <c r="U21" s="157">
        <v>1114.92</v>
      </c>
      <c r="V21" s="173">
        <v>2.4899999999999998E-4</v>
      </c>
      <c r="W21" s="173">
        <v>5.2643439467361403E-3</v>
      </c>
      <c r="X21" s="173">
        <v>9.6169224830895998E-4</v>
      </c>
    </row>
    <row r="22" spans="1:24">
      <c r="A22" s="4">
        <v>419</v>
      </c>
      <c r="B22" s="4">
        <v>419</v>
      </c>
      <c r="C22" s="4" t="s">
        <v>1636</v>
      </c>
      <c r="D22" s="4" t="s">
        <v>1637</v>
      </c>
      <c r="E22" s="4" t="s">
        <v>1321</v>
      </c>
      <c r="F22" s="4" t="s">
        <v>1638</v>
      </c>
      <c r="G22" s="4" t="s">
        <v>1639</v>
      </c>
      <c r="H22" s="4" t="s">
        <v>324</v>
      </c>
      <c r="I22" s="4" t="s">
        <v>937</v>
      </c>
      <c r="J22" s="4" t="s">
        <v>30</v>
      </c>
      <c r="K22" s="4" t="s">
        <v>30</v>
      </c>
      <c r="L22" s="2" t="s">
        <v>330</v>
      </c>
      <c r="M22" s="2" t="s">
        <v>31</v>
      </c>
      <c r="N22" s="4" t="s">
        <v>466</v>
      </c>
      <c r="O22" s="4" t="s">
        <v>140</v>
      </c>
      <c r="P22" s="4" t="s">
        <v>34</v>
      </c>
      <c r="Q22" s="157">
        <v>25402</v>
      </c>
      <c r="R22" s="174">
        <v>1</v>
      </c>
      <c r="S22" s="176">
        <v>1209</v>
      </c>
      <c r="U22" s="157">
        <v>307.11</v>
      </c>
      <c r="V22" s="173">
        <v>6.9099999999999999E-4</v>
      </c>
      <c r="W22" s="173">
        <v>1.4500893490690301E-3</v>
      </c>
      <c r="X22" s="173">
        <v>2.6490284458326099E-4</v>
      </c>
    </row>
    <row r="23" spans="1:24">
      <c r="A23" s="4">
        <v>419</v>
      </c>
      <c r="B23" s="4">
        <v>419</v>
      </c>
      <c r="C23" s="4" t="s">
        <v>1640</v>
      </c>
      <c r="D23" s="4" t="s">
        <v>1641</v>
      </c>
      <c r="E23" s="4" t="s">
        <v>1321</v>
      </c>
      <c r="F23" s="4" t="s">
        <v>1642</v>
      </c>
      <c r="G23" s="4" t="s">
        <v>1643</v>
      </c>
      <c r="H23" s="4" t="s">
        <v>324</v>
      </c>
      <c r="I23" s="4" t="s">
        <v>937</v>
      </c>
      <c r="J23" s="4" t="s">
        <v>30</v>
      </c>
      <c r="K23" s="4" t="s">
        <v>300</v>
      </c>
      <c r="L23" s="2" t="s">
        <v>330</v>
      </c>
      <c r="M23" s="2" t="s">
        <v>31</v>
      </c>
      <c r="N23" s="4" t="s">
        <v>461</v>
      </c>
      <c r="O23" s="4" t="s">
        <v>140</v>
      </c>
      <c r="P23" s="4" t="s">
        <v>34</v>
      </c>
      <c r="Q23" s="157">
        <v>19491</v>
      </c>
      <c r="R23" s="174">
        <v>1</v>
      </c>
      <c r="S23" s="176">
        <v>16470</v>
      </c>
      <c r="U23" s="157">
        <v>3210.1680000000001</v>
      </c>
      <c r="V23" s="173">
        <v>1.75E-4</v>
      </c>
      <c r="W23" s="173">
        <v>1.51575242165383E-2</v>
      </c>
      <c r="X23" s="173">
        <v>2.7689819833367399E-3</v>
      </c>
    </row>
    <row r="24" spans="1:24">
      <c r="A24" s="4">
        <v>419</v>
      </c>
      <c r="B24" s="4">
        <v>419</v>
      </c>
      <c r="C24" s="4" t="s">
        <v>1644</v>
      </c>
      <c r="D24" s="4" t="s">
        <v>1645</v>
      </c>
      <c r="E24" s="4" t="s">
        <v>1321</v>
      </c>
      <c r="F24" s="4" t="s">
        <v>1646</v>
      </c>
      <c r="G24" s="4" t="s">
        <v>1647</v>
      </c>
      <c r="H24" s="4" t="s">
        <v>324</v>
      </c>
      <c r="I24" s="4" t="s">
        <v>937</v>
      </c>
      <c r="J24" s="4" t="s">
        <v>30</v>
      </c>
      <c r="K24" s="4" t="s">
        <v>228</v>
      </c>
      <c r="L24" s="2" t="s">
        <v>330</v>
      </c>
      <c r="M24" s="2" t="s">
        <v>31</v>
      </c>
      <c r="N24" s="4" t="s">
        <v>470</v>
      </c>
      <c r="O24" s="4" t="s">
        <v>140</v>
      </c>
      <c r="P24" s="4" t="s">
        <v>34</v>
      </c>
      <c r="Q24" s="157">
        <v>109818</v>
      </c>
      <c r="R24" s="174">
        <v>1</v>
      </c>
      <c r="S24" s="176">
        <v>6629</v>
      </c>
      <c r="U24" s="157">
        <v>7279.835</v>
      </c>
      <c r="V24" s="173">
        <v>9.7E-5</v>
      </c>
      <c r="W24" s="173">
        <v>3.4373368917629599E-2</v>
      </c>
      <c r="X24" s="173">
        <v>6.2793394145235102E-3</v>
      </c>
    </row>
    <row r="25" spans="1:24">
      <c r="A25" s="4">
        <v>419</v>
      </c>
      <c r="B25" s="4">
        <v>419</v>
      </c>
      <c r="C25" s="4" t="s">
        <v>1648</v>
      </c>
      <c r="D25" s="4" t="s">
        <v>1649</v>
      </c>
      <c r="E25" s="4" t="s">
        <v>1321</v>
      </c>
      <c r="F25" s="4" t="s">
        <v>1650</v>
      </c>
      <c r="G25" s="4" t="s">
        <v>1651</v>
      </c>
      <c r="H25" s="4" t="s">
        <v>324</v>
      </c>
      <c r="I25" s="4" t="s">
        <v>937</v>
      </c>
      <c r="J25" s="4" t="s">
        <v>30</v>
      </c>
      <c r="K25" s="4" t="s">
        <v>30</v>
      </c>
      <c r="L25" s="2" t="s">
        <v>330</v>
      </c>
      <c r="M25" s="2" t="s">
        <v>31</v>
      </c>
      <c r="N25" s="4" t="s">
        <v>479</v>
      </c>
      <c r="O25" s="4" t="s">
        <v>140</v>
      </c>
      <c r="P25" s="4" t="s">
        <v>34</v>
      </c>
      <c r="Q25" s="157">
        <v>253138</v>
      </c>
      <c r="R25" s="174">
        <v>1</v>
      </c>
      <c r="S25" s="176">
        <v>598</v>
      </c>
      <c r="U25" s="157">
        <v>1513.7650000000001</v>
      </c>
      <c r="V25" s="173">
        <v>2.3770000000000002E-3</v>
      </c>
      <c r="W25" s="173">
        <v>7.1475808829096097E-3</v>
      </c>
      <c r="X25" s="173">
        <v>1.3057226501162001E-3</v>
      </c>
    </row>
    <row r="26" spans="1:24">
      <c r="A26" s="4">
        <v>419</v>
      </c>
      <c r="B26" s="4">
        <v>419</v>
      </c>
      <c r="C26" s="4" t="s">
        <v>1652</v>
      </c>
      <c r="D26" s="4" t="s">
        <v>1653</v>
      </c>
      <c r="E26" s="4" t="s">
        <v>1321</v>
      </c>
      <c r="F26" s="4" t="s">
        <v>1654</v>
      </c>
      <c r="G26" s="4" t="s">
        <v>1655</v>
      </c>
      <c r="H26" s="4" t="s">
        <v>324</v>
      </c>
      <c r="I26" s="4" t="s">
        <v>937</v>
      </c>
      <c r="J26" s="4" t="s">
        <v>30</v>
      </c>
      <c r="K26" s="4" t="s">
        <v>30</v>
      </c>
      <c r="L26" s="2" t="s">
        <v>330</v>
      </c>
      <c r="M26" s="2" t="s">
        <v>31</v>
      </c>
      <c r="N26" s="4" t="s">
        <v>463</v>
      </c>
      <c r="O26" s="4" t="s">
        <v>140</v>
      </c>
      <c r="P26" s="4" t="s">
        <v>34</v>
      </c>
      <c r="Q26" s="157">
        <v>138070</v>
      </c>
      <c r="R26" s="174">
        <v>1</v>
      </c>
      <c r="S26" s="176">
        <v>49.9</v>
      </c>
      <c r="U26" s="157">
        <v>68.897000000000006</v>
      </c>
      <c r="V26" s="173">
        <v>5.1599999999999997E-3</v>
      </c>
      <c r="W26" s="173">
        <v>3.2531225235371498E-4</v>
      </c>
      <c r="X26" s="173">
        <v>5.9428159431425602E-5</v>
      </c>
    </row>
    <row r="27" spans="1:24">
      <c r="A27" s="4">
        <v>419</v>
      </c>
      <c r="B27" s="4">
        <v>419</v>
      </c>
      <c r="C27" s="4" t="s">
        <v>1656</v>
      </c>
      <c r="D27" s="4" t="s">
        <v>1657</v>
      </c>
      <c r="E27" s="4" t="s">
        <v>1321</v>
      </c>
      <c r="F27" s="4" t="s">
        <v>1658</v>
      </c>
      <c r="G27" s="4" t="s">
        <v>1659</v>
      </c>
      <c r="H27" s="4" t="s">
        <v>324</v>
      </c>
      <c r="I27" s="4" t="s">
        <v>937</v>
      </c>
      <c r="J27" s="4" t="s">
        <v>30</v>
      </c>
      <c r="K27" s="4" t="s">
        <v>30</v>
      </c>
      <c r="L27" s="2" t="s">
        <v>330</v>
      </c>
      <c r="M27" s="2" t="s">
        <v>31</v>
      </c>
      <c r="N27" s="4" t="s">
        <v>482</v>
      </c>
      <c r="O27" s="4" t="s">
        <v>140</v>
      </c>
      <c r="P27" s="4" t="s">
        <v>34</v>
      </c>
      <c r="Q27" s="157">
        <v>518063.72</v>
      </c>
      <c r="R27" s="174">
        <v>1</v>
      </c>
      <c r="S27" s="176">
        <v>1373</v>
      </c>
      <c r="U27" s="157">
        <v>7113.0150000000003</v>
      </c>
      <c r="V27" s="173">
        <v>2.5839999999999999E-3</v>
      </c>
      <c r="W27" s="173">
        <v>3.3585689379873898E-2</v>
      </c>
      <c r="X27" s="173">
        <v>6.1354458328587201E-3</v>
      </c>
    </row>
    <row r="28" spans="1:24">
      <c r="A28" s="4">
        <v>419</v>
      </c>
      <c r="B28" s="4">
        <v>419</v>
      </c>
      <c r="C28" s="4" t="s">
        <v>1660</v>
      </c>
      <c r="D28" s="4" t="s">
        <v>1661</v>
      </c>
      <c r="E28" s="4" t="s">
        <v>1321</v>
      </c>
      <c r="F28" s="4" t="s">
        <v>1662</v>
      </c>
      <c r="G28" s="4" t="s">
        <v>1663</v>
      </c>
      <c r="H28" s="4" t="s">
        <v>324</v>
      </c>
      <c r="I28" s="4" t="s">
        <v>937</v>
      </c>
      <c r="J28" s="4" t="s">
        <v>30</v>
      </c>
      <c r="K28" s="4" t="s">
        <v>30</v>
      </c>
      <c r="L28" s="2" t="s">
        <v>330</v>
      </c>
      <c r="M28" s="2" t="s">
        <v>31</v>
      </c>
      <c r="N28" s="4" t="s">
        <v>448</v>
      </c>
      <c r="O28" s="4" t="s">
        <v>140</v>
      </c>
      <c r="P28" s="4" t="s">
        <v>34</v>
      </c>
      <c r="Q28" s="157">
        <v>51824</v>
      </c>
      <c r="R28" s="174">
        <v>1</v>
      </c>
      <c r="S28" s="176">
        <v>6329</v>
      </c>
      <c r="U28" s="157">
        <v>3279.9409999999998</v>
      </c>
      <c r="V28" s="173">
        <v>6.5499999999999998E-4</v>
      </c>
      <c r="W28" s="173">
        <v>1.54869742568327E-2</v>
      </c>
      <c r="X28" s="173">
        <v>2.8291660353595301E-3</v>
      </c>
    </row>
    <row r="29" spans="1:24">
      <c r="A29" s="4">
        <v>419</v>
      </c>
      <c r="B29" s="4">
        <v>419</v>
      </c>
      <c r="C29" s="4" t="s">
        <v>1183</v>
      </c>
      <c r="D29" s="4" t="s">
        <v>1664</v>
      </c>
      <c r="E29" s="4" t="s">
        <v>1321</v>
      </c>
      <c r="F29" s="4" t="s">
        <v>1315</v>
      </c>
      <c r="G29" s="4" t="s">
        <v>1665</v>
      </c>
      <c r="H29" s="4" t="s">
        <v>324</v>
      </c>
      <c r="I29" s="4" t="s">
        <v>937</v>
      </c>
      <c r="J29" s="4" t="s">
        <v>30</v>
      </c>
      <c r="K29" s="4" t="s">
        <v>30</v>
      </c>
      <c r="L29" s="2" t="s">
        <v>330</v>
      </c>
      <c r="M29" s="2" t="s">
        <v>31</v>
      </c>
      <c r="N29" s="4" t="s">
        <v>451</v>
      </c>
      <c r="O29" s="4" t="s">
        <v>140</v>
      </c>
      <c r="P29" s="4" t="s">
        <v>34</v>
      </c>
      <c r="Q29" s="157">
        <v>284343</v>
      </c>
      <c r="R29" s="174">
        <v>1</v>
      </c>
      <c r="S29" s="176">
        <v>3644</v>
      </c>
      <c r="U29" s="157">
        <v>10361.459000000001</v>
      </c>
      <c r="V29" s="173">
        <v>1.8799999999999999E-4</v>
      </c>
      <c r="W29" s="173">
        <v>4.8923943910645799E-2</v>
      </c>
      <c r="X29" s="173">
        <v>8.9374436950953595E-3</v>
      </c>
    </row>
    <row r="30" spans="1:24">
      <c r="A30" s="4">
        <v>419</v>
      </c>
      <c r="B30" s="4">
        <v>419</v>
      </c>
      <c r="C30" s="4" t="s">
        <v>1666</v>
      </c>
      <c r="D30" s="4" t="s">
        <v>1667</v>
      </c>
      <c r="E30" s="4" t="s">
        <v>1321</v>
      </c>
      <c r="F30" s="4" t="s">
        <v>1668</v>
      </c>
      <c r="G30" s="4" t="s">
        <v>1669</v>
      </c>
      <c r="H30" s="4" t="s">
        <v>324</v>
      </c>
      <c r="I30" s="4" t="s">
        <v>937</v>
      </c>
      <c r="J30" s="4" t="s">
        <v>30</v>
      </c>
      <c r="K30" s="4" t="s">
        <v>30</v>
      </c>
      <c r="L30" s="2" t="s">
        <v>330</v>
      </c>
      <c r="M30" s="2" t="s">
        <v>31</v>
      </c>
      <c r="N30" s="4" t="s">
        <v>450</v>
      </c>
      <c r="O30" s="4" t="s">
        <v>140</v>
      </c>
      <c r="P30" s="4" t="s">
        <v>34</v>
      </c>
      <c r="Q30" s="157">
        <v>87615</v>
      </c>
      <c r="R30" s="174">
        <v>1</v>
      </c>
      <c r="S30" s="176">
        <v>303.10000000000002</v>
      </c>
      <c r="U30" s="157">
        <v>265.56099999999998</v>
      </c>
      <c r="V30" s="173">
        <v>1.72E-3</v>
      </c>
      <c r="W30" s="173">
        <v>1.2539059170358E-3</v>
      </c>
      <c r="X30" s="173">
        <v>2.2906398455779E-4</v>
      </c>
    </row>
    <row r="31" spans="1:24">
      <c r="A31" s="4">
        <v>419</v>
      </c>
      <c r="B31" s="4">
        <v>419</v>
      </c>
      <c r="C31" s="4" t="s">
        <v>1670</v>
      </c>
      <c r="D31" s="4" t="s">
        <v>1671</v>
      </c>
      <c r="E31" s="4" t="s">
        <v>1321</v>
      </c>
      <c r="F31" s="4" t="s">
        <v>1672</v>
      </c>
      <c r="G31" s="4" t="s">
        <v>1673</v>
      </c>
      <c r="H31" s="4" t="s">
        <v>324</v>
      </c>
      <c r="I31" s="4" t="s">
        <v>937</v>
      </c>
      <c r="J31" s="4" t="s">
        <v>30</v>
      </c>
      <c r="K31" s="4" t="s">
        <v>30</v>
      </c>
      <c r="L31" s="2" t="s">
        <v>330</v>
      </c>
      <c r="M31" s="2" t="s">
        <v>31</v>
      </c>
      <c r="N31" s="4" t="s">
        <v>467</v>
      </c>
      <c r="O31" s="4" t="s">
        <v>140</v>
      </c>
      <c r="P31" s="4" t="s">
        <v>34</v>
      </c>
      <c r="Q31" s="157">
        <v>458401.82</v>
      </c>
      <c r="R31" s="174">
        <v>1</v>
      </c>
      <c r="S31" s="176">
        <v>954</v>
      </c>
      <c r="U31" s="157">
        <v>4373.1530000000002</v>
      </c>
      <c r="V31" s="173">
        <v>6.1399999999999996E-4</v>
      </c>
      <c r="W31" s="173">
        <v>2.06488209320893E-2</v>
      </c>
      <c r="X31" s="173">
        <v>3.7721340451969802E-3</v>
      </c>
    </row>
    <row r="32" spans="1:24">
      <c r="A32" s="4">
        <v>419</v>
      </c>
      <c r="B32" s="4">
        <v>419</v>
      </c>
      <c r="C32" s="4" t="s">
        <v>1674</v>
      </c>
      <c r="D32" s="4" t="s">
        <v>1675</v>
      </c>
      <c r="E32" s="4" t="s">
        <v>1321</v>
      </c>
      <c r="F32" s="4" t="s">
        <v>1676</v>
      </c>
      <c r="G32" s="4" t="s">
        <v>1677</v>
      </c>
      <c r="H32" s="4" t="s">
        <v>324</v>
      </c>
      <c r="I32" s="4" t="s">
        <v>937</v>
      </c>
      <c r="J32" s="4" t="s">
        <v>30</v>
      </c>
      <c r="K32" s="4" t="s">
        <v>30</v>
      </c>
      <c r="L32" s="2" t="s">
        <v>330</v>
      </c>
      <c r="M32" s="2" t="s">
        <v>31</v>
      </c>
      <c r="N32" s="4" t="s">
        <v>467</v>
      </c>
      <c r="O32" s="4" t="s">
        <v>140</v>
      </c>
      <c r="P32" s="4" t="s">
        <v>34</v>
      </c>
      <c r="Q32" s="157">
        <v>129424</v>
      </c>
      <c r="R32" s="174">
        <v>1</v>
      </c>
      <c r="S32" s="176">
        <v>768.4</v>
      </c>
      <c r="U32" s="157">
        <v>994.49400000000003</v>
      </c>
      <c r="V32" s="173">
        <v>8.5999999999999998E-4</v>
      </c>
      <c r="W32" s="173">
        <v>4.6957257500044097E-3</v>
      </c>
      <c r="X32" s="173">
        <v>8.5781687132426205E-4</v>
      </c>
    </row>
    <row r="33" spans="1:24">
      <c r="A33" s="4">
        <v>419</v>
      </c>
      <c r="B33" s="4">
        <v>419</v>
      </c>
      <c r="C33" s="4" t="s">
        <v>1678</v>
      </c>
      <c r="D33" s="4" t="s">
        <v>1679</v>
      </c>
      <c r="E33" s="4" t="s">
        <v>1321</v>
      </c>
      <c r="F33" s="4" t="s">
        <v>1680</v>
      </c>
      <c r="G33" s="4" t="s">
        <v>1681</v>
      </c>
      <c r="H33" s="4" t="s">
        <v>324</v>
      </c>
      <c r="I33" s="4" t="s">
        <v>937</v>
      </c>
      <c r="J33" s="4" t="s">
        <v>30</v>
      </c>
      <c r="K33" s="4" t="s">
        <v>30</v>
      </c>
      <c r="L33" s="2" t="s">
        <v>330</v>
      </c>
      <c r="M33" s="2" t="s">
        <v>31</v>
      </c>
      <c r="N33" s="4" t="s">
        <v>462</v>
      </c>
      <c r="O33" s="4" t="s">
        <v>140</v>
      </c>
      <c r="P33" s="4" t="s">
        <v>34</v>
      </c>
      <c r="Q33" s="157">
        <v>6094.9</v>
      </c>
      <c r="R33" s="174">
        <v>1</v>
      </c>
      <c r="S33" s="176">
        <v>15960</v>
      </c>
      <c r="U33" s="157">
        <v>972.74599999999998</v>
      </c>
      <c r="V33" s="173">
        <v>1.815E-3</v>
      </c>
      <c r="W33" s="173">
        <v>4.59303782099662E-3</v>
      </c>
      <c r="X33" s="173">
        <v>8.3905780346682903E-4</v>
      </c>
    </row>
    <row r="34" spans="1:24">
      <c r="A34" s="4">
        <v>419</v>
      </c>
      <c r="B34" s="4">
        <v>419</v>
      </c>
      <c r="C34" s="4" t="s">
        <v>1682</v>
      </c>
      <c r="D34" s="4" t="s">
        <v>1683</v>
      </c>
      <c r="E34" s="4" t="s">
        <v>1321</v>
      </c>
      <c r="F34" s="4" t="s">
        <v>1684</v>
      </c>
      <c r="G34" s="4" t="s">
        <v>1685</v>
      </c>
      <c r="H34" s="4" t="s">
        <v>324</v>
      </c>
      <c r="I34" s="4" t="s">
        <v>937</v>
      </c>
      <c r="J34" s="4" t="s">
        <v>30</v>
      </c>
      <c r="K34" s="4" t="s">
        <v>30</v>
      </c>
      <c r="L34" s="2" t="s">
        <v>330</v>
      </c>
      <c r="M34" s="2" t="s">
        <v>31</v>
      </c>
      <c r="N34" s="4" t="s">
        <v>479</v>
      </c>
      <c r="O34" s="4" t="s">
        <v>140</v>
      </c>
      <c r="P34" s="4" t="s">
        <v>34</v>
      </c>
      <c r="Q34" s="157">
        <v>16226</v>
      </c>
      <c r="R34" s="174">
        <v>1</v>
      </c>
      <c r="S34" s="176">
        <v>589.5</v>
      </c>
      <c r="U34" s="157">
        <v>95.652000000000001</v>
      </c>
      <c r="V34" s="173">
        <v>6.9200000000000002E-4</v>
      </c>
      <c r="W34" s="173">
        <v>4.5164356955303603E-4</v>
      </c>
      <c r="X34" s="173">
        <v>8.2506409959598603E-5</v>
      </c>
    </row>
    <row r="35" spans="1:24">
      <c r="A35" s="4">
        <v>419</v>
      </c>
      <c r="B35" s="4">
        <v>419</v>
      </c>
      <c r="C35" s="4" t="s">
        <v>1686</v>
      </c>
      <c r="D35" s="4" t="s">
        <v>1323</v>
      </c>
      <c r="E35" s="4" t="s">
        <v>1321</v>
      </c>
      <c r="F35" s="4" t="s">
        <v>1687</v>
      </c>
      <c r="G35" s="4" t="s">
        <v>1688</v>
      </c>
      <c r="H35" s="4" t="s">
        <v>324</v>
      </c>
      <c r="I35" s="4" t="s">
        <v>937</v>
      </c>
      <c r="J35" s="4" t="s">
        <v>30</v>
      </c>
      <c r="K35" s="4" t="s">
        <v>30</v>
      </c>
      <c r="L35" s="2" t="s">
        <v>330</v>
      </c>
      <c r="M35" s="2" t="s">
        <v>31</v>
      </c>
      <c r="N35" s="4" t="s">
        <v>451</v>
      </c>
      <c r="O35" s="4" t="s">
        <v>140</v>
      </c>
      <c r="P35" s="4" t="s">
        <v>34</v>
      </c>
      <c r="Q35" s="157">
        <v>8075</v>
      </c>
      <c r="R35" s="174">
        <v>1</v>
      </c>
      <c r="S35" s="176">
        <v>14550</v>
      </c>
      <c r="U35" s="157">
        <v>1174.912</v>
      </c>
      <c r="V35" s="173">
        <v>3.1000000000000001E-5</v>
      </c>
      <c r="W35" s="173">
        <v>5.5476119428475804E-3</v>
      </c>
      <c r="X35" s="173">
        <v>1.01343974786648E-3</v>
      </c>
    </row>
    <row r="36" spans="1:24">
      <c r="A36" s="4">
        <v>419</v>
      </c>
      <c r="B36" s="4">
        <v>419</v>
      </c>
      <c r="C36" s="4" t="s">
        <v>1689</v>
      </c>
      <c r="D36" s="4" t="s">
        <v>1690</v>
      </c>
      <c r="E36" s="4" t="s">
        <v>1321</v>
      </c>
      <c r="F36" s="4" t="s">
        <v>1691</v>
      </c>
      <c r="G36" s="4" t="s">
        <v>1692</v>
      </c>
      <c r="H36" s="4" t="s">
        <v>324</v>
      </c>
      <c r="I36" s="4" t="s">
        <v>937</v>
      </c>
      <c r="J36" s="4" t="s">
        <v>30</v>
      </c>
      <c r="K36" s="4" t="s">
        <v>30</v>
      </c>
      <c r="L36" s="2" t="s">
        <v>330</v>
      </c>
      <c r="M36" s="2" t="s">
        <v>31</v>
      </c>
      <c r="N36" s="4" t="s">
        <v>480</v>
      </c>
      <c r="O36" s="4" t="s">
        <v>140</v>
      </c>
      <c r="P36" s="4" t="s">
        <v>34</v>
      </c>
      <c r="Q36" s="157">
        <v>17893</v>
      </c>
      <c r="R36" s="174">
        <v>1</v>
      </c>
      <c r="S36" s="176">
        <v>7125</v>
      </c>
      <c r="T36" s="156">
        <v>14.672000000000001</v>
      </c>
      <c r="U36" s="157">
        <v>1289.549</v>
      </c>
      <c r="V36" s="173">
        <v>2.8200000000000002E-4</v>
      </c>
      <c r="W36" s="173">
        <v>6.0888914833720003E-3</v>
      </c>
      <c r="X36" s="173">
        <v>1.11232088928835E-3</v>
      </c>
    </row>
    <row r="37" spans="1:24">
      <c r="A37" s="4">
        <v>419</v>
      </c>
      <c r="B37" s="4">
        <v>419</v>
      </c>
      <c r="C37" s="4" t="s">
        <v>1693</v>
      </c>
      <c r="D37" s="4" t="s">
        <v>1694</v>
      </c>
      <c r="E37" s="4" t="s">
        <v>1321</v>
      </c>
      <c r="F37" s="4" t="s">
        <v>1695</v>
      </c>
      <c r="G37" s="4" t="s">
        <v>1696</v>
      </c>
      <c r="H37" s="4" t="s">
        <v>324</v>
      </c>
      <c r="I37" s="4" t="s">
        <v>937</v>
      </c>
      <c r="J37" s="4" t="s">
        <v>30</v>
      </c>
      <c r="K37" s="4" t="s">
        <v>30</v>
      </c>
      <c r="L37" s="2" t="s">
        <v>330</v>
      </c>
      <c r="M37" s="2" t="s">
        <v>31</v>
      </c>
      <c r="N37" s="4" t="s">
        <v>467</v>
      </c>
      <c r="O37" s="4" t="s">
        <v>140</v>
      </c>
      <c r="P37" s="4" t="s">
        <v>34</v>
      </c>
      <c r="Q37" s="157">
        <v>8807</v>
      </c>
      <c r="R37" s="174">
        <v>1</v>
      </c>
      <c r="S37" s="176">
        <v>28210</v>
      </c>
      <c r="U37" s="157">
        <v>2484.4549999999999</v>
      </c>
      <c r="V37" s="173">
        <v>1.85E-4</v>
      </c>
      <c r="W37" s="173">
        <v>1.17309081018236E-2</v>
      </c>
      <c r="X37" s="173">
        <v>2.1430065172969902E-3</v>
      </c>
    </row>
    <row r="38" spans="1:24">
      <c r="A38" s="4">
        <v>419</v>
      </c>
      <c r="B38" s="4">
        <v>419</v>
      </c>
      <c r="C38" s="4" t="s">
        <v>1697</v>
      </c>
      <c r="D38" s="4" t="s">
        <v>1698</v>
      </c>
      <c r="E38" s="4" t="s">
        <v>1321</v>
      </c>
      <c r="F38" s="4" t="s">
        <v>1699</v>
      </c>
      <c r="G38" s="4" t="s">
        <v>1700</v>
      </c>
      <c r="H38" s="4" t="s">
        <v>324</v>
      </c>
      <c r="I38" s="4" t="s">
        <v>937</v>
      </c>
      <c r="J38" s="4" t="s">
        <v>30</v>
      </c>
      <c r="K38" s="4" t="s">
        <v>30</v>
      </c>
      <c r="L38" s="2" t="s">
        <v>330</v>
      </c>
      <c r="M38" s="2" t="s">
        <v>31</v>
      </c>
      <c r="N38" s="4" t="s">
        <v>448</v>
      </c>
      <c r="O38" s="4" t="s">
        <v>140</v>
      </c>
      <c r="P38" s="4" t="s">
        <v>34</v>
      </c>
      <c r="Q38" s="157">
        <v>24995</v>
      </c>
      <c r="R38" s="174">
        <v>1</v>
      </c>
      <c r="S38" s="176">
        <v>10880</v>
      </c>
      <c r="U38" s="157">
        <v>2719.4560000000001</v>
      </c>
      <c r="V38" s="173">
        <v>4.0299999999999998E-4</v>
      </c>
      <c r="W38" s="173">
        <v>1.28405192587946E-2</v>
      </c>
      <c r="X38" s="173">
        <v>2.3457106831138502E-3</v>
      </c>
    </row>
    <row r="39" spans="1:24">
      <c r="A39" s="4">
        <v>419</v>
      </c>
      <c r="B39" s="4">
        <v>419</v>
      </c>
      <c r="C39" s="4" t="s">
        <v>1701</v>
      </c>
      <c r="D39" s="4" t="s">
        <v>1702</v>
      </c>
      <c r="E39" s="4" t="s">
        <v>1321</v>
      </c>
      <c r="F39" s="4" t="s">
        <v>1703</v>
      </c>
      <c r="G39" s="4" t="s">
        <v>1704</v>
      </c>
      <c r="H39" s="4" t="s">
        <v>324</v>
      </c>
      <c r="I39" s="4" t="s">
        <v>937</v>
      </c>
      <c r="J39" s="4" t="s">
        <v>30</v>
      </c>
      <c r="K39" s="4" t="s">
        <v>30</v>
      </c>
      <c r="L39" s="2" t="s">
        <v>330</v>
      </c>
      <c r="M39" s="2" t="s">
        <v>31</v>
      </c>
      <c r="N39" s="4" t="s">
        <v>446</v>
      </c>
      <c r="O39" s="4" t="s">
        <v>140</v>
      </c>
      <c r="P39" s="4" t="s">
        <v>34</v>
      </c>
      <c r="Q39" s="157">
        <v>169508</v>
      </c>
      <c r="R39" s="174">
        <v>1</v>
      </c>
      <c r="S39" s="176">
        <v>1350</v>
      </c>
      <c r="U39" s="157">
        <v>2288.3580000000002</v>
      </c>
      <c r="V39" s="173">
        <v>2.8029999999999999E-3</v>
      </c>
      <c r="W39" s="173">
        <v>1.08049937083066E-2</v>
      </c>
      <c r="X39" s="173">
        <v>1.9738601423920999E-3</v>
      </c>
    </row>
    <row r="40" spans="1:24">
      <c r="A40" s="4">
        <v>419</v>
      </c>
      <c r="B40" s="4">
        <v>419</v>
      </c>
      <c r="C40" s="4" t="s">
        <v>1705</v>
      </c>
      <c r="D40" s="4" t="s">
        <v>1706</v>
      </c>
      <c r="E40" s="4" t="s">
        <v>1321</v>
      </c>
      <c r="F40" s="4" t="s">
        <v>1707</v>
      </c>
      <c r="G40" s="4" t="s">
        <v>1708</v>
      </c>
      <c r="H40" s="4" t="s">
        <v>324</v>
      </c>
      <c r="I40" s="4" t="s">
        <v>937</v>
      </c>
      <c r="J40" s="4" t="s">
        <v>30</v>
      </c>
      <c r="K40" s="4" t="s">
        <v>30</v>
      </c>
      <c r="L40" s="2" t="s">
        <v>330</v>
      </c>
      <c r="M40" s="2" t="s">
        <v>31</v>
      </c>
      <c r="N40" s="4" t="s">
        <v>479</v>
      </c>
      <c r="O40" s="4" t="s">
        <v>140</v>
      </c>
      <c r="P40" s="4" t="s">
        <v>34</v>
      </c>
      <c r="Q40" s="157">
        <v>160000</v>
      </c>
      <c r="R40" s="174">
        <v>1</v>
      </c>
      <c r="S40" s="176">
        <v>1049</v>
      </c>
      <c r="U40" s="157">
        <v>1678.4</v>
      </c>
      <c r="V40" s="173">
        <v>1.1479999999999999E-3</v>
      </c>
      <c r="W40" s="173">
        <v>7.9249406954776409E-3</v>
      </c>
      <c r="X40" s="173">
        <v>1.4477310206667401E-3</v>
      </c>
    </row>
    <row r="41" spans="1:24">
      <c r="A41" s="4">
        <v>419</v>
      </c>
      <c r="B41" s="4">
        <v>419</v>
      </c>
      <c r="C41" s="4" t="s">
        <v>1709</v>
      </c>
      <c r="D41" s="4" t="s">
        <v>1710</v>
      </c>
      <c r="E41" s="4" t="s">
        <v>314</v>
      </c>
      <c r="F41" s="4" t="s">
        <v>1711</v>
      </c>
      <c r="G41" s="4" t="s">
        <v>1712</v>
      </c>
      <c r="H41" s="4" t="s">
        <v>324</v>
      </c>
      <c r="I41" s="4" t="s">
        <v>937</v>
      </c>
      <c r="J41" s="4" t="s">
        <v>30</v>
      </c>
      <c r="K41" s="4" t="s">
        <v>30</v>
      </c>
      <c r="L41" s="2" t="s">
        <v>330</v>
      </c>
      <c r="M41" s="2" t="s">
        <v>31</v>
      </c>
      <c r="N41" s="4" t="s">
        <v>457</v>
      </c>
      <c r="O41" s="4" t="s">
        <v>140</v>
      </c>
      <c r="P41" s="4" t="s">
        <v>34</v>
      </c>
      <c r="Q41" s="157">
        <v>229900.38</v>
      </c>
      <c r="R41" s="174">
        <v>1</v>
      </c>
      <c r="S41" s="176">
        <v>1025</v>
      </c>
      <c r="U41" s="157">
        <v>2356.4789999999998</v>
      </c>
      <c r="V41" s="173">
        <v>1.9599999999999999E-4</v>
      </c>
      <c r="W41" s="173">
        <v>1.1126641737976501E-2</v>
      </c>
      <c r="X41" s="173">
        <v>2.03261892030385E-3</v>
      </c>
    </row>
    <row r="42" spans="1:24">
      <c r="A42" s="4">
        <v>419</v>
      </c>
      <c r="B42" s="4">
        <v>419</v>
      </c>
      <c r="C42" s="4" t="s">
        <v>1713</v>
      </c>
      <c r="D42" s="4" t="s">
        <v>1714</v>
      </c>
      <c r="E42" s="4" t="s">
        <v>1321</v>
      </c>
      <c r="F42" s="4" t="s">
        <v>1715</v>
      </c>
      <c r="G42" s="4" t="s">
        <v>1716</v>
      </c>
      <c r="H42" s="4" t="s">
        <v>324</v>
      </c>
      <c r="I42" s="4" t="s">
        <v>937</v>
      </c>
      <c r="J42" s="4" t="s">
        <v>30</v>
      </c>
      <c r="K42" s="4" t="s">
        <v>228</v>
      </c>
      <c r="L42" s="2" t="s">
        <v>330</v>
      </c>
      <c r="M42" s="2" t="s">
        <v>31</v>
      </c>
      <c r="N42" s="4" t="s">
        <v>484</v>
      </c>
      <c r="O42" s="4" t="s">
        <v>140</v>
      </c>
      <c r="P42" s="4" t="s">
        <v>34</v>
      </c>
      <c r="Q42" s="157">
        <v>11783</v>
      </c>
      <c r="R42" s="174">
        <v>1</v>
      </c>
      <c r="S42" s="176">
        <v>64880</v>
      </c>
      <c r="U42" s="157">
        <v>7644.81</v>
      </c>
      <c r="V42" s="173">
        <v>1.8699999999999999E-4</v>
      </c>
      <c r="W42" s="173">
        <v>3.6096680796097902E-2</v>
      </c>
      <c r="X42" s="173">
        <v>6.5941546491871299E-3</v>
      </c>
    </row>
    <row r="43" spans="1:24">
      <c r="A43" s="4">
        <v>419</v>
      </c>
      <c r="B43" s="4">
        <v>419</v>
      </c>
      <c r="C43" s="4" t="s">
        <v>1717</v>
      </c>
      <c r="D43" s="4" t="s">
        <v>1718</v>
      </c>
      <c r="E43" s="4" t="s">
        <v>1321</v>
      </c>
      <c r="F43" s="4" t="s">
        <v>1719</v>
      </c>
      <c r="G43" s="4" t="s">
        <v>1720</v>
      </c>
      <c r="H43" s="4" t="s">
        <v>324</v>
      </c>
      <c r="I43" s="4" t="s">
        <v>937</v>
      </c>
      <c r="J43" s="4" t="s">
        <v>30</v>
      </c>
      <c r="K43" s="4" t="s">
        <v>30</v>
      </c>
      <c r="L43" s="2" t="s">
        <v>330</v>
      </c>
      <c r="M43" s="2" t="s">
        <v>31</v>
      </c>
      <c r="N43" s="4" t="s">
        <v>488</v>
      </c>
      <c r="O43" s="4" t="s">
        <v>140</v>
      </c>
      <c r="P43" s="4" t="s">
        <v>34</v>
      </c>
      <c r="Q43" s="157">
        <v>88906</v>
      </c>
      <c r="R43" s="174">
        <v>1</v>
      </c>
      <c r="S43" s="176">
        <v>1670</v>
      </c>
      <c r="U43" s="157">
        <v>1484.73</v>
      </c>
      <c r="V43" s="173">
        <v>5.3600000000000002E-4</v>
      </c>
      <c r="W43" s="173">
        <v>7.0104854526839002E-3</v>
      </c>
      <c r="X43" s="173">
        <v>1.28067800754333E-3</v>
      </c>
    </row>
    <row r="44" spans="1:24">
      <c r="A44" s="4">
        <v>419</v>
      </c>
      <c r="B44" s="4">
        <v>419</v>
      </c>
      <c r="C44" s="4" t="s">
        <v>1721</v>
      </c>
      <c r="D44" s="4" t="s">
        <v>1722</v>
      </c>
      <c r="E44" s="4" t="s">
        <v>1321</v>
      </c>
      <c r="F44" s="4" t="s">
        <v>1723</v>
      </c>
      <c r="G44" s="4" t="s">
        <v>1724</v>
      </c>
      <c r="H44" s="4" t="s">
        <v>324</v>
      </c>
      <c r="I44" s="4" t="s">
        <v>937</v>
      </c>
      <c r="J44" s="4" t="s">
        <v>30</v>
      </c>
      <c r="K44" s="4" t="s">
        <v>30</v>
      </c>
      <c r="L44" s="2" t="s">
        <v>330</v>
      </c>
      <c r="M44" s="2" t="s">
        <v>31</v>
      </c>
      <c r="N44" s="4" t="s">
        <v>467</v>
      </c>
      <c r="O44" s="4" t="s">
        <v>140</v>
      </c>
      <c r="P44" s="4" t="s">
        <v>34</v>
      </c>
      <c r="Q44" s="157">
        <v>6815</v>
      </c>
      <c r="R44" s="174">
        <v>1</v>
      </c>
      <c r="S44" s="176">
        <v>25940</v>
      </c>
      <c r="U44" s="157">
        <v>1767.8109999999999</v>
      </c>
      <c r="V44" s="173">
        <v>5.5999999999999999E-5</v>
      </c>
      <c r="W44" s="173">
        <v>8.3471147139019507E-3</v>
      </c>
      <c r="X44" s="173">
        <v>1.5248539224117499E-3</v>
      </c>
    </row>
    <row r="45" spans="1:24">
      <c r="A45" s="4">
        <v>419</v>
      </c>
      <c r="B45" s="4">
        <v>419</v>
      </c>
      <c r="C45" s="4" t="s">
        <v>1725</v>
      </c>
      <c r="D45" s="4" t="s">
        <v>1726</v>
      </c>
      <c r="E45" s="4" t="s">
        <v>1321</v>
      </c>
      <c r="F45" s="4" t="s">
        <v>1727</v>
      </c>
      <c r="G45" s="4" t="s">
        <v>1728</v>
      </c>
      <c r="H45" s="4" t="s">
        <v>324</v>
      </c>
      <c r="I45" s="4" t="s">
        <v>937</v>
      </c>
      <c r="J45" s="4" t="s">
        <v>30</v>
      </c>
      <c r="K45" s="4" t="s">
        <v>30</v>
      </c>
      <c r="L45" s="2" t="s">
        <v>330</v>
      </c>
      <c r="M45" s="2" t="s">
        <v>31</v>
      </c>
      <c r="N45" s="4" t="s">
        <v>451</v>
      </c>
      <c r="O45" s="4" t="s">
        <v>140</v>
      </c>
      <c r="P45" s="4" t="s">
        <v>34</v>
      </c>
      <c r="Q45" s="157">
        <v>224659</v>
      </c>
      <c r="R45" s="174">
        <v>1</v>
      </c>
      <c r="S45" s="176">
        <v>3729</v>
      </c>
      <c r="U45" s="157">
        <v>8377.5339999999997</v>
      </c>
      <c r="V45" s="173">
        <v>1.6799999999999999E-4</v>
      </c>
      <c r="W45" s="173">
        <v>3.9556399544858803E-2</v>
      </c>
      <c r="X45" s="173">
        <v>7.2261773163374001E-3</v>
      </c>
    </row>
    <row r="46" spans="1:24">
      <c r="A46" s="4">
        <v>419</v>
      </c>
      <c r="B46" s="4">
        <v>419</v>
      </c>
      <c r="C46" s="4" t="s">
        <v>1729</v>
      </c>
      <c r="D46" s="4" t="s">
        <v>1730</v>
      </c>
      <c r="E46" s="4" t="s">
        <v>1321</v>
      </c>
      <c r="F46" s="4" t="s">
        <v>1731</v>
      </c>
      <c r="G46" s="4" t="s">
        <v>1732</v>
      </c>
      <c r="H46" s="4" t="s">
        <v>324</v>
      </c>
      <c r="I46" s="4" t="s">
        <v>937</v>
      </c>
      <c r="J46" s="4" t="s">
        <v>30</v>
      </c>
      <c r="K46" s="4" t="s">
        <v>30</v>
      </c>
      <c r="L46" s="2" t="s">
        <v>330</v>
      </c>
      <c r="M46" s="2" t="s">
        <v>31</v>
      </c>
      <c r="N46" s="4" t="s">
        <v>480</v>
      </c>
      <c r="O46" s="4" t="s">
        <v>140</v>
      </c>
      <c r="P46" s="4" t="s">
        <v>34</v>
      </c>
      <c r="Q46" s="157">
        <v>5344</v>
      </c>
      <c r="R46" s="174">
        <v>1</v>
      </c>
      <c r="S46" s="176">
        <v>29830</v>
      </c>
      <c r="U46" s="157">
        <v>1594.115</v>
      </c>
      <c r="V46" s="173">
        <v>3.4900000000000003E-4</v>
      </c>
      <c r="W46" s="173">
        <v>7.5269711759768099E-3</v>
      </c>
      <c r="X46" s="173">
        <v>1.3750298055030699E-3</v>
      </c>
    </row>
    <row r="47" spans="1:24">
      <c r="A47" s="4">
        <v>419</v>
      </c>
      <c r="B47" s="4">
        <v>419</v>
      </c>
      <c r="C47" s="4" t="s">
        <v>1733</v>
      </c>
      <c r="D47" s="4" t="s">
        <v>1734</v>
      </c>
      <c r="E47" s="4" t="s">
        <v>1321</v>
      </c>
      <c r="F47" s="4" t="s">
        <v>1735</v>
      </c>
      <c r="G47" s="4" t="s">
        <v>1736</v>
      </c>
      <c r="H47" s="4" t="s">
        <v>324</v>
      </c>
      <c r="I47" s="4" t="s">
        <v>937</v>
      </c>
      <c r="J47" s="4" t="s">
        <v>30</v>
      </c>
      <c r="K47" s="4" t="s">
        <v>30</v>
      </c>
      <c r="L47" s="2" t="s">
        <v>330</v>
      </c>
      <c r="M47" s="2" t="s">
        <v>31</v>
      </c>
      <c r="N47" s="4" t="s">
        <v>488</v>
      </c>
      <c r="O47" s="4" t="s">
        <v>140</v>
      </c>
      <c r="P47" s="4" t="s">
        <v>34</v>
      </c>
      <c r="Q47" s="157">
        <v>97751</v>
      </c>
      <c r="R47" s="174">
        <v>1</v>
      </c>
      <c r="S47" s="176">
        <v>1606</v>
      </c>
      <c r="U47" s="157">
        <v>1569.8810000000001</v>
      </c>
      <c r="V47" s="173">
        <v>5.2499999999999997E-4</v>
      </c>
      <c r="W47" s="173">
        <v>7.4125442680252496E-3</v>
      </c>
      <c r="X47" s="173">
        <v>1.3541262567440301E-3</v>
      </c>
    </row>
    <row r="48" spans="1:24">
      <c r="A48" s="4">
        <v>419</v>
      </c>
      <c r="B48" s="4">
        <v>419</v>
      </c>
      <c r="C48" s="4" t="s">
        <v>1737</v>
      </c>
      <c r="D48" s="4" t="s">
        <v>1738</v>
      </c>
      <c r="E48" s="4" t="s">
        <v>1321</v>
      </c>
      <c r="F48" s="4" t="s">
        <v>1739</v>
      </c>
      <c r="G48" s="4" t="s">
        <v>1740</v>
      </c>
      <c r="H48" s="4" t="s">
        <v>324</v>
      </c>
      <c r="I48" s="4" t="s">
        <v>937</v>
      </c>
      <c r="J48" s="4" t="s">
        <v>30</v>
      </c>
      <c r="K48" s="4" t="s">
        <v>30</v>
      </c>
      <c r="L48" s="2" t="s">
        <v>330</v>
      </c>
      <c r="M48" s="2" t="s">
        <v>31</v>
      </c>
      <c r="N48" s="4" t="s">
        <v>465</v>
      </c>
      <c r="O48" s="4" t="s">
        <v>140</v>
      </c>
      <c r="P48" s="4" t="s">
        <v>34</v>
      </c>
      <c r="Q48" s="157">
        <v>19785</v>
      </c>
      <c r="R48" s="174">
        <v>1</v>
      </c>
      <c r="S48" s="176">
        <v>1136</v>
      </c>
      <c r="U48" s="157">
        <v>224.75800000000001</v>
      </c>
      <c r="V48" s="173">
        <v>1.3600000000000001E-3</v>
      </c>
      <c r="W48" s="173">
        <v>1.06124323811838E-3</v>
      </c>
      <c r="X48" s="173">
        <v>1.9386829697962699E-4</v>
      </c>
    </row>
    <row r="49" spans="1:24">
      <c r="A49" s="4">
        <v>419</v>
      </c>
      <c r="B49" s="4">
        <v>419</v>
      </c>
      <c r="C49" s="4" t="s">
        <v>1741</v>
      </c>
      <c r="D49" s="4" t="s">
        <v>1742</v>
      </c>
      <c r="E49" s="4" t="s">
        <v>1321</v>
      </c>
      <c r="F49" s="4" t="s">
        <v>1743</v>
      </c>
      <c r="G49" s="4" t="s">
        <v>1744</v>
      </c>
      <c r="H49" s="4" t="s">
        <v>324</v>
      </c>
      <c r="I49" s="4" t="s">
        <v>937</v>
      </c>
      <c r="J49" s="4" t="s">
        <v>30</v>
      </c>
      <c r="K49" s="4" t="s">
        <v>30</v>
      </c>
      <c r="L49" s="2" t="s">
        <v>330</v>
      </c>
      <c r="M49" s="2" t="s">
        <v>31</v>
      </c>
      <c r="N49" s="4" t="s">
        <v>466</v>
      </c>
      <c r="O49" s="4" t="s">
        <v>140</v>
      </c>
      <c r="P49" s="4" t="s">
        <v>34</v>
      </c>
      <c r="Q49" s="157">
        <v>337314</v>
      </c>
      <c r="R49" s="174">
        <v>1</v>
      </c>
      <c r="S49" s="176">
        <v>551.79999999999995</v>
      </c>
      <c r="U49" s="157">
        <v>1861.299</v>
      </c>
      <c r="V49" s="173">
        <v>1.173E-3</v>
      </c>
      <c r="W49" s="173">
        <v>8.7885375558105806E-3</v>
      </c>
      <c r="X49" s="173">
        <v>1.60549320616395E-3</v>
      </c>
    </row>
    <row r="50" spans="1:24">
      <c r="A50" s="4">
        <v>419</v>
      </c>
      <c r="B50" s="4">
        <v>419</v>
      </c>
      <c r="C50" s="4" t="s">
        <v>1745</v>
      </c>
      <c r="D50" s="4" t="s">
        <v>1746</v>
      </c>
      <c r="E50" s="4" t="s">
        <v>1321</v>
      </c>
      <c r="F50" s="4" t="s">
        <v>1747</v>
      </c>
      <c r="G50" s="4" t="s">
        <v>1748</v>
      </c>
      <c r="H50" s="4" t="s">
        <v>324</v>
      </c>
      <c r="I50" s="4" t="s">
        <v>937</v>
      </c>
      <c r="J50" s="4" t="s">
        <v>30</v>
      </c>
      <c r="K50" s="4" t="s">
        <v>30</v>
      </c>
      <c r="L50" s="2" t="s">
        <v>330</v>
      </c>
      <c r="M50" s="2" t="s">
        <v>31</v>
      </c>
      <c r="N50" s="4" t="s">
        <v>467</v>
      </c>
      <c r="O50" s="4" t="s">
        <v>140</v>
      </c>
      <c r="P50" s="4" t="s">
        <v>34</v>
      </c>
      <c r="Q50" s="157">
        <v>8969.41</v>
      </c>
      <c r="R50" s="174">
        <v>1</v>
      </c>
      <c r="S50" s="176">
        <v>30.2</v>
      </c>
      <c r="U50" s="157">
        <v>2.7090000000000001</v>
      </c>
      <c r="V50" s="173">
        <v>0</v>
      </c>
      <c r="W50" s="173">
        <v>1.2790024297946901E-5</v>
      </c>
      <c r="X50" s="173">
        <v>2.33648624547884E-6</v>
      </c>
    </row>
    <row r="51" spans="1:24">
      <c r="A51" s="4">
        <v>419</v>
      </c>
      <c r="B51" s="4">
        <v>419</v>
      </c>
      <c r="C51" s="4" t="s">
        <v>1745</v>
      </c>
      <c r="D51" s="4" t="s">
        <v>1746</v>
      </c>
      <c r="E51" s="4" t="s">
        <v>1321</v>
      </c>
      <c r="F51" s="4" t="s">
        <v>1749</v>
      </c>
      <c r="G51" s="4" t="s">
        <v>1750</v>
      </c>
      <c r="H51" s="4" t="s">
        <v>324</v>
      </c>
      <c r="I51" s="4" t="s">
        <v>937</v>
      </c>
      <c r="J51" s="4" t="s">
        <v>30</v>
      </c>
      <c r="K51" s="4" t="s">
        <v>30</v>
      </c>
      <c r="L51" s="2" t="s">
        <v>330</v>
      </c>
      <c r="M51" s="2" t="s">
        <v>31</v>
      </c>
      <c r="N51" s="4" t="s">
        <v>467</v>
      </c>
      <c r="O51" s="4" t="s">
        <v>140</v>
      </c>
      <c r="P51" s="4" t="s">
        <v>34</v>
      </c>
      <c r="Q51" s="157">
        <v>290088</v>
      </c>
      <c r="R51" s="174">
        <v>1</v>
      </c>
      <c r="S51" s="176">
        <v>339.9</v>
      </c>
      <c r="U51" s="157">
        <v>986.00900000000001</v>
      </c>
      <c r="V51" s="173">
        <v>3.0660000000000001E-3</v>
      </c>
      <c r="W51" s="173">
        <v>4.6556623795284604E-3</v>
      </c>
      <c r="X51" s="173">
        <v>8.50498080375633E-4</v>
      </c>
    </row>
    <row r="52" spans="1:24">
      <c r="A52" s="4">
        <v>419</v>
      </c>
      <c r="B52" s="4">
        <v>419</v>
      </c>
      <c r="C52" s="4" t="s">
        <v>1751</v>
      </c>
      <c r="D52" s="4" t="s">
        <v>1752</v>
      </c>
      <c r="E52" s="4" t="s">
        <v>1321</v>
      </c>
      <c r="F52" s="4" t="s">
        <v>1753</v>
      </c>
      <c r="G52" s="4" t="s">
        <v>1754</v>
      </c>
      <c r="H52" s="4" t="s">
        <v>324</v>
      </c>
      <c r="I52" s="4" t="s">
        <v>937</v>
      </c>
      <c r="J52" s="4" t="s">
        <v>30</v>
      </c>
      <c r="K52" s="4" t="s">
        <v>30</v>
      </c>
      <c r="L52" s="2" t="s">
        <v>330</v>
      </c>
      <c r="M52" s="2" t="s">
        <v>31</v>
      </c>
      <c r="N52" s="4" t="s">
        <v>462</v>
      </c>
      <c r="O52" s="4" t="s">
        <v>140</v>
      </c>
      <c r="P52" s="4" t="s">
        <v>34</v>
      </c>
      <c r="Q52" s="157">
        <v>65723</v>
      </c>
      <c r="R52" s="174">
        <v>1</v>
      </c>
      <c r="S52" s="176">
        <v>5930</v>
      </c>
      <c r="U52" s="157">
        <v>3897.3739999999998</v>
      </c>
      <c r="V52" s="173">
        <v>5.6400000000000005E-4</v>
      </c>
      <c r="W52" s="173">
        <v>1.8402321869400901E-2</v>
      </c>
      <c r="X52" s="173">
        <v>3.3617427872777001E-3</v>
      </c>
    </row>
    <row r="53" spans="1:24">
      <c r="A53" s="4">
        <v>419</v>
      </c>
      <c r="B53" s="4">
        <v>419</v>
      </c>
      <c r="C53" s="4" t="s">
        <v>1755</v>
      </c>
      <c r="D53" s="4" t="s">
        <v>1756</v>
      </c>
      <c r="E53" s="4" t="s">
        <v>1321</v>
      </c>
      <c r="F53" s="4" t="s">
        <v>1757</v>
      </c>
      <c r="G53" s="4" t="s">
        <v>1758</v>
      </c>
      <c r="H53" s="4" t="s">
        <v>324</v>
      </c>
      <c r="I53" s="4" t="s">
        <v>937</v>
      </c>
      <c r="J53" s="4" t="s">
        <v>30</v>
      </c>
      <c r="K53" s="4" t="s">
        <v>30</v>
      </c>
      <c r="L53" s="2" t="s">
        <v>330</v>
      </c>
      <c r="M53" s="2" t="s">
        <v>31</v>
      </c>
      <c r="N53" s="4" t="s">
        <v>466</v>
      </c>
      <c r="O53" s="4" t="s">
        <v>140</v>
      </c>
      <c r="P53" s="4" t="s">
        <v>34</v>
      </c>
      <c r="Q53" s="157">
        <v>106427</v>
      </c>
      <c r="R53" s="174">
        <v>1</v>
      </c>
      <c r="S53" s="176">
        <v>2140</v>
      </c>
      <c r="U53" s="157">
        <v>2277.538</v>
      </c>
      <c r="V53" s="173">
        <v>2.9799999999999998E-4</v>
      </c>
      <c r="W53" s="173">
        <v>1.0753903715865499E-2</v>
      </c>
      <c r="X53" s="173">
        <v>1.9645270041712798E-3</v>
      </c>
    </row>
    <row r="54" spans="1:24">
      <c r="A54" s="4">
        <v>419</v>
      </c>
      <c r="B54" s="4">
        <v>419</v>
      </c>
      <c r="C54" s="4" t="s">
        <v>1759</v>
      </c>
      <c r="D54" s="4" t="s">
        <v>1760</v>
      </c>
      <c r="E54" s="4" t="s">
        <v>1321</v>
      </c>
      <c r="F54" s="4" t="s">
        <v>1761</v>
      </c>
      <c r="G54" s="4" t="s">
        <v>1762</v>
      </c>
      <c r="H54" s="4" t="s">
        <v>324</v>
      </c>
      <c r="I54" s="4" t="s">
        <v>937</v>
      </c>
      <c r="J54" s="4" t="s">
        <v>30</v>
      </c>
      <c r="K54" s="4" t="s">
        <v>300</v>
      </c>
      <c r="L54" s="2" t="s">
        <v>330</v>
      </c>
      <c r="M54" s="2" t="s">
        <v>31</v>
      </c>
      <c r="N54" s="4" t="s">
        <v>458</v>
      </c>
      <c r="O54" s="4" t="s">
        <v>140</v>
      </c>
      <c r="P54" s="4" t="s">
        <v>34</v>
      </c>
      <c r="Q54" s="157">
        <v>21000</v>
      </c>
      <c r="R54" s="174">
        <v>1</v>
      </c>
      <c r="S54" s="176">
        <v>6800</v>
      </c>
      <c r="U54" s="157">
        <v>1428</v>
      </c>
      <c r="V54" s="173">
        <v>1.9599999999999999E-4</v>
      </c>
      <c r="W54" s="173">
        <v>6.7426211350941796E-3</v>
      </c>
      <c r="X54" s="173">
        <v>1.23174445752628E-3</v>
      </c>
    </row>
    <row r="55" spans="1:24">
      <c r="A55" s="4">
        <v>419</v>
      </c>
      <c r="B55" s="4">
        <v>419</v>
      </c>
      <c r="C55" s="4" t="s">
        <v>1763</v>
      </c>
      <c r="D55" s="4" t="s">
        <v>1764</v>
      </c>
      <c r="E55" s="4" t="s">
        <v>316</v>
      </c>
      <c r="F55" s="4" t="s">
        <v>1765</v>
      </c>
      <c r="G55" s="4" t="s">
        <v>1766</v>
      </c>
      <c r="H55" s="4" t="s">
        <v>324</v>
      </c>
      <c r="I55" s="4" t="s">
        <v>937</v>
      </c>
      <c r="J55" s="4" t="s">
        <v>209</v>
      </c>
      <c r="K55" s="4" t="s">
        <v>228</v>
      </c>
      <c r="L55" s="2" t="s">
        <v>330</v>
      </c>
      <c r="M55" s="2" t="s">
        <v>349</v>
      </c>
      <c r="N55" s="4" t="s">
        <v>553</v>
      </c>
      <c r="O55" s="4" t="s">
        <v>140</v>
      </c>
      <c r="P55" s="4" t="s">
        <v>1188</v>
      </c>
      <c r="Q55" s="157">
        <v>6381</v>
      </c>
      <c r="R55" s="174">
        <v>3.71</v>
      </c>
      <c r="S55" s="176">
        <v>16719</v>
      </c>
      <c r="U55" s="157">
        <v>3957.9740000000002</v>
      </c>
      <c r="V55" s="173">
        <v>9.9999999999999995E-7</v>
      </c>
      <c r="W55" s="173">
        <v>1.8688459431105101E-2</v>
      </c>
      <c r="X55" s="173">
        <v>3.41401450011129E-3</v>
      </c>
    </row>
    <row r="56" spans="1:24">
      <c r="A56" s="4">
        <v>419</v>
      </c>
      <c r="B56" s="4">
        <v>419</v>
      </c>
      <c r="C56" s="4" t="s">
        <v>1767</v>
      </c>
      <c r="D56" s="4" t="s">
        <v>1768</v>
      </c>
      <c r="E56" s="4" t="s">
        <v>316</v>
      </c>
      <c r="F56" s="4" t="s">
        <v>1769</v>
      </c>
      <c r="G56" s="4" t="s">
        <v>1770</v>
      </c>
      <c r="H56" s="4" t="s">
        <v>324</v>
      </c>
      <c r="I56" s="4" t="s">
        <v>937</v>
      </c>
      <c r="J56" s="4" t="s">
        <v>209</v>
      </c>
      <c r="K56" s="4" t="s">
        <v>228</v>
      </c>
      <c r="L56" s="2" t="s">
        <v>330</v>
      </c>
      <c r="M56" s="2" t="s">
        <v>349</v>
      </c>
      <c r="N56" s="4" t="s">
        <v>504</v>
      </c>
      <c r="O56" s="4" t="s">
        <v>140</v>
      </c>
      <c r="P56" s="4" t="s">
        <v>1188</v>
      </c>
      <c r="Q56" s="157">
        <v>5002</v>
      </c>
      <c r="R56" s="174">
        <v>3.71</v>
      </c>
      <c r="S56" s="176">
        <v>18633</v>
      </c>
      <c r="U56" s="157">
        <v>3457.8040000000001</v>
      </c>
      <c r="V56" s="173">
        <v>0</v>
      </c>
      <c r="W56" s="173">
        <v>1.63267946736394E-2</v>
      </c>
      <c r="X56" s="173">
        <v>2.9825847315895302E-3</v>
      </c>
    </row>
    <row r="57" spans="1:24">
      <c r="A57" s="4">
        <v>419</v>
      </c>
      <c r="B57" s="4">
        <v>419</v>
      </c>
      <c r="C57" s="4" t="s">
        <v>1771</v>
      </c>
      <c r="D57" s="4" t="s">
        <v>1772</v>
      </c>
      <c r="E57" s="4" t="s">
        <v>316</v>
      </c>
      <c r="F57" s="4" t="s">
        <v>1773</v>
      </c>
      <c r="G57" s="4" t="s">
        <v>1774</v>
      </c>
      <c r="H57" s="4" t="s">
        <v>324</v>
      </c>
      <c r="I57" s="4" t="s">
        <v>937</v>
      </c>
      <c r="J57" s="4" t="s">
        <v>209</v>
      </c>
      <c r="K57" s="4" t="s">
        <v>228</v>
      </c>
      <c r="L57" s="2" t="s">
        <v>330</v>
      </c>
      <c r="M57" s="2" t="s">
        <v>349</v>
      </c>
      <c r="N57" s="4" t="s">
        <v>550</v>
      </c>
      <c r="O57" s="4" t="s">
        <v>140</v>
      </c>
      <c r="P57" s="4" t="s">
        <v>1188</v>
      </c>
      <c r="Q57" s="157">
        <v>3615</v>
      </c>
      <c r="R57" s="174">
        <v>3.71</v>
      </c>
      <c r="S57" s="176">
        <v>23300</v>
      </c>
      <c r="U57" s="157">
        <v>3124.9140000000002</v>
      </c>
      <c r="V57" s="173">
        <v>0</v>
      </c>
      <c r="W57" s="173">
        <v>1.47549819439294E-2</v>
      </c>
      <c r="X57" s="173">
        <v>2.6954454159882802E-3</v>
      </c>
    </row>
    <row r="58" spans="1:24">
      <c r="A58" s="4">
        <v>419</v>
      </c>
      <c r="B58" s="4">
        <v>419</v>
      </c>
      <c r="C58" s="4" t="s">
        <v>1775</v>
      </c>
      <c r="D58" s="4" t="s">
        <v>1776</v>
      </c>
      <c r="E58" s="4" t="s">
        <v>33</v>
      </c>
      <c r="F58" s="4" t="s">
        <v>1775</v>
      </c>
      <c r="G58" s="4" t="s">
        <v>1777</v>
      </c>
      <c r="H58" s="4" t="s">
        <v>324</v>
      </c>
      <c r="I58" s="4" t="s">
        <v>937</v>
      </c>
      <c r="J58" s="4" t="s">
        <v>209</v>
      </c>
      <c r="K58" s="4" t="s">
        <v>228</v>
      </c>
      <c r="L58" s="2" t="s">
        <v>330</v>
      </c>
      <c r="M58" s="2" t="s">
        <v>349</v>
      </c>
      <c r="N58" s="4" t="s">
        <v>519</v>
      </c>
      <c r="O58" s="4" t="s">
        <v>140</v>
      </c>
      <c r="P58" s="4" t="s">
        <v>1188</v>
      </c>
      <c r="Q58" s="157">
        <v>11610</v>
      </c>
      <c r="R58" s="174">
        <v>3.71</v>
      </c>
      <c r="S58" s="176">
        <v>324</v>
      </c>
      <c r="U58" s="157">
        <v>139.55699999999999</v>
      </c>
      <c r="V58" s="173">
        <v>1.513E-3</v>
      </c>
      <c r="W58" s="173">
        <v>6.5894882766207399E-4</v>
      </c>
      <c r="X58" s="173">
        <v>1.2037700917847299E-4</v>
      </c>
    </row>
    <row r="59" spans="1:24">
      <c r="A59" s="4">
        <v>419</v>
      </c>
      <c r="B59" s="4">
        <v>419</v>
      </c>
      <c r="C59" s="4" t="s">
        <v>1778</v>
      </c>
      <c r="D59" s="4" t="s">
        <v>1779</v>
      </c>
      <c r="E59" s="4" t="s">
        <v>316</v>
      </c>
      <c r="F59" s="4" t="s">
        <v>1780</v>
      </c>
      <c r="G59" s="4" t="s">
        <v>1781</v>
      </c>
      <c r="H59" s="4" t="s">
        <v>324</v>
      </c>
      <c r="I59" s="4" t="s">
        <v>937</v>
      </c>
      <c r="J59" s="4" t="s">
        <v>209</v>
      </c>
      <c r="K59" s="4" t="s">
        <v>228</v>
      </c>
      <c r="L59" s="2" t="s">
        <v>330</v>
      </c>
      <c r="M59" s="2" t="s">
        <v>347</v>
      </c>
      <c r="N59" s="4" t="s">
        <v>1782</v>
      </c>
      <c r="O59" s="4" t="s">
        <v>140</v>
      </c>
      <c r="P59" s="4" t="s">
        <v>1188</v>
      </c>
      <c r="Q59" s="157">
        <v>1421</v>
      </c>
      <c r="R59" s="174">
        <v>3.71</v>
      </c>
      <c r="S59" s="176">
        <v>46026</v>
      </c>
      <c r="U59" s="157">
        <v>2426.4490000000001</v>
      </c>
      <c r="V59" s="173">
        <v>9.9999999999999995E-7</v>
      </c>
      <c r="W59" s="173">
        <v>1.1457022626393301E-2</v>
      </c>
      <c r="X59" s="173">
        <v>2.0929730199969001E-3</v>
      </c>
    </row>
    <row r="60" spans="1:24">
      <c r="A60" s="4">
        <v>419</v>
      </c>
      <c r="B60" s="4">
        <v>419</v>
      </c>
      <c r="C60" s="4" t="s">
        <v>1783</v>
      </c>
      <c r="D60" s="4" t="s">
        <v>1784</v>
      </c>
      <c r="E60" s="4" t="s">
        <v>316</v>
      </c>
      <c r="F60" s="4" t="s">
        <v>1785</v>
      </c>
      <c r="G60" s="4" t="s">
        <v>1786</v>
      </c>
      <c r="H60" s="4" t="s">
        <v>324</v>
      </c>
      <c r="I60" s="4" t="s">
        <v>937</v>
      </c>
      <c r="J60" s="4" t="s">
        <v>209</v>
      </c>
      <c r="K60" s="4" t="s">
        <v>228</v>
      </c>
      <c r="L60" s="2" t="s">
        <v>330</v>
      </c>
      <c r="M60" s="2" t="s">
        <v>349</v>
      </c>
      <c r="N60" s="4" t="s">
        <v>538</v>
      </c>
      <c r="O60" s="4" t="s">
        <v>140</v>
      </c>
      <c r="P60" s="4" t="s">
        <v>1188</v>
      </c>
      <c r="Q60" s="157">
        <v>2533</v>
      </c>
      <c r="R60" s="174">
        <v>3.71</v>
      </c>
      <c r="S60" s="176">
        <v>19384</v>
      </c>
      <c r="U60" s="157">
        <v>1821.598</v>
      </c>
      <c r="V60" s="173">
        <v>1.5E-5</v>
      </c>
      <c r="W60" s="173">
        <v>8.6010812579067602E-3</v>
      </c>
      <c r="X60" s="173">
        <v>1.5712486221446001E-3</v>
      </c>
    </row>
    <row r="61" spans="1:24">
      <c r="A61" s="4">
        <v>419</v>
      </c>
      <c r="B61" s="4">
        <v>419</v>
      </c>
      <c r="C61" s="4" t="s">
        <v>1787</v>
      </c>
      <c r="D61" s="4" t="s">
        <v>1788</v>
      </c>
      <c r="E61" s="4" t="s">
        <v>316</v>
      </c>
      <c r="F61" s="4" t="s">
        <v>1789</v>
      </c>
      <c r="G61" s="4" t="s">
        <v>1790</v>
      </c>
      <c r="H61" s="4" t="s">
        <v>324</v>
      </c>
      <c r="I61" s="4" t="s">
        <v>937</v>
      </c>
      <c r="J61" s="4" t="s">
        <v>209</v>
      </c>
      <c r="K61" s="4" t="s">
        <v>228</v>
      </c>
      <c r="L61" s="2" t="s">
        <v>330</v>
      </c>
      <c r="M61" s="2" t="s">
        <v>347</v>
      </c>
      <c r="N61" s="4" t="s">
        <v>1791</v>
      </c>
      <c r="O61" s="4" t="s">
        <v>140</v>
      </c>
      <c r="P61" s="4" t="s">
        <v>1188</v>
      </c>
      <c r="Q61" s="157">
        <v>1650</v>
      </c>
      <c r="R61" s="174">
        <v>3.71</v>
      </c>
      <c r="S61" s="176">
        <v>41733</v>
      </c>
      <c r="T61" s="156">
        <v>1.819</v>
      </c>
      <c r="U61" s="157">
        <v>2561.4349999999999</v>
      </c>
      <c r="V61" s="173">
        <v>3.0000000000000001E-6</v>
      </c>
      <c r="W61" s="173">
        <v>1.20943855738701E-2</v>
      </c>
      <c r="X61" s="173">
        <v>2.2094067128083099E-3</v>
      </c>
    </row>
    <row r="62" spans="1:24">
      <c r="A62" s="4">
        <v>419</v>
      </c>
      <c r="B62" s="4">
        <v>419</v>
      </c>
      <c r="C62" s="4" t="s">
        <v>1792</v>
      </c>
      <c r="D62" s="4" t="s">
        <v>1793</v>
      </c>
      <c r="E62" s="4" t="s">
        <v>316</v>
      </c>
      <c r="F62" s="4" t="s">
        <v>1794</v>
      </c>
      <c r="G62" s="4" t="s">
        <v>1795</v>
      </c>
      <c r="H62" s="4" t="s">
        <v>324</v>
      </c>
      <c r="I62" s="4" t="s">
        <v>937</v>
      </c>
      <c r="J62" s="4" t="s">
        <v>209</v>
      </c>
      <c r="K62" s="4" t="s">
        <v>228</v>
      </c>
      <c r="L62" s="2" t="s">
        <v>330</v>
      </c>
      <c r="M62" s="2" t="s">
        <v>349</v>
      </c>
      <c r="N62" s="4" t="s">
        <v>550</v>
      </c>
      <c r="O62" s="4" t="s">
        <v>140</v>
      </c>
      <c r="P62" s="4" t="s">
        <v>1188</v>
      </c>
      <c r="Q62" s="157">
        <v>19000</v>
      </c>
      <c r="R62" s="174">
        <v>3.71</v>
      </c>
      <c r="S62" s="176">
        <v>3343</v>
      </c>
      <c r="U62" s="157">
        <v>2356.4810000000002</v>
      </c>
      <c r="V62" s="173">
        <v>4.6999999999999997E-5</v>
      </c>
      <c r="W62" s="173">
        <v>1.1126650260687401E-2</v>
      </c>
      <c r="X62" s="173">
        <v>2.0326204772357398E-3</v>
      </c>
    </row>
    <row r="63" spans="1:24">
      <c r="A63" s="4">
        <v>419</v>
      </c>
      <c r="B63" s="4">
        <v>419</v>
      </c>
      <c r="C63" s="4" t="s">
        <v>1796</v>
      </c>
      <c r="D63" s="4" t="s">
        <v>1797</v>
      </c>
      <c r="E63" s="4" t="s">
        <v>316</v>
      </c>
      <c r="F63" s="4" t="s">
        <v>1798</v>
      </c>
      <c r="G63" s="4" t="s">
        <v>1799</v>
      </c>
      <c r="H63" s="4" t="s">
        <v>324</v>
      </c>
      <c r="I63" s="4" t="s">
        <v>937</v>
      </c>
      <c r="J63" s="4" t="s">
        <v>209</v>
      </c>
      <c r="K63" s="4" t="s">
        <v>228</v>
      </c>
      <c r="L63" s="2" t="s">
        <v>330</v>
      </c>
      <c r="M63" s="2" t="s">
        <v>349</v>
      </c>
      <c r="N63" s="4" t="s">
        <v>1791</v>
      </c>
      <c r="O63" s="4" t="s">
        <v>140</v>
      </c>
      <c r="P63" s="4" t="s">
        <v>1188</v>
      </c>
      <c r="Q63" s="157">
        <v>1512</v>
      </c>
      <c r="R63" s="174">
        <v>3.71</v>
      </c>
      <c r="S63" s="176">
        <v>20671</v>
      </c>
      <c r="U63" s="157">
        <v>1159.5440000000001</v>
      </c>
      <c r="V63" s="173">
        <v>1.9999999999999999E-6</v>
      </c>
      <c r="W63" s="173">
        <v>5.4750455651001503E-3</v>
      </c>
      <c r="X63" s="173">
        <v>1.0001832958425199E-3</v>
      </c>
    </row>
    <row r="64" spans="1:24">
      <c r="A64" s="4">
        <v>419</v>
      </c>
      <c r="B64" s="4">
        <v>419</v>
      </c>
      <c r="C64" s="4" t="s">
        <v>1800</v>
      </c>
      <c r="D64" s="4" t="s">
        <v>1801</v>
      </c>
      <c r="E64" s="4" t="s">
        <v>316</v>
      </c>
      <c r="F64" s="4" t="s">
        <v>1802</v>
      </c>
      <c r="G64" s="4" t="s">
        <v>1803</v>
      </c>
      <c r="H64" s="4" t="s">
        <v>324</v>
      </c>
      <c r="I64" s="4" t="s">
        <v>937</v>
      </c>
      <c r="J64" s="4" t="s">
        <v>209</v>
      </c>
      <c r="K64" s="4" t="s">
        <v>285</v>
      </c>
      <c r="L64" s="2" t="s">
        <v>330</v>
      </c>
      <c r="M64" s="2" t="s">
        <v>367</v>
      </c>
      <c r="N64" s="4" t="s">
        <v>519</v>
      </c>
      <c r="O64" s="4" t="s">
        <v>140</v>
      </c>
      <c r="P64" s="4" t="s">
        <v>1190</v>
      </c>
      <c r="Q64" s="157">
        <v>1045</v>
      </c>
      <c r="R64" s="174">
        <v>4.1524000000000001</v>
      </c>
      <c r="S64" s="176">
        <v>68850</v>
      </c>
      <c r="U64" s="157">
        <v>2987.5790000000002</v>
      </c>
      <c r="V64" s="173">
        <v>1.9999999999999999E-6</v>
      </c>
      <c r="W64" s="173">
        <v>1.4106522552473501E-2</v>
      </c>
      <c r="X64" s="173">
        <v>2.5769846207940499E-3</v>
      </c>
    </row>
    <row r="65" spans="1:24">
      <c r="A65" s="4">
        <v>419</v>
      </c>
      <c r="B65" s="4">
        <v>419</v>
      </c>
      <c r="C65" s="4" t="s">
        <v>1804</v>
      </c>
      <c r="D65" s="4" t="s">
        <v>1805</v>
      </c>
      <c r="E65" s="4" t="s">
        <v>316</v>
      </c>
      <c r="F65" s="4" t="s">
        <v>1806</v>
      </c>
      <c r="G65" s="4" t="s">
        <v>1807</v>
      </c>
      <c r="H65" s="4" t="s">
        <v>324</v>
      </c>
      <c r="I65" s="4" t="s">
        <v>937</v>
      </c>
      <c r="J65" s="4" t="s">
        <v>209</v>
      </c>
      <c r="K65" s="4" t="s">
        <v>228</v>
      </c>
      <c r="L65" s="2" t="s">
        <v>330</v>
      </c>
      <c r="M65" s="2" t="s">
        <v>347</v>
      </c>
      <c r="N65" s="4" t="s">
        <v>1782</v>
      </c>
      <c r="O65" s="4" t="s">
        <v>140</v>
      </c>
      <c r="P65" s="4" t="s">
        <v>1188</v>
      </c>
      <c r="Q65" s="157">
        <v>2396</v>
      </c>
      <c r="R65" s="174">
        <v>3.71</v>
      </c>
      <c r="S65" s="176">
        <v>49380</v>
      </c>
      <c r="U65" s="157">
        <v>4389.4669999999996</v>
      </c>
      <c r="V65" s="173">
        <v>1.9999999999999999E-6</v>
      </c>
      <c r="W65" s="173">
        <v>2.0725850398083799E-2</v>
      </c>
      <c r="X65" s="173">
        <v>3.7862058157894498E-3</v>
      </c>
    </row>
    <row r="66" spans="1:24">
      <c r="A66" s="4">
        <v>419</v>
      </c>
      <c r="B66" s="4">
        <v>419</v>
      </c>
      <c r="C66" s="4" t="s">
        <v>1808</v>
      </c>
      <c r="D66" s="4" t="s">
        <v>1809</v>
      </c>
      <c r="E66" s="4" t="s">
        <v>316</v>
      </c>
      <c r="F66" s="4" t="s">
        <v>1810</v>
      </c>
      <c r="G66" s="4" t="s">
        <v>1811</v>
      </c>
      <c r="H66" s="4" t="s">
        <v>324</v>
      </c>
      <c r="I66" s="4" t="s">
        <v>937</v>
      </c>
      <c r="J66" s="4" t="s">
        <v>209</v>
      </c>
      <c r="K66" s="4" t="s">
        <v>300</v>
      </c>
      <c r="L66" s="2" t="s">
        <v>330</v>
      </c>
      <c r="M66" s="2" t="s">
        <v>347</v>
      </c>
      <c r="N66" s="4" t="s">
        <v>538</v>
      </c>
      <c r="O66" s="4" t="s">
        <v>140</v>
      </c>
      <c r="P66" s="4" t="s">
        <v>1188</v>
      </c>
      <c r="Q66" s="157">
        <v>1255</v>
      </c>
      <c r="R66" s="174">
        <v>3.71</v>
      </c>
      <c r="S66" s="176">
        <v>11356</v>
      </c>
      <c r="T66" s="156">
        <v>0.72499999999999998</v>
      </c>
      <c r="U66" s="157">
        <v>531.42999999999995</v>
      </c>
      <c r="V66" s="173">
        <v>0</v>
      </c>
      <c r="W66" s="173">
        <v>2.5092650275761199E-3</v>
      </c>
      <c r="X66" s="173">
        <v>4.5839343902839998E-4</v>
      </c>
    </row>
    <row r="67" spans="1:24">
      <c r="A67" s="4">
        <v>419</v>
      </c>
      <c r="B67" s="4">
        <v>419</v>
      </c>
      <c r="C67" s="4" t="s">
        <v>1812</v>
      </c>
      <c r="D67" s="4" t="s">
        <v>1813</v>
      </c>
      <c r="E67" s="4" t="s">
        <v>316</v>
      </c>
      <c r="F67" s="4" t="s">
        <v>1814</v>
      </c>
      <c r="G67" s="4" t="s">
        <v>1815</v>
      </c>
      <c r="H67" s="4" t="s">
        <v>324</v>
      </c>
      <c r="I67" s="4" t="s">
        <v>937</v>
      </c>
      <c r="J67" s="4" t="s">
        <v>209</v>
      </c>
      <c r="K67" s="4" t="s">
        <v>228</v>
      </c>
      <c r="L67" s="2" t="s">
        <v>330</v>
      </c>
      <c r="M67" s="2" t="s">
        <v>349</v>
      </c>
      <c r="N67" s="4" t="s">
        <v>548</v>
      </c>
      <c r="O67" s="4" t="s">
        <v>140</v>
      </c>
      <c r="P67" s="4" t="s">
        <v>1188</v>
      </c>
      <c r="Q67" s="157">
        <v>2824</v>
      </c>
      <c r="R67" s="174">
        <v>3.71</v>
      </c>
      <c r="S67" s="176">
        <v>43030</v>
      </c>
      <c r="U67" s="157">
        <v>4508.2700000000004</v>
      </c>
      <c r="V67" s="173">
        <v>0</v>
      </c>
      <c r="W67" s="173">
        <v>2.1286805804207901E-2</v>
      </c>
      <c r="X67" s="173">
        <v>3.8886813514259402E-3</v>
      </c>
    </row>
    <row r="68" spans="1:24">
      <c r="A68" s="4">
        <v>419</v>
      </c>
      <c r="B68" s="4">
        <v>419</v>
      </c>
      <c r="C68" s="4" t="s">
        <v>1816</v>
      </c>
      <c r="D68" s="4" t="s">
        <v>1817</v>
      </c>
      <c r="E68" s="4" t="s">
        <v>316</v>
      </c>
      <c r="F68" s="4" t="s">
        <v>1818</v>
      </c>
      <c r="G68" s="4" t="s">
        <v>1819</v>
      </c>
      <c r="H68" s="4" t="s">
        <v>324</v>
      </c>
      <c r="I68" s="4" t="s">
        <v>937</v>
      </c>
      <c r="J68" s="4" t="s">
        <v>209</v>
      </c>
      <c r="K68" s="4" t="s">
        <v>228</v>
      </c>
      <c r="L68" s="2" t="s">
        <v>330</v>
      </c>
      <c r="M68" s="2" t="s">
        <v>349</v>
      </c>
      <c r="N68" s="4" t="s">
        <v>538</v>
      </c>
      <c r="O68" s="4" t="s">
        <v>140</v>
      </c>
      <c r="P68" s="4" t="s">
        <v>1188</v>
      </c>
      <c r="Q68" s="157">
        <v>7815</v>
      </c>
      <c r="R68" s="174">
        <v>3.71</v>
      </c>
      <c r="S68" s="176">
        <v>6683</v>
      </c>
      <c r="U68" s="157">
        <v>1937.646</v>
      </c>
      <c r="V68" s="173">
        <v>2.0000000000000002E-5</v>
      </c>
      <c r="W68" s="173">
        <v>9.1490268724016607E-3</v>
      </c>
      <c r="X68" s="173">
        <v>1.6713475243603901E-3</v>
      </c>
    </row>
    <row r="69" spans="1:24">
      <c r="A69" s="4">
        <v>419</v>
      </c>
      <c r="B69" s="4">
        <v>419</v>
      </c>
      <c r="C69" s="4" t="s">
        <v>1820</v>
      </c>
      <c r="D69" s="4" t="s">
        <v>1821</v>
      </c>
      <c r="E69" s="4" t="s">
        <v>316</v>
      </c>
      <c r="F69" s="4" t="s">
        <v>1820</v>
      </c>
      <c r="G69" s="4" t="s">
        <v>1822</v>
      </c>
      <c r="H69" s="4" t="s">
        <v>324</v>
      </c>
      <c r="I69" s="4" t="s">
        <v>937</v>
      </c>
      <c r="J69" s="4" t="s">
        <v>209</v>
      </c>
      <c r="K69" s="4" t="s">
        <v>228</v>
      </c>
      <c r="L69" s="2" t="s">
        <v>330</v>
      </c>
      <c r="M69" s="2" t="s">
        <v>349</v>
      </c>
      <c r="N69" s="4" t="s">
        <v>553</v>
      </c>
      <c r="O69" s="4" t="s">
        <v>140</v>
      </c>
      <c r="P69" s="4" t="s">
        <v>1188</v>
      </c>
      <c r="Q69" s="157">
        <v>1500</v>
      </c>
      <c r="R69" s="174">
        <v>3.71</v>
      </c>
      <c r="S69" s="176">
        <v>70927</v>
      </c>
      <c r="U69" s="157">
        <v>3947.0880000000002</v>
      </c>
      <c r="V69" s="173">
        <v>3.0000000000000001E-6</v>
      </c>
      <c r="W69" s="173">
        <v>1.8637055978079201E-2</v>
      </c>
      <c r="X69" s="173">
        <v>3.4046240987979401E-3</v>
      </c>
    </row>
    <row r="70" spans="1:24">
      <c r="A70" s="4">
        <v>419</v>
      </c>
      <c r="B70" s="4">
        <v>419</v>
      </c>
      <c r="C70" s="4" t="s">
        <v>1823</v>
      </c>
      <c r="D70" s="4" t="s">
        <v>1824</v>
      </c>
      <c r="E70" s="4" t="s">
        <v>316</v>
      </c>
      <c r="F70" s="4" t="s">
        <v>1825</v>
      </c>
      <c r="G70" s="4" t="s">
        <v>1826</v>
      </c>
      <c r="H70" s="4" t="s">
        <v>324</v>
      </c>
      <c r="I70" s="4" t="s">
        <v>937</v>
      </c>
      <c r="J70" s="4" t="s">
        <v>209</v>
      </c>
      <c r="K70" s="4" t="s">
        <v>228</v>
      </c>
      <c r="L70" s="2" t="s">
        <v>330</v>
      </c>
      <c r="M70" s="2" t="s">
        <v>347</v>
      </c>
      <c r="N70" s="4" t="s">
        <v>519</v>
      </c>
      <c r="O70" s="4" t="s">
        <v>140</v>
      </c>
      <c r="P70" s="4" t="s">
        <v>1188</v>
      </c>
      <c r="Q70" s="157">
        <v>5795</v>
      </c>
      <c r="R70" s="174">
        <v>3.71</v>
      </c>
      <c r="S70" s="176">
        <v>8840</v>
      </c>
      <c r="T70" s="156">
        <v>2.1440000000000001</v>
      </c>
      <c r="U70" s="157">
        <v>1908.5060000000001</v>
      </c>
      <c r="V70" s="173">
        <v>5.0000000000000004E-6</v>
      </c>
      <c r="W70" s="173">
        <v>9.0114384328618298E-3</v>
      </c>
      <c r="X70" s="173">
        <v>1.6462128186684401E-3</v>
      </c>
    </row>
    <row r="71" spans="1:24">
      <c r="A71" s="4">
        <v>419</v>
      </c>
      <c r="B71" s="4">
        <v>419</v>
      </c>
      <c r="C71" s="4" t="s">
        <v>1827</v>
      </c>
      <c r="D71" s="4" t="s">
        <v>1828</v>
      </c>
      <c r="E71" s="4" t="s">
        <v>316</v>
      </c>
      <c r="F71" s="4" t="s">
        <v>1829</v>
      </c>
      <c r="G71" s="4" t="s">
        <v>1830</v>
      </c>
      <c r="H71" s="4" t="s">
        <v>324</v>
      </c>
      <c r="I71" s="4" t="s">
        <v>937</v>
      </c>
      <c r="J71" s="4" t="s">
        <v>209</v>
      </c>
      <c r="K71" s="4" t="s">
        <v>245</v>
      </c>
      <c r="L71" s="2" t="s">
        <v>330</v>
      </c>
      <c r="M71" s="2" t="s">
        <v>347</v>
      </c>
      <c r="N71" s="4" t="s">
        <v>538</v>
      </c>
      <c r="O71" s="4" t="s">
        <v>140</v>
      </c>
      <c r="P71" s="4" t="s">
        <v>1188</v>
      </c>
      <c r="Q71" s="157">
        <v>7386</v>
      </c>
      <c r="R71" s="174">
        <v>3.71</v>
      </c>
      <c r="S71" s="176">
        <v>11907</v>
      </c>
      <c r="U71" s="157">
        <v>3262.7629999999999</v>
      </c>
      <c r="V71" s="173">
        <v>1.9999999999999999E-6</v>
      </c>
      <c r="W71" s="173">
        <v>1.5405866021608001E-2</v>
      </c>
      <c r="X71" s="173">
        <v>2.8143491537349998E-3</v>
      </c>
    </row>
    <row r="72" spans="1:24">
      <c r="A72" s="4">
        <v>419</v>
      </c>
      <c r="B72" s="4">
        <v>419</v>
      </c>
      <c r="C72" s="4" t="s">
        <v>1831</v>
      </c>
      <c r="D72" s="4" t="s">
        <v>1832</v>
      </c>
      <c r="E72" s="4" t="s">
        <v>316</v>
      </c>
      <c r="F72" s="4" t="s">
        <v>1833</v>
      </c>
      <c r="G72" s="4" t="s">
        <v>1834</v>
      </c>
      <c r="H72" s="4" t="s">
        <v>324</v>
      </c>
      <c r="I72" s="4" t="s">
        <v>937</v>
      </c>
      <c r="J72" s="4" t="s">
        <v>209</v>
      </c>
      <c r="K72" s="4" t="s">
        <v>228</v>
      </c>
      <c r="L72" s="2" t="s">
        <v>330</v>
      </c>
      <c r="M72" s="2" t="s">
        <v>349</v>
      </c>
      <c r="N72" s="4" t="s">
        <v>552</v>
      </c>
      <c r="O72" s="4" t="s">
        <v>140</v>
      </c>
      <c r="P72" s="4" t="s">
        <v>1188</v>
      </c>
      <c r="Q72" s="157">
        <v>11967</v>
      </c>
      <c r="R72" s="174">
        <v>3.71</v>
      </c>
      <c r="S72" s="176">
        <v>12144</v>
      </c>
      <c r="T72" s="156">
        <v>0.12</v>
      </c>
      <c r="U72" s="157">
        <v>5392.085</v>
      </c>
      <c r="V72" s="173">
        <v>0</v>
      </c>
      <c r="W72" s="173">
        <v>2.5459935190280499E-2</v>
      </c>
      <c r="X72" s="173">
        <v>4.6510301307576196E-3</v>
      </c>
    </row>
    <row r="73" spans="1:24">
      <c r="A73" s="4">
        <v>419</v>
      </c>
      <c r="B73" s="4">
        <v>419</v>
      </c>
      <c r="C73" s="4" t="s">
        <v>1835</v>
      </c>
      <c r="D73" s="4" t="s">
        <v>1836</v>
      </c>
      <c r="E73" s="4" t="s">
        <v>316</v>
      </c>
      <c r="F73" s="4" t="s">
        <v>1837</v>
      </c>
      <c r="G73" s="4" t="s">
        <v>1838</v>
      </c>
      <c r="H73" s="4" t="s">
        <v>324</v>
      </c>
      <c r="I73" s="4" t="s">
        <v>937</v>
      </c>
      <c r="J73" s="4" t="s">
        <v>209</v>
      </c>
      <c r="K73" s="4" t="s">
        <v>228</v>
      </c>
      <c r="L73" s="2" t="s">
        <v>330</v>
      </c>
      <c r="M73" s="2" t="s">
        <v>347</v>
      </c>
      <c r="N73" s="4" t="s">
        <v>572</v>
      </c>
      <c r="O73" s="4" t="s">
        <v>140</v>
      </c>
      <c r="P73" s="4" t="s">
        <v>1188</v>
      </c>
      <c r="Q73" s="157">
        <v>5800</v>
      </c>
      <c r="R73" s="174">
        <v>3.71</v>
      </c>
      <c r="S73" s="176">
        <v>12628</v>
      </c>
      <c r="U73" s="157">
        <v>2717.2930000000001</v>
      </c>
      <c r="V73" s="173">
        <v>6.0000000000000002E-6</v>
      </c>
      <c r="W73" s="173">
        <v>1.28303063597677E-2</v>
      </c>
      <c r="X73" s="173">
        <v>2.3438449870411202E-3</v>
      </c>
    </row>
    <row r="74" spans="1:24">
      <c r="A74" s="4">
        <v>419</v>
      </c>
      <c r="B74" s="4">
        <v>419</v>
      </c>
      <c r="C74" s="4" t="s">
        <v>1839</v>
      </c>
      <c r="D74" s="4" t="s">
        <v>1840</v>
      </c>
      <c r="E74" s="4" t="s">
        <v>316</v>
      </c>
      <c r="F74" s="4" t="s">
        <v>1841</v>
      </c>
      <c r="G74" s="4" t="s">
        <v>1842</v>
      </c>
      <c r="H74" s="4" t="s">
        <v>324</v>
      </c>
      <c r="I74" s="4" t="s">
        <v>937</v>
      </c>
      <c r="J74" s="4" t="s">
        <v>209</v>
      </c>
      <c r="K74" s="4" t="s">
        <v>242</v>
      </c>
      <c r="L74" s="2" t="s">
        <v>330</v>
      </c>
      <c r="M74" s="2" t="s">
        <v>1843</v>
      </c>
      <c r="N74" s="4" t="s">
        <v>1844</v>
      </c>
      <c r="O74" s="4" t="s">
        <v>140</v>
      </c>
      <c r="P74" s="4" t="s">
        <v>1190</v>
      </c>
      <c r="Q74" s="157">
        <v>859</v>
      </c>
      <c r="R74" s="174">
        <v>4.1524000000000001</v>
      </c>
      <c r="S74" s="176">
        <v>48640</v>
      </c>
      <c r="U74" s="157">
        <v>1734.9459999999999</v>
      </c>
      <c r="V74" s="173">
        <v>2.0000000000000002E-5</v>
      </c>
      <c r="W74" s="173">
        <v>8.1919343378335802E-3</v>
      </c>
      <c r="X74" s="173">
        <v>1.49650551541848E-3</v>
      </c>
    </row>
    <row r="75" spans="1:24">
      <c r="A75" s="4">
        <v>419</v>
      </c>
      <c r="B75" s="4">
        <v>419</v>
      </c>
      <c r="C75" s="4" t="s">
        <v>1845</v>
      </c>
      <c r="D75" s="4" t="s">
        <v>1846</v>
      </c>
      <c r="E75" s="4" t="s">
        <v>316</v>
      </c>
      <c r="F75" s="4" t="s">
        <v>1847</v>
      </c>
      <c r="G75" s="4" t="s">
        <v>1848</v>
      </c>
      <c r="H75" s="4" t="s">
        <v>324</v>
      </c>
      <c r="I75" s="4" t="s">
        <v>937</v>
      </c>
      <c r="J75" s="4" t="s">
        <v>209</v>
      </c>
      <c r="K75" s="4" t="s">
        <v>293</v>
      </c>
      <c r="L75" s="2" t="s">
        <v>330</v>
      </c>
      <c r="M75" s="2" t="s">
        <v>383</v>
      </c>
      <c r="N75" s="4" t="s">
        <v>550</v>
      </c>
      <c r="O75" s="4" t="s">
        <v>140</v>
      </c>
      <c r="P75" s="4" t="s">
        <v>1188</v>
      </c>
      <c r="Q75" s="157">
        <v>400</v>
      </c>
      <c r="R75" s="174">
        <v>3.71</v>
      </c>
      <c r="S75" s="176">
        <v>116900</v>
      </c>
      <c r="T75" s="156">
        <v>4.0000000000000001E-3</v>
      </c>
      <c r="U75" s="157">
        <v>1734.8109999999999</v>
      </c>
      <c r="V75" s="173">
        <v>1.9999999999999999E-6</v>
      </c>
      <c r="W75" s="173">
        <v>8.1912970834555308E-3</v>
      </c>
      <c r="X75" s="173">
        <v>1.49638910155917E-3</v>
      </c>
    </row>
    <row r="76" spans="1:24">
      <c r="A76" s="4">
        <v>419</v>
      </c>
      <c r="B76" s="4">
        <v>419</v>
      </c>
      <c r="C76" s="4" t="s">
        <v>1849</v>
      </c>
      <c r="D76" s="4" t="s">
        <v>1850</v>
      </c>
      <c r="E76" s="4" t="s">
        <v>316</v>
      </c>
      <c r="F76" s="4" t="s">
        <v>1851</v>
      </c>
      <c r="G76" s="4" t="s">
        <v>1852</v>
      </c>
      <c r="H76" s="4" t="s">
        <v>324</v>
      </c>
      <c r="I76" s="4" t="s">
        <v>937</v>
      </c>
      <c r="J76" s="4" t="s">
        <v>209</v>
      </c>
      <c r="K76" s="4" t="s">
        <v>228</v>
      </c>
      <c r="L76" s="2" t="s">
        <v>330</v>
      </c>
      <c r="M76" s="2" t="s">
        <v>347</v>
      </c>
      <c r="N76" s="4" t="s">
        <v>490</v>
      </c>
      <c r="O76" s="4" t="s">
        <v>140</v>
      </c>
      <c r="P76" s="4" t="s">
        <v>1188</v>
      </c>
      <c r="Q76" s="157">
        <v>11898</v>
      </c>
      <c r="R76" s="174">
        <v>3.71</v>
      </c>
      <c r="S76" s="176">
        <v>4195</v>
      </c>
      <c r="T76" s="156">
        <v>3.2719999999999998</v>
      </c>
      <c r="U76" s="157">
        <v>1863.8779999999999</v>
      </c>
      <c r="V76" s="173">
        <v>7.9999999999999996E-6</v>
      </c>
      <c r="W76" s="173">
        <v>8.8007175413669005E-3</v>
      </c>
      <c r="X76" s="173">
        <v>1.6077182503123899E-3</v>
      </c>
    </row>
    <row r="77" spans="1:24">
      <c r="A77" s="4">
        <v>419</v>
      </c>
      <c r="B77" s="4">
        <v>419</v>
      </c>
      <c r="C77" s="4" t="s">
        <v>1853</v>
      </c>
      <c r="D77" s="4" t="s">
        <v>1854</v>
      </c>
      <c r="E77" s="4" t="s">
        <v>316</v>
      </c>
      <c r="F77" s="4" t="s">
        <v>1855</v>
      </c>
      <c r="G77" s="4" t="s">
        <v>1856</v>
      </c>
      <c r="H77" s="4" t="s">
        <v>324</v>
      </c>
      <c r="I77" s="4" t="s">
        <v>937</v>
      </c>
      <c r="J77" s="4" t="s">
        <v>209</v>
      </c>
      <c r="K77" s="4" t="s">
        <v>228</v>
      </c>
      <c r="L77" s="2" t="s">
        <v>330</v>
      </c>
      <c r="M77" s="2" t="s">
        <v>349</v>
      </c>
      <c r="N77" s="4" t="s">
        <v>550</v>
      </c>
      <c r="O77" s="4" t="s">
        <v>140</v>
      </c>
      <c r="P77" s="4" t="s">
        <v>1188</v>
      </c>
      <c r="Q77" s="157">
        <v>21978</v>
      </c>
      <c r="R77" s="174">
        <v>3.71</v>
      </c>
      <c r="S77" s="176">
        <v>250</v>
      </c>
      <c r="U77" s="157">
        <v>203.846</v>
      </c>
      <c r="V77" s="173">
        <v>2.104E-3</v>
      </c>
      <c r="W77" s="173">
        <v>9.6250420922503604E-4</v>
      </c>
      <c r="X77" s="173">
        <v>1.75830615617422E-4</v>
      </c>
    </row>
    <row r="78" spans="1:24">
      <c r="A78" s="4">
        <v>419</v>
      </c>
      <c r="B78" s="4">
        <v>419</v>
      </c>
      <c r="C78" s="4" t="s">
        <v>1857</v>
      </c>
      <c r="D78" s="4" t="s">
        <v>1858</v>
      </c>
      <c r="E78" s="4" t="s">
        <v>316</v>
      </c>
      <c r="F78" s="4" t="s">
        <v>1859</v>
      </c>
      <c r="G78" s="4" t="s">
        <v>1860</v>
      </c>
      <c r="H78" s="4" t="s">
        <v>324</v>
      </c>
      <c r="I78" s="4" t="s">
        <v>937</v>
      </c>
      <c r="J78" s="4" t="s">
        <v>209</v>
      </c>
      <c r="K78" s="4" t="s">
        <v>1861</v>
      </c>
      <c r="L78" s="2" t="s">
        <v>330</v>
      </c>
      <c r="M78" s="2" t="s">
        <v>347</v>
      </c>
      <c r="N78" s="4" t="s">
        <v>552</v>
      </c>
      <c r="O78" s="4" t="s">
        <v>140</v>
      </c>
      <c r="P78" s="4" t="s">
        <v>1188</v>
      </c>
      <c r="Q78" s="157">
        <v>13629</v>
      </c>
      <c r="R78" s="174">
        <v>3.71</v>
      </c>
      <c r="S78" s="176">
        <v>17367</v>
      </c>
      <c r="T78" s="156">
        <v>6.6310000000000002</v>
      </c>
      <c r="U78" s="157">
        <v>8805.9789999999994</v>
      </c>
      <c r="V78" s="173">
        <v>3.0000000000000001E-6</v>
      </c>
      <c r="W78" s="173">
        <v>4.1579395648897198E-2</v>
      </c>
      <c r="X78" s="173">
        <v>7.5957389732688703E-3</v>
      </c>
    </row>
    <row r="79" spans="1:24">
      <c r="A79" s="4">
        <v>419</v>
      </c>
      <c r="B79" s="4">
        <v>419</v>
      </c>
      <c r="C79" s="4" t="s">
        <v>1862</v>
      </c>
      <c r="D79" s="4" t="s">
        <v>1863</v>
      </c>
      <c r="E79" s="4" t="s">
        <v>316</v>
      </c>
      <c r="F79" s="4" t="s">
        <v>1862</v>
      </c>
      <c r="G79" s="4" t="s">
        <v>1864</v>
      </c>
      <c r="H79" s="4" t="s">
        <v>324</v>
      </c>
      <c r="I79" s="4" t="s">
        <v>937</v>
      </c>
      <c r="J79" s="4" t="s">
        <v>209</v>
      </c>
      <c r="K79" s="4" t="s">
        <v>228</v>
      </c>
      <c r="L79" s="2" t="s">
        <v>330</v>
      </c>
      <c r="M79" s="2" t="s">
        <v>349</v>
      </c>
      <c r="N79" s="4" t="s">
        <v>516</v>
      </c>
      <c r="O79" s="4" t="s">
        <v>140</v>
      </c>
      <c r="P79" s="4" t="s">
        <v>1188</v>
      </c>
      <c r="Q79" s="157">
        <v>3791</v>
      </c>
      <c r="R79" s="174">
        <v>3.71</v>
      </c>
      <c r="S79" s="176">
        <v>26163</v>
      </c>
      <c r="U79" s="157">
        <v>3679.7240000000002</v>
      </c>
      <c r="V79" s="173">
        <v>9.9999999999999995E-7</v>
      </c>
      <c r="W79" s="173">
        <v>1.7374638820637701E-2</v>
      </c>
      <c r="X79" s="173">
        <v>3.1740052777772501E-3</v>
      </c>
    </row>
    <row r="80" spans="1:24">
      <c r="A80" s="4">
        <v>419</v>
      </c>
      <c r="B80" s="4">
        <v>419</v>
      </c>
      <c r="C80" s="4" t="s">
        <v>1865</v>
      </c>
      <c r="D80" s="4" t="s">
        <v>1866</v>
      </c>
      <c r="E80" s="4" t="s">
        <v>316</v>
      </c>
      <c r="F80" s="4" t="s">
        <v>1867</v>
      </c>
      <c r="G80" s="4" t="s">
        <v>1868</v>
      </c>
      <c r="H80" s="4" t="s">
        <v>324</v>
      </c>
      <c r="I80" s="4" t="s">
        <v>937</v>
      </c>
      <c r="J80" s="4" t="s">
        <v>209</v>
      </c>
      <c r="K80" s="4" t="s">
        <v>276</v>
      </c>
      <c r="L80" s="2" t="s">
        <v>330</v>
      </c>
      <c r="M80" s="2" t="s">
        <v>397</v>
      </c>
      <c r="N80" s="4" t="s">
        <v>572</v>
      </c>
      <c r="O80" s="4" t="s">
        <v>140</v>
      </c>
      <c r="P80" s="4" t="s">
        <v>1190</v>
      </c>
      <c r="Q80" s="157">
        <v>19329</v>
      </c>
      <c r="R80" s="174">
        <v>4.1524000000000001</v>
      </c>
      <c r="S80" s="176">
        <v>645</v>
      </c>
      <c r="U80" s="157">
        <v>517.68799999999999</v>
      </c>
      <c r="V80" s="173">
        <v>5.3550000000000004E-3</v>
      </c>
      <c r="W80" s="173">
        <v>2.44438062772632E-3</v>
      </c>
      <c r="X80" s="173">
        <v>4.4654033349367998E-4</v>
      </c>
    </row>
    <row r="81" spans="1:24">
      <c r="A81" s="4">
        <v>419</v>
      </c>
      <c r="B81" s="4">
        <v>419</v>
      </c>
      <c r="C81" s="4" t="s">
        <v>1869</v>
      </c>
      <c r="D81" s="4" t="s">
        <v>1870</v>
      </c>
      <c r="E81" s="4" t="s">
        <v>316</v>
      </c>
      <c r="F81" s="4" t="s">
        <v>1871</v>
      </c>
      <c r="G81" s="4" t="s">
        <v>1872</v>
      </c>
      <c r="H81" s="4" t="s">
        <v>324</v>
      </c>
      <c r="I81" s="4" t="s">
        <v>937</v>
      </c>
      <c r="J81" s="4" t="s">
        <v>209</v>
      </c>
      <c r="K81" s="4" t="s">
        <v>228</v>
      </c>
      <c r="L81" s="2" t="s">
        <v>330</v>
      </c>
      <c r="M81" s="2" t="s">
        <v>347</v>
      </c>
      <c r="N81" s="4" t="s">
        <v>1782</v>
      </c>
      <c r="O81" s="4" t="s">
        <v>140</v>
      </c>
      <c r="P81" s="4" t="s">
        <v>1188</v>
      </c>
      <c r="Q81" s="157">
        <v>3511</v>
      </c>
      <c r="R81" s="174">
        <v>3.71</v>
      </c>
      <c r="S81" s="176">
        <v>27495</v>
      </c>
      <c r="U81" s="157">
        <v>3581.4459999999999</v>
      </c>
      <c r="V81" s="173">
        <v>1.9999999999999999E-6</v>
      </c>
      <c r="W81" s="173">
        <v>1.69105998543648E-2</v>
      </c>
      <c r="X81" s="173">
        <v>3.0892344722802702E-3</v>
      </c>
    </row>
    <row r="82" spans="1:24">
      <c r="A82" s="4">
        <v>419</v>
      </c>
      <c r="B82" s="4">
        <v>419</v>
      </c>
      <c r="C82" s="4" t="s">
        <v>1873</v>
      </c>
      <c r="D82" s="4" t="s">
        <v>1874</v>
      </c>
      <c r="E82" s="4" t="s">
        <v>316</v>
      </c>
      <c r="F82" s="4" t="s">
        <v>1875</v>
      </c>
      <c r="G82" s="4" t="s">
        <v>1876</v>
      </c>
      <c r="H82" s="4" t="s">
        <v>324</v>
      </c>
      <c r="I82" s="4" t="s">
        <v>937</v>
      </c>
      <c r="J82" s="4" t="s">
        <v>209</v>
      </c>
      <c r="K82" s="4" t="s">
        <v>228</v>
      </c>
      <c r="L82" s="2" t="s">
        <v>330</v>
      </c>
      <c r="M82" s="2" t="s">
        <v>347</v>
      </c>
      <c r="N82" s="4" t="s">
        <v>553</v>
      </c>
      <c r="O82" s="4" t="s">
        <v>140</v>
      </c>
      <c r="P82" s="4" t="s">
        <v>1188</v>
      </c>
      <c r="Q82" s="157">
        <v>5228</v>
      </c>
      <c r="R82" s="174">
        <v>3.71</v>
      </c>
      <c r="S82" s="176">
        <v>9619</v>
      </c>
      <c r="U82" s="157">
        <v>1865.69</v>
      </c>
      <c r="V82" s="173">
        <v>3.0000000000000001E-6</v>
      </c>
      <c r="W82" s="173">
        <v>8.8092708570505496E-3</v>
      </c>
      <c r="X82" s="173">
        <v>1.6092807731022201E-3</v>
      </c>
    </row>
    <row r="83" spans="1:24">
      <c r="A83" s="4">
        <v>419</v>
      </c>
      <c r="B83" s="4">
        <v>419</v>
      </c>
      <c r="C83" s="4" t="s">
        <v>1877</v>
      </c>
      <c r="D83" s="4" t="s">
        <v>1878</v>
      </c>
      <c r="E83" s="4" t="s">
        <v>316</v>
      </c>
      <c r="F83" s="4" t="s">
        <v>1879</v>
      </c>
      <c r="G83" s="4" t="s">
        <v>1880</v>
      </c>
      <c r="H83" s="4" t="s">
        <v>324</v>
      </c>
      <c r="I83" s="4" t="s">
        <v>937</v>
      </c>
      <c r="J83" s="4" t="s">
        <v>209</v>
      </c>
      <c r="K83" s="4" t="s">
        <v>228</v>
      </c>
      <c r="L83" s="2" t="s">
        <v>330</v>
      </c>
      <c r="M83" s="2" t="s">
        <v>347</v>
      </c>
      <c r="N83" s="4" t="s">
        <v>513</v>
      </c>
      <c r="O83" s="4" t="s">
        <v>140</v>
      </c>
      <c r="P83" s="4" t="s">
        <v>1188</v>
      </c>
      <c r="Q83" s="157">
        <v>850</v>
      </c>
      <c r="R83" s="174">
        <v>3.71</v>
      </c>
      <c r="S83" s="176">
        <v>2211</v>
      </c>
      <c r="U83" s="157">
        <v>69.724000000000004</v>
      </c>
      <c r="V83" s="173">
        <v>6.9999999999999999E-6</v>
      </c>
      <c r="W83" s="173">
        <v>3.2921690519739199E-4</v>
      </c>
      <c r="X83" s="173">
        <v>6.0141462819292303E-5</v>
      </c>
    </row>
    <row r="84" spans="1:24">
      <c r="A84" s="4">
        <v>419</v>
      </c>
      <c r="B84" s="4">
        <v>12435</v>
      </c>
      <c r="C84" s="4" t="s">
        <v>1555</v>
      </c>
      <c r="D84" s="4" t="s">
        <v>1556</v>
      </c>
      <c r="E84" s="4" t="s">
        <v>315</v>
      </c>
      <c r="F84" s="4" t="s">
        <v>1557</v>
      </c>
      <c r="G84" s="4" t="s">
        <v>1558</v>
      </c>
      <c r="H84" s="4" t="s">
        <v>324</v>
      </c>
      <c r="I84" s="4" t="s">
        <v>937</v>
      </c>
      <c r="J84" s="4" t="s">
        <v>30</v>
      </c>
      <c r="K84" s="4" t="s">
        <v>228</v>
      </c>
      <c r="L84" s="2" t="s">
        <v>330</v>
      </c>
      <c r="M84" s="2" t="s">
        <v>31</v>
      </c>
      <c r="N84" s="4" t="s">
        <v>444</v>
      </c>
      <c r="O84" s="4" t="s">
        <v>140</v>
      </c>
      <c r="P84" s="4" t="s">
        <v>34</v>
      </c>
      <c r="Q84" s="157">
        <v>182</v>
      </c>
      <c r="R84" s="174">
        <v>1</v>
      </c>
      <c r="S84" s="176">
        <v>28560</v>
      </c>
      <c r="U84" s="157">
        <v>51.978999999999999</v>
      </c>
      <c r="V84" s="173">
        <v>3.0000000000000001E-6</v>
      </c>
      <c r="W84" s="173">
        <v>1.4072959078155299E-2</v>
      </c>
      <c r="X84" s="173">
        <v>4.3014214976738003E-3</v>
      </c>
    </row>
    <row r="85" spans="1:24">
      <c r="A85" s="4">
        <v>419</v>
      </c>
      <c r="B85" s="4">
        <v>12435</v>
      </c>
      <c r="C85" s="4" t="s">
        <v>1559</v>
      </c>
      <c r="D85" s="4" t="s">
        <v>1560</v>
      </c>
      <c r="E85" s="4" t="s">
        <v>1321</v>
      </c>
      <c r="F85" s="4" t="s">
        <v>1561</v>
      </c>
      <c r="G85" s="4" t="s">
        <v>1562</v>
      </c>
      <c r="H85" s="4" t="s">
        <v>324</v>
      </c>
      <c r="I85" s="4" t="s">
        <v>937</v>
      </c>
      <c r="J85" s="4" t="s">
        <v>30</v>
      </c>
      <c r="K85" s="4" t="s">
        <v>30</v>
      </c>
      <c r="L85" s="2" t="s">
        <v>330</v>
      </c>
      <c r="M85" s="2" t="s">
        <v>31</v>
      </c>
      <c r="N85" s="4" t="s">
        <v>459</v>
      </c>
      <c r="O85" s="4" t="s">
        <v>140</v>
      </c>
      <c r="P85" s="4" t="s">
        <v>34</v>
      </c>
      <c r="Q85" s="157">
        <v>8973</v>
      </c>
      <c r="R85" s="174">
        <v>1</v>
      </c>
      <c r="S85" s="176">
        <v>1588</v>
      </c>
      <c r="U85" s="157">
        <v>142.49100000000001</v>
      </c>
      <c r="V85" s="173">
        <v>6.9999999999999999E-6</v>
      </c>
      <c r="W85" s="173">
        <v>3.85783811508374E-2</v>
      </c>
      <c r="X85" s="173">
        <v>1.17915412889424E-2</v>
      </c>
    </row>
    <row r="86" spans="1:24">
      <c r="A86" s="4">
        <v>419</v>
      </c>
      <c r="B86" s="4">
        <v>12435</v>
      </c>
      <c r="C86" s="4" t="s">
        <v>1563</v>
      </c>
      <c r="D86" s="4" t="s">
        <v>1564</v>
      </c>
      <c r="E86" s="4" t="s">
        <v>1321</v>
      </c>
      <c r="F86" s="4" t="s">
        <v>1565</v>
      </c>
      <c r="G86" s="4" t="s">
        <v>1566</v>
      </c>
      <c r="H86" s="4" t="s">
        <v>324</v>
      </c>
      <c r="I86" s="4" t="s">
        <v>937</v>
      </c>
      <c r="J86" s="4" t="s">
        <v>30</v>
      </c>
      <c r="K86" s="4" t="s">
        <v>30</v>
      </c>
      <c r="L86" s="2" t="s">
        <v>330</v>
      </c>
      <c r="M86" s="2" t="s">
        <v>31</v>
      </c>
      <c r="N86" s="4" t="s">
        <v>448</v>
      </c>
      <c r="O86" s="4" t="s">
        <v>140</v>
      </c>
      <c r="P86" s="4" t="s">
        <v>34</v>
      </c>
      <c r="Q86" s="157">
        <v>331</v>
      </c>
      <c r="R86" s="174">
        <v>1</v>
      </c>
      <c r="S86" s="176">
        <v>12010</v>
      </c>
      <c r="U86" s="157">
        <v>39.753</v>
      </c>
      <c r="V86" s="173">
        <v>2.3E-5</v>
      </c>
      <c r="W86" s="173">
        <v>1.07628387803163E-2</v>
      </c>
      <c r="X86" s="173">
        <v>3.2896781585552699E-3</v>
      </c>
    </row>
    <row r="87" spans="1:24">
      <c r="A87" s="4">
        <v>419</v>
      </c>
      <c r="B87" s="4">
        <v>12435</v>
      </c>
      <c r="C87" s="4" t="s">
        <v>1567</v>
      </c>
      <c r="D87" s="4" t="s">
        <v>1568</v>
      </c>
      <c r="E87" s="4" t="s">
        <v>1321</v>
      </c>
      <c r="F87" s="4" t="s">
        <v>1569</v>
      </c>
      <c r="G87" s="4" t="s">
        <v>1570</v>
      </c>
      <c r="H87" s="4" t="s">
        <v>324</v>
      </c>
      <c r="I87" s="4" t="s">
        <v>937</v>
      </c>
      <c r="J87" s="4" t="s">
        <v>30</v>
      </c>
      <c r="K87" s="4" t="s">
        <v>30</v>
      </c>
      <c r="L87" s="2" t="s">
        <v>330</v>
      </c>
      <c r="M87" s="2" t="s">
        <v>31</v>
      </c>
      <c r="N87" s="4" t="s">
        <v>466</v>
      </c>
      <c r="O87" s="4" t="s">
        <v>140</v>
      </c>
      <c r="P87" s="4" t="s">
        <v>34</v>
      </c>
      <c r="Q87" s="157">
        <v>1144</v>
      </c>
      <c r="R87" s="174">
        <v>1</v>
      </c>
      <c r="S87" s="176">
        <v>1271</v>
      </c>
      <c r="U87" s="157">
        <v>14.54</v>
      </c>
      <c r="V87" s="173">
        <v>7.9999999999999996E-6</v>
      </c>
      <c r="W87" s="173">
        <v>3.9366554796256403E-3</v>
      </c>
      <c r="X87" s="173">
        <v>1.2032447770903799E-3</v>
      </c>
    </row>
    <row r="88" spans="1:24">
      <c r="A88" s="4">
        <v>419</v>
      </c>
      <c r="B88" s="4">
        <v>12435</v>
      </c>
      <c r="C88" s="4" t="s">
        <v>1571</v>
      </c>
      <c r="D88" s="4" t="s">
        <v>1572</v>
      </c>
      <c r="E88" s="4" t="s">
        <v>1321</v>
      </c>
      <c r="F88" s="4" t="s">
        <v>1573</v>
      </c>
      <c r="G88" s="4" t="s">
        <v>1574</v>
      </c>
      <c r="H88" s="4" t="s">
        <v>324</v>
      </c>
      <c r="I88" s="4" t="s">
        <v>937</v>
      </c>
      <c r="J88" s="4" t="s">
        <v>30</v>
      </c>
      <c r="K88" s="4" t="s">
        <v>30</v>
      </c>
      <c r="L88" s="2" t="s">
        <v>330</v>
      </c>
      <c r="M88" s="2" t="s">
        <v>31</v>
      </c>
      <c r="N88" s="4" t="s">
        <v>449</v>
      </c>
      <c r="O88" s="4" t="s">
        <v>140</v>
      </c>
      <c r="P88" s="4" t="s">
        <v>34</v>
      </c>
      <c r="Q88" s="157">
        <v>67</v>
      </c>
      <c r="R88" s="174">
        <v>1</v>
      </c>
      <c r="S88" s="176">
        <v>74080</v>
      </c>
      <c r="U88" s="157">
        <v>49.634</v>
      </c>
      <c r="V88" s="173">
        <v>1.9999999999999999E-6</v>
      </c>
      <c r="W88" s="173">
        <v>1.3437906349107499E-2</v>
      </c>
      <c r="X88" s="173">
        <v>4.1073166583353001E-3</v>
      </c>
    </row>
    <row r="89" spans="1:24">
      <c r="A89" s="4">
        <v>419</v>
      </c>
      <c r="B89" s="4">
        <v>12435</v>
      </c>
      <c r="C89" s="4" t="s">
        <v>1575</v>
      </c>
      <c r="D89" s="4" t="s">
        <v>1576</v>
      </c>
      <c r="E89" s="4" t="s">
        <v>1321</v>
      </c>
      <c r="F89" s="4" t="s">
        <v>1577</v>
      </c>
      <c r="G89" s="4" t="s">
        <v>1578</v>
      </c>
      <c r="H89" s="4" t="s">
        <v>324</v>
      </c>
      <c r="I89" s="4" t="s">
        <v>937</v>
      </c>
      <c r="J89" s="4" t="s">
        <v>30</v>
      </c>
      <c r="K89" s="4" t="s">
        <v>30</v>
      </c>
      <c r="L89" s="2" t="s">
        <v>330</v>
      </c>
      <c r="M89" s="2" t="s">
        <v>31</v>
      </c>
      <c r="N89" s="4" t="s">
        <v>454</v>
      </c>
      <c r="O89" s="4" t="s">
        <v>140</v>
      </c>
      <c r="P89" s="4" t="s">
        <v>34</v>
      </c>
      <c r="Q89" s="157">
        <v>32</v>
      </c>
      <c r="R89" s="174">
        <v>1</v>
      </c>
      <c r="S89" s="176">
        <v>148500</v>
      </c>
      <c r="T89" s="156">
        <v>0.35799999999999998</v>
      </c>
      <c r="U89" s="157">
        <v>47.878</v>
      </c>
      <c r="V89" s="173">
        <v>7.9999999999999996E-6</v>
      </c>
      <c r="W89" s="173">
        <v>1.2962718722771599E-2</v>
      </c>
      <c r="X89" s="173">
        <v>3.9620748325047304E-3</v>
      </c>
    </row>
    <row r="90" spans="1:24">
      <c r="A90" s="4">
        <v>419</v>
      </c>
      <c r="B90" s="4">
        <v>12435</v>
      </c>
      <c r="C90" s="4" t="s">
        <v>1579</v>
      </c>
      <c r="D90" s="4" t="s">
        <v>1580</v>
      </c>
      <c r="E90" s="4" t="s">
        <v>1321</v>
      </c>
      <c r="F90" s="4" t="s">
        <v>1581</v>
      </c>
      <c r="G90" s="4" t="s">
        <v>1582</v>
      </c>
      <c r="H90" s="4" t="s">
        <v>324</v>
      </c>
      <c r="I90" s="4" t="s">
        <v>937</v>
      </c>
      <c r="J90" s="4" t="s">
        <v>30</v>
      </c>
      <c r="K90" s="4" t="s">
        <v>228</v>
      </c>
      <c r="L90" s="2" t="s">
        <v>330</v>
      </c>
      <c r="M90" s="2" t="s">
        <v>31</v>
      </c>
      <c r="N90" s="4" t="s">
        <v>444</v>
      </c>
      <c r="O90" s="4" t="s">
        <v>140</v>
      </c>
      <c r="P90" s="4" t="s">
        <v>34</v>
      </c>
      <c r="Q90" s="157">
        <v>1185.8</v>
      </c>
      <c r="R90" s="174">
        <v>1</v>
      </c>
      <c r="S90" s="176">
        <v>6254</v>
      </c>
      <c r="U90" s="157">
        <v>74.16</v>
      </c>
      <c r="V90" s="173">
        <v>1.0000000000000001E-5</v>
      </c>
      <c r="W90" s="173">
        <v>2.0078217600016601E-2</v>
      </c>
      <c r="X90" s="173">
        <v>6.1369379630857503E-3</v>
      </c>
    </row>
    <row r="91" spans="1:24">
      <c r="A91" s="4">
        <v>419</v>
      </c>
      <c r="B91" s="4">
        <v>12435</v>
      </c>
      <c r="C91" s="4" t="s">
        <v>1587</v>
      </c>
      <c r="D91" s="4" t="s">
        <v>1588</v>
      </c>
      <c r="E91" s="4" t="s">
        <v>315</v>
      </c>
      <c r="F91" s="4" t="s">
        <v>1589</v>
      </c>
      <c r="G91" s="4" t="s">
        <v>1590</v>
      </c>
      <c r="H91" s="4" t="s">
        <v>324</v>
      </c>
      <c r="I91" s="4" t="s">
        <v>937</v>
      </c>
      <c r="J91" s="4" t="s">
        <v>30</v>
      </c>
      <c r="K91" s="4" t="s">
        <v>237</v>
      </c>
      <c r="L91" s="2" t="s">
        <v>330</v>
      </c>
      <c r="M91" s="2" t="s">
        <v>31</v>
      </c>
      <c r="N91" s="4" t="s">
        <v>457</v>
      </c>
      <c r="O91" s="4" t="s">
        <v>140</v>
      </c>
      <c r="P91" s="4" t="s">
        <v>34</v>
      </c>
      <c r="Q91" s="157">
        <v>1318</v>
      </c>
      <c r="R91" s="174">
        <v>1</v>
      </c>
      <c r="S91" s="176">
        <v>4556</v>
      </c>
      <c r="U91" s="157">
        <v>60.048000000000002</v>
      </c>
      <c r="V91" s="173">
        <v>6.9999999999999999E-6</v>
      </c>
      <c r="W91" s="173">
        <v>1.6257544797953698E-2</v>
      </c>
      <c r="X91" s="173">
        <v>4.9691434690421503E-3</v>
      </c>
    </row>
    <row r="92" spans="1:24">
      <c r="A92" s="4">
        <v>419</v>
      </c>
      <c r="B92" s="4">
        <v>12435</v>
      </c>
      <c r="C92" s="4" t="s">
        <v>1591</v>
      </c>
      <c r="D92" s="4" t="s">
        <v>1592</v>
      </c>
      <c r="E92" s="4" t="s">
        <v>1321</v>
      </c>
      <c r="F92" s="4" t="s">
        <v>1593</v>
      </c>
      <c r="G92" s="4" t="s">
        <v>1594</v>
      </c>
      <c r="H92" s="4" t="s">
        <v>324</v>
      </c>
      <c r="I92" s="4" t="s">
        <v>937</v>
      </c>
      <c r="J92" s="4" t="s">
        <v>30</v>
      </c>
      <c r="K92" s="4" t="s">
        <v>30</v>
      </c>
      <c r="L92" s="2" t="s">
        <v>330</v>
      </c>
      <c r="M92" s="2" t="s">
        <v>31</v>
      </c>
      <c r="N92" s="4" t="s">
        <v>444</v>
      </c>
      <c r="O92" s="4" t="s">
        <v>140</v>
      </c>
      <c r="P92" s="4" t="s">
        <v>34</v>
      </c>
      <c r="Q92" s="157">
        <v>2675</v>
      </c>
      <c r="R92" s="174">
        <v>1</v>
      </c>
      <c r="S92" s="176">
        <v>1348</v>
      </c>
      <c r="U92" s="157">
        <v>36.058999999999997</v>
      </c>
      <c r="V92" s="173">
        <v>5.0000000000000004E-6</v>
      </c>
      <c r="W92" s="173">
        <v>9.7626902953335693E-3</v>
      </c>
      <c r="X92" s="173">
        <v>2.9839812422011E-3</v>
      </c>
    </row>
    <row r="93" spans="1:24">
      <c r="A93" s="4">
        <v>419</v>
      </c>
      <c r="B93" s="4">
        <v>12435</v>
      </c>
      <c r="C93" s="4" t="s">
        <v>1595</v>
      </c>
      <c r="D93" s="4" t="s">
        <v>1596</v>
      </c>
      <c r="E93" s="4" t="s">
        <v>1321</v>
      </c>
      <c r="F93" s="4" t="s">
        <v>1597</v>
      </c>
      <c r="G93" s="4" t="s">
        <v>1598</v>
      </c>
      <c r="H93" s="4" t="s">
        <v>324</v>
      </c>
      <c r="I93" s="4" t="s">
        <v>937</v>
      </c>
      <c r="J93" s="4" t="s">
        <v>30</v>
      </c>
      <c r="K93" s="4" t="s">
        <v>30</v>
      </c>
      <c r="L93" s="2" t="s">
        <v>330</v>
      </c>
      <c r="M93" s="2" t="s">
        <v>31</v>
      </c>
      <c r="N93" s="4" t="s">
        <v>450</v>
      </c>
      <c r="O93" s="4" t="s">
        <v>140</v>
      </c>
      <c r="P93" s="4" t="s">
        <v>34</v>
      </c>
      <c r="Q93" s="157">
        <v>747</v>
      </c>
      <c r="R93" s="174">
        <v>1</v>
      </c>
      <c r="S93" s="176">
        <v>5176</v>
      </c>
      <c r="U93" s="157">
        <v>38.664999999999999</v>
      </c>
      <c r="V93" s="173">
        <v>6.9999999999999999E-6</v>
      </c>
      <c r="W93" s="173">
        <v>1.0468168466008201E-2</v>
      </c>
      <c r="X93" s="173">
        <v>3.1996117256429101E-3</v>
      </c>
    </row>
    <row r="94" spans="1:24">
      <c r="A94" s="4">
        <v>419</v>
      </c>
      <c r="B94" s="4">
        <v>12435</v>
      </c>
      <c r="C94" s="4" t="s">
        <v>1599</v>
      </c>
      <c r="D94" s="4" t="s">
        <v>1600</v>
      </c>
      <c r="E94" s="4" t="s">
        <v>1321</v>
      </c>
      <c r="F94" s="4" t="s">
        <v>1601</v>
      </c>
      <c r="G94" s="4" t="s">
        <v>1602</v>
      </c>
      <c r="H94" s="4" t="s">
        <v>324</v>
      </c>
      <c r="I94" s="4" t="s">
        <v>937</v>
      </c>
      <c r="J94" s="4" t="s">
        <v>30</v>
      </c>
      <c r="K94" s="4" t="s">
        <v>30</v>
      </c>
      <c r="L94" s="2" t="s">
        <v>330</v>
      </c>
      <c r="M94" s="2" t="s">
        <v>31</v>
      </c>
      <c r="N94" s="4" t="s">
        <v>488</v>
      </c>
      <c r="O94" s="4" t="s">
        <v>140</v>
      </c>
      <c r="P94" s="4" t="s">
        <v>34</v>
      </c>
      <c r="Q94" s="157">
        <v>22949</v>
      </c>
      <c r="R94" s="174">
        <v>1</v>
      </c>
      <c r="S94" s="176">
        <v>428.6</v>
      </c>
      <c r="T94" s="156">
        <v>3.3740000000000001</v>
      </c>
      <c r="U94" s="157">
        <v>101.73399999999999</v>
      </c>
      <c r="V94" s="173">
        <v>7.9999999999999996E-6</v>
      </c>
      <c r="W94" s="173">
        <v>2.7543626307389799E-2</v>
      </c>
      <c r="X94" s="173">
        <v>8.4187515691994605E-3</v>
      </c>
    </row>
    <row r="95" spans="1:24">
      <c r="A95" s="4">
        <v>419</v>
      </c>
      <c r="B95" s="4">
        <v>12435</v>
      </c>
      <c r="C95" s="4" t="s">
        <v>1603</v>
      </c>
      <c r="D95" s="4" t="s">
        <v>1604</v>
      </c>
      <c r="E95" s="4" t="s">
        <v>1321</v>
      </c>
      <c r="F95" s="4" t="s">
        <v>1605</v>
      </c>
      <c r="G95" s="4" t="s">
        <v>1606</v>
      </c>
      <c r="H95" s="4" t="s">
        <v>324</v>
      </c>
      <c r="I95" s="4" t="s">
        <v>937</v>
      </c>
      <c r="J95" s="4" t="s">
        <v>30</v>
      </c>
      <c r="K95" s="4" t="s">
        <v>30</v>
      </c>
      <c r="L95" s="2" t="s">
        <v>330</v>
      </c>
      <c r="M95" s="2" t="s">
        <v>31</v>
      </c>
      <c r="N95" s="4" t="s">
        <v>467</v>
      </c>
      <c r="O95" s="4" t="s">
        <v>140</v>
      </c>
      <c r="P95" s="4" t="s">
        <v>34</v>
      </c>
      <c r="Q95" s="157">
        <v>75</v>
      </c>
      <c r="R95" s="174">
        <v>1</v>
      </c>
      <c r="S95" s="176">
        <v>41490</v>
      </c>
      <c r="U95" s="157">
        <v>31.117000000000001</v>
      </c>
      <c r="V95" s="173">
        <v>3.0000000000000001E-6</v>
      </c>
      <c r="W95" s="173">
        <v>8.4248180832813598E-3</v>
      </c>
      <c r="X95" s="173">
        <v>2.5750585513794801E-3</v>
      </c>
    </row>
    <row r="96" spans="1:24">
      <c r="A96" s="4">
        <v>419</v>
      </c>
      <c r="B96" s="4">
        <v>12435</v>
      </c>
      <c r="C96" s="4" t="s">
        <v>1881</v>
      </c>
      <c r="D96" s="4" t="s">
        <v>1882</v>
      </c>
      <c r="E96" s="4" t="s">
        <v>1321</v>
      </c>
      <c r="F96" s="4" t="s">
        <v>1883</v>
      </c>
      <c r="G96" s="4" t="s">
        <v>1884</v>
      </c>
      <c r="H96" s="4" t="s">
        <v>324</v>
      </c>
      <c r="I96" s="4" t="s">
        <v>937</v>
      </c>
      <c r="J96" s="4" t="s">
        <v>30</v>
      </c>
      <c r="K96" s="4" t="s">
        <v>30</v>
      </c>
      <c r="L96" s="2" t="s">
        <v>330</v>
      </c>
      <c r="M96" s="2" t="s">
        <v>31</v>
      </c>
      <c r="N96" s="4" t="s">
        <v>451</v>
      </c>
      <c r="O96" s="4" t="s">
        <v>140</v>
      </c>
      <c r="P96" s="4" t="s">
        <v>34</v>
      </c>
      <c r="Q96" s="157">
        <v>286</v>
      </c>
      <c r="R96" s="174">
        <v>1</v>
      </c>
      <c r="S96" s="176">
        <v>15410</v>
      </c>
      <c r="U96" s="157">
        <v>44.073</v>
      </c>
      <c r="V96" s="173">
        <v>3.0000000000000001E-6</v>
      </c>
      <c r="W96" s="173">
        <v>1.19323093904467E-2</v>
      </c>
      <c r="X96" s="173">
        <v>3.6471286418101501E-3</v>
      </c>
    </row>
    <row r="97" spans="1:24">
      <c r="A97" s="4">
        <v>419</v>
      </c>
      <c r="B97" s="4">
        <v>12435</v>
      </c>
      <c r="C97" s="4" t="s">
        <v>1885</v>
      </c>
      <c r="D97" s="4" t="s">
        <v>1886</v>
      </c>
      <c r="E97" s="4" t="s">
        <v>1321</v>
      </c>
      <c r="F97" s="4" t="s">
        <v>1887</v>
      </c>
      <c r="G97" s="4" t="s">
        <v>1888</v>
      </c>
      <c r="H97" s="4" t="s">
        <v>324</v>
      </c>
      <c r="I97" s="4" t="s">
        <v>937</v>
      </c>
      <c r="J97" s="4" t="s">
        <v>30</v>
      </c>
      <c r="K97" s="4" t="s">
        <v>30</v>
      </c>
      <c r="L97" s="2" t="s">
        <v>330</v>
      </c>
      <c r="M97" s="2" t="s">
        <v>31</v>
      </c>
      <c r="N97" s="4" t="s">
        <v>444</v>
      </c>
      <c r="O97" s="4" t="s">
        <v>140</v>
      </c>
      <c r="P97" s="4" t="s">
        <v>34</v>
      </c>
      <c r="Q97" s="157">
        <v>287</v>
      </c>
      <c r="R97" s="174">
        <v>1</v>
      </c>
      <c r="S97" s="176">
        <v>1472</v>
      </c>
      <c r="U97" s="157">
        <v>4.2249999999999996</v>
      </c>
      <c r="V97" s="173">
        <v>1.9999999999999999E-6</v>
      </c>
      <c r="W97" s="173">
        <v>1.1437880121267399E-3</v>
      </c>
      <c r="X97" s="173">
        <v>3.4960055783722399E-4</v>
      </c>
    </row>
    <row r="98" spans="1:24">
      <c r="A98" s="4">
        <v>419</v>
      </c>
      <c r="B98" s="4">
        <v>12435</v>
      </c>
      <c r="C98" s="4" t="s">
        <v>1618</v>
      </c>
      <c r="D98" s="4" t="s">
        <v>1619</v>
      </c>
      <c r="E98" s="4" t="s">
        <v>1321</v>
      </c>
      <c r="F98" s="4" t="s">
        <v>1620</v>
      </c>
      <c r="G98" s="4" t="s">
        <v>1621</v>
      </c>
      <c r="H98" s="4" t="s">
        <v>324</v>
      </c>
      <c r="I98" s="4" t="s">
        <v>937</v>
      </c>
      <c r="J98" s="4" t="s">
        <v>30</v>
      </c>
      <c r="K98" s="4" t="s">
        <v>30</v>
      </c>
      <c r="L98" s="2" t="s">
        <v>330</v>
      </c>
      <c r="M98" s="2" t="s">
        <v>31</v>
      </c>
      <c r="N98" s="4" t="s">
        <v>451</v>
      </c>
      <c r="O98" s="4" t="s">
        <v>140</v>
      </c>
      <c r="P98" s="4" t="s">
        <v>34</v>
      </c>
      <c r="Q98" s="157">
        <v>4018</v>
      </c>
      <c r="R98" s="174">
        <v>1</v>
      </c>
      <c r="S98" s="176">
        <v>2085</v>
      </c>
      <c r="U98" s="157">
        <v>83.775000000000006</v>
      </c>
      <c r="V98" s="173">
        <v>3.0000000000000001E-6</v>
      </c>
      <c r="W98" s="173">
        <v>2.26815027676491E-2</v>
      </c>
      <c r="X98" s="173">
        <v>6.9326360620031004E-3</v>
      </c>
    </row>
    <row r="99" spans="1:24">
      <c r="A99" s="4">
        <v>419</v>
      </c>
      <c r="B99" s="4">
        <v>12435</v>
      </c>
      <c r="C99" s="4" t="s">
        <v>1622</v>
      </c>
      <c r="D99" s="4" t="s">
        <v>1623</v>
      </c>
      <c r="E99" s="4" t="s">
        <v>1321</v>
      </c>
      <c r="F99" s="4" t="s">
        <v>1624</v>
      </c>
      <c r="G99" s="4" t="s">
        <v>1625</v>
      </c>
      <c r="H99" s="4" t="s">
        <v>324</v>
      </c>
      <c r="I99" s="4" t="s">
        <v>937</v>
      </c>
      <c r="J99" s="4" t="s">
        <v>30</v>
      </c>
      <c r="K99" s="4" t="s">
        <v>30</v>
      </c>
      <c r="L99" s="2" t="s">
        <v>330</v>
      </c>
      <c r="M99" s="2" t="s">
        <v>31</v>
      </c>
      <c r="N99" s="4" t="s">
        <v>440</v>
      </c>
      <c r="O99" s="4" t="s">
        <v>140</v>
      </c>
      <c r="P99" s="4" t="s">
        <v>34</v>
      </c>
      <c r="Q99" s="157">
        <v>284</v>
      </c>
      <c r="R99" s="174">
        <v>1</v>
      </c>
      <c r="S99" s="176">
        <v>16850</v>
      </c>
      <c r="U99" s="157">
        <v>47.853999999999999</v>
      </c>
      <c r="V99" s="173">
        <v>1.1E-5</v>
      </c>
      <c r="W99" s="173">
        <v>1.2956093662966E-2</v>
      </c>
      <c r="X99" s="173">
        <v>3.9600498728276298E-3</v>
      </c>
    </row>
    <row r="100" spans="1:24">
      <c r="A100" s="4">
        <v>419</v>
      </c>
      <c r="B100" s="4">
        <v>12435</v>
      </c>
      <c r="C100" s="4" t="s">
        <v>1626</v>
      </c>
      <c r="D100" s="4" t="s">
        <v>1627</v>
      </c>
      <c r="E100" s="4" t="s">
        <v>1321</v>
      </c>
      <c r="F100" s="4" t="s">
        <v>1628</v>
      </c>
      <c r="G100" s="4" t="s">
        <v>1629</v>
      </c>
      <c r="H100" s="4" t="s">
        <v>324</v>
      </c>
      <c r="I100" s="4" t="s">
        <v>937</v>
      </c>
      <c r="J100" s="4" t="s">
        <v>30</v>
      </c>
      <c r="K100" s="4" t="s">
        <v>30</v>
      </c>
      <c r="L100" s="2" t="s">
        <v>330</v>
      </c>
      <c r="M100" s="2" t="s">
        <v>31</v>
      </c>
      <c r="N100" s="4" t="s">
        <v>448</v>
      </c>
      <c r="O100" s="4" t="s">
        <v>140</v>
      </c>
      <c r="P100" s="4" t="s">
        <v>34</v>
      </c>
      <c r="Q100" s="157">
        <v>1077</v>
      </c>
      <c r="R100" s="174">
        <v>1</v>
      </c>
      <c r="S100" s="176">
        <v>4200</v>
      </c>
      <c r="U100" s="157">
        <v>45.234000000000002</v>
      </c>
      <c r="V100" s="173">
        <v>3.9999999999999998E-6</v>
      </c>
      <c r="W100" s="173">
        <v>1.2246749294742501E-2</v>
      </c>
      <c r="X100" s="173">
        <v>3.7432376801831602E-3</v>
      </c>
    </row>
    <row r="101" spans="1:24">
      <c r="A101" s="4">
        <v>419</v>
      </c>
      <c r="B101" s="4">
        <v>12435</v>
      </c>
      <c r="C101" s="4" t="s">
        <v>1889</v>
      </c>
      <c r="D101" s="4" t="s">
        <v>1890</v>
      </c>
      <c r="E101" s="4" t="s">
        <v>1321</v>
      </c>
      <c r="F101" s="4" t="s">
        <v>1891</v>
      </c>
      <c r="G101" s="4" t="s">
        <v>1892</v>
      </c>
      <c r="H101" s="4" t="s">
        <v>324</v>
      </c>
      <c r="I101" s="4" t="s">
        <v>937</v>
      </c>
      <c r="J101" s="4" t="s">
        <v>30</v>
      </c>
      <c r="K101" s="4" t="s">
        <v>30</v>
      </c>
      <c r="L101" s="2" t="s">
        <v>330</v>
      </c>
      <c r="M101" s="2" t="s">
        <v>31</v>
      </c>
      <c r="N101" s="4" t="s">
        <v>480</v>
      </c>
      <c r="O101" s="4" t="s">
        <v>140</v>
      </c>
      <c r="P101" s="4" t="s">
        <v>34</v>
      </c>
      <c r="Q101" s="157">
        <v>133</v>
      </c>
      <c r="R101" s="174">
        <v>1</v>
      </c>
      <c r="S101" s="176">
        <v>5029</v>
      </c>
      <c r="U101" s="157">
        <v>6.6890000000000001</v>
      </c>
      <c r="V101" s="173">
        <v>1.9999999999999999E-6</v>
      </c>
      <c r="W101" s="173">
        <v>1.81087765685846E-3</v>
      </c>
      <c r="X101" s="173">
        <v>5.5349752952519498E-4</v>
      </c>
    </row>
    <row r="102" spans="1:24">
      <c r="A102" s="4">
        <v>419</v>
      </c>
      <c r="B102" s="4">
        <v>12435</v>
      </c>
      <c r="C102" s="4" t="s">
        <v>1632</v>
      </c>
      <c r="D102" s="4" t="s">
        <v>1633</v>
      </c>
      <c r="E102" s="4" t="s">
        <v>1321</v>
      </c>
      <c r="F102" s="4" t="s">
        <v>1634</v>
      </c>
      <c r="G102" s="4" t="s">
        <v>1635</v>
      </c>
      <c r="H102" s="4" t="s">
        <v>324</v>
      </c>
      <c r="I102" s="4" t="s">
        <v>937</v>
      </c>
      <c r="J102" s="4" t="s">
        <v>30</v>
      </c>
      <c r="K102" s="4" t="s">
        <v>30</v>
      </c>
      <c r="L102" s="2" t="s">
        <v>330</v>
      </c>
      <c r="M102" s="2" t="s">
        <v>31</v>
      </c>
      <c r="N102" s="4" t="s">
        <v>480</v>
      </c>
      <c r="O102" s="4" t="s">
        <v>140</v>
      </c>
      <c r="P102" s="4" t="s">
        <v>34</v>
      </c>
      <c r="Q102" s="157">
        <v>119</v>
      </c>
      <c r="R102" s="174">
        <v>1</v>
      </c>
      <c r="S102" s="176">
        <v>19560</v>
      </c>
      <c r="U102" s="157">
        <v>23.276</v>
      </c>
      <c r="V102" s="173">
        <v>5.0000000000000004E-6</v>
      </c>
      <c r="W102" s="173">
        <v>6.3019020047783399E-3</v>
      </c>
      <c r="X102" s="173">
        <v>1.92618600033195E-3</v>
      </c>
    </row>
    <row r="103" spans="1:24">
      <c r="A103" s="4">
        <v>419</v>
      </c>
      <c r="B103" s="4">
        <v>12435</v>
      </c>
      <c r="C103" s="4" t="s">
        <v>1640</v>
      </c>
      <c r="D103" s="4" t="s">
        <v>1641</v>
      </c>
      <c r="E103" s="4" t="s">
        <v>1321</v>
      </c>
      <c r="F103" s="4" t="s">
        <v>1642</v>
      </c>
      <c r="G103" s="4" t="s">
        <v>1643</v>
      </c>
      <c r="H103" s="4" t="s">
        <v>324</v>
      </c>
      <c r="I103" s="4" t="s">
        <v>937</v>
      </c>
      <c r="J103" s="4" t="s">
        <v>30</v>
      </c>
      <c r="K103" s="4" t="s">
        <v>300</v>
      </c>
      <c r="L103" s="2" t="s">
        <v>330</v>
      </c>
      <c r="M103" s="2" t="s">
        <v>31</v>
      </c>
      <c r="N103" s="4" t="s">
        <v>461</v>
      </c>
      <c r="O103" s="4" t="s">
        <v>140</v>
      </c>
      <c r="P103" s="4" t="s">
        <v>34</v>
      </c>
      <c r="Q103" s="157">
        <v>564</v>
      </c>
      <c r="R103" s="174">
        <v>1</v>
      </c>
      <c r="S103" s="176">
        <v>16470</v>
      </c>
      <c r="U103" s="157">
        <v>92.891000000000005</v>
      </c>
      <c r="V103" s="173">
        <v>5.0000000000000004E-6</v>
      </c>
      <c r="W103" s="173">
        <v>2.5149452610604101E-2</v>
      </c>
      <c r="X103" s="173">
        <v>7.68696871164076E-3</v>
      </c>
    </row>
    <row r="104" spans="1:24">
      <c r="A104" s="4">
        <v>419</v>
      </c>
      <c r="B104" s="4">
        <v>12435</v>
      </c>
      <c r="C104" s="4" t="s">
        <v>1644</v>
      </c>
      <c r="D104" s="4" t="s">
        <v>1645</v>
      </c>
      <c r="E104" s="4" t="s">
        <v>1321</v>
      </c>
      <c r="F104" s="4" t="s">
        <v>1646</v>
      </c>
      <c r="G104" s="4" t="s">
        <v>1647</v>
      </c>
      <c r="H104" s="4" t="s">
        <v>324</v>
      </c>
      <c r="I104" s="4" t="s">
        <v>937</v>
      </c>
      <c r="J104" s="4" t="s">
        <v>30</v>
      </c>
      <c r="K104" s="4" t="s">
        <v>228</v>
      </c>
      <c r="L104" s="2" t="s">
        <v>330</v>
      </c>
      <c r="M104" s="2" t="s">
        <v>31</v>
      </c>
      <c r="N104" s="4" t="s">
        <v>470</v>
      </c>
      <c r="O104" s="4" t="s">
        <v>140</v>
      </c>
      <c r="P104" s="4" t="s">
        <v>34</v>
      </c>
      <c r="Q104" s="157">
        <v>1630</v>
      </c>
      <c r="R104" s="174">
        <v>1</v>
      </c>
      <c r="S104" s="176">
        <v>6629</v>
      </c>
      <c r="U104" s="157">
        <v>108.053</v>
      </c>
      <c r="V104" s="173">
        <v>9.9999999999999995E-7</v>
      </c>
      <c r="W104" s="173">
        <v>2.92544176398289E-2</v>
      </c>
      <c r="X104" s="173">
        <v>8.9416575603644792E-3</v>
      </c>
    </row>
    <row r="105" spans="1:24">
      <c r="A105" s="4">
        <v>419</v>
      </c>
      <c r="B105" s="4">
        <v>12435</v>
      </c>
      <c r="C105" s="4" t="s">
        <v>1648</v>
      </c>
      <c r="D105" s="4" t="s">
        <v>1649</v>
      </c>
      <c r="E105" s="4" t="s">
        <v>1321</v>
      </c>
      <c r="F105" s="4" t="s">
        <v>1650</v>
      </c>
      <c r="G105" s="4" t="s">
        <v>1651</v>
      </c>
      <c r="H105" s="4" t="s">
        <v>324</v>
      </c>
      <c r="I105" s="4" t="s">
        <v>937</v>
      </c>
      <c r="J105" s="4" t="s">
        <v>30</v>
      </c>
      <c r="K105" s="4" t="s">
        <v>30</v>
      </c>
      <c r="L105" s="2" t="s">
        <v>330</v>
      </c>
      <c r="M105" s="2" t="s">
        <v>31</v>
      </c>
      <c r="N105" s="4" t="s">
        <v>479</v>
      </c>
      <c r="O105" s="4" t="s">
        <v>140</v>
      </c>
      <c r="P105" s="4" t="s">
        <v>34</v>
      </c>
      <c r="Q105" s="157">
        <v>3082</v>
      </c>
      <c r="R105" s="174">
        <v>1</v>
      </c>
      <c r="S105" s="176">
        <v>598</v>
      </c>
      <c r="U105" s="157">
        <v>18.43</v>
      </c>
      <c r="V105" s="173">
        <v>2.9E-5</v>
      </c>
      <c r="W105" s="173">
        <v>4.9898748360049901E-3</v>
      </c>
      <c r="X105" s="173">
        <v>1.5251628865751499E-3</v>
      </c>
    </row>
    <row r="106" spans="1:24">
      <c r="A106" s="4">
        <v>419</v>
      </c>
      <c r="B106" s="4">
        <v>12435</v>
      </c>
      <c r="C106" s="4" t="s">
        <v>1656</v>
      </c>
      <c r="D106" s="4" t="s">
        <v>1657</v>
      </c>
      <c r="E106" s="4" t="s">
        <v>1321</v>
      </c>
      <c r="F106" s="4" t="s">
        <v>1658</v>
      </c>
      <c r="G106" s="4" t="s">
        <v>1659</v>
      </c>
      <c r="H106" s="4" t="s">
        <v>324</v>
      </c>
      <c r="I106" s="4" t="s">
        <v>937</v>
      </c>
      <c r="J106" s="4" t="s">
        <v>30</v>
      </c>
      <c r="K106" s="4" t="s">
        <v>30</v>
      </c>
      <c r="L106" s="2" t="s">
        <v>330</v>
      </c>
      <c r="M106" s="2" t="s">
        <v>31</v>
      </c>
      <c r="N106" s="4" t="s">
        <v>482</v>
      </c>
      <c r="O106" s="4" t="s">
        <v>140</v>
      </c>
      <c r="P106" s="4" t="s">
        <v>34</v>
      </c>
      <c r="Q106" s="157">
        <v>11181</v>
      </c>
      <c r="R106" s="174">
        <v>1</v>
      </c>
      <c r="S106" s="176">
        <v>1373</v>
      </c>
      <c r="U106" s="157">
        <v>153.51499999999999</v>
      </c>
      <c r="V106" s="173">
        <v>5.5999999999999999E-5</v>
      </c>
      <c r="W106" s="173">
        <v>4.1563012558248201E-2</v>
      </c>
      <c r="X106" s="173">
        <v>1.27037984501529E-2</v>
      </c>
    </row>
    <row r="107" spans="1:24">
      <c r="A107" s="4">
        <v>419</v>
      </c>
      <c r="B107" s="4">
        <v>12435</v>
      </c>
      <c r="C107" s="4" t="s">
        <v>1660</v>
      </c>
      <c r="D107" s="4" t="s">
        <v>1661</v>
      </c>
      <c r="E107" s="4" t="s">
        <v>1321</v>
      </c>
      <c r="F107" s="4" t="s">
        <v>1662</v>
      </c>
      <c r="G107" s="4" t="s">
        <v>1663</v>
      </c>
      <c r="H107" s="4" t="s">
        <v>324</v>
      </c>
      <c r="I107" s="4" t="s">
        <v>937</v>
      </c>
      <c r="J107" s="4" t="s">
        <v>30</v>
      </c>
      <c r="K107" s="4" t="s">
        <v>30</v>
      </c>
      <c r="L107" s="2" t="s">
        <v>330</v>
      </c>
      <c r="M107" s="2" t="s">
        <v>31</v>
      </c>
      <c r="N107" s="4" t="s">
        <v>448</v>
      </c>
      <c r="O107" s="4" t="s">
        <v>140</v>
      </c>
      <c r="P107" s="4" t="s">
        <v>34</v>
      </c>
      <c r="Q107" s="157">
        <v>1022</v>
      </c>
      <c r="R107" s="174">
        <v>1</v>
      </c>
      <c r="S107" s="176">
        <v>6329</v>
      </c>
      <c r="U107" s="157">
        <v>64.682000000000002</v>
      </c>
      <c r="V107" s="173">
        <v>1.2999999999999999E-5</v>
      </c>
      <c r="W107" s="173">
        <v>1.7512245029121101E-2</v>
      </c>
      <c r="X107" s="173">
        <v>5.3526445165124796E-3</v>
      </c>
    </row>
    <row r="108" spans="1:24">
      <c r="A108" s="4">
        <v>419</v>
      </c>
      <c r="B108" s="4">
        <v>12435</v>
      </c>
      <c r="C108" s="4" t="s">
        <v>1183</v>
      </c>
      <c r="D108" s="4" t="s">
        <v>1664</v>
      </c>
      <c r="E108" s="4" t="s">
        <v>1321</v>
      </c>
      <c r="F108" s="4" t="s">
        <v>1315</v>
      </c>
      <c r="G108" s="4" t="s">
        <v>1665</v>
      </c>
      <c r="H108" s="4" t="s">
        <v>324</v>
      </c>
      <c r="I108" s="4" t="s">
        <v>937</v>
      </c>
      <c r="J108" s="4" t="s">
        <v>30</v>
      </c>
      <c r="K108" s="4" t="s">
        <v>30</v>
      </c>
      <c r="L108" s="2" t="s">
        <v>330</v>
      </c>
      <c r="M108" s="2" t="s">
        <v>31</v>
      </c>
      <c r="N108" s="4" t="s">
        <v>451</v>
      </c>
      <c r="O108" s="4" t="s">
        <v>140</v>
      </c>
      <c r="P108" s="4" t="s">
        <v>34</v>
      </c>
      <c r="Q108" s="157">
        <v>3713</v>
      </c>
      <c r="R108" s="174">
        <v>1</v>
      </c>
      <c r="S108" s="176">
        <v>3644</v>
      </c>
      <c r="U108" s="157">
        <v>135.30199999999999</v>
      </c>
      <c r="V108" s="173">
        <v>1.9999999999999999E-6</v>
      </c>
      <c r="W108" s="173">
        <v>3.66318752263219E-2</v>
      </c>
      <c r="X108" s="173">
        <v>1.11965887716671E-2</v>
      </c>
    </row>
    <row r="109" spans="1:24">
      <c r="A109" s="4">
        <v>419</v>
      </c>
      <c r="B109" s="4">
        <v>12435</v>
      </c>
      <c r="C109" s="4" t="s">
        <v>1670</v>
      </c>
      <c r="D109" s="4" t="s">
        <v>1671</v>
      </c>
      <c r="E109" s="4" t="s">
        <v>1321</v>
      </c>
      <c r="F109" s="4" t="s">
        <v>1672</v>
      </c>
      <c r="G109" s="4" t="s">
        <v>1673</v>
      </c>
      <c r="H109" s="4" t="s">
        <v>324</v>
      </c>
      <c r="I109" s="4" t="s">
        <v>937</v>
      </c>
      <c r="J109" s="4" t="s">
        <v>30</v>
      </c>
      <c r="K109" s="4" t="s">
        <v>30</v>
      </c>
      <c r="L109" s="2" t="s">
        <v>330</v>
      </c>
      <c r="M109" s="2" t="s">
        <v>31</v>
      </c>
      <c r="N109" s="4" t="s">
        <v>467</v>
      </c>
      <c r="O109" s="4" t="s">
        <v>140</v>
      </c>
      <c r="P109" s="4" t="s">
        <v>34</v>
      </c>
      <c r="Q109" s="157">
        <v>6976</v>
      </c>
      <c r="R109" s="174">
        <v>1</v>
      </c>
      <c r="S109" s="176">
        <v>954</v>
      </c>
      <c r="U109" s="157">
        <v>66.551000000000002</v>
      </c>
      <c r="V109" s="173">
        <v>9.0000000000000002E-6</v>
      </c>
      <c r="W109" s="173">
        <v>1.80181700089397E-2</v>
      </c>
      <c r="X109" s="173">
        <v>5.5072812615151604E-3</v>
      </c>
    </row>
    <row r="110" spans="1:24">
      <c r="A110" s="4">
        <v>419</v>
      </c>
      <c r="B110" s="4">
        <v>12435</v>
      </c>
      <c r="C110" s="4" t="s">
        <v>1678</v>
      </c>
      <c r="D110" s="4" t="s">
        <v>1679</v>
      </c>
      <c r="E110" s="4" t="s">
        <v>1321</v>
      </c>
      <c r="F110" s="4" t="s">
        <v>1680</v>
      </c>
      <c r="G110" s="4" t="s">
        <v>1681</v>
      </c>
      <c r="H110" s="4" t="s">
        <v>324</v>
      </c>
      <c r="I110" s="4" t="s">
        <v>937</v>
      </c>
      <c r="J110" s="4" t="s">
        <v>30</v>
      </c>
      <c r="K110" s="4" t="s">
        <v>30</v>
      </c>
      <c r="L110" s="2" t="s">
        <v>330</v>
      </c>
      <c r="M110" s="2" t="s">
        <v>31</v>
      </c>
      <c r="N110" s="4" t="s">
        <v>462</v>
      </c>
      <c r="O110" s="4" t="s">
        <v>140</v>
      </c>
      <c r="P110" s="4" t="s">
        <v>34</v>
      </c>
      <c r="Q110" s="157">
        <v>37</v>
      </c>
      <c r="R110" s="174">
        <v>1</v>
      </c>
      <c r="S110" s="176">
        <v>15960</v>
      </c>
      <c r="U110" s="157">
        <v>5.9050000000000002</v>
      </c>
      <c r="V110" s="173">
        <v>1.1E-5</v>
      </c>
      <c r="W110" s="173">
        <v>1.5987863981808601E-3</v>
      </c>
      <c r="X110" s="173">
        <v>4.8867151145195195E-4</v>
      </c>
    </row>
    <row r="111" spans="1:24">
      <c r="A111" s="4">
        <v>419</v>
      </c>
      <c r="B111" s="4">
        <v>12435</v>
      </c>
      <c r="C111" s="4" t="s">
        <v>1686</v>
      </c>
      <c r="D111" s="4" t="s">
        <v>1323</v>
      </c>
      <c r="E111" s="4" t="s">
        <v>1321</v>
      </c>
      <c r="F111" s="4" t="s">
        <v>1687</v>
      </c>
      <c r="G111" s="4" t="s">
        <v>1688</v>
      </c>
      <c r="H111" s="4" t="s">
        <v>324</v>
      </c>
      <c r="I111" s="4" t="s">
        <v>937</v>
      </c>
      <c r="J111" s="4" t="s">
        <v>30</v>
      </c>
      <c r="K111" s="4" t="s">
        <v>30</v>
      </c>
      <c r="L111" s="2" t="s">
        <v>330</v>
      </c>
      <c r="M111" s="2" t="s">
        <v>31</v>
      </c>
      <c r="N111" s="4" t="s">
        <v>451</v>
      </c>
      <c r="O111" s="4" t="s">
        <v>140</v>
      </c>
      <c r="P111" s="4" t="s">
        <v>34</v>
      </c>
      <c r="Q111" s="157">
        <v>400</v>
      </c>
      <c r="R111" s="174">
        <v>1</v>
      </c>
      <c r="S111" s="176">
        <v>14550</v>
      </c>
      <c r="U111" s="157">
        <v>58.2</v>
      </c>
      <c r="V111" s="173">
        <v>1.9999999999999999E-6</v>
      </c>
      <c r="W111" s="173">
        <v>1.57571916910733E-2</v>
      </c>
      <c r="X111" s="173">
        <v>4.8162097755374304E-3</v>
      </c>
    </row>
    <row r="112" spans="1:24">
      <c r="A112" s="4">
        <v>419</v>
      </c>
      <c r="B112" s="4">
        <v>12435</v>
      </c>
      <c r="C112" s="4" t="s">
        <v>1689</v>
      </c>
      <c r="D112" s="4" t="s">
        <v>1690</v>
      </c>
      <c r="E112" s="4" t="s">
        <v>1321</v>
      </c>
      <c r="F112" s="4" t="s">
        <v>1691</v>
      </c>
      <c r="G112" s="4" t="s">
        <v>1692</v>
      </c>
      <c r="H112" s="4" t="s">
        <v>324</v>
      </c>
      <c r="I112" s="4" t="s">
        <v>937</v>
      </c>
      <c r="J112" s="4" t="s">
        <v>30</v>
      </c>
      <c r="K112" s="4" t="s">
        <v>30</v>
      </c>
      <c r="L112" s="2" t="s">
        <v>330</v>
      </c>
      <c r="M112" s="2" t="s">
        <v>31</v>
      </c>
      <c r="N112" s="4" t="s">
        <v>480</v>
      </c>
      <c r="O112" s="4" t="s">
        <v>140</v>
      </c>
      <c r="P112" s="4" t="s">
        <v>34</v>
      </c>
      <c r="Q112" s="157">
        <v>90</v>
      </c>
      <c r="R112" s="174">
        <v>1</v>
      </c>
      <c r="S112" s="176">
        <v>7125</v>
      </c>
      <c r="T112" s="156">
        <v>7.3999999999999996E-2</v>
      </c>
      <c r="U112" s="157">
        <v>6.4859999999999998</v>
      </c>
      <c r="V112" s="173">
        <v>9.9999999999999995E-7</v>
      </c>
      <c r="W112" s="173">
        <v>1.75611464717885E-3</v>
      </c>
      <c r="X112" s="173">
        <v>5.3675913173657102E-4</v>
      </c>
    </row>
    <row r="113" spans="1:24">
      <c r="A113" s="4">
        <v>419</v>
      </c>
      <c r="B113" s="4">
        <v>12435</v>
      </c>
      <c r="C113" s="4" t="s">
        <v>1693</v>
      </c>
      <c r="D113" s="4" t="s">
        <v>1694</v>
      </c>
      <c r="E113" s="4" t="s">
        <v>1321</v>
      </c>
      <c r="F113" s="4" t="s">
        <v>1695</v>
      </c>
      <c r="G113" s="4" t="s">
        <v>1696</v>
      </c>
      <c r="H113" s="4" t="s">
        <v>324</v>
      </c>
      <c r="I113" s="4" t="s">
        <v>937</v>
      </c>
      <c r="J113" s="4" t="s">
        <v>30</v>
      </c>
      <c r="K113" s="4" t="s">
        <v>30</v>
      </c>
      <c r="L113" s="2" t="s">
        <v>330</v>
      </c>
      <c r="M113" s="2" t="s">
        <v>31</v>
      </c>
      <c r="N113" s="4" t="s">
        <v>467</v>
      </c>
      <c r="O113" s="4" t="s">
        <v>140</v>
      </c>
      <c r="P113" s="4" t="s">
        <v>34</v>
      </c>
      <c r="Q113" s="157">
        <v>127</v>
      </c>
      <c r="R113" s="174">
        <v>1</v>
      </c>
      <c r="S113" s="176">
        <v>28210</v>
      </c>
      <c r="U113" s="157">
        <v>35.826999999999998</v>
      </c>
      <c r="V113" s="173">
        <v>3.0000000000000001E-6</v>
      </c>
      <c r="W113" s="173">
        <v>9.6997968996319107E-3</v>
      </c>
      <c r="X113" s="173">
        <v>2.9647577794715899E-3</v>
      </c>
    </row>
    <row r="114" spans="1:24">
      <c r="A114" s="4">
        <v>419</v>
      </c>
      <c r="B114" s="4">
        <v>12435</v>
      </c>
      <c r="C114" s="4" t="s">
        <v>1697</v>
      </c>
      <c r="D114" s="4" t="s">
        <v>1698</v>
      </c>
      <c r="E114" s="4" t="s">
        <v>1321</v>
      </c>
      <c r="F114" s="4" t="s">
        <v>1699</v>
      </c>
      <c r="G114" s="4" t="s">
        <v>1700</v>
      </c>
      <c r="H114" s="4" t="s">
        <v>324</v>
      </c>
      <c r="I114" s="4" t="s">
        <v>937</v>
      </c>
      <c r="J114" s="4" t="s">
        <v>30</v>
      </c>
      <c r="K114" s="4" t="s">
        <v>30</v>
      </c>
      <c r="L114" s="2" t="s">
        <v>330</v>
      </c>
      <c r="M114" s="2" t="s">
        <v>31</v>
      </c>
      <c r="N114" s="4" t="s">
        <v>448</v>
      </c>
      <c r="O114" s="4" t="s">
        <v>140</v>
      </c>
      <c r="P114" s="4" t="s">
        <v>34</v>
      </c>
      <c r="Q114" s="157">
        <v>606</v>
      </c>
      <c r="R114" s="174">
        <v>1</v>
      </c>
      <c r="S114" s="176">
        <v>10880</v>
      </c>
      <c r="U114" s="157">
        <v>65.933000000000007</v>
      </c>
      <c r="V114" s="173">
        <v>1.0000000000000001E-5</v>
      </c>
      <c r="W114" s="173">
        <v>1.7850786397408901E-2</v>
      </c>
      <c r="X114" s="173">
        <v>5.4561202042706898E-3</v>
      </c>
    </row>
    <row r="115" spans="1:24">
      <c r="A115" s="4">
        <v>419</v>
      </c>
      <c r="B115" s="4">
        <v>12435</v>
      </c>
      <c r="C115" s="4" t="s">
        <v>1701</v>
      </c>
      <c r="D115" s="4" t="s">
        <v>1702</v>
      </c>
      <c r="E115" s="4" t="s">
        <v>1321</v>
      </c>
      <c r="F115" s="4" t="s">
        <v>1703</v>
      </c>
      <c r="G115" s="4" t="s">
        <v>1704</v>
      </c>
      <c r="H115" s="4" t="s">
        <v>324</v>
      </c>
      <c r="I115" s="4" t="s">
        <v>937</v>
      </c>
      <c r="J115" s="4" t="s">
        <v>30</v>
      </c>
      <c r="K115" s="4" t="s">
        <v>30</v>
      </c>
      <c r="L115" s="2" t="s">
        <v>330</v>
      </c>
      <c r="M115" s="2" t="s">
        <v>31</v>
      </c>
      <c r="N115" s="4" t="s">
        <v>446</v>
      </c>
      <c r="O115" s="4" t="s">
        <v>140</v>
      </c>
      <c r="P115" s="4" t="s">
        <v>34</v>
      </c>
      <c r="Q115" s="157">
        <v>1659</v>
      </c>
      <c r="R115" s="174">
        <v>1</v>
      </c>
      <c r="S115" s="176">
        <v>1350</v>
      </c>
      <c r="U115" s="157">
        <v>22.396000000000001</v>
      </c>
      <c r="V115" s="173">
        <v>2.6999999999999999E-5</v>
      </c>
      <c r="W115" s="173">
        <v>6.0636760087478397E-3</v>
      </c>
      <c r="X115" s="173">
        <v>1.85337185975643E-3</v>
      </c>
    </row>
    <row r="116" spans="1:24">
      <c r="A116" s="4">
        <v>419</v>
      </c>
      <c r="B116" s="4">
        <v>12435</v>
      </c>
      <c r="C116" s="4" t="s">
        <v>1705</v>
      </c>
      <c r="D116" s="4" t="s">
        <v>1706</v>
      </c>
      <c r="E116" s="4" t="s">
        <v>1321</v>
      </c>
      <c r="F116" s="4" t="s">
        <v>1707</v>
      </c>
      <c r="G116" s="4" t="s">
        <v>1708</v>
      </c>
      <c r="H116" s="4" t="s">
        <v>324</v>
      </c>
      <c r="I116" s="4" t="s">
        <v>937</v>
      </c>
      <c r="J116" s="4" t="s">
        <v>30</v>
      </c>
      <c r="K116" s="4" t="s">
        <v>30</v>
      </c>
      <c r="L116" s="2" t="s">
        <v>330</v>
      </c>
      <c r="M116" s="2" t="s">
        <v>31</v>
      </c>
      <c r="N116" s="4" t="s">
        <v>479</v>
      </c>
      <c r="O116" s="4" t="s">
        <v>140</v>
      </c>
      <c r="P116" s="4" t="s">
        <v>34</v>
      </c>
      <c r="Q116" s="157">
        <v>1500</v>
      </c>
      <c r="R116" s="174">
        <v>1</v>
      </c>
      <c r="S116" s="176">
        <v>1049</v>
      </c>
      <c r="U116" s="157">
        <v>15.734999999999999</v>
      </c>
      <c r="V116" s="173">
        <v>1.1E-5</v>
      </c>
      <c r="W116" s="173">
        <v>4.2601273412206002E-3</v>
      </c>
      <c r="X116" s="173">
        <v>1.3021144470460699E-3</v>
      </c>
    </row>
    <row r="117" spans="1:24">
      <c r="A117" s="4">
        <v>419</v>
      </c>
      <c r="B117" s="4">
        <v>12435</v>
      </c>
      <c r="C117" s="4" t="s">
        <v>1709</v>
      </c>
      <c r="D117" s="4" t="s">
        <v>1710</v>
      </c>
      <c r="E117" s="4" t="s">
        <v>314</v>
      </c>
      <c r="F117" s="4" t="s">
        <v>1711</v>
      </c>
      <c r="G117" s="4" t="s">
        <v>1712</v>
      </c>
      <c r="H117" s="4" t="s">
        <v>324</v>
      </c>
      <c r="I117" s="4" t="s">
        <v>937</v>
      </c>
      <c r="J117" s="4" t="s">
        <v>30</v>
      </c>
      <c r="K117" s="4" t="s">
        <v>30</v>
      </c>
      <c r="L117" s="2" t="s">
        <v>330</v>
      </c>
      <c r="M117" s="2" t="s">
        <v>31</v>
      </c>
      <c r="N117" s="4" t="s">
        <v>457</v>
      </c>
      <c r="O117" s="4" t="s">
        <v>140</v>
      </c>
      <c r="P117" s="4" t="s">
        <v>34</v>
      </c>
      <c r="Q117" s="157">
        <v>4926</v>
      </c>
      <c r="R117" s="174">
        <v>1</v>
      </c>
      <c r="S117" s="176">
        <v>1025</v>
      </c>
      <c r="U117" s="157">
        <v>50.491999999999997</v>
      </c>
      <c r="V117" s="173">
        <v>3.9999999999999998E-6</v>
      </c>
      <c r="W117" s="173">
        <v>1.3670176018382E-2</v>
      </c>
      <c r="X117" s="173">
        <v>4.1783102385145703E-3</v>
      </c>
    </row>
    <row r="118" spans="1:24">
      <c r="A118" s="4">
        <v>419</v>
      </c>
      <c r="B118" s="4">
        <v>12435</v>
      </c>
      <c r="C118" s="4" t="s">
        <v>1713</v>
      </c>
      <c r="D118" s="4" t="s">
        <v>1714</v>
      </c>
      <c r="E118" s="4" t="s">
        <v>1321</v>
      </c>
      <c r="F118" s="4" t="s">
        <v>1715</v>
      </c>
      <c r="G118" s="4" t="s">
        <v>1716</v>
      </c>
      <c r="H118" s="4" t="s">
        <v>324</v>
      </c>
      <c r="I118" s="4" t="s">
        <v>937</v>
      </c>
      <c r="J118" s="4" t="s">
        <v>30</v>
      </c>
      <c r="K118" s="4" t="s">
        <v>228</v>
      </c>
      <c r="L118" s="2" t="s">
        <v>330</v>
      </c>
      <c r="M118" s="2" t="s">
        <v>31</v>
      </c>
      <c r="N118" s="4" t="s">
        <v>484</v>
      </c>
      <c r="O118" s="4" t="s">
        <v>140</v>
      </c>
      <c r="P118" s="4" t="s">
        <v>34</v>
      </c>
      <c r="Q118" s="157">
        <v>289</v>
      </c>
      <c r="R118" s="174">
        <v>1</v>
      </c>
      <c r="S118" s="176">
        <v>64880</v>
      </c>
      <c r="U118" s="157">
        <v>187.50299999999999</v>
      </c>
      <c r="V118" s="173">
        <v>5.0000000000000004E-6</v>
      </c>
      <c r="W118" s="173">
        <v>5.07650148640836E-2</v>
      </c>
      <c r="X118" s="173">
        <v>1.55164045495627E-2</v>
      </c>
    </row>
    <row r="119" spans="1:24">
      <c r="A119" s="4">
        <v>419</v>
      </c>
      <c r="B119" s="4">
        <v>12435</v>
      </c>
      <c r="C119" s="4" t="s">
        <v>1893</v>
      </c>
      <c r="D119" s="4" t="s">
        <v>1894</v>
      </c>
      <c r="E119" s="4" t="s">
        <v>1321</v>
      </c>
      <c r="F119" s="4" t="s">
        <v>1895</v>
      </c>
      <c r="G119" s="4" t="s">
        <v>1896</v>
      </c>
      <c r="H119" s="4" t="s">
        <v>324</v>
      </c>
      <c r="I119" s="4" t="s">
        <v>937</v>
      </c>
      <c r="J119" s="4" t="s">
        <v>30</v>
      </c>
      <c r="K119" s="4" t="s">
        <v>300</v>
      </c>
      <c r="L119" s="2" t="s">
        <v>330</v>
      </c>
      <c r="M119" s="2" t="s">
        <v>31</v>
      </c>
      <c r="N119" s="4" t="s">
        <v>468</v>
      </c>
      <c r="O119" s="4" t="s">
        <v>140</v>
      </c>
      <c r="P119" s="4" t="s">
        <v>34</v>
      </c>
      <c r="Q119" s="157">
        <v>50</v>
      </c>
      <c r="R119" s="174">
        <v>1</v>
      </c>
      <c r="S119" s="176">
        <v>5570</v>
      </c>
      <c r="U119" s="157">
        <v>2.7850000000000001</v>
      </c>
      <c r="V119" s="173">
        <v>9.9999999999999995E-7</v>
      </c>
      <c r="W119" s="173">
        <v>7.54016818894146E-4</v>
      </c>
      <c r="X119" s="173">
        <v>2.3046639561635299E-4</v>
      </c>
    </row>
    <row r="120" spans="1:24">
      <c r="A120" s="4">
        <v>419</v>
      </c>
      <c r="B120" s="4">
        <v>12435</v>
      </c>
      <c r="C120" s="4" t="s">
        <v>1717</v>
      </c>
      <c r="D120" s="4" t="s">
        <v>1718</v>
      </c>
      <c r="E120" s="4" t="s">
        <v>1321</v>
      </c>
      <c r="F120" s="4" t="s">
        <v>1719</v>
      </c>
      <c r="G120" s="4" t="s">
        <v>1720</v>
      </c>
      <c r="H120" s="4" t="s">
        <v>324</v>
      </c>
      <c r="I120" s="4" t="s">
        <v>937</v>
      </c>
      <c r="J120" s="4" t="s">
        <v>30</v>
      </c>
      <c r="K120" s="4" t="s">
        <v>30</v>
      </c>
      <c r="L120" s="2" t="s">
        <v>330</v>
      </c>
      <c r="M120" s="2" t="s">
        <v>31</v>
      </c>
      <c r="N120" s="4" t="s">
        <v>488</v>
      </c>
      <c r="O120" s="4" t="s">
        <v>140</v>
      </c>
      <c r="P120" s="4" t="s">
        <v>34</v>
      </c>
      <c r="Q120" s="157">
        <v>1151</v>
      </c>
      <c r="R120" s="174">
        <v>1</v>
      </c>
      <c r="S120" s="176">
        <v>1670</v>
      </c>
      <c r="U120" s="157">
        <v>19.222000000000001</v>
      </c>
      <c r="V120" s="173">
        <v>6.9999999999999999E-6</v>
      </c>
      <c r="W120" s="173">
        <v>5.2041239094210399E-3</v>
      </c>
      <c r="X120" s="173">
        <v>1.5906484440283101E-3</v>
      </c>
    </row>
    <row r="121" spans="1:24">
      <c r="A121" s="4">
        <v>419</v>
      </c>
      <c r="B121" s="4">
        <v>12435</v>
      </c>
      <c r="C121" s="4" t="s">
        <v>1721</v>
      </c>
      <c r="D121" s="4" t="s">
        <v>1722</v>
      </c>
      <c r="E121" s="4" t="s">
        <v>1321</v>
      </c>
      <c r="F121" s="4" t="s">
        <v>1723</v>
      </c>
      <c r="G121" s="4" t="s">
        <v>1724</v>
      </c>
      <c r="H121" s="4" t="s">
        <v>324</v>
      </c>
      <c r="I121" s="4" t="s">
        <v>937</v>
      </c>
      <c r="J121" s="4" t="s">
        <v>30</v>
      </c>
      <c r="K121" s="4" t="s">
        <v>30</v>
      </c>
      <c r="L121" s="2" t="s">
        <v>330</v>
      </c>
      <c r="M121" s="2" t="s">
        <v>31</v>
      </c>
      <c r="N121" s="4" t="s">
        <v>467</v>
      </c>
      <c r="O121" s="4" t="s">
        <v>140</v>
      </c>
      <c r="P121" s="4" t="s">
        <v>34</v>
      </c>
      <c r="Q121" s="157">
        <v>198</v>
      </c>
      <c r="R121" s="174">
        <v>1</v>
      </c>
      <c r="S121" s="176">
        <v>25940</v>
      </c>
      <c r="U121" s="157">
        <v>51.360999999999997</v>
      </c>
      <c r="V121" s="173">
        <v>1.9999999999999999E-6</v>
      </c>
      <c r="W121" s="173">
        <v>1.39056404447346E-2</v>
      </c>
      <c r="X121" s="173">
        <v>4.2502803010881903E-3</v>
      </c>
    </row>
    <row r="122" spans="1:24">
      <c r="A122" s="4">
        <v>419</v>
      </c>
      <c r="B122" s="4">
        <v>12435</v>
      </c>
      <c r="C122" s="4" t="s">
        <v>1725</v>
      </c>
      <c r="D122" s="4" t="s">
        <v>1726</v>
      </c>
      <c r="E122" s="4" t="s">
        <v>1321</v>
      </c>
      <c r="F122" s="4" t="s">
        <v>1727</v>
      </c>
      <c r="G122" s="4" t="s">
        <v>1728</v>
      </c>
      <c r="H122" s="4" t="s">
        <v>324</v>
      </c>
      <c r="I122" s="4" t="s">
        <v>937</v>
      </c>
      <c r="J122" s="4" t="s">
        <v>30</v>
      </c>
      <c r="K122" s="4" t="s">
        <v>30</v>
      </c>
      <c r="L122" s="2" t="s">
        <v>330</v>
      </c>
      <c r="M122" s="2" t="s">
        <v>31</v>
      </c>
      <c r="N122" s="4" t="s">
        <v>451</v>
      </c>
      <c r="O122" s="4" t="s">
        <v>140</v>
      </c>
      <c r="P122" s="4" t="s">
        <v>34</v>
      </c>
      <c r="Q122" s="157">
        <v>4156</v>
      </c>
      <c r="R122" s="174">
        <v>1</v>
      </c>
      <c r="S122" s="176">
        <v>3729</v>
      </c>
      <c r="U122" s="157">
        <v>154.977</v>
      </c>
      <c r="V122" s="173">
        <v>3.0000000000000001E-6</v>
      </c>
      <c r="W122" s="173">
        <v>4.1958867327035701E-2</v>
      </c>
      <c r="X122" s="173">
        <v>1.28247920665603E-2</v>
      </c>
    </row>
    <row r="123" spans="1:24">
      <c r="A123" s="4">
        <v>419</v>
      </c>
      <c r="B123" s="4">
        <v>12435</v>
      </c>
      <c r="C123" s="4" t="s">
        <v>1729</v>
      </c>
      <c r="D123" s="4" t="s">
        <v>1730</v>
      </c>
      <c r="E123" s="4" t="s">
        <v>1321</v>
      </c>
      <c r="F123" s="4" t="s">
        <v>1731</v>
      </c>
      <c r="G123" s="4" t="s">
        <v>1732</v>
      </c>
      <c r="H123" s="4" t="s">
        <v>324</v>
      </c>
      <c r="I123" s="4" t="s">
        <v>937</v>
      </c>
      <c r="J123" s="4" t="s">
        <v>30</v>
      </c>
      <c r="K123" s="4" t="s">
        <v>30</v>
      </c>
      <c r="L123" s="2" t="s">
        <v>330</v>
      </c>
      <c r="M123" s="2" t="s">
        <v>31</v>
      </c>
      <c r="N123" s="4" t="s">
        <v>480</v>
      </c>
      <c r="O123" s="4" t="s">
        <v>140</v>
      </c>
      <c r="P123" s="4" t="s">
        <v>34</v>
      </c>
      <c r="Q123" s="157">
        <v>25</v>
      </c>
      <c r="R123" s="174">
        <v>1</v>
      </c>
      <c r="S123" s="176">
        <v>29830</v>
      </c>
      <c r="U123" s="157">
        <v>7.4569999999999999</v>
      </c>
      <c r="V123" s="173">
        <v>1.9999999999999999E-6</v>
      </c>
      <c r="W123" s="173">
        <v>2.01905939924707E-3</v>
      </c>
      <c r="X123" s="173">
        <v>6.1712859795653497E-4</v>
      </c>
    </row>
    <row r="124" spans="1:24">
      <c r="A124" s="4">
        <v>419</v>
      </c>
      <c r="B124" s="4">
        <v>12435</v>
      </c>
      <c r="C124" s="4" t="s">
        <v>1897</v>
      </c>
      <c r="D124" s="4" t="s">
        <v>1898</v>
      </c>
      <c r="E124" s="4" t="s">
        <v>1321</v>
      </c>
      <c r="F124" s="4" t="s">
        <v>1899</v>
      </c>
      <c r="G124" s="4" t="s">
        <v>1900</v>
      </c>
      <c r="H124" s="4" t="s">
        <v>324</v>
      </c>
      <c r="I124" s="4" t="s">
        <v>937</v>
      </c>
      <c r="J124" s="4" t="s">
        <v>30</v>
      </c>
      <c r="K124" s="4" t="s">
        <v>30</v>
      </c>
      <c r="L124" s="2" t="s">
        <v>330</v>
      </c>
      <c r="M124" s="2" t="s">
        <v>31</v>
      </c>
      <c r="N124" s="4" t="s">
        <v>443</v>
      </c>
      <c r="O124" s="4" t="s">
        <v>140</v>
      </c>
      <c r="P124" s="4" t="s">
        <v>34</v>
      </c>
      <c r="Q124" s="157">
        <v>15</v>
      </c>
      <c r="R124" s="174">
        <v>1</v>
      </c>
      <c r="S124" s="176">
        <v>5597</v>
      </c>
      <c r="U124" s="157">
        <v>0.84</v>
      </c>
      <c r="V124" s="173">
        <v>9.9999999999999995E-7</v>
      </c>
      <c r="W124" s="173">
        <v>2.27301551275612E-4</v>
      </c>
      <c r="X124" s="173">
        <v>6.9475067303306599E-5</v>
      </c>
    </row>
    <row r="125" spans="1:24">
      <c r="A125" s="4">
        <v>419</v>
      </c>
      <c r="B125" s="4">
        <v>12435</v>
      </c>
      <c r="C125" s="4" t="s">
        <v>1901</v>
      </c>
      <c r="D125" s="4" t="s">
        <v>1902</v>
      </c>
      <c r="E125" s="4" t="s">
        <v>1321</v>
      </c>
      <c r="F125" s="4" t="s">
        <v>1903</v>
      </c>
      <c r="G125" s="4" t="s">
        <v>1904</v>
      </c>
      <c r="H125" s="4" t="s">
        <v>324</v>
      </c>
      <c r="I125" s="4" t="s">
        <v>937</v>
      </c>
      <c r="J125" s="4" t="s">
        <v>30</v>
      </c>
      <c r="K125" s="4" t="s">
        <v>30</v>
      </c>
      <c r="L125" s="2" t="s">
        <v>330</v>
      </c>
      <c r="M125" s="2" t="s">
        <v>31</v>
      </c>
      <c r="N125" s="4" t="s">
        <v>451</v>
      </c>
      <c r="O125" s="4" t="s">
        <v>140</v>
      </c>
      <c r="P125" s="4" t="s">
        <v>34</v>
      </c>
      <c r="Q125" s="157">
        <v>22</v>
      </c>
      <c r="R125" s="174">
        <v>1</v>
      </c>
      <c r="S125" s="176">
        <v>16370</v>
      </c>
      <c r="U125" s="157">
        <v>3.601</v>
      </c>
      <c r="V125" s="173">
        <v>9.9999999999999995E-7</v>
      </c>
      <c r="W125" s="173">
        <v>9.7505068996961398E-4</v>
      </c>
      <c r="X125" s="173">
        <v>2.9802573686633102E-4</v>
      </c>
    </row>
    <row r="126" spans="1:24">
      <c r="A126" s="4">
        <v>419</v>
      </c>
      <c r="B126" s="4">
        <v>12435</v>
      </c>
      <c r="C126" s="4" t="s">
        <v>1733</v>
      </c>
      <c r="D126" s="4" t="s">
        <v>1734</v>
      </c>
      <c r="E126" s="4" t="s">
        <v>1321</v>
      </c>
      <c r="F126" s="4" t="s">
        <v>1735</v>
      </c>
      <c r="G126" s="4" t="s">
        <v>1736</v>
      </c>
      <c r="H126" s="4" t="s">
        <v>324</v>
      </c>
      <c r="I126" s="4" t="s">
        <v>937</v>
      </c>
      <c r="J126" s="4" t="s">
        <v>30</v>
      </c>
      <c r="K126" s="4" t="s">
        <v>30</v>
      </c>
      <c r="L126" s="2" t="s">
        <v>330</v>
      </c>
      <c r="M126" s="2" t="s">
        <v>31</v>
      </c>
      <c r="N126" s="4" t="s">
        <v>488</v>
      </c>
      <c r="O126" s="4" t="s">
        <v>140</v>
      </c>
      <c r="P126" s="4" t="s">
        <v>34</v>
      </c>
      <c r="Q126" s="157">
        <v>2846</v>
      </c>
      <c r="R126" s="174">
        <v>1</v>
      </c>
      <c r="S126" s="176">
        <v>1606</v>
      </c>
      <c r="U126" s="157">
        <v>45.707000000000001</v>
      </c>
      <c r="V126" s="173">
        <v>1.5E-5</v>
      </c>
      <c r="W126" s="173">
        <v>1.2374745341888E-2</v>
      </c>
      <c r="X126" s="173">
        <v>3.7823598680436902E-3</v>
      </c>
    </row>
    <row r="127" spans="1:24">
      <c r="A127" s="4">
        <v>419</v>
      </c>
      <c r="B127" s="4">
        <v>12435</v>
      </c>
      <c r="C127" s="4" t="s">
        <v>1905</v>
      </c>
      <c r="D127" s="4" t="s">
        <v>1906</v>
      </c>
      <c r="E127" s="4" t="s">
        <v>1321</v>
      </c>
      <c r="F127" s="4" t="s">
        <v>1907</v>
      </c>
      <c r="G127" s="4" t="s">
        <v>1908</v>
      </c>
      <c r="H127" s="4" t="s">
        <v>324</v>
      </c>
      <c r="I127" s="4" t="s">
        <v>937</v>
      </c>
      <c r="J127" s="4" t="s">
        <v>30</v>
      </c>
      <c r="K127" s="4" t="s">
        <v>30</v>
      </c>
      <c r="L127" s="2" t="s">
        <v>330</v>
      </c>
      <c r="M127" s="2" t="s">
        <v>31</v>
      </c>
      <c r="N127" s="4" t="s">
        <v>464</v>
      </c>
      <c r="O127" s="4" t="s">
        <v>140</v>
      </c>
      <c r="P127" s="4" t="s">
        <v>34</v>
      </c>
      <c r="Q127" s="157">
        <v>18</v>
      </c>
      <c r="R127" s="174">
        <v>1</v>
      </c>
      <c r="S127" s="176">
        <v>42630</v>
      </c>
      <c r="U127" s="157">
        <v>7.673</v>
      </c>
      <c r="V127" s="173">
        <v>9.9999999999999995E-7</v>
      </c>
      <c r="W127" s="173">
        <v>2.0775126240942E-3</v>
      </c>
      <c r="X127" s="173">
        <v>6.3499491566338295E-4</v>
      </c>
    </row>
    <row r="128" spans="1:24">
      <c r="A128" s="4">
        <v>419</v>
      </c>
      <c r="B128" s="4">
        <v>12435</v>
      </c>
      <c r="C128" s="4" t="s">
        <v>1741</v>
      </c>
      <c r="D128" s="4" t="s">
        <v>1742</v>
      </c>
      <c r="E128" s="4" t="s">
        <v>1321</v>
      </c>
      <c r="F128" s="4" t="s">
        <v>1743</v>
      </c>
      <c r="G128" s="4" t="s">
        <v>1744</v>
      </c>
      <c r="H128" s="4" t="s">
        <v>324</v>
      </c>
      <c r="I128" s="4" t="s">
        <v>937</v>
      </c>
      <c r="J128" s="4" t="s">
        <v>30</v>
      </c>
      <c r="K128" s="4" t="s">
        <v>30</v>
      </c>
      <c r="L128" s="2" t="s">
        <v>330</v>
      </c>
      <c r="M128" s="2" t="s">
        <v>31</v>
      </c>
      <c r="N128" s="4" t="s">
        <v>466</v>
      </c>
      <c r="O128" s="4" t="s">
        <v>140</v>
      </c>
      <c r="P128" s="4" t="s">
        <v>34</v>
      </c>
      <c r="Q128" s="157">
        <v>5121</v>
      </c>
      <c r="R128" s="174">
        <v>1</v>
      </c>
      <c r="S128" s="176">
        <v>551.79999999999995</v>
      </c>
      <c r="U128" s="157">
        <v>28.257999999999999</v>
      </c>
      <c r="V128" s="173">
        <v>1.8E-5</v>
      </c>
      <c r="W128" s="173">
        <v>7.6505437970897996E-3</v>
      </c>
      <c r="X128" s="173">
        <v>2.3384004298554798E-3</v>
      </c>
    </row>
    <row r="129" spans="1:24">
      <c r="A129" s="4">
        <v>419</v>
      </c>
      <c r="B129" s="4">
        <v>12435</v>
      </c>
      <c r="C129" s="4" t="s">
        <v>1745</v>
      </c>
      <c r="D129" s="4" t="s">
        <v>1746</v>
      </c>
      <c r="E129" s="4" t="s">
        <v>1321</v>
      </c>
      <c r="F129" s="4" t="s">
        <v>1747</v>
      </c>
      <c r="G129" s="4" t="s">
        <v>1748</v>
      </c>
      <c r="H129" s="4" t="s">
        <v>324</v>
      </c>
      <c r="I129" s="4" t="s">
        <v>937</v>
      </c>
      <c r="J129" s="4" t="s">
        <v>30</v>
      </c>
      <c r="K129" s="4" t="s">
        <v>30</v>
      </c>
      <c r="L129" s="2" t="s">
        <v>330</v>
      </c>
      <c r="M129" s="2" t="s">
        <v>31</v>
      </c>
      <c r="N129" s="4" t="s">
        <v>467</v>
      </c>
      <c r="O129" s="4" t="s">
        <v>140</v>
      </c>
      <c r="P129" s="4" t="s">
        <v>34</v>
      </c>
      <c r="Q129" s="157">
        <v>59.85</v>
      </c>
      <c r="R129" s="174">
        <v>1</v>
      </c>
      <c r="S129" s="176">
        <v>30.2</v>
      </c>
      <c r="U129" s="157">
        <v>1.7999999999999999E-2</v>
      </c>
      <c r="V129" s="173">
        <v>0</v>
      </c>
      <c r="W129" s="173">
        <v>4.89358269172927E-6</v>
      </c>
      <c r="X129" s="173">
        <v>1.4957310451873899E-6</v>
      </c>
    </row>
    <row r="130" spans="1:24">
      <c r="A130" s="4">
        <v>419</v>
      </c>
      <c r="B130" s="4">
        <v>12435</v>
      </c>
      <c r="C130" s="4" t="s">
        <v>1745</v>
      </c>
      <c r="D130" s="4" t="s">
        <v>1746</v>
      </c>
      <c r="E130" s="4" t="s">
        <v>1321</v>
      </c>
      <c r="F130" s="4" t="s">
        <v>1749</v>
      </c>
      <c r="G130" s="4" t="s">
        <v>1750</v>
      </c>
      <c r="H130" s="4" t="s">
        <v>324</v>
      </c>
      <c r="I130" s="4" t="s">
        <v>937</v>
      </c>
      <c r="J130" s="4" t="s">
        <v>30</v>
      </c>
      <c r="K130" s="4" t="s">
        <v>30</v>
      </c>
      <c r="L130" s="2" t="s">
        <v>330</v>
      </c>
      <c r="M130" s="2" t="s">
        <v>31</v>
      </c>
      <c r="N130" s="4" t="s">
        <v>467</v>
      </c>
      <c r="O130" s="4" t="s">
        <v>140</v>
      </c>
      <c r="P130" s="4" t="s">
        <v>34</v>
      </c>
      <c r="Q130" s="157">
        <v>2214</v>
      </c>
      <c r="R130" s="174">
        <v>1</v>
      </c>
      <c r="S130" s="176">
        <v>339.9</v>
      </c>
      <c r="U130" s="157">
        <v>7.5250000000000004</v>
      </c>
      <c r="V130" s="173">
        <v>2.3E-5</v>
      </c>
      <c r="W130" s="173">
        <v>2.0374389991635699E-3</v>
      </c>
      <c r="X130" s="173">
        <v>6.2274635082289502E-4</v>
      </c>
    </row>
    <row r="131" spans="1:24">
      <c r="A131" s="4">
        <v>419</v>
      </c>
      <c r="B131" s="4">
        <v>12435</v>
      </c>
      <c r="C131" s="4" t="s">
        <v>1751</v>
      </c>
      <c r="D131" s="4" t="s">
        <v>1752</v>
      </c>
      <c r="E131" s="4" t="s">
        <v>1321</v>
      </c>
      <c r="F131" s="4" t="s">
        <v>1753</v>
      </c>
      <c r="G131" s="4" t="s">
        <v>1754</v>
      </c>
      <c r="H131" s="4" t="s">
        <v>324</v>
      </c>
      <c r="I131" s="4" t="s">
        <v>937</v>
      </c>
      <c r="J131" s="4" t="s">
        <v>30</v>
      </c>
      <c r="K131" s="4" t="s">
        <v>30</v>
      </c>
      <c r="L131" s="2" t="s">
        <v>330</v>
      </c>
      <c r="M131" s="2" t="s">
        <v>31</v>
      </c>
      <c r="N131" s="4" t="s">
        <v>462</v>
      </c>
      <c r="O131" s="4" t="s">
        <v>140</v>
      </c>
      <c r="P131" s="4" t="s">
        <v>34</v>
      </c>
      <c r="Q131" s="157">
        <v>1051</v>
      </c>
      <c r="R131" s="174">
        <v>1</v>
      </c>
      <c r="S131" s="176">
        <v>5930</v>
      </c>
      <c r="U131" s="157">
        <v>62.323999999999998</v>
      </c>
      <c r="V131" s="173">
        <v>9.0000000000000002E-6</v>
      </c>
      <c r="W131" s="173">
        <v>1.6873813438349899E-2</v>
      </c>
      <c r="X131" s="173">
        <v>5.15750692291284E-3</v>
      </c>
    </row>
    <row r="132" spans="1:24">
      <c r="A132" s="4">
        <v>419</v>
      </c>
      <c r="B132" s="4">
        <v>12435</v>
      </c>
      <c r="C132" s="4" t="s">
        <v>1755</v>
      </c>
      <c r="D132" s="4" t="s">
        <v>1756</v>
      </c>
      <c r="E132" s="4" t="s">
        <v>1321</v>
      </c>
      <c r="F132" s="4" t="s">
        <v>1757</v>
      </c>
      <c r="G132" s="4" t="s">
        <v>1758</v>
      </c>
      <c r="H132" s="4" t="s">
        <v>324</v>
      </c>
      <c r="I132" s="4" t="s">
        <v>937</v>
      </c>
      <c r="J132" s="4" t="s">
        <v>30</v>
      </c>
      <c r="K132" s="4" t="s">
        <v>30</v>
      </c>
      <c r="L132" s="2" t="s">
        <v>330</v>
      </c>
      <c r="M132" s="2" t="s">
        <v>31</v>
      </c>
      <c r="N132" s="4" t="s">
        <v>466</v>
      </c>
      <c r="O132" s="4" t="s">
        <v>140</v>
      </c>
      <c r="P132" s="4" t="s">
        <v>34</v>
      </c>
      <c r="Q132" s="157">
        <v>2112</v>
      </c>
      <c r="R132" s="174">
        <v>1</v>
      </c>
      <c r="S132" s="176">
        <v>2140</v>
      </c>
      <c r="U132" s="157">
        <v>45.197000000000003</v>
      </c>
      <c r="V132" s="173">
        <v>6.0000000000000002E-6</v>
      </c>
      <c r="W132" s="173">
        <v>1.2236677687682201E-2</v>
      </c>
      <c r="X132" s="173">
        <v>3.7401592780585899E-3</v>
      </c>
    </row>
    <row r="133" spans="1:24">
      <c r="A133" s="4">
        <v>419</v>
      </c>
      <c r="B133" s="4">
        <v>12435</v>
      </c>
      <c r="C133" s="4" t="s">
        <v>1759</v>
      </c>
      <c r="D133" s="4" t="s">
        <v>1760</v>
      </c>
      <c r="E133" s="4" t="s">
        <v>1321</v>
      </c>
      <c r="F133" s="4" t="s">
        <v>1761</v>
      </c>
      <c r="G133" s="4" t="s">
        <v>1762</v>
      </c>
      <c r="H133" s="4" t="s">
        <v>324</v>
      </c>
      <c r="I133" s="4" t="s">
        <v>937</v>
      </c>
      <c r="J133" s="4" t="s">
        <v>30</v>
      </c>
      <c r="K133" s="4" t="s">
        <v>300</v>
      </c>
      <c r="L133" s="2" t="s">
        <v>330</v>
      </c>
      <c r="M133" s="2" t="s">
        <v>31</v>
      </c>
      <c r="N133" s="4" t="s">
        <v>458</v>
      </c>
      <c r="O133" s="4" t="s">
        <v>140</v>
      </c>
      <c r="P133" s="4" t="s">
        <v>34</v>
      </c>
      <c r="Q133" s="157">
        <v>450</v>
      </c>
      <c r="R133" s="174">
        <v>1</v>
      </c>
      <c r="S133" s="176">
        <v>6800</v>
      </c>
      <c r="U133" s="157">
        <v>30.6</v>
      </c>
      <c r="V133" s="173">
        <v>3.9999999999999998E-6</v>
      </c>
      <c r="W133" s="173">
        <v>8.2847090334509394E-3</v>
      </c>
      <c r="X133" s="173">
        <v>2.5322340056949401E-3</v>
      </c>
    </row>
    <row r="134" spans="1:24">
      <c r="A134" s="4">
        <v>419</v>
      </c>
      <c r="B134" s="4">
        <v>12435</v>
      </c>
      <c r="C134" s="4" t="s">
        <v>1763</v>
      </c>
      <c r="D134" s="4" t="s">
        <v>1764</v>
      </c>
      <c r="E134" s="4" t="s">
        <v>316</v>
      </c>
      <c r="F134" s="4" t="s">
        <v>1765</v>
      </c>
      <c r="G134" s="4" t="s">
        <v>1766</v>
      </c>
      <c r="H134" s="4" t="s">
        <v>324</v>
      </c>
      <c r="I134" s="4" t="s">
        <v>937</v>
      </c>
      <c r="J134" s="4" t="s">
        <v>209</v>
      </c>
      <c r="K134" s="4" t="s">
        <v>228</v>
      </c>
      <c r="L134" s="2" t="s">
        <v>330</v>
      </c>
      <c r="M134" s="2" t="s">
        <v>349</v>
      </c>
      <c r="N134" s="4" t="s">
        <v>553</v>
      </c>
      <c r="O134" s="4" t="s">
        <v>140</v>
      </c>
      <c r="P134" s="4" t="s">
        <v>1188</v>
      </c>
      <c r="Q134" s="157">
        <v>45</v>
      </c>
      <c r="R134" s="174">
        <v>3.71</v>
      </c>
      <c r="S134" s="176">
        <v>16719</v>
      </c>
      <c r="U134" s="157">
        <v>27.911999999999999</v>
      </c>
      <c r="V134" s="173">
        <v>0</v>
      </c>
      <c r="W134" s="173">
        <v>7.5570545106659901E-3</v>
      </c>
      <c r="X134" s="173">
        <v>2.3098252862632702E-3</v>
      </c>
    </row>
    <row r="135" spans="1:24">
      <c r="A135" s="4">
        <v>419</v>
      </c>
      <c r="B135" s="4">
        <v>12435</v>
      </c>
      <c r="C135" s="4" t="s">
        <v>1763</v>
      </c>
      <c r="D135" s="4" t="s">
        <v>1764</v>
      </c>
      <c r="E135" s="4" t="s">
        <v>316</v>
      </c>
      <c r="F135" s="4" t="s">
        <v>1909</v>
      </c>
      <c r="G135" s="4" t="s">
        <v>1910</v>
      </c>
      <c r="H135" s="4" t="s">
        <v>324</v>
      </c>
      <c r="I135" s="4" t="s">
        <v>937</v>
      </c>
      <c r="J135" s="4" t="s">
        <v>209</v>
      </c>
      <c r="K135" s="4" t="s">
        <v>228</v>
      </c>
      <c r="L135" s="2" t="s">
        <v>330</v>
      </c>
      <c r="M135" s="2" t="s">
        <v>349</v>
      </c>
      <c r="N135" s="4" t="s">
        <v>548</v>
      </c>
      <c r="O135" s="4" t="s">
        <v>140</v>
      </c>
      <c r="P135" s="4" t="s">
        <v>1188</v>
      </c>
      <c r="Q135" s="157">
        <v>65</v>
      </c>
      <c r="R135" s="174">
        <v>3.71</v>
      </c>
      <c r="S135" s="176">
        <v>16585</v>
      </c>
      <c r="U135" s="157">
        <v>39.994999999999997</v>
      </c>
      <c r="V135" s="173">
        <v>0</v>
      </c>
      <c r="W135" s="173">
        <v>1.08282575231915E-2</v>
      </c>
      <c r="X135" s="173">
        <v>3.3096734975164199E-3</v>
      </c>
    </row>
    <row r="136" spans="1:24">
      <c r="A136" s="4">
        <v>419</v>
      </c>
      <c r="B136" s="4">
        <v>12435</v>
      </c>
      <c r="C136" s="4" t="s">
        <v>1767</v>
      </c>
      <c r="D136" s="4" t="s">
        <v>1768</v>
      </c>
      <c r="E136" s="4" t="s">
        <v>316</v>
      </c>
      <c r="F136" s="4" t="s">
        <v>1769</v>
      </c>
      <c r="G136" s="4" t="s">
        <v>1770</v>
      </c>
      <c r="H136" s="4" t="s">
        <v>324</v>
      </c>
      <c r="I136" s="4" t="s">
        <v>937</v>
      </c>
      <c r="J136" s="4" t="s">
        <v>209</v>
      </c>
      <c r="K136" s="4" t="s">
        <v>228</v>
      </c>
      <c r="L136" s="2" t="s">
        <v>330</v>
      </c>
      <c r="M136" s="2" t="s">
        <v>349</v>
      </c>
      <c r="N136" s="4" t="s">
        <v>504</v>
      </c>
      <c r="O136" s="4" t="s">
        <v>140</v>
      </c>
      <c r="P136" s="4" t="s">
        <v>1188</v>
      </c>
      <c r="Q136" s="157">
        <v>38</v>
      </c>
      <c r="R136" s="174">
        <v>3.71</v>
      </c>
      <c r="S136" s="176">
        <v>18633</v>
      </c>
      <c r="U136" s="157">
        <v>26.268999999999998</v>
      </c>
      <c r="V136" s="173">
        <v>0</v>
      </c>
      <c r="W136" s="173">
        <v>7.1120716609779904E-3</v>
      </c>
      <c r="X136" s="173">
        <v>2.1738155966795699E-3</v>
      </c>
    </row>
    <row r="137" spans="1:24">
      <c r="A137" s="4">
        <v>419</v>
      </c>
      <c r="B137" s="4">
        <v>12435</v>
      </c>
      <c r="C137" s="4" t="s">
        <v>1771</v>
      </c>
      <c r="D137" s="4" t="s">
        <v>1772</v>
      </c>
      <c r="E137" s="4" t="s">
        <v>316</v>
      </c>
      <c r="F137" s="4" t="s">
        <v>1773</v>
      </c>
      <c r="G137" s="4" t="s">
        <v>1774</v>
      </c>
      <c r="H137" s="4" t="s">
        <v>324</v>
      </c>
      <c r="I137" s="4" t="s">
        <v>937</v>
      </c>
      <c r="J137" s="4" t="s">
        <v>209</v>
      </c>
      <c r="K137" s="4" t="s">
        <v>228</v>
      </c>
      <c r="L137" s="2" t="s">
        <v>330</v>
      </c>
      <c r="M137" s="2" t="s">
        <v>349</v>
      </c>
      <c r="N137" s="4" t="s">
        <v>550</v>
      </c>
      <c r="O137" s="4" t="s">
        <v>140</v>
      </c>
      <c r="P137" s="4" t="s">
        <v>1188</v>
      </c>
      <c r="Q137" s="157">
        <v>85</v>
      </c>
      <c r="R137" s="174">
        <v>3.71</v>
      </c>
      <c r="S137" s="176">
        <v>23300</v>
      </c>
      <c r="U137" s="157">
        <v>73.477000000000004</v>
      </c>
      <c r="V137" s="173">
        <v>0</v>
      </c>
      <c r="W137" s="173">
        <v>1.9893197304961099E-2</v>
      </c>
      <c r="X137" s="173">
        <v>6.08038622650798E-3</v>
      </c>
    </row>
    <row r="138" spans="1:24">
      <c r="A138" s="4">
        <v>419</v>
      </c>
      <c r="B138" s="4">
        <v>12435</v>
      </c>
      <c r="C138" s="4" t="s">
        <v>1778</v>
      </c>
      <c r="D138" s="4" t="s">
        <v>1779</v>
      </c>
      <c r="E138" s="4" t="s">
        <v>316</v>
      </c>
      <c r="F138" s="4" t="s">
        <v>1780</v>
      </c>
      <c r="G138" s="4" t="s">
        <v>1781</v>
      </c>
      <c r="H138" s="4" t="s">
        <v>324</v>
      </c>
      <c r="I138" s="4" t="s">
        <v>937</v>
      </c>
      <c r="J138" s="4" t="s">
        <v>209</v>
      </c>
      <c r="K138" s="4" t="s">
        <v>228</v>
      </c>
      <c r="L138" s="2" t="s">
        <v>330</v>
      </c>
      <c r="M138" s="2" t="s">
        <v>347</v>
      </c>
      <c r="N138" s="4" t="s">
        <v>1782</v>
      </c>
      <c r="O138" s="4" t="s">
        <v>140</v>
      </c>
      <c r="P138" s="4" t="s">
        <v>1188</v>
      </c>
      <c r="Q138" s="157">
        <v>32</v>
      </c>
      <c r="R138" s="174">
        <v>3.71</v>
      </c>
      <c r="S138" s="176">
        <v>46026</v>
      </c>
      <c r="U138" s="157">
        <v>54.642000000000003</v>
      </c>
      <c r="V138" s="173">
        <v>0</v>
      </c>
      <c r="W138" s="173">
        <v>1.47939094032115E-2</v>
      </c>
      <c r="X138" s="173">
        <v>4.5217810688009102E-3</v>
      </c>
    </row>
    <row r="139" spans="1:24">
      <c r="A139" s="4">
        <v>419</v>
      </c>
      <c r="B139" s="4">
        <v>12435</v>
      </c>
      <c r="C139" s="4" t="s">
        <v>1783</v>
      </c>
      <c r="D139" s="4" t="s">
        <v>1784</v>
      </c>
      <c r="E139" s="4" t="s">
        <v>316</v>
      </c>
      <c r="F139" s="4" t="s">
        <v>1785</v>
      </c>
      <c r="G139" s="4" t="s">
        <v>1786</v>
      </c>
      <c r="H139" s="4" t="s">
        <v>324</v>
      </c>
      <c r="I139" s="4" t="s">
        <v>937</v>
      </c>
      <c r="J139" s="4" t="s">
        <v>209</v>
      </c>
      <c r="K139" s="4" t="s">
        <v>228</v>
      </c>
      <c r="L139" s="2" t="s">
        <v>330</v>
      </c>
      <c r="M139" s="2" t="s">
        <v>349</v>
      </c>
      <c r="N139" s="4" t="s">
        <v>538</v>
      </c>
      <c r="O139" s="4" t="s">
        <v>140</v>
      </c>
      <c r="P139" s="4" t="s">
        <v>1188</v>
      </c>
      <c r="Q139" s="157">
        <v>44</v>
      </c>
      <c r="R139" s="174">
        <v>3.71</v>
      </c>
      <c r="S139" s="176">
        <v>19384</v>
      </c>
      <c r="U139" s="157">
        <v>31.641999999999999</v>
      </c>
      <c r="V139" s="173">
        <v>0</v>
      </c>
      <c r="W139" s="173">
        <v>8.5669418877112307E-3</v>
      </c>
      <c r="X139" s="173">
        <v>2.6184989098933398E-3</v>
      </c>
    </row>
    <row r="140" spans="1:24">
      <c r="A140" s="4">
        <v>419</v>
      </c>
      <c r="B140" s="4">
        <v>12435</v>
      </c>
      <c r="C140" s="4" t="s">
        <v>1787</v>
      </c>
      <c r="D140" s="4" t="s">
        <v>1788</v>
      </c>
      <c r="E140" s="4" t="s">
        <v>316</v>
      </c>
      <c r="F140" s="4" t="s">
        <v>1789</v>
      </c>
      <c r="G140" s="4" t="s">
        <v>1790</v>
      </c>
      <c r="H140" s="4" t="s">
        <v>324</v>
      </c>
      <c r="I140" s="4" t="s">
        <v>937</v>
      </c>
      <c r="J140" s="4" t="s">
        <v>209</v>
      </c>
      <c r="K140" s="4" t="s">
        <v>228</v>
      </c>
      <c r="L140" s="2" t="s">
        <v>330</v>
      </c>
      <c r="M140" s="2" t="s">
        <v>347</v>
      </c>
      <c r="N140" s="4" t="s">
        <v>1791</v>
      </c>
      <c r="O140" s="4" t="s">
        <v>140</v>
      </c>
      <c r="P140" s="4" t="s">
        <v>1188</v>
      </c>
      <c r="Q140" s="157">
        <v>22</v>
      </c>
      <c r="R140" s="174">
        <v>3.71</v>
      </c>
      <c r="S140" s="176">
        <v>41733</v>
      </c>
      <c r="T140" s="156">
        <v>2.4E-2</v>
      </c>
      <c r="U140" s="157">
        <v>34.152000000000001</v>
      </c>
      <c r="V140" s="173">
        <v>0</v>
      </c>
      <c r="W140" s="173">
        <v>9.2465047575254894E-3</v>
      </c>
      <c r="X140" s="173">
        <v>2.8262083419329201E-3</v>
      </c>
    </row>
    <row r="141" spans="1:24">
      <c r="A141" s="4">
        <v>419</v>
      </c>
      <c r="B141" s="4">
        <v>12435</v>
      </c>
      <c r="C141" s="4" t="s">
        <v>1792</v>
      </c>
      <c r="D141" s="4" t="s">
        <v>1793</v>
      </c>
      <c r="E141" s="4" t="s">
        <v>316</v>
      </c>
      <c r="F141" s="4" t="s">
        <v>1794</v>
      </c>
      <c r="G141" s="4" t="s">
        <v>1795</v>
      </c>
      <c r="H141" s="4" t="s">
        <v>324</v>
      </c>
      <c r="I141" s="4" t="s">
        <v>937</v>
      </c>
      <c r="J141" s="4" t="s">
        <v>209</v>
      </c>
      <c r="K141" s="4" t="s">
        <v>228</v>
      </c>
      <c r="L141" s="2" t="s">
        <v>330</v>
      </c>
      <c r="M141" s="2" t="s">
        <v>349</v>
      </c>
      <c r="N141" s="4" t="s">
        <v>550</v>
      </c>
      <c r="O141" s="4" t="s">
        <v>140</v>
      </c>
      <c r="P141" s="4" t="s">
        <v>1188</v>
      </c>
      <c r="Q141" s="157">
        <v>170</v>
      </c>
      <c r="R141" s="174">
        <v>3.71</v>
      </c>
      <c r="S141" s="176">
        <v>3343</v>
      </c>
      <c r="U141" s="157">
        <v>21.084</v>
      </c>
      <c r="V141" s="173">
        <v>0</v>
      </c>
      <c r="W141" s="173">
        <v>5.7084084627025697E-3</v>
      </c>
      <c r="X141" s="173">
        <v>1.74478379014731E-3</v>
      </c>
    </row>
    <row r="142" spans="1:24">
      <c r="A142" s="4">
        <v>419</v>
      </c>
      <c r="B142" s="4">
        <v>12435</v>
      </c>
      <c r="C142" s="4" t="s">
        <v>1800</v>
      </c>
      <c r="D142" s="4" t="s">
        <v>1801</v>
      </c>
      <c r="E142" s="4" t="s">
        <v>316</v>
      </c>
      <c r="F142" s="4" t="s">
        <v>1802</v>
      </c>
      <c r="G142" s="4" t="s">
        <v>1803</v>
      </c>
      <c r="H142" s="4" t="s">
        <v>324</v>
      </c>
      <c r="I142" s="4" t="s">
        <v>937</v>
      </c>
      <c r="J142" s="4" t="s">
        <v>209</v>
      </c>
      <c r="K142" s="4" t="s">
        <v>285</v>
      </c>
      <c r="L142" s="2" t="s">
        <v>330</v>
      </c>
      <c r="M142" s="2" t="s">
        <v>367</v>
      </c>
      <c r="N142" s="4" t="s">
        <v>519</v>
      </c>
      <c r="O142" s="4" t="s">
        <v>140</v>
      </c>
      <c r="P142" s="4" t="s">
        <v>1190</v>
      </c>
      <c r="Q142" s="157">
        <v>19</v>
      </c>
      <c r="R142" s="174">
        <v>4.1524000000000001</v>
      </c>
      <c r="S142" s="176">
        <v>68850</v>
      </c>
      <c r="U142" s="157">
        <v>54.32</v>
      </c>
      <c r="V142" s="173">
        <v>0</v>
      </c>
      <c r="W142" s="173">
        <v>1.47066095254395E-2</v>
      </c>
      <c r="X142" s="173">
        <v>4.4950977274433703E-3</v>
      </c>
    </row>
    <row r="143" spans="1:24">
      <c r="A143" s="4">
        <v>419</v>
      </c>
      <c r="B143" s="4">
        <v>12435</v>
      </c>
      <c r="C143" s="4" t="s">
        <v>1804</v>
      </c>
      <c r="D143" s="4" t="s">
        <v>1805</v>
      </c>
      <c r="E143" s="4" t="s">
        <v>316</v>
      </c>
      <c r="F143" s="4" t="s">
        <v>1806</v>
      </c>
      <c r="G143" s="4" t="s">
        <v>1807</v>
      </c>
      <c r="H143" s="4" t="s">
        <v>324</v>
      </c>
      <c r="I143" s="4" t="s">
        <v>937</v>
      </c>
      <c r="J143" s="4" t="s">
        <v>209</v>
      </c>
      <c r="K143" s="4" t="s">
        <v>228</v>
      </c>
      <c r="L143" s="2" t="s">
        <v>330</v>
      </c>
      <c r="M143" s="2" t="s">
        <v>347</v>
      </c>
      <c r="N143" s="4" t="s">
        <v>1782</v>
      </c>
      <c r="O143" s="4" t="s">
        <v>140</v>
      </c>
      <c r="P143" s="4" t="s">
        <v>1188</v>
      </c>
      <c r="Q143" s="157">
        <v>21</v>
      </c>
      <c r="R143" s="174">
        <v>3.71</v>
      </c>
      <c r="S143" s="176">
        <v>49380</v>
      </c>
      <c r="U143" s="157">
        <v>38.472000000000001</v>
      </c>
      <c r="V143" s="173">
        <v>0</v>
      </c>
      <c r="W143" s="173">
        <v>1.0415979672455699E-2</v>
      </c>
      <c r="X143" s="173">
        <v>3.1836601409564501E-3</v>
      </c>
    </row>
    <row r="144" spans="1:24">
      <c r="A144" s="4">
        <v>419</v>
      </c>
      <c r="B144" s="4">
        <v>12435</v>
      </c>
      <c r="C144" s="4" t="s">
        <v>1808</v>
      </c>
      <c r="D144" s="4" t="s">
        <v>1809</v>
      </c>
      <c r="E144" s="4" t="s">
        <v>316</v>
      </c>
      <c r="F144" s="4" t="s">
        <v>1810</v>
      </c>
      <c r="G144" s="4" t="s">
        <v>1811</v>
      </c>
      <c r="H144" s="4" t="s">
        <v>324</v>
      </c>
      <c r="I144" s="4" t="s">
        <v>937</v>
      </c>
      <c r="J144" s="4" t="s">
        <v>209</v>
      </c>
      <c r="K144" s="4" t="s">
        <v>300</v>
      </c>
      <c r="L144" s="2" t="s">
        <v>330</v>
      </c>
      <c r="M144" s="2" t="s">
        <v>347</v>
      </c>
      <c r="N144" s="4" t="s">
        <v>538</v>
      </c>
      <c r="O144" s="4" t="s">
        <v>140</v>
      </c>
      <c r="P144" s="4" t="s">
        <v>1188</v>
      </c>
      <c r="Q144" s="157">
        <v>17</v>
      </c>
      <c r="R144" s="174">
        <v>3.71</v>
      </c>
      <c r="S144" s="176">
        <v>11356</v>
      </c>
      <c r="T144" s="156">
        <v>0.01</v>
      </c>
      <c r="U144" s="157">
        <v>7.1989999999999998</v>
      </c>
      <c r="V144" s="173">
        <v>0</v>
      </c>
      <c r="W144" s="173">
        <v>1.9489808865795601E-3</v>
      </c>
      <c r="X144" s="173">
        <v>5.9570899322102997E-4</v>
      </c>
    </row>
    <row r="145" spans="1:24">
      <c r="A145" s="4">
        <v>419</v>
      </c>
      <c r="B145" s="4">
        <v>12435</v>
      </c>
      <c r="C145" s="4" t="s">
        <v>1812</v>
      </c>
      <c r="D145" s="4" t="s">
        <v>1813</v>
      </c>
      <c r="E145" s="4" t="s">
        <v>316</v>
      </c>
      <c r="F145" s="4" t="s">
        <v>1814</v>
      </c>
      <c r="G145" s="4" t="s">
        <v>1815</v>
      </c>
      <c r="H145" s="4" t="s">
        <v>324</v>
      </c>
      <c r="I145" s="4" t="s">
        <v>937</v>
      </c>
      <c r="J145" s="4" t="s">
        <v>209</v>
      </c>
      <c r="K145" s="4" t="s">
        <v>228</v>
      </c>
      <c r="L145" s="2" t="s">
        <v>330</v>
      </c>
      <c r="M145" s="2" t="s">
        <v>349</v>
      </c>
      <c r="N145" s="4" t="s">
        <v>548</v>
      </c>
      <c r="O145" s="4" t="s">
        <v>140</v>
      </c>
      <c r="P145" s="4" t="s">
        <v>1188</v>
      </c>
      <c r="Q145" s="157">
        <v>37</v>
      </c>
      <c r="R145" s="174">
        <v>3.71</v>
      </c>
      <c r="S145" s="176">
        <v>43030</v>
      </c>
      <c r="U145" s="157">
        <v>59.067</v>
      </c>
      <c r="V145" s="173">
        <v>0</v>
      </c>
      <c r="W145" s="173">
        <v>1.5992001192224999E-2</v>
      </c>
      <c r="X145" s="173">
        <v>4.8879796592202103E-3</v>
      </c>
    </row>
    <row r="146" spans="1:24">
      <c r="A146" s="4">
        <v>419</v>
      </c>
      <c r="B146" s="4">
        <v>12435</v>
      </c>
      <c r="C146" s="4" t="s">
        <v>1816</v>
      </c>
      <c r="D146" s="4" t="s">
        <v>1817</v>
      </c>
      <c r="E146" s="4" t="s">
        <v>316</v>
      </c>
      <c r="F146" s="4" t="s">
        <v>1818</v>
      </c>
      <c r="G146" s="4" t="s">
        <v>1819</v>
      </c>
      <c r="H146" s="4" t="s">
        <v>324</v>
      </c>
      <c r="I146" s="4" t="s">
        <v>937</v>
      </c>
      <c r="J146" s="4" t="s">
        <v>209</v>
      </c>
      <c r="K146" s="4" t="s">
        <v>228</v>
      </c>
      <c r="L146" s="2" t="s">
        <v>330</v>
      </c>
      <c r="M146" s="2" t="s">
        <v>349</v>
      </c>
      <c r="N146" s="4" t="s">
        <v>538</v>
      </c>
      <c r="O146" s="4" t="s">
        <v>140</v>
      </c>
      <c r="P146" s="4" t="s">
        <v>1188</v>
      </c>
      <c r="Q146" s="157">
        <v>155</v>
      </c>
      <c r="R146" s="174">
        <v>3.71</v>
      </c>
      <c r="S146" s="176">
        <v>6683</v>
      </c>
      <c r="U146" s="157">
        <v>38.430999999999997</v>
      </c>
      <c r="V146" s="173">
        <v>0</v>
      </c>
      <c r="W146" s="173">
        <v>1.0404780018330499E-2</v>
      </c>
      <c r="X146" s="173">
        <v>3.1802369495186498E-3</v>
      </c>
    </row>
    <row r="147" spans="1:24">
      <c r="A147" s="4">
        <v>419</v>
      </c>
      <c r="B147" s="4">
        <v>12435</v>
      </c>
      <c r="C147" s="4" t="s">
        <v>1820</v>
      </c>
      <c r="D147" s="4" t="s">
        <v>1821</v>
      </c>
      <c r="E147" s="4" t="s">
        <v>316</v>
      </c>
      <c r="F147" s="4" t="s">
        <v>1820</v>
      </c>
      <c r="G147" s="4" t="s">
        <v>1822</v>
      </c>
      <c r="H147" s="4" t="s">
        <v>324</v>
      </c>
      <c r="I147" s="4" t="s">
        <v>937</v>
      </c>
      <c r="J147" s="4" t="s">
        <v>209</v>
      </c>
      <c r="K147" s="4" t="s">
        <v>228</v>
      </c>
      <c r="L147" s="2" t="s">
        <v>330</v>
      </c>
      <c r="M147" s="2" t="s">
        <v>349</v>
      </c>
      <c r="N147" s="4" t="s">
        <v>553</v>
      </c>
      <c r="O147" s="4" t="s">
        <v>140</v>
      </c>
      <c r="P147" s="4" t="s">
        <v>1188</v>
      </c>
      <c r="Q147" s="157">
        <v>15</v>
      </c>
      <c r="R147" s="174">
        <v>3.71</v>
      </c>
      <c r="S147" s="176">
        <v>70927</v>
      </c>
      <c r="U147" s="157">
        <v>39.470999999999997</v>
      </c>
      <c r="V147" s="173">
        <v>0</v>
      </c>
      <c r="W147" s="173">
        <v>1.0686428719381301E-2</v>
      </c>
      <c r="X147" s="173">
        <v>3.2663233063938298E-3</v>
      </c>
    </row>
    <row r="148" spans="1:24">
      <c r="A148" s="4">
        <v>419</v>
      </c>
      <c r="B148" s="4">
        <v>12435</v>
      </c>
      <c r="C148" s="4" t="s">
        <v>1823</v>
      </c>
      <c r="D148" s="4" t="s">
        <v>1824</v>
      </c>
      <c r="E148" s="4" t="s">
        <v>316</v>
      </c>
      <c r="F148" s="4" t="s">
        <v>1825</v>
      </c>
      <c r="G148" s="4" t="s">
        <v>1826</v>
      </c>
      <c r="H148" s="4" t="s">
        <v>324</v>
      </c>
      <c r="I148" s="4" t="s">
        <v>937</v>
      </c>
      <c r="J148" s="4" t="s">
        <v>209</v>
      </c>
      <c r="K148" s="4" t="s">
        <v>228</v>
      </c>
      <c r="L148" s="2" t="s">
        <v>330</v>
      </c>
      <c r="M148" s="2" t="s">
        <v>347</v>
      </c>
      <c r="N148" s="4" t="s">
        <v>519</v>
      </c>
      <c r="O148" s="4" t="s">
        <v>140</v>
      </c>
      <c r="P148" s="4" t="s">
        <v>1188</v>
      </c>
      <c r="Q148" s="157">
        <v>115</v>
      </c>
      <c r="R148" s="174">
        <v>3.71</v>
      </c>
      <c r="S148" s="176">
        <v>8840</v>
      </c>
      <c r="T148" s="156">
        <v>4.2999999999999997E-2</v>
      </c>
      <c r="U148" s="157">
        <v>37.874000000000002</v>
      </c>
      <c r="V148" s="173">
        <v>0</v>
      </c>
      <c r="W148" s="173">
        <v>1.0254011580285801E-2</v>
      </c>
      <c r="X148" s="173">
        <v>3.1341543454995202E-3</v>
      </c>
    </row>
    <row r="149" spans="1:24">
      <c r="A149" s="4">
        <v>419</v>
      </c>
      <c r="B149" s="4">
        <v>12435</v>
      </c>
      <c r="C149" s="4" t="s">
        <v>1827</v>
      </c>
      <c r="D149" s="4" t="s">
        <v>1828</v>
      </c>
      <c r="E149" s="4" t="s">
        <v>316</v>
      </c>
      <c r="F149" s="4" t="s">
        <v>1829</v>
      </c>
      <c r="G149" s="4" t="s">
        <v>1830</v>
      </c>
      <c r="H149" s="4" t="s">
        <v>324</v>
      </c>
      <c r="I149" s="4" t="s">
        <v>937</v>
      </c>
      <c r="J149" s="4" t="s">
        <v>209</v>
      </c>
      <c r="K149" s="4" t="s">
        <v>245</v>
      </c>
      <c r="L149" s="2" t="s">
        <v>330</v>
      </c>
      <c r="M149" s="2" t="s">
        <v>347</v>
      </c>
      <c r="N149" s="4" t="s">
        <v>538</v>
      </c>
      <c r="O149" s="4" t="s">
        <v>140</v>
      </c>
      <c r="P149" s="4" t="s">
        <v>1188</v>
      </c>
      <c r="Q149" s="157">
        <v>114</v>
      </c>
      <c r="R149" s="174">
        <v>3.71</v>
      </c>
      <c r="S149" s="176">
        <v>11907</v>
      </c>
      <c r="U149" s="157">
        <v>50.359000000000002</v>
      </c>
      <c r="V149" s="173">
        <v>0</v>
      </c>
      <c r="W149" s="173">
        <v>1.36344287984648E-2</v>
      </c>
      <c r="X149" s="173">
        <v>4.1673840459931699E-3</v>
      </c>
    </row>
    <row r="150" spans="1:24">
      <c r="A150" s="4">
        <v>419</v>
      </c>
      <c r="B150" s="4">
        <v>12435</v>
      </c>
      <c r="C150" s="4" t="s">
        <v>1831</v>
      </c>
      <c r="D150" s="4" t="s">
        <v>1832</v>
      </c>
      <c r="E150" s="4" t="s">
        <v>316</v>
      </c>
      <c r="F150" s="4" t="s">
        <v>1833</v>
      </c>
      <c r="G150" s="4" t="s">
        <v>1834</v>
      </c>
      <c r="H150" s="4" t="s">
        <v>324</v>
      </c>
      <c r="I150" s="4" t="s">
        <v>937</v>
      </c>
      <c r="J150" s="4" t="s">
        <v>209</v>
      </c>
      <c r="K150" s="4" t="s">
        <v>228</v>
      </c>
      <c r="L150" s="2" t="s">
        <v>330</v>
      </c>
      <c r="M150" s="2" t="s">
        <v>349</v>
      </c>
      <c r="N150" s="4" t="s">
        <v>552</v>
      </c>
      <c r="O150" s="4" t="s">
        <v>140</v>
      </c>
      <c r="P150" s="4" t="s">
        <v>1188</v>
      </c>
      <c r="Q150" s="157">
        <v>263</v>
      </c>
      <c r="R150" s="174">
        <v>3.71</v>
      </c>
      <c r="S150" s="176">
        <v>12144</v>
      </c>
      <c r="T150" s="156">
        <v>3.0000000000000001E-3</v>
      </c>
      <c r="U150" s="157">
        <v>118.502</v>
      </c>
      <c r="V150" s="173">
        <v>0</v>
      </c>
      <c r="W150" s="173">
        <v>3.20835939276354E-2</v>
      </c>
      <c r="X150" s="173">
        <v>9.8063996261585802E-3</v>
      </c>
    </row>
    <row r="151" spans="1:24">
      <c r="A151" s="4">
        <v>419</v>
      </c>
      <c r="B151" s="4">
        <v>12435</v>
      </c>
      <c r="C151" s="4" t="s">
        <v>1835</v>
      </c>
      <c r="D151" s="4" t="s">
        <v>1836</v>
      </c>
      <c r="E151" s="4" t="s">
        <v>316</v>
      </c>
      <c r="F151" s="4" t="s">
        <v>1837</v>
      </c>
      <c r="G151" s="4" t="s">
        <v>1838</v>
      </c>
      <c r="H151" s="4" t="s">
        <v>324</v>
      </c>
      <c r="I151" s="4" t="s">
        <v>937</v>
      </c>
      <c r="J151" s="4" t="s">
        <v>209</v>
      </c>
      <c r="K151" s="4" t="s">
        <v>228</v>
      </c>
      <c r="L151" s="2" t="s">
        <v>330</v>
      </c>
      <c r="M151" s="2" t="s">
        <v>347</v>
      </c>
      <c r="N151" s="4" t="s">
        <v>572</v>
      </c>
      <c r="O151" s="4" t="s">
        <v>140</v>
      </c>
      <c r="P151" s="4" t="s">
        <v>1188</v>
      </c>
      <c r="Q151" s="157">
        <v>100</v>
      </c>
      <c r="R151" s="174">
        <v>3.71</v>
      </c>
      <c r="S151" s="176">
        <v>12628</v>
      </c>
      <c r="U151" s="157">
        <v>46.85</v>
      </c>
      <c r="V151" s="173">
        <v>0</v>
      </c>
      <c r="W151" s="173">
        <v>1.26842360801337E-2</v>
      </c>
      <c r="X151" s="173">
        <v>3.8769561862329101E-3</v>
      </c>
    </row>
    <row r="152" spans="1:24">
      <c r="A152" s="4">
        <v>419</v>
      </c>
      <c r="B152" s="4">
        <v>12435</v>
      </c>
      <c r="C152" s="4" t="s">
        <v>1839</v>
      </c>
      <c r="D152" s="4" t="s">
        <v>1840</v>
      </c>
      <c r="E152" s="4" t="s">
        <v>316</v>
      </c>
      <c r="F152" s="4" t="s">
        <v>1841</v>
      </c>
      <c r="G152" s="4" t="s">
        <v>1842</v>
      </c>
      <c r="H152" s="4" t="s">
        <v>324</v>
      </c>
      <c r="I152" s="4" t="s">
        <v>937</v>
      </c>
      <c r="J152" s="4" t="s">
        <v>209</v>
      </c>
      <c r="K152" s="4" t="s">
        <v>242</v>
      </c>
      <c r="L152" s="2" t="s">
        <v>330</v>
      </c>
      <c r="M152" s="2" t="s">
        <v>1843</v>
      </c>
      <c r="N152" s="4" t="s">
        <v>1844</v>
      </c>
      <c r="O152" s="4" t="s">
        <v>140</v>
      </c>
      <c r="P152" s="4" t="s">
        <v>1190</v>
      </c>
      <c r="Q152" s="157">
        <v>16</v>
      </c>
      <c r="R152" s="174">
        <v>4.1524000000000001</v>
      </c>
      <c r="S152" s="176">
        <v>48640</v>
      </c>
      <c r="U152" s="157">
        <v>32.316000000000003</v>
      </c>
      <c r="V152" s="173">
        <v>0</v>
      </c>
      <c r="W152" s="173">
        <v>8.7492044467973908E-3</v>
      </c>
      <c r="X152" s="173">
        <v>2.6742077402480799E-3</v>
      </c>
    </row>
    <row r="153" spans="1:24">
      <c r="A153" s="4">
        <v>419</v>
      </c>
      <c r="B153" s="4">
        <v>12435</v>
      </c>
      <c r="C153" s="4" t="s">
        <v>1845</v>
      </c>
      <c r="D153" s="4" t="s">
        <v>1846</v>
      </c>
      <c r="E153" s="4" t="s">
        <v>316</v>
      </c>
      <c r="F153" s="4" t="s">
        <v>1847</v>
      </c>
      <c r="G153" s="4" t="s">
        <v>1848</v>
      </c>
      <c r="H153" s="4" t="s">
        <v>324</v>
      </c>
      <c r="I153" s="4" t="s">
        <v>937</v>
      </c>
      <c r="J153" s="4" t="s">
        <v>209</v>
      </c>
      <c r="K153" s="4" t="s">
        <v>293</v>
      </c>
      <c r="L153" s="2" t="s">
        <v>330</v>
      </c>
      <c r="M153" s="2" t="s">
        <v>383</v>
      </c>
      <c r="N153" s="4" t="s">
        <v>550</v>
      </c>
      <c r="O153" s="4" t="s">
        <v>140</v>
      </c>
      <c r="P153" s="4" t="s">
        <v>1188</v>
      </c>
      <c r="Q153" s="157">
        <v>4</v>
      </c>
      <c r="R153" s="174">
        <v>3.71</v>
      </c>
      <c r="S153" s="176">
        <v>116900</v>
      </c>
      <c r="T153" s="156">
        <v>0</v>
      </c>
      <c r="U153" s="157">
        <v>17.347999999999999</v>
      </c>
      <c r="V153" s="173">
        <v>0</v>
      </c>
      <c r="W153" s="173">
        <v>4.69686373773745E-3</v>
      </c>
      <c r="X153" s="173">
        <v>1.43560359558699E-3</v>
      </c>
    </row>
    <row r="154" spans="1:24">
      <c r="A154" s="4">
        <v>419</v>
      </c>
      <c r="B154" s="4">
        <v>12435</v>
      </c>
      <c r="C154" s="4" t="s">
        <v>1849</v>
      </c>
      <c r="D154" s="4" t="s">
        <v>1850</v>
      </c>
      <c r="E154" s="4" t="s">
        <v>316</v>
      </c>
      <c r="F154" s="4" t="s">
        <v>1851</v>
      </c>
      <c r="G154" s="4" t="s">
        <v>1852</v>
      </c>
      <c r="H154" s="4" t="s">
        <v>324</v>
      </c>
      <c r="I154" s="4" t="s">
        <v>937</v>
      </c>
      <c r="J154" s="4" t="s">
        <v>209</v>
      </c>
      <c r="K154" s="4" t="s">
        <v>228</v>
      </c>
      <c r="L154" s="2" t="s">
        <v>330</v>
      </c>
      <c r="M154" s="2" t="s">
        <v>347</v>
      </c>
      <c r="N154" s="4" t="s">
        <v>490</v>
      </c>
      <c r="O154" s="4" t="s">
        <v>140</v>
      </c>
      <c r="P154" s="4" t="s">
        <v>1188</v>
      </c>
      <c r="Q154" s="157">
        <v>215</v>
      </c>
      <c r="R154" s="174">
        <v>3.71</v>
      </c>
      <c r="S154" s="176">
        <v>4195</v>
      </c>
      <c r="T154" s="156">
        <v>5.8999999999999997E-2</v>
      </c>
      <c r="U154" s="157">
        <v>33.680999999999997</v>
      </c>
      <c r="V154" s="173">
        <v>0</v>
      </c>
      <c r="W154" s="173">
        <v>9.1188086114321002E-3</v>
      </c>
      <c r="X154" s="173">
        <v>2.7871778192883399E-3</v>
      </c>
    </row>
    <row r="155" spans="1:24">
      <c r="A155" s="4">
        <v>419</v>
      </c>
      <c r="B155" s="4">
        <v>12435</v>
      </c>
      <c r="C155" s="4" t="s">
        <v>1857</v>
      </c>
      <c r="D155" s="4" t="s">
        <v>1858</v>
      </c>
      <c r="E155" s="4" t="s">
        <v>316</v>
      </c>
      <c r="F155" s="4" t="s">
        <v>1859</v>
      </c>
      <c r="G155" s="4" t="s">
        <v>1860</v>
      </c>
      <c r="H155" s="4" t="s">
        <v>324</v>
      </c>
      <c r="I155" s="4" t="s">
        <v>937</v>
      </c>
      <c r="J155" s="4" t="s">
        <v>209</v>
      </c>
      <c r="K155" s="4" t="s">
        <v>1861</v>
      </c>
      <c r="L155" s="2" t="s">
        <v>330</v>
      </c>
      <c r="M155" s="2" t="s">
        <v>347</v>
      </c>
      <c r="N155" s="4" t="s">
        <v>552</v>
      </c>
      <c r="O155" s="4" t="s">
        <v>140</v>
      </c>
      <c r="P155" s="4" t="s">
        <v>1188</v>
      </c>
      <c r="Q155" s="157">
        <v>279</v>
      </c>
      <c r="R155" s="174">
        <v>3.71</v>
      </c>
      <c r="S155" s="176">
        <v>17367</v>
      </c>
      <c r="T155" s="156">
        <v>0.13600000000000001</v>
      </c>
      <c r="U155" s="157">
        <v>180.268</v>
      </c>
      <c r="V155" s="173">
        <v>0</v>
      </c>
      <c r="W155" s="173">
        <v>4.88060536376142E-2</v>
      </c>
      <c r="X155" s="173">
        <v>1.4917645050167501E-2</v>
      </c>
    </row>
    <row r="156" spans="1:24">
      <c r="A156" s="4">
        <v>419</v>
      </c>
      <c r="B156" s="4">
        <v>12435</v>
      </c>
      <c r="C156" s="4" t="s">
        <v>1862</v>
      </c>
      <c r="D156" s="4" t="s">
        <v>1863</v>
      </c>
      <c r="E156" s="4" t="s">
        <v>316</v>
      </c>
      <c r="F156" s="4" t="s">
        <v>1862</v>
      </c>
      <c r="G156" s="4" t="s">
        <v>1864</v>
      </c>
      <c r="H156" s="4" t="s">
        <v>324</v>
      </c>
      <c r="I156" s="4" t="s">
        <v>937</v>
      </c>
      <c r="J156" s="4" t="s">
        <v>209</v>
      </c>
      <c r="K156" s="4" t="s">
        <v>228</v>
      </c>
      <c r="L156" s="2" t="s">
        <v>330</v>
      </c>
      <c r="M156" s="2" t="s">
        <v>349</v>
      </c>
      <c r="N156" s="4" t="s">
        <v>516</v>
      </c>
      <c r="O156" s="4" t="s">
        <v>140</v>
      </c>
      <c r="P156" s="4" t="s">
        <v>1188</v>
      </c>
      <c r="Q156" s="157">
        <v>72</v>
      </c>
      <c r="R156" s="174">
        <v>3.71</v>
      </c>
      <c r="S156" s="176">
        <v>26163</v>
      </c>
      <c r="U156" s="157">
        <v>69.887</v>
      </c>
      <c r="V156" s="173">
        <v>0</v>
      </c>
      <c r="W156" s="173">
        <v>1.89212481284818E-2</v>
      </c>
      <c r="X156" s="173">
        <v>5.78330847199053E-3</v>
      </c>
    </row>
    <row r="157" spans="1:24">
      <c r="A157" s="4">
        <v>419</v>
      </c>
      <c r="B157" s="4">
        <v>12435</v>
      </c>
      <c r="C157" s="4" t="s">
        <v>1869</v>
      </c>
      <c r="D157" s="4" t="s">
        <v>1870</v>
      </c>
      <c r="E157" s="4" t="s">
        <v>316</v>
      </c>
      <c r="F157" s="4" t="s">
        <v>1871</v>
      </c>
      <c r="G157" s="4" t="s">
        <v>1872</v>
      </c>
      <c r="H157" s="4" t="s">
        <v>324</v>
      </c>
      <c r="I157" s="4" t="s">
        <v>937</v>
      </c>
      <c r="J157" s="4" t="s">
        <v>209</v>
      </c>
      <c r="K157" s="4" t="s">
        <v>228</v>
      </c>
      <c r="L157" s="2" t="s">
        <v>330</v>
      </c>
      <c r="M157" s="2" t="s">
        <v>347</v>
      </c>
      <c r="N157" s="4" t="s">
        <v>1782</v>
      </c>
      <c r="O157" s="4" t="s">
        <v>140</v>
      </c>
      <c r="P157" s="4" t="s">
        <v>1188</v>
      </c>
      <c r="Q157" s="157">
        <v>36</v>
      </c>
      <c r="R157" s="174">
        <v>3.71</v>
      </c>
      <c r="S157" s="176">
        <v>27495</v>
      </c>
      <c r="U157" s="157">
        <v>36.722000000000001</v>
      </c>
      <c r="V157" s="173">
        <v>0</v>
      </c>
      <c r="W157" s="173">
        <v>9.9422795033560097E-3</v>
      </c>
      <c r="X157" s="173">
        <v>3.03887295870847E-3</v>
      </c>
    </row>
    <row r="158" spans="1:24">
      <c r="A158" s="4">
        <v>419</v>
      </c>
      <c r="B158" s="4">
        <v>12435</v>
      </c>
      <c r="C158" s="4" t="s">
        <v>1873</v>
      </c>
      <c r="D158" s="4" t="s">
        <v>1874</v>
      </c>
      <c r="E158" s="4" t="s">
        <v>316</v>
      </c>
      <c r="F158" s="4" t="s">
        <v>1875</v>
      </c>
      <c r="G158" s="4" t="s">
        <v>1876</v>
      </c>
      <c r="H158" s="4" t="s">
        <v>324</v>
      </c>
      <c r="I158" s="4" t="s">
        <v>937</v>
      </c>
      <c r="J158" s="4" t="s">
        <v>209</v>
      </c>
      <c r="K158" s="4" t="s">
        <v>228</v>
      </c>
      <c r="L158" s="2" t="s">
        <v>330</v>
      </c>
      <c r="M158" s="2" t="s">
        <v>347</v>
      </c>
      <c r="N158" s="4" t="s">
        <v>553</v>
      </c>
      <c r="O158" s="4" t="s">
        <v>140</v>
      </c>
      <c r="P158" s="4" t="s">
        <v>1188</v>
      </c>
      <c r="Q158" s="157">
        <v>70</v>
      </c>
      <c r="R158" s="174">
        <v>3.71</v>
      </c>
      <c r="S158" s="176">
        <v>9619</v>
      </c>
      <c r="U158" s="157">
        <v>24.981000000000002</v>
      </c>
      <c r="V158" s="173">
        <v>0</v>
      </c>
      <c r="W158" s="173">
        <v>6.7632853023728602E-3</v>
      </c>
      <c r="X158" s="173">
        <v>2.0672085119387098E-3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0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03"/>
  <sheetViews>
    <sheetView rightToLeft="1" topLeftCell="A109" zoomScale="70" zoomScaleNormal="70" workbookViewId="0">
      <selection activeCell="J40" sqref="J40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574</v>
      </c>
      <c r="N1" s="22" t="s">
        <v>126</v>
      </c>
      <c r="O1" s="22" t="s">
        <v>11</v>
      </c>
      <c r="P1" s="22" t="s">
        <v>17</v>
      </c>
      <c r="Q1" s="164" t="s">
        <v>18</v>
      </c>
      <c r="R1" s="175" t="s">
        <v>19</v>
      </c>
      <c r="S1" s="22" t="s">
        <v>16</v>
      </c>
      <c r="T1" s="22" t="s">
        <v>20</v>
      </c>
      <c r="U1" s="170" t="s">
        <v>23</v>
      </c>
      <c r="V1" s="170" t="s">
        <v>24</v>
      </c>
      <c r="W1" s="170" t="s">
        <v>25</v>
      </c>
    </row>
    <row r="2" spans="1:23">
      <c r="A2" s="23">
        <v>14947</v>
      </c>
      <c r="B2" s="23">
        <v>14948</v>
      </c>
      <c r="C2" s="23" t="s">
        <v>1403</v>
      </c>
      <c r="D2" s="23" t="s">
        <v>1404</v>
      </c>
      <c r="E2" s="21" t="s">
        <v>1321</v>
      </c>
      <c r="F2" s="23" t="s">
        <v>1405</v>
      </c>
      <c r="G2" s="23" t="s">
        <v>1406</v>
      </c>
      <c r="H2" s="21" t="s">
        <v>324</v>
      </c>
      <c r="I2" s="23" t="s">
        <v>987</v>
      </c>
      <c r="J2" s="21" t="s">
        <v>30</v>
      </c>
      <c r="K2" s="21" t="s">
        <v>30</v>
      </c>
      <c r="L2" s="21" t="s">
        <v>31</v>
      </c>
      <c r="M2" s="23" t="s">
        <v>1364</v>
      </c>
      <c r="N2" s="23" t="s">
        <v>140</v>
      </c>
      <c r="O2" s="21" t="s">
        <v>34</v>
      </c>
      <c r="P2" s="159">
        <v>203</v>
      </c>
      <c r="Q2" s="180">
        <v>1</v>
      </c>
      <c r="R2" s="181">
        <v>2849</v>
      </c>
      <c r="S2" s="135"/>
      <c r="T2" s="158">
        <v>5.7830000000000004</v>
      </c>
      <c r="U2" s="179">
        <v>3.9999999999999998E-6</v>
      </c>
      <c r="V2" s="179">
        <v>0.10793568813641199</v>
      </c>
      <c r="W2" s="179">
        <v>7.1914609829248799E-2</v>
      </c>
    </row>
    <row r="3" spans="1:23">
      <c r="A3" s="23">
        <v>14947</v>
      </c>
      <c r="B3" s="23">
        <v>14948</v>
      </c>
      <c r="C3" s="23" t="s">
        <v>1407</v>
      </c>
      <c r="D3" s="23" t="s">
        <v>1408</v>
      </c>
      <c r="E3" s="21" t="s">
        <v>1321</v>
      </c>
      <c r="F3" s="23" t="s">
        <v>1409</v>
      </c>
      <c r="G3" s="23" t="s">
        <v>1410</v>
      </c>
      <c r="H3" s="21" t="s">
        <v>324</v>
      </c>
      <c r="I3" s="23" t="s">
        <v>987</v>
      </c>
      <c r="J3" s="21" t="s">
        <v>30</v>
      </c>
      <c r="K3" s="21" t="s">
        <v>30</v>
      </c>
      <c r="L3" s="21" t="s">
        <v>31</v>
      </c>
      <c r="M3" s="23" t="s">
        <v>1364</v>
      </c>
      <c r="N3" s="23" t="s">
        <v>140</v>
      </c>
      <c r="O3" s="21" t="s">
        <v>34</v>
      </c>
      <c r="P3" s="159">
        <v>285</v>
      </c>
      <c r="Q3" s="180">
        <v>1</v>
      </c>
      <c r="R3" s="181">
        <v>2013</v>
      </c>
      <c r="S3" s="135"/>
      <c r="T3" s="158">
        <v>5.7370000000000001</v>
      </c>
      <c r="U3" s="179">
        <v>6.0000000000000002E-6</v>
      </c>
      <c r="V3" s="179">
        <v>0.107069361408117</v>
      </c>
      <c r="W3" s="179">
        <v>7.1337399920962996E-2</v>
      </c>
    </row>
    <row r="4" spans="1:23">
      <c r="A4" s="23">
        <v>14947</v>
      </c>
      <c r="B4" s="23">
        <v>14948</v>
      </c>
      <c r="C4" s="23" t="s">
        <v>1407</v>
      </c>
      <c r="D4" s="23" t="s">
        <v>1408</v>
      </c>
      <c r="E4" s="21" t="s">
        <v>1321</v>
      </c>
      <c r="F4" s="23" t="s">
        <v>1411</v>
      </c>
      <c r="G4" s="23" t="s">
        <v>1412</v>
      </c>
      <c r="H4" s="21" t="s">
        <v>324</v>
      </c>
      <c r="I4" s="23" t="s">
        <v>989</v>
      </c>
      <c r="J4" s="21" t="s">
        <v>30</v>
      </c>
      <c r="K4" s="21" t="s">
        <v>30</v>
      </c>
      <c r="L4" s="21" t="s">
        <v>31</v>
      </c>
      <c r="M4" s="23" t="s">
        <v>1413</v>
      </c>
      <c r="N4" s="23" t="s">
        <v>140</v>
      </c>
      <c r="O4" s="21" t="s">
        <v>34</v>
      </c>
      <c r="P4" s="159">
        <v>2675</v>
      </c>
      <c r="Q4" s="180">
        <v>1</v>
      </c>
      <c r="R4" s="181">
        <v>364.41</v>
      </c>
      <c r="S4" s="135"/>
      <c r="T4" s="158">
        <v>9.7479999999999993</v>
      </c>
      <c r="U4" s="179">
        <v>1.4E-5</v>
      </c>
      <c r="V4" s="179">
        <v>0.18192427384319099</v>
      </c>
      <c r="W4" s="179">
        <v>0.12121118971667499</v>
      </c>
    </row>
    <row r="5" spans="1:23">
      <c r="A5" s="23">
        <v>14947</v>
      </c>
      <c r="B5" s="23">
        <v>14948</v>
      </c>
      <c r="C5" s="23" t="s">
        <v>1414</v>
      </c>
      <c r="D5" s="23" t="s">
        <v>1415</v>
      </c>
      <c r="E5" s="21" t="s">
        <v>1321</v>
      </c>
      <c r="F5" s="23" t="s">
        <v>1416</v>
      </c>
      <c r="G5" s="23" t="s">
        <v>1417</v>
      </c>
      <c r="H5" s="21" t="s">
        <v>324</v>
      </c>
      <c r="I5" s="23" t="s">
        <v>988</v>
      </c>
      <c r="J5" s="21" t="s">
        <v>30</v>
      </c>
      <c r="K5" s="21" t="s">
        <v>300</v>
      </c>
      <c r="L5" s="21" t="s">
        <v>31</v>
      </c>
      <c r="M5" s="23" t="s">
        <v>1418</v>
      </c>
      <c r="N5" s="23" t="s">
        <v>140</v>
      </c>
      <c r="O5" s="21" t="s">
        <v>34</v>
      </c>
      <c r="P5" s="159">
        <v>1683</v>
      </c>
      <c r="Q5" s="180">
        <v>1</v>
      </c>
      <c r="R5" s="181">
        <v>1505</v>
      </c>
      <c r="S5" s="135"/>
      <c r="T5" s="158">
        <v>25.329000000000001</v>
      </c>
      <c r="U5" s="179">
        <v>2.5000000000000001E-5</v>
      </c>
      <c r="V5" s="179">
        <v>0.47271261632902201</v>
      </c>
      <c r="W5" s="179">
        <v>0.31495554391334601</v>
      </c>
    </row>
    <row r="6" spans="1:23">
      <c r="A6" s="23">
        <v>14947</v>
      </c>
      <c r="B6" s="23">
        <v>14948</v>
      </c>
      <c r="C6" s="23" t="s">
        <v>1414</v>
      </c>
      <c r="D6" s="23" t="s">
        <v>1415</v>
      </c>
      <c r="E6" s="21" t="s">
        <v>1321</v>
      </c>
      <c r="F6" s="23" t="s">
        <v>1419</v>
      </c>
      <c r="G6" s="23" t="s">
        <v>1420</v>
      </c>
      <c r="H6" s="21" t="s">
        <v>324</v>
      </c>
      <c r="I6" s="23" t="s">
        <v>989</v>
      </c>
      <c r="J6" s="21" t="s">
        <v>30</v>
      </c>
      <c r="K6" s="21" t="s">
        <v>30</v>
      </c>
      <c r="L6" s="21" t="s">
        <v>31</v>
      </c>
      <c r="M6" s="23" t="s">
        <v>1413</v>
      </c>
      <c r="N6" s="23" t="s">
        <v>140</v>
      </c>
      <c r="O6" s="21" t="s">
        <v>34</v>
      </c>
      <c r="P6" s="159">
        <v>180</v>
      </c>
      <c r="Q6" s="180">
        <v>1</v>
      </c>
      <c r="R6" s="181">
        <v>3880.51</v>
      </c>
      <c r="S6" s="135"/>
      <c r="T6" s="158">
        <v>6.9850000000000003</v>
      </c>
      <c r="U6" s="179">
        <v>5.0000000000000004E-6</v>
      </c>
      <c r="V6" s="179">
        <v>0.130358060283258</v>
      </c>
      <c r="W6" s="179">
        <v>8.6854025811372304E-2</v>
      </c>
    </row>
    <row r="7" spans="1:23">
      <c r="A7" s="23">
        <v>14947</v>
      </c>
      <c r="B7" s="23">
        <v>14949</v>
      </c>
      <c r="C7" s="23" t="s">
        <v>1403</v>
      </c>
      <c r="D7" s="23" t="s">
        <v>1404</v>
      </c>
      <c r="E7" s="21" t="s">
        <v>1321</v>
      </c>
      <c r="F7" s="23" t="s">
        <v>1421</v>
      </c>
      <c r="G7" s="23" t="s">
        <v>1422</v>
      </c>
      <c r="H7" s="21" t="s">
        <v>324</v>
      </c>
      <c r="I7" s="23" t="s">
        <v>987</v>
      </c>
      <c r="J7" s="21" t="s">
        <v>30</v>
      </c>
      <c r="K7" s="21" t="s">
        <v>30</v>
      </c>
      <c r="L7" s="21" t="s">
        <v>31</v>
      </c>
      <c r="M7" s="23" t="s">
        <v>1364</v>
      </c>
      <c r="N7" s="23" t="s">
        <v>140</v>
      </c>
      <c r="O7" s="21" t="s">
        <v>34</v>
      </c>
      <c r="P7" s="159">
        <v>388</v>
      </c>
      <c r="Q7" s="180">
        <v>1</v>
      </c>
      <c r="R7" s="181">
        <v>3265</v>
      </c>
      <c r="S7" s="135"/>
      <c r="T7" s="158">
        <v>12.667999999999999</v>
      </c>
      <c r="U7" s="179">
        <v>1.0000000000000001E-5</v>
      </c>
      <c r="V7" s="179">
        <v>0.29167558855695602</v>
      </c>
      <c r="W7" s="179">
        <v>0.278390345536562</v>
      </c>
    </row>
    <row r="8" spans="1:23">
      <c r="A8" s="23">
        <v>14947</v>
      </c>
      <c r="B8" s="23">
        <v>14949</v>
      </c>
      <c r="C8" s="23" t="s">
        <v>1407</v>
      </c>
      <c r="D8" s="23" t="s">
        <v>1408</v>
      </c>
      <c r="E8" s="21" t="s">
        <v>1321</v>
      </c>
      <c r="F8" s="23" t="s">
        <v>1409</v>
      </c>
      <c r="G8" s="23" t="s">
        <v>1410</v>
      </c>
      <c r="H8" s="21" t="s">
        <v>324</v>
      </c>
      <c r="I8" s="23" t="s">
        <v>987</v>
      </c>
      <c r="J8" s="21" t="s">
        <v>30</v>
      </c>
      <c r="K8" s="21" t="s">
        <v>30</v>
      </c>
      <c r="L8" s="21" t="s">
        <v>31</v>
      </c>
      <c r="M8" s="23" t="s">
        <v>1364</v>
      </c>
      <c r="N8" s="23" t="s">
        <v>140</v>
      </c>
      <c r="O8" s="21" t="s">
        <v>34</v>
      </c>
      <c r="P8" s="159">
        <v>16</v>
      </c>
      <c r="Q8" s="180">
        <v>1</v>
      </c>
      <c r="R8" s="181">
        <v>2013</v>
      </c>
      <c r="S8" s="135"/>
      <c r="T8" s="158">
        <v>0.32200000000000001</v>
      </c>
      <c r="U8" s="179">
        <v>0</v>
      </c>
      <c r="V8" s="179">
        <v>7.4156449663270599E-3</v>
      </c>
      <c r="W8" s="179">
        <v>7.0778770851751601E-3</v>
      </c>
    </row>
    <row r="9" spans="1:23">
      <c r="A9" s="23">
        <v>14947</v>
      </c>
      <c r="B9" s="23">
        <v>14949</v>
      </c>
      <c r="C9" s="23" t="s">
        <v>1423</v>
      </c>
      <c r="D9" s="23" t="s">
        <v>1424</v>
      </c>
      <c r="E9" s="21" t="s">
        <v>1321</v>
      </c>
      <c r="F9" s="23" t="s">
        <v>1425</v>
      </c>
      <c r="G9" s="23" t="s">
        <v>1426</v>
      </c>
      <c r="H9" s="21" t="s">
        <v>324</v>
      </c>
      <c r="I9" s="23" t="s">
        <v>988</v>
      </c>
      <c r="J9" s="21" t="s">
        <v>30</v>
      </c>
      <c r="K9" s="21" t="s">
        <v>228</v>
      </c>
      <c r="L9" s="21" t="s">
        <v>31</v>
      </c>
      <c r="M9" s="23" t="s">
        <v>1418</v>
      </c>
      <c r="N9" s="23" t="s">
        <v>140</v>
      </c>
      <c r="O9" s="21" t="s">
        <v>34</v>
      </c>
      <c r="P9" s="159">
        <v>129</v>
      </c>
      <c r="Q9" s="180">
        <v>1</v>
      </c>
      <c r="R9" s="181">
        <v>10530</v>
      </c>
      <c r="S9" s="135"/>
      <c r="T9" s="158">
        <v>13.584</v>
      </c>
      <c r="U9" s="179">
        <v>1.9999999999999999E-6</v>
      </c>
      <c r="V9" s="179">
        <v>0.312754273873252</v>
      </c>
      <c r="W9" s="179">
        <v>0.29850893865466299</v>
      </c>
    </row>
    <row r="10" spans="1:23">
      <c r="A10" s="23">
        <v>14947</v>
      </c>
      <c r="B10" s="23">
        <v>14949</v>
      </c>
      <c r="C10" s="23" t="s">
        <v>1414</v>
      </c>
      <c r="D10" s="23" t="s">
        <v>1415</v>
      </c>
      <c r="E10" s="21" t="s">
        <v>1321</v>
      </c>
      <c r="F10" s="23" t="s">
        <v>1427</v>
      </c>
      <c r="G10" s="23" t="s">
        <v>1428</v>
      </c>
      <c r="H10" s="21" t="s">
        <v>324</v>
      </c>
      <c r="I10" s="23" t="s">
        <v>988</v>
      </c>
      <c r="J10" s="21" t="s">
        <v>30</v>
      </c>
      <c r="K10" s="21" t="s">
        <v>300</v>
      </c>
      <c r="L10" s="21" t="s">
        <v>317</v>
      </c>
      <c r="M10" s="23" t="s">
        <v>1429</v>
      </c>
      <c r="N10" s="23" t="s">
        <v>140</v>
      </c>
      <c r="O10" s="21" t="s">
        <v>34</v>
      </c>
      <c r="P10" s="159">
        <v>329</v>
      </c>
      <c r="Q10" s="180">
        <v>1</v>
      </c>
      <c r="R10" s="181">
        <v>3793</v>
      </c>
      <c r="S10" s="135"/>
      <c r="T10" s="158">
        <v>12.478999999999999</v>
      </c>
      <c r="U10" s="179">
        <v>3.0000000000000001E-6</v>
      </c>
      <c r="V10" s="179">
        <v>0.28731871294537498</v>
      </c>
      <c r="W10" s="179">
        <v>0.27423191694482202</v>
      </c>
    </row>
    <row r="11" spans="1:23">
      <c r="A11" s="23">
        <v>14947</v>
      </c>
      <c r="B11" s="23">
        <v>14949</v>
      </c>
      <c r="C11" s="23" t="s">
        <v>1414</v>
      </c>
      <c r="D11" s="23" t="s">
        <v>1415</v>
      </c>
      <c r="E11" s="21" t="s">
        <v>1321</v>
      </c>
      <c r="F11" s="23" t="s">
        <v>1416</v>
      </c>
      <c r="G11" s="23" t="s">
        <v>1417</v>
      </c>
      <c r="H11" s="21" t="s">
        <v>324</v>
      </c>
      <c r="I11" s="23" t="s">
        <v>988</v>
      </c>
      <c r="J11" s="21" t="s">
        <v>30</v>
      </c>
      <c r="K11" s="21" t="s">
        <v>300</v>
      </c>
      <c r="L11" s="21" t="s">
        <v>31</v>
      </c>
      <c r="M11" s="23" t="s">
        <v>1418</v>
      </c>
      <c r="N11" s="23" t="s">
        <v>140</v>
      </c>
      <c r="O11" s="21" t="s">
        <v>34</v>
      </c>
      <c r="P11" s="159">
        <v>291</v>
      </c>
      <c r="Q11" s="180">
        <v>1</v>
      </c>
      <c r="R11" s="181">
        <v>1505</v>
      </c>
      <c r="S11" s="135"/>
      <c r="T11" s="158">
        <v>4.38</v>
      </c>
      <c r="U11" s="179">
        <v>3.9999999999999998E-6</v>
      </c>
      <c r="V11" s="179">
        <v>0.10083577965809</v>
      </c>
      <c r="W11" s="179">
        <v>9.6242910420947805E-2</v>
      </c>
    </row>
    <row r="12" spans="1:23">
      <c r="A12" s="23">
        <v>14947</v>
      </c>
      <c r="B12" s="23">
        <v>15203</v>
      </c>
      <c r="C12" s="23" t="s">
        <v>1407</v>
      </c>
      <c r="D12" s="23" t="s">
        <v>1408</v>
      </c>
      <c r="E12" s="21" t="s">
        <v>1321</v>
      </c>
      <c r="F12" s="23" t="s">
        <v>1430</v>
      </c>
      <c r="G12" s="23" t="s">
        <v>1431</v>
      </c>
      <c r="H12" s="21" t="s">
        <v>324</v>
      </c>
      <c r="I12" s="23" t="s">
        <v>988</v>
      </c>
      <c r="J12" s="21" t="s">
        <v>30</v>
      </c>
      <c r="K12" s="21" t="s">
        <v>228</v>
      </c>
      <c r="L12" s="21" t="s">
        <v>31</v>
      </c>
      <c r="M12" s="23" t="s">
        <v>1418</v>
      </c>
      <c r="N12" s="23" t="s">
        <v>140</v>
      </c>
      <c r="O12" s="21" t="s">
        <v>34</v>
      </c>
      <c r="P12" s="159">
        <v>139</v>
      </c>
      <c r="Q12" s="180">
        <v>1</v>
      </c>
      <c r="R12" s="181">
        <v>2470</v>
      </c>
      <c r="S12" s="135"/>
      <c r="T12" s="158">
        <v>3.4329999999999998</v>
      </c>
      <c r="U12" s="179">
        <v>0</v>
      </c>
      <c r="V12" s="179">
        <v>9.9782375432604393E-3</v>
      </c>
      <c r="W12" s="179">
        <v>9.9517802579207598E-3</v>
      </c>
    </row>
    <row r="13" spans="1:23">
      <c r="A13" s="23">
        <v>14947</v>
      </c>
      <c r="B13" s="23">
        <v>15203</v>
      </c>
      <c r="C13" s="23" t="s">
        <v>1423</v>
      </c>
      <c r="D13" s="23" t="s">
        <v>1424</v>
      </c>
      <c r="E13" s="21" t="s">
        <v>1321</v>
      </c>
      <c r="F13" s="23" t="s">
        <v>1425</v>
      </c>
      <c r="G13" s="23" t="s">
        <v>1426</v>
      </c>
      <c r="H13" s="21" t="s">
        <v>324</v>
      </c>
      <c r="I13" s="23" t="s">
        <v>988</v>
      </c>
      <c r="J13" s="21" t="s">
        <v>30</v>
      </c>
      <c r="K13" s="21" t="s">
        <v>228</v>
      </c>
      <c r="L13" s="21" t="s">
        <v>31</v>
      </c>
      <c r="M13" s="23" t="s">
        <v>1418</v>
      </c>
      <c r="N13" s="23" t="s">
        <v>140</v>
      </c>
      <c r="O13" s="21" t="s">
        <v>34</v>
      </c>
      <c r="P13" s="159">
        <v>3235</v>
      </c>
      <c r="Q13" s="180">
        <v>1</v>
      </c>
      <c r="R13" s="181">
        <v>10530</v>
      </c>
      <c r="S13" s="135"/>
      <c r="T13" s="158">
        <v>340.64600000000002</v>
      </c>
      <c r="U13" s="179">
        <v>5.5999999999999999E-5</v>
      </c>
      <c r="V13" s="179">
        <v>0.99002176245674001</v>
      </c>
      <c r="W13" s="179">
        <v>0.98739672089521702</v>
      </c>
    </row>
    <row r="14" spans="1:23">
      <c r="A14" s="23">
        <v>419</v>
      </c>
      <c r="B14" s="23">
        <v>419</v>
      </c>
      <c r="C14" s="23" t="s">
        <v>1403</v>
      </c>
      <c r="D14" s="23" t="s">
        <v>1404</v>
      </c>
      <c r="E14" s="21" t="s">
        <v>1321</v>
      </c>
      <c r="F14" s="23" t="s">
        <v>1432</v>
      </c>
      <c r="G14" s="23" t="s">
        <v>1433</v>
      </c>
      <c r="H14" s="21" t="s">
        <v>324</v>
      </c>
      <c r="I14" s="23" t="s">
        <v>989</v>
      </c>
      <c r="J14" s="21" t="s">
        <v>30</v>
      </c>
      <c r="K14" s="21" t="s">
        <v>30</v>
      </c>
      <c r="L14" s="21" t="s">
        <v>31</v>
      </c>
      <c r="M14" s="23" t="s">
        <v>1413</v>
      </c>
      <c r="N14" s="23" t="s">
        <v>140</v>
      </c>
      <c r="O14" s="21" t="s">
        <v>34</v>
      </c>
      <c r="P14" s="159">
        <v>295450</v>
      </c>
      <c r="Q14" s="180">
        <v>1</v>
      </c>
      <c r="R14" s="181">
        <v>407.22</v>
      </c>
      <c r="S14" s="135"/>
      <c r="T14" s="158">
        <v>1203.1310000000001</v>
      </c>
      <c r="U14" s="179">
        <v>5.5750000000000001E-3</v>
      </c>
      <c r="V14" s="179">
        <v>4.2535017065780303E-3</v>
      </c>
      <c r="W14" s="179">
        <v>1.03778049333531E-3</v>
      </c>
    </row>
    <row r="15" spans="1:23">
      <c r="A15" s="23">
        <v>419</v>
      </c>
      <c r="B15" s="23">
        <v>419</v>
      </c>
      <c r="C15" s="23" t="s">
        <v>1403</v>
      </c>
      <c r="D15" s="23" t="s">
        <v>1404</v>
      </c>
      <c r="E15" s="21" t="s">
        <v>1321</v>
      </c>
      <c r="F15" s="23" t="s">
        <v>1434</v>
      </c>
      <c r="G15" s="23" t="s">
        <v>1435</v>
      </c>
      <c r="H15" s="21" t="s">
        <v>324</v>
      </c>
      <c r="I15" s="23" t="s">
        <v>987</v>
      </c>
      <c r="J15" s="21" t="s">
        <v>30</v>
      </c>
      <c r="K15" s="21" t="s">
        <v>30</v>
      </c>
      <c r="L15" s="21" t="s">
        <v>31</v>
      </c>
      <c r="M15" s="23" t="s">
        <v>1364</v>
      </c>
      <c r="N15" s="23" t="s">
        <v>140</v>
      </c>
      <c r="O15" s="21" t="s">
        <v>34</v>
      </c>
      <c r="P15" s="159">
        <v>105652</v>
      </c>
      <c r="Q15" s="180">
        <v>1</v>
      </c>
      <c r="R15" s="181">
        <v>3034</v>
      </c>
      <c r="S15" s="135"/>
      <c r="T15" s="158">
        <v>3205.482</v>
      </c>
      <c r="U15" s="179">
        <v>2.9329999999999998E-3</v>
      </c>
      <c r="V15" s="179">
        <v>1.13325284140677E-2</v>
      </c>
      <c r="W15" s="179">
        <v>2.7649399811218601E-3</v>
      </c>
    </row>
    <row r="16" spans="1:23">
      <c r="A16" s="23">
        <v>419</v>
      </c>
      <c r="B16" s="23">
        <v>419</v>
      </c>
      <c r="C16" s="23" t="s">
        <v>1403</v>
      </c>
      <c r="D16" s="23" t="s">
        <v>1404</v>
      </c>
      <c r="E16" s="21" t="s">
        <v>1321</v>
      </c>
      <c r="F16" s="23" t="s">
        <v>1436</v>
      </c>
      <c r="G16" s="23" t="s">
        <v>1437</v>
      </c>
      <c r="H16" s="21" t="s">
        <v>324</v>
      </c>
      <c r="I16" s="23" t="s">
        <v>988</v>
      </c>
      <c r="J16" s="21" t="s">
        <v>30</v>
      </c>
      <c r="K16" s="21" t="s">
        <v>228</v>
      </c>
      <c r="L16" s="21" t="s">
        <v>31</v>
      </c>
      <c r="M16" s="23" t="s">
        <v>1418</v>
      </c>
      <c r="N16" s="23" t="s">
        <v>140</v>
      </c>
      <c r="O16" s="21" t="s">
        <v>34</v>
      </c>
      <c r="P16" s="159">
        <v>104500</v>
      </c>
      <c r="Q16" s="180">
        <v>1</v>
      </c>
      <c r="R16" s="181">
        <v>3167</v>
      </c>
      <c r="S16" s="135"/>
      <c r="T16" s="158">
        <v>3309.5149999999999</v>
      </c>
      <c r="U16" s="179">
        <v>5.2249999999999996E-3</v>
      </c>
      <c r="V16" s="179">
        <v>1.1700323545222499E-2</v>
      </c>
      <c r="W16" s="179">
        <v>2.8546756010854801E-3</v>
      </c>
    </row>
    <row r="17" spans="1:23">
      <c r="A17" s="23">
        <v>419</v>
      </c>
      <c r="B17" s="23">
        <v>419</v>
      </c>
      <c r="C17" s="23" t="s">
        <v>1438</v>
      </c>
      <c r="D17" s="23" t="s">
        <v>1439</v>
      </c>
      <c r="E17" s="21" t="s">
        <v>316</v>
      </c>
      <c r="F17" s="23" t="s">
        <v>1440</v>
      </c>
      <c r="G17" s="23" t="s">
        <v>1441</v>
      </c>
      <c r="H17" s="21" t="s">
        <v>324</v>
      </c>
      <c r="I17" s="23" t="s">
        <v>988</v>
      </c>
      <c r="J17" s="21" t="s">
        <v>209</v>
      </c>
      <c r="K17" s="21" t="s">
        <v>297</v>
      </c>
      <c r="L17" s="21" t="s">
        <v>367</v>
      </c>
      <c r="M17" s="23" t="s">
        <v>740</v>
      </c>
      <c r="N17" s="23" t="s">
        <v>140</v>
      </c>
      <c r="O17" s="21" t="s">
        <v>1190</v>
      </c>
      <c r="P17" s="159">
        <v>21865</v>
      </c>
      <c r="Q17" s="180">
        <v>4.1524000000000001</v>
      </c>
      <c r="R17" s="181">
        <v>11358</v>
      </c>
      <c r="S17" s="135"/>
      <c r="T17" s="158">
        <v>10312.181</v>
      </c>
      <c r="U17" s="179">
        <v>4.9690000000000003E-3</v>
      </c>
      <c r="V17" s="179">
        <v>3.6457261712710499E-2</v>
      </c>
      <c r="W17" s="179">
        <v>8.8949382546056593E-3</v>
      </c>
    </row>
    <row r="18" spans="1:23">
      <c r="A18" s="23">
        <v>419</v>
      </c>
      <c r="B18" s="23">
        <v>419</v>
      </c>
      <c r="C18" s="23" t="s">
        <v>1442</v>
      </c>
      <c r="D18" s="23" t="s">
        <v>1443</v>
      </c>
      <c r="E18" s="21" t="s">
        <v>316</v>
      </c>
      <c r="F18" s="23" t="s">
        <v>1444</v>
      </c>
      <c r="G18" s="23" t="s">
        <v>1445</v>
      </c>
      <c r="H18" s="21" t="s">
        <v>324</v>
      </c>
      <c r="I18" s="23" t="s">
        <v>988</v>
      </c>
      <c r="J18" s="21" t="s">
        <v>209</v>
      </c>
      <c r="K18" s="21" t="s">
        <v>228</v>
      </c>
      <c r="L18" s="21" t="s">
        <v>347</v>
      </c>
      <c r="M18" s="23" t="s">
        <v>740</v>
      </c>
      <c r="N18" s="23" t="s">
        <v>140</v>
      </c>
      <c r="O18" s="21" t="s">
        <v>1188</v>
      </c>
      <c r="P18" s="159">
        <v>12558</v>
      </c>
      <c r="Q18" s="180">
        <v>3.71</v>
      </c>
      <c r="R18" s="181">
        <v>20037</v>
      </c>
      <c r="S18" s="135"/>
      <c r="T18" s="158">
        <v>9335.2739999999994</v>
      </c>
      <c r="U18" s="179">
        <v>1.2899999999999999E-4</v>
      </c>
      <c r="V18" s="179">
        <v>3.3003545979589703E-2</v>
      </c>
      <c r="W18" s="179">
        <v>8.0522916390382698E-3</v>
      </c>
    </row>
    <row r="19" spans="1:23">
      <c r="A19" s="23">
        <v>419</v>
      </c>
      <c r="B19" s="23">
        <v>419</v>
      </c>
      <c r="C19" s="23" t="s">
        <v>1442</v>
      </c>
      <c r="D19" s="23" t="s">
        <v>1443</v>
      </c>
      <c r="E19" s="21" t="s">
        <v>316</v>
      </c>
      <c r="F19" s="23" t="s">
        <v>1446</v>
      </c>
      <c r="G19" s="23" t="s">
        <v>1447</v>
      </c>
      <c r="H19" s="21" t="s">
        <v>324</v>
      </c>
      <c r="I19" s="23" t="s">
        <v>988</v>
      </c>
      <c r="J19" s="21" t="s">
        <v>209</v>
      </c>
      <c r="K19" s="21" t="s">
        <v>228</v>
      </c>
      <c r="L19" s="21" t="s">
        <v>347</v>
      </c>
      <c r="M19" s="23" t="s">
        <v>740</v>
      </c>
      <c r="N19" s="23" t="s">
        <v>140</v>
      </c>
      <c r="O19" s="21" t="s">
        <v>1188</v>
      </c>
      <c r="P19" s="159">
        <v>90438</v>
      </c>
      <c r="Q19" s="180">
        <v>3.71</v>
      </c>
      <c r="R19" s="181">
        <v>4532</v>
      </c>
      <c r="S19" s="135"/>
      <c r="T19" s="158">
        <v>15205.992</v>
      </c>
      <c r="U19" s="179">
        <v>1E-4</v>
      </c>
      <c r="V19" s="179">
        <v>5.3758640562503797E-2</v>
      </c>
      <c r="W19" s="179">
        <v>1.3116174007339E-2</v>
      </c>
    </row>
    <row r="20" spans="1:23">
      <c r="A20" s="2">
        <v>419</v>
      </c>
      <c r="B20" s="2">
        <v>419</v>
      </c>
      <c r="C20" s="2" t="s">
        <v>1448</v>
      </c>
      <c r="D20" s="2" t="s">
        <v>1449</v>
      </c>
      <c r="E20" s="21" t="s">
        <v>316</v>
      </c>
      <c r="F20" s="2" t="s">
        <v>1450</v>
      </c>
      <c r="G20" s="2" t="s">
        <v>1451</v>
      </c>
      <c r="H20" s="21" t="s">
        <v>324</v>
      </c>
      <c r="I20" s="23" t="s">
        <v>988</v>
      </c>
      <c r="J20" s="21" t="s">
        <v>209</v>
      </c>
      <c r="K20" s="21" t="s">
        <v>228</v>
      </c>
      <c r="L20" s="21" t="s">
        <v>347</v>
      </c>
      <c r="M20" s="23" t="s">
        <v>740</v>
      </c>
      <c r="N20" s="23" t="s">
        <v>140</v>
      </c>
      <c r="O20" s="2" t="s">
        <v>1188</v>
      </c>
      <c r="P20" s="159">
        <v>14030</v>
      </c>
      <c r="Q20" s="165">
        <v>3.71</v>
      </c>
      <c r="R20" s="182">
        <v>2120</v>
      </c>
      <c r="T20" s="156">
        <v>1103.4880000000001</v>
      </c>
      <c r="U20" s="171">
        <v>0</v>
      </c>
      <c r="V20" s="171">
        <v>3.9012246447374002E-3</v>
      </c>
      <c r="W20" s="171">
        <v>9.5183101259047097E-4</v>
      </c>
    </row>
    <row r="21" spans="1:23">
      <c r="A21" s="2">
        <v>419</v>
      </c>
      <c r="B21" s="2">
        <v>419</v>
      </c>
      <c r="C21" s="2" t="s">
        <v>1452</v>
      </c>
      <c r="D21" s="2" t="s">
        <v>1453</v>
      </c>
      <c r="E21" s="4" t="s">
        <v>316</v>
      </c>
      <c r="F21" s="2" t="s">
        <v>1454</v>
      </c>
      <c r="G21" s="2" t="s">
        <v>1455</v>
      </c>
      <c r="H21" s="4" t="s">
        <v>324</v>
      </c>
      <c r="I21" s="2" t="s">
        <v>988</v>
      </c>
      <c r="J21" s="2" t="s">
        <v>209</v>
      </c>
      <c r="K21" s="2" t="s">
        <v>228</v>
      </c>
      <c r="L21" s="4" t="s">
        <v>347</v>
      </c>
      <c r="M21" s="2" t="s">
        <v>740</v>
      </c>
      <c r="N21" s="2" t="s">
        <v>140</v>
      </c>
      <c r="O21" s="2" t="s">
        <v>1188</v>
      </c>
      <c r="P21" s="157">
        <v>24795</v>
      </c>
      <c r="Q21" s="165">
        <v>3.71</v>
      </c>
      <c r="R21" s="182">
        <v>4116</v>
      </c>
      <c r="T21" s="156">
        <v>3786.2860000000001</v>
      </c>
      <c r="U21" s="171">
        <v>1.65E-4</v>
      </c>
      <c r="V21" s="171">
        <v>1.3385879335814799E-2</v>
      </c>
      <c r="W21" s="171">
        <v>3.2659219201359598E-3</v>
      </c>
    </row>
    <row r="22" spans="1:23">
      <c r="A22" s="2">
        <v>419</v>
      </c>
      <c r="B22" s="2">
        <v>419</v>
      </c>
      <c r="C22" s="2" t="s">
        <v>1442</v>
      </c>
      <c r="D22" s="2" t="s">
        <v>1443</v>
      </c>
      <c r="E22" s="4" t="s">
        <v>316</v>
      </c>
      <c r="F22" s="2" t="s">
        <v>1456</v>
      </c>
      <c r="G22" s="2" t="s">
        <v>1457</v>
      </c>
      <c r="H22" s="2" t="s">
        <v>324</v>
      </c>
      <c r="I22" s="2" t="s">
        <v>988</v>
      </c>
      <c r="J22" s="2" t="s">
        <v>209</v>
      </c>
      <c r="K22" s="2" t="s">
        <v>300</v>
      </c>
      <c r="L22" s="4" t="s">
        <v>347</v>
      </c>
      <c r="M22" s="2" t="s">
        <v>740</v>
      </c>
      <c r="N22" s="2" t="s">
        <v>140</v>
      </c>
      <c r="O22" s="2" t="s">
        <v>1188</v>
      </c>
      <c r="P22" s="157">
        <v>21697</v>
      </c>
      <c r="Q22" s="165">
        <v>3.71</v>
      </c>
      <c r="R22" s="182">
        <v>15402</v>
      </c>
      <c r="T22" s="156">
        <v>12397.974</v>
      </c>
      <c r="U22" s="171">
        <v>7.8999999999999996E-5</v>
      </c>
      <c r="V22" s="171">
        <v>4.3831288241571002E-2</v>
      </c>
      <c r="W22" s="171">
        <v>1.06940725719033E-2</v>
      </c>
    </row>
    <row r="23" spans="1:23">
      <c r="A23" s="2">
        <v>419</v>
      </c>
      <c r="B23" s="2">
        <v>419</v>
      </c>
      <c r="C23" s="2" t="s">
        <v>1442</v>
      </c>
      <c r="D23" s="2" t="s">
        <v>1443</v>
      </c>
      <c r="E23" s="4" t="s">
        <v>316</v>
      </c>
      <c r="F23" s="2" t="s">
        <v>1458</v>
      </c>
      <c r="G23" s="2" t="s">
        <v>1459</v>
      </c>
      <c r="H23" s="2" t="s">
        <v>324</v>
      </c>
      <c r="I23" s="2" t="s">
        <v>988</v>
      </c>
      <c r="J23" s="2" t="s">
        <v>209</v>
      </c>
      <c r="K23" s="2" t="s">
        <v>228</v>
      </c>
      <c r="L23" s="2" t="s">
        <v>347</v>
      </c>
      <c r="M23" s="2" t="s">
        <v>740</v>
      </c>
      <c r="N23" s="2" t="s">
        <v>140</v>
      </c>
      <c r="O23" s="2" t="s">
        <v>1188</v>
      </c>
      <c r="P23" s="157">
        <v>33976</v>
      </c>
      <c r="Q23" s="165">
        <v>3.71</v>
      </c>
      <c r="R23" s="182">
        <v>13544</v>
      </c>
      <c r="T23" s="156">
        <v>17072.342000000001</v>
      </c>
      <c r="U23" s="171">
        <v>2.4600000000000002E-4</v>
      </c>
      <c r="V23" s="171">
        <v>6.0356857526488797E-2</v>
      </c>
      <c r="W23" s="171">
        <v>1.4726024273868399E-2</v>
      </c>
    </row>
    <row r="24" spans="1:23">
      <c r="A24" s="2">
        <v>419</v>
      </c>
      <c r="B24" s="2">
        <v>419</v>
      </c>
      <c r="C24" s="2" t="s">
        <v>1365</v>
      </c>
      <c r="D24" s="2" t="s">
        <v>1366</v>
      </c>
      <c r="E24" s="4" t="s">
        <v>316</v>
      </c>
      <c r="F24" s="2" t="s">
        <v>1460</v>
      </c>
      <c r="G24" s="2" t="s">
        <v>1461</v>
      </c>
      <c r="H24" s="2" t="s">
        <v>324</v>
      </c>
      <c r="I24" s="2" t="s">
        <v>988</v>
      </c>
      <c r="J24" s="2" t="s">
        <v>209</v>
      </c>
      <c r="K24" s="2" t="s">
        <v>228</v>
      </c>
      <c r="L24" s="2" t="s">
        <v>347</v>
      </c>
      <c r="M24" s="2" t="s">
        <v>740</v>
      </c>
      <c r="N24" s="2" t="s">
        <v>140</v>
      </c>
      <c r="O24" s="2" t="s">
        <v>1188</v>
      </c>
      <c r="P24" s="157">
        <v>16897</v>
      </c>
      <c r="Q24" s="165">
        <v>3.71</v>
      </c>
      <c r="R24" s="182">
        <v>11497</v>
      </c>
      <c r="T24" s="156">
        <v>7207.2240000000002</v>
      </c>
      <c r="U24" s="171">
        <v>1.2520000000000001E-3</v>
      </c>
      <c r="V24" s="171">
        <v>2.5480125488374101E-2</v>
      </c>
      <c r="W24" s="171">
        <v>6.2167077912950799E-3</v>
      </c>
    </row>
    <row r="25" spans="1:23">
      <c r="A25" s="2">
        <v>419</v>
      </c>
      <c r="B25" s="2">
        <v>419</v>
      </c>
      <c r="C25" s="2" t="s">
        <v>1365</v>
      </c>
      <c r="D25" s="2" t="s">
        <v>1366</v>
      </c>
      <c r="E25" s="4" t="s">
        <v>316</v>
      </c>
      <c r="F25" s="2" t="s">
        <v>1462</v>
      </c>
      <c r="G25" s="2" t="s">
        <v>1463</v>
      </c>
      <c r="H25" s="2" t="s">
        <v>324</v>
      </c>
      <c r="I25" s="2" t="s">
        <v>988</v>
      </c>
      <c r="J25" s="2" t="s">
        <v>209</v>
      </c>
      <c r="K25" s="2" t="s">
        <v>228</v>
      </c>
      <c r="L25" s="2" t="s">
        <v>349</v>
      </c>
      <c r="M25" s="2" t="s">
        <v>740</v>
      </c>
      <c r="N25" s="2" t="s">
        <v>140</v>
      </c>
      <c r="O25" s="2" t="s">
        <v>1188</v>
      </c>
      <c r="P25" s="157">
        <v>6692</v>
      </c>
      <c r="Q25" s="165">
        <v>3.71</v>
      </c>
      <c r="R25" s="182">
        <v>48807</v>
      </c>
      <c r="S25" s="160">
        <v>3.3969999999999998</v>
      </c>
      <c r="T25" s="156">
        <v>12130.074000000001</v>
      </c>
      <c r="U25" s="171">
        <v>1.2E-5</v>
      </c>
      <c r="V25" s="171">
        <v>4.2884164295536001E-2</v>
      </c>
      <c r="W25" s="171">
        <v>1.0462990789463699E-2</v>
      </c>
    </row>
    <row r="26" spans="1:23">
      <c r="A26" s="2">
        <v>419</v>
      </c>
      <c r="B26" s="2">
        <v>419</v>
      </c>
      <c r="C26" s="2" t="s">
        <v>1464</v>
      </c>
      <c r="D26" s="2" t="s">
        <v>1465</v>
      </c>
      <c r="E26" s="4" t="s">
        <v>316</v>
      </c>
      <c r="F26" s="2" t="s">
        <v>1466</v>
      </c>
      <c r="G26" s="11" t="s">
        <v>1467</v>
      </c>
      <c r="H26" s="2" t="s">
        <v>324</v>
      </c>
      <c r="I26" s="2" t="s">
        <v>988</v>
      </c>
      <c r="J26" s="2" t="s">
        <v>209</v>
      </c>
      <c r="K26" s="2" t="s">
        <v>228</v>
      </c>
      <c r="L26" s="2" t="s">
        <v>347</v>
      </c>
      <c r="M26" s="2" t="s">
        <v>740</v>
      </c>
      <c r="N26" s="2" t="s">
        <v>140</v>
      </c>
      <c r="O26" s="2" t="s">
        <v>1188</v>
      </c>
      <c r="P26" s="157">
        <v>2463</v>
      </c>
      <c r="Q26" s="165">
        <v>3.71</v>
      </c>
      <c r="R26" s="182">
        <v>57682</v>
      </c>
      <c r="S26" s="160">
        <v>5.5039999999999996</v>
      </c>
      <c r="T26" s="156">
        <v>5291.2449999999999</v>
      </c>
      <c r="U26" s="171">
        <v>3.0000000000000001E-6</v>
      </c>
      <c r="V26" s="171">
        <v>1.8706449294664699E-2</v>
      </c>
      <c r="W26" s="171">
        <v>4.5640485220792898E-3</v>
      </c>
    </row>
    <row r="27" spans="1:23">
      <c r="A27" s="2">
        <v>419</v>
      </c>
      <c r="B27" s="2">
        <v>419</v>
      </c>
      <c r="C27" s="2" t="s">
        <v>1464</v>
      </c>
      <c r="D27" s="2" t="s">
        <v>1465</v>
      </c>
      <c r="E27" s="4" t="s">
        <v>316</v>
      </c>
      <c r="F27" s="2" t="s">
        <v>1468</v>
      </c>
      <c r="G27" s="2" t="s">
        <v>1469</v>
      </c>
      <c r="H27" s="2" t="s">
        <v>324</v>
      </c>
      <c r="I27" s="2" t="s">
        <v>988</v>
      </c>
      <c r="J27" s="2" t="s">
        <v>209</v>
      </c>
      <c r="K27" s="2" t="s">
        <v>237</v>
      </c>
      <c r="L27" s="2" t="s">
        <v>383</v>
      </c>
      <c r="M27" s="2" t="s">
        <v>740</v>
      </c>
      <c r="N27" s="2" t="s">
        <v>140</v>
      </c>
      <c r="O27" s="2" t="s">
        <v>1193</v>
      </c>
      <c r="P27" s="157">
        <v>312522</v>
      </c>
      <c r="Q27" s="165">
        <v>4.9748000000000001</v>
      </c>
      <c r="R27" s="182">
        <v>799.3</v>
      </c>
      <c r="T27" s="156">
        <v>12426.992</v>
      </c>
      <c r="U27" s="171">
        <v>5.1599999999999997E-4</v>
      </c>
      <c r="V27" s="171">
        <v>4.3933879148785798E-2</v>
      </c>
      <c r="W27" s="171">
        <v>1.0719102970301E-2</v>
      </c>
    </row>
    <row r="28" spans="1:23">
      <c r="A28" s="2">
        <v>419</v>
      </c>
      <c r="B28" s="2">
        <v>419</v>
      </c>
      <c r="C28" s="2" t="s">
        <v>1464</v>
      </c>
      <c r="D28" s="2" t="s">
        <v>1465</v>
      </c>
      <c r="E28" s="4" t="s">
        <v>316</v>
      </c>
      <c r="F28" s="2" t="s">
        <v>1470</v>
      </c>
      <c r="G28" s="2" t="s">
        <v>1471</v>
      </c>
      <c r="H28" s="2" t="s">
        <v>324</v>
      </c>
      <c r="I28" s="2" t="s">
        <v>988</v>
      </c>
      <c r="J28" s="2" t="s">
        <v>209</v>
      </c>
      <c r="K28" s="2" t="s">
        <v>272</v>
      </c>
      <c r="L28" s="2" t="s">
        <v>347</v>
      </c>
      <c r="M28" s="2" t="s">
        <v>740</v>
      </c>
      <c r="N28" s="2" t="s">
        <v>140</v>
      </c>
      <c r="O28" s="2" t="s">
        <v>1188</v>
      </c>
      <c r="P28" s="157">
        <v>15050</v>
      </c>
      <c r="Q28" s="165">
        <v>3.71</v>
      </c>
      <c r="R28" s="182">
        <v>3178</v>
      </c>
      <c r="T28" s="156">
        <v>1774.452</v>
      </c>
      <c r="U28" s="171">
        <v>8.6000000000000003E-5</v>
      </c>
      <c r="V28" s="171">
        <v>6.2733254686951302E-3</v>
      </c>
      <c r="W28" s="171">
        <v>1.53058238807973E-3</v>
      </c>
    </row>
    <row r="29" spans="1:23">
      <c r="A29" s="2">
        <v>419</v>
      </c>
      <c r="B29" s="2">
        <v>419</v>
      </c>
      <c r="C29" s="2" t="s">
        <v>1464</v>
      </c>
      <c r="D29" s="2" t="s">
        <v>1465</v>
      </c>
      <c r="E29" s="4" t="s">
        <v>316</v>
      </c>
      <c r="F29" s="2" t="s">
        <v>1472</v>
      </c>
      <c r="G29" s="2" t="s">
        <v>1473</v>
      </c>
      <c r="H29" s="2" t="s">
        <v>324</v>
      </c>
      <c r="I29" s="2" t="s">
        <v>988</v>
      </c>
      <c r="J29" s="2" t="s">
        <v>209</v>
      </c>
      <c r="K29" s="2" t="s">
        <v>272</v>
      </c>
      <c r="L29" s="2" t="s">
        <v>349</v>
      </c>
      <c r="M29" s="2" t="s">
        <v>740</v>
      </c>
      <c r="N29" s="2" t="s">
        <v>140</v>
      </c>
      <c r="O29" s="2" t="s">
        <v>1188</v>
      </c>
      <c r="P29" s="157">
        <v>66687</v>
      </c>
      <c r="Q29" s="165">
        <v>3.71</v>
      </c>
      <c r="R29" s="182">
        <v>5091</v>
      </c>
      <c r="T29" s="156">
        <v>12595.58</v>
      </c>
      <c r="U29" s="171">
        <v>4.2200000000000001E-4</v>
      </c>
      <c r="V29" s="171">
        <v>4.4529898448587998E-2</v>
      </c>
      <c r="W29" s="171">
        <v>1.08645213210283E-2</v>
      </c>
    </row>
    <row r="30" spans="1:23">
      <c r="A30" s="2">
        <v>419</v>
      </c>
      <c r="B30" s="2">
        <v>419</v>
      </c>
      <c r="C30" s="2" t="s">
        <v>1464</v>
      </c>
      <c r="D30" s="2" t="s">
        <v>1465</v>
      </c>
      <c r="E30" s="4" t="s">
        <v>316</v>
      </c>
      <c r="F30" s="2" t="s">
        <v>1474</v>
      </c>
      <c r="G30" s="2" t="s">
        <v>1475</v>
      </c>
      <c r="H30" s="2" t="s">
        <v>324</v>
      </c>
      <c r="I30" s="2" t="s">
        <v>988</v>
      </c>
      <c r="J30" s="2" t="s">
        <v>209</v>
      </c>
      <c r="K30" s="2" t="s">
        <v>297</v>
      </c>
      <c r="L30" s="2" t="s">
        <v>371</v>
      </c>
      <c r="M30" s="2" t="s">
        <v>740</v>
      </c>
      <c r="N30" s="2" t="s">
        <v>140</v>
      </c>
      <c r="O30" s="2" t="s">
        <v>1190</v>
      </c>
      <c r="P30" s="157">
        <v>11200</v>
      </c>
      <c r="Q30" s="165">
        <v>4.1524000000000001</v>
      </c>
      <c r="R30" s="182">
        <v>5179</v>
      </c>
      <c r="T30" s="156">
        <v>2408.5909999999999</v>
      </c>
      <c r="U30" s="171">
        <v>1.8699999999999999E-4</v>
      </c>
      <c r="V30" s="171">
        <v>8.5152349138931001E-3</v>
      </c>
      <c r="W30" s="171">
        <v>2.0775693297923801E-3</v>
      </c>
    </row>
    <row r="31" spans="1:23">
      <c r="A31" s="2">
        <v>419</v>
      </c>
      <c r="B31" s="2">
        <v>419</v>
      </c>
      <c r="C31" s="2" t="s">
        <v>1464</v>
      </c>
      <c r="D31" s="2" t="s">
        <v>1465</v>
      </c>
      <c r="E31" s="4" t="s">
        <v>316</v>
      </c>
      <c r="F31" s="2" t="s">
        <v>1476</v>
      </c>
      <c r="G31" s="2" t="s">
        <v>1477</v>
      </c>
      <c r="H31" s="2" t="s">
        <v>324</v>
      </c>
      <c r="I31" s="2" t="s">
        <v>988</v>
      </c>
      <c r="J31" s="2" t="s">
        <v>209</v>
      </c>
      <c r="K31" s="2" t="s">
        <v>228</v>
      </c>
      <c r="L31" s="2" t="s">
        <v>347</v>
      </c>
      <c r="M31" s="2" t="s">
        <v>740</v>
      </c>
      <c r="N31" s="2" t="s">
        <v>140</v>
      </c>
      <c r="O31" s="2" t="s">
        <v>1188</v>
      </c>
      <c r="P31" s="157">
        <v>13095</v>
      </c>
      <c r="Q31" s="165">
        <v>3.71</v>
      </c>
      <c r="R31" s="182">
        <v>12856</v>
      </c>
      <c r="T31" s="156">
        <v>6245.76</v>
      </c>
      <c r="U31" s="171">
        <v>2.8470000000000001E-3</v>
      </c>
      <c r="V31" s="171">
        <v>2.2081002841242599E-2</v>
      </c>
      <c r="W31" s="171">
        <v>5.3873809399170702E-3</v>
      </c>
    </row>
    <row r="32" spans="1:23">
      <c r="A32" s="2">
        <v>419</v>
      </c>
      <c r="B32" s="2">
        <v>419</v>
      </c>
      <c r="C32" s="2" t="s">
        <v>1464</v>
      </c>
      <c r="D32" s="2" t="s">
        <v>1465</v>
      </c>
      <c r="E32" s="4" t="s">
        <v>316</v>
      </c>
      <c r="F32" s="2" t="s">
        <v>1478</v>
      </c>
      <c r="G32" s="2" t="s">
        <v>1479</v>
      </c>
      <c r="H32" s="2" t="s">
        <v>324</v>
      </c>
      <c r="I32" s="2" t="s">
        <v>988</v>
      </c>
      <c r="J32" s="2" t="s">
        <v>209</v>
      </c>
      <c r="K32" s="2" t="s">
        <v>297</v>
      </c>
      <c r="L32" s="2" t="s">
        <v>371</v>
      </c>
      <c r="M32" s="2" t="s">
        <v>740</v>
      </c>
      <c r="N32" s="2" t="s">
        <v>140</v>
      </c>
      <c r="O32" s="2" t="s">
        <v>1190</v>
      </c>
      <c r="P32" s="157">
        <v>20510</v>
      </c>
      <c r="Q32" s="165">
        <v>4.1524000000000001</v>
      </c>
      <c r="R32" s="182">
        <v>8865</v>
      </c>
      <c r="T32" s="156">
        <v>7549.9409999999998</v>
      </c>
      <c r="U32" s="171">
        <v>8.2039999999999995E-3</v>
      </c>
      <c r="V32" s="171">
        <v>2.6691753174982E-2</v>
      </c>
      <c r="W32" s="171">
        <v>6.5123238895329399E-3</v>
      </c>
    </row>
    <row r="33" spans="1:23">
      <c r="A33" s="2">
        <v>419</v>
      </c>
      <c r="B33" s="2">
        <v>419</v>
      </c>
      <c r="C33" s="2" t="s">
        <v>1480</v>
      </c>
      <c r="D33" s="2" t="s">
        <v>1439</v>
      </c>
      <c r="E33" s="4" t="s">
        <v>316</v>
      </c>
      <c r="F33" s="2" t="s">
        <v>1481</v>
      </c>
      <c r="G33" s="2" t="s">
        <v>1482</v>
      </c>
      <c r="H33" s="2" t="s">
        <v>324</v>
      </c>
      <c r="I33" s="2" t="s">
        <v>988</v>
      </c>
      <c r="J33" s="2" t="s">
        <v>209</v>
      </c>
      <c r="K33" s="2" t="s">
        <v>297</v>
      </c>
      <c r="L33" s="2" t="s">
        <v>367</v>
      </c>
      <c r="M33" s="2" t="s">
        <v>740</v>
      </c>
      <c r="N33" s="2" t="s">
        <v>140</v>
      </c>
      <c r="O33" s="2" t="s">
        <v>1190</v>
      </c>
      <c r="P33" s="157">
        <v>2698</v>
      </c>
      <c r="Q33" s="165">
        <v>4.1524000000000001</v>
      </c>
      <c r="R33" s="182">
        <v>15648.2</v>
      </c>
      <c r="T33" s="156">
        <v>1753.095</v>
      </c>
      <c r="U33" s="171">
        <v>5.2700000000000002E-4</v>
      </c>
      <c r="V33" s="171">
        <v>6.1978210604452097E-3</v>
      </c>
      <c r="W33" s="171">
        <v>1.5121606246838401E-3</v>
      </c>
    </row>
    <row r="34" spans="1:23">
      <c r="A34" s="2">
        <v>419</v>
      </c>
      <c r="B34" s="2">
        <v>419</v>
      </c>
      <c r="C34" s="2" t="s">
        <v>1438</v>
      </c>
      <c r="D34" s="2" t="s">
        <v>1439</v>
      </c>
      <c r="E34" s="4" t="s">
        <v>316</v>
      </c>
      <c r="F34" s="2" t="s">
        <v>1483</v>
      </c>
      <c r="G34" s="2" t="s">
        <v>1484</v>
      </c>
      <c r="H34" s="2" t="s">
        <v>324</v>
      </c>
      <c r="I34" s="2" t="s">
        <v>988</v>
      </c>
      <c r="J34" s="2" t="s">
        <v>209</v>
      </c>
      <c r="K34" s="2" t="s">
        <v>228</v>
      </c>
      <c r="L34" s="2" t="s">
        <v>1485</v>
      </c>
      <c r="M34" s="2" t="s">
        <v>740</v>
      </c>
      <c r="N34" s="2" t="s">
        <v>140</v>
      </c>
      <c r="O34" s="2" t="s">
        <v>1190</v>
      </c>
      <c r="P34" s="157">
        <v>9066</v>
      </c>
      <c r="Q34" s="165">
        <v>4.1524000000000001</v>
      </c>
      <c r="R34" s="182">
        <v>7237.3</v>
      </c>
      <c r="T34" s="156">
        <v>2724.529</v>
      </c>
      <c r="U34" s="171">
        <v>0</v>
      </c>
      <c r="V34" s="171">
        <v>9.6321888743217798E-3</v>
      </c>
      <c r="W34" s="171">
        <v>2.3500866842097699E-3</v>
      </c>
    </row>
    <row r="35" spans="1:23">
      <c r="A35" s="2">
        <v>419</v>
      </c>
      <c r="B35" s="2">
        <v>419</v>
      </c>
      <c r="C35" s="2" t="s">
        <v>1442</v>
      </c>
      <c r="D35" s="2" t="s">
        <v>1443</v>
      </c>
      <c r="E35" s="4" t="s">
        <v>316</v>
      </c>
      <c r="F35" s="2" t="s">
        <v>1486</v>
      </c>
      <c r="G35" s="2" t="s">
        <v>1487</v>
      </c>
      <c r="H35" s="2" t="s">
        <v>324</v>
      </c>
      <c r="I35" s="2" t="s">
        <v>988</v>
      </c>
      <c r="J35" s="2" t="s">
        <v>209</v>
      </c>
      <c r="K35" s="2" t="s">
        <v>228</v>
      </c>
      <c r="L35" s="2" t="s">
        <v>347</v>
      </c>
      <c r="M35" s="2" t="s">
        <v>740</v>
      </c>
      <c r="N35" s="2" t="s">
        <v>140</v>
      </c>
      <c r="O35" s="2" t="s">
        <v>1188</v>
      </c>
      <c r="P35" s="157">
        <v>12092</v>
      </c>
      <c r="Q35" s="165">
        <v>3.71</v>
      </c>
      <c r="R35" s="182">
        <v>9638</v>
      </c>
      <c r="T35" s="156">
        <v>4323.7340000000004</v>
      </c>
      <c r="U35" s="171">
        <v>2.02E-4</v>
      </c>
      <c r="V35" s="171">
        <v>1.52859518618909E-2</v>
      </c>
      <c r="W35" s="171">
        <v>3.7295065944843099E-3</v>
      </c>
    </row>
    <row r="36" spans="1:23">
      <c r="A36" s="2">
        <v>419</v>
      </c>
      <c r="B36" s="2">
        <v>419</v>
      </c>
      <c r="C36" s="2" t="s">
        <v>1480</v>
      </c>
      <c r="D36" s="2" t="s">
        <v>1439</v>
      </c>
      <c r="E36" s="4" t="s">
        <v>316</v>
      </c>
      <c r="F36" s="2" t="s">
        <v>1488</v>
      </c>
      <c r="G36" s="2" t="s">
        <v>1489</v>
      </c>
      <c r="H36" s="2" t="s">
        <v>324</v>
      </c>
      <c r="I36" s="2" t="s">
        <v>988</v>
      </c>
      <c r="J36" s="2" t="s">
        <v>209</v>
      </c>
      <c r="K36" s="2" t="s">
        <v>228</v>
      </c>
      <c r="L36" s="2" t="s">
        <v>383</v>
      </c>
      <c r="M36" s="2" t="s">
        <v>740</v>
      </c>
      <c r="N36" s="2" t="s">
        <v>140</v>
      </c>
      <c r="O36" s="2" t="s">
        <v>1188</v>
      </c>
      <c r="P36" s="157">
        <v>112697</v>
      </c>
      <c r="Q36" s="165">
        <v>3.71</v>
      </c>
      <c r="R36" s="182">
        <v>8078</v>
      </c>
      <c r="T36" s="156">
        <v>33774.591999999997</v>
      </c>
      <c r="U36" s="171">
        <v>9.2E-5</v>
      </c>
      <c r="V36" s="171">
        <v>0.119405307453678</v>
      </c>
      <c r="W36" s="171">
        <v>2.9132819832773701E-2</v>
      </c>
    </row>
    <row r="37" spans="1:23">
      <c r="A37" s="2">
        <v>419</v>
      </c>
      <c r="B37" s="2">
        <v>419</v>
      </c>
      <c r="C37" s="2" t="s">
        <v>1442</v>
      </c>
      <c r="D37" s="2" t="s">
        <v>1443</v>
      </c>
      <c r="E37" s="4" t="s">
        <v>316</v>
      </c>
      <c r="F37" s="2" t="s">
        <v>1490</v>
      </c>
      <c r="G37" s="2" t="s">
        <v>1491</v>
      </c>
      <c r="H37" s="2" t="s">
        <v>324</v>
      </c>
      <c r="I37" s="2" t="s">
        <v>988</v>
      </c>
      <c r="J37" s="2" t="s">
        <v>209</v>
      </c>
      <c r="K37" s="2" t="s">
        <v>228</v>
      </c>
      <c r="L37" s="2" t="s">
        <v>347</v>
      </c>
      <c r="M37" s="2" t="s">
        <v>740</v>
      </c>
      <c r="N37" s="2" t="s">
        <v>140</v>
      </c>
      <c r="O37" s="2" t="s">
        <v>1188</v>
      </c>
      <c r="P37" s="157">
        <v>29631</v>
      </c>
      <c r="Q37" s="165">
        <v>3.71</v>
      </c>
      <c r="R37" s="182">
        <v>4467</v>
      </c>
      <c r="T37" s="156">
        <v>4910.6180000000004</v>
      </c>
      <c r="U37" s="171">
        <v>1.6799999999999999E-4</v>
      </c>
      <c r="V37" s="171">
        <v>1.7360798166031401E-2</v>
      </c>
      <c r="W37" s="171">
        <v>4.2357330332267401E-3</v>
      </c>
    </row>
    <row r="38" spans="1:23">
      <c r="A38" s="2">
        <v>419</v>
      </c>
      <c r="B38" s="2">
        <v>419</v>
      </c>
      <c r="C38" s="2" t="s">
        <v>1365</v>
      </c>
      <c r="D38" s="2" t="s">
        <v>1366</v>
      </c>
      <c r="E38" s="4" t="s">
        <v>316</v>
      </c>
      <c r="F38" s="2" t="s">
        <v>1492</v>
      </c>
      <c r="G38" s="2" t="s">
        <v>1493</v>
      </c>
      <c r="H38" s="2" t="s">
        <v>324</v>
      </c>
      <c r="I38" s="2" t="s">
        <v>988</v>
      </c>
      <c r="J38" s="2" t="s">
        <v>209</v>
      </c>
      <c r="K38" s="2" t="s">
        <v>228</v>
      </c>
      <c r="L38" s="2" t="s">
        <v>347</v>
      </c>
      <c r="M38" s="2" t="s">
        <v>740</v>
      </c>
      <c r="N38" s="2" t="s">
        <v>140</v>
      </c>
      <c r="O38" s="2" t="s">
        <v>1188</v>
      </c>
      <c r="P38" s="157">
        <v>8639</v>
      </c>
      <c r="Q38" s="165">
        <v>3.71</v>
      </c>
      <c r="R38" s="182">
        <v>17916</v>
      </c>
      <c r="T38" s="156">
        <v>5742.2020000000002</v>
      </c>
      <c r="U38" s="171">
        <v>4.0000000000000003E-5</v>
      </c>
      <c r="V38" s="171">
        <v>2.0300744012515599E-2</v>
      </c>
      <c r="W38" s="171">
        <v>4.9530287254384402E-3</v>
      </c>
    </row>
    <row r="39" spans="1:23">
      <c r="A39" s="2">
        <v>419</v>
      </c>
      <c r="B39" s="2">
        <v>419</v>
      </c>
      <c r="C39" s="2" t="s">
        <v>1442</v>
      </c>
      <c r="D39" s="2" t="s">
        <v>1443</v>
      </c>
      <c r="E39" s="4" t="s">
        <v>316</v>
      </c>
      <c r="F39" s="2" t="s">
        <v>1494</v>
      </c>
      <c r="G39" s="2" t="s">
        <v>1495</v>
      </c>
      <c r="H39" s="2" t="s">
        <v>324</v>
      </c>
      <c r="I39" s="2" t="s">
        <v>990</v>
      </c>
      <c r="J39" s="2" t="s">
        <v>209</v>
      </c>
      <c r="K39" s="2" t="s">
        <v>228</v>
      </c>
      <c r="L39" s="2" t="s">
        <v>1496</v>
      </c>
      <c r="M39" s="2" t="s">
        <v>737</v>
      </c>
      <c r="N39" s="2" t="s">
        <v>140</v>
      </c>
      <c r="O39" s="2" t="s">
        <v>1188</v>
      </c>
      <c r="P39" s="157">
        <v>460000</v>
      </c>
      <c r="Q39" s="165">
        <v>3.71</v>
      </c>
      <c r="R39" s="182">
        <v>1075.2</v>
      </c>
      <c r="T39" s="156">
        <v>18349.363000000001</v>
      </c>
      <c r="U39" s="171">
        <v>2.8221E-2</v>
      </c>
      <c r="V39" s="171">
        <v>6.4871585802994902E-2</v>
      </c>
      <c r="W39" s="171">
        <v>1.5827539510319701E-2</v>
      </c>
    </row>
    <row r="40" spans="1:23">
      <c r="A40" s="2">
        <v>419</v>
      </c>
      <c r="B40" s="2">
        <v>419</v>
      </c>
      <c r="C40" s="2" t="s">
        <v>1442</v>
      </c>
      <c r="D40" s="2" t="s">
        <v>1443</v>
      </c>
      <c r="E40" s="4" t="s">
        <v>316</v>
      </c>
      <c r="F40" s="2" t="s">
        <v>1497</v>
      </c>
      <c r="G40" s="2" t="s">
        <v>1498</v>
      </c>
      <c r="H40" s="2" t="s">
        <v>324</v>
      </c>
      <c r="I40" s="2" t="s">
        <v>988</v>
      </c>
      <c r="J40" s="2" t="s">
        <v>209</v>
      </c>
      <c r="K40" s="2" t="s">
        <v>228</v>
      </c>
      <c r="L40" s="2" t="s">
        <v>347</v>
      </c>
      <c r="M40" s="2" t="s">
        <v>740</v>
      </c>
      <c r="N40" s="2" t="s">
        <v>140</v>
      </c>
      <c r="O40" s="2" t="s">
        <v>1188</v>
      </c>
      <c r="P40" s="157">
        <v>19680</v>
      </c>
      <c r="Q40" s="165">
        <v>3.71</v>
      </c>
      <c r="R40" s="182">
        <v>9040</v>
      </c>
      <c r="T40" s="156">
        <v>6600.357</v>
      </c>
      <c r="U40" s="171">
        <v>1.1400000000000001E-4</v>
      </c>
      <c r="V40" s="171">
        <v>2.3334631756620799E-2</v>
      </c>
      <c r="W40" s="171">
        <v>5.6932446080210702E-3</v>
      </c>
    </row>
    <row r="41" spans="1:23">
      <c r="A41" s="2">
        <v>419</v>
      </c>
      <c r="B41" s="2">
        <v>419</v>
      </c>
      <c r="C41" s="2" t="s">
        <v>1499</v>
      </c>
      <c r="D41" s="2" t="s">
        <v>1500</v>
      </c>
      <c r="E41" s="4" t="s">
        <v>316</v>
      </c>
      <c r="F41" s="2" t="s">
        <v>1501</v>
      </c>
      <c r="G41" s="2" t="s">
        <v>1502</v>
      </c>
      <c r="H41" s="2" t="s">
        <v>324</v>
      </c>
      <c r="I41" s="2" t="s">
        <v>988</v>
      </c>
      <c r="J41" s="2" t="s">
        <v>209</v>
      </c>
      <c r="K41" s="2" t="s">
        <v>228</v>
      </c>
      <c r="L41" s="2" t="s">
        <v>383</v>
      </c>
      <c r="M41" s="2" t="s">
        <v>740</v>
      </c>
      <c r="N41" s="2" t="s">
        <v>140</v>
      </c>
      <c r="O41" s="2" t="s">
        <v>1188</v>
      </c>
      <c r="P41" s="157">
        <v>58633</v>
      </c>
      <c r="Q41" s="165">
        <v>3.71</v>
      </c>
      <c r="R41" s="182">
        <v>3353.75</v>
      </c>
      <c r="T41" s="156">
        <v>7295.36</v>
      </c>
      <c r="U41" s="171">
        <v>0</v>
      </c>
      <c r="V41" s="171">
        <v>2.57917154374422E-2</v>
      </c>
      <c r="W41" s="171">
        <v>6.2927303236387597E-3</v>
      </c>
    </row>
    <row r="42" spans="1:23">
      <c r="A42" s="2">
        <v>419</v>
      </c>
      <c r="B42" s="2">
        <v>419</v>
      </c>
      <c r="C42" s="2" t="s">
        <v>1442</v>
      </c>
      <c r="D42" s="2" t="s">
        <v>1443</v>
      </c>
      <c r="E42" s="4" t="s">
        <v>316</v>
      </c>
      <c r="F42" s="2" t="s">
        <v>1503</v>
      </c>
      <c r="G42" s="2" t="s">
        <v>1504</v>
      </c>
      <c r="H42" s="2" t="s">
        <v>324</v>
      </c>
      <c r="I42" s="2" t="s">
        <v>988</v>
      </c>
      <c r="J42" s="2" t="s">
        <v>209</v>
      </c>
      <c r="K42" s="2" t="s">
        <v>228</v>
      </c>
      <c r="L42" s="2" t="s">
        <v>347</v>
      </c>
      <c r="M42" s="2" t="s">
        <v>740</v>
      </c>
      <c r="N42" s="2" t="s">
        <v>140</v>
      </c>
      <c r="O42" s="2" t="s">
        <v>1188</v>
      </c>
      <c r="P42" s="157">
        <v>21311</v>
      </c>
      <c r="Q42" s="165">
        <v>3.71</v>
      </c>
      <c r="R42" s="182">
        <v>8078</v>
      </c>
      <c r="T42" s="156">
        <v>6386.7749999999996</v>
      </c>
      <c r="U42" s="171">
        <v>9.3999999999999994E-5</v>
      </c>
      <c r="V42" s="171">
        <v>2.2579540778772601E-2</v>
      </c>
      <c r="W42" s="171">
        <v>5.5090155324120397E-3</v>
      </c>
    </row>
    <row r="43" spans="1:23">
      <c r="A43" s="2">
        <v>419</v>
      </c>
      <c r="B43" s="2">
        <v>419</v>
      </c>
      <c r="C43" s="2" t="s">
        <v>1505</v>
      </c>
      <c r="D43" s="2" t="s">
        <v>1506</v>
      </c>
      <c r="E43" s="4" t="s">
        <v>316</v>
      </c>
      <c r="F43" s="2" t="s">
        <v>1507</v>
      </c>
      <c r="G43" s="2" t="s">
        <v>1508</v>
      </c>
      <c r="H43" s="2" t="s">
        <v>324</v>
      </c>
      <c r="I43" s="2" t="s">
        <v>988</v>
      </c>
      <c r="J43" s="2" t="s">
        <v>209</v>
      </c>
      <c r="K43" s="2" t="s">
        <v>300</v>
      </c>
      <c r="L43" s="2" t="s">
        <v>1485</v>
      </c>
      <c r="M43" s="2" t="s">
        <v>740</v>
      </c>
      <c r="N43" s="2" t="s">
        <v>140</v>
      </c>
      <c r="O43" s="2" t="s">
        <v>1188</v>
      </c>
      <c r="P43" s="157">
        <v>19692</v>
      </c>
      <c r="Q43" s="165">
        <v>3.71</v>
      </c>
      <c r="R43" s="182">
        <v>3465.5970000000002</v>
      </c>
      <c r="T43" s="156">
        <v>2531.873</v>
      </c>
      <c r="U43" s="171">
        <v>6.8099999999999996E-4</v>
      </c>
      <c r="V43" s="171">
        <v>8.9510784479614695E-3</v>
      </c>
      <c r="W43" s="171">
        <v>2.1839075774303198E-3</v>
      </c>
    </row>
    <row r="44" spans="1:23">
      <c r="A44" s="2">
        <v>419</v>
      </c>
      <c r="B44" s="2">
        <v>419</v>
      </c>
      <c r="C44" s="2" t="s">
        <v>1509</v>
      </c>
      <c r="D44" s="2" t="s">
        <v>1510</v>
      </c>
      <c r="E44" s="4" t="s">
        <v>316</v>
      </c>
      <c r="F44" s="2" t="s">
        <v>1511</v>
      </c>
      <c r="G44" s="2" t="s">
        <v>1512</v>
      </c>
      <c r="H44" s="2" t="s">
        <v>324</v>
      </c>
      <c r="I44" s="2" t="s">
        <v>988</v>
      </c>
      <c r="J44" s="2" t="s">
        <v>209</v>
      </c>
      <c r="K44" s="2" t="s">
        <v>228</v>
      </c>
      <c r="L44" s="2" t="s">
        <v>347</v>
      </c>
      <c r="M44" s="2" t="s">
        <v>740</v>
      </c>
      <c r="N44" s="2" t="s">
        <v>140</v>
      </c>
      <c r="O44" s="2" t="s">
        <v>1188</v>
      </c>
      <c r="P44" s="157">
        <v>13704</v>
      </c>
      <c r="Q44" s="165">
        <v>3.71</v>
      </c>
      <c r="R44" s="182">
        <v>52767</v>
      </c>
      <c r="S44" s="160">
        <v>22.454999999999998</v>
      </c>
      <c r="T44" s="156">
        <v>26911.023000000001</v>
      </c>
      <c r="U44" s="171">
        <v>1.5999999999999999E-5</v>
      </c>
      <c r="V44" s="171">
        <v>9.5140127063426894E-2</v>
      </c>
      <c r="W44" s="171">
        <v>2.3212537530471599E-2</v>
      </c>
    </row>
    <row r="45" spans="1:23">
      <c r="A45" s="2">
        <v>419</v>
      </c>
      <c r="B45" s="2">
        <v>419</v>
      </c>
      <c r="C45" s="2" t="s">
        <v>1509</v>
      </c>
      <c r="D45" s="2" t="s">
        <v>1510</v>
      </c>
      <c r="E45" s="4" t="s">
        <v>316</v>
      </c>
      <c r="F45" s="2" t="s">
        <v>1513</v>
      </c>
      <c r="G45" s="2" t="s">
        <v>1514</v>
      </c>
      <c r="H45" s="2" t="s">
        <v>324</v>
      </c>
      <c r="I45" s="2" t="s">
        <v>988</v>
      </c>
      <c r="J45" s="2" t="s">
        <v>209</v>
      </c>
      <c r="K45" s="2" t="s">
        <v>228</v>
      </c>
      <c r="L45" s="2" t="s">
        <v>347</v>
      </c>
      <c r="M45" s="2" t="s">
        <v>740</v>
      </c>
      <c r="N45" s="2" t="s">
        <v>140</v>
      </c>
      <c r="O45" s="2" t="s">
        <v>1188</v>
      </c>
      <c r="P45" s="157">
        <v>6000</v>
      </c>
      <c r="Q45" s="165">
        <v>3.71</v>
      </c>
      <c r="R45" s="182">
        <v>10563</v>
      </c>
      <c r="S45" s="160">
        <v>2.1619999999999999</v>
      </c>
      <c r="T45" s="156">
        <v>2359.346</v>
      </c>
      <c r="U45" s="171">
        <v>7.1000000000000002E-4</v>
      </c>
      <c r="V45" s="171">
        <v>8.3411361217655203E-3</v>
      </c>
      <c r="W45" s="171">
        <v>2.0350922502360702E-3</v>
      </c>
    </row>
    <row r="46" spans="1:23">
      <c r="A46" s="2">
        <v>419</v>
      </c>
      <c r="B46" s="2">
        <v>419</v>
      </c>
      <c r="C46" s="2" t="s">
        <v>1509</v>
      </c>
      <c r="D46" s="2" t="s">
        <v>1510</v>
      </c>
      <c r="E46" s="4" t="s">
        <v>316</v>
      </c>
      <c r="F46" s="2" t="s">
        <v>1515</v>
      </c>
      <c r="G46" s="2" t="s">
        <v>1516</v>
      </c>
      <c r="H46" s="2" t="s">
        <v>324</v>
      </c>
      <c r="I46" s="2" t="s">
        <v>988</v>
      </c>
      <c r="J46" s="2" t="s">
        <v>209</v>
      </c>
      <c r="K46" s="2" t="s">
        <v>228</v>
      </c>
      <c r="L46" s="2" t="s">
        <v>1485</v>
      </c>
      <c r="M46" s="2" t="s">
        <v>740</v>
      </c>
      <c r="N46" s="2" t="s">
        <v>140</v>
      </c>
      <c r="O46" s="2" t="s">
        <v>1193</v>
      </c>
      <c r="P46" s="157">
        <v>15360</v>
      </c>
      <c r="Q46" s="165">
        <v>4.9748000000000001</v>
      </c>
      <c r="R46" s="182">
        <v>3242.5</v>
      </c>
      <c r="T46" s="156">
        <v>2477.6889999999999</v>
      </c>
      <c r="U46" s="171">
        <v>3.0200000000000002E-4</v>
      </c>
      <c r="V46" s="171">
        <v>8.7595207068650004E-3</v>
      </c>
      <c r="W46" s="171">
        <v>2.13717081775067E-3</v>
      </c>
    </row>
    <row r="47" spans="1:23">
      <c r="A47" s="2">
        <v>419</v>
      </c>
      <c r="B47" s="2">
        <v>419</v>
      </c>
      <c r="C47" s="2" t="s">
        <v>1517</v>
      </c>
      <c r="D47" s="2" t="s">
        <v>1518</v>
      </c>
      <c r="E47" s="4" t="s">
        <v>316</v>
      </c>
      <c r="F47" s="2" t="s">
        <v>1519</v>
      </c>
      <c r="G47" s="2" t="s">
        <v>1520</v>
      </c>
      <c r="H47" s="2" t="s">
        <v>324</v>
      </c>
      <c r="I47" s="2" t="s">
        <v>988</v>
      </c>
      <c r="J47" s="2" t="s">
        <v>209</v>
      </c>
      <c r="K47" s="2" t="s">
        <v>300</v>
      </c>
      <c r="L47" s="2" t="s">
        <v>347</v>
      </c>
      <c r="M47" s="2" t="s">
        <v>740</v>
      </c>
      <c r="N47" s="2" t="s">
        <v>140</v>
      </c>
      <c r="O47" s="2" t="s">
        <v>1188</v>
      </c>
      <c r="P47" s="157">
        <v>99188</v>
      </c>
      <c r="Q47" s="165">
        <v>3.71</v>
      </c>
      <c r="R47" s="182">
        <v>3303</v>
      </c>
      <c r="T47" s="156">
        <v>12154.626</v>
      </c>
      <c r="U47" s="171">
        <v>1.134E-3</v>
      </c>
      <c r="V47" s="171">
        <v>4.2970967711221601E-2</v>
      </c>
      <c r="W47" s="171">
        <v>1.0484169314304501E-2</v>
      </c>
    </row>
    <row r="48" spans="1:23">
      <c r="A48" s="2">
        <v>419</v>
      </c>
      <c r="B48" s="2">
        <v>1472</v>
      </c>
      <c r="C48" s="2" t="s">
        <v>1464</v>
      </c>
      <c r="D48" s="2" t="s">
        <v>1465</v>
      </c>
      <c r="E48" s="4" t="s">
        <v>316</v>
      </c>
      <c r="F48" s="2" t="s">
        <v>1521</v>
      </c>
      <c r="G48" s="2" t="s">
        <v>1522</v>
      </c>
      <c r="H48" s="2" t="s">
        <v>324</v>
      </c>
      <c r="I48" s="2" t="s">
        <v>990</v>
      </c>
      <c r="J48" s="2" t="s">
        <v>209</v>
      </c>
      <c r="K48" s="2" t="s">
        <v>300</v>
      </c>
      <c r="L48" s="2" t="s">
        <v>383</v>
      </c>
      <c r="M48" s="2" t="s">
        <v>737</v>
      </c>
      <c r="N48" s="2" t="s">
        <v>140</v>
      </c>
      <c r="O48" s="2" t="s">
        <v>1188</v>
      </c>
      <c r="P48" s="157">
        <v>5000</v>
      </c>
      <c r="Q48" s="165">
        <v>3.71</v>
      </c>
      <c r="R48" s="182">
        <v>608.9</v>
      </c>
      <c r="T48" s="156">
        <v>112.95099999999999</v>
      </c>
      <c r="U48" s="171">
        <v>1.5E-5</v>
      </c>
      <c r="V48" s="171">
        <v>0.61136256842561798</v>
      </c>
      <c r="W48" s="171">
        <v>1.0825334512545E-2</v>
      </c>
    </row>
    <row r="49" spans="1:23">
      <c r="A49" s="2">
        <v>419</v>
      </c>
      <c r="B49" s="2">
        <v>1472</v>
      </c>
      <c r="C49" s="2" t="s">
        <v>1442</v>
      </c>
      <c r="D49" s="2" t="s">
        <v>1443</v>
      </c>
      <c r="E49" s="4" t="s">
        <v>316</v>
      </c>
      <c r="F49" s="2" t="s">
        <v>1494</v>
      </c>
      <c r="G49" s="2" t="s">
        <v>1495</v>
      </c>
      <c r="H49" s="2" t="s">
        <v>324</v>
      </c>
      <c r="I49" s="2" t="s">
        <v>990</v>
      </c>
      <c r="J49" s="2" t="s">
        <v>209</v>
      </c>
      <c r="K49" s="2" t="s">
        <v>228</v>
      </c>
      <c r="L49" s="2" t="s">
        <v>1496</v>
      </c>
      <c r="M49" s="2" t="s">
        <v>737</v>
      </c>
      <c r="N49" s="2" t="s">
        <v>140</v>
      </c>
      <c r="O49" s="2" t="s">
        <v>1188</v>
      </c>
      <c r="P49" s="157">
        <v>1800</v>
      </c>
      <c r="Q49" s="165">
        <v>3.71</v>
      </c>
      <c r="R49" s="182">
        <v>1075.2</v>
      </c>
      <c r="T49" s="156">
        <v>71.802000000000007</v>
      </c>
      <c r="U49" s="171">
        <v>1.1E-4</v>
      </c>
      <c r="V49" s="171">
        <v>0.38863743157438202</v>
      </c>
      <c r="W49" s="171">
        <v>6.8815632787647199E-3</v>
      </c>
    </row>
    <row r="50" spans="1:23">
      <c r="A50" s="2">
        <v>419</v>
      </c>
      <c r="B50" s="2">
        <v>12435</v>
      </c>
      <c r="C50" s="2" t="s">
        <v>1403</v>
      </c>
      <c r="D50" s="2" t="s">
        <v>1404</v>
      </c>
      <c r="E50" s="4" t="s">
        <v>1321</v>
      </c>
      <c r="F50" s="2" t="s">
        <v>1421</v>
      </c>
      <c r="G50" s="2" t="s">
        <v>1422</v>
      </c>
      <c r="H50" s="2" t="s">
        <v>324</v>
      </c>
      <c r="I50" s="2" t="s">
        <v>987</v>
      </c>
      <c r="J50" s="2" t="s">
        <v>30</v>
      </c>
      <c r="K50" s="2" t="s">
        <v>30</v>
      </c>
      <c r="L50" s="2" t="s">
        <v>31</v>
      </c>
      <c r="M50" s="2" t="s">
        <v>1364</v>
      </c>
      <c r="N50" s="2" t="s">
        <v>140</v>
      </c>
      <c r="O50" s="2" t="s">
        <v>34</v>
      </c>
      <c r="P50" s="157">
        <v>7166</v>
      </c>
      <c r="Q50" s="165">
        <v>1</v>
      </c>
      <c r="R50" s="182">
        <v>3265</v>
      </c>
      <c r="T50" s="156">
        <v>233.97</v>
      </c>
      <c r="U50" s="171">
        <v>1.7899999999999999E-4</v>
      </c>
      <c r="V50" s="171">
        <v>2.9324797308947E-2</v>
      </c>
      <c r="W50" s="171">
        <v>1.9361651538857601E-2</v>
      </c>
    </row>
    <row r="51" spans="1:23">
      <c r="A51" s="2">
        <v>419</v>
      </c>
      <c r="B51" s="2">
        <v>12435</v>
      </c>
      <c r="C51" s="2" t="s">
        <v>1403</v>
      </c>
      <c r="D51" s="2" t="s">
        <v>1404</v>
      </c>
      <c r="E51" s="4" t="s">
        <v>1321</v>
      </c>
      <c r="F51" s="2" t="s">
        <v>1434</v>
      </c>
      <c r="G51" s="2" t="s">
        <v>1435</v>
      </c>
      <c r="H51" s="2" t="s">
        <v>324</v>
      </c>
      <c r="I51" s="2" t="s">
        <v>987</v>
      </c>
      <c r="J51" s="2" t="s">
        <v>30</v>
      </c>
      <c r="K51" s="2" t="s">
        <v>30</v>
      </c>
      <c r="L51" s="2" t="s">
        <v>31</v>
      </c>
      <c r="M51" s="2" t="s">
        <v>1364</v>
      </c>
      <c r="N51" s="2" t="s">
        <v>140</v>
      </c>
      <c r="O51" s="2" t="s">
        <v>34</v>
      </c>
      <c r="P51" s="157">
        <v>10167</v>
      </c>
      <c r="Q51" s="165">
        <v>1</v>
      </c>
      <c r="R51" s="182">
        <v>3034</v>
      </c>
      <c r="T51" s="156">
        <v>308.46699999999998</v>
      </c>
      <c r="U51" s="171">
        <v>2.8200000000000002E-4</v>
      </c>
      <c r="V51" s="171">
        <v>3.8661921042166203E-2</v>
      </c>
      <c r="W51" s="171">
        <v>2.5526472873961401E-2</v>
      </c>
    </row>
    <row r="52" spans="1:23">
      <c r="A52" s="2">
        <v>419</v>
      </c>
      <c r="B52" s="2">
        <v>12435</v>
      </c>
      <c r="C52" s="2" t="s">
        <v>1403</v>
      </c>
      <c r="D52" s="2" t="s">
        <v>1404</v>
      </c>
      <c r="E52" s="4" t="s">
        <v>1321</v>
      </c>
      <c r="F52" s="2" t="s">
        <v>1436</v>
      </c>
      <c r="G52" s="2" t="s">
        <v>1437</v>
      </c>
      <c r="H52" s="2" t="s">
        <v>324</v>
      </c>
      <c r="I52" s="2" t="s">
        <v>988</v>
      </c>
      <c r="J52" s="2" t="s">
        <v>30</v>
      </c>
      <c r="K52" s="2" t="s">
        <v>228</v>
      </c>
      <c r="L52" s="2" t="s">
        <v>31</v>
      </c>
      <c r="M52" s="2" t="s">
        <v>1418</v>
      </c>
      <c r="N52" s="2" t="s">
        <v>140</v>
      </c>
      <c r="O52" s="2" t="s">
        <v>34</v>
      </c>
      <c r="P52" s="157">
        <v>950</v>
      </c>
      <c r="Q52" s="165">
        <v>1</v>
      </c>
      <c r="R52" s="182">
        <v>3167</v>
      </c>
      <c r="T52" s="156">
        <v>30.087</v>
      </c>
      <c r="U52" s="171">
        <v>4.8000000000000001E-5</v>
      </c>
      <c r="V52" s="171">
        <v>3.7709146101085299E-3</v>
      </c>
      <c r="W52" s="171">
        <v>2.4897404709915299E-3</v>
      </c>
    </row>
    <row r="53" spans="1:23">
      <c r="A53" s="2">
        <v>419</v>
      </c>
      <c r="B53" s="2">
        <v>12435</v>
      </c>
      <c r="C53" s="2" t="s">
        <v>1414</v>
      </c>
      <c r="D53" s="2" t="s">
        <v>1415</v>
      </c>
      <c r="E53" s="4" t="s">
        <v>1321</v>
      </c>
      <c r="F53" s="2" t="s">
        <v>1523</v>
      </c>
      <c r="G53" s="2" t="s">
        <v>1524</v>
      </c>
      <c r="H53" s="2" t="s">
        <v>324</v>
      </c>
      <c r="I53" s="2" t="s">
        <v>988</v>
      </c>
      <c r="J53" s="2" t="s">
        <v>30</v>
      </c>
      <c r="K53" s="2" t="s">
        <v>228</v>
      </c>
      <c r="L53" s="2" t="s">
        <v>31</v>
      </c>
      <c r="M53" s="2" t="s">
        <v>1418</v>
      </c>
      <c r="N53" s="2" t="s">
        <v>140</v>
      </c>
      <c r="O53" s="2" t="s">
        <v>34</v>
      </c>
      <c r="P53" s="157">
        <v>67</v>
      </c>
      <c r="Q53" s="165">
        <v>1</v>
      </c>
      <c r="R53" s="182">
        <v>71080</v>
      </c>
      <c r="T53" s="156">
        <v>47.624000000000002</v>
      </c>
      <c r="U53" s="171">
        <v>1.8E-5</v>
      </c>
      <c r="V53" s="171">
        <v>5.9689405223593501E-3</v>
      </c>
      <c r="W53" s="171">
        <v>3.9409836403141597E-3</v>
      </c>
    </row>
    <row r="54" spans="1:23">
      <c r="A54" s="2">
        <v>419</v>
      </c>
      <c r="B54" s="2">
        <v>12435</v>
      </c>
      <c r="C54" s="2" t="s">
        <v>1414</v>
      </c>
      <c r="D54" s="2" t="s">
        <v>1415</v>
      </c>
      <c r="E54" s="4" t="s">
        <v>1321</v>
      </c>
      <c r="F54" s="2" t="s">
        <v>1525</v>
      </c>
      <c r="G54" s="2" t="s">
        <v>1526</v>
      </c>
      <c r="H54" s="2" t="s">
        <v>324</v>
      </c>
      <c r="I54" s="2" t="s">
        <v>987</v>
      </c>
      <c r="J54" s="2" t="s">
        <v>30</v>
      </c>
      <c r="K54" s="2" t="s">
        <v>30</v>
      </c>
      <c r="L54" s="2" t="s">
        <v>31</v>
      </c>
      <c r="M54" s="2" t="s">
        <v>1364</v>
      </c>
      <c r="N54" s="2" t="s">
        <v>140</v>
      </c>
      <c r="O54" s="2" t="s">
        <v>34</v>
      </c>
      <c r="P54" s="157">
        <v>1607</v>
      </c>
      <c r="Q54" s="165">
        <v>1</v>
      </c>
      <c r="R54" s="182">
        <v>19380</v>
      </c>
      <c r="T54" s="156">
        <v>311.43700000000001</v>
      </c>
      <c r="U54" s="171">
        <v>1.4899999999999999E-4</v>
      </c>
      <c r="V54" s="171">
        <v>3.9034145715271903E-2</v>
      </c>
      <c r="W54" s="171">
        <v>2.5772233631961201E-2</v>
      </c>
    </row>
    <row r="55" spans="1:23">
      <c r="A55" s="2">
        <v>419</v>
      </c>
      <c r="B55" s="2">
        <v>12435</v>
      </c>
      <c r="C55" s="2" t="s">
        <v>1438</v>
      </c>
      <c r="D55" s="2" t="s">
        <v>1439</v>
      </c>
      <c r="E55" s="4" t="s">
        <v>316</v>
      </c>
      <c r="F55" s="2" t="s">
        <v>1527</v>
      </c>
      <c r="G55" s="2" t="s">
        <v>1528</v>
      </c>
      <c r="H55" s="2" t="s">
        <v>324</v>
      </c>
      <c r="I55" s="2" t="s">
        <v>988</v>
      </c>
      <c r="J55" s="2" t="s">
        <v>209</v>
      </c>
      <c r="K55" s="2" t="s">
        <v>300</v>
      </c>
      <c r="L55" s="2" t="s">
        <v>349</v>
      </c>
      <c r="M55" s="2" t="s">
        <v>740</v>
      </c>
      <c r="N55" s="2" t="s">
        <v>140</v>
      </c>
      <c r="O55" s="2" t="s">
        <v>1188</v>
      </c>
      <c r="P55" s="157">
        <v>1635</v>
      </c>
      <c r="Q55" s="165">
        <v>3.71</v>
      </c>
      <c r="R55" s="182">
        <v>13492.9</v>
      </c>
      <c r="T55" s="156">
        <v>818.45899999999995</v>
      </c>
      <c r="U55" s="171">
        <v>0</v>
      </c>
      <c r="V55" s="171">
        <v>0.102582197409921</v>
      </c>
      <c r="W55" s="171">
        <v>6.7729735330011101E-2</v>
      </c>
    </row>
    <row r="56" spans="1:23">
      <c r="A56" s="2">
        <v>419</v>
      </c>
      <c r="B56" s="2">
        <v>12435</v>
      </c>
      <c r="C56" s="2" t="s">
        <v>1442</v>
      </c>
      <c r="D56" s="2" t="s">
        <v>1443</v>
      </c>
      <c r="E56" s="4" t="s">
        <v>316</v>
      </c>
      <c r="F56" s="2" t="s">
        <v>1529</v>
      </c>
      <c r="G56" s="2" t="s">
        <v>1530</v>
      </c>
      <c r="H56" s="2" t="s">
        <v>324</v>
      </c>
      <c r="I56" s="2" t="s">
        <v>988</v>
      </c>
      <c r="J56" s="2" t="s">
        <v>209</v>
      </c>
      <c r="K56" s="2" t="s">
        <v>228</v>
      </c>
      <c r="L56" s="2" t="s">
        <v>347</v>
      </c>
      <c r="M56" s="2" t="s">
        <v>740</v>
      </c>
      <c r="N56" s="2" t="s">
        <v>140</v>
      </c>
      <c r="O56" s="2" t="s">
        <v>1188</v>
      </c>
      <c r="P56" s="157">
        <v>248</v>
      </c>
      <c r="Q56" s="165">
        <v>3.71</v>
      </c>
      <c r="R56" s="182">
        <v>22576</v>
      </c>
      <c r="T56" s="156">
        <v>207.71700000000001</v>
      </c>
      <c r="U56" s="171">
        <v>9.9999999999999995E-7</v>
      </c>
      <c r="V56" s="171">
        <v>2.60344025899471E-2</v>
      </c>
      <c r="W56" s="171">
        <v>1.7189173574103399E-2</v>
      </c>
    </row>
    <row r="57" spans="1:23">
      <c r="A57" s="2">
        <v>419</v>
      </c>
      <c r="B57" s="2">
        <v>12435</v>
      </c>
      <c r="C57" s="2" t="s">
        <v>1438</v>
      </c>
      <c r="D57" s="2" t="s">
        <v>1439</v>
      </c>
      <c r="E57" s="4" t="s">
        <v>316</v>
      </c>
      <c r="F57" s="2" t="s">
        <v>1531</v>
      </c>
      <c r="G57" s="2" t="s">
        <v>1532</v>
      </c>
      <c r="H57" s="2" t="s">
        <v>324</v>
      </c>
      <c r="I57" s="2" t="s">
        <v>988</v>
      </c>
      <c r="J57" s="2" t="s">
        <v>209</v>
      </c>
      <c r="K57" s="2" t="s">
        <v>1533</v>
      </c>
      <c r="L57" s="2" t="s">
        <v>317</v>
      </c>
      <c r="M57" s="2" t="s">
        <v>740</v>
      </c>
      <c r="N57" s="2" t="s">
        <v>140</v>
      </c>
      <c r="O57" s="2" t="s">
        <v>1188</v>
      </c>
      <c r="P57" s="157">
        <v>640</v>
      </c>
      <c r="Q57" s="165">
        <v>3.71</v>
      </c>
      <c r="R57" s="182">
        <v>5653</v>
      </c>
      <c r="T57" s="156">
        <v>134.22499999999999</v>
      </c>
      <c r="U57" s="171">
        <v>5.8999999999999998E-5</v>
      </c>
      <c r="V57" s="171">
        <v>1.6823172520172298E-2</v>
      </c>
      <c r="W57" s="171">
        <v>1.11074733333036E-2</v>
      </c>
    </row>
    <row r="58" spans="1:23">
      <c r="A58" s="2">
        <v>419</v>
      </c>
      <c r="B58" s="2">
        <v>12435</v>
      </c>
      <c r="C58" s="2" t="s">
        <v>1438</v>
      </c>
      <c r="D58" s="2" t="s">
        <v>1439</v>
      </c>
      <c r="E58" s="4" t="s">
        <v>316</v>
      </c>
      <c r="F58" s="2" t="s">
        <v>1440</v>
      </c>
      <c r="G58" s="2" t="s">
        <v>1441</v>
      </c>
      <c r="H58" s="2" t="s">
        <v>324</v>
      </c>
      <c r="I58" s="2" t="s">
        <v>988</v>
      </c>
      <c r="J58" s="2" t="s">
        <v>209</v>
      </c>
      <c r="K58" s="2" t="s">
        <v>297</v>
      </c>
      <c r="L58" s="2" t="s">
        <v>367</v>
      </c>
      <c r="M58" s="2" t="s">
        <v>740</v>
      </c>
      <c r="N58" s="2" t="s">
        <v>140</v>
      </c>
      <c r="O58" s="2" t="s">
        <v>1190</v>
      </c>
      <c r="P58" s="157">
        <v>148</v>
      </c>
      <c r="Q58" s="165">
        <v>4.1524000000000001</v>
      </c>
      <c r="R58" s="182">
        <v>11358</v>
      </c>
      <c r="T58" s="156">
        <v>69.801000000000002</v>
      </c>
      <c r="U58" s="171">
        <v>3.4E-5</v>
      </c>
      <c r="V58" s="171">
        <v>8.7485845152073007E-3</v>
      </c>
      <c r="W58" s="171">
        <v>5.7762392372959302E-3</v>
      </c>
    </row>
    <row r="59" spans="1:23">
      <c r="A59" s="2">
        <v>419</v>
      </c>
      <c r="B59" s="2">
        <v>12435</v>
      </c>
      <c r="C59" s="2" t="s">
        <v>1442</v>
      </c>
      <c r="D59" s="2" t="s">
        <v>1443</v>
      </c>
      <c r="E59" s="4" t="s">
        <v>316</v>
      </c>
      <c r="F59" s="2" t="s">
        <v>1444</v>
      </c>
      <c r="G59" s="2" t="s">
        <v>1445</v>
      </c>
      <c r="H59" s="2" t="s">
        <v>324</v>
      </c>
      <c r="I59" s="2" t="s">
        <v>988</v>
      </c>
      <c r="J59" s="2" t="s">
        <v>209</v>
      </c>
      <c r="K59" s="2" t="s">
        <v>228</v>
      </c>
      <c r="L59" s="2" t="s">
        <v>347</v>
      </c>
      <c r="M59" s="2" t="s">
        <v>740</v>
      </c>
      <c r="N59" s="2" t="s">
        <v>140</v>
      </c>
      <c r="O59" s="2" t="s">
        <v>1188</v>
      </c>
      <c r="P59" s="157">
        <v>154</v>
      </c>
      <c r="Q59" s="165">
        <v>3.71</v>
      </c>
      <c r="R59" s="182">
        <v>20037</v>
      </c>
      <c r="T59" s="156">
        <v>114.479</v>
      </c>
      <c r="U59" s="171">
        <v>1.9999999999999999E-6</v>
      </c>
      <c r="V59" s="171">
        <v>1.43483630923709E-2</v>
      </c>
      <c r="W59" s="171">
        <v>9.4734842809205896E-3</v>
      </c>
    </row>
    <row r="60" spans="1:23">
      <c r="A60" s="2">
        <v>419</v>
      </c>
      <c r="B60" s="2">
        <v>12435</v>
      </c>
      <c r="C60" s="2" t="s">
        <v>1442</v>
      </c>
      <c r="D60" s="2" t="s">
        <v>1443</v>
      </c>
      <c r="E60" s="4" t="s">
        <v>316</v>
      </c>
      <c r="F60" s="2" t="s">
        <v>1446</v>
      </c>
      <c r="G60" s="2" t="s">
        <v>1447</v>
      </c>
      <c r="H60" s="2" t="s">
        <v>324</v>
      </c>
      <c r="I60" s="2" t="s">
        <v>988</v>
      </c>
      <c r="J60" s="2" t="s">
        <v>209</v>
      </c>
      <c r="K60" s="2" t="s">
        <v>228</v>
      </c>
      <c r="L60" s="2" t="s">
        <v>347</v>
      </c>
      <c r="M60" s="2" t="s">
        <v>740</v>
      </c>
      <c r="N60" s="2" t="s">
        <v>140</v>
      </c>
      <c r="O60" s="2" t="s">
        <v>1188</v>
      </c>
      <c r="P60" s="157">
        <v>581</v>
      </c>
      <c r="Q60" s="165">
        <v>3.71</v>
      </c>
      <c r="R60" s="182">
        <v>4532</v>
      </c>
      <c r="T60" s="156">
        <v>97.688000000000002</v>
      </c>
      <c r="U60" s="171">
        <v>9.9999999999999995E-7</v>
      </c>
      <c r="V60" s="171">
        <v>1.2243764643078201E-2</v>
      </c>
      <c r="W60" s="171">
        <v>8.0839264478305192E-3</v>
      </c>
    </row>
    <row r="61" spans="1:23">
      <c r="A61" s="2">
        <v>419</v>
      </c>
      <c r="B61" s="2">
        <v>12435</v>
      </c>
      <c r="C61" s="2" t="s">
        <v>1377</v>
      </c>
      <c r="D61" s="2" t="s">
        <v>1378</v>
      </c>
      <c r="E61" s="4" t="s">
        <v>316</v>
      </c>
      <c r="F61" s="2" t="s">
        <v>1534</v>
      </c>
      <c r="G61" s="2" t="s">
        <v>1535</v>
      </c>
      <c r="H61" s="2" t="s">
        <v>324</v>
      </c>
      <c r="I61" s="2" t="s">
        <v>988</v>
      </c>
      <c r="J61" s="2" t="s">
        <v>209</v>
      </c>
      <c r="K61" s="2" t="s">
        <v>228</v>
      </c>
      <c r="L61" s="2" t="s">
        <v>349</v>
      </c>
      <c r="M61" s="2" t="s">
        <v>740</v>
      </c>
      <c r="N61" s="2" t="s">
        <v>140</v>
      </c>
      <c r="O61" s="2" t="s">
        <v>1188</v>
      </c>
      <c r="P61" s="157">
        <v>133</v>
      </c>
      <c r="Q61" s="165">
        <v>3.71</v>
      </c>
      <c r="R61" s="182">
        <v>19131</v>
      </c>
      <c r="T61" s="156">
        <v>94.397999999999996</v>
      </c>
      <c r="U61" s="171">
        <v>1.0000000000000001E-5</v>
      </c>
      <c r="V61" s="171">
        <v>1.18314576036215E-2</v>
      </c>
      <c r="W61" s="171">
        <v>7.8117013701641596E-3</v>
      </c>
    </row>
    <row r="62" spans="1:23">
      <c r="A62" s="2">
        <v>419</v>
      </c>
      <c r="B62" s="2">
        <v>12435</v>
      </c>
      <c r="C62" s="2" t="s">
        <v>1448</v>
      </c>
      <c r="D62" s="2" t="s">
        <v>1449</v>
      </c>
      <c r="E62" s="4" t="s">
        <v>316</v>
      </c>
      <c r="F62" s="2" t="s">
        <v>1450</v>
      </c>
      <c r="G62" s="2" t="s">
        <v>1451</v>
      </c>
      <c r="H62" s="2" t="s">
        <v>324</v>
      </c>
      <c r="I62" s="2" t="s">
        <v>988</v>
      </c>
      <c r="J62" s="2" t="s">
        <v>209</v>
      </c>
      <c r="K62" s="2" t="s">
        <v>228</v>
      </c>
      <c r="L62" s="2" t="s">
        <v>347</v>
      </c>
      <c r="M62" s="2" t="s">
        <v>740</v>
      </c>
      <c r="N62" s="2" t="s">
        <v>140</v>
      </c>
      <c r="O62" s="2" t="s">
        <v>1188</v>
      </c>
      <c r="P62" s="157">
        <v>1350</v>
      </c>
      <c r="Q62" s="165">
        <v>3.71</v>
      </c>
      <c r="R62" s="182">
        <v>2120</v>
      </c>
      <c r="T62" s="156">
        <v>106.18</v>
      </c>
      <c r="U62" s="171">
        <v>0</v>
      </c>
      <c r="V62" s="171">
        <v>1.3308177005774901E-2</v>
      </c>
      <c r="W62" s="171">
        <v>8.7867030448199202E-3</v>
      </c>
    </row>
    <row r="63" spans="1:23">
      <c r="A63" s="2">
        <v>419</v>
      </c>
      <c r="B63" s="2">
        <v>12435</v>
      </c>
      <c r="C63" s="2" t="s">
        <v>1452</v>
      </c>
      <c r="D63" s="2" t="s">
        <v>1453</v>
      </c>
      <c r="E63" s="4" t="s">
        <v>316</v>
      </c>
      <c r="F63" s="2" t="s">
        <v>1454</v>
      </c>
      <c r="G63" s="2" t="s">
        <v>1455</v>
      </c>
      <c r="H63" s="2" t="s">
        <v>324</v>
      </c>
      <c r="I63" s="2" t="s">
        <v>988</v>
      </c>
      <c r="J63" s="2" t="s">
        <v>209</v>
      </c>
      <c r="K63" s="2" t="s">
        <v>228</v>
      </c>
      <c r="L63" s="2" t="s">
        <v>347</v>
      </c>
      <c r="M63" s="2" t="s">
        <v>740</v>
      </c>
      <c r="N63" s="2" t="s">
        <v>140</v>
      </c>
      <c r="O63" s="2" t="s">
        <v>1188</v>
      </c>
      <c r="P63" s="157">
        <v>501</v>
      </c>
      <c r="Q63" s="165">
        <v>3.71</v>
      </c>
      <c r="R63" s="182">
        <v>4116</v>
      </c>
      <c r="T63" s="156">
        <v>76.504999999999995</v>
      </c>
      <c r="U63" s="171">
        <v>3.0000000000000001E-6</v>
      </c>
      <c r="V63" s="171">
        <v>9.5887507807269293E-3</v>
      </c>
      <c r="W63" s="171">
        <v>6.3309576995010004E-3</v>
      </c>
    </row>
    <row r="64" spans="1:23">
      <c r="A64" s="2">
        <v>419</v>
      </c>
      <c r="B64" s="2">
        <v>12435</v>
      </c>
      <c r="C64" s="2" t="s">
        <v>1442</v>
      </c>
      <c r="D64" s="2" t="s">
        <v>1443</v>
      </c>
      <c r="E64" s="4" t="s">
        <v>316</v>
      </c>
      <c r="F64" s="2" t="s">
        <v>1456</v>
      </c>
      <c r="G64" s="2" t="s">
        <v>1457</v>
      </c>
      <c r="H64" s="2" t="s">
        <v>324</v>
      </c>
      <c r="I64" s="2" t="s">
        <v>988</v>
      </c>
      <c r="J64" s="2" t="s">
        <v>209</v>
      </c>
      <c r="K64" s="2" t="s">
        <v>300</v>
      </c>
      <c r="L64" s="2" t="s">
        <v>347</v>
      </c>
      <c r="M64" s="2" t="s">
        <v>740</v>
      </c>
      <c r="N64" s="2" t="s">
        <v>140</v>
      </c>
      <c r="O64" s="2" t="s">
        <v>1188</v>
      </c>
      <c r="P64" s="157">
        <v>448</v>
      </c>
      <c r="Q64" s="165">
        <v>3.71</v>
      </c>
      <c r="R64" s="182">
        <v>15402</v>
      </c>
      <c r="T64" s="156">
        <v>255.994</v>
      </c>
      <c r="U64" s="171">
        <v>1.9999999999999999E-6</v>
      </c>
      <c r="V64" s="171">
        <v>3.2085149868916599E-2</v>
      </c>
      <c r="W64" s="171">
        <v>2.1184169997466699E-2</v>
      </c>
    </row>
    <row r="65" spans="1:23">
      <c r="A65" s="2">
        <v>419</v>
      </c>
      <c r="B65" s="2">
        <v>12435</v>
      </c>
      <c r="C65" s="2" t="s">
        <v>1442</v>
      </c>
      <c r="D65" s="2" t="s">
        <v>1443</v>
      </c>
      <c r="E65" s="4" t="s">
        <v>316</v>
      </c>
      <c r="F65" s="2" t="s">
        <v>1458</v>
      </c>
      <c r="G65" s="2" t="s">
        <v>1459</v>
      </c>
      <c r="H65" s="2" t="s">
        <v>324</v>
      </c>
      <c r="I65" s="2" t="s">
        <v>988</v>
      </c>
      <c r="J65" s="2" t="s">
        <v>209</v>
      </c>
      <c r="K65" s="2" t="s">
        <v>228</v>
      </c>
      <c r="L65" s="2" t="s">
        <v>347</v>
      </c>
      <c r="M65" s="2" t="s">
        <v>740</v>
      </c>
      <c r="N65" s="2" t="s">
        <v>140</v>
      </c>
      <c r="O65" s="2" t="s">
        <v>1188</v>
      </c>
      <c r="P65" s="157">
        <v>850</v>
      </c>
      <c r="Q65" s="165">
        <v>3.71</v>
      </c>
      <c r="R65" s="182">
        <v>13544</v>
      </c>
      <c r="T65" s="156">
        <v>427.11</v>
      </c>
      <c r="U65" s="171">
        <v>6.0000000000000002E-6</v>
      </c>
      <c r="V65" s="171">
        <v>5.3532165255514602E-2</v>
      </c>
      <c r="W65" s="171">
        <v>3.5344528348422402E-2</v>
      </c>
    </row>
    <row r="66" spans="1:23">
      <c r="A66" s="2">
        <v>419</v>
      </c>
      <c r="B66" s="2">
        <v>12435</v>
      </c>
      <c r="C66" s="2" t="s">
        <v>1365</v>
      </c>
      <c r="D66" s="2" t="s">
        <v>1366</v>
      </c>
      <c r="E66" s="4" t="s">
        <v>316</v>
      </c>
      <c r="F66" s="2" t="s">
        <v>1460</v>
      </c>
      <c r="G66" s="2" t="s">
        <v>1461</v>
      </c>
      <c r="H66" s="2" t="s">
        <v>324</v>
      </c>
      <c r="I66" s="2" t="s">
        <v>988</v>
      </c>
      <c r="J66" s="2" t="s">
        <v>209</v>
      </c>
      <c r="K66" s="2" t="s">
        <v>228</v>
      </c>
      <c r="L66" s="2" t="s">
        <v>347</v>
      </c>
      <c r="M66" s="2" t="s">
        <v>740</v>
      </c>
      <c r="N66" s="2" t="s">
        <v>140</v>
      </c>
      <c r="O66" s="2" t="s">
        <v>1188</v>
      </c>
      <c r="P66" s="157">
        <v>140</v>
      </c>
      <c r="Q66" s="165">
        <v>3.71</v>
      </c>
      <c r="R66" s="182">
        <v>11497</v>
      </c>
      <c r="T66" s="156">
        <v>59.715000000000003</v>
      </c>
      <c r="U66" s="171">
        <v>1.0000000000000001E-5</v>
      </c>
      <c r="V66" s="171">
        <v>7.48447782842597E-3</v>
      </c>
      <c r="W66" s="171">
        <v>4.9416147752904399E-3</v>
      </c>
    </row>
    <row r="67" spans="1:23">
      <c r="A67" s="2">
        <v>419</v>
      </c>
      <c r="B67" s="2">
        <v>12435</v>
      </c>
      <c r="C67" s="2" t="s">
        <v>1365</v>
      </c>
      <c r="D67" s="2" t="s">
        <v>1366</v>
      </c>
      <c r="E67" s="4" t="s">
        <v>316</v>
      </c>
      <c r="F67" s="2" t="s">
        <v>1462</v>
      </c>
      <c r="G67" s="2" t="s">
        <v>1463</v>
      </c>
      <c r="H67" s="2" t="s">
        <v>324</v>
      </c>
      <c r="I67" s="2" t="s">
        <v>988</v>
      </c>
      <c r="J67" s="2" t="s">
        <v>209</v>
      </c>
      <c r="K67" s="2" t="s">
        <v>228</v>
      </c>
      <c r="L67" s="2" t="s">
        <v>349</v>
      </c>
      <c r="M67" s="2" t="s">
        <v>740</v>
      </c>
      <c r="N67" s="2" t="s">
        <v>140</v>
      </c>
      <c r="O67" s="2" t="s">
        <v>1188</v>
      </c>
      <c r="P67" s="157">
        <v>97</v>
      </c>
      <c r="Q67" s="165">
        <v>3.71</v>
      </c>
      <c r="R67" s="182">
        <v>48807</v>
      </c>
      <c r="S67" s="160">
        <v>4.9000000000000002E-2</v>
      </c>
      <c r="T67" s="156">
        <v>175.82400000000001</v>
      </c>
      <c r="U67" s="171">
        <v>0</v>
      </c>
      <c r="V67" s="171">
        <v>2.2037094933080498E-2</v>
      </c>
      <c r="W67" s="171">
        <v>1.4549957448226E-2</v>
      </c>
    </row>
    <row r="68" spans="1:23">
      <c r="A68" s="2">
        <v>419</v>
      </c>
      <c r="B68" s="2">
        <v>12435</v>
      </c>
      <c r="C68" s="2" t="s">
        <v>1464</v>
      </c>
      <c r="D68" s="2" t="s">
        <v>1465</v>
      </c>
      <c r="E68" s="4" t="s">
        <v>316</v>
      </c>
      <c r="F68" s="2" t="s">
        <v>1466</v>
      </c>
      <c r="G68" s="2" t="s">
        <v>1467</v>
      </c>
      <c r="H68" s="2" t="s">
        <v>324</v>
      </c>
      <c r="I68" s="2" t="s">
        <v>988</v>
      </c>
      <c r="J68" s="2" t="s">
        <v>209</v>
      </c>
      <c r="K68" s="2" t="s">
        <v>228</v>
      </c>
      <c r="L68" s="2" t="s">
        <v>347</v>
      </c>
      <c r="M68" s="2" t="s">
        <v>740</v>
      </c>
      <c r="N68" s="2" t="s">
        <v>140</v>
      </c>
      <c r="O68" s="2" t="s">
        <v>1188</v>
      </c>
      <c r="P68" s="157">
        <v>142</v>
      </c>
      <c r="Q68" s="165">
        <v>3.71</v>
      </c>
      <c r="R68" s="182">
        <v>57682</v>
      </c>
      <c r="S68" s="160">
        <v>0.317</v>
      </c>
      <c r="T68" s="156">
        <v>305.05799999999999</v>
      </c>
      <c r="U68" s="171">
        <v>0</v>
      </c>
      <c r="V68" s="171">
        <v>3.8234620385485502E-2</v>
      </c>
      <c r="W68" s="171">
        <v>2.5244348283983298E-2</v>
      </c>
    </row>
    <row r="69" spans="1:23">
      <c r="A69" s="2">
        <v>419</v>
      </c>
      <c r="B69" s="2">
        <v>12435</v>
      </c>
      <c r="C69" s="2" t="s">
        <v>1464</v>
      </c>
      <c r="D69" s="2" t="s">
        <v>1465</v>
      </c>
      <c r="E69" s="4" t="s">
        <v>316</v>
      </c>
      <c r="F69" s="2" t="s">
        <v>1468</v>
      </c>
      <c r="G69" s="2" t="s">
        <v>1469</v>
      </c>
      <c r="H69" s="2" t="s">
        <v>324</v>
      </c>
      <c r="I69" s="2" t="s">
        <v>988</v>
      </c>
      <c r="J69" s="2" t="s">
        <v>209</v>
      </c>
      <c r="K69" s="2" t="s">
        <v>237</v>
      </c>
      <c r="L69" s="2" t="s">
        <v>383</v>
      </c>
      <c r="M69" s="2" t="s">
        <v>740</v>
      </c>
      <c r="N69" s="2" t="s">
        <v>140</v>
      </c>
      <c r="O69" s="2" t="s">
        <v>1193</v>
      </c>
      <c r="P69" s="157">
        <v>8418</v>
      </c>
      <c r="Q69" s="165">
        <v>4.9748000000000001</v>
      </c>
      <c r="R69" s="182">
        <v>799.3</v>
      </c>
      <c r="T69" s="156">
        <v>334.73</v>
      </c>
      <c r="U69" s="171">
        <v>1.4E-5</v>
      </c>
      <c r="V69" s="171">
        <v>4.1953615108960202E-2</v>
      </c>
      <c r="W69" s="171">
        <v>2.7699808731063601E-2</v>
      </c>
    </row>
    <row r="70" spans="1:23">
      <c r="A70" s="2">
        <v>419</v>
      </c>
      <c r="B70" s="2">
        <v>12435</v>
      </c>
      <c r="C70" s="2" t="s">
        <v>1464</v>
      </c>
      <c r="D70" s="2" t="s">
        <v>1465</v>
      </c>
      <c r="E70" s="4" t="s">
        <v>316</v>
      </c>
      <c r="F70" s="2" t="s">
        <v>1472</v>
      </c>
      <c r="G70" s="2" t="s">
        <v>1473</v>
      </c>
      <c r="H70" s="2" t="s">
        <v>324</v>
      </c>
      <c r="I70" s="2" t="s">
        <v>988</v>
      </c>
      <c r="J70" s="2" t="s">
        <v>209</v>
      </c>
      <c r="K70" s="2" t="s">
        <v>272</v>
      </c>
      <c r="L70" s="2" t="s">
        <v>349</v>
      </c>
      <c r="M70" s="2" t="s">
        <v>740</v>
      </c>
      <c r="N70" s="2" t="s">
        <v>140</v>
      </c>
      <c r="O70" s="2" t="s">
        <v>1188</v>
      </c>
      <c r="P70" s="157">
        <v>905</v>
      </c>
      <c r="Q70" s="165">
        <v>3.71</v>
      </c>
      <c r="R70" s="182">
        <v>5091</v>
      </c>
      <c r="T70" s="156">
        <v>170.93299999999999</v>
      </c>
      <c r="U70" s="171">
        <v>6.0000000000000002E-6</v>
      </c>
      <c r="V70" s="171">
        <v>2.1424002749280899E-2</v>
      </c>
      <c r="W70" s="171">
        <v>1.41451642931748E-2</v>
      </c>
    </row>
    <row r="71" spans="1:23">
      <c r="A71" s="2">
        <v>419</v>
      </c>
      <c r="B71" s="2">
        <v>12435</v>
      </c>
      <c r="C71" s="2" t="s">
        <v>1464</v>
      </c>
      <c r="D71" s="2" t="s">
        <v>1465</v>
      </c>
      <c r="E71" s="4" t="s">
        <v>316</v>
      </c>
      <c r="F71" s="2" t="s">
        <v>1536</v>
      </c>
      <c r="G71" s="2" t="s">
        <v>1537</v>
      </c>
      <c r="H71" s="2" t="s">
        <v>324</v>
      </c>
      <c r="I71" s="2" t="s">
        <v>988</v>
      </c>
      <c r="J71" s="2" t="s">
        <v>209</v>
      </c>
      <c r="K71" s="2" t="s">
        <v>228</v>
      </c>
      <c r="L71" s="2" t="s">
        <v>371</v>
      </c>
      <c r="M71" s="2" t="s">
        <v>740</v>
      </c>
      <c r="N71" s="2" t="s">
        <v>140</v>
      </c>
      <c r="O71" s="2" t="s">
        <v>1190</v>
      </c>
      <c r="P71" s="157">
        <v>1430</v>
      </c>
      <c r="Q71" s="165">
        <v>4.1524000000000001</v>
      </c>
      <c r="R71" s="182">
        <v>2001.5</v>
      </c>
      <c r="T71" s="156">
        <v>118.848</v>
      </c>
      <c r="U71" s="171">
        <v>0</v>
      </c>
      <c r="V71" s="171">
        <v>1.48958689834514E-2</v>
      </c>
      <c r="W71" s="171">
        <v>9.8349741888265202E-3</v>
      </c>
    </row>
    <row r="72" spans="1:23">
      <c r="A72" s="2">
        <v>419</v>
      </c>
      <c r="B72" s="2">
        <v>12435</v>
      </c>
      <c r="C72" s="2" t="s">
        <v>1464</v>
      </c>
      <c r="D72" s="2" t="s">
        <v>1465</v>
      </c>
      <c r="E72" s="4" t="s">
        <v>316</v>
      </c>
      <c r="F72" s="2" t="s">
        <v>1474</v>
      </c>
      <c r="G72" s="2" t="s">
        <v>1475</v>
      </c>
      <c r="H72" s="2" t="s">
        <v>324</v>
      </c>
      <c r="I72" s="2" t="s">
        <v>988</v>
      </c>
      <c r="J72" s="2" t="s">
        <v>209</v>
      </c>
      <c r="K72" s="2" t="s">
        <v>297</v>
      </c>
      <c r="L72" s="2" t="s">
        <v>371</v>
      </c>
      <c r="M72" s="2" t="s">
        <v>740</v>
      </c>
      <c r="N72" s="2" t="s">
        <v>140</v>
      </c>
      <c r="O72" s="2" t="s">
        <v>1190</v>
      </c>
      <c r="P72" s="157">
        <v>343</v>
      </c>
      <c r="Q72" s="165">
        <v>4.1524000000000001</v>
      </c>
      <c r="R72" s="182">
        <v>5179</v>
      </c>
      <c r="T72" s="156">
        <v>73.763000000000005</v>
      </c>
      <c r="U72" s="171">
        <v>6.0000000000000002E-6</v>
      </c>
      <c r="V72" s="171">
        <v>9.2451559842691503E-3</v>
      </c>
      <c r="W72" s="171">
        <v>6.1040997727609403E-3</v>
      </c>
    </row>
    <row r="73" spans="1:23">
      <c r="A73" s="2">
        <v>419</v>
      </c>
      <c r="B73" s="2">
        <v>12435</v>
      </c>
      <c r="C73" s="2" t="s">
        <v>1464</v>
      </c>
      <c r="D73" s="2" t="s">
        <v>1465</v>
      </c>
      <c r="E73" s="4" t="s">
        <v>316</v>
      </c>
      <c r="F73" s="2" t="s">
        <v>1476</v>
      </c>
      <c r="G73" s="2" t="s">
        <v>1477</v>
      </c>
      <c r="H73" s="2" t="s">
        <v>324</v>
      </c>
      <c r="I73" s="2" t="s">
        <v>988</v>
      </c>
      <c r="J73" s="2" t="s">
        <v>209</v>
      </c>
      <c r="K73" s="2" t="s">
        <v>228</v>
      </c>
      <c r="L73" s="2" t="s">
        <v>347</v>
      </c>
      <c r="M73" s="2" t="s">
        <v>740</v>
      </c>
      <c r="N73" s="2" t="s">
        <v>140</v>
      </c>
      <c r="O73" s="2" t="s">
        <v>1188</v>
      </c>
      <c r="P73" s="157">
        <v>233</v>
      </c>
      <c r="Q73" s="165">
        <v>3.71</v>
      </c>
      <c r="R73" s="182">
        <v>12856</v>
      </c>
      <c r="T73" s="156">
        <v>111.131</v>
      </c>
      <c r="U73" s="171">
        <v>5.1E-5</v>
      </c>
      <c r="V73" s="171">
        <v>1.39287044708576E-2</v>
      </c>
      <c r="W73" s="171">
        <v>9.1964053327043098E-3</v>
      </c>
    </row>
    <row r="74" spans="1:23">
      <c r="A74" s="2">
        <v>419</v>
      </c>
      <c r="B74" s="2">
        <v>12435</v>
      </c>
      <c r="C74" s="2" t="s">
        <v>1464</v>
      </c>
      <c r="D74" s="2" t="s">
        <v>1465</v>
      </c>
      <c r="E74" s="4" t="s">
        <v>316</v>
      </c>
      <c r="F74" s="2" t="s">
        <v>1478</v>
      </c>
      <c r="G74" s="2" t="s">
        <v>1479</v>
      </c>
      <c r="H74" s="2" t="s">
        <v>324</v>
      </c>
      <c r="I74" s="2" t="s">
        <v>988</v>
      </c>
      <c r="J74" s="2" t="s">
        <v>209</v>
      </c>
      <c r="K74" s="2" t="s">
        <v>297</v>
      </c>
      <c r="L74" s="2" t="s">
        <v>371</v>
      </c>
      <c r="M74" s="2" t="s">
        <v>740</v>
      </c>
      <c r="N74" s="2" t="s">
        <v>140</v>
      </c>
      <c r="O74" s="2" t="s">
        <v>1190</v>
      </c>
      <c r="P74" s="157">
        <v>125</v>
      </c>
      <c r="Q74" s="165">
        <v>4.1524000000000001</v>
      </c>
      <c r="R74" s="182">
        <v>8865</v>
      </c>
      <c r="T74" s="156">
        <v>46.014000000000003</v>
      </c>
      <c r="U74" s="171">
        <v>5.0000000000000002E-5</v>
      </c>
      <c r="V74" s="171">
        <v>5.7671728082564003E-3</v>
      </c>
      <c r="W74" s="171">
        <v>3.8077668227826998E-3</v>
      </c>
    </row>
    <row r="75" spans="1:23">
      <c r="A75" s="2">
        <v>419</v>
      </c>
      <c r="B75" s="2">
        <v>12435</v>
      </c>
      <c r="C75" s="2" t="s">
        <v>1480</v>
      </c>
      <c r="D75" s="2" t="s">
        <v>1439</v>
      </c>
      <c r="E75" s="4" t="s">
        <v>316</v>
      </c>
      <c r="F75" s="2" t="s">
        <v>1538</v>
      </c>
      <c r="G75" s="2" t="s">
        <v>1539</v>
      </c>
      <c r="H75" s="2" t="s">
        <v>324</v>
      </c>
      <c r="I75" s="2" t="s">
        <v>988</v>
      </c>
      <c r="J75" s="2" t="s">
        <v>209</v>
      </c>
      <c r="K75" s="2" t="s">
        <v>297</v>
      </c>
      <c r="L75" s="2" t="s">
        <v>317</v>
      </c>
      <c r="M75" s="2" t="s">
        <v>740</v>
      </c>
      <c r="N75" s="2" t="s">
        <v>140</v>
      </c>
      <c r="O75" s="2" t="s">
        <v>1190</v>
      </c>
      <c r="P75" s="157">
        <v>54</v>
      </c>
      <c r="Q75" s="165">
        <v>4.1524000000000001</v>
      </c>
      <c r="R75" s="182">
        <v>24366</v>
      </c>
      <c r="T75" s="156">
        <v>54.636000000000003</v>
      </c>
      <c r="U75" s="171">
        <v>1.9999999999999999E-6</v>
      </c>
      <c r="V75" s="171">
        <v>6.8478180375703803E-3</v>
      </c>
      <c r="W75" s="171">
        <v>4.5212611445566604E-3</v>
      </c>
    </row>
    <row r="76" spans="1:23">
      <c r="A76" s="2">
        <v>419</v>
      </c>
      <c r="B76" s="2">
        <v>12435</v>
      </c>
      <c r="C76" s="2" t="s">
        <v>1480</v>
      </c>
      <c r="D76" s="2" t="s">
        <v>1439</v>
      </c>
      <c r="E76" s="4" t="s">
        <v>316</v>
      </c>
      <c r="F76" s="2" t="s">
        <v>1481</v>
      </c>
      <c r="G76" s="2" t="s">
        <v>1482</v>
      </c>
      <c r="H76" s="2" t="s">
        <v>324</v>
      </c>
      <c r="I76" s="2" t="s">
        <v>988</v>
      </c>
      <c r="J76" s="2" t="s">
        <v>209</v>
      </c>
      <c r="K76" s="2" t="s">
        <v>297</v>
      </c>
      <c r="L76" s="2" t="s">
        <v>367</v>
      </c>
      <c r="M76" s="2" t="s">
        <v>740</v>
      </c>
      <c r="N76" s="2" t="s">
        <v>140</v>
      </c>
      <c r="O76" s="2" t="s">
        <v>1190</v>
      </c>
      <c r="P76" s="157">
        <v>35</v>
      </c>
      <c r="Q76" s="165">
        <v>4.1524000000000001</v>
      </c>
      <c r="R76" s="182">
        <v>15648.2</v>
      </c>
      <c r="T76" s="156">
        <v>22.742000000000001</v>
      </c>
      <c r="U76" s="171">
        <v>6.9999999999999999E-6</v>
      </c>
      <c r="V76" s="171">
        <v>2.85040548118265E-3</v>
      </c>
      <c r="W76" s="171">
        <v>1.88197575893458E-3</v>
      </c>
    </row>
    <row r="77" spans="1:23">
      <c r="A77" s="2">
        <v>419</v>
      </c>
      <c r="B77" s="2">
        <v>12435</v>
      </c>
      <c r="C77" s="2" t="s">
        <v>1438</v>
      </c>
      <c r="D77" s="2" t="s">
        <v>1439</v>
      </c>
      <c r="E77" s="4" t="s">
        <v>316</v>
      </c>
      <c r="F77" s="2" t="s">
        <v>1483</v>
      </c>
      <c r="G77" s="2" t="s">
        <v>1484</v>
      </c>
      <c r="H77" s="2" t="s">
        <v>324</v>
      </c>
      <c r="I77" s="2" t="s">
        <v>988</v>
      </c>
      <c r="J77" s="2" t="s">
        <v>209</v>
      </c>
      <c r="K77" s="2" t="s">
        <v>228</v>
      </c>
      <c r="L77" s="2" t="s">
        <v>1485</v>
      </c>
      <c r="M77" s="2" t="s">
        <v>740</v>
      </c>
      <c r="N77" s="2" t="s">
        <v>140</v>
      </c>
      <c r="O77" s="2" t="s">
        <v>1190</v>
      </c>
      <c r="P77" s="157">
        <v>188</v>
      </c>
      <c r="Q77" s="165">
        <v>4.1524000000000001</v>
      </c>
      <c r="R77" s="182">
        <v>7237.3</v>
      </c>
      <c r="T77" s="156">
        <v>56.497999999999998</v>
      </c>
      <c r="U77" s="171">
        <v>0</v>
      </c>
      <c r="V77" s="171">
        <v>7.0812289550876402E-3</v>
      </c>
      <c r="W77" s="171">
        <v>4.6753703376304504E-3</v>
      </c>
    </row>
    <row r="78" spans="1:23">
      <c r="A78" s="2">
        <v>419</v>
      </c>
      <c r="B78" s="2">
        <v>12435</v>
      </c>
      <c r="C78" s="2" t="s">
        <v>1480</v>
      </c>
      <c r="D78" s="2" t="s">
        <v>1439</v>
      </c>
      <c r="E78" s="4" t="s">
        <v>316</v>
      </c>
      <c r="F78" s="2" t="s">
        <v>1540</v>
      </c>
      <c r="G78" s="2" t="s">
        <v>1541</v>
      </c>
      <c r="H78" s="2" t="s">
        <v>324</v>
      </c>
      <c r="I78" s="2" t="s">
        <v>988</v>
      </c>
      <c r="J78" s="2" t="s">
        <v>209</v>
      </c>
      <c r="K78" s="2" t="s">
        <v>228</v>
      </c>
      <c r="L78" s="2" t="s">
        <v>383</v>
      </c>
      <c r="M78" s="2" t="s">
        <v>740</v>
      </c>
      <c r="N78" s="2" t="s">
        <v>140</v>
      </c>
      <c r="O78" s="2" t="s">
        <v>1188</v>
      </c>
      <c r="P78" s="157">
        <v>395</v>
      </c>
      <c r="Q78" s="165">
        <v>3.71</v>
      </c>
      <c r="R78" s="182">
        <v>40841</v>
      </c>
      <c r="T78" s="156">
        <v>598.50400000000002</v>
      </c>
      <c r="U78" s="171">
        <v>4.5000000000000003E-5</v>
      </c>
      <c r="V78" s="171">
        <v>7.5014013470187504E-2</v>
      </c>
      <c r="W78" s="171">
        <v>4.9527885019611702E-2</v>
      </c>
    </row>
    <row r="79" spans="1:23">
      <c r="A79" s="2">
        <v>419</v>
      </c>
      <c r="B79" s="2">
        <v>12435</v>
      </c>
      <c r="C79" s="2" t="s">
        <v>1442</v>
      </c>
      <c r="D79" s="2" t="s">
        <v>1443</v>
      </c>
      <c r="E79" s="4" t="s">
        <v>316</v>
      </c>
      <c r="F79" s="2" t="s">
        <v>1486</v>
      </c>
      <c r="G79" s="2" t="s">
        <v>1487</v>
      </c>
      <c r="H79" s="2" t="s">
        <v>324</v>
      </c>
      <c r="I79" s="2" t="s">
        <v>988</v>
      </c>
      <c r="J79" s="2" t="s">
        <v>209</v>
      </c>
      <c r="K79" s="2" t="s">
        <v>228</v>
      </c>
      <c r="L79" s="2" t="s">
        <v>347</v>
      </c>
      <c r="M79" s="2" t="s">
        <v>740</v>
      </c>
      <c r="N79" s="2" t="s">
        <v>140</v>
      </c>
      <c r="O79" s="2" t="s">
        <v>1188</v>
      </c>
      <c r="P79" s="157">
        <v>258</v>
      </c>
      <c r="Q79" s="165">
        <v>3.71</v>
      </c>
      <c r="R79" s="182">
        <v>9638</v>
      </c>
      <c r="T79" s="156">
        <v>92.253</v>
      </c>
      <c r="U79" s="171">
        <v>3.9999999999999998E-6</v>
      </c>
      <c r="V79" s="171">
        <v>1.15626017383885E-2</v>
      </c>
      <c r="W79" s="171">
        <v>7.6341897058215804E-3</v>
      </c>
    </row>
    <row r="80" spans="1:23">
      <c r="A80" s="2">
        <v>419</v>
      </c>
      <c r="B80" s="2">
        <v>12435</v>
      </c>
      <c r="C80" s="2" t="s">
        <v>1442</v>
      </c>
      <c r="D80" s="2" t="s">
        <v>1443</v>
      </c>
      <c r="E80" s="4" t="s">
        <v>316</v>
      </c>
      <c r="F80" s="2" t="s">
        <v>1490</v>
      </c>
      <c r="G80" s="2" t="s">
        <v>1491</v>
      </c>
      <c r="H80" s="2" t="s">
        <v>324</v>
      </c>
      <c r="I80" s="2" t="s">
        <v>988</v>
      </c>
      <c r="J80" s="2" t="s">
        <v>209</v>
      </c>
      <c r="K80" s="2" t="s">
        <v>228</v>
      </c>
      <c r="L80" s="2" t="s">
        <v>347</v>
      </c>
      <c r="M80" s="2" t="s">
        <v>740</v>
      </c>
      <c r="N80" s="2" t="s">
        <v>140</v>
      </c>
      <c r="O80" s="2" t="s">
        <v>1188</v>
      </c>
      <c r="P80" s="157">
        <v>229</v>
      </c>
      <c r="Q80" s="165">
        <v>3.71</v>
      </c>
      <c r="R80" s="182">
        <v>4467</v>
      </c>
      <c r="T80" s="156">
        <v>37.951000000000001</v>
      </c>
      <c r="U80" s="171">
        <v>9.9999999999999995E-7</v>
      </c>
      <c r="V80" s="171">
        <v>4.7566409891049502E-3</v>
      </c>
      <c r="W80" s="171">
        <v>3.1405647703624099E-3</v>
      </c>
    </row>
    <row r="81" spans="1:23">
      <c r="A81" s="2">
        <v>419</v>
      </c>
      <c r="B81" s="2">
        <v>12435</v>
      </c>
      <c r="C81" s="2" t="s">
        <v>1365</v>
      </c>
      <c r="D81" s="2" t="s">
        <v>1366</v>
      </c>
      <c r="E81" s="4" t="s">
        <v>316</v>
      </c>
      <c r="F81" s="2" t="s">
        <v>1492</v>
      </c>
      <c r="G81" s="2" t="s">
        <v>1493</v>
      </c>
      <c r="H81" s="2" t="s">
        <v>324</v>
      </c>
      <c r="I81" s="2" t="s">
        <v>988</v>
      </c>
      <c r="J81" s="2" t="s">
        <v>209</v>
      </c>
      <c r="K81" s="2" t="s">
        <v>228</v>
      </c>
      <c r="L81" s="2" t="s">
        <v>347</v>
      </c>
      <c r="M81" s="2" t="s">
        <v>740</v>
      </c>
      <c r="N81" s="2" t="s">
        <v>140</v>
      </c>
      <c r="O81" s="2" t="s">
        <v>1188</v>
      </c>
      <c r="P81" s="157">
        <v>108</v>
      </c>
      <c r="Q81" s="165">
        <v>3.71</v>
      </c>
      <c r="R81" s="182">
        <v>17916</v>
      </c>
      <c r="T81" s="156">
        <v>71.786000000000001</v>
      </c>
      <c r="U81" s="171">
        <v>0</v>
      </c>
      <c r="V81" s="171">
        <v>8.9973320466212401E-3</v>
      </c>
      <c r="W81" s="171">
        <v>5.9404744056978697E-3</v>
      </c>
    </row>
    <row r="82" spans="1:23">
      <c r="A82" s="2">
        <v>419</v>
      </c>
      <c r="B82" s="2">
        <v>12435</v>
      </c>
      <c r="C82" s="2" t="s">
        <v>1365</v>
      </c>
      <c r="D82" s="2" t="s">
        <v>1366</v>
      </c>
      <c r="E82" s="4" t="s">
        <v>316</v>
      </c>
      <c r="F82" s="2" t="s">
        <v>1542</v>
      </c>
      <c r="G82" s="2" t="s">
        <v>1543</v>
      </c>
      <c r="H82" s="2" t="s">
        <v>324</v>
      </c>
      <c r="I82" s="2" t="s">
        <v>988</v>
      </c>
      <c r="J82" s="2" t="s">
        <v>209</v>
      </c>
      <c r="K82" s="2" t="s">
        <v>228</v>
      </c>
      <c r="L82" s="2" t="s">
        <v>383</v>
      </c>
      <c r="M82" s="2" t="s">
        <v>740</v>
      </c>
      <c r="N82" s="2" t="s">
        <v>140</v>
      </c>
      <c r="O82" s="2" t="s">
        <v>1188</v>
      </c>
      <c r="P82" s="157">
        <v>4</v>
      </c>
      <c r="Q82" s="165">
        <v>3.71</v>
      </c>
      <c r="R82" s="182">
        <v>112716</v>
      </c>
      <c r="T82" s="156">
        <v>16.727</v>
      </c>
      <c r="U82" s="171">
        <v>0</v>
      </c>
      <c r="V82" s="171">
        <v>2.0964982241550301E-3</v>
      </c>
      <c r="W82" s="171">
        <v>1.38420967211729E-3</v>
      </c>
    </row>
    <row r="83" spans="1:23">
      <c r="A83" s="2">
        <v>419</v>
      </c>
      <c r="B83" s="2">
        <v>12435</v>
      </c>
      <c r="C83" s="2" t="s">
        <v>1442</v>
      </c>
      <c r="D83" s="2" t="s">
        <v>1443</v>
      </c>
      <c r="E83" s="4" t="s">
        <v>316</v>
      </c>
      <c r="F83" s="2" t="s">
        <v>1494</v>
      </c>
      <c r="G83" s="2" t="s">
        <v>1495</v>
      </c>
      <c r="H83" s="2" t="s">
        <v>324</v>
      </c>
      <c r="I83" s="2" t="s">
        <v>990</v>
      </c>
      <c r="J83" s="2" t="s">
        <v>209</v>
      </c>
      <c r="K83" s="2" t="s">
        <v>228</v>
      </c>
      <c r="L83" s="2" t="s">
        <v>1496</v>
      </c>
      <c r="M83" s="2" t="s">
        <v>737</v>
      </c>
      <c r="N83" s="2" t="s">
        <v>140</v>
      </c>
      <c r="O83" s="2" t="s">
        <v>1188</v>
      </c>
      <c r="P83" s="157">
        <v>1980</v>
      </c>
      <c r="Q83" s="165">
        <v>3.71</v>
      </c>
      <c r="R83" s="182">
        <v>1075.2</v>
      </c>
      <c r="T83" s="156">
        <v>78.981999999999999</v>
      </c>
      <c r="U83" s="171">
        <v>1.21E-4</v>
      </c>
      <c r="V83" s="171">
        <v>9.8992749108616808E-3</v>
      </c>
      <c r="W83" s="171">
        <v>6.5359807705468002E-3</v>
      </c>
    </row>
    <row r="84" spans="1:23">
      <c r="A84" s="2">
        <v>419</v>
      </c>
      <c r="B84" s="2">
        <v>12435</v>
      </c>
      <c r="C84" s="2" t="s">
        <v>1442</v>
      </c>
      <c r="D84" s="2" t="s">
        <v>1443</v>
      </c>
      <c r="E84" s="4" t="s">
        <v>316</v>
      </c>
      <c r="F84" s="2" t="s">
        <v>1497</v>
      </c>
      <c r="G84" s="2" t="s">
        <v>1498</v>
      </c>
      <c r="H84" s="2" t="s">
        <v>324</v>
      </c>
      <c r="I84" s="2" t="s">
        <v>988</v>
      </c>
      <c r="J84" s="2" t="s">
        <v>209</v>
      </c>
      <c r="K84" s="2" t="s">
        <v>228</v>
      </c>
      <c r="L84" s="2" t="s">
        <v>347</v>
      </c>
      <c r="M84" s="2" t="s">
        <v>740</v>
      </c>
      <c r="N84" s="2" t="s">
        <v>140</v>
      </c>
      <c r="O84" s="2" t="s">
        <v>1188</v>
      </c>
      <c r="P84" s="157">
        <v>299</v>
      </c>
      <c r="Q84" s="165">
        <v>3.71</v>
      </c>
      <c r="R84" s="182">
        <v>9040</v>
      </c>
      <c r="T84" s="156">
        <v>100.28</v>
      </c>
      <c r="U84" s="171">
        <v>1.9999999999999999E-6</v>
      </c>
      <c r="V84" s="171">
        <v>1.2568647840506399E-2</v>
      </c>
      <c r="W84" s="171">
        <v>8.2984300705892505E-3</v>
      </c>
    </row>
    <row r="85" spans="1:23">
      <c r="A85" s="2">
        <v>419</v>
      </c>
      <c r="B85" s="2">
        <v>12435</v>
      </c>
      <c r="C85" s="2" t="s">
        <v>1499</v>
      </c>
      <c r="D85" s="2" t="s">
        <v>1500</v>
      </c>
      <c r="E85" s="4" t="s">
        <v>316</v>
      </c>
      <c r="F85" s="2" t="s">
        <v>1501</v>
      </c>
      <c r="G85" s="2" t="s">
        <v>1502</v>
      </c>
      <c r="H85" s="2" t="s">
        <v>324</v>
      </c>
      <c r="I85" s="2" t="s">
        <v>988</v>
      </c>
      <c r="J85" s="2" t="s">
        <v>209</v>
      </c>
      <c r="K85" s="2" t="s">
        <v>228</v>
      </c>
      <c r="L85" s="2" t="s">
        <v>383</v>
      </c>
      <c r="M85" s="2" t="s">
        <v>740</v>
      </c>
      <c r="N85" s="2" t="s">
        <v>140</v>
      </c>
      <c r="O85" s="2" t="s">
        <v>1188</v>
      </c>
      <c r="P85" s="157">
        <v>893</v>
      </c>
      <c r="Q85" s="165">
        <v>3.71</v>
      </c>
      <c r="R85" s="182">
        <v>3353.75</v>
      </c>
      <c r="T85" s="156">
        <v>111.111</v>
      </c>
      <c r="U85" s="171">
        <v>0</v>
      </c>
      <c r="V85" s="171">
        <v>1.39261504819615E-2</v>
      </c>
      <c r="W85" s="171">
        <v>9.1947190655319207E-3</v>
      </c>
    </row>
    <row r="86" spans="1:23">
      <c r="A86" s="2">
        <v>419</v>
      </c>
      <c r="B86" s="2">
        <v>12435</v>
      </c>
      <c r="C86" s="2" t="s">
        <v>1509</v>
      </c>
      <c r="D86" s="2" t="s">
        <v>1510</v>
      </c>
      <c r="E86" s="4" t="s">
        <v>316</v>
      </c>
      <c r="F86" s="2" t="s">
        <v>1544</v>
      </c>
      <c r="G86" s="2" t="s">
        <v>1544</v>
      </c>
      <c r="H86" s="2" t="s">
        <v>324</v>
      </c>
      <c r="I86" s="2" t="s">
        <v>988</v>
      </c>
      <c r="J86" s="2" t="s">
        <v>209</v>
      </c>
      <c r="K86" s="2" t="s">
        <v>228</v>
      </c>
      <c r="L86" s="2" t="s">
        <v>349</v>
      </c>
      <c r="M86" s="2" t="s">
        <v>740</v>
      </c>
      <c r="N86" s="2" t="s">
        <v>140</v>
      </c>
      <c r="O86" s="2" t="s">
        <v>1188</v>
      </c>
      <c r="P86" s="157">
        <v>280</v>
      </c>
      <c r="Q86" s="165">
        <v>3.71</v>
      </c>
      <c r="R86" s="182">
        <v>19072</v>
      </c>
      <c r="S86" s="160">
        <v>0.29699999999999999</v>
      </c>
      <c r="T86" s="156">
        <v>199.22300000000001</v>
      </c>
      <c r="U86" s="171">
        <v>1.1E-5</v>
      </c>
      <c r="V86" s="171">
        <v>2.4969757729399199E-2</v>
      </c>
      <c r="W86" s="171">
        <v>1.6486243470771499E-2</v>
      </c>
    </row>
    <row r="87" spans="1:23">
      <c r="A87" s="2">
        <v>419</v>
      </c>
      <c r="B87" s="2">
        <v>12435</v>
      </c>
      <c r="C87" s="2" t="s">
        <v>1442</v>
      </c>
      <c r="D87" s="2" t="s">
        <v>1443</v>
      </c>
      <c r="E87" s="4" t="s">
        <v>316</v>
      </c>
      <c r="F87" s="2" t="s">
        <v>1503</v>
      </c>
      <c r="G87" s="2" t="s">
        <v>1504</v>
      </c>
      <c r="H87" s="2" t="s">
        <v>324</v>
      </c>
      <c r="I87" s="2" t="s">
        <v>988</v>
      </c>
      <c r="J87" s="2" t="s">
        <v>209</v>
      </c>
      <c r="K87" s="2" t="s">
        <v>228</v>
      </c>
      <c r="L87" s="2" t="s">
        <v>347</v>
      </c>
      <c r="M87" s="2" t="s">
        <v>740</v>
      </c>
      <c r="N87" s="2" t="s">
        <v>140</v>
      </c>
      <c r="O87" s="2" t="s">
        <v>1188</v>
      </c>
      <c r="P87" s="157">
        <v>331</v>
      </c>
      <c r="Q87" s="165">
        <v>3.71</v>
      </c>
      <c r="R87" s="182">
        <v>8078</v>
      </c>
      <c r="T87" s="156">
        <v>99.198999999999998</v>
      </c>
      <c r="U87" s="171">
        <v>9.9999999999999995E-7</v>
      </c>
      <c r="V87" s="171">
        <v>1.24331387928815E-2</v>
      </c>
      <c r="W87" s="171">
        <v>8.2089604339253292E-3</v>
      </c>
    </row>
    <row r="88" spans="1:23">
      <c r="A88" s="2">
        <v>419</v>
      </c>
      <c r="B88" s="2">
        <v>12435</v>
      </c>
      <c r="C88" s="2" t="s">
        <v>1505</v>
      </c>
      <c r="D88" s="2" t="s">
        <v>1506</v>
      </c>
      <c r="E88" s="4" t="s">
        <v>316</v>
      </c>
      <c r="F88" s="2" t="s">
        <v>1507</v>
      </c>
      <c r="G88" s="2" t="s">
        <v>1508</v>
      </c>
      <c r="H88" s="2" t="s">
        <v>324</v>
      </c>
      <c r="I88" s="2" t="s">
        <v>988</v>
      </c>
      <c r="J88" s="2" t="s">
        <v>209</v>
      </c>
      <c r="K88" s="2" t="s">
        <v>300</v>
      </c>
      <c r="L88" s="2" t="s">
        <v>1485</v>
      </c>
      <c r="M88" s="2" t="s">
        <v>740</v>
      </c>
      <c r="N88" s="2" t="s">
        <v>140</v>
      </c>
      <c r="O88" s="2" t="s">
        <v>1188</v>
      </c>
      <c r="P88" s="157">
        <v>271</v>
      </c>
      <c r="Q88" s="165">
        <v>3.71</v>
      </c>
      <c r="R88" s="182">
        <v>3465.5970000000002</v>
      </c>
      <c r="T88" s="156">
        <v>34.843000000000004</v>
      </c>
      <c r="U88" s="171">
        <v>9.0000000000000002E-6</v>
      </c>
      <c r="V88" s="171">
        <v>4.3671322025567198E-3</v>
      </c>
      <c r="W88" s="171">
        <v>2.88339220350653E-3</v>
      </c>
    </row>
    <row r="89" spans="1:23">
      <c r="A89" s="2">
        <v>419</v>
      </c>
      <c r="B89" s="2">
        <v>12435</v>
      </c>
      <c r="C89" s="2" t="s">
        <v>1509</v>
      </c>
      <c r="D89" s="2" t="s">
        <v>1510</v>
      </c>
      <c r="E89" s="4" t="s">
        <v>316</v>
      </c>
      <c r="F89" s="2" t="s">
        <v>1545</v>
      </c>
      <c r="G89" s="2" t="s">
        <v>1546</v>
      </c>
      <c r="H89" s="2" t="s">
        <v>324</v>
      </c>
      <c r="I89" s="2" t="s">
        <v>988</v>
      </c>
      <c r="J89" s="2" t="s">
        <v>209</v>
      </c>
      <c r="K89" s="2" t="s">
        <v>228</v>
      </c>
      <c r="L89" s="2" t="s">
        <v>347</v>
      </c>
      <c r="M89" s="2" t="s">
        <v>740</v>
      </c>
      <c r="N89" s="2" t="s">
        <v>140</v>
      </c>
      <c r="O89" s="2" t="s">
        <v>1188</v>
      </c>
      <c r="P89" s="157">
        <v>55</v>
      </c>
      <c r="Q89" s="165">
        <v>3.71</v>
      </c>
      <c r="R89" s="182">
        <v>9742</v>
      </c>
      <c r="S89" s="160">
        <v>4.4999999999999998E-2</v>
      </c>
      <c r="T89" s="156">
        <v>20.044</v>
      </c>
      <c r="U89" s="171">
        <v>0</v>
      </c>
      <c r="V89" s="171">
        <v>2.5122787815094502E-3</v>
      </c>
      <c r="W89" s="171">
        <v>1.6587281345406401E-3</v>
      </c>
    </row>
    <row r="90" spans="1:23">
      <c r="A90" s="2">
        <v>419</v>
      </c>
      <c r="B90" s="2">
        <v>12435</v>
      </c>
      <c r="C90" s="2" t="s">
        <v>1509</v>
      </c>
      <c r="D90" s="2" t="s">
        <v>1510</v>
      </c>
      <c r="E90" s="4" t="s">
        <v>316</v>
      </c>
      <c r="F90" s="2" t="s">
        <v>1511</v>
      </c>
      <c r="G90" s="2" t="s">
        <v>1512</v>
      </c>
      <c r="H90" s="2" t="s">
        <v>324</v>
      </c>
      <c r="I90" s="2" t="s">
        <v>988</v>
      </c>
      <c r="J90" s="2" t="s">
        <v>209</v>
      </c>
      <c r="K90" s="2" t="s">
        <v>228</v>
      </c>
      <c r="L90" s="2" t="s">
        <v>347</v>
      </c>
      <c r="M90" s="2" t="s">
        <v>740</v>
      </c>
      <c r="N90" s="2" t="s">
        <v>140</v>
      </c>
      <c r="O90" s="2" t="s">
        <v>1188</v>
      </c>
      <c r="P90" s="157">
        <v>269</v>
      </c>
      <c r="Q90" s="165">
        <v>3.71</v>
      </c>
      <c r="R90" s="182">
        <v>52767</v>
      </c>
      <c r="S90" s="160">
        <v>0.441</v>
      </c>
      <c r="T90" s="156">
        <v>528.245</v>
      </c>
      <c r="U90" s="171">
        <v>0</v>
      </c>
      <c r="V90" s="171">
        <v>6.6207952755835797E-2</v>
      </c>
      <c r="W90" s="171">
        <v>4.3713697211763401E-2</v>
      </c>
    </row>
    <row r="91" spans="1:23">
      <c r="A91" s="2">
        <v>419</v>
      </c>
      <c r="B91" s="2">
        <v>12435</v>
      </c>
      <c r="C91" s="2" t="s">
        <v>1509</v>
      </c>
      <c r="D91" s="2" t="s">
        <v>1510</v>
      </c>
      <c r="E91" s="4" t="s">
        <v>316</v>
      </c>
      <c r="F91" s="2" t="s">
        <v>1513</v>
      </c>
      <c r="G91" s="2" t="s">
        <v>1514</v>
      </c>
      <c r="H91" s="2" t="s">
        <v>324</v>
      </c>
      <c r="I91" s="2" t="s">
        <v>988</v>
      </c>
      <c r="J91" s="2" t="s">
        <v>209</v>
      </c>
      <c r="K91" s="2" t="s">
        <v>228</v>
      </c>
      <c r="L91" s="2" t="s">
        <v>347</v>
      </c>
      <c r="M91" s="2" t="s">
        <v>740</v>
      </c>
      <c r="N91" s="2" t="s">
        <v>140</v>
      </c>
      <c r="O91" s="2" t="s">
        <v>1188</v>
      </c>
      <c r="P91" s="157">
        <v>556</v>
      </c>
      <c r="Q91" s="165">
        <v>3.71</v>
      </c>
      <c r="R91" s="182">
        <v>10563</v>
      </c>
      <c r="S91" s="160">
        <v>0.2</v>
      </c>
      <c r="T91" s="156">
        <v>218.63300000000001</v>
      </c>
      <c r="U91" s="171">
        <v>6.6000000000000005E-5</v>
      </c>
      <c r="V91" s="171">
        <v>2.74025036459517E-2</v>
      </c>
      <c r="W91" s="171">
        <v>1.8092460155669E-2</v>
      </c>
    </row>
    <row r="92" spans="1:23">
      <c r="A92" s="2">
        <v>419</v>
      </c>
      <c r="B92" s="2">
        <v>12435</v>
      </c>
      <c r="C92" s="2" t="s">
        <v>1509</v>
      </c>
      <c r="D92" s="2" t="s">
        <v>1510</v>
      </c>
      <c r="E92" s="4" t="s">
        <v>316</v>
      </c>
      <c r="F92" s="2" t="s">
        <v>1547</v>
      </c>
      <c r="G92" s="2" t="s">
        <v>1548</v>
      </c>
      <c r="H92" s="2" t="s">
        <v>324</v>
      </c>
      <c r="I92" s="2" t="s">
        <v>988</v>
      </c>
      <c r="J92" s="2" t="s">
        <v>209</v>
      </c>
      <c r="K92" s="2" t="s">
        <v>300</v>
      </c>
      <c r="L92" s="2" t="s">
        <v>347</v>
      </c>
      <c r="M92" s="2" t="s">
        <v>740</v>
      </c>
      <c r="N92" s="2" t="s">
        <v>140</v>
      </c>
      <c r="O92" s="2" t="s">
        <v>1188</v>
      </c>
      <c r="P92" s="157">
        <v>615</v>
      </c>
      <c r="Q92" s="165">
        <v>3.71</v>
      </c>
      <c r="R92" s="182">
        <v>11970</v>
      </c>
      <c r="T92" s="156">
        <v>273.11399999999998</v>
      </c>
      <c r="U92" s="171">
        <v>1.9999999999999999E-6</v>
      </c>
      <c r="V92" s="171">
        <v>3.42308911379672E-2</v>
      </c>
      <c r="W92" s="171">
        <v>2.2600892312925901E-2</v>
      </c>
    </row>
    <row r="93" spans="1:23">
      <c r="A93" s="2">
        <v>419</v>
      </c>
      <c r="B93" s="2">
        <v>12435</v>
      </c>
      <c r="C93" s="2" t="s">
        <v>1509</v>
      </c>
      <c r="D93" s="2" t="s">
        <v>1510</v>
      </c>
      <c r="E93" s="4" t="s">
        <v>316</v>
      </c>
      <c r="F93" s="2" t="s">
        <v>1515</v>
      </c>
      <c r="G93" s="2" t="s">
        <v>1516</v>
      </c>
      <c r="H93" s="2" t="s">
        <v>324</v>
      </c>
      <c r="I93" s="2" t="s">
        <v>988</v>
      </c>
      <c r="J93" s="2" t="s">
        <v>209</v>
      </c>
      <c r="K93" s="2" t="s">
        <v>228</v>
      </c>
      <c r="L93" s="2" t="s">
        <v>1485</v>
      </c>
      <c r="M93" s="2" t="s">
        <v>740</v>
      </c>
      <c r="N93" s="2" t="s">
        <v>140</v>
      </c>
      <c r="O93" s="2" t="s">
        <v>1193</v>
      </c>
      <c r="P93" s="157">
        <v>314</v>
      </c>
      <c r="Q93" s="165">
        <v>4.9748000000000001</v>
      </c>
      <c r="R93" s="182">
        <v>3242.5</v>
      </c>
      <c r="T93" s="156">
        <v>50.651000000000003</v>
      </c>
      <c r="U93" s="171">
        <v>6.0000000000000002E-6</v>
      </c>
      <c r="V93" s="171">
        <v>6.3483416032376304E-3</v>
      </c>
      <c r="W93" s="171">
        <v>4.1914826103169297E-3</v>
      </c>
    </row>
    <row r="94" spans="1:23">
      <c r="A94" s="2">
        <v>419</v>
      </c>
      <c r="B94" s="2">
        <v>12435</v>
      </c>
      <c r="C94" s="2" t="s">
        <v>1517</v>
      </c>
      <c r="D94" s="2" t="s">
        <v>1518</v>
      </c>
      <c r="E94" s="4" t="s">
        <v>316</v>
      </c>
      <c r="F94" s="2" t="s">
        <v>1519</v>
      </c>
      <c r="G94" s="2" t="s">
        <v>1520</v>
      </c>
      <c r="H94" s="2" t="s">
        <v>324</v>
      </c>
      <c r="I94" s="2" t="s">
        <v>988</v>
      </c>
      <c r="J94" s="2" t="s">
        <v>209</v>
      </c>
      <c r="K94" s="2" t="s">
        <v>300</v>
      </c>
      <c r="L94" s="2" t="s">
        <v>347</v>
      </c>
      <c r="M94" s="2" t="s">
        <v>740</v>
      </c>
      <c r="N94" s="2" t="s">
        <v>140</v>
      </c>
      <c r="O94" s="2" t="s">
        <v>1188</v>
      </c>
      <c r="P94" s="157">
        <v>2275</v>
      </c>
      <c r="Q94" s="165">
        <v>3.71</v>
      </c>
      <c r="R94" s="182">
        <v>3303</v>
      </c>
      <c r="T94" s="156">
        <v>278.78100000000001</v>
      </c>
      <c r="U94" s="171">
        <v>2.5999999999999998E-5</v>
      </c>
      <c r="V94" s="171">
        <v>3.4941288322473597E-2</v>
      </c>
      <c r="W94" s="171">
        <v>2.30699309424411E-2</v>
      </c>
    </row>
    <row r="95" spans="1:23">
      <c r="A95" s="2">
        <v>419</v>
      </c>
      <c r="B95" s="2">
        <v>12435</v>
      </c>
      <c r="C95" s="2" t="s">
        <v>1517</v>
      </c>
      <c r="D95" s="2" t="s">
        <v>1518</v>
      </c>
      <c r="E95" s="4" t="s">
        <v>316</v>
      </c>
      <c r="F95" s="2" t="s">
        <v>1549</v>
      </c>
      <c r="G95" s="2" t="s">
        <v>1550</v>
      </c>
      <c r="H95" s="2" t="s">
        <v>324</v>
      </c>
      <c r="I95" s="2" t="s">
        <v>988</v>
      </c>
      <c r="J95" s="2" t="s">
        <v>209</v>
      </c>
      <c r="K95" s="2" t="s">
        <v>248</v>
      </c>
      <c r="L95" s="2" t="s">
        <v>347</v>
      </c>
      <c r="M95" s="2" t="s">
        <v>740</v>
      </c>
      <c r="N95" s="2" t="s">
        <v>140</v>
      </c>
      <c r="O95" s="2" t="s">
        <v>1188</v>
      </c>
      <c r="P95" s="157">
        <v>1625</v>
      </c>
      <c r="Q95" s="165">
        <v>3.71</v>
      </c>
      <c r="R95" s="182">
        <v>5046</v>
      </c>
      <c r="T95" s="156">
        <v>304.21100000000001</v>
      </c>
      <c r="U95" s="171">
        <v>2.0000000000000002E-5</v>
      </c>
      <c r="V95" s="171">
        <v>3.8128485116388E-2</v>
      </c>
      <c r="W95" s="171">
        <v>2.51742726386311E-2</v>
      </c>
    </row>
    <row r="96" spans="1:23">
      <c r="A96" s="2">
        <v>419</v>
      </c>
      <c r="B96" s="2">
        <v>15204</v>
      </c>
      <c r="C96" s="2" t="s">
        <v>1403</v>
      </c>
      <c r="D96" s="2" t="s">
        <v>1404</v>
      </c>
      <c r="E96" s="4" t="s">
        <v>1321</v>
      </c>
      <c r="F96" s="2" t="s">
        <v>1551</v>
      </c>
      <c r="G96" s="2" t="s">
        <v>1552</v>
      </c>
      <c r="H96" s="2" t="s">
        <v>324</v>
      </c>
      <c r="I96" s="2" t="s">
        <v>988</v>
      </c>
      <c r="J96" s="2" t="s">
        <v>30</v>
      </c>
      <c r="K96" s="2" t="s">
        <v>228</v>
      </c>
      <c r="L96" s="2" t="s">
        <v>31</v>
      </c>
      <c r="M96" s="2" t="s">
        <v>1418</v>
      </c>
      <c r="N96" s="2" t="s">
        <v>140</v>
      </c>
      <c r="O96" s="2" t="s">
        <v>34</v>
      </c>
      <c r="P96" s="157">
        <v>3605</v>
      </c>
      <c r="Q96" s="165">
        <v>1</v>
      </c>
      <c r="R96" s="182">
        <v>9106</v>
      </c>
      <c r="T96" s="156">
        <v>328.27100000000002</v>
      </c>
      <c r="U96" s="171">
        <v>4.8000000000000001E-5</v>
      </c>
      <c r="V96" s="171">
        <v>9.2017982151199898E-2</v>
      </c>
      <c r="W96" s="171">
        <v>9.1726971829078699E-2</v>
      </c>
    </row>
    <row r="97" spans="1:23">
      <c r="A97" s="2">
        <v>419</v>
      </c>
      <c r="B97" s="2">
        <v>15204</v>
      </c>
      <c r="C97" s="2" t="s">
        <v>1407</v>
      </c>
      <c r="D97" s="2" t="s">
        <v>1408</v>
      </c>
      <c r="E97" s="4" t="s">
        <v>1321</v>
      </c>
      <c r="F97" s="2" t="s">
        <v>1430</v>
      </c>
      <c r="G97" s="2" t="s">
        <v>1431</v>
      </c>
      <c r="H97" s="2" t="s">
        <v>324</v>
      </c>
      <c r="I97" s="2" t="s">
        <v>988</v>
      </c>
      <c r="J97" s="2" t="s">
        <v>30</v>
      </c>
      <c r="K97" s="2" t="s">
        <v>228</v>
      </c>
      <c r="L97" s="2" t="s">
        <v>31</v>
      </c>
      <c r="M97" s="2" t="s">
        <v>1418</v>
      </c>
      <c r="N97" s="2" t="s">
        <v>140</v>
      </c>
      <c r="O97" s="2" t="s">
        <v>34</v>
      </c>
      <c r="P97" s="157">
        <v>12729</v>
      </c>
      <c r="Q97" s="165">
        <v>1</v>
      </c>
      <c r="R97" s="182">
        <v>2470</v>
      </c>
      <c r="T97" s="156">
        <v>314.40600000000001</v>
      </c>
      <c r="U97" s="171">
        <v>3.4E-5</v>
      </c>
      <c r="V97" s="171">
        <v>8.8131473271116895E-2</v>
      </c>
      <c r="W97" s="171">
        <v>8.7852754179195303E-2</v>
      </c>
    </row>
    <row r="98" spans="1:23">
      <c r="A98" s="2">
        <v>419</v>
      </c>
      <c r="B98" s="2">
        <v>15204</v>
      </c>
      <c r="C98" s="2" t="s">
        <v>1423</v>
      </c>
      <c r="D98" s="2" t="s">
        <v>1424</v>
      </c>
      <c r="E98" s="4" t="s">
        <v>1321</v>
      </c>
      <c r="F98" s="2" t="s">
        <v>1425</v>
      </c>
      <c r="G98" s="2" t="s">
        <v>1426</v>
      </c>
      <c r="H98" s="2" t="s">
        <v>324</v>
      </c>
      <c r="I98" s="2" t="s">
        <v>988</v>
      </c>
      <c r="J98" s="2" t="s">
        <v>30</v>
      </c>
      <c r="K98" s="2" t="s">
        <v>228</v>
      </c>
      <c r="L98" s="2" t="s">
        <v>31</v>
      </c>
      <c r="M98" s="2" t="s">
        <v>1418</v>
      </c>
      <c r="N98" s="2" t="s">
        <v>140</v>
      </c>
      <c r="O98" s="2" t="s">
        <v>34</v>
      </c>
      <c r="P98" s="157">
        <v>3001</v>
      </c>
      <c r="Q98" s="165">
        <v>1</v>
      </c>
      <c r="R98" s="182">
        <v>10530</v>
      </c>
      <c r="T98" s="156">
        <v>316.005</v>
      </c>
      <c r="U98" s="171">
        <v>5.1999999999999997E-5</v>
      </c>
      <c r="V98" s="171">
        <v>8.8579690198578406E-2</v>
      </c>
      <c r="W98" s="171">
        <v>8.8299553603801401E-2</v>
      </c>
    </row>
    <row r="99" spans="1:23">
      <c r="A99" s="2">
        <v>419</v>
      </c>
      <c r="B99" s="2">
        <v>15204</v>
      </c>
      <c r="C99" s="2" t="s">
        <v>1414</v>
      </c>
      <c r="D99" s="2" t="s">
        <v>1415</v>
      </c>
      <c r="E99" s="4" t="s">
        <v>1321</v>
      </c>
      <c r="F99" s="2" t="s">
        <v>1553</v>
      </c>
      <c r="G99" s="2" t="s">
        <v>1554</v>
      </c>
      <c r="H99" s="2" t="s">
        <v>324</v>
      </c>
      <c r="I99" s="2" t="s">
        <v>988</v>
      </c>
      <c r="J99" s="2" t="s">
        <v>30</v>
      </c>
      <c r="K99" s="2" t="s">
        <v>228</v>
      </c>
      <c r="L99" s="2" t="s">
        <v>31</v>
      </c>
      <c r="M99" s="2" t="s">
        <v>1418</v>
      </c>
      <c r="N99" s="2" t="s">
        <v>140</v>
      </c>
      <c r="O99" s="2" t="s">
        <v>34</v>
      </c>
      <c r="P99" s="157">
        <v>1395</v>
      </c>
      <c r="Q99" s="165">
        <v>1</v>
      </c>
      <c r="R99" s="182">
        <v>23280</v>
      </c>
      <c r="T99" s="156">
        <v>324.75599999999997</v>
      </c>
      <c r="U99" s="171">
        <v>6.8999999999999997E-5</v>
      </c>
      <c r="V99" s="171">
        <v>9.1032605687719495E-2</v>
      </c>
      <c r="W99" s="171">
        <v>9.0744711655646598E-2</v>
      </c>
    </row>
    <row r="100" spans="1:23">
      <c r="A100" s="2">
        <v>419</v>
      </c>
      <c r="B100" s="2">
        <v>15204</v>
      </c>
      <c r="C100" s="2" t="s">
        <v>1464</v>
      </c>
      <c r="D100" s="2" t="s">
        <v>1465</v>
      </c>
      <c r="E100" s="4" t="s">
        <v>316</v>
      </c>
      <c r="F100" s="2" t="s">
        <v>1466</v>
      </c>
      <c r="G100" s="2" t="s">
        <v>1467</v>
      </c>
      <c r="H100" s="2" t="s">
        <v>324</v>
      </c>
      <c r="I100" s="2" t="s">
        <v>988</v>
      </c>
      <c r="J100" s="2" t="s">
        <v>209</v>
      </c>
      <c r="K100" s="2" t="s">
        <v>228</v>
      </c>
      <c r="L100" s="2" t="s">
        <v>347</v>
      </c>
      <c r="M100" s="2" t="s">
        <v>740</v>
      </c>
      <c r="N100" s="2" t="s">
        <v>140</v>
      </c>
      <c r="O100" s="2" t="s">
        <v>1188</v>
      </c>
      <c r="P100" s="157">
        <v>274</v>
      </c>
      <c r="Q100" s="165">
        <v>3.71</v>
      </c>
      <c r="R100" s="182">
        <v>57682</v>
      </c>
      <c r="S100" s="160">
        <v>0.61199999999999999</v>
      </c>
      <c r="T100" s="156">
        <v>588.63199999999995</v>
      </c>
      <c r="U100" s="171">
        <v>0</v>
      </c>
      <c r="V100" s="171">
        <v>0.164999936758806</v>
      </c>
      <c r="W100" s="171">
        <v>0.16447811826611999</v>
      </c>
    </row>
    <row r="101" spans="1:23">
      <c r="A101" s="2">
        <v>419</v>
      </c>
      <c r="B101" s="2">
        <v>15204</v>
      </c>
      <c r="C101" s="2" t="s">
        <v>1480</v>
      </c>
      <c r="D101" s="2" t="s">
        <v>1439</v>
      </c>
      <c r="E101" s="4" t="s">
        <v>316</v>
      </c>
      <c r="F101" s="2" t="s">
        <v>1540</v>
      </c>
      <c r="G101" s="2" t="s">
        <v>1541</v>
      </c>
      <c r="H101" s="2" t="s">
        <v>324</v>
      </c>
      <c r="I101" s="2" t="s">
        <v>988</v>
      </c>
      <c r="J101" s="2" t="s">
        <v>209</v>
      </c>
      <c r="K101" s="2" t="s">
        <v>228</v>
      </c>
      <c r="L101" s="2" t="s">
        <v>383</v>
      </c>
      <c r="M101" s="2" t="s">
        <v>740</v>
      </c>
      <c r="N101" s="2" t="s">
        <v>140</v>
      </c>
      <c r="O101" s="2" t="s">
        <v>1188</v>
      </c>
      <c r="P101" s="157">
        <v>371</v>
      </c>
      <c r="Q101" s="165">
        <v>3.71</v>
      </c>
      <c r="R101" s="182">
        <v>40841</v>
      </c>
      <c r="T101" s="156">
        <v>562.14</v>
      </c>
      <c r="U101" s="171">
        <v>4.1999999999999998E-5</v>
      </c>
      <c r="V101" s="171">
        <v>0.15757378858471099</v>
      </c>
      <c r="W101" s="171">
        <v>0.15707545556433999</v>
      </c>
    </row>
    <row r="102" spans="1:23">
      <c r="A102" s="2">
        <v>419</v>
      </c>
      <c r="B102" s="2">
        <v>15204</v>
      </c>
      <c r="C102" s="2" t="s">
        <v>1365</v>
      </c>
      <c r="D102" s="2" t="s">
        <v>1366</v>
      </c>
      <c r="E102" s="4" t="s">
        <v>316</v>
      </c>
      <c r="F102" s="2" t="s">
        <v>1542</v>
      </c>
      <c r="G102" s="2" t="s">
        <v>1543</v>
      </c>
      <c r="H102" s="2" t="s">
        <v>324</v>
      </c>
      <c r="I102" s="2" t="s">
        <v>988</v>
      </c>
      <c r="J102" s="2" t="s">
        <v>209</v>
      </c>
      <c r="K102" s="2" t="s">
        <v>228</v>
      </c>
      <c r="L102" s="2" t="s">
        <v>383</v>
      </c>
      <c r="M102" s="2" t="s">
        <v>740</v>
      </c>
      <c r="N102" s="2" t="s">
        <v>140</v>
      </c>
      <c r="O102" s="2" t="s">
        <v>1188</v>
      </c>
      <c r="P102" s="157">
        <v>132</v>
      </c>
      <c r="Q102" s="165">
        <v>3.71</v>
      </c>
      <c r="R102" s="182">
        <v>112716</v>
      </c>
      <c r="T102" s="156">
        <v>551.99300000000005</v>
      </c>
      <c r="U102" s="171">
        <v>6.0000000000000002E-6</v>
      </c>
      <c r="V102" s="171">
        <v>0.154729527608123</v>
      </c>
      <c r="W102" s="171">
        <v>0.15424018966983999</v>
      </c>
    </row>
    <row r="103" spans="1:23">
      <c r="A103" s="2">
        <v>419</v>
      </c>
      <c r="B103" s="2">
        <v>15204</v>
      </c>
      <c r="C103" s="2" t="s">
        <v>1509</v>
      </c>
      <c r="D103" s="2" t="s">
        <v>1510</v>
      </c>
      <c r="E103" s="4" t="s">
        <v>316</v>
      </c>
      <c r="F103" s="2" t="s">
        <v>1511</v>
      </c>
      <c r="G103" s="2" t="s">
        <v>1512</v>
      </c>
      <c r="H103" s="2" t="s">
        <v>324</v>
      </c>
      <c r="I103" s="2" t="s">
        <v>988</v>
      </c>
      <c r="J103" s="2" t="s">
        <v>209</v>
      </c>
      <c r="K103" s="2" t="s">
        <v>228</v>
      </c>
      <c r="L103" s="2" t="s">
        <v>347</v>
      </c>
      <c r="M103" s="2" t="s">
        <v>740</v>
      </c>
      <c r="N103" s="2" t="s">
        <v>140</v>
      </c>
      <c r="O103" s="2" t="s">
        <v>1188</v>
      </c>
      <c r="P103" s="157">
        <v>296</v>
      </c>
      <c r="Q103" s="165">
        <v>3.71</v>
      </c>
      <c r="R103" s="182">
        <v>52767</v>
      </c>
      <c r="S103" s="160">
        <v>0.48499999999999999</v>
      </c>
      <c r="T103" s="156">
        <v>581.26599999999996</v>
      </c>
      <c r="U103" s="171">
        <v>0</v>
      </c>
      <c r="V103" s="171">
        <v>0.16293499573974499</v>
      </c>
      <c r="W103" s="171">
        <v>0.16241970770053099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topLeftCell="E1" zoomScale="70" zoomScaleNormal="70" workbookViewId="0">
      <selection activeCell="Q7" activeCellId="1" sqref="A1:W1048574"/>
    </sheetView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1119</v>
      </c>
      <c r="G1" s="22" t="s">
        <v>4</v>
      </c>
      <c r="H1" s="22" t="s">
        <v>150</v>
      </c>
      <c r="I1" s="22" t="s">
        <v>5</v>
      </c>
      <c r="J1" s="22" t="s">
        <v>6</v>
      </c>
      <c r="K1" s="22" t="s">
        <v>7</v>
      </c>
      <c r="L1" s="22" t="s">
        <v>329</v>
      </c>
      <c r="M1" s="22" t="s">
        <v>8</v>
      </c>
      <c r="N1" s="22" t="s">
        <v>574</v>
      </c>
      <c r="O1" s="22" t="s">
        <v>126</v>
      </c>
      <c r="P1" s="22" t="s">
        <v>11</v>
      </c>
      <c r="Q1" s="22" t="s">
        <v>17</v>
      </c>
      <c r="R1" s="164" t="s">
        <v>18</v>
      </c>
      <c r="S1" s="175" t="s">
        <v>19</v>
      </c>
      <c r="T1" s="22" t="s">
        <v>20</v>
      </c>
      <c r="U1" s="170" t="s">
        <v>23</v>
      </c>
      <c r="V1" s="170" t="s">
        <v>24</v>
      </c>
      <c r="W1" s="170" t="s">
        <v>25</v>
      </c>
    </row>
    <row r="2" spans="1:23">
      <c r="A2" s="21">
        <v>419</v>
      </c>
      <c r="B2" s="21">
        <v>419</v>
      </c>
      <c r="C2" s="21" t="s">
        <v>1360</v>
      </c>
      <c r="D2" s="21" t="s">
        <v>1361</v>
      </c>
      <c r="E2" s="21" t="s">
        <v>1321</v>
      </c>
      <c r="F2" s="21" t="s">
        <v>1362</v>
      </c>
      <c r="G2" s="21" t="s">
        <v>1363</v>
      </c>
      <c r="H2" s="21" t="s">
        <v>324</v>
      </c>
      <c r="I2" s="21" t="s">
        <v>937</v>
      </c>
      <c r="J2" s="21" t="s">
        <v>30</v>
      </c>
      <c r="K2" s="21" t="s">
        <v>30</v>
      </c>
      <c r="L2" s="4" t="s">
        <v>330</v>
      </c>
      <c r="M2" s="21" t="s">
        <v>31</v>
      </c>
      <c r="N2" s="23" t="s">
        <v>1364</v>
      </c>
      <c r="O2" s="23" t="s">
        <v>140</v>
      </c>
      <c r="P2" s="21" t="s">
        <v>34</v>
      </c>
      <c r="Q2" s="159">
        <v>1716056.34</v>
      </c>
      <c r="R2" s="183">
        <v>1</v>
      </c>
      <c r="S2" s="184">
        <v>72.400000000000006</v>
      </c>
      <c r="T2" s="159">
        <v>1242.425</v>
      </c>
      <c r="U2" s="185">
        <v>4.6860000000000001E-3</v>
      </c>
      <c r="V2" s="185">
        <v>2.8654725746802799E-2</v>
      </c>
      <c r="W2" s="185">
        <v>1.07167356384652E-3</v>
      </c>
    </row>
    <row r="3" spans="1:23">
      <c r="A3" s="21">
        <v>419</v>
      </c>
      <c r="B3" s="21">
        <v>419</v>
      </c>
      <c r="C3" s="21" t="s">
        <v>1365</v>
      </c>
      <c r="D3" s="21" t="s">
        <v>1366</v>
      </c>
      <c r="E3" s="21" t="s">
        <v>316</v>
      </c>
      <c r="F3" s="21" t="s">
        <v>1367</v>
      </c>
      <c r="G3" s="21" t="s">
        <v>1368</v>
      </c>
      <c r="H3" s="21" t="s">
        <v>324</v>
      </c>
      <c r="I3" s="21" t="s">
        <v>993</v>
      </c>
      <c r="J3" s="21" t="s">
        <v>209</v>
      </c>
      <c r="K3" s="21" t="s">
        <v>257</v>
      </c>
      <c r="L3" s="4" t="s">
        <v>330</v>
      </c>
      <c r="M3" s="21" t="s">
        <v>317</v>
      </c>
      <c r="N3" s="23" t="s">
        <v>737</v>
      </c>
      <c r="O3" s="23" t="s">
        <v>140</v>
      </c>
      <c r="P3" s="21" t="s">
        <v>1188</v>
      </c>
      <c r="Q3" s="159">
        <v>131590</v>
      </c>
      <c r="R3" s="183">
        <v>3.71</v>
      </c>
      <c r="S3" s="184">
        <v>1313.15</v>
      </c>
      <c r="T3" s="159">
        <v>6410.7839999999997</v>
      </c>
      <c r="U3" s="185">
        <v>2.4128E-2</v>
      </c>
      <c r="V3" s="185">
        <v>0.147855431292086</v>
      </c>
      <c r="W3" s="185">
        <v>5.5297251276094396E-3</v>
      </c>
    </row>
    <row r="4" spans="1:23">
      <c r="A4" s="21">
        <v>419</v>
      </c>
      <c r="B4" s="21">
        <v>419</v>
      </c>
      <c r="C4" s="21" t="s">
        <v>1369</v>
      </c>
      <c r="D4" s="21" t="s">
        <v>1370</v>
      </c>
      <c r="E4" s="21" t="s">
        <v>316</v>
      </c>
      <c r="F4" s="21" t="s">
        <v>1371</v>
      </c>
      <c r="G4" s="21" t="s">
        <v>1372</v>
      </c>
      <c r="H4" s="21" t="s">
        <v>324</v>
      </c>
      <c r="I4" s="21" t="s">
        <v>937</v>
      </c>
      <c r="J4" s="21" t="s">
        <v>209</v>
      </c>
      <c r="K4" s="21" t="s">
        <v>248</v>
      </c>
      <c r="L4" s="4" t="s">
        <v>330</v>
      </c>
      <c r="M4" s="21" t="s">
        <v>317</v>
      </c>
      <c r="N4" s="23" t="s">
        <v>740</v>
      </c>
      <c r="O4" s="23" t="s">
        <v>140</v>
      </c>
      <c r="P4" s="21" t="s">
        <v>1188</v>
      </c>
      <c r="Q4" s="159">
        <v>7666.22</v>
      </c>
      <c r="R4" s="183">
        <v>3.71</v>
      </c>
      <c r="S4" s="184">
        <v>29150</v>
      </c>
      <c r="T4" s="159">
        <v>8290.7489999999998</v>
      </c>
      <c r="U4" s="185">
        <v>8.9899999999999995E-4</v>
      </c>
      <c r="V4" s="185">
        <v>0.19121409167193801</v>
      </c>
      <c r="W4" s="185">
        <v>7.1513190839945203E-3</v>
      </c>
    </row>
    <row r="5" spans="1:23">
      <c r="A5" s="21">
        <v>419</v>
      </c>
      <c r="B5" s="21">
        <v>419</v>
      </c>
      <c r="C5" s="21" t="s">
        <v>1373</v>
      </c>
      <c r="D5" s="21" t="s">
        <v>1374</v>
      </c>
      <c r="E5" s="21" t="s">
        <v>316</v>
      </c>
      <c r="F5" s="21" t="s">
        <v>1375</v>
      </c>
      <c r="G5" s="21" t="s">
        <v>1376</v>
      </c>
      <c r="H5" s="21" t="s">
        <v>324</v>
      </c>
      <c r="I5" s="21" t="s">
        <v>937</v>
      </c>
      <c r="J5" s="21" t="s">
        <v>209</v>
      </c>
      <c r="K5" s="21" t="s">
        <v>300</v>
      </c>
      <c r="L5" s="4" t="s">
        <v>330</v>
      </c>
      <c r="M5" s="21" t="s">
        <v>317</v>
      </c>
      <c r="N5" s="23" t="s">
        <v>740</v>
      </c>
      <c r="O5" s="23" t="s">
        <v>140</v>
      </c>
      <c r="P5" s="21" t="s">
        <v>1190</v>
      </c>
      <c r="Q5" s="159">
        <v>26809.68</v>
      </c>
      <c r="R5" s="183">
        <v>4.1524000000000001</v>
      </c>
      <c r="S5" s="184">
        <v>4933</v>
      </c>
      <c r="T5" s="159">
        <v>5491.6379999999999</v>
      </c>
      <c r="U5" s="185">
        <v>2.1000000000000001E-4</v>
      </c>
      <c r="V5" s="185">
        <v>0.12665667304477199</v>
      </c>
      <c r="W5" s="185">
        <v>4.7369013190425796E-3</v>
      </c>
    </row>
    <row r="6" spans="1:23">
      <c r="A6" s="21">
        <v>419</v>
      </c>
      <c r="B6" s="21">
        <v>419</v>
      </c>
      <c r="C6" s="21" t="s">
        <v>1377</v>
      </c>
      <c r="D6" s="21" t="s">
        <v>1378</v>
      </c>
      <c r="E6" s="21" t="s">
        <v>316</v>
      </c>
      <c r="F6" s="21" t="s">
        <v>1379</v>
      </c>
      <c r="G6" s="21" t="s">
        <v>1380</v>
      </c>
      <c r="H6" s="21" t="s">
        <v>324</v>
      </c>
      <c r="I6" s="21" t="s">
        <v>937</v>
      </c>
      <c r="J6" s="21" t="s">
        <v>209</v>
      </c>
      <c r="K6" s="21" t="s">
        <v>300</v>
      </c>
      <c r="L6" s="4" t="s">
        <v>330</v>
      </c>
      <c r="M6" s="21" t="s">
        <v>349</v>
      </c>
      <c r="N6" s="23" t="s">
        <v>740</v>
      </c>
      <c r="O6" s="23" t="s">
        <v>140</v>
      </c>
      <c r="P6" s="21" t="s">
        <v>1188</v>
      </c>
      <c r="Q6" s="159">
        <v>4450</v>
      </c>
      <c r="R6" s="183">
        <v>3.71</v>
      </c>
      <c r="S6" s="184">
        <v>12725</v>
      </c>
      <c r="T6" s="159">
        <v>2100.8339999999998</v>
      </c>
      <c r="U6" s="185">
        <v>4.0099999999999999E-4</v>
      </c>
      <c r="V6" s="185">
        <v>4.8452686234605503E-2</v>
      </c>
      <c r="W6" s="185">
        <v>1.8121081804724801E-3</v>
      </c>
    </row>
    <row r="7" spans="1:23">
      <c r="A7" s="21">
        <v>419</v>
      </c>
      <c r="B7" s="21">
        <v>419</v>
      </c>
      <c r="C7" s="21" t="s">
        <v>1365</v>
      </c>
      <c r="D7" s="21" t="s">
        <v>1366</v>
      </c>
      <c r="E7" s="21" t="s">
        <v>316</v>
      </c>
      <c r="F7" s="21" t="s">
        <v>1381</v>
      </c>
      <c r="G7" s="21" t="s">
        <v>1382</v>
      </c>
      <c r="H7" s="21" t="s">
        <v>324</v>
      </c>
      <c r="I7" s="21" t="s">
        <v>993</v>
      </c>
      <c r="J7" s="21" t="s">
        <v>209</v>
      </c>
      <c r="K7" s="21" t="s">
        <v>300</v>
      </c>
      <c r="L7" s="4" t="s">
        <v>330</v>
      </c>
      <c r="M7" s="21" t="s">
        <v>317</v>
      </c>
      <c r="N7" s="23" t="s">
        <v>737</v>
      </c>
      <c r="O7" s="23" t="s">
        <v>140</v>
      </c>
      <c r="P7" s="21" t="s">
        <v>1188</v>
      </c>
      <c r="Q7" s="159">
        <v>0.18</v>
      </c>
      <c r="R7" s="183">
        <v>3.71</v>
      </c>
      <c r="S7" s="184">
        <v>18382</v>
      </c>
      <c r="T7" s="159">
        <v>0.123</v>
      </c>
      <c r="U7" s="185">
        <v>0</v>
      </c>
      <c r="V7" s="185">
        <v>2.83116593639193E-6</v>
      </c>
      <c r="W7" s="185">
        <v>1.05884303891219E-7</v>
      </c>
    </row>
    <row r="8" spans="1:23">
      <c r="A8" s="21">
        <v>419</v>
      </c>
      <c r="B8" s="21">
        <v>419</v>
      </c>
      <c r="C8" s="21" t="s">
        <v>1383</v>
      </c>
      <c r="D8" s="21" t="s">
        <v>1384</v>
      </c>
      <c r="E8" s="21" t="s">
        <v>316</v>
      </c>
      <c r="F8" s="21" t="s">
        <v>1385</v>
      </c>
      <c r="G8" s="21" t="s">
        <v>1386</v>
      </c>
      <c r="H8" s="21" t="s">
        <v>324</v>
      </c>
      <c r="I8" s="21" t="s">
        <v>937</v>
      </c>
      <c r="J8" s="21" t="s">
        <v>209</v>
      </c>
      <c r="K8" s="21" t="s">
        <v>300</v>
      </c>
      <c r="L8" s="4" t="s">
        <v>330</v>
      </c>
      <c r="M8" s="21" t="s">
        <v>317</v>
      </c>
      <c r="N8" s="23" t="s">
        <v>740</v>
      </c>
      <c r="O8" s="23" t="s">
        <v>140</v>
      </c>
      <c r="P8" s="21" t="s">
        <v>1188</v>
      </c>
      <c r="Q8" s="159">
        <v>178080.43</v>
      </c>
      <c r="R8" s="183">
        <v>3.71</v>
      </c>
      <c r="S8" s="184">
        <v>1090.5999999999999</v>
      </c>
      <c r="T8" s="159">
        <v>7205.3590000000004</v>
      </c>
      <c r="U8" s="185">
        <v>1.4095999999999999E-2</v>
      </c>
      <c r="V8" s="185">
        <v>0.16618114482897001</v>
      </c>
      <c r="W8" s="185">
        <v>6.2150983853972702E-3</v>
      </c>
    </row>
    <row r="9" spans="1:23">
      <c r="A9" s="21">
        <v>419</v>
      </c>
      <c r="B9" s="21">
        <v>419</v>
      </c>
      <c r="C9" s="21" t="s">
        <v>1387</v>
      </c>
      <c r="D9" s="21" t="s">
        <v>1388</v>
      </c>
      <c r="E9" s="21" t="s">
        <v>316</v>
      </c>
      <c r="F9" s="21" t="s">
        <v>1389</v>
      </c>
      <c r="G9" s="21" t="s">
        <v>1390</v>
      </c>
      <c r="H9" s="21" t="s">
        <v>324</v>
      </c>
      <c r="I9" s="21" t="s">
        <v>937</v>
      </c>
      <c r="J9" s="21" t="s">
        <v>209</v>
      </c>
      <c r="K9" s="21" t="s">
        <v>248</v>
      </c>
      <c r="L9" s="4" t="s">
        <v>330</v>
      </c>
      <c r="M9" s="21" t="s">
        <v>317</v>
      </c>
      <c r="N9" s="23" t="s">
        <v>740</v>
      </c>
      <c r="O9" s="23" t="s">
        <v>140</v>
      </c>
      <c r="P9" s="21" t="s">
        <v>1188</v>
      </c>
      <c r="Q9" s="159">
        <v>92000</v>
      </c>
      <c r="R9" s="183">
        <v>3.71</v>
      </c>
      <c r="S9" s="184">
        <v>1608.31</v>
      </c>
      <c r="T9" s="159">
        <v>5489.4840000000004</v>
      </c>
      <c r="U9" s="185">
        <v>0</v>
      </c>
      <c r="V9" s="185">
        <v>0.126606979296952</v>
      </c>
      <c r="W9" s="185">
        <v>4.7350427957296003E-3</v>
      </c>
    </row>
    <row r="10" spans="1:23">
      <c r="A10" s="21">
        <v>419</v>
      </c>
      <c r="B10" s="21">
        <v>419</v>
      </c>
      <c r="C10" s="21" t="s">
        <v>1391</v>
      </c>
      <c r="D10" s="21" t="s">
        <v>1392</v>
      </c>
      <c r="E10" s="21" t="s">
        <v>316</v>
      </c>
      <c r="F10" s="21" t="s">
        <v>1393</v>
      </c>
      <c r="G10" s="21" t="s">
        <v>1394</v>
      </c>
      <c r="H10" s="21" t="s">
        <v>324</v>
      </c>
      <c r="I10" s="21" t="s">
        <v>937</v>
      </c>
      <c r="J10" s="21" t="s">
        <v>209</v>
      </c>
      <c r="K10" s="21" t="s">
        <v>272</v>
      </c>
      <c r="L10" s="4" t="s">
        <v>330</v>
      </c>
      <c r="M10" s="21" t="s">
        <v>317</v>
      </c>
      <c r="N10" s="23" t="s">
        <v>740</v>
      </c>
      <c r="O10" s="23" t="s">
        <v>140</v>
      </c>
      <c r="P10" s="21" t="s">
        <v>1188</v>
      </c>
      <c r="Q10" s="159">
        <v>0.28000000000000003</v>
      </c>
      <c r="R10" s="183">
        <v>3.71</v>
      </c>
      <c r="S10" s="184">
        <v>11001.88</v>
      </c>
      <c r="T10" s="159">
        <v>0.114</v>
      </c>
      <c r="U10" s="185">
        <v>0</v>
      </c>
      <c r="V10" s="185">
        <v>2.6358761015715999E-6</v>
      </c>
      <c r="W10" s="185">
        <v>9.8580553888018894E-8</v>
      </c>
    </row>
    <row r="11" spans="1:23">
      <c r="A11" s="21">
        <v>419</v>
      </c>
      <c r="B11" s="21">
        <v>419</v>
      </c>
      <c r="C11" s="21" t="s">
        <v>1395</v>
      </c>
      <c r="D11" s="21" t="s">
        <v>1396</v>
      </c>
      <c r="E11" s="21" t="s">
        <v>316</v>
      </c>
      <c r="F11" s="21" t="s">
        <v>1397</v>
      </c>
      <c r="G11" s="21" t="s">
        <v>1398</v>
      </c>
      <c r="H11" s="21" t="s">
        <v>324</v>
      </c>
      <c r="I11" s="21" t="s">
        <v>937</v>
      </c>
      <c r="J11" s="21" t="s">
        <v>209</v>
      </c>
      <c r="K11" s="21" t="s">
        <v>300</v>
      </c>
      <c r="L11" s="4" t="s">
        <v>330</v>
      </c>
      <c r="M11" s="21" t="s">
        <v>317</v>
      </c>
      <c r="N11" s="23" t="s">
        <v>740</v>
      </c>
      <c r="O11" s="23" t="s">
        <v>140</v>
      </c>
      <c r="P11" s="21" t="s">
        <v>1190</v>
      </c>
      <c r="Q11" s="159">
        <v>3337.15</v>
      </c>
      <c r="R11" s="183">
        <v>4.1524000000000001</v>
      </c>
      <c r="S11" s="184">
        <v>19588</v>
      </c>
      <c r="T11" s="159">
        <v>2714.3449999999998</v>
      </c>
      <c r="U11" s="185">
        <v>1.918E-3</v>
      </c>
      <c r="V11" s="185">
        <v>6.2602424569292603E-2</v>
      </c>
      <c r="W11" s="185">
        <v>2.3413018863421499E-3</v>
      </c>
    </row>
    <row r="12" spans="1:23">
      <c r="A12" s="21">
        <v>419</v>
      </c>
      <c r="B12" s="21">
        <v>419</v>
      </c>
      <c r="C12" s="21" t="s">
        <v>1399</v>
      </c>
      <c r="D12" s="21" t="s">
        <v>1400</v>
      </c>
      <c r="E12" s="21" t="s">
        <v>316</v>
      </c>
      <c r="F12" s="21" t="s">
        <v>1401</v>
      </c>
      <c r="G12" s="21" t="s">
        <v>1402</v>
      </c>
      <c r="H12" s="21" t="s">
        <v>324</v>
      </c>
      <c r="I12" s="21" t="s">
        <v>993</v>
      </c>
      <c r="J12" s="21" t="s">
        <v>209</v>
      </c>
      <c r="K12" s="21" t="s">
        <v>300</v>
      </c>
      <c r="L12" s="4" t="s">
        <v>330</v>
      </c>
      <c r="M12" s="21" t="s">
        <v>317</v>
      </c>
      <c r="N12" s="23" t="s">
        <v>737</v>
      </c>
      <c r="O12" s="23" t="s">
        <v>140</v>
      </c>
      <c r="P12" s="21" t="s">
        <v>1188</v>
      </c>
      <c r="Q12" s="159">
        <v>4910.54</v>
      </c>
      <c r="R12" s="183">
        <v>3.71</v>
      </c>
      <c r="S12" s="184">
        <v>24221</v>
      </c>
      <c r="T12" s="159">
        <v>4412.607</v>
      </c>
      <c r="U12" s="185">
        <v>2.5309999999999998E-3</v>
      </c>
      <c r="V12" s="185">
        <v>0.101770376272544</v>
      </c>
      <c r="W12" s="185">
        <v>3.80616526564267E-3</v>
      </c>
    </row>
    <row r="13" spans="1:23">
      <c r="A13" s="21">
        <v>419</v>
      </c>
      <c r="B13" s="21">
        <v>1472</v>
      </c>
      <c r="C13" s="21" t="s">
        <v>1365</v>
      </c>
      <c r="D13" s="21" t="s">
        <v>1366</v>
      </c>
      <c r="E13" s="21" t="s">
        <v>316</v>
      </c>
      <c r="F13" s="21" t="s">
        <v>1367</v>
      </c>
      <c r="G13" s="21" t="s">
        <v>1368</v>
      </c>
      <c r="H13" s="21" t="s">
        <v>324</v>
      </c>
      <c r="I13" s="21" t="s">
        <v>993</v>
      </c>
      <c r="J13" s="21" t="s">
        <v>209</v>
      </c>
      <c r="K13" s="21" t="s">
        <v>257</v>
      </c>
      <c r="L13" s="4" t="s">
        <v>330</v>
      </c>
      <c r="M13" s="21" t="s">
        <v>317</v>
      </c>
      <c r="N13" s="23" t="s">
        <v>737</v>
      </c>
      <c r="O13" s="23" t="s">
        <v>140</v>
      </c>
      <c r="P13" s="21" t="s">
        <v>1188</v>
      </c>
      <c r="Q13" s="159">
        <v>2782.39</v>
      </c>
      <c r="R13" s="183">
        <v>3.71</v>
      </c>
      <c r="S13" s="184">
        <v>1313.15</v>
      </c>
      <c r="T13" s="159">
        <v>135.55199999999999</v>
      </c>
      <c r="U13" s="185">
        <v>5.1000000000000004E-4</v>
      </c>
      <c r="V13" s="185">
        <v>1</v>
      </c>
      <c r="W13" s="185">
        <v>1.2991451870740399E-2</v>
      </c>
    </row>
    <row r="14" spans="1:23">
      <c r="A14" s="21">
        <v>419</v>
      </c>
      <c r="B14" s="21">
        <v>12435</v>
      </c>
      <c r="C14" s="21" t="s">
        <v>1373</v>
      </c>
      <c r="D14" s="21" t="s">
        <v>1374</v>
      </c>
      <c r="E14" s="21" t="s">
        <v>316</v>
      </c>
      <c r="F14" s="21" t="s">
        <v>1375</v>
      </c>
      <c r="G14" s="21" t="s">
        <v>1376</v>
      </c>
      <c r="H14" s="21" t="s">
        <v>324</v>
      </c>
      <c r="I14" s="21" t="s">
        <v>937</v>
      </c>
      <c r="J14" s="21" t="s">
        <v>209</v>
      </c>
      <c r="K14" s="21" t="s">
        <v>300</v>
      </c>
      <c r="L14" s="4" t="s">
        <v>330</v>
      </c>
      <c r="M14" s="21" t="s">
        <v>317</v>
      </c>
      <c r="N14" s="23" t="s">
        <v>740</v>
      </c>
      <c r="O14" s="23" t="s">
        <v>140</v>
      </c>
      <c r="P14" s="21" t="s">
        <v>1190</v>
      </c>
      <c r="Q14" s="159">
        <v>110.73</v>
      </c>
      <c r="R14" s="183">
        <v>4.1524000000000001</v>
      </c>
      <c r="S14" s="184">
        <v>4933</v>
      </c>
      <c r="T14" s="159">
        <v>22.681999999999999</v>
      </c>
      <c r="U14" s="185">
        <v>9.9999999999999995E-7</v>
      </c>
      <c r="V14" s="185">
        <v>0.116838525962525</v>
      </c>
      <c r="W14" s="185">
        <v>1.8769729246018499E-3</v>
      </c>
    </row>
    <row r="15" spans="1:23">
      <c r="A15" s="21">
        <v>419</v>
      </c>
      <c r="B15" s="21">
        <v>12435</v>
      </c>
      <c r="C15" s="21" t="s">
        <v>1377</v>
      </c>
      <c r="D15" s="21" t="s">
        <v>1378</v>
      </c>
      <c r="E15" s="21" t="s">
        <v>316</v>
      </c>
      <c r="F15" s="21" t="s">
        <v>1379</v>
      </c>
      <c r="G15" s="21" t="s">
        <v>1380</v>
      </c>
      <c r="H15" s="21" t="s">
        <v>324</v>
      </c>
      <c r="I15" s="21" t="s">
        <v>937</v>
      </c>
      <c r="J15" s="21" t="s">
        <v>209</v>
      </c>
      <c r="K15" s="21" t="s">
        <v>300</v>
      </c>
      <c r="L15" s="4" t="s">
        <v>330</v>
      </c>
      <c r="M15" s="21" t="s">
        <v>349</v>
      </c>
      <c r="N15" s="23" t="s">
        <v>740</v>
      </c>
      <c r="O15" s="23" t="s">
        <v>140</v>
      </c>
      <c r="P15" s="21" t="s">
        <v>1188</v>
      </c>
      <c r="Q15" s="159">
        <v>90</v>
      </c>
      <c r="R15" s="183">
        <v>3.71</v>
      </c>
      <c r="S15" s="184">
        <v>12725</v>
      </c>
      <c r="T15" s="159">
        <v>42.488999999999997</v>
      </c>
      <c r="U15" s="185">
        <v>7.9999999999999996E-6</v>
      </c>
      <c r="V15" s="185">
        <v>0.21886921566067499</v>
      </c>
      <c r="W15" s="185">
        <v>3.5160627750104802E-3</v>
      </c>
    </row>
    <row r="16" spans="1:23">
      <c r="A16" s="21">
        <v>419</v>
      </c>
      <c r="B16" s="21">
        <v>12435</v>
      </c>
      <c r="C16" s="21" t="s">
        <v>1383</v>
      </c>
      <c r="D16" s="21" t="s">
        <v>1384</v>
      </c>
      <c r="E16" s="21" t="s">
        <v>316</v>
      </c>
      <c r="F16" s="21" t="s">
        <v>1385</v>
      </c>
      <c r="G16" s="21" t="s">
        <v>1386</v>
      </c>
      <c r="H16" s="21" t="s">
        <v>324</v>
      </c>
      <c r="I16" s="21" t="s">
        <v>937</v>
      </c>
      <c r="J16" s="21" t="s">
        <v>209</v>
      </c>
      <c r="K16" s="21" t="s">
        <v>300</v>
      </c>
      <c r="L16" s="4" t="s">
        <v>330</v>
      </c>
      <c r="M16" s="21" t="s">
        <v>317</v>
      </c>
      <c r="N16" s="23" t="s">
        <v>740</v>
      </c>
      <c r="O16" s="23" t="s">
        <v>140</v>
      </c>
      <c r="P16" s="21" t="s">
        <v>1188</v>
      </c>
      <c r="Q16" s="159">
        <v>3187.2</v>
      </c>
      <c r="R16" s="183">
        <v>3.71</v>
      </c>
      <c r="S16" s="184">
        <v>1090.5999999999999</v>
      </c>
      <c r="T16" s="159">
        <v>128.958</v>
      </c>
      <c r="U16" s="185">
        <v>2.52E-4</v>
      </c>
      <c r="V16" s="185">
        <v>0.66429225837679995</v>
      </c>
      <c r="W16" s="185">
        <v>1.06716391081122E-2</v>
      </c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6</v>
      </c>
      <c r="J1" s="22" t="s">
        <v>7</v>
      </c>
      <c r="K1" s="22" t="s">
        <v>329</v>
      </c>
      <c r="L1" s="22" t="s">
        <v>8</v>
      </c>
      <c r="M1" s="22" t="s">
        <v>1125</v>
      </c>
      <c r="N1" s="22" t="s">
        <v>151</v>
      </c>
      <c r="O1" s="22" t="s">
        <v>1126</v>
      </c>
      <c r="P1" s="22" t="s">
        <v>126</v>
      </c>
      <c r="Q1" s="22" t="s">
        <v>11</v>
      </c>
      <c r="R1" s="175" t="s">
        <v>1127</v>
      </c>
      <c r="S1" s="22" t="s">
        <v>1128</v>
      </c>
      <c r="T1" s="22" t="s">
        <v>17</v>
      </c>
      <c r="U1" s="164" t="s">
        <v>18</v>
      </c>
      <c r="V1" s="175" t="s">
        <v>19</v>
      </c>
      <c r="W1" s="22" t="s">
        <v>20</v>
      </c>
      <c r="X1" s="170" t="s">
        <v>24</v>
      </c>
      <c r="Y1" s="170" t="s">
        <v>25</v>
      </c>
    </row>
    <row r="2" spans="1:25">
      <c r="A2" s="30">
        <v>419</v>
      </c>
      <c r="B2" s="23">
        <v>419</v>
      </c>
      <c r="C2" s="23" t="s">
        <v>1745</v>
      </c>
      <c r="D2" s="23" t="s">
        <v>1746</v>
      </c>
      <c r="E2" s="21" t="s">
        <v>1321</v>
      </c>
      <c r="F2" s="23" t="s">
        <v>2437</v>
      </c>
      <c r="G2" s="23" t="s">
        <v>2438</v>
      </c>
      <c r="H2" s="21" t="s">
        <v>324</v>
      </c>
      <c r="I2" s="21" t="s">
        <v>30</v>
      </c>
      <c r="J2" s="21" t="s">
        <v>30</v>
      </c>
      <c r="K2" s="23" t="s">
        <v>330</v>
      </c>
      <c r="L2" s="21" t="s">
        <v>31</v>
      </c>
      <c r="M2" s="23" t="s">
        <v>1750</v>
      </c>
      <c r="N2" s="23" t="s">
        <v>467</v>
      </c>
      <c r="O2" s="23" t="s">
        <v>2280</v>
      </c>
      <c r="P2" s="23" t="s">
        <v>140</v>
      </c>
      <c r="Q2" s="21" t="s">
        <v>34</v>
      </c>
      <c r="R2" s="184">
        <v>550</v>
      </c>
      <c r="S2" s="159">
        <v>0</v>
      </c>
      <c r="T2" s="158">
        <v>62785</v>
      </c>
      <c r="U2" s="180">
        <v>1</v>
      </c>
      <c r="V2" s="181">
        <v>5.6</v>
      </c>
      <c r="W2" s="158">
        <v>3.516</v>
      </c>
      <c r="X2" s="179">
        <v>2.0935447647060498E-2</v>
      </c>
      <c r="Y2" s="179">
        <v>3.0327480692465598E-6</v>
      </c>
    </row>
    <row r="3" spans="1:25">
      <c r="A3" s="23">
        <v>419</v>
      </c>
      <c r="B3" s="23">
        <v>419</v>
      </c>
      <c r="C3" s="23" t="s">
        <v>1607</v>
      </c>
      <c r="D3" s="23" t="s">
        <v>1608</v>
      </c>
      <c r="E3" s="21" t="s">
        <v>1321</v>
      </c>
      <c r="F3" s="23" t="s">
        <v>2439</v>
      </c>
      <c r="G3" s="23" t="s">
        <v>2440</v>
      </c>
      <c r="H3" s="21" t="s">
        <v>324</v>
      </c>
      <c r="I3" s="21" t="s">
        <v>209</v>
      </c>
      <c r="J3" s="21" t="s">
        <v>30</v>
      </c>
      <c r="K3" s="23" t="s">
        <v>330</v>
      </c>
      <c r="L3" s="21" t="s">
        <v>31</v>
      </c>
      <c r="M3" s="23" t="s">
        <v>1609</v>
      </c>
      <c r="N3" s="23" t="s">
        <v>442</v>
      </c>
      <c r="O3" s="23" t="s">
        <v>2441</v>
      </c>
      <c r="P3" s="23" t="s">
        <v>140</v>
      </c>
      <c r="Q3" s="21" t="s">
        <v>34</v>
      </c>
      <c r="R3" s="184">
        <v>285</v>
      </c>
      <c r="S3" s="159">
        <v>0</v>
      </c>
      <c r="T3" s="158">
        <v>185350</v>
      </c>
      <c r="U3" s="180">
        <v>1</v>
      </c>
      <c r="V3" s="181">
        <v>52.1</v>
      </c>
      <c r="W3" s="158">
        <v>96.566999999999993</v>
      </c>
      <c r="X3" s="179">
        <v>0.57500105244097499</v>
      </c>
      <c r="Y3" s="179">
        <v>8.3295726989145595E-5</v>
      </c>
    </row>
    <row r="4" spans="1:25">
      <c r="A4" s="23">
        <v>419</v>
      </c>
      <c r="B4" s="23">
        <v>419</v>
      </c>
      <c r="C4" s="23" t="s">
        <v>2442</v>
      </c>
      <c r="D4" s="23" t="s">
        <v>2443</v>
      </c>
      <c r="E4" s="21" t="s">
        <v>1321</v>
      </c>
      <c r="F4" s="23" t="s">
        <v>2444</v>
      </c>
      <c r="G4" s="23" t="s">
        <v>2445</v>
      </c>
      <c r="H4" s="21" t="s">
        <v>324</v>
      </c>
      <c r="I4" s="21" t="s">
        <v>209</v>
      </c>
      <c r="J4" s="21" t="s">
        <v>30</v>
      </c>
      <c r="K4" s="23" t="s">
        <v>330</v>
      </c>
      <c r="L4" s="21" t="s">
        <v>31</v>
      </c>
      <c r="M4" s="23" t="s">
        <v>2446</v>
      </c>
      <c r="N4" s="23" t="s">
        <v>442</v>
      </c>
      <c r="O4" s="23" t="s">
        <v>2447</v>
      </c>
      <c r="P4" s="23" t="s">
        <v>140</v>
      </c>
      <c r="Q4" s="21" t="s">
        <v>34</v>
      </c>
      <c r="R4" s="184">
        <v>946.60154</v>
      </c>
      <c r="S4" s="159">
        <v>0</v>
      </c>
      <c r="T4" s="158">
        <v>75000</v>
      </c>
      <c r="U4" s="180">
        <v>1</v>
      </c>
      <c r="V4" s="181">
        <v>81.7</v>
      </c>
      <c r="W4" s="158">
        <v>61.274999999999999</v>
      </c>
      <c r="X4" s="179">
        <v>0.36485612878805102</v>
      </c>
      <c r="Y4" s="179">
        <v>5.2853740640701997E-5</v>
      </c>
    </row>
    <row r="5" spans="1:25">
      <c r="A5" s="23">
        <v>419</v>
      </c>
      <c r="B5" s="23">
        <v>419</v>
      </c>
      <c r="C5" s="23" t="s">
        <v>2448</v>
      </c>
      <c r="D5" s="23" t="s">
        <v>2449</v>
      </c>
      <c r="E5" s="21" t="s">
        <v>1321</v>
      </c>
      <c r="F5" s="23" t="s">
        <v>2450</v>
      </c>
      <c r="G5" s="23" t="s">
        <v>2451</v>
      </c>
      <c r="H5" s="21" t="s">
        <v>324</v>
      </c>
      <c r="I5" s="21" t="s">
        <v>209</v>
      </c>
      <c r="J5" s="21" t="s">
        <v>30</v>
      </c>
      <c r="K5" s="23" t="s">
        <v>330</v>
      </c>
      <c r="L5" s="21" t="s">
        <v>31</v>
      </c>
      <c r="M5" s="23" t="s">
        <v>2452</v>
      </c>
      <c r="N5" s="23" t="s">
        <v>484</v>
      </c>
      <c r="O5" s="23" t="s">
        <v>2453</v>
      </c>
      <c r="P5" s="23" t="s">
        <v>140</v>
      </c>
      <c r="Q5" s="21" t="s">
        <v>34</v>
      </c>
      <c r="R5" s="184">
        <v>1415</v>
      </c>
      <c r="S5" s="159">
        <v>0</v>
      </c>
      <c r="T5" s="158">
        <v>16060</v>
      </c>
      <c r="U5" s="180">
        <v>1</v>
      </c>
      <c r="V5" s="181">
        <v>41</v>
      </c>
      <c r="W5" s="158">
        <v>6.585</v>
      </c>
      <c r="X5" s="179">
        <v>3.9207371123913502E-2</v>
      </c>
      <c r="Y5" s="179">
        <v>5.67965304973915E-6</v>
      </c>
    </row>
    <row r="6" spans="1:25">
      <c r="A6" s="23">
        <v>419</v>
      </c>
      <c r="B6" s="23">
        <v>12435</v>
      </c>
      <c r="C6" s="23" t="s">
        <v>1745</v>
      </c>
      <c r="D6" s="23" t="s">
        <v>1746</v>
      </c>
      <c r="E6" s="21" t="s">
        <v>1321</v>
      </c>
      <c r="F6" s="23" t="s">
        <v>2437</v>
      </c>
      <c r="G6" s="23" t="s">
        <v>2438</v>
      </c>
      <c r="H6" s="21" t="s">
        <v>324</v>
      </c>
      <c r="I6" s="21" t="s">
        <v>30</v>
      </c>
      <c r="J6" s="21" t="s">
        <v>30</v>
      </c>
      <c r="K6" s="23" t="s">
        <v>330</v>
      </c>
      <c r="L6" s="21" t="s">
        <v>31</v>
      </c>
      <c r="M6" s="23" t="s">
        <v>1750</v>
      </c>
      <c r="N6" s="23" t="s">
        <v>467</v>
      </c>
      <c r="O6" s="23" t="s">
        <v>2280</v>
      </c>
      <c r="P6" s="23" t="s">
        <v>140</v>
      </c>
      <c r="Q6" s="21" t="s">
        <v>34</v>
      </c>
      <c r="R6" s="184">
        <v>550</v>
      </c>
      <c r="S6" s="159">
        <v>0</v>
      </c>
      <c r="T6" s="158">
        <v>418</v>
      </c>
      <c r="U6" s="180">
        <v>1</v>
      </c>
      <c r="V6" s="181">
        <v>5.6</v>
      </c>
      <c r="W6" s="158">
        <v>2.3E-2</v>
      </c>
      <c r="X6" s="179">
        <v>1</v>
      </c>
      <c r="Y6" s="179">
        <v>1.9370762616113399E-6</v>
      </c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zoomScale="70" zoomScaleNormal="70" workbookViewId="0">
      <selection activeCell="I26" sqref="I26"/>
    </sheetView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151</v>
      </c>
      <c r="N1" s="22" t="s">
        <v>174</v>
      </c>
      <c r="O1" s="22" t="s">
        <v>1126</v>
      </c>
      <c r="P1" s="22" t="s">
        <v>126</v>
      </c>
      <c r="Q1" s="22" t="s">
        <v>11</v>
      </c>
      <c r="R1" s="175" t="s">
        <v>1127</v>
      </c>
      <c r="S1" s="22" t="s">
        <v>17</v>
      </c>
      <c r="T1" s="164" t="s">
        <v>18</v>
      </c>
      <c r="U1" s="175" t="s">
        <v>19</v>
      </c>
      <c r="V1" s="22" t="s">
        <v>20</v>
      </c>
      <c r="W1" s="170" t="s">
        <v>24</v>
      </c>
      <c r="X1" s="170" t="s">
        <v>25</v>
      </c>
    </row>
    <row r="2" spans="1:24">
      <c r="A2" s="23">
        <v>419</v>
      </c>
      <c r="B2" s="23">
        <v>419</v>
      </c>
      <c r="C2" s="23" t="s">
        <v>1346</v>
      </c>
      <c r="D2" s="23" t="s">
        <v>1347</v>
      </c>
      <c r="E2" s="21" t="s">
        <v>1321</v>
      </c>
      <c r="F2" s="23" t="s">
        <v>1348</v>
      </c>
      <c r="G2" s="19" t="s">
        <v>1349</v>
      </c>
      <c r="H2" s="21" t="s">
        <v>324</v>
      </c>
      <c r="I2" s="23" t="s">
        <v>751</v>
      </c>
      <c r="J2" s="21" t="s">
        <v>30</v>
      </c>
      <c r="K2" s="21" t="s">
        <v>30</v>
      </c>
      <c r="L2" s="21" t="s">
        <v>317</v>
      </c>
      <c r="M2" s="23" t="s">
        <v>1350</v>
      </c>
      <c r="N2" s="23" t="s">
        <v>751</v>
      </c>
      <c r="O2" s="23" t="s">
        <v>1351</v>
      </c>
      <c r="P2" s="23" t="s">
        <v>140</v>
      </c>
      <c r="Q2" s="21" t="s">
        <v>34</v>
      </c>
      <c r="R2" s="184">
        <v>4.1500000000000004</v>
      </c>
      <c r="S2" s="158">
        <v>-2026</v>
      </c>
      <c r="T2" s="180">
        <v>1</v>
      </c>
      <c r="U2" s="181">
        <v>21900</v>
      </c>
      <c r="V2" s="158">
        <v>-443.69400000000002</v>
      </c>
      <c r="W2" s="179">
        <v>-1.6576900372863901</v>
      </c>
      <c r="X2" s="179">
        <v>-3.8271542390592598E-4</v>
      </c>
    </row>
    <row r="3" spans="1:24">
      <c r="A3" s="23">
        <v>419</v>
      </c>
      <c r="B3" s="23">
        <v>419</v>
      </c>
      <c r="C3" s="23" t="s">
        <v>1346</v>
      </c>
      <c r="D3" s="23" t="s">
        <v>1347</v>
      </c>
      <c r="E3" s="21" t="s">
        <v>1321</v>
      </c>
      <c r="F3" s="23" t="s">
        <v>1352</v>
      </c>
      <c r="G3" s="23" t="s">
        <v>1353</v>
      </c>
      <c r="H3" s="21" t="s">
        <v>324</v>
      </c>
      <c r="I3" s="23" t="s">
        <v>751</v>
      </c>
      <c r="J3" s="21" t="s">
        <v>30</v>
      </c>
      <c r="K3" s="21" t="s">
        <v>30</v>
      </c>
      <c r="L3" s="21" t="s">
        <v>317</v>
      </c>
      <c r="M3" s="23" t="s">
        <v>1350</v>
      </c>
      <c r="N3" s="23" t="s">
        <v>751</v>
      </c>
      <c r="O3" s="23" t="s">
        <v>1351</v>
      </c>
      <c r="P3" s="23" t="s">
        <v>140</v>
      </c>
      <c r="Q3" s="21" t="s">
        <v>34</v>
      </c>
      <c r="R3" s="184">
        <v>4.1500000000000004</v>
      </c>
      <c r="S3" s="158">
        <v>2026</v>
      </c>
      <c r="T3" s="180">
        <v>1</v>
      </c>
      <c r="U3" s="181">
        <v>24700</v>
      </c>
      <c r="V3" s="158">
        <v>500.42200000000003</v>
      </c>
      <c r="W3" s="179">
        <v>1.86963214251022</v>
      </c>
      <c r="X3" s="179">
        <v>4.3164707627746E-4</v>
      </c>
    </row>
    <row r="4" spans="1:24">
      <c r="A4" s="23">
        <v>419</v>
      </c>
      <c r="B4" s="23">
        <v>419</v>
      </c>
      <c r="C4" s="23" t="s">
        <v>1346</v>
      </c>
      <c r="D4" s="23" t="s">
        <v>1347</v>
      </c>
      <c r="E4" s="21" t="s">
        <v>1321</v>
      </c>
      <c r="F4" s="23" t="s">
        <v>1354</v>
      </c>
      <c r="G4" s="23" t="s">
        <v>1355</v>
      </c>
      <c r="H4" s="21" t="s">
        <v>324</v>
      </c>
      <c r="I4" s="23" t="s">
        <v>751</v>
      </c>
      <c r="J4" s="21" t="s">
        <v>30</v>
      </c>
      <c r="K4" s="21" t="s">
        <v>30</v>
      </c>
      <c r="L4" s="21" t="s">
        <v>317</v>
      </c>
      <c r="M4" s="23" t="s">
        <v>1350</v>
      </c>
      <c r="N4" s="23" t="s">
        <v>751</v>
      </c>
      <c r="O4" s="23" t="s">
        <v>1356</v>
      </c>
      <c r="P4" s="23" t="s">
        <v>140</v>
      </c>
      <c r="Q4" s="21" t="s">
        <v>34</v>
      </c>
      <c r="R4" s="184">
        <v>3.75</v>
      </c>
      <c r="S4" s="158">
        <v>-890</v>
      </c>
      <c r="T4" s="180">
        <v>1</v>
      </c>
      <c r="U4" s="181">
        <v>23400</v>
      </c>
      <c r="V4" s="158">
        <v>-208.26</v>
      </c>
      <c r="W4" s="179">
        <v>-0.77808247838659805</v>
      </c>
      <c r="X4" s="179">
        <v>-1.79638025717382E-4</v>
      </c>
    </row>
    <row r="5" spans="1:24">
      <c r="A5" s="23">
        <v>419</v>
      </c>
      <c r="B5" s="23">
        <v>419</v>
      </c>
      <c r="C5" s="23" t="s">
        <v>1346</v>
      </c>
      <c r="D5" s="23" t="s">
        <v>1347</v>
      </c>
      <c r="E5" s="21" t="s">
        <v>1321</v>
      </c>
      <c r="F5" s="23" t="s">
        <v>1357</v>
      </c>
      <c r="G5" s="23" t="s">
        <v>1358</v>
      </c>
      <c r="H5" s="21" t="s">
        <v>324</v>
      </c>
      <c r="I5" s="23" t="s">
        <v>751</v>
      </c>
      <c r="J5" s="21" t="s">
        <v>30</v>
      </c>
      <c r="K5" s="21" t="s">
        <v>30</v>
      </c>
      <c r="L5" s="21" t="s">
        <v>317</v>
      </c>
      <c r="M5" s="23" t="s">
        <v>1350</v>
      </c>
      <c r="N5" s="23" t="s">
        <v>751</v>
      </c>
      <c r="O5" s="23" t="s">
        <v>1356</v>
      </c>
      <c r="P5" s="23" t="s">
        <v>140</v>
      </c>
      <c r="Q5" s="21" t="s">
        <v>34</v>
      </c>
      <c r="R5" s="184">
        <v>3.75</v>
      </c>
      <c r="S5" s="158">
        <v>890</v>
      </c>
      <c r="T5" s="180">
        <v>1</v>
      </c>
      <c r="U5" s="181">
        <v>47100</v>
      </c>
      <c r="V5" s="158">
        <v>419.19</v>
      </c>
      <c r="W5" s="179">
        <v>1.5661403731627701</v>
      </c>
      <c r="X5" s="179">
        <v>3.6157910304652601E-4</v>
      </c>
    </row>
    <row r="6" spans="1:24">
      <c r="A6" s="23">
        <v>419</v>
      </c>
      <c r="B6" s="23">
        <v>12435</v>
      </c>
      <c r="C6" s="23" t="s">
        <v>1346</v>
      </c>
      <c r="D6" s="23" t="s">
        <v>1347</v>
      </c>
      <c r="E6" s="21" t="s">
        <v>1321</v>
      </c>
      <c r="F6" s="23" t="s">
        <v>1348</v>
      </c>
      <c r="G6" s="23" t="s">
        <v>1349</v>
      </c>
      <c r="H6" s="21" t="s">
        <v>324</v>
      </c>
      <c r="I6" s="23" t="s">
        <v>751</v>
      </c>
      <c r="J6" s="21" t="s">
        <v>30</v>
      </c>
      <c r="K6" s="21" t="s">
        <v>30</v>
      </c>
      <c r="L6" s="21" t="s">
        <v>317</v>
      </c>
      <c r="M6" s="23" t="s">
        <v>1350</v>
      </c>
      <c r="N6" s="23" t="s">
        <v>751</v>
      </c>
      <c r="O6" s="23" t="s">
        <v>1351</v>
      </c>
      <c r="P6" s="23" t="s">
        <v>140</v>
      </c>
      <c r="Q6" s="21" t="s">
        <v>34</v>
      </c>
      <c r="R6" s="184">
        <v>4.1500000000000004</v>
      </c>
      <c r="S6" s="158">
        <v>-12</v>
      </c>
      <c r="T6" s="180">
        <v>1</v>
      </c>
      <c r="U6" s="181">
        <v>21900</v>
      </c>
      <c r="V6" s="158">
        <v>-2.6280000000000001</v>
      </c>
      <c r="W6" s="179">
        <v>-0.454121306376361</v>
      </c>
      <c r="X6" s="179">
        <v>-2.1747421460674199E-4</v>
      </c>
    </row>
    <row r="7" spans="1:24">
      <c r="A7" s="23">
        <v>419</v>
      </c>
      <c r="B7" s="23">
        <v>12435</v>
      </c>
      <c r="C7" s="23" t="s">
        <v>1346</v>
      </c>
      <c r="D7" s="23" t="s">
        <v>1347</v>
      </c>
      <c r="E7" s="21" t="s">
        <v>1321</v>
      </c>
      <c r="F7" s="23" t="s">
        <v>1352</v>
      </c>
      <c r="G7" s="23" t="s">
        <v>1353</v>
      </c>
      <c r="H7" s="21" t="s">
        <v>324</v>
      </c>
      <c r="I7" s="23" t="s">
        <v>751</v>
      </c>
      <c r="J7" s="21" t="s">
        <v>30</v>
      </c>
      <c r="K7" s="21" t="s">
        <v>30</v>
      </c>
      <c r="L7" s="21" t="s">
        <v>317</v>
      </c>
      <c r="M7" s="23" t="s">
        <v>1350</v>
      </c>
      <c r="N7" s="23" t="s">
        <v>751</v>
      </c>
      <c r="O7" s="23" t="s">
        <v>1351</v>
      </c>
      <c r="P7" s="23" t="s">
        <v>140</v>
      </c>
      <c r="Q7" s="21" t="s">
        <v>34</v>
      </c>
      <c r="R7" s="184">
        <v>4.1500000000000004</v>
      </c>
      <c r="S7" s="158">
        <v>12</v>
      </c>
      <c r="T7" s="180">
        <v>1</v>
      </c>
      <c r="U7" s="181">
        <v>24700</v>
      </c>
      <c r="V7" s="158">
        <v>2.964</v>
      </c>
      <c r="W7" s="179">
        <v>0.51218247796785898</v>
      </c>
      <c r="X7" s="179">
        <v>2.4527913702221502E-4</v>
      </c>
    </row>
    <row r="8" spans="1:24">
      <c r="A8" s="23">
        <v>419</v>
      </c>
      <c r="B8" s="23">
        <v>12435</v>
      </c>
      <c r="C8" s="23" t="s">
        <v>1346</v>
      </c>
      <c r="D8" s="23" t="s">
        <v>1347</v>
      </c>
      <c r="E8" s="21" t="s">
        <v>1321</v>
      </c>
      <c r="F8" s="23" t="s">
        <v>1354</v>
      </c>
      <c r="G8" s="23" t="s">
        <v>1355</v>
      </c>
      <c r="H8" s="21" t="s">
        <v>324</v>
      </c>
      <c r="I8" s="23" t="s">
        <v>751</v>
      </c>
      <c r="J8" s="21" t="s">
        <v>30</v>
      </c>
      <c r="K8" s="21" t="s">
        <v>30</v>
      </c>
      <c r="L8" s="21" t="s">
        <v>317</v>
      </c>
      <c r="M8" s="23" t="s">
        <v>1350</v>
      </c>
      <c r="N8" s="23" t="s">
        <v>751</v>
      </c>
      <c r="O8" s="23" t="s">
        <v>1356</v>
      </c>
      <c r="P8" s="23" t="s">
        <v>140</v>
      </c>
      <c r="Q8" s="21" t="s">
        <v>34</v>
      </c>
      <c r="R8" s="184">
        <v>3.75</v>
      </c>
      <c r="S8" s="158">
        <v>-23</v>
      </c>
      <c r="T8" s="180">
        <v>1</v>
      </c>
      <c r="U8" s="181">
        <v>23400</v>
      </c>
      <c r="V8" s="158">
        <v>-5.3819999999999997</v>
      </c>
      <c r="W8" s="179">
        <v>-0.93001555209953302</v>
      </c>
      <c r="X8" s="179">
        <v>-4.4537527511928599E-4</v>
      </c>
    </row>
    <row r="9" spans="1:24">
      <c r="A9" s="23">
        <v>419</v>
      </c>
      <c r="B9" s="23">
        <v>12435</v>
      </c>
      <c r="C9" s="23" t="s">
        <v>1346</v>
      </c>
      <c r="D9" s="23" t="s">
        <v>1347</v>
      </c>
      <c r="E9" s="21" t="s">
        <v>1321</v>
      </c>
      <c r="F9" s="23" t="s">
        <v>1357</v>
      </c>
      <c r="G9" s="23" t="s">
        <v>1358</v>
      </c>
      <c r="H9" s="21" t="s">
        <v>324</v>
      </c>
      <c r="I9" s="23" t="s">
        <v>751</v>
      </c>
      <c r="J9" s="21" t="s">
        <v>30</v>
      </c>
      <c r="K9" s="21" t="s">
        <v>30</v>
      </c>
      <c r="L9" s="21" t="s">
        <v>317</v>
      </c>
      <c r="M9" s="23" t="s">
        <v>1350</v>
      </c>
      <c r="N9" s="23" t="s">
        <v>751</v>
      </c>
      <c r="O9" s="23" t="s">
        <v>1356</v>
      </c>
      <c r="P9" s="23" t="s">
        <v>140</v>
      </c>
      <c r="Q9" s="21" t="s">
        <v>34</v>
      </c>
      <c r="R9" s="184">
        <v>3.75</v>
      </c>
      <c r="S9" s="158">
        <v>23</v>
      </c>
      <c r="T9" s="180">
        <v>1</v>
      </c>
      <c r="U9" s="181">
        <v>47100</v>
      </c>
      <c r="V9" s="158">
        <v>10.833</v>
      </c>
      <c r="W9" s="179">
        <v>1.8719543805080401</v>
      </c>
      <c r="X9" s="179">
        <v>8.9646048966317803E-4</v>
      </c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6</v>
      </c>
      <c r="J1" s="22" t="s">
        <v>7</v>
      </c>
      <c r="K1" s="22" t="s">
        <v>8</v>
      </c>
      <c r="L1" s="22" t="s">
        <v>174</v>
      </c>
      <c r="M1" s="22" t="s">
        <v>126</v>
      </c>
      <c r="N1" s="22" t="s">
        <v>11</v>
      </c>
      <c r="O1" s="22" t="s">
        <v>17</v>
      </c>
      <c r="P1" s="164" t="s">
        <v>18</v>
      </c>
      <c r="Q1" s="175" t="s">
        <v>19</v>
      </c>
      <c r="R1" s="22" t="s">
        <v>20</v>
      </c>
      <c r="S1" s="170" t="s">
        <v>24</v>
      </c>
      <c r="T1" s="170" t="s">
        <v>25</v>
      </c>
    </row>
    <row r="2" spans="1:20">
      <c r="A2" s="23">
        <v>419</v>
      </c>
      <c r="B2" s="23">
        <v>419</v>
      </c>
      <c r="C2" s="2" t="s">
        <v>2432</v>
      </c>
      <c r="D2" s="2" t="s">
        <v>2433</v>
      </c>
      <c r="E2" s="21" t="s">
        <v>33</v>
      </c>
      <c r="F2" s="23" t="s">
        <v>2434</v>
      </c>
      <c r="G2" s="23" t="s">
        <v>2435</v>
      </c>
      <c r="H2" s="21" t="s">
        <v>317</v>
      </c>
      <c r="I2" s="21" t="s">
        <v>209</v>
      </c>
      <c r="J2" s="21" t="s">
        <v>228</v>
      </c>
      <c r="K2" s="21" t="s">
        <v>2436</v>
      </c>
      <c r="L2" s="23" t="s">
        <v>752</v>
      </c>
      <c r="M2" s="23" t="s">
        <v>140</v>
      </c>
      <c r="N2" s="21" t="s">
        <v>1188</v>
      </c>
      <c r="O2" s="158">
        <v>13</v>
      </c>
      <c r="P2" s="180">
        <v>3.71</v>
      </c>
      <c r="Q2" s="181">
        <v>5814.25</v>
      </c>
      <c r="R2" s="158">
        <v>276.96100000000001</v>
      </c>
      <c r="S2" s="179">
        <v>1</v>
      </c>
      <c r="T2" s="179">
        <v>2.3889698848629699E-4</v>
      </c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5</v>
      </c>
      <c r="J1" s="22" t="s">
        <v>6</v>
      </c>
      <c r="K1" s="22" t="s">
        <v>7</v>
      </c>
      <c r="L1" s="22" t="s">
        <v>329</v>
      </c>
      <c r="M1" s="22" t="s">
        <v>8</v>
      </c>
      <c r="N1" s="22" t="s">
        <v>174</v>
      </c>
      <c r="O1" s="22" t="s">
        <v>126</v>
      </c>
      <c r="P1" s="22" t="s">
        <v>12</v>
      </c>
      <c r="Q1" s="166" t="s">
        <v>14</v>
      </c>
      <c r="R1" s="170" t="s">
        <v>15</v>
      </c>
      <c r="S1" s="22" t="s">
        <v>9</v>
      </c>
      <c r="T1" s="22" t="s">
        <v>10</v>
      </c>
      <c r="U1" s="22" t="s">
        <v>175</v>
      </c>
      <c r="V1" s="22" t="s">
        <v>11</v>
      </c>
      <c r="W1" s="22" t="s">
        <v>17</v>
      </c>
      <c r="X1" s="164" t="s">
        <v>18</v>
      </c>
      <c r="Y1" s="175" t="s">
        <v>19</v>
      </c>
      <c r="Z1" s="22" t="s">
        <v>20</v>
      </c>
      <c r="AA1" s="170" t="s">
        <v>24</v>
      </c>
      <c r="AB1" s="170" t="s">
        <v>25</v>
      </c>
    </row>
    <row r="2" spans="1:28">
      <c r="A2" s="23">
        <v>419</v>
      </c>
      <c r="B2" s="23">
        <v>419</v>
      </c>
      <c r="C2" s="23" t="s">
        <v>2702</v>
      </c>
      <c r="D2" s="23" t="s">
        <v>2703</v>
      </c>
      <c r="E2" s="21" t="s">
        <v>1321</v>
      </c>
      <c r="F2" s="23" t="s">
        <v>2704</v>
      </c>
      <c r="G2" s="23" t="s">
        <v>2705</v>
      </c>
      <c r="H2" s="21" t="s">
        <v>324</v>
      </c>
      <c r="I2" s="23" t="s">
        <v>1001</v>
      </c>
      <c r="J2" s="21" t="s">
        <v>30</v>
      </c>
      <c r="K2" s="21" t="s">
        <v>30</v>
      </c>
      <c r="L2" s="23" t="s">
        <v>330</v>
      </c>
      <c r="M2" s="21" t="s">
        <v>31</v>
      </c>
      <c r="N2" s="23" t="s">
        <v>749</v>
      </c>
      <c r="O2" s="23" t="s">
        <v>140</v>
      </c>
      <c r="P2" s="158">
        <v>3.2690000000000001</v>
      </c>
      <c r="Q2" s="178">
        <v>5.0000000000000001E-4</v>
      </c>
      <c r="R2" s="179">
        <v>2.3390000000000001E-2</v>
      </c>
      <c r="S2" s="23" t="s">
        <v>1185</v>
      </c>
      <c r="T2" s="23" t="s">
        <v>416</v>
      </c>
      <c r="U2" s="23" t="s">
        <v>410</v>
      </c>
      <c r="V2" s="21" t="s">
        <v>34</v>
      </c>
      <c r="W2" s="158">
        <v>1795182.02</v>
      </c>
      <c r="X2" s="180">
        <v>1</v>
      </c>
      <c r="Y2" s="181">
        <v>106.4</v>
      </c>
      <c r="Z2" s="158">
        <v>1910.0740000000001</v>
      </c>
      <c r="AA2" s="179">
        <v>0.44059905144356198</v>
      </c>
      <c r="AB2" s="179">
        <v>1.64756488487571E-3</v>
      </c>
    </row>
    <row r="3" spans="1:28">
      <c r="A3" s="23">
        <v>419</v>
      </c>
      <c r="B3" s="23">
        <v>419</v>
      </c>
      <c r="C3" s="23" t="s">
        <v>2706</v>
      </c>
      <c r="D3" s="23" t="s">
        <v>2707</v>
      </c>
      <c r="E3" s="21" t="s">
        <v>1321</v>
      </c>
      <c r="F3" s="23" t="s">
        <v>2708</v>
      </c>
      <c r="G3" s="23" t="s">
        <v>2709</v>
      </c>
      <c r="H3" s="21" t="s">
        <v>324</v>
      </c>
      <c r="I3" s="23" t="s">
        <v>1001</v>
      </c>
      <c r="J3" s="21" t="s">
        <v>30</v>
      </c>
      <c r="K3" s="21" t="s">
        <v>30</v>
      </c>
      <c r="L3" s="23" t="s">
        <v>330</v>
      </c>
      <c r="M3" s="21" t="s">
        <v>49</v>
      </c>
      <c r="N3" s="23" t="s">
        <v>756</v>
      </c>
      <c r="O3" s="23" t="s">
        <v>140</v>
      </c>
      <c r="P3" s="158">
        <v>9.0259999999999998</v>
      </c>
      <c r="Q3" s="178">
        <v>7.2999999999999995E-2</v>
      </c>
      <c r="R3" s="179">
        <v>6.6519999999999996E-2</v>
      </c>
      <c r="S3" s="23" t="s">
        <v>1185</v>
      </c>
      <c r="T3" s="23" t="s">
        <v>416</v>
      </c>
      <c r="U3" s="23" t="s">
        <v>410</v>
      </c>
      <c r="V3" s="21" t="s">
        <v>34</v>
      </c>
      <c r="W3" s="158">
        <v>2243801.44</v>
      </c>
      <c r="X3" s="180">
        <v>1</v>
      </c>
      <c r="Y3" s="181">
        <v>108.08</v>
      </c>
      <c r="Z3" s="158">
        <v>2425.1010000000001</v>
      </c>
      <c r="AA3" s="179">
        <v>0.55940094855643796</v>
      </c>
      <c r="AB3" s="179">
        <v>2.0918096768209001E-3</v>
      </c>
    </row>
    <row r="4" spans="1:28">
      <c r="A4" s="23">
        <v>419</v>
      </c>
      <c r="B4" s="23">
        <v>1472</v>
      </c>
      <c r="C4" s="23" t="s">
        <v>2702</v>
      </c>
      <c r="D4" s="23" t="s">
        <v>2703</v>
      </c>
      <c r="E4" s="21" t="s">
        <v>1321</v>
      </c>
      <c r="F4" s="23" t="s">
        <v>2704</v>
      </c>
      <c r="G4" s="23" t="s">
        <v>2705</v>
      </c>
      <c r="H4" s="21" t="s">
        <v>324</v>
      </c>
      <c r="I4" s="23" t="s">
        <v>1001</v>
      </c>
      <c r="J4" s="21" t="s">
        <v>30</v>
      </c>
      <c r="K4" s="21" t="s">
        <v>30</v>
      </c>
      <c r="L4" s="23" t="s">
        <v>330</v>
      </c>
      <c r="M4" s="21" t="s">
        <v>31</v>
      </c>
      <c r="N4" s="23" t="s">
        <v>749</v>
      </c>
      <c r="O4" s="23" t="s">
        <v>140</v>
      </c>
      <c r="P4" s="158">
        <v>3.2690000000000001</v>
      </c>
      <c r="Q4" s="178">
        <v>5.0000000000000001E-4</v>
      </c>
      <c r="R4" s="179">
        <v>2.3390000000000001E-2</v>
      </c>
      <c r="S4" s="23" t="s">
        <v>1185</v>
      </c>
      <c r="T4" s="23" t="s">
        <v>416</v>
      </c>
      <c r="U4" s="23" t="s">
        <v>410</v>
      </c>
      <c r="V4" s="21" t="s">
        <v>34</v>
      </c>
      <c r="W4" s="158">
        <v>12727.28</v>
      </c>
      <c r="X4" s="180">
        <v>1</v>
      </c>
      <c r="Y4" s="181">
        <v>106.4</v>
      </c>
      <c r="Z4" s="158">
        <v>13.542</v>
      </c>
      <c r="AA4" s="179">
        <v>0.37422662324509998</v>
      </c>
      <c r="AB4" s="179">
        <v>1.2978624393566701E-3</v>
      </c>
    </row>
    <row r="5" spans="1:28">
      <c r="A5" s="23">
        <v>419</v>
      </c>
      <c r="B5" s="23">
        <v>1472</v>
      </c>
      <c r="C5" s="23" t="s">
        <v>2706</v>
      </c>
      <c r="D5" s="23" t="s">
        <v>2707</v>
      </c>
      <c r="E5" s="21" t="s">
        <v>1321</v>
      </c>
      <c r="F5" s="23" t="s">
        <v>2708</v>
      </c>
      <c r="G5" s="23" t="s">
        <v>2709</v>
      </c>
      <c r="H5" s="21" t="s">
        <v>324</v>
      </c>
      <c r="I5" s="23" t="s">
        <v>1001</v>
      </c>
      <c r="J5" s="21" t="s">
        <v>30</v>
      </c>
      <c r="K5" s="21" t="s">
        <v>30</v>
      </c>
      <c r="L5" s="23" t="s">
        <v>330</v>
      </c>
      <c r="M5" s="21" t="s">
        <v>49</v>
      </c>
      <c r="N5" s="23" t="s">
        <v>756</v>
      </c>
      <c r="O5" s="23" t="s">
        <v>140</v>
      </c>
      <c r="P5" s="158">
        <v>9.0259999999999998</v>
      </c>
      <c r="Q5" s="178">
        <v>7.2999999999999995E-2</v>
      </c>
      <c r="R5" s="179">
        <v>6.6519999999999996E-2</v>
      </c>
      <c r="S5" s="23" t="s">
        <v>1185</v>
      </c>
      <c r="T5" s="23" t="s">
        <v>416</v>
      </c>
      <c r="U5" s="23" t="s">
        <v>410</v>
      </c>
      <c r="V5" s="21" t="s">
        <v>34</v>
      </c>
      <c r="W5" s="158">
        <v>20951.46</v>
      </c>
      <c r="X5" s="180">
        <v>1</v>
      </c>
      <c r="Y5" s="181">
        <v>108.08</v>
      </c>
      <c r="Z5" s="158">
        <v>22.643999999999998</v>
      </c>
      <c r="AA5" s="179">
        <v>0.62577337675489997</v>
      </c>
      <c r="AB5" s="179">
        <v>2.1702564991151001E-3</v>
      </c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150</v>
      </c>
      <c r="G1" s="22" t="s">
        <v>5</v>
      </c>
      <c r="H1" s="22" t="s">
        <v>6</v>
      </c>
      <c r="I1" s="22" t="s">
        <v>7</v>
      </c>
      <c r="J1" s="22" t="s">
        <v>159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159</v>
      </c>
      <c r="G1" s="22" t="s">
        <v>12</v>
      </c>
      <c r="H1" s="22" t="s">
        <v>758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1130</v>
      </c>
      <c r="B1" s="22" t="s">
        <v>1</v>
      </c>
      <c r="C1" s="22" t="s">
        <v>5</v>
      </c>
      <c r="D1" s="22" t="s">
        <v>1131</v>
      </c>
      <c r="E1" s="22" t="s">
        <v>1132</v>
      </c>
      <c r="F1" s="22" t="s">
        <v>1133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5</v>
      </c>
      <c r="J1" s="22" t="s">
        <v>6</v>
      </c>
      <c r="K1" s="22" t="s">
        <v>7</v>
      </c>
      <c r="L1" s="22" t="s">
        <v>151</v>
      </c>
      <c r="M1" s="22" t="s">
        <v>126</v>
      </c>
      <c r="N1" s="22" t="s">
        <v>159</v>
      </c>
      <c r="O1" s="22" t="s">
        <v>9</v>
      </c>
      <c r="P1" s="22" t="s">
        <v>10</v>
      </c>
      <c r="Q1" s="22" t="s">
        <v>175</v>
      </c>
      <c r="R1" s="22" t="s">
        <v>11</v>
      </c>
      <c r="S1" s="22" t="s">
        <v>12</v>
      </c>
      <c r="T1" s="22" t="s">
        <v>758</v>
      </c>
      <c r="U1" s="22" t="s">
        <v>915</v>
      </c>
      <c r="V1" s="22" t="s">
        <v>13</v>
      </c>
      <c r="W1" s="22" t="s">
        <v>14</v>
      </c>
      <c r="X1" s="22" t="s">
        <v>15</v>
      </c>
      <c r="Y1" s="22" t="s">
        <v>413</v>
      </c>
      <c r="Z1" s="22" t="s">
        <v>836</v>
      </c>
      <c r="AA1" s="22" t="s">
        <v>152</v>
      </c>
      <c r="AB1" s="22" t="s">
        <v>153</v>
      </c>
      <c r="AC1" s="22" t="s">
        <v>165</v>
      </c>
      <c r="AD1" s="22" t="s">
        <v>135</v>
      </c>
      <c r="AE1" s="22" t="s">
        <v>154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167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V19" sqref="V19"/>
    </sheetView>
  </sheetViews>
  <sheetFormatPr defaultColWidth="9" defaultRowHeight="14.25"/>
  <cols>
    <col min="1" max="2" width="11.625" style="2" customWidth="1"/>
    <col min="3" max="3" width="28.875" style="2" bestFit="1" customWidth="1"/>
    <col min="4" max="4" width="11.625" style="2" customWidth="1"/>
    <col min="5" max="5" width="11.625" style="4" customWidth="1"/>
    <col min="6" max="6" width="31" style="2" bestFit="1" customWidth="1"/>
    <col min="7" max="7" width="14.625" style="2" bestFit="1" customWidth="1"/>
    <col min="8" max="11" width="11.625" style="2" hidden="1" customWidth="1"/>
    <col min="12" max="12" width="11.625" style="4" hidden="1" customWidth="1"/>
    <col min="13" max="19" width="11.625" style="2" hidden="1" customWidth="1"/>
    <col min="20" max="20" width="14.625" style="2" customWidth="1"/>
    <col min="21" max="23" width="11.625" style="2" customWidth="1"/>
    <col min="24" max="25" width="11.625" style="4" customWidth="1"/>
    <col min="26" max="29" width="11.625" style="2" customWidth="1"/>
    <col min="30" max="30" width="21.75" style="2" customWidth="1"/>
    <col min="31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5</v>
      </c>
      <c r="J1" s="22" t="s">
        <v>6</v>
      </c>
      <c r="K1" s="22" t="s">
        <v>7</v>
      </c>
      <c r="L1" s="22" t="s">
        <v>329</v>
      </c>
      <c r="M1" s="22" t="s">
        <v>151</v>
      </c>
      <c r="N1" s="22" t="s">
        <v>126</v>
      </c>
      <c r="O1" s="22" t="s">
        <v>159</v>
      </c>
      <c r="P1" s="22" t="s">
        <v>9</v>
      </c>
      <c r="Q1" s="22" t="s">
        <v>10</v>
      </c>
      <c r="R1" s="22" t="s">
        <v>175</v>
      </c>
      <c r="S1" s="22" t="s">
        <v>11</v>
      </c>
      <c r="T1" s="22" t="s">
        <v>12</v>
      </c>
      <c r="U1" s="22" t="s">
        <v>13</v>
      </c>
      <c r="V1" s="170" t="s">
        <v>15</v>
      </c>
      <c r="W1" s="170" t="s">
        <v>14</v>
      </c>
      <c r="X1" s="22" t="s">
        <v>413</v>
      </c>
      <c r="Y1" s="22" t="s">
        <v>836</v>
      </c>
      <c r="Z1" s="22" t="s">
        <v>152</v>
      </c>
      <c r="AA1" s="22" t="s">
        <v>153</v>
      </c>
      <c r="AB1" s="22" t="s">
        <v>135</v>
      </c>
      <c r="AC1" s="22" t="s">
        <v>154</v>
      </c>
      <c r="AD1" s="22" t="s">
        <v>17</v>
      </c>
      <c r="AE1" s="164" t="s">
        <v>18</v>
      </c>
      <c r="AF1" s="175" t="s">
        <v>19</v>
      </c>
      <c r="AG1" s="22" t="s">
        <v>20</v>
      </c>
      <c r="AH1" s="22" t="s">
        <v>21</v>
      </c>
      <c r="AI1" s="22" t="s">
        <v>167</v>
      </c>
      <c r="AJ1" s="22" t="s">
        <v>22</v>
      </c>
      <c r="AK1" s="170" t="s">
        <v>24</v>
      </c>
      <c r="AL1" s="170" t="s">
        <v>25</v>
      </c>
    </row>
    <row r="2" spans="1:38">
      <c r="A2" s="2">
        <v>419</v>
      </c>
      <c r="B2" s="23">
        <v>419</v>
      </c>
      <c r="C2" s="23" t="s">
        <v>2660</v>
      </c>
      <c r="D2" s="23" t="s">
        <v>2661</v>
      </c>
      <c r="E2" s="21" t="s">
        <v>1321</v>
      </c>
      <c r="F2" s="201" t="s">
        <v>2662</v>
      </c>
      <c r="G2" s="19" t="s">
        <v>2663</v>
      </c>
      <c r="H2" s="23" t="s">
        <v>324</v>
      </c>
      <c r="I2" s="23" t="s">
        <v>973</v>
      </c>
      <c r="J2" s="21" t="s">
        <v>30</v>
      </c>
      <c r="K2" s="21" t="s">
        <v>30</v>
      </c>
      <c r="L2" s="23" t="s">
        <v>317</v>
      </c>
      <c r="M2" s="23" t="s">
        <v>467</v>
      </c>
      <c r="N2" s="23" t="s">
        <v>140</v>
      </c>
      <c r="O2" s="23" t="s">
        <v>2643</v>
      </c>
      <c r="P2" s="23" t="s">
        <v>1956</v>
      </c>
      <c r="Q2" s="23" t="s">
        <v>418</v>
      </c>
      <c r="R2" s="23" t="s">
        <v>410</v>
      </c>
      <c r="S2" s="21" t="s">
        <v>34</v>
      </c>
      <c r="T2" s="158">
        <v>1.68</v>
      </c>
      <c r="U2" s="23" t="s">
        <v>2664</v>
      </c>
      <c r="V2" s="179">
        <v>5.2999999999999999E-2</v>
      </c>
      <c r="W2" s="171">
        <v>3.1E-2</v>
      </c>
      <c r="X2" s="21" t="s">
        <v>415</v>
      </c>
      <c r="Y2" s="21" t="s">
        <v>140</v>
      </c>
      <c r="Z2" s="23" t="s">
        <v>899</v>
      </c>
      <c r="AA2" s="23" t="s">
        <v>902</v>
      </c>
      <c r="AB2" s="2" t="s">
        <v>142</v>
      </c>
      <c r="AC2" s="200">
        <v>45565</v>
      </c>
      <c r="AD2" s="158">
        <v>2.15</v>
      </c>
      <c r="AE2" s="180">
        <v>1</v>
      </c>
      <c r="AF2" s="181">
        <v>96.56</v>
      </c>
      <c r="AG2" s="158">
        <v>2E-3</v>
      </c>
      <c r="AH2" s="23"/>
      <c r="AI2" s="30"/>
      <c r="AJ2" s="23" t="s">
        <v>36</v>
      </c>
      <c r="AK2" s="171">
        <v>1.4316707626794799E-6</v>
      </c>
      <c r="AL2" s="171">
        <v>1.7907218232512901E-9</v>
      </c>
    </row>
    <row r="3" spans="1:38">
      <c r="A3" s="23">
        <v>419</v>
      </c>
      <c r="B3" s="23">
        <v>419</v>
      </c>
      <c r="C3" s="23" t="s">
        <v>2665</v>
      </c>
      <c r="D3" s="23" t="s">
        <v>2666</v>
      </c>
      <c r="E3" s="21" t="s">
        <v>33</v>
      </c>
      <c r="F3" s="202" t="s">
        <v>2665</v>
      </c>
      <c r="G3" s="23">
        <v>1088210</v>
      </c>
      <c r="H3" s="23" t="s">
        <v>33</v>
      </c>
      <c r="I3" s="23" t="s">
        <v>760</v>
      </c>
      <c r="J3" s="21" t="s">
        <v>30</v>
      </c>
      <c r="K3" s="21" t="s">
        <v>30</v>
      </c>
      <c r="L3" s="23" t="s">
        <v>317</v>
      </c>
      <c r="M3" s="23" t="s">
        <v>482</v>
      </c>
      <c r="N3" s="23" t="s">
        <v>140</v>
      </c>
      <c r="O3" s="23" t="s">
        <v>2643</v>
      </c>
      <c r="P3" s="23" t="s">
        <v>2667</v>
      </c>
      <c r="Q3" s="23" t="s">
        <v>416</v>
      </c>
      <c r="R3" s="23" t="s">
        <v>410</v>
      </c>
      <c r="S3" s="21" t="s">
        <v>34</v>
      </c>
      <c r="T3" s="158">
        <v>0.01</v>
      </c>
      <c r="U3" s="23" t="s">
        <v>2668</v>
      </c>
      <c r="V3" s="179">
        <v>4.9500000000000002E-2</v>
      </c>
      <c r="W3" s="171">
        <v>4.9500000000000002E-2</v>
      </c>
      <c r="X3" s="21" t="s">
        <v>414</v>
      </c>
      <c r="Y3" s="21" t="s">
        <v>343</v>
      </c>
      <c r="Z3" s="23" t="s">
        <v>317</v>
      </c>
      <c r="AA3" s="23" t="s">
        <v>902</v>
      </c>
      <c r="AB3" s="2" t="s">
        <v>142</v>
      </c>
      <c r="AC3" s="192">
        <v>45291</v>
      </c>
      <c r="AD3" s="158">
        <v>53517.45</v>
      </c>
      <c r="AE3" s="180">
        <v>1</v>
      </c>
      <c r="AF3" s="181">
        <v>0</v>
      </c>
      <c r="AG3" s="158">
        <v>0</v>
      </c>
      <c r="AH3" s="23"/>
      <c r="AI3" s="23"/>
      <c r="AJ3" s="23" t="s">
        <v>36</v>
      </c>
      <c r="AK3" s="171">
        <v>3.6906499132078903E-8</v>
      </c>
      <c r="AL3" s="171">
        <v>4.6162340629159395E-11</v>
      </c>
    </row>
    <row r="4" spans="1:38">
      <c r="A4" s="23">
        <v>419</v>
      </c>
      <c r="B4" s="23">
        <v>419</v>
      </c>
      <c r="C4" s="23" t="s">
        <v>2669</v>
      </c>
      <c r="D4" s="23" t="s">
        <v>2670</v>
      </c>
      <c r="E4" s="21" t="s">
        <v>33</v>
      </c>
      <c r="F4" s="201" t="s">
        <v>2671</v>
      </c>
      <c r="G4" s="23">
        <v>9999798</v>
      </c>
      <c r="H4" s="23" t="s">
        <v>33</v>
      </c>
      <c r="I4" s="23" t="s">
        <v>760</v>
      </c>
      <c r="J4" s="21" t="s">
        <v>30</v>
      </c>
      <c r="K4" s="21" t="s">
        <v>30</v>
      </c>
      <c r="L4" s="23" t="s">
        <v>317</v>
      </c>
      <c r="M4" s="23" t="s">
        <v>439</v>
      </c>
      <c r="N4" s="23" t="s">
        <v>140</v>
      </c>
      <c r="O4" s="2" t="s">
        <v>2458</v>
      </c>
      <c r="P4" s="23" t="s">
        <v>68</v>
      </c>
      <c r="Q4" s="23" t="s">
        <v>69</v>
      </c>
      <c r="R4" s="23" t="s">
        <v>69</v>
      </c>
      <c r="S4" s="23" t="s">
        <v>34</v>
      </c>
      <c r="T4" s="158">
        <v>0</v>
      </c>
      <c r="U4" s="23" t="s">
        <v>2672</v>
      </c>
      <c r="V4" s="179">
        <v>0</v>
      </c>
      <c r="W4" s="171">
        <v>0.14499999999999999</v>
      </c>
      <c r="X4" s="21" t="s">
        <v>415</v>
      </c>
      <c r="Y4" s="21" t="s">
        <v>343</v>
      </c>
      <c r="Z4" s="23" t="s">
        <v>317</v>
      </c>
      <c r="AA4" s="23" t="s">
        <v>902</v>
      </c>
      <c r="AB4" s="2" t="s">
        <v>142</v>
      </c>
      <c r="AC4" s="192">
        <v>45291</v>
      </c>
      <c r="AD4" s="156">
        <v>1070000</v>
      </c>
      <c r="AE4" s="180">
        <v>1</v>
      </c>
      <c r="AF4" s="181">
        <v>0</v>
      </c>
      <c r="AG4" s="158">
        <v>0</v>
      </c>
      <c r="AH4" s="23"/>
      <c r="AI4" s="23"/>
      <c r="AJ4" s="23" t="s">
        <v>36</v>
      </c>
      <c r="AK4" s="171">
        <v>0</v>
      </c>
      <c r="AL4" s="171">
        <v>0</v>
      </c>
    </row>
    <row r="5" spans="1:38">
      <c r="A5" s="23">
        <v>419</v>
      </c>
      <c r="B5" s="23">
        <v>419</v>
      </c>
      <c r="C5" s="23" t="s">
        <v>2673</v>
      </c>
      <c r="D5" s="23" t="s">
        <v>2674</v>
      </c>
      <c r="E5" s="21" t="s">
        <v>316</v>
      </c>
      <c r="F5" s="202" t="s">
        <v>2675</v>
      </c>
      <c r="G5" s="19" t="s">
        <v>2676</v>
      </c>
      <c r="H5" s="23" t="s">
        <v>324</v>
      </c>
      <c r="I5" s="23" t="s">
        <v>761</v>
      </c>
      <c r="J5" s="21" t="s">
        <v>209</v>
      </c>
      <c r="K5" s="21" t="s">
        <v>221</v>
      </c>
      <c r="L5" s="23" t="s">
        <v>317</v>
      </c>
      <c r="M5" s="23" t="s">
        <v>1791</v>
      </c>
      <c r="N5" s="23" t="s">
        <v>140</v>
      </c>
      <c r="O5" s="23" t="s">
        <v>2458</v>
      </c>
      <c r="P5" s="23" t="s">
        <v>68</v>
      </c>
      <c r="Q5" s="23" t="s">
        <v>69</v>
      </c>
      <c r="R5" s="23" t="s">
        <v>69</v>
      </c>
      <c r="S5" s="21" t="s">
        <v>1188</v>
      </c>
      <c r="T5" s="158">
        <v>17.510000000000002</v>
      </c>
      <c r="U5" s="23" t="s">
        <v>2677</v>
      </c>
      <c r="V5" s="179">
        <v>1.1039999999999999E-2</v>
      </c>
      <c r="W5" s="171">
        <v>0</v>
      </c>
      <c r="X5" s="21" t="s">
        <v>415</v>
      </c>
      <c r="Y5" s="21" t="s">
        <v>343</v>
      </c>
      <c r="Z5" s="23" t="s">
        <v>317</v>
      </c>
      <c r="AA5" s="23" t="s">
        <v>902</v>
      </c>
      <c r="AB5" s="2" t="s">
        <v>2678</v>
      </c>
      <c r="AC5" s="200">
        <v>45565</v>
      </c>
      <c r="AD5" s="158">
        <v>500000</v>
      </c>
      <c r="AE5" s="180">
        <v>3.71</v>
      </c>
      <c r="AF5" s="181">
        <v>0.1</v>
      </c>
      <c r="AG5" s="156">
        <v>1.855</v>
      </c>
      <c r="AJ5" s="23" t="s">
        <v>36</v>
      </c>
      <c r="AK5" s="171">
        <v>1.2792380034924401E-3</v>
      </c>
      <c r="AL5" s="171">
        <v>1.60006020217874E-6</v>
      </c>
    </row>
    <row r="6" spans="1:38">
      <c r="A6" s="23">
        <v>419</v>
      </c>
      <c r="B6" s="23">
        <v>419</v>
      </c>
      <c r="C6" s="23" t="s">
        <v>2639</v>
      </c>
      <c r="D6" s="23" t="s">
        <v>2640</v>
      </c>
      <c r="E6" s="21" t="s">
        <v>1321</v>
      </c>
      <c r="F6" s="201" t="s">
        <v>2679</v>
      </c>
      <c r="G6" s="19" t="s">
        <v>2680</v>
      </c>
      <c r="H6" s="23" t="s">
        <v>324</v>
      </c>
      <c r="I6" s="23" t="s">
        <v>760</v>
      </c>
      <c r="J6" s="21" t="s">
        <v>30</v>
      </c>
      <c r="K6" s="21" t="s">
        <v>30</v>
      </c>
      <c r="L6" s="23" t="s">
        <v>317</v>
      </c>
      <c r="M6" s="23" t="s">
        <v>454</v>
      </c>
      <c r="N6" s="23" t="s">
        <v>140</v>
      </c>
      <c r="O6" s="23" t="s">
        <v>2551</v>
      </c>
      <c r="P6" s="23" t="s">
        <v>2681</v>
      </c>
      <c r="Q6" s="23" t="s">
        <v>416</v>
      </c>
      <c r="R6" s="23" t="s">
        <v>410</v>
      </c>
      <c r="S6" s="21" t="s">
        <v>34</v>
      </c>
      <c r="T6" s="158">
        <v>0</v>
      </c>
      <c r="U6" s="23" t="s">
        <v>2682</v>
      </c>
      <c r="V6" s="179">
        <v>0</v>
      </c>
      <c r="W6" s="171">
        <v>5.6000000000000001E-2</v>
      </c>
      <c r="X6" s="21" t="s">
        <v>415</v>
      </c>
      <c r="Y6" s="21" t="s">
        <v>343</v>
      </c>
      <c r="Z6" s="23" t="s">
        <v>317</v>
      </c>
      <c r="AA6" s="23" t="s">
        <v>902</v>
      </c>
      <c r="AB6" s="2" t="s">
        <v>142</v>
      </c>
      <c r="AC6" s="192">
        <v>45291</v>
      </c>
      <c r="AD6" s="158">
        <v>1425065.35</v>
      </c>
      <c r="AE6" s="180">
        <v>1</v>
      </c>
      <c r="AF6" s="181">
        <v>0</v>
      </c>
      <c r="AG6" s="156">
        <v>0</v>
      </c>
      <c r="AJ6" s="23" t="s">
        <v>36</v>
      </c>
      <c r="AK6" s="171">
        <v>9.8274811492196804E-9</v>
      </c>
      <c r="AL6" s="171">
        <v>1.2292131277837799E-11</v>
      </c>
    </row>
    <row r="7" spans="1:38">
      <c r="A7" s="23">
        <v>419</v>
      </c>
      <c r="B7" s="23">
        <v>419</v>
      </c>
      <c r="C7" s="23" t="s">
        <v>2683</v>
      </c>
      <c r="D7" s="23" t="s">
        <v>2684</v>
      </c>
      <c r="E7" s="21" t="s">
        <v>1321</v>
      </c>
      <c r="F7" s="202" t="s">
        <v>2685</v>
      </c>
      <c r="G7" s="19" t="s">
        <v>2686</v>
      </c>
      <c r="H7" s="23" t="s">
        <v>324</v>
      </c>
      <c r="I7" s="23" t="s">
        <v>760</v>
      </c>
      <c r="J7" s="21" t="s">
        <v>30</v>
      </c>
      <c r="K7" s="21" t="s">
        <v>30</v>
      </c>
      <c r="L7" s="23" t="s">
        <v>317</v>
      </c>
      <c r="M7" s="23" t="s">
        <v>482</v>
      </c>
      <c r="N7" s="23" t="s">
        <v>140</v>
      </c>
      <c r="O7" s="23" t="s">
        <v>2687</v>
      </c>
      <c r="P7" s="23" t="s">
        <v>1956</v>
      </c>
      <c r="Q7" s="23" t="s">
        <v>416</v>
      </c>
      <c r="R7" s="23" t="s">
        <v>410</v>
      </c>
      <c r="S7" s="21" t="s">
        <v>34</v>
      </c>
      <c r="T7" s="158">
        <v>0.55000000000000004</v>
      </c>
      <c r="U7" s="23" t="s">
        <v>2688</v>
      </c>
      <c r="V7" s="179">
        <v>2.3E-2</v>
      </c>
      <c r="W7" s="171">
        <v>7.7499999999999999E-2</v>
      </c>
      <c r="X7" s="21" t="s">
        <v>415</v>
      </c>
      <c r="Y7" s="21" t="s">
        <v>140</v>
      </c>
      <c r="Z7" s="23" t="s">
        <v>899</v>
      </c>
      <c r="AA7" s="23" t="s">
        <v>902</v>
      </c>
      <c r="AB7" s="2" t="s">
        <v>142</v>
      </c>
      <c r="AC7" s="200">
        <v>45565</v>
      </c>
      <c r="AD7" s="158">
        <v>117795.06</v>
      </c>
      <c r="AE7" s="180">
        <v>1</v>
      </c>
      <c r="AF7" s="181">
        <v>148.88999999999999</v>
      </c>
      <c r="AG7" s="158">
        <v>175.38499999999999</v>
      </c>
      <c r="AH7" s="23"/>
      <c r="AI7" s="23"/>
      <c r="AJ7" s="23" t="s">
        <v>36</v>
      </c>
      <c r="AK7" s="171">
        <v>0.12094837745586901</v>
      </c>
      <c r="AL7" s="171">
        <v>1.51281219567343E-4</v>
      </c>
    </row>
    <row r="8" spans="1:38">
      <c r="A8" s="23">
        <v>419</v>
      </c>
      <c r="B8" s="23">
        <v>419</v>
      </c>
      <c r="C8" s="23" t="s">
        <v>2689</v>
      </c>
      <c r="D8" s="23" t="s">
        <v>2690</v>
      </c>
      <c r="E8" s="21" t="s">
        <v>1321</v>
      </c>
      <c r="F8" s="202" t="s">
        <v>2691</v>
      </c>
      <c r="G8" s="23">
        <v>3980042</v>
      </c>
      <c r="H8" s="23" t="s">
        <v>33</v>
      </c>
      <c r="I8" s="23" t="s">
        <v>973</v>
      </c>
      <c r="J8" s="21" t="s">
        <v>30</v>
      </c>
      <c r="K8" s="21" t="s">
        <v>30</v>
      </c>
      <c r="L8" s="23" t="s">
        <v>317</v>
      </c>
      <c r="M8" s="23" t="s">
        <v>466</v>
      </c>
      <c r="N8" s="23" t="s">
        <v>140</v>
      </c>
      <c r="O8" s="23" t="s">
        <v>2692</v>
      </c>
      <c r="P8" s="23" t="s">
        <v>68</v>
      </c>
      <c r="Q8" s="23" t="s">
        <v>69</v>
      </c>
      <c r="R8" s="23" t="s">
        <v>69</v>
      </c>
      <c r="S8" s="21" t="s">
        <v>34</v>
      </c>
      <c r="T8" s="158">
        <v>0</v>
      </c>
      <c r="U8" s="23" t="s">
        <v>2693</v>
      </c>
      <c r="V8" s="179">
        <v>0</v>
      </c>
      <c r="W8" s="171">
        <v>0</v>
      </c>
      <c r="X8" s="21" t="s">
        <v>414</v>
      </c>
      <c r="Y8" s="21" t="s">
        <v>343</v>
      </c>
      <c r="Z8" s="23" t="s">
        <v>317</v>
      </c>
      <c r="AA8" s="23" t="s">
        <v>902</v>
      </c>
      <c r="AB8" s="2" t="s">
        <v>2694</v>
      </c>
      <c r="AC8" s="192">
        <v>45291</v>
      </c>
      <c r="AD8" s="158">
        <v>11192.76</v>
      </c>
      <c r="AE8" s="180">
        <v>1</v>
      </c>
      <c r="AF8" s="181">
        <v>0</v>
      </c>
      <c r="AG8" s="158">
        <v>0</v>
      </c>
      <c r="AH8" s="23"/>
      <c r="AI8" s="23"/>
      <c r="AJ8" s="23" t="s">
        <v>36</v>
      </c>
      <c r="AK8" s="171">
        <v>7.7187083320592998E-11</v>
      </c>
      <c r="AL8" s="171">
        <v>9.6544958644410302E-14</v>
      </c>
    </row>
    <row r="9" spans="1:38">
      <c r="A9" s="23">
        <v>419</v>
      </c>
      <c r="B9" s="23">
        <v>419</v>
      </c>
      <c r="C9" s="23" t="s">
        <v>2689</v>
      </c>
      <c r="D9" s="23" t="s">
        <v>2690</v>
      </c>
      <c r="E9" s="21" t="s">
        <v>1321</v>
      </c>
      <c r="F9" s="202" t="s">
        <v>2695</v>
      </c>
      <c r="G9" s="19" t="s">
        <v>2696</v>
      </c>
      <c r="H9" s="23" t="s">
        <v>324</v>
      </c>
      <c r="I9" s="23" t="s">
        <v>760</v>
      </c>
      <c r="J9" s="21" t="s">
        <v>30</v>
      </c>
      <c r="K9" s="21" t="s">
        <v>30</v>
      </c>
      <c r="L9" s="23" t="s">
        <v>317</v>
      </c>
      <c r="M9" s="23" t="s">
        <v>466</v>
      </c>
      <c r="N9" s="23" t="s">
        <v>140</v>
      </c>
      <c r="O9" s="23" t="s">
        <v>2692</v>
      </c>
      <c r="P9" s="23" t="s">
        <v>68</v>
      </c>
      <c r="Q9" s="23" t="s">
        <v>69</v>
      </c>
      <c r="R9" s="23" t="s">
        <v>69</v>
      </c>
      <c r="S9" s="21" t="s">
        <v>34</v>
      </c>
      <c r="T9" s="158">
        <v>0</v>
      </c>
      <c r="U9" s="23" t="s">
        <v>2693</v>
      </c>
      <c r="V9" s="179">
        <v>0</v>
      </c>
      <c r="W9" s="171">
        <v>0</v>
      </c>
      <c r="X9" s="21" t="s">
        <v>414</v>
      </c>
      <c r="Y9" s="21" t="s">
        <v>343</v>
      </c>
      <c r="Z9" s="23" t="s">
        <v>317</v>
      </c>
      <c r="AA9" s="23" t="s">
        <v>902</v>
      </c>
      <c r="AB9" s="2" t="s">
        <v>2694</v>
      </c>
      <c r="AC9" s="192">
        <v>45291</v>
      </c>
      <c r="AD9" s="158">
        <v>8177.32</v>
      </c>
      <c r="AE9" s="180">
        <v>1</v>
      </c>
      <c r="AF9" s="181">
        <v>0</v>
      </c>
      <c r="AG9" s="158">
        <v>0</v>
      </c>
      <c r="AH9" s="23"/>
      <c r="AI9" s="23"/>
      <c r="AJ9" s="23" t="s">
        <v>36</v>
      </c>
      <c r="AK9" s="171">
        <v>5.6392121351583692E-11</v>
      </c>
      <c r="AL9" s="171">
        <v>7.0534794029543105E-14</v>
      </c>
    </row>
    <row r="10" spans="1:38">
      <c r="A10" s="23">
        <v>419</v>
      </c>
      <c r="B10" s="23">
        <v>419</v>
      </c>
      <c r="C10" s="23" t="s">
        <v>2660</v>
      </c>
      <c r="D10" s="23" t="s">
        <v>2661</v>
      </c>
      <c r="E10" s="21" t="s">
        <v>1321</v>
      </c>
      <c r="F10" s="202" t="s">
        <v>2662</v>
      </c>
      <c r="G10" s="19" t="s">
        <v>2663</v>
      </c>
      <c r="H10" s="23" t="s">
        <v>324</v>
      </c>
      <c r="I10" s="23" t="s">
        <v>973</v>
      </c>
      <c r="J10" s="21" t="s">
        <v>30</v>
      </c>
      <c r="K10" s="21" t="s">
        <v>30</v>
      </c>
      <c r="L10" s="23" t="s">
        <v>317</v>
      </c>
      <c r="M10" s="23" t="s">
        <v>467</v>
      </c>
      <c r="N10" s="23" t="s">
        <v>140</v>
      </c>
      <c r="O10" s="23" t="s">
        <v>2643</v>
      </c>
      <c r="P10" s="23" t="s">
        <v>1956</v>
      </c>
      <c r="Q10" s="23" t="s">
        <v>418</v>
      </c>
      <c r="R10" s="23" t="s">
        <v>410</v>
      </c>
      <c r="S10" s="21" t="s">
        <v>34</v>
      </c>
      <c r="T10" s="158">
        <v>1.68</v>
      </c>
      <c r="U10" s="23" t="s">
        <v>2664</v>
      </c>
      <c r="V10" s="179">
        <v>5.2999999999999999E-2</v>
      </c>
      <c r="W10" s="171">
        <v>3.1E-2</v>
      </c>
      <c r="X10" s="21" t="s">
        <v>415</v>
      </c>
      <c r="Y10" s="21" t="s">
        <v>140</v>
      </c>
      <c r="Z10" s="23" t="s">
        <v>899</v>
      </c>
      <c r="AA10" s="23" t="s">
        <v>902</v>
      </c>
      <c r="AB10" s="2" t="s">
        <v>142</v>
      </c>
      <c r="AC10" s="200">
        <v>45565</v>
      </c>
      <c r="AD10" s="158">
        <v>1119956.42</v>
      </c>
      <c r="AE10" s="180">
        <v>1</v>
      </c>
      <c r="AF10" s="181">
        <v>96.56</v>
      </c>
      <c r="AG10" s="158">
        <v>1081.43</v>
      </c>
      <c r="AH10" s="23"/>
      <c r="AI10" s="23"/>
      <c r="AJ10" s="23" t="s">
        <v>36</v>
      </c>
      <c r="AK10" s="171">
        <v>0.74577156371589903</v>
      </c>
      <c r="AL10" s="171">
        <v>9.3280483831832196E-4</v>
      </c>
    </row>
    <row r="11" spans="1:38">
      <c r="A11" s="23">
        <v>419</v>
      </c>
      <c r="B11" s="23">
        <v>419</v>
      </c>
      <c r="C11" s="23" t="s">
        <v>2697</v>
      </c>
      <c r="D11" s="23" t="s">
        <v>2698</v>
      </c>
      <c r="E11" s="21" t="s">
        <v>1321</v>
      </c>
      <c r="F11" s="202" t="s">
        <v>2699</v>
      </c>
      <c r="G11" s="19" t="s">
        <v>2700</v>
      </c>
      <c r="H11" s="23" t="s">
        <v>324</v>
      </c>
      <c r="I11" s="23" t="s">
        <v>761</v>
      </c>
      <c r="J11" s="21" t="s">
        <v>30</v>
      </c>
      <c r="K11" s="21" t="s">
        <v>30</v>
      </c>
      <c r="L11" s="23" t="s">
        <v>317</v>
      </c>
      <c r="M11" s="23" t="s">
        <v>439</v>
      </c>
      <c r="N11" s="23" t="s">
        <v>140</v>
      </c>
      <c r="O11" s="23" t="s">
        <v>2643</v>
      </c>
      <c r="P11" s="23" t="s">
        <v>2116</v>
      </c>
      <c r="Q11" s="23" t="s">
        <v>418</v>
      </c>
      <c r="R11" s="23" t="s">
        <v>410</v>
      </c>
      <c r="S11" s="21" t="s">
        <v>1188</v>
      </c>
      <c r="T11" s="158">
        <v>1.47</v>
      </c>
      <c r="U11" s="23" t="s">
        <v>2701</v>
      </c>
      <c r="V11" s="179">
        <v>5.4300000000000001E-2</v>
      </c>
      <c r="W11" s="171">
        <v>7.9699999999999993E-2</v>
      </c>
      <c r="X11" s="21" t="s">
        <v>415</v>
      </c>
      <c r="Y11" s="21" t="s">
        <v>140</v>
      </c>
      <c r="Z11" s="23" t="s">
        <v>899</v>
      </c>
      <c r="AA11" s="23" t="s">
        <v>902</v>
      </c>
      <c r="AB11" s="2" t="s">
        <v>142</v>
      </c>
      <c r="AC11" s="200">
        <v>45565</v>
      </c>
      <c r="AD11" s="158">
        <v>48792.28</v>
      </c>
      <c r="AE11" s="180">
        <v>3.71</v>
      </c>
      <c r="AF11" s="181">
        <v>105.74</v>
      </c>
      <c r="AG11" s="158">
        <v>191.41</v>
      </c>
      <c r="AH11" s="23"/>
      <c r="AI11" s="23"/>
      <c r="AJ11" s="23" t="s">
        <v>36</v>
      </c>
      <c r="AK11" s="171">
        <v>0.13199934228641699</v>
      </c>
      <c r="AL11" s="171">
        <v>1.6510367400722299E-4</v>
      </c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autoFilter ref="A1:AL11" xr:uid="{2C746C9B-D3A8-4E56-BBB6-D3FD5AF4D972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O1" zoomScale="70" zoomScaleNormal="70" workbookViewId="0">
      <selection activeCell="AH4" sqref="AH4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5</v>
      </c>
      <c r="J1" s="22" t="s">
        <v>6</v>
      </c>
      <c r="K1" s="22" t="s">
        <v>7</v>
      </c>
      <c r="L1" s="22" t="s">
        <v>329</v>
      </c>
      <c r="M1" s="22" t="s">
        <v>151</v>
      </c>
      <c r="N1" s="22" t="s">
        <v>126</v>
      </c>
      <c r="O1" s="22" t="s">
        <v>159</v>
      </c>
      <c r="P1" s="22" t="s">
        <v>11</v>
      </c>
      <c r="Q1" s="22" t="s">
        <v>152</v>
      </c>
      <c r="R1" s="22" t="s">
        <v>153</v>
      </c>
      <c r="S1" s="22" t="s">
        <v>135</v>
      </c>
      <c r="T1" s="22" t="s">
        <v>154</v>
      </c>
      <c r="U1" s="22" t="s">
        <v>17</v>
      </c>
      <c r="V1" s="164" t="s">
        <v>18</v>
      </c>
      <c r="W1" s="175" t="s">
        <v>19</v>
      </c>
      <c r="X1" s="22" t="s">
        <v>20</v>
      </c>
      <c r="Y1" s="170" t="s">
        <v>24</v>
      </c>
      <c r="Z1" s="170" t="s">
        <v>25</v>
      </c>
    </row>
    <row r="2" spans="1:26">
      <c r="A2" s="23">
        <v>419</v>
      </c>
      <c r="B2" s="23">
        <v>419</v>
      </c>
      <c r="C2" s="23" t="s">
        <v>2639</v>
      </c>
      <c r="D2" s="23" t="s">
        <v>2640</v>
      </c>
      <c r="E2" s="21" t="s">
        <v>1321</v>
      </c>
      <c r="F2" s="23" t="s">
        <v>2641</v>
      </c>
      <c r="G2" s="23" t="s">
        <v>2642</v>
      </c>
      <c r="H2" s="21" t="s">
        <v>33</v>
      </c>
      <c r="I2" s="23" t="s">
        <v>772</v>
      </c>
      <c r="J2" s="21" t="s">
        <v>30</v>
      </c>
      <c r="K2" s="21" t="s">
        <v>30</v>
      </c>
      <c r="L2" s="23" t="s">
        <v>317</v>
      </c>
      <c r="M2" s="23" t="s">
        <v>465</v>
      </c>
      <c r="N2" s="23" t="s">
        <v>140</v>
      </c>
      <c r="O2" s="23" t="s">
        <v>2643</v>
      </c>
      <c r="P2" s="21" t="s">
        <v>34</v>
      </c>
      <c r="Q2" s="23" t="s">
        <v>317</v>
      </c>
      <c r="R2" s="23" t="s">
        <v>902</v>
      </c>
      <c r="S2" s="23" t="s">
        <v>2644</v>
      </c>
      <c r="T2" s="192">
        <v>45291</v>
      </c>
      <c r="U2" s="158">
        <v>115240.55</v>
      </c>
      <c r="V2" s="180">
        <v>1</v>
      </c>
      <c r="W2" s="181">
        <v>1E-3</v>
      </c>
      <c r="X2" s="158">
        <v>1E-3</v>
      </c>
      <c r="Y2" s="179">
        <v>2.2095732764532101E-6</v>
      </c>
      <c r="Z2" s="179">
        <v>9.9402597160209806E-10</v>
      </c>
    </row>
    <row r="3" spans="1:26">
      <c r="A3" s="23">
        <v>419</v>
      </c>
      <c r="B3" s="23">
        <v>419</v>
      </c>
      <c r="C3" s="23" t="s">
        <v>2645</v>
      </c>
      <c r="D3" s="23" t="s">
        <v>2646</v>
      </c>
      <c r="E3" s="21" t="s">
        <v>1321</v>
      </c>
      <c r="F3" s="23" t="s">
        <v>2645</v>
      </c>
      <c r="G3" s="23" t="s">
        <v>2647</v>
      </c>
      <c r="H3" s="21" t="s">
        <v>324</v>
      </c>
      <c r="I3" s="23" t="s">
        <v>772</v>
      </c>
      <c r="J3" s="21" t="s">
        <v>30</v>
      </c>
      <c r="K3" s="21" t="s">
        <v>30</v>
      </c>
      <c r="L3" s="23" t="s">
        <v>317</v>
      </c>
      <c r="M3" s="23" t="s">
        <v>469</v>
      </c>
      <c r="N3" s="23" t="s">
        <v>140</v>
      </c>
      <c r="O3" s="23" t="s">
        <v>2458</v>
      </c>
      <c r="P3" s="21" t="s">
        <v>34</v>
      </c>
      <c r="Q3" s="23" t="s">
        <v>317</v>
      </c>
      <c r="R3" s="23" t="s">
        <v>902</v>
      </c>
      <c r="S3" s="23" t="s">
        <v>2648</v>
      </c>
      <c r="T3" s="192">
        <v>45291</v>
      </c>
      <c r="U3" s="158">
        <v>3509</v>
      </c>
      <c r="V3" s="180">
        <v>1</v>
      </c>
      <c r="W3" s="181">
        <v>0</v>
      </c>
      <c r="X3" s="158">
        <v>0</v>
      </c>
      <c r="Y3" s="179">
        <v>6.728007309123679E-11</v>
      </c>
      <c r="Z3" s="179">
        <v>3.0267446088653399E-14</v>
      </c>
    </row>
    <row r="4" spans="1:26">
      <c r="A4" s="23">
        <v>419</v>
      </c>
      <c r="B4" s="23">
        <v>419</v>
      </c>
      <c r="C4" s="23" t="s">
        <v>2649</v>
      </c>
      <c r="D4" s="23" t="s">
        <v>2650</v>
      </c>
      <c r="E4" s="21" t="s">
        <v>1321</v>
      </c>
      <c r="F4" s="23" t="s">
        <v>2651</v>
      </c>
      <c r="G4" s="23" t="s">
        <v>2652</v>
      </c>
      <c r="H4" s="21" t="s">
        <v>33</v>
      </c>
      <c r="I4" s="23" t="s">
        <v>772</v>
      </c>
      <c r="J4" s="21" t="s">
        <v>30</v>
      </c>
      <c r="K4" s="21" t="s">
        <v>30</v>
      </c>
      <c r="L4" s="23" t="s">
        <v>317</v>
      </c>
      <c r="M4" s="23" t="s">
        <v>780</v>
      </c>
      <c r="N4" s="23" t="s">
        <v>140</v>
      </c>
      <c r="O4" s="2" t="s">
        <v>2653</v>
      </c>
      <c r="P4" s="21" t="s">
        <v>34</v>
      </c>
      <c r="Q4" s="23" t="s">
        <v>317</v>
      </c>
      <c r="R4" s="23" t="s">
        <v>902</v>
      </c>
      <c r="S4" s="23" t="s">
        <v>2654</v>
      </c>
      <c r="T4" s="200">
        <v>45565</v>
      </c>
      <c r="U4" s="158">
        <v>18541</v>
      </c>
      <c r="V4" s="180">
        <v>1</v>
      </c>
      <c r="W4" s="181">
        <v>2812.9549999999999</v>
      </c>
      <c r="X4" s="158">
        <v>521.54999999999995</v>
      </c>
      <c r="Y4" s="179">
        <v>0.99999779034646297</v>
      </c>
      <c r="Z4" s="179">
        <v>4.4987137821683498E-4</v>
      </c>
    </row>
    <row r="5" spans="1:26">
      <c r="A5" s="23">
        <v>419</v>
      </c>
      <c r="B5" s="23">
        <v>419</v>
      </c>
      <c r="C5" s="23" t="s">
        <v>2655</v>
      </c>
      <c r="D5" s="23" t="s">
        <v>2656</v>
      </c>
      <c r="E5" s="21" t="s">
        <v>1321</v>
      </c>
      <c r="F5" s="23" t="s">
        <v>2657</v>
      </c>
      <c r="G5" s="23" t="s">
        <v>2658</v>
      </c>
      <c r="H5" s="21" t="s">
        <v>324</v>
      </c>
      <c r="I5" s="23" t="s">
        <v>772</v>
      </c>
      <c r="J5" s="21" t="s">
        <v>30</v>
      </c>
      <c r="K5" s="21" t="s">
        <v>30</v>
      </c>
      <c r="L5" s="23" t="s">
        <v>317</v>
      </c>
      <c r="M5" s="23" t="s">
        <v>467</v>
      </c>
      <c r="N5" s="23" t="s">
        <v>140</v>
      </c>
      <c r="O5" s="23" t="s">
        <v>2458</v>
      </c>
      <c r="P5" s="21" t="s">
        <v>34</v>
      </c>
      <c r="Q5" s="23" t="s">
        <v>317</v>
      </c>
      <c r="R5" s="23" t="s">
        <v>902</v>
      </c>
      <c r="S5" s="23" t="s">
        <v>2659</v>
      </c>
      <c r="T5" s="192">
        <v>45291</v>
      </c>
      <c r="U5" s="158">
        <v>677</v>
      </c>
      <c r="V5" s="180">
        <v>1</v>
      </c>
      <c r="W5" s="181">
        <v>0</v>
      </c>
      <c r="X5" s="158">
        <v>0</v>
      </c>
      <c r="Y5" s="179">
        <v>1.29805099694407E-11</v>
      </c>
      <c r="Z5" s="179">
        <v>5.8395728133424003E-15</v>
      </c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>
      <selection activeCell="M35" sqref="M35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191</v>
      </c>
      <c r="D1" s="22" t="s">
        <v>192</v>
      </c>
      <c r="E1" s="22" t="s">
        <v>193</v>
      </c>
      <c r="F1" s="22" t="s">
        <v>194</v>
      </c>
      <c r="G1" s="22" t="s">
        <v>195</v>
      </c>
      <c r="H1" s="22" t="s">
        <v>196</v>
      </c>
      <c r="I1" s="22" t="s">
        <v>5</v>
      </c>
      <c r="J1" s="22" t="s">
        <v>837</v>
      </c>
      <c r="K1" s="22" t="s">
        <v>6</v>
      </c>
      <c r="L1" s="22" t="s">
        <v>1136</v>
      </c>
      <c r="M1" s="22" t="s">
        <v>1137</v>
      </c>
      <c r="N1" s="22" t="s">
        <v>7</v>
      </c>
      <c r="O1" s="22" t="s">
        <v>126</v>
      </c>
      <c r="P1" s="32" t="s">
        <v>159</v>
      </c>
      <c r="Q1" s="22" t="s">
        <v>11</v>
      </c>
      <c r="R1" s="22" t="s">
        <v>152</v>
      </c>
      <c r="S1" s="22" t="s">
        <v>153</v>
      </c>
      <c r="T1" s="22" t="s">
        <v>135</v>
      </c>
      <c r="U1" s="164" t="s">
        <v>18</v>
      </c>
      <c r="V1" s="109" t="s">
        <v>2454</v>
      </c>
      <c r="W1" s="22" t="s">
        <v>20</v>
      </c>
      <c r="X1" s="22" t="s">
        <v>1139</v>
      </c>
      <c r="Y1" s="170" t="s">
        <v>24</v>
      </c>
      <c r="Z1" s="170" t="s">
        <v>25</v>
      </c>
      <c r="AA1" s="11"/>
    </row>
    <row r="2" spans="1:27">
      <c r="A2" s="23">
        <v>419</v>
      </c>
      <c r="B2" s="23">
        <v>419</v>
      </c>
      <c r="C2" s="23" t="s">
        <v>2455</v>
      </c>
      <c r="D2" s="23" t="s">
        <v>2456</v>
      </c>
      <c r="E2" s="23" t="s">
        <v>1321</v>
      </c>
      <c r="F2" s="23" t="s">
        <v>2457</v>
      </c>
      <c r="G2" s="23">
        <v>36152</v>
      </c>
      <c r="H2" s="23" t="s">
        <v>33</v>
      </c>
      <c r="I2" s="2" t="s">
        <v>1034</v>
      </c>
      <c r="J2" s="23" t="s">
        <v>573</v>
      </c>
      <c r="K2" s="21" t="s">
        <v>30</v>
      </c>
      <c r="L2" s="23" t="s">
        <v>221</v>
      </c>
      <c r="M2" s="23" t="s">
        <v>30</v>
      </c>
      <c r="N2" s="21" t="s">
        <v>30</v>
      </c>
      <c r="O2" s="23" t="s">
        <v>140</v>
      </c>
      <c r="P2" t="s">
        <v>2458</v>
      </c>
      <c r="Q2" s="21" t="s">
        <v>34</v>
      </c>
      <c r="R2" s="23" t="s">
        <v>898</v>
      </c>
      <c r="S2" s="23" t="s">
        <v>1338</v>
      </c>
      <c r="T2" s="23" t="s">
        <v>2459</v>
      </c>
      <c r="U2" s="180">
        <v>1</v>
      </c>
      <c r="V2" s="158">
        <v>7659.5069999999996</v>
      </c>
      <c r="W2" s="158">
        <v>7659.5069999999996</v>
      </c>
      <c r="X2" s="179">
        <v>6.3291139240506302E-3</v>
      </c>
      <c r="Y2" s="179">
        <v>4.1944038656867202E-2</v>
      </c>
      <c r="Z2" s="179">
        <v>6.6068313215963802E-3</v>
      </c>
    </row>
    <row r="3" spans="1:27">
      <c r="A3" s="23">
        <v>419</v>
      </c>
      <c r="B3" s="23">
        <v>419</v>
      </c>
      <c r="C3" s="23" t="s">
        <v>2460</v>
      </c>
      <c r="D3" s="2" t="s">
        <v>2461</v>
      </c>
      <c r="E3" s="23" t="s">
        <v>314</v>
      </c>
      <c r="F3" s="23" t="s">
        <v>2462</v>
      </c>
      <c r="G3" s="23">
        <v>620143861</v>
      </c>
      <c r="H3" s="23" t="s">
        <v>33</v>
      </c>
      <c r="I3" s="2" t="s">
        <v>1032</v>
      </c>
      <c r="J3" s="23" t="s">
        <v>857</v>
      </c>
      <c r="K3" s="21" t="s">
        <v>30</v>
      </c>
      <c r="L3" s="23" t="s">
        <v>30</v>
      </c>
      <c r="M3" s="23" t="s">
        <v>30</v>
      </c>
      <c r="N3" s="21" t="s">
        <v>30</v>
      </c>
      <c r="O3" s="23" t="s">
        <v>140</v>
      </c>
      <c r="P3" t="s">
        <v>2463</v>
      </c>
      <c r="Q3" s="21" t="s">
        <v>1188</v>
      </c>
      <c r="R3" s="23" t="s">
        <v>898</v>
      </c>
      <c r="S3" s="23" t="s">
        <v>1338</v>
      </c>
      <c r="T3" s="30" t="s">
        <v>2464</v>
      </c>
      <c r="U3" s="180">
        <v>3.71</v>
      </c>
      <c r="V3" s="158">
        <v>381.18099999999998</v>
      </c>
      <c r="W3" s="158">
        <v>1414.182</v>
      </c>
      <c r="X3" s="186">
        <v>5.4373859119920204E-3</v>
      </c>
      <c r="Y3" s="179">
        <v>7.7441659761206001E-3</v>
      </c>
      <c r="Z3" s="179">
        <v>1.2198252712199899E-3</v>
      </c>
    </row>
    <row r="4" spans="1:27">
      <c r="A4" s="23">
        <v>419</v>
      </c>
      <c r="B4" s="23">
        <v>419</v>
      </c>
      <c r="C4" s="23" t="s">
        <v>2465</v>
      </c>
      <c r="D4" s="2" t="s">
        <v>2466</v>
      </c>
      <c r="E4" s="23" t="s">
        <v>1321</v>
      </c>
      <c r="F4" s="23" t="s">
        <v>2467</v>
      </c>
      <c r="G4" s="23">
        <v>620185288</v>
      </c>
      <c r="H4" s="23" t="s">
        <v>33</v>
      </c>
      <c r="I4" s="2" t="s">
        <v>1032</v>
      </c>
      <c r="J4" s="23" t="s">
        <v>845</v>
      </c>
      <c r="K4" s="21" t="s">
        <v>209</v>
      </c>
      <c r="L4" s="23" t="s">
        <v>30</v>
      </c>
      <c r="M4" s="23" t="s">
        <v>30</v>
      </c>
      <c r="N4" s="21" t="s">
        <v>297</v>
      </c>
      <c r="O4" s="23" t="s">
        <v>140</v>
      </c>
      <c r="P4" t="s">
        <v>2468</v>
      </c>
      <c r="Q4" s="21" t="s">
        <v>1190</v>
      </c>
      <c r="R4" s="23" t="s">
        <v>317</v>
      </c>
      <c r="S4" s="23" t="s">
        <v>1338</v>
      </c>
      <c r="T4" s="23" t="s">
        <v>2469</v>
      </c>
      <c r="U4" s="180">
        <v>4.1524000000000001</v>
      </c>
      <c r="V4" s="158">
        <v>437.42</v>
      </c>
      <c r="W4" s="158">
        <v>1816.3430000000001</v>
      </c>
      <c r="X4" s="186">
        <v>4.0000000000000001E-3</v>
      </c>
      <c r="Y4" s="179">
        <v>9.9464318974060908E-3</v>
      </c>
      <c r="Z4" s="179">
        <v>1.5667160316988E-3</v>
      </c>
    </row>
    <row r="5" spans="1:27">
      <c r="A5" s="23">
        <v>419</v>
      </c>
      <c r="B5" s="23">
        <v>419</v>
      </c>
      <c r="C5" s="23" t="s">
        <v>2470</v>
      </c>
      <c r="D5" s="2" t="s">
        <v>2471</v>
      </c>
      <c r="E5" s="23" t="s">
        <v>315</v>
      </c>
      <c r="F5" s="23" t="s">
        <v>2472</v>
      </c>
      <c r="G5" s="23">
        <v>62017133</v>
      </c>
      <c r="H5" s="23" t="s">
        <v>33</v>
      </c>
      <c r="I5" s="2" t="s">
        <v>1032</v>
      </c>
      <c r="J5" s="23" t="s">
        <v>849</v>
      </c>
      <c r="K5" s="21" t="s">
        <v>30</v>
      </c>
      <c r="L5" s="23" t="s">
        <v>221</v>
      </c>
      <c r="M5" s="23" t="s">
        <v>30</v>
      </c>
      <c r="N5" s="21" t="s">
        <v>30</v>
      </c>
      <c r="O5" s="23" t="s">
        <v>140</v>
      </c>
      <c r="P5" t="s">
        <v>2473</v>
      </c>
      <c r="Q5" s="21" t="s">
        <v>34</v>
      </c>
      <c r="R5" s="23" t="s">
        <v>317</v>
      </c>
      <c r="S5" s="23" t="s">
        <v>1338</v>
      </c>
      <c r="T5" s="23" t="s">
        <v>2474</v>
      </c>
      <c r="U5" s="180">
        <v>1</v>
      </c>
      <c r="V5" s="158">
        <v>2072.723</v>
      </c>
      <c r="W5" s="158">
        <v>2072.723</v>
      </c>
      <c r="X5" s="186">
        <v>1.6E-2</v>
      </c>
      <c r="Y5" s="179">
        <v>1.13503876671788E-2</v>
      </c>
      <c r="Z5" s="179">
        <v>1.78786066275716E-3</v>
      </c>
    </row>
    <row r="6" spans="1:27">
      <c r="A6" s="23">
        <v>419</v>
      </c>
      <c r="B6" s="23">
        <v>419</v>
      </c>
      <c r="C6" s="23" t="s">
        <v>2475</v>
      </c>
      <c r="D6" s="2" t="s">
        <v>2476</v>
      </c>
      <c r="E6" s="23" t="s">
        <v>315</v>
      </c>
      <c r="F6" s="23" t="s">
        <v>2477</v>
      </c>
      <c r="G6" s="23">
        <v>500010150</v>
      </c>
      <c r="H6" s="23" t="s">
        <v>33</v>
      </c>
      <c r="I6" s="2" t="s">
        <v>1032</v>
      </c>
      <c r="J6" s="23" t="s">
        <v>851</v>
      </c>
      <c r="K6" s="21" t="s">
        <v>209</v>
      </c>
      <c r="L6" s="23" t="s">
        <v>221</v>
      </c>
      <c r="M6" s="23" t="s">
        <v>30</v>
      </c>
      <c r="N6" s="21" t="s">
        <v>300</v>
      </c>
      <c r="O6" s="23" t="s">
        <v>140</v>
      </c>
      <c r="P6" t="s">
        <v>2478</v>
      </c>
      <c r="Q6" s="21" t="s">
        <v>34</v>
      </c>
      <c r="R6" s="23" t="s">
        <v>317</v>
      </c>
      <c r="S6" s="23" t="s">
        <v>1338</v>
      </c>
      <c r="T6" s="23" t="s">
        <v>2479</v>
      </c>
      <c r="U6" s="180">
        <v>1</v>
      </c>
      <c r="V6" s="158">
        <v>3153.57</v>
      </c>
      <c r="W6" s="158">
        <v>3153.57</v>
      </c>
      <c r="X6" s="179">
        <v>2.4096385542168699E-3</v>
      </c>
      <c r="Y6" s="179">
        <v>1.72691877341478E-2</v>
      </c>
      <c r="Z6" s="179">
        <v>2.7201627233341299E-3</v>
      </c>
    </row>
    <row r="7" spans="1:27">
      <c r="A7" s="23">
        <v>419</v>
      </c>
      <c r="B7" s="23">
        <v>419</v>
      </c>
      <c r="C7" s="23" t="s">
        <v>2480</v>
      </c>
      <c r="D7" s="2" t="s">
        <v>2481</v>
      </c>
      <c r="E7" s="23" t="s">
        <v>315</v>
      </c>
      <c r="F7" s="23" t="s">
        <v>2482</v>
      </c>
      <c r="G7" s="23">
        <v>201400091</v>
      </c>
      <c r="H7" s="23" t="s">
        <v>33</v>
      </c>
      <c r="I7" s="2" t="s">
        <v>1032</v>
      </c>
      <c r="J7" s="23" t="s">
        <v>857</v>
      </c>
      <c r="K7" s="21" t="s">
        <v>30</v>
      </c>
      <c r="L7" s="23" t="s">
        <v>221</v>
      </c>
      <c r="M7" s="23" t="s">
        <v>30</v>
      </c>
      <c r="N7" s="21" t="s">
        <v>300</v>
      </c>
      <c r="O7" s="23" t="s">
        <v>140</v>
      </c>
      <c r="P7" t="s">
        <v>2483</v>
      </c>
      <c r="Q7" s="21" t="s">
        <v>1188</v>
      </c>
      <c r="R7" s="23" t="s">
        <v>317</v>
      </c>
      <c r="S7" s="23" t="s">
        <v>1338</v>
      </c>
      <c r="T7" s="23" t="s">
        <v>2484</v>
      </c>
      <c r="U7" s="180">
        <v>3.71</v>
      </c>
      <c r="V7" s="158">
        <v>1346.394</v>
      </c>
      <c r="W7" s="158">
        <v>4995.12</v>
      </c>
      <c r="X7" s="179">
        <v>3.1017369727047101E-3</v>
      </c>
      <c r="Y7" s="179">
        <v>2.7353656540617902E-2</v>
      </c>
      <c r="Z7" s="179">
        <v>4.3086216916585797E-3</v>
      </c>
    </row>
    <row r="8" spans="1:27">
      <c r="A8" s="23">
        <v>419</v>
      </c>
      <c r="B8" s="23">
        <v>419</v>
      </c>
      <c r="C8" s="23" t="s">
        <v>2485</v>
      </c>
      <c r="D8" s="2" t="s">
        <v>2486</v>
      </c>
      <c r="E8" s="23" t="s">
        <v>314</v>
      </c>
      <c r="F8" s="23" t="s">
        <v>2487</v>
      </c>
      <c r="G8" s="23">
        <v>500010160</v>
      </c>
      <c r="H8" s="23" t="s">
        <v>33</v>
      </c>
      <c r="I8" s="2" t="s">
        <v>1032</v>
      </c>
      <c r="J8" s="23" t="s">
        <v>855</v>
      </c>
      <c r="K8" s="21" t="s">
        <v>30</v>
      </c>
      <c r="L8" s="23" t="s">
        <v>30</v>
      </c>
      <c r="M8" s="23" t="s">
        <v>30</v>
      </c>
      <c r="N8" s="21" t="s">
        <v>30</v>
      </c>
      <c r="O8" s="23" t="s">
        <v>140</v>
      </c>
      <c r="P8" t="s">
        <v>2488</v>
      </c>
      <c r="Q8" s="21" t="s">
        <v>34</v>
      </c>
      <c r="R8" s="23" t="s">
        <v>898</v>
      </c>
      <c r="S8" s="23" t="s">
        <v>1338</v>
      </c>
      <c r="T8" s="23" t="s">
        <v>2489</v>
      </c>
      <c r="U8" s="180">
        <v>1</v>
      </c>
      <c r="V8" s="158">
        <v>1054.9939999999999</v>
      </c>
      <c r="W8" s="158">
        <v>1054.9939999999999</v>
      </c>
      <c r="X8" s="179">
        <v>9.3371428571428598E-3</v>
      </c>
      <c r="Y8" s="179">
        <v>5.7772250140526197E-3</v>
      </c>
      <c r="Z8" s="179">
        <v>9.1000181186662603E-4</v>
      </c>
    </row>
    <row r="9" spans="1:27">
      <c r="A9" s="23">
        <v>419</v>
      </c>
      <c r="B9" s="23">
        <v>419</v>
      </c>
      <c r="C9" s="23" t="s">
        <v>2490</v>
      </c>
      <c r="D9" s="2" t="s">
        <v>2491</v>
      </c>
      <c r="E9" s="23" t="s">
        <v>33</v>
      </c>
      <c r="F9" s="23" t="s">
        <v>2492</v>
      </c>
      <c r="G9" s="23">
        <v>62017132</v>
      </c>
      <c r="H9" s="23" t="s">
        <v>33</v>
      </c>
      <c r="I9" s="2" t="s">
        <v>1032</v>
      </c>
      <c r="J9" s="23" t="s">
        <v>573</v>
      </c>
      <c r="K9" s="21" t="s">
        <v>30</v>
      </c>
      <c r="L9" s="23"/>
      <c r="M9" s="23"/>
      <c r="N9" s="21" t="s">
        <v>297</v>
      </c>
      <c r="O9" s="23" t="s">
        <v>140</v>
      </c>
      <c r="P9" t="s">
        <v>2493</v>
      </c>
      <c r="Q9" s="21" t="s">
        <v>1190</v>
      </c>
      <c r="R9" s="23" t="s">
        <v>317</v>
      </c>
      <c r="S9" s="23" t="s">
        <v>1338</v>
      </c>
      <c r="T9" s="23" t="s">
        <v>2494</v>
      </c>
      <c r="U9" s="180">
        <v>4.1524000000000001</v>
      </c>
      <c r="V9" s="158">
        <v>645.14099999999996</v>
      </c>
      <c r="W9" s="158">
        <v>2678.8829999999998</v>
      </c>
      <c r="X9" s="179">
        <v>0</v>
      </c>
      <c r="Y9" s="179">
        <v>1.4669764634984201E-2</v>
      </c>
      <c r="Z9" s="179">
        <v>2.3107135977949601E-3</v>
      </c>
    </row>
    <row r="10" spans="1:27">
      <c r="A10" s="23">
        <v>419</v>
      </c>
      <c r="B10" s="23">
        <v>419</v>
      </c>
      <c r="C10" s="23" t="s">
        <v>2495</v>
      </c>
      <c r="D10" s="2" t="s">
        <v>2496</v>
      </c>
      <c r="E10" s="23" t="s">
        <v>315</v>
      </c>
      <c r="F10" s="23" t="s">
        <v>2497</v>
      </c>
      <c r="G10" s="23">
        <v>62017074</v>
      </c>
      <c r="H10" s="23" t="s">
        <v>33</v>
      </c>
      <c r="I10" s="2" t="s">
        <v>1032</v>
      </c>
      <c r="J10" s="23" t="s">
        <v>845</v>
      </c>
      <c r="K10" s="21" t="s">
        <v>209</v>
      </c>
      <c r="L10" s="23" t="s">
        <v>228</v>
      </c>
      <c r="M10" s="23" t="s">
        <v>228</v>
      </c>
      <c r="N10" s="21" t="s">
        <v>228</v>
      </c>
      <c r="O10" s="23" t="s">
        <v>140</v>
      </c>
      <c r="P10" t="s">
        <v>2498</v>
      </c>
      <c r="Q10" s="21" t="s">
        <v>1188</v>
      </c>
      <c r="R10" s="23" t="s">
        <v>317</v>
      </c>
      <c r="S10" s="23" t="s">
        <v>1338</v>
      </c>
      <c r="T10" s="23" t="s">
        <v>2499</v>
      </c>
      <c r="U10" s="180">
        <v>3.71</v>
      </c>
      <c r="V10" s="158">
        <v>2164.0479999999998</v>
      </c>
      <c r="W10" s="158">
        <v>8028.6189999999997</v>
      </c>
      <c r="X10" s="179">
        <v>1.83629435798559E-3</v>
      </c>
      <c r="Y10" s="179">
        <v>4.3965323643689699E-2</v>
      </c>
      <c r="Z10" s="179">
        <v>6.9252148008330803E-3</v>
      </c>
    </row>
    <row r="11" spans="1:27">
      <c r="A11" s="23">
        <v>419</v>
      </c>
      <c r="B11" s="23">
        <v>419</v>
      </c>
      <c r="C11" s="23" t="s">
        <v>2500</v>
      </c>
      <c r="D11" s="2" t="s">
        <v>2501</v>
      </c>
      <c r="E11" s="23" t="s">
        <v>314</v>
      </c>
      <c r="F11" s="23" t="s">
        <v>2502</v>
      </c>
      <c r="G11" s="23">
        <v>50000883</v>
      </c>
      <c r="H11" s="23" t="s">
        <v>33</v>
      </c>
      <c r="I11" s="2" t="s">
        <v>1032</v>
      </c>
      <c r="J11" s="23" t="s">
        <v>849</v>
      </c>
      <c r="K11" s="21" t="s">
        <v>30</v>
      </c>
      <c r="L11" s="23" t="s">
        <v>30</v>
      </c>
      <c r="M11" s="23" t="s">
        <v>30</v>
      </c>
      <c r="N11" s="21" t="s">
        <v>30</v>
      </c>
      <c r="O11" s="23" t="s">
        <v>140</v>
      </c>
      <c r="P11" t="s">
        <v>2483</v>
      </c>
      <c r="Q11" s="21" t="s">
        <v>34</v>
      </c>
      <c r="R11" s="23" t="s">
        <v>317</v>
      </c>
      <c r="S11" s="23" t="s">
        <v>1338</v>
      </c>
      <c r="T11" s="23" t="s">
        <v>2499</v>
      </c>
      <c r="U11" s="180">
        <v>1</v>
      </c>
      <c r="V11" s="158">
        <v>4124.91</v>
      </c>
      <c r="W11" s="158">
        <v>4124.91</v>
      </c>
      <c r="X11" s="179">
        <v>2.5664527956003699E-2</v>
      </c>
      <c r="Y11" s="179">
        <v>2.25883192491186E-2</v>
      </c>
      <c r="Z11" s="179">
        <v>3.5580077621557701E-3</v>
      </c>
    </row>
    <row r="12" spans="1:27">
      <c r="A12" s="23">
        <v>419</v>
      </c>
      <c r="B12" s="23">
        <v>419</v>
      </c>
      <c r="C12" s="23" t="s">
        <v>2503</v>
      </c>
      <c r="D12" s="2" t="s">
        <v>2504</v>
      </c>
      <c r="E12" s="23" t="s">
        <v>1321</v>
      </c>
      <c r="F12" s="23" t="s">
        <v>2505</v>
      </c>
      <c r="G12" s="23">
        <v>29992354</v>
      </c>
      <c r="H12" s="23" t="s">
        <v>33</v>
      </c>
      <c r="I12" s="2" t="s">
        <v>1036</v>
      </c>
      <c r="J12" s="23" t="s">
        <v>845</v>
      </c>
      <c r="K12" s="21" t="s">
        <v>30</v>
      </c>
      <c r="L12" s="23" t="s">
        <v>30</v>
      </c>
      <c r="M12" s="23" t="s">
        <v>30</v>
      </c>
      <c r="N12" s="21" t="s">
        <v>30</v>
      </c>
      <c r="O12" s="23" t="s">
        <v>140</v>
      </c>
      <c r="P12" t="s">
        <v>2506</v>
      </c>
      <c r="Q12" s="21" t="s">
        <v>34</v>
      </c>
      <c r="R12" s="23" t="s">
        <v>317</v>
      </c>
      <c r="S12" s="23" t="s">
        <v>1338</v>
      </c>
      <c r="T12" s="23" t="s">
        <v>2507</v>
      </c>
      <c r="U12" s="180">
        <v>1</v>
      </c>
      <c r="V12" s="158">
        <v>18.579000000000001</v>
      </c>
      <c r="W12" s="158">
        <v>18.579000000000001</v>
      </c>
      <c r="X12" s="179">
        <v>1.86328459808951E-3</v>
      </c>
      <c r="Y12" s="179">
        <v>1.01740054037948E-4</v>
      </c>
      <c r="Z12" s="179">
        <v>1.6025623597616399E-5</v>
      </c>
    </row>
    <row r="13" spans="1:27">
      <c r="A13" s="23">
        <v>419</v>
      </c>
      <c r="B13" s="23">
        <v>419</v>
      </c>
      <c r="C13" s="23" t="s">
        <v>2508</v>
      </c>
      <c r="D13" s="2" t="s">
        <v>2509</v>
      </c>
      <c r="E13" s="23" t="s">
        <v>1321</v>
      </c>
      <c r="F13" s="23" t="s">
        <v>2510</v>
      </c>
      <c r="G13" s="23">
        <v>400131020</v>
      </c>
      <c r="H13" s="23" t="s">
        <v>33</v>
      </c>
      <c r="I13" s="2" t="s">
        <v>1036</v>
      </c>
      <c r="J13" s="23" t="s">
        <v>843</v>
      </c>
      <c r="K13" s="21" t="s">
        <v>30</v>
      </c>
      <c r="L13" s="23" t="s">
        <v>30</v>
      </c>
      <c r="M13" s="23" t="s">
        <v>30</v>
      </c>
      <c r="N13" s="21" t="s">
        <v>30</v>
      </c>
      <c r="O13" s="23" t="s">
        <v>140</v>
      </c>
      <c r="P13" t="s">
        <v>2511</v>
      </c>
      <c r="Q13" s="21" t="s">
        <v>1188</v>
      </c>
      <c r="R13" s="23" t="s">
        <v>898</v>
      </c>
      <c r="S13" s="23" t="s">
        <v>1338</v>
      </c>
      <c r="T13" s="23" t="s">
        <v>2484</v>
      </c>
      <c r="U13" s="180">
        <v>3.71</v>
      </c>
      <c r="V13" s="158">
        <v>872.46900000000005</v>
      </c>
      <c r="W13" s="158">
        <v>3236.8589999999999</v>
      </c>
      <c r="X13" s="179">
        <v>0</v>
      </c>
      <c r="Y13" s="179">
        <v>1.77252832523375E-2</v>
      </c>
      <c r="Z13" s="179">
        <v>2.7920047836532801E-3</v>
      </c>
    </row>
    <row r="14" spans="1:27">
      <c r="A14" s="23">
        <v>419</v>
      </c>
      <c r="B14" s="23">
        <v>419</v>
      </c>
      <c r="C14" s="23" t="s">
        <v>2512</v>
      </c>
      <c r="D14" s="2" t="s">
        <v>2513</v>
      </c>
      <c r="E14" s="23" t="s">
        <v>315</v>
      </c>
      <c r="F14" s="23" t="s">
        <v>2514</v>
      </c>
      <c r="G14" s="23">
        <v>620000733</v>
      </c>
      <c r="H14" s="23" t="s">
        <v>33</v>
      </c>
      <c r="I14" s="2" t="s">
        <v>1036</v>
      </c>
      <c r="J14" s="23" t="s">
        <v>573</v>
      </c>
      <c r="K14" s="21" t="s">
        <v>209</v>
      </c>
      <c r="L14" s="23" t="s">
        <v>228</v>
      </c>
      <c r="M14" s="23" t="s">
        <v>228</v>
      </c>
      <c r="N14" s="21" t="s">
        <v>228</v>
      </c>
      <c r="O14" s="23" t="s">
        <v>140</v>
      </c>
      <c r="P14" t="s">
        <v>2515</v>
      </c>
      <c r="Q14" s="21" t="s">
        <v>1188</v>
      </c>
      <c r="R14" s="23" t="s">
        <v>317</v>
      </c>
      <c r="S14" s="23" t="s">
        <v>1338</v>
      </c>
      <c r="T14" s="23" t="s">
        <v>2516</v>
      </c>
      <c r="U14" s="180">
        <v>3.71</v>
      </c>
      <c r="V14" s="158">
        <v>562.99199999999996</v>
      </c>
      <c r="W14" s="158">
        <v>2088.6999999999998</v>
      </c>
      <c r="X14" s="179">
        <v>0</v>
      </c>
      <c r="Y14" s="179">
        <v>1.14378812758218E-2</v>
      </c>
      <c r="Z14" s="179">
        <v>1.8016422520492801E-3</v>
      </c>
    </row>
    <row r="15" spans="1:27">
      <c r="A15" s="23">
        <v>419</v>
      </c>
      <c r="B15" s="23">
        <v>419</v>
      </c>
      <c r="C15" s="23" t="s">
        <v>2517</v>
      </c>
      <c r="D15" s="2" t="s">
        <v>2518</v>
      </c>
      <c r="E15" s="23" t="s">
        <v>316</v>
      </c>
      <c r="F15" s="23" t="s">
        <v>2519</v>
      </c>
      <c r="G15" s="23">
        <v>62009568</v>
      </c>
      <c r="H15" s="23" t="s">
        <v>33</v>
      </c>
      <c r="I15" s="2" t="s">
        <v>1032</v>
      </c>
      <c r="J15" s="23" t="s">
        <v>849</v>
      </c>
      <c r="K15" s="21" t="s">
        <v>209</v>
      </c>
      <c r="L15" s="23" t="s">
        <v>257</v>
      </c>
      <c r="M15" s="23" t="s">
        <v>257</v>
      </c>
      <c r="N15" s="21" t="s">
        <v>297</v>
      </c>
      <c r="O15" s="23" t="s">
        <v>140</v>
      </c>
      <c r="P15" t="s">
        <v>2515</v>
      </c>
      <c r="Q15" s="21" t="s">
        <v>1190</v>
      </c>
      <c r="R15" s="23" t="s">
        <v>898</v>
      </c>
      <c r="S15" s="23" t="s">
        <v>1338</v>
      </c>
      <c r="T15" s="23" t="s">
        <v>2520</v>
      </c>
      <c r="U15" s="180">
        <v>4.1524000000000001</v>
      </c>
      <c r="V15" s="158">
        <v>1017.6369999999999</v>
      </c>
      <c r="W15" s="158">
        <v>4225.6350000000002</v>
      </c>
      <c r="X15" s="179">
        <v>2.7659574468085098E-4</v>
      </c>
      <c r="Y15" s="179">
        <v>2.3139895111574701E-2</v>
      </c>
      <c r="Z15" s="179">
        <v>3.6448894454892099E-3</v>
      </c>
    </row>
    <row r="16" spans="1:27">
      <c r="A16" s="23">
        <v>419</v>
      </c>
      <c r="B16" s="23">
        <v>419</v>
      </c>
      <c r="C16" s="23" t="s">
        <v>2521</v>
      </c>
      <c r="D16" s="2" t="s">
        <v>2522</v>
      </c>
      <c r="E16" s="23" t="s">
        <v>316</v>
      </c>
      <c r="F16" s="23" t="s">
        <v>2523</v>
      </c>
      <c r="G16" s="23">
        <v>29994488</v>
      </c>
      <c r="H16" s="23" t="s">
        <v>33</v>
      </c>
      <c r="I16" s="2" t="s">
        <v>1032</v>
      </c>
      <c r="J16" s="23" t="s">
        <v>852</v>
      </c>
      <c r="K16" s="21" t="s">
        <v>209</v>
      </c>
      <c r="L16" s="23" t="s">
        <v>257</v>
      </c>
      <c r="M16" s="23" t="s">
        <v>237</v>
      </c>
      <c r="N16" s="21" t="s">
        <v>297</v>
      </c>
      <c r="O16" s="23" t="s">
        <v>140</v>
      </c>
      <c r="P16" t="s">
        <v>2524</v>
      </c>
      <c r="Q16" s="21" t="s">
        <v>1190</v>
      </c>
      <c r="R16" s="23" t="s">
        <v>317</v>
      </c>
      <c r="S16" s="23" t="s">
        <v>1338</v>
      </c>
      <c r="T16" s="23" t="s">
        <v>2525</v>
      </c>
      <c r="U16" s="180">
        <v>4.1524000000000001</v>
      </c>
      <c r="V16" s="158">
        <v>493.88499999999999</v>
      </c>
      <c r="W16" s="158">
        <v>2050.81</v>
      </c>
      <c r="X16" s="179">
        <v>3.6363636363636399E-4</v>
      </c>
      <c r="Y16" s="179">
        <v>1.1230389442383699E-2</v>
      </c>
      <c r="Z16" s="179">
        <v>1.7689590963963699E-3</v>
      </c>
    </row>
    <row r="17" spans="1:26">
      <c r="A17" s="23">
        <v>419</v>
      </c>
      <c r="B17" s="23">
        <v>419</v>
      </c>
      <c r="C17" s="23" t="s">
        <v>2526</v>
      </c>
      <c r="D17" s="2" t="s">
        <v>2527</v>
      </c>
      <c r="E17" s="23" t="s">
        <v>315</v>
      </c>
      <c r="F17" s="23" t="s">
        <v>2528</v>
      </c>
      <c r="G17" s="23">
        <v>604089781</v>
      </c>
      <c r="H17" s="23" t="s">
        <v>33</v>
      </c>
      <c r="I17" s="2" t="s">
        <v>1032</v>
      </c>
      <c r="J17" s="23" t="s">
        <v>845</v>
      </c>
      <c r="K17" s="21" t="s">
        <v>209</v>
      </c>
      <c r="L17" s="23" t="s">
        <v>228</v>
      </c>
      <c r="M17" s="23" t="s">
        <v>228</v>
      </c>
      <c r="N17" s="21" t="s">
        <v>228</v>
      </c>
      <c r="O17" s="23" t="s">
        <v>140</v>
      </c>
      <c r="P17" t="s">
        <v>2515</v>
      </c>
      <c r="Q17" s="21" t="s">
        <v>1188</v>
      </c>
      <c r="R17" s="23" t="s">
        <v>898</v>
      </c>
      <c r="S17" s="23" t="s">
        <v>902</v>
      </c>
      <c r="T17" s="23" t="s">
        <v>2529</v>
      </c>
      <c r="U17" s="180">
        <v>3.71</v>
      </c>
      <c r="V17" s="158">
        <v>4589.1970000000001</v>
      </c>
      <c r="W17" s="158">
        <v>17025.921999999999</v>
      </c>
      <c r="X17" s="179">
        <v>3.7623762376237602E-2</v>
      </c>
      <c r="Y17" s="179">
        <v>9.3235235646278697E-2</v>
      </c>
      <c r="Z17" s="179">
        <v>1.4685983869686401E-2</v>
      </c>
    </row>
    <row r="18" spans="1:26">
      <c r="A18" s="23">
        <v>419</v>
      </c>
      <c r="B18" s="23">
        <v>419</v>
      </c>
      <c r="C18" s="23" t="s">
        <v>2530</v>
      </c>
      <c r="D18" s="2" t="s">
        <v>2531</v>
      </c>
      <c r="E18" s="23" t="s">
        <v>315</v>
      </c>
      <c r="F18" s="23" t="s">
        <v>2532</v>
      </c>
      <c r="G18" s="23">
        <v>620139091</v>
      </c>
      <c r="H18" s="23" t="s">
        <v>33</v>
      </c>
      <c r="I18" s="2" t="s">
        <v>1032</v>
      </c>
      <c r="J18" s="23" t="s">
        <v>845</v>
      </c>
      <c r="K18" s="21" t="s">
        <v>209</v>
      </c>
      <c r="L18" s="23" t="s">
        <v>228</v>
      </c>
      <c r="M18" s="23" t="s">
        <v>228</v>
      </c>
      <c r="N18" s="21" t="s">
        <v>228</v>
      </c>
      <c r="O18" s="23" t="s">
        <v>140</v>
      </c>
      <c r="P18" t="s">
        <v>2515</v>
      </c>
      <c r="Q18" s="21" t="s">
        <v>1188</v>
      </c>
      <c r="R18" s="23" t="s">
        <v>898</v>
      </c>
      <c r="S18" s="23" t="s">
        <v>1338</v>
      </c>
      <c r="T18" s="23" t="s">
        <v>2533</v>
      </c>
      <c r="U18" s="180">
        <v>3.71</v>
      </c>
      <c r="V18" s="158">
        <v>724.10599999999999</v>
      </c>
      <c r="W18" s="158">
        <v>2686.4349999999999</v>
      </c>
      <c r="X18" s="179">
        <v>3.7267080745341601E-3</v>
      </c>
      <c r="Y18" s="179">
        <v>1.4711119756236001E-2</v>
      </c>
      <c r="Z18" s="179">
        <v>2.3172276655658401E-3</v>
      </c>
    </row>
    <row r="19" spans="1:26">
      <c r="A19" s="23">
        <v>419</v>
      </c>
      <c r="B19" s="23">
        <v>419</v>
      </c>
      <c r="C19" s="23" t="s">
        <v>2534</v>
      </c>
      <c r="D19" s="2" t="s">
        <v>2535</v>
      </c>
      <c r="E19" s="23" t="s">
        <v>33</v>
      </c>
      <c r="F19" s="23" t="s">
        <v>2536</v>
      </c>
      <c r="G19" s="23">
        <v>60386181</v>
      </c>
      <c r="H19" s="23" t="s">
        <v>33</v>
      </c>
      <c r="I19" s="2" t="s">
        <v>1032</v>
      </c>
      <c r="J19" s="23" t="s">
        <v>573</v>
      </c>
      <c r="K19" s="21" t="s">
        <v>209</v>
      </c>
      <c r="L19" s="23"/>
      <c r="M19" s="23"/>
      <c r="N19" s="21" t="s">
        <v>248</v>
      </c>
      <c r="O19" s="23" t="s">
        <v>140</v>
      </c>
      <c r="P19" t="s">
        <v>2478</v>
      </c>
      <c r="Q19" s="21" t="s">
        <v>1188</v>
      </c>
      <c r="R19" s="23" t="s">
        <v>317</v>
      </c>
      <c r="S19" s="23" t="s">
        <v>1338</v>
      </c>
      <c r="T19" s="23" t="s">
        <v>2537</v>
      </c>
      <c r="U19" s="180">
        <v>3.71</v>
      </c>
      <c r="V19" s="158">
        <v>17.026</v>
      </c>
      <c r="W19" s="158">
        <v>63.165999999999997</v>
      </c>
      <c r="X19" s="179">
        <v>0</v>
      </c>
      <c r="Y19" s="179">
        <v>3.4590132107767998E-4</v>
      </c>
      <c r="Z19" s="179">
        <v>5.4484779135673997E-5</v>
      </c>
    </row>
    <row r="20" spans="1:26">
      <c r="A20" s="2">
        <v>419</v>
      </c>
      <c r="B20" s="2">
        <v>419</v>
      </c>
      <c r="C20" s="2" t="s">
        <v>2538</v>
      </c>
      <c r="D20" s="2" t="s">
        <v>2539</v>
      </c>
      <c r="E20" s="23" t="s">
        <v>315</v>
      </c>
      <c r="F20" s="2" t="s">
        <v>2540</v>
      </c>
      <c r="G20" s="2">
        <v>620141701</v>
      </c>
      <c r="H20" s="23" t="s">
        <v>33</v>
      </c>
      <c r="I20" s="2" t="s">
        <v>1032</v>
      </c>
      <c r="J20" s="23" t="s">
        <v>859</v>
      </c>
      <c r="K20" s="21" t="s">
        <v>209</v>
      </c>
      <c r="L20" s="23" t="s">
        <v>221</v>
      </c>
      <c r="M20" s="23" t="s">
        <v>228</v>
      </c>
      <c r="N20" s="21" t="s">
        <v>300</v>
      </c>
      <c r="O20" s="23" t="s">
        <v>140</v>
      </c>
      <c r="P20" t="s">
        <v>2541</v>
      </c>
      <c r="Q20" s="2" t="s">
        <v>1188</v>
      </c>
      <c r="R20" s="23" t="s">
        <v>317</v>
      </c>
      <c r="S20" s="23" t="s">
        <v>1338</v>
      </c>
      <c r="T20" s="2" t="s">
        <v>142</v>
      </c>
      <c r="U20" s="165">
        <v>3.71</v>
      </c>
      <c r="V20" s="156">
        <v>2501.7190000000001</v>
      </c>
      <c r="W20" s="156">
        <v>9281.3770000000004</v>
      </c>
      <c r="X20" s="171">
        <v>3.4475116353517701E-4</v>
      </c>
      <c r="Y20" s="171">
        <v>5.08255230320745E-2</v>
      </c>
      <c r="Z20" s="171">
        <v>8.0058017362581897E-3</v>
      </c>
    </row>
    <row r="21" spans="1:26">
      <c r="A21" s="2">
        <v>419</v>
      </c>
      <c r="B21" s="2">
        <v>419</v>
      </c>
      <c r="C21" s="2" t="s">
        <v>2538</v>
      </c>
      <c r="D21" s="2" t="s">
        <v>2539</v>
      </c>
      <c r="E21" s="2" t="s">
        <v>315</v>
      </c>
      <c r="F21" s="2" t="s">
        <v>2542</v>
      </c>
      <c r="G21" s="2">
        <v>620141702</v>
      </c>
      <c r="H21" s="2" t="s">
        <v>33</v>
      </c>
      <c r="I21" s="2" t="s">
        <v>1032</v>
      </c>
      <c r="J21" s="2" t="s">
        <v>859</v>
      </c>
      <c r="K21" s="2" t="s">
        <v>209</v>
      </c>
      <c r="L21" s="2" t="s">
        <v>221</v>
      </c>
      <c r="M21" s="2" t="s">
        <v>228</v>
      </c>
      <c r="N21" s="2" t="s">
        <v>300</v>
      </c>
      <c r="O21" s="2" t="s">
        <v>140</v>
      </c>
      <c r="P21" t="s">
        <v>2543</v>
      </c>
      <c r="Q21" s="2" t="s">
        <v>1188</v>
      </c>
      <c r="R21" s="2" t="s">
        <v>317</v>
      </c>
      <c r="S21" s="2" t="s">
        <v>1338</v>
      </c>
      <c r="T21" s="2" t="s">
        <v>2544</v>
      </c>
      <c r="U21" s="165">
        <v>3.71</v>
      </c>
      <c r="V21" s="156">
        <v>291.64100000000002</v>
      </c>
      <c r="W21" s="156">
        <v>1081.9880000000001</v>
      </c>
      <c r="X21" s="171">
        <v>0</v>
      </c>
      <c r="Y21" s="171">
        <v>5.9250477962066997E-3</v>
      </c>
      <c r="Z21" s="171">
        <v>9.3328617404192201E-4</v>
      </c>
    </row>
    <row r="22" spans="1:26">
      <c r="A22" s="2">
        <v>419</v>
      </c>
      <c r="B22" s="2">
        <v>419</v>
      </c>
      <c r="C22" s="2" t="s">
        <v>2545</v>
      </c>
      <c r="D22" s="2" t="s">
        <v>2546</v>
      </c>
      <c r="E22" s="2" t="s">
        <v>315</v>
      </c>
      <c r="F22" s="2" t="s">
        <v>2547</v>
      </c>
      <c r="G22" s="2">
        <v>62011839</v>
      </c>
      <c r="H22" s="2" t="s">
        <v>33</v>
      </c>
      <c r="I22" s="2" t="s">
        <v>1036</v>
      </c>
      <c r="J22" s="2" t="s">
        <v>845</v>
      </c>
      <c r="K22" s="2" t="s">
        <v>209</v>
      </c>
      <c r="L22" s="2" t="s">
        <v>228</v>
      </c>
      <c r="M22" s="2" t="s">
        <v>228</v>
      </c>
      <c r="N22" s="2" t="s">
        <v>228</v>
      </c>
      <c r="O22" s="2" t="s">
        <v>140</v>
      </c>
      <c r="P22" t="s">
        <v>2548</v>
      </c>
      <c r="Q22" s="2" t="s">
        <v>1188</v>
      </c>
      <c r="R22" s="2" t="s">
        <v>317</v>
      </c>
      <c r="S22" s="2" t="s">
        <v>1338</v>
      </c>
      <c r="T22" s="2" t="s">
        <v>2499</v>
      </c>
      <c r="U22" s="165">
        <v>3.71</v>
      </c>
      <c r="V22" s="156">
        <v>922.37599999999998</v>
      </c>
      <c r="W22" s="156">
        <v>3422.0169999999998</v>
      </c>
      <c r="X22" s="171">
        <v>3.69915614381488E-3</v>
      </c>
      <c r="Y22" s="171">
        <v>1.87392213455762E-2</v>
      </c>
      <c r="Z22" s="171">
        <v>2.9517156309412898E-3</v>
      </c>
    </row>
    <row r="23" spans="1:26">
      <c r="A23" s="2">
        <v>419</v>
      </c>
      <c r="B23" s="2">
        <v>419</v>
      </c>
      <c r="C23" s="2" t="s">
        <v>2377</v>
      </c>
      <c r="D23" s="2" t="s">
        <v>2549</v>
      </c>
      <c r="E23" s="2" t="s">
        <v>315</v>
      </c>
      <c r="F23" s="2" t="s">
        <v>2550</v>
      </c>
      <c r="G23" s="2">
        <v>62011838</v>
      </c>
      <c r="H23" s="2" t="s">
        <v>33</v>
      </c>
      <c r="I23" s="2" t="s">
        <v>1036</v>
      </c>
      <c r="J23" s="2" t="s">
        <v>845</v>
      </c>
      <c r="K23" s="2" t="s">
        <v>209</v>
      </c>
      <c r="L23" s="2" t="s">
        <v>228</v>
      </c>
      <c r="M23" s="2" t="s">
        <v>228</v>
      </c>
      <c r="N23" s="2" t="s">
        <v>228</v>
      </c>
      <c r="O23" s="2" t="s">
        <v>140</v>
      </c>
      <c r="P23" t="s">
        <v>2551</v>
      </c>
      <c r="Q23" s="2" t="s">
        <v>1188</v>
      </c>
      <c r="R23" s="2" t="s">
        <v>317</v>
      </c>
      <c r="S23" s="2" t="s">
        <v>1338</v>
      </c>
      <c r="T23" s="2" t="s">
        <v>2499</v>
      </c>
      <c r="U23" s="165">
        <v>3.71</v>
      </c>
      <c r="V23" s="156">
        <v>1747.7829999999999</v>
      </c>
      <c r="W23" s="156">
        <v>6484.2759999999998</v>
      </c>
      <c r="X23" s="171">
        <v>4.1136804863532604E-3</v>
      </c>
      <c r="Y23" s="171">
        <v>3.5508388049997799E-2</v>
      </c>
      <c r="Z23" s="171">
        <v>5.5931173501747502E-3</v>
      </c>
    </row>
    <row r="24" spans="1:26">
      <c r="A24" s="2">
        <v>419</v>
      </c>
      <c r="B24" s="2">
        <v>419</v>
      </c>
      <c r="C24" s="2" t="s">
        <v>2552</v>
      </c>
      <c r="D24" s="2" t="s">
        <v>2553</v>
      </c>
      <c r="E24" s="2" t="s">
        <v>1321</v>
      </c>
      <c r="F24" s="2" t="s">
        <v>2554</v>
      </c>
      <c r="G24" s="2">
        <v>620188900</v>
      </c>
      <c r="H24" s="2" t="s">
        <v>33</v>
      </c>
      <c r="I24" s="2" t="s">
        <v>1032</v>
      </c>
      <c r="J24" s="2" t="s">
        <v>844</v>
      </c>
      <c r="K24" s="2" t="s">
        <v>209</v>
      </c>
      <c r="L24" s="2" t="s">
        <v>257</v>
      </c>
      <c r="M24" s="2" t="s">
        <v>257</v>
      </c>
      <c r="N24" s="2" t="s">
        <v>300</v>
      </c>
      <c r="O24" s="2" t="s">
        <v>140</v>
      </c>
      <c r="P24" t="s">
        <v>2555</v>
      </c>
      <c r="Q24" s="2" t="s">
        <v>1190</v>
      </c>
      <c r="R24" s="2" t="s">
        <v>317</v>
      </c>
      <c r="S24" s="2" t="s">
        <v>1338</v>
      </c>
      <c r="T24" s="2" t="s">
        <v>2484</v>
      </c>
      <c r="U24" s="165">
        <v>4.1524000000000001</v>
      </c>
      <c r="V24" s="156">
        <v>1360.163</v>
      </c>
      <c r="W24" s="156">
        <v>5647.9409999999998</v>
      </c>
      <c r="X24" s="171">
        <v>1.2548940869390601E-4</v>
      </c>
      <c r="Y24" s="171">
        <v>3.0928551506592301E-2</v>
      </c>
      <c r="Z24" s="171">
        <v>4.8717226420900697E-3</v>
      </c>
    </row>
    <row r="25" spans="1:26">
      <c r="A25" s="2">
        <v>419</v>
      </c>
      <c r="B25" s="2">
        <v>419</v>
      </c>
      <c r="C25" s="2" t="s">
        <v>2556</v>
      </c>
      <c r="D25" s="2" t="s">
        <v>2557</v>
      </c>
      <c r="E25" s="2" t="s">
        <v>1321</v>
      </c>
      <c r="F25" s="2" t="s">
        <v>2558</v>
      </c>
      <c r="G25" s="2">
        <v>125512851</v>
      </c>
      <c r="H25" s="2" t="s">
        <v>33</v>
      </c>
      <c r="I25" s="2" t="s">
        <v>1032</v>
      </c>
      <c r="J25" s="2" t="s">
        <v>855</v>
      </c>
      <c r="K25" s="2" t="s">
        <v>209</v>
      </c>
      <c r="L25" s="2" t="s">
        <v>257</v>
      </c>
      <c r="M25" s="2" t="s">
        <v>257</v>
      </c>
      <c r="N25" s="2" t="s">
        <v>300</v>
      </c>
      <c r="O25" s="2" t="s">
        <v>140</v>
      </c>
      <c r="P25" t="s">
        <v>2559</v>
      </c>
      <c r="Q25" s="2" t="s">
        <v>1190</v>
      </c>
      <c r="R25" s="11" t="s">
        <v>898</v>
      </c>
      <c r="S25" s="2" t="s">
        <v>1338</v>
      </c>
      <c r="T25" s="2" t="s">
        <v>2533</v>
      </c>
      <c r="U25" s="165">
        <v>4.1524000000000001</v>
      </c>
      <c r="V25" s="156">
        <v>1165.7760000000001</v>
      </c>
      <c r="W25" s="156">
        <v>4840.7659999999996</v>
      </c>
      <c r="X25" s="171">
        <v>2.5179432636209101E-2</v>
      </c>
      <c r="Y25" s="171">
        <v>2.6508402724156801E-2</v>
      </c>
      <c r="Z25" s="171">
        <v>4.1754812128654197E-3</v>
      </c>
    </row>
    <row r="26" spans="1:26">
      <c r="A26" s="2">
        <v>419</v>
      </c>
      <c r="B26" s="2">
        <v>419</v>
      </c>
      <c r="C26" s="2" t="s">
        <v>2560</v>
      </c>
      <c r="D26" s="2" t="s">
        <v>2561</v>
      </c>
      <c r="E26" s="2" t="s">
        <v>315</v>
      </c>
      <c r="F26" s="2" t="s">
        <v>2562</v>
      </c>
      <c r="G26" s="2">
        <v>62006721</v>
      </c>
      <c r="H26" s="2" t="s">
        <v>33</v>
      </c>
      <c r="I26" s="2" t="s">
        <v>1032</v>
      </c>
      <c r="J26" s="2" t="s">
        <v>839</v>
      </c>
      <c r="K26" s="2" t="s">
        <v>209</v>
      </c>
      <c r="L26" s="2" t="s">
        <v>221</v>
      </c>
      <c r="M26" s="2" t="s">
        <v>30</v>
      </c>
      <c r="N26" s="2" t="s">
        <v>30</v>
      </c>
      <c r="O26" s="2" t="s">
        <v>140</v>
      </c>
      <c r="P26" t="s">
        <v>2498</v>
      </c>
      <c r="Q26" s="2" t="s">
        <v>1188</v>
      </c>
      <c r="R26" s="11" t="s">
        <v>898</v>
      </c>
      <c r="S26" s="2" t="s">
        <v>1338</v>
      </c>
      <c r="T26" s="2" t="s">
        <v>2563</v>
      </c>
      <c r="U26" s="165">
        <v>3.71</v>
      </c>
      <c r="V26" s="156">
        <v>593.95100000000002</v>
      </c>
      <c r="W26" s="156">
        <v>2203.558</v>
      </c>
      <c r="X26" s="171">
        <v>1.72553796183516E-2</v>
      </c>
      <c r="Y26" s="171">
        <v>1.20668512229579E-2</v>
      </c>
      <c r="Z26" s="171">
        <v>1.90071469428778E-3</v>
      </c>
    </row>
    <row r="27" spans="1:26">
      <c r="A27" s="2">
        <v>419</v>
      </c>
      <c r="B27" s="2">
        <v>419</v>
      </c>
      <c r="C27" s="2" t="s">
        <v>2564</v>
      </c>
      <c r="D27" s="2" t="s">
        <v>2565</v>
      </c>
      <c r="E27" s="2" t="s">
        <v>1321</v>
      </c>
      <c r="F27" s="2" t="s">
        <v>2566</v>
      </c>
      <c r="G27" s="2">
        <v>62006218</v>
      </c>
      <c r="H27" s="2" t="s">
        <v>33</v>
      </c>
      <c r="I27" s="2" t="s">
        <v>1036</v>
      </c>
      <c r="J27" s="2" t="s">
        <v>845</v>
      </c>
      <c r="K27" s="2" t="s">
        <v>209</v>
      </c>
      <c r="L27" s="2" t="s">
        <v>221</v>
      </c>
      <c r="M27" s="2" t="s">
        <v>30</v>
      </c>
      <c r="N27" s="2" t="s">
        <v>297</v>
      </c>
      <c r="O27" s="2" t="s">
        <v>140</v>
      </c>
      <c r="P27" t="s">
        <v>2515</v>
      </c>
      <c r="Q27" s="2" t="s">
        <v>1190</v>
      </c>
      <c r="R27" s="2" t="s">
        <v>317</v>
      </c>
      <c r="S27" s="2" t="s">
        <v>1338</v>
      </c>
      <c r="T27" s="2" t="s">
        <v>2469</v>
      </c>
      <c r="U27" s="165">
        <v>4.1524000000000001</v>
      </c>
      <c r="V27" s="156">
        <v>1303.261</v>
      </c>
      <c r="W27" s="156">
        <v>5411.6610000000001</v>
      </c>
      <c r="X27" s="171">
        <v>1.05263157894737E-2</v>
      </c>
      <c r="Y27" s="171">
        <v>2.96346630141088E-2</v>
      </c>
      <c r="Z27" s="171">
        <v>4.6679153003906602E-3</v>
      </c>
    </row>
    <row r="28" spans="1:26">
      <c r="A28" s="2">
        <v>419</v>
      </c>
      <c r="B28" s="2">
        <v>419</v>
      </c>
      <c r="C28" s="2" t="s">
        <v>2567</v>
      </c>
      <c r="D28" s="2" t="s">
        <v>2568</v>
      </c>
      <c r="E28" s="2" t="s">
        <v>314</v>
      </c>
      <c r="F28" s="2" t="s">
        <v>2569</v>
      </c>
      <c r="G28" s="2">
        <v>62016085</v>
      </c>
      <c r="H28" s="2" t="s">
        <v>33</v>
      </c>
      <c r="I28" s="2" t="s">
        <v>1032</v>
      </c>
      <c r="J28" s="2" t="s">
        <v>855</v>
      </c>
      <c r="K28" s="2" t="s">
        <v>30</v>
      </c>
      <c r="L28" s="2" t="s">
        <v>221</v>
      </c>
      <c r="M28" s="2" t="s">
        <v>30</v>
      </c>
      <c r="N28" s="2" t="s">
        <v>30</v>
      </c>
      <c r="O28" s="2" t="s">
        <v>140</v>
      </c>
      <c r="P28" t="s">
        <v>2570</v>
      </c>
      <c r="Q28" s="2" t="s">
        <v>1188</v>
      </c>
      <c r="R28" s="2" t="s">
        <v>317</v>
      </c>
      <c r="S28" s="2" t="s">
        <v>1338</v>
      </c>
      <c r="T28" s="2" t="s">
        <v>2484</v>
      </c>
      <c r="U28" s="165">
        <v>3.71</v>
      </c>
      <c r="V28" s="156">
        <v>189.31700000000001</v>
      </c>
      <c r="W28" s="156">
        <v>702.36599999999999</v>
      </c>
      <c r="X28" s="171">
        <v>6.90537472936685E-4</v>
      </c>
      <c r="Y28" s="171">
        <v>3.8462104356064698E-3</v>
      </c>
      <c r="Z28" s="171">
        <v>6.0583731059611005E-4</v>
      </c>
    </row>
    <row r="29" spans="1:26">
      <c r="A29" s="2">
        <v>419</v>
      </c>
      <c r="B29" s="2">
        <v>419</v>
      </c>
      <c r="C29" s="2" t="s">
        <v>2567</v>
      </c>
      <c r="D29" s="2" t="s">
        <v>2568</v>
      </c>
      <c r="E29" s="2" t="s">
        <v>314</v>
      </c>
      <c r="F29" s="2" t="s">
        <v>2571</v>
      </c>
      <c r="G29" s="2">
        <v>62016084</v>
      </c>
      <c r="H29" s="2" t="s">
        <v>33</v>
      </c>
      <c r="I29" s="2" t="s">
        <v>1032</v>
      </c>
      <c r="J29" s="2" t="s">
        <v>855</v>
      </c>
      <c r="K29" s="2" t="s">
        <v>30</v>
      </c>
      <c r="L29" s="2" t="s">
        <v>221</v>
      </c>
      <c r="M29" s="2" t="s">
        <v>30</v>
      </c>
      <c r="N29" s="2" t="s">
        <v>30</v>
      </c>
      <c r="O29" s="2" t="s">
        <v>140</v>
      </c>
      <c r="P29" t="s">
        <v>2515</v>
      </c>
      <c r="Q29" s="2" t="s">
        <v>1188</v>
      </c>
      <c r="R29" s="2" t="s">
        <v>317</v>
      </c>
      <c r="S29" s="2" t="s">
        <v>1338</v>
      </c>
      <c r="T29" s="2" t="s">
        <v>2484</v>
      </c>
      <c r="U29" s="165">
        <v>3.71</v>
      </c>
      <c r="V29" s="156">
        <v>1529.8789999999999</v>
      </c>
      <c r="W29" s="156">
        <v>5675.8519999999999</v>
      </c>
      <c r="X29" s="171">
        <v>2.2499999999999998E-3</v>
      </c>
      <c r="Y29" s="171">
        <v>3.1081392037684102E-2</v>
      </c>
      <c r="Z29" s="171">
        <v>4.8957973769120401E-3</v>
      </c>
    </row>
    <row r="30" spans="1:26">
      <c r="A30" s="2">
        <v>419</v>
      </c>
      <c r="B30" s="2">
        <v>419</v>
      </c>
      <c r="C30" s="2" t="s">
        <v>2572</v>
      </c>
      <c r="D30" s="2" t="s">
        <v>2573</v>
      </c>
      <c r="E30" s="2" t="s">
        <v>315</v>
      </c>
      <c r="F30" s="2" t="s">
        <v>2574</v>
      </c>
      <c r="G30" s="2">
        <v>6201277</v>
      </c>
      <c r="H30" s="2" t="s">
        <v>33</v>
      </c>
      <c r="I30" s="2" t="s">
        <v>1032</v>
      </c>
      <c r="J30" s="2" t="s">
        <v>839</v>
      </c>
      <c r="K30" s="2" t="s">
        <v>209</v>
      </c>
      <c r="L30" s="2" t="s">
        <v>221</v>
      </c>
      <c r="M30" s="2" t="s">
        <v>228</v>
      </c>
      <c r="N30" s="2" t="s">
        <v>228</v>
      </c>
      <c r="O30" s="2" t="s">
        <v>140</v>
      </c>
      <c r="P30" t="s">
        <v>2483</v>
      </c>
      <c r="Q30" s="2" t="s">
        <v>1188</v>
      </c>
      <c r="R30" s="2" t="s">
        <v>317</v>
      </c>
      <c r="S30" s="2" t="s">
        <v>1338</v>
      </c>
      <c r="T30" s="2" t="s">
        <v>2575</v>
      </c>
      <c r="U30" s="165">
        <v>3.71</v>
      </c>
      <c r="V30" s="156">
        <v>2746.2049999999999</v>
      </c>
      <c r="W30" s="156">
        <v>10188.42</v>
      </c>
      <c r="X30" s="171">
        <v>1.6470588235294101E-3</v>
      </c>
      <c r="Y30" s="171">
        <v>5.5792560050970802E-2</v>
      </c>
      <c r="Z30" s="171">
        <v>8.7881864756113801E-3</v>
      </c>
    </row>
    <row r="31" spans="1:26">
      <c r="A31" s="2">
        <v>419</v>
      </c>
      <c r="B31" s="2">
        <v>419</v>
      </c>
      <c r="C31" s="2" t="s">
        <v>2572</v>
      </c>
      <c r="D31" s="2" t="s">
        <v>2573</v>
      </c>
      <c r="E31" s="2" t="s">
        <v>315</v>
      </c>
      <c r="F31" s="2" t="s">
        <v>2576</v>
      </c>
      <c r="G31" s="2">
        <v>29994487</v>
      </c>
      <c r="H31" s="2" t="s">
        <v>33</v>
      </c>
      <c r="I31" s="2" t="s">
        <v>1032</v>
      </c>
      <c r="J31" s="2" t="s">
        <v>839</v>
      </c>
      <c r="K31" s="2" t="s">
        <v>209</v>
      </c>
      <c r="L31" s="2" t="s">
        <v>228</v>
      </c>
      <c r="M31" s="2" t="s">
        <v>228</v>
      </c>
      <c r="N31" s="2" t="s">
        <v>300</v>
      </c>
      <c r="O31" s="2" t="s">
        <v>140</v>
      </c>
      <c r="P31" t="s">
        <v>2577</v>
      </c>
      <c r="Q31" s="2" t="s">
        <v>1188</v>
      </c>
      <c r="R31" s="2" t="s">
        <v>317</v>
      </c>
      <c r="S31" s="2" t="s">
        <v>1338</v>
      </c>
      <c r="T31" s="2" t="s">
        <v>2578</v>
      </c>
      <c r="U31" s="165">
        <v>3.71</v>
      </c>
      <c r="V31" s="156">
        <v>341.14800000000002</v>
      </c>
      <c r="W31" s="156">
        <v>1265.6590000000001</v>
      </c>
      <c r="X31" s="171">
        <v>1.6666666666666701E-4</v>
      </c>
      <c r="Y31" s="171">
        <v>6.93084342976705E-3</v>
      </c>
      <c r="Z31" s="171">
        <v>1.0917144586735799E-3</v>
      </c>
    </row>
    <row r="32" spans="1:26">
      <c r="A32" s="2">
        <v>419</v>
      </c>
      <c r="B32" s="2">
        <v>419</v>
      </c>
      <c r="C32" s="2" t="s">
        <v>2579</v>
      </c>
      <c r="D32" s="2" t="s">
        <v>2580</v>
      </c>
      <c r="E32" s="2" t="s">
        <v>315</v>
      </c>
      <c r="F32" s="2" t="s">
        <v>2581</v>
      </c>
      <c r="G32" s="2">
        <v>620158621</v>
      </c>
      <c r="H32" s="2" t="s">
        <v>33</v>
      </c>
      <c r="I32" s="2" t="s">
        <v>1032</v>
      </c>
      <c r="J32" s="2" t="s">
        <v>857</v>
      </c>
      <c r="K32" s="2" t="s">
        <v>209</v>
      </c>
      <c r="L32" s="2" t="s">
        <v>221</v>
      </c>
      <c r="M32" s="2" t="s">
        <v>228</v>
      </c>
      <c r="N32" s="2" t="s">
        <v>228</v>
      </c>
      <c r="O32" s="2" t="s">
        <v>140</v>
      </c>
      <c r="P32" t="s">
        <v>2582</v>
      </c>
      <c r="Q32" s="2" t="s">
        <v>1188</v>
      </c>
      <c r="R32" s="2" t="s">
        <v>898</v>
      </c>
      <c r="S32" s="2" t="s">
        <v>1338</v>
      </c>
      <c r="T32" s="2" t="s">
        <v>2583</v>
      </c>
      <c r="U32" s="165">
        <v>3.71</v>
      </c>
      <c r="V32" s="156">
        <v>1098.644</v>
      </c>
      <c r="W32" s="156">
        <v>4075.9690000000001</v>
      </c>
      <c r="X32" s="171">
        <v>2.18839551138247E-2</v>
      </c>
      <c r="Y32" s="171">
        <v>2.2320316264866601E-2</v>
      </c>
      <c r="Z32" s="171">
        <v>3.5157931693951001E-3</v>
      </c>
    </row>
    <row r="33" spans="1:26">
      <c r="A33" s="2">
        <v>419</v>
      </c>
      <c r="B33" s="2">
        <v>419</v>
      </c>
      <c r="C33" s="2" t="s">
        <v>2584</v>
      </c>
      <c r="D33" s="2" t="s">
        <v>2585</v>
      </c>
      <c r="E33" s="2" t="s">
        <v>1321</v>
      </c>
      <c r="F33" s="2" t="s">
        <v>2586</v>
      </c>
      <c r="G33" s="2">
        <v>62010133</v>
      </c>
      <c r="H33" s="2" t="s">
        <v>33</v>
      </c>
      <c r="I33" s="2" t="s">
        <v>1032</v>
      </c>
      <c r="J33" s="2" t="s">
        <v>839</v>
      </c>
      <c r="K33" s="2" t="s">
        <v>30</v>
      </c>
      <c r="L33" s="2" t="s">
        <v>221</v>
      </c>
      <c r="M33" s="2" t="s">
        <v>30</v>
      </c>
      <c r="N33" s="2" t="s">
        <v>300</v>
      </c>
      <c r="O33" s="2" t="s">
        <v>140</v>
      </c>
      <c r="P33" t="s">
        <v>2541</v>
      </c>
      <c r="Q33" s="2" t="s">
        <v>1188</v>
      </c>
      <c r="R33" s="2" t="s">
        <v>898</v>
      </c>
      <c r="S33" s="2" t="s">
        <v>1338</v>
      </c>
      <c r="T33" s="2" t="s">
        <v>2474</v>
      </c>
      <c r="U33" s="165">
        <v>3.71</v>
      </c>
      <c r="V33" s="156">
        <v>418.28899999999999</v>
      </c>
      <c r="W33" s="156">
        <v>1551.8520000000001</v>
      </c>
      <c r="X33" s="171">
        <v>2E-3</v>
      </c>
      <c r="Y33" s="171">
        <v>8.49805808609818E-3</v>
      </c>
      <c r="Z33" s="171">
        <v>1.3385748758074499E-3</v>
      </c>
    </row>
    <row r="34" spans="1:26">
      <c r="A34" s="2">
        <v>419</v>
      </c>
      <c r="B34" s="2">
        <v>419</v>
      </c>
      <c r="C34" s="2" t="s">
        <v>2587</v>
      </c>
      <c r="D34" s="2" t="s">
        <v>2588</v>
      </c>
      <c r="E34" s="2" t="s">
        <v>315</v>
      </c>
      <c r="F34" s="2" t="s">
        <v>2589</v>
      </c>
      <c r="G34" s="2">
        <v>500010152</v>
      </c>
      <c r="H34" s="2" t="s">
        <v>33</v>
      </c>
      <c r="I34" s="2" t="s">
        <v>1032</v>
      </c>
      <c r="J34" s="2" t="s">
        <v>851</v>
      </c>
      <c r="K34" s="2" t="s">
        <v>209</v>
      </c>
      <c r="L34" s="2" t="s">
        <v>221</v>
      </c>
      <c r="M34" s="2" t="s">
        <v>30</v>
      </c>
      <c r="N34" s="2" t="s">
        <v>300</v>
      </c>
      <c r="O34" s="2" t="s">
        <v>140</v>
      </c>
      <c r="P34" t="s">
        <v>2590</v>
      </c>
      <c r="Q34" s="2" t="s">
        <v>34</v>
      </c>
      <c r="R34" s="2" t="s">
        <v>317</v>
      </c>
      <c r="S34" s="2" t="s">
        <v>1338</v>
      </c>
      <c r="T34" s="2" t="s">
        <v>2591</v>
      </c>
      <c r="U34" s="165">
        <v>1</v>
      </c>
      <c r="V34" s="156">
        <v>1304.4939999999999</v>
      </c>
      <c r="W34" s="156">
        <v>1304.4939999999999</v>
      </c>
      <c r="X34" s="171">
        <v>1.5151515151515199E-3</v>
      </c>
      <c r="Y34" s="171">
        <v>7.1435055750765997E-3</v>
      </c>
      <c r="Z34" s="171">
        <v>1.1252120179821401E-3</v>
      </c>
    </row>
    <row r="35" spans="1:26">
      <c r="A35" s="2">
        <v>419</v>
      </c>
      <c r="B35" s="2">
        <v>419</v>
      </c>
      <c r="C35" s="2" t="s">
        <v>2592</v>
      </c>
      <c r="D35" s="2" t="s">
        <v>2593</v>
      </c>
      <c r="E35" s="2" t="s">
        <v>315</v>
      </c>
      <c r="F35" s="2" t="s">
        <v>2594</v>
      </c>
      <c r="G35" s="2">
        <v>620067541</v>
      </c>
      <c r="H35" s="2" t="s">
        <v>33</v>
      </c>
      <c r="I35" s="2" t="s">
        <v>1032</v>
      </c>
      <c r="J35" s="2" t="s">
        <v>855</v>
      </c>
      <c r="K35" s="2" t="s">
        <v>209</v>
      </c>
      <c r="L35" s="2" t="s">
        <v>228</v>
      </c>
      <c r="M35" s="2" t="s">
        <v>228</v>
      </c>
      <c r="N35" s="2" t="s">
        <v>300</v>
      </c>
      <c r="O35" s="2" t="s">
        <v>140</v>
      </c>
      <c r="P35" t="s">
        <v>2595</v>
      </c>
      <c r="Q35" s="2" t="s">
        <v>1188</v>
      </c>
      <c r="R35" s="2" t="s">
        <v>898</v>
      </c>
      <c r="S35" s="2" t="s">
        <v>1338</v>
      </c>
      <c r="T35" s="2" t="s">
        <v>2516</v>
      </c>
      <c r="U35" s="165">
        <v>3.71</v>
      </c>
      <c r="V35" s="156">
        <v>1722.1849999999999</v>
      </c>
      <c r="W35" s="156">
        <v>6389.3059999999996</v>
      </c>
      <c r="X35" s="171">
        <v>5.7987157792917395E-4</v>
      </c>
      <c r="Y35" s="171">
        <v>3.4988321725753002E-2</v>
      </c>
      <c r="Z35" s="171">
        <v>5.5111989038268104E-3</v>
      </c>
    </row>
    <row r="36" spans="1:26">
      <c r="A36" s="2">
        <v>419</v>
      </c>
      <c r="B36" s="2">
        <v>419</v>
      </c>
      <c r="C36" s="2" t="s">
        <v>2596</v>
      </c>
      <c r="D36" s="2" t="s">
        <v>2597</v>
      </c>
      <c r="E36" s="2" t="s">
        <v>1321</v>
      </c>
      <c r="F36" s="2" t="s">
        <v>2598</v>
      </c>
      <c r="G36" s="2">
        <v>62016571</v>
      </c>
      <c r="H36" s="2" t="s">
        <v>33</v>
      </c>
      <c r="I36" s="2" t="s">
        <v>1032</v>
      </c>
      <c r="J36" s="2" t="s">
        <v>845</v>
      </c>
      <c r="K36" s="2" t="s">
        <v>209</v>
      </c>
      <c r="L36" s="2" t="s">
        <v>228</v>
      </c>
      <c r="M36" s="2" t="s">
        <v>228</v>
      </c>
      <c r="N36" s="2" t="s">
        <v>228</v>
      </c>
      <c r="O36" s="2" t="s">
        <v>140</v>
      </c>
      <c r="P36" t="s">
        <v>2498</v>
      </c>
      <c r="Q36" s="2" t="s">
        <v>1188</v>
      </c>
      <c r="R36" s="2" t="s">
        <v>317</v>
      </c>
      <c r="S36" s="2" t="s">
        <v>1338</v>
      </c>
      <c r="T36" s="2" t="s">
        <v>2583</v>
      </c>
      <c r="U36" s="165">
        <v>3.71</v>
      </c>
      <c r="V36" s="156">
        <v>604.86199999999997</v>
      </c>
      <c r="W36" s="156">
        <v>2244.0390000000002</v>
      </c>
      <c r="X36" s="171">
        <v>3.3637674195098502E-4</v>
      </c>
      <c r="Y36" s="171">
        <v>1.2288525862658099E-2</v>
      </c>
      <c r="Z36" s="171">
        <v>1.93563186010378E-3</v>
      </c>
    </row>
    <row r="37" spans="1:26">
      <c r="A37" s="2">
        <v>419</v>
      </c>
      <c r="B37" s="2">
        <v>419</v>
      </c>
      <c r="C37" s="2" t="s">
        <v>2599</v>
      </c>
      <c r="D37" s="2" t="s">
        <v>2600</v>
      </c>
      <c r="E37" s="2" t="s">
        <v>1321</v>
      </c>
      <c r="F37" s="2" t="s">
        <v>2601</v>
      </c>
      <c r="G37" s="2">
        <v>620104344</v>
      </c>
      <c r="H37" s="2" t="s">
        <v>33</v>
      </c>
      <c r="I37" s="2" t="s">
        <v>1032</v>
      </c>
      <c r="J37" s="2" t="s">
        <v>573</v>
      </c>
      <c r="K37" s="2" t="s">
        <v>209</v>
      </c>
      <c r="L37" s="2" t="s">
        <v>221</v>
      </c>
      <c r="M37" s="2" t="s">
        <v>30</v>
      </c>
      <c r="N37" s="2" t="s">
        <v>228</v>
      </c>
      <c r="O37" s="2" t="s">
        <v>140</v>
      </c>
      <c r="P37" t="s">
        <v>2602</v>
      </c>
      <c r="Q37" s="2" t="s">
        <v>1188</v>
      </c>
      <c r="R37" s="2" t="s">
        <v>317</v>
      </c>
      <c r="S37" s="2" t="s">
        <v>1338</v>
      </c>
      <c r="T37" s="2" t="s">
        <v>2603</v>
      </c>
      <c r="U37" s="165">
        <v>3.71</v>
      </c>
      <c r="V37" s="156">
        <v>567.97500000000002</v>
      </c>
      <c r="W37" s="156">
        <v>2107.1860000000001</v>
      </c>
      <c r="X37" s="171">
        <v>0</v>
      </c>
      <c r="Y37" s="171">
        <v>1.15391124207893E-2</v>
      </c>
      <c r="Z37" s="171">
        <v>1.81758771463965E-3</v>
      </c>
    </row>
    <row r="38" spans="1:26">
      <c r="A38" s="2">
        <v>419</v>
      </c>
      <c r="B38" s="2">
        <v>419</v>
      </c>
      <c r="C38" s="2" t="s">
        <v>2579</v>
      </c>
      <c r="D38" s="2" t="s">
        <v>2580</v>
      </c>
      <c r="E38" s="2" t="s">
        <v>315</v>
      </c>
      <c r="F38" s="2" t="s">
        <v>2604</v>
      </c>
      <c r="G38" s="2">
        <v>620171401</v>
      </c>
      <c r="H38" s="2" t="s">
        <v>33</v>
      </c>
      <c r="I38" s="2" t="s">
        <v>1032</v>
      </c>
      <c r="J38" s="2" t="s">
        <v>849</v>
      </c>
      <c r="K38" s="2" t="s">
        <v>209</v>
      </c>
      <c r="L38" s="2" t="s">
        <v>257</v>
      </c>
      <c r="M38" s="2" t="s">
        <v>257</v>
      </c>
      <c r="N38" s="2" t="s">
        <v>297</v>
      </c>
      <c r="O38" s="2" t="s">
        <v>140</v>
      </c>
      <c r="P38" t="s">
        <v>2605</v>
      </c>
      <c r="Q38" s="2" t="s">
        <v>1190</v>
      </c>
      <c r="R38" s="2" t="s">
        <v>898</v>
      </c>
      <c r="S38" s="2" t="s">
        <v>1338</v>
      </c>
      <c r="T38" s="2" t="s">
        <v>2525</v>
      </c>
      <c r="U38" s="165">
        <v>4.1524000000000001</v>
      </c>
      <c r="V38" s="156">
        <v>773.83600000000001</v>
      </c>
      <c r="W38" s="156">
        <v>3213.2779999999998</v>
      </c>
      <c r="X38" s="171">
        <v>3.2325537174367701E-3</v>
      </c>
      <c r="Y38" s="171">
        <v>1.7596151200240901E-2</v>
      </c>
      <c r="Z38" s="171">
        <v>2.7716644989850899E-3</v>
      </c>
    </row>
    <row r="39" spans="1:26">
      <c r="A39" s="2">
        <v>419</v>
      </c>
      <c r="B39" s="2">
        <v>419</v>
      </c>
      <c r="C39" s="2" t="s">
        <v>2606</v>
      </c>
      <c r="D39" s="2" t="s">
        <v>2607</v>
      </c>
      <c r="E39" s="2" t="s">
        <v>315</v>
      </c>
      <c r="F39" s="2" t="s">
        <v>2608</v>
      </c>
      <c r="G39" s="2">
        <v>62019751</v>
      </c>
      <c r="H39" s="2" t="s">
        <v>33</v>
      </c>
      <c r="I39" s="2" t="s">
        <v>1032</v>
      </c>
      <c r="J39" s="2" t="s">
        <v>855</v>
      </c>
      <c r="K39" s="2" t="s">
        <v>209</v>
      </c>
      <c r="L39" s="2" t="s">
        <v>228</v>
      </c>
      <c r="M39" s="2" t="s">
        <v>228</v>
      </c>
      <c r="N39" s="2" t="s">
        <v>228</v>
      </c>
      <c r="O39" s="2" t="s">
        <v>140</v>
      </c>
      <c r="P39" t="s">
        <v>2609</v>
      </c>
      <c r="Q39" s="2" t="s">
        <v>1188</v>
      </c>
      <c r="R39" s="2" t="s">
        <v>317</v>
      </c>
      <c r="S39" s="2" t="s">
        <v>1338</v>
      </c>
      <c r="T39" s="2" t="s">
        <v>2610</v>
      </c>
      <c r="U39" s="165">
        <v>3.71</v>
      </c>
      <c r="V39" s="156">
        <v>1419.338</v>
      </c>
      <c r="W39" s="156">
        <v>5265.7430000000004</v>
      </c>
      <c r="X39" s="171">
        <v>3.6286326695233702E-4</v>
      </c>
      <c r="Y39" s="171">
        <v>2.8835608248503598E-2</v>
      </c>
      <c r="Z39" s="171">
        <v>4.5420518827961201E-3</v>
      </c>
    </row>
    <row r="40" spans="1:26">
      <c r="A40" s="2">
        <v>419</v>
      </c>
      <c r="B40" s="2">
        <v>419</v>
      </c>
      <c r="C40" s="2" t="s">
        <v>2611</v>
      </c>
      <c r="D40" s="2" t="s">
        <v>2612</v>
      </c>
      <c r="E40" s="2" t="s">
        <v>315</v>
      </c>
      <c r="F40" s="2" t="s">
        <v>2613</v>
      </c>
      <c r="G40" s="2">
        <v>620070833</v>
      </c>
      <c r="H40" s="2" t="s">
        <v>33</v>
      </c>
      <c r="I40" s="2" t="s">
        <v>1032</v>
      </c>
      <c r="J40" s="2" t="s">
        <v>843</v>
      </c>
      <c r="K40" s="2" t="s">
        <v>209</v>
      </c>
      <c r="L40" s="2" t="s">
        <v>257</v>
      </c>
      <c r="M40" s="2" t="s">
        <v>237</v>
      </c>
      <c r="N40" s="2" t="s">
        <v>228</v>
      </c>
      <c r="O40" s="2" t="s">
        <v>140</v>
      </c>
      <c r="P40" t="s">
        <v>2614</v>
      </c>
      <c r="Q40" s="2" t="s">
        <v>1188</v>
      </c>
      <c r="R40" s="2" t="s">
        <v>317</v>
      </c>
      <c r="S40" s="2" t="s">
        <v>1338</v>
      </c>
      <c r="T40" s="2" t="s">
        <v>2615</v>
      </c>
      <c r="U40" s="165">
        <v>3.71</v>
      </c>
      <c r="V40" s="156">
        <v>2108.5729999999999</v>
      </c>
      <c r="W40" s="156">
        <v>7822.8069999999998</v>
      </c>
      <c r="X40" s="171">
        <v>3.9563437926330202E-3</v>
      </c>
      <c r="Y40" s="171">
        <v>4.2838284510048903E-2</v>
      </c>
      <c r="Z40" s="171">
        <v>6.7476887998268696E-3</v>
      </c>
    </row>
    <row r="41" spans="1:26">
      <c r="A41" s="2">
        <v>419</v>
      </c>
      <c r="B41" s="2">
        <v>419</v>
      </c>
      <c r="C41" s="2" t="s">
        <v>2616</v>
      </c>
      <c r="D41" s="2" t="s">
        <v>2617</v>
      </c>
      <c r="E41" s="2" t="s">
        <v>315</v>
      </c>
      <c r="F41" s="2" t="s">
        <v>2618</v>
      </c>
      <c r="G41" s="2">
        <v>620019914</v>
      </c>
      <c r="H41" s="2" t="s">
        <v>33</v>
      </c>
      <c r="I41" s="2" t="s">
        <v>1032</v>
      </c>
      <c r="J41" s="2" t="s">
        <v>859</v>
      </c>
      <c r="K41" s="2" t="s">
        <v>209</v>
      </c>
      <c r="L41" s="2" t="s">
        <v>257</v>
      </c>
      <c r="M41" s="2" t="s">
        <v>237</v>
      </c>
      <c r="N41" s="2" t="s">
        <v>300</v>
      </c>
      <c r="O41" s="2" t="s">
        <v>140</v>
      </c>
      <c r="P41" t="s">
        <v>2619</v>
      </c>
      <c r="Q41" s="2" t="s">
        <v>1188</v>
      </c>
      <c r="R41" s="2" t="s">
        <v>317</v>
      </c>
      <c r="S41" s="2" t="s">
        <v>1338</v>
      </c>
      <c r="T41" s="2" t="s">
        <v>2620</v>
      </c>
      <c r="U41" s="165">
        <v>3.71</v>
      </c>
      <c r="V41" s="156">
        <v>731.73400000000004</v>
      </c>
      <c r="W41" s="156">
        <v>2714.7339999999999</v>
      </c>
      <c r="X41" s="171">
        <v>4.0000000000000002E-4</v>
      </c>
      <c r="Y41" s="171">
        <v>1.4866089863080899E-2</v>
      </c>
      <c r="Z41" s="171">
        <v>2.3416378413285799E-3</v>
      </c>
    </row>
    <row r="42" spans="1:26">
      <c r="A42" s="2">
        <v>419</v>
      </c>
      <c r="B42" s="2">
        <v>419</v>
      </c>
      <c r="C42" s="2" t="s">
        <v>2621</v>
      </c>
      <c r="D42" s="2" t="s">
        <v>2622</v>
      </c>
      <c r="E42" s="2" t="s">
        <v>33</v>
      </c>
      <c r="F42" s="2" t="s">
        <v>2623</v>
      </c>
      <c r="G42" s="2">
        <v>62016577</v>
      </c>
      <c r="H42" s="2" t="s">
        <v>33</v>
      </c>
      <c r="I42" s="2" t="s">
        <v>1032</v>
      </c>
      <c r="J42" s="2" t="s">
        <v>573</v>
      </c>
      <c r="K42" s="2" t="s">
        <v>209</v>
      </c>
      <c r="L42" s="2" t="s">
        <v>228</v>
      </c>
      <c r="M42" s="2" t="s">
        <v>228</v>
      </c>
      <c r="N42" s="2" t="s">
        <v>228</v>
      </c>
      <c r="O42" s="2" t="s">
        <v>140</v>
      </c>
      <c r="P42" t="s">
        <v>2478</v>
      </c>
      <c r="Q42" s="2" t="s">
        <v>1188</v>
      </c>
      <c r="R42" s="2" t="s">
        <v>317</v>
      </c>
      <c r="S42" s="2" t="s">
        <v>1338</v>
      </c>
      <c r="T42" s="2" t="s">
        <v>2474</v>
      </c>
      <c r="U42" s="165">
        <v>3.71</v>
      </c>
      <c r="V42" s="156">
        <v>1837.117</v>
      </c>
      <c r="W42" s="156">
        <v>6815.7030000000004</v>
      </c>
      <c r="X42" s="171">
        <v>0</v>
      </c>
      <c r="Y42" s="171">
        <v>3.7323306119168197E-2</v>
      </c>
      <c r="Z42" s="171">
        <v>5.87899486529961E-3</v>
      </c>
    </row>
    <row r="43" spans="1:26">
      <c r="A43" s="2">
        <v>419</v>
      </c>
      <c r="B43" s="2">
        <v>419</v>
      </c>
      <c r="C43" s="2" t="s">
        <v>2624</v>
      </c>
      <c r="D43" s="2" t="s">
        <v>2625</v>
      </c>
      <c r="E43" s="2" t="s">
        <v>315</v>
      </c>
      <c r="F43" s="2" t="s">
        <v>2626</v>
      </c>
      <c r="G43" s="2">
        <v>400301020</v>
      </c>
      <c r="H43" s="2" t="s">
        <v>33</v>
      </c>
      <c r="I43" s="2" t="s">
        <v>1035</v>
      </c>
      <c r="J43" s="2" t="s">
        <v>838</v>
      </c>
      <c r="K43" s="2" t="s">
        <v>209</v>
      </c>
      <c r="L43" s="2" t="s">
        <v>228</v>
      </c>
      <c r="M43" s="2" t="s">
        <v>30</v>
      </c>
      <c r="N43" s="2" t="s">
        <v>228</v>
      </c>
      <c r="O43" s="2" t="s">
        <v>140</v>
      </c>
      <c r="P43" t="s">
        <v>2627</v>
      </c>
      <c r="Q43" s="2" t="s">
        <v>1188</v>
      </c>
      <c r="R43" s="2" t="s">
        <v>898</v>
      </c>
      <c r="S43" s="2" t="s">
        <v>1338</v>
      </c>
      <c r="T43" s="2" t="s">
        <v>2474</v>
      </c>
      <c r="U43" s="165">
        <v>3.71</v>
      </c>
      <c r="V43" s="156">
        <v>422.88600000000002</v>
      </c>
      <c r="W43" s="156">
        <v>1568.9069999999999</v>
      </c>
      <c r="X43" s="171">
        <v>0</v>
      </c>
      <c r="Y43" s="171">
        <v>8.5914536720510092E-3</v>
      </c>
      <c r="Z43" s="171">
        <v>1.35328611731712E-3</v>
      </c>
    </row>
    <row r="44" spans="1:26">
      <c r="A44" s="2">
        <v>419</v>
      </c>
      <c r="B44" s="2">
        <v>419</v>
      </c>
      <c r="C44" s="2" t="s">
        <v>2628</v>
      </c>
      <c r="D44" s="2" t="s">
        <v>2629</v>
      </c>
      <c r="E44" s="2" t="s">
        <v>315</v>
      </c>
      <c r="F44" s="2" t="s">
        <v>2630</v>
      </c>
      <c r="G44" s="2">
        <v>400051120</v>
      </c>
      <c r="H44" s="2" t="s">
        <v>33</v>
      </c>
      <c r="I44" s="2" t="s">
        <v>1035</v>
      </c>
      <c r="J44" s="2" t="s">
        <v>838</v>
      </c>
      <c r="K44" s="2" t="s">
        <v>209</v>
      </c>
      <c r="L44" s="2" t="s">
        <v>228</v>
      </c>
      <c r="M44" s="2" t="s">
        <v>30</v>
      </c>
      <c r="N44" s="2" t="s">
        <v>228</v>
      </c>
      <c r="O44" s="2" t="s">
        <v>140</v>
      </c>
      <c r="P44" t="s">
        <v>1333</v>
      </c>
      <c r="Q44" s="2" t="s">
        <v>1188</v>
      </c>
      <c r="R44" s="2" t="s">
        <v>898</v>
      </c>
      <c r="S44" s="2" t="s">
        <v>1338</v>
      </c>
      <c r="T44" s="2" t="s">
        <v>2474</v>
      </c>
      <c r="U44" s="165">
        <v>3.71</v>
      </c>
      <c r="V44" s="156">
        <v>416.726</v>
      </c>
      <c r="W44" s="156">
        <v>1546.0530000000001</v>
      </c>
      <c r="X44" s="171">
        <v>0</v>
      </c>
      <c r="Y44" s="171">
        <v>8.4663047164571896E-3</v>
      </c>
      <c r="Z44" s="171">
        <v>1.3335732316208601E-3</v>
      </c>
    </row>
    <row r="45" spans="1:26">
      <c r="A45" s="2">
        <v>419</v>
      </c>
      <c r="B45" s="2">
        <v>419</v>
      </c>
      <c r="C45" s="2" t="s">
        <v>2628</v>
      </c>
      <c r="D45" s="2" t="s">
        <v>2631</v>
      </c>
      <c r="E45" s="2" t="s">
        <v>315</v>
      </c>
      <c r="F45" s="2" t="s">
        <v>2632</v>
      </c>
      <c r="G45" s="2">
        <v>62015227</v>
      </c>
      <c r="H45" s="2" t="s">
        <v>33</v>
      </c>
      <c r="I45" s="2" t="s">
        <v>1032</v>
      </c>
      <c r="J45" s="2" t="s">
        <v>857</v>
      </c>
      <c r="K45" s="2" t="s">
        <v>209</v>
      </c>
      <c r="L45" s="2" t="s">
        <v>228</v>
      </c>
      <c r="M45" s="2" t="s">
        <v>30</v>
      </c>
      <c r="N45" s="2" t="s">
        <v>30</v>
      </c>
      <c r="O45" s="2" t="s">
        <v>140</v>
      </c>
      <c r="P45" t="s">
        <v>2633</v>
      </c>
      <c r="Q45" s="2" t="s">
        <v>1188</v>
      </c>
      <c r="R45" s="2" t="s">
        <v>898</v>
      </c>
      <c r="S45" s="2" t="s">
        <v>1338</v>
      </c>
      <c r="T45" s="2" t="s">
        <v>2499</v>
      </c>
      <c r="U45" s="165">
        <v>3.71</v>
      </c>
      <c r="V45" s="156">
        <v>557.85799999999995</v>
      </c>
      <c r="W45" s="156">
        <v>2069.6529999999998</v>
      </c>
      <c r="X45" s="171">
        <v>0</v>
      </c>
      <c r="Y45" s="171">
        <v>1.1333578162759299E-2</v>
      </c>
      <c r="Z45" s="171">
        <v>1.7852129072272701E-3</v>
      </c>
    </row>
    <row r="46" spans="1:26">
      <c r="A46" s="2">
        <v>419</v>
      </c>
      <c r="B46" s="2">
        <v>419</v>
      </c>
      <c r="C46" s="2" t="s">
        <v>2634</v>
      </c>
      <c r="D46" s="2" t="s">
        <v>2635</v>
      </c>
      <c r="E46" s="2" t="s">
        <v>315</v>
      </c>
      <c r="F46" s="2" t="s">
        <v>2636</v>
      </c>
      <c r="G46" s="2">
        <v>401311183</v>
      </c>
      <c r="H46" s="2" t="s">
        <v>33</v>
      </c>
      <c r="I46" s="2" t="s">
        <v>1032</v>
      </c>
      <c r="J46" s="2" t="s">
        <v>838</v>
      </c>
      <c r="K46" s="2" t="s">
        <v>209</v>
      </c>
      <c r="L46" s="2" t="s">
        <v>221</v>
      </c>
      <c r="M46" s="2" t="s">
        <v>30</v>
      </c>
      <c r="N46" s="2" t="s">
        <v>228</v>
      </c>
      <c r="O46" s="2" t="s">
        <v>140</v>
      </c>
      <c r="P46" t="s">
        <v>2515</v>
      </c>
      <c r="Q46" s="2" t="s">
        <v>1188</v>
      </c>
      <c r="R46" s="2" t="s">
        <v>898</v>
      </c>
      <c r="S46" s="2" t="s">
        <v>1338</v>
      </c>
      <c r="T46" s="2" t="s">
        <v>2474</v>
      </c>
      <c r="U46" s="165">
        <v>3.71</v>
      </c>
      <c r="V46" s="156">
        <v>2198.377</v>
      </c>
      <c r="W46" s="156">
        <v>8155.9790000000003</v>
      </c>
      <c r="X46" s="171">
        <v>0</v>
      </c>
      <c r="Y46" s="171">
        <v>4.4662754987264498E-2</v>
      </c>
      <c r="Z46" s="171">
        <v>7.03507096616537E-3</v>
      </c>
    </row>
    <row r="47" spans="1:26">
      <c r="A47" s="2">
        <v>419</v>
      </c>
      <c r="B47" s="2">
        <v>419</v>
      </c>
      <c r="C47" s="2" t="s">
        <v>2599</v>
      </c>
      <c r="D47" s="2" t="s">
        <v>2600</v>
      </c>
      <c r="E47" s="2" t="s">
        <v>1321</v>
      </c>
      <c r="F47" s="2" t="s">
        <v>2637</v>
      </c>
      <c r="G47" s="2">
        <v>620104341</v>
      </c>
      <c r="H47" s="2" t="s">
        <v>33</v>
      </c>
      <c r="I47" s="2" t="s">
        <v>1032</v>
      </c>
      <c r="J47" s="2" t="s">
        <v>573</v>
      </c>
      <c r="K47" s="2" t="s">
        <v>209</v>
      </c>
      <c r="L47" s="2" t="s">
        <v>221</v>
      </c>
      <c r="M47" s="2" t="s">
        <v>30</v>
      </c>
      <c r="N47" s="2" t="s">
        <v>297</v>
      </c>
      <c r="O47" s="2" t="s">
        <v>140</v>
      </c>
      <c r="P47" t="s">
        <v>2638</v>
      </c>
      <c r="Q47" s="2" t="s">
        <v>1188</v>
      </c>
      <c r="R47" s="2" t="s">
        <v>317</v>
      </c>
      <c r="S47" s="2" t="s">
        <v>1338</v>
      </c>
      <c r="T47" s="2" t="s">
        <v>2464</v>
      </c>
      <c r="U47" s="165">
        <v>3.71</v>
      </c>
      <c r="V47" s="156">
        <v>314.28199999999998</v>
      </c>
      <c r="W47" s="156">
        <v>1165.9860000000001</v>
      </c>
      <c r="X47" s="171">
        <v>0</v>
      </c>
      <c r="Y47" s="171">
        <v>6.3850270655525197E-3</v>
      </c>
      <c r="Z47" s="171">
        <v>1.00573998491264E-3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6</v>
      </c>
      <c r="J1" s="22" t="s">
        <v>7</v>
      </c>
      <c r="K1" s="22" t="s">
        <v>329</v>
      </c>
      <c r="L1" s="22" t="s">
        <v>1125</v>
      </c>
      <c r="M1" s="22" t="s">
        <v>151</v>
      </c>
      <c r="N1" s="22" t="s">
        <v>1126</v>
      </c>
      <c r="O1" s="22" t="s">
        <v>126</v>
      </c>
      <c r="P1" s="22" t="s">
        <v>159</v>
      </c>
      <c r="Q1" s="22" t="s">
        <v>11</v>
      </c>
      <c r="R1" s="22" t="s">
        <v>152</v>
      </c>
      <c r="S1" s="22" t="s">
        <v>153</v>
      </c>
      <c r="T1" s="22" t="s">
        <v>135</v>
      </c>
      <c r="U1" s="175" t="s">
        <v>1127</v>
      </c>
      <c r="V1" s="22" t="s">
        <v>1128</v>
      </c>
      <c r="W1" s="22" t="s">
        <v>17</v>
      </c>
      <c r="X1" s="175" t="s">
        <v>19</v>
      </c>
      <c r="Y1" s="164" t="s">
        <v>18</v>
      </c>
      <c r="Z1" s="22" t="s">
        <v>20</v>
      </c>
      <c r="AA1" s="170" t="s">
        <v>24</v>
      </c>
      <c r="AB1" s="170" t="s">
        <v>25</v>
      </c>
    </row>
    <row r="2" spans="1:28">
      <c r="A2" s="23">
        <v>419</v>
      </c>
      <c r="B2" s="23">
        <v>419</v>
      </c>
      <c r="C2" s="23" t="s">
        <v>1340</v>
      </c>
      <c r="D2" s="23" t="s">
        <v>1341</v>
      </c>
      <c r="E2" s="21" t="s">
        <v>33</v>
      </c>
      <c r="F2" s="23" t="s">
        <v>1342</v>
      </c>
      <c r="G2" s="23" t="s">
        <v>1343</v>
      </c>
      <c r="H2" s="23" t="s">
        <v>33</v>
      </c>
      <c r="I2" s="21" t="s">
        <v>209</v>
      </c>
      <c r="J2" s="21" t="s">
        <v>228</v>
      </c>
      <c r="K2" s="23" t="s">
        <v>317</v>
      </c>
      <c r="L2" s="23"/>
      <c r="M2" s="23" t="s">
        <v>317</v>
      </c>
      <c r="N2" s="23" t="s">
        <v>1344</v>
      </c>
      <c r="O2" s="23" t="s">
        <v>140</v>
      </c>
      <c r="P2" s="23" t="s">
        <v>1345</v>
      </c>
      <c r="Q2" s="21" t="s">
        <v>1188</v>
      </c>
      <c r="R2" s="23" t="s">
        <v>317</v>
      </c>
      <c r="S2" s="23" t="s">
        <v>902</v>
      </c>
      <c r="T2" s="23" t="s">
        <v>142</v>
      </c>
      <c r="U2" s="181">
        <v>0</v>
      </c>
      <c r="V2" s="158">
        <v>0</v>
      </c>
      <c r="W2" s="158">
        <v>21978</v>
      </c>
      <c r="X2" s="181">
        <v>57</v>
      </c>
      <c r="Y2" s="180">
        <v>3.71</v>
      </c>
      <c r="Z2" s="158">
        <v>46.476999999999997</v>
      </c>
      <c r="AA2" s="179">
        <v>1</v>
      </c>
      <c r="AB2" s="179">
        <v>4.0089380360772103E-5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5</v>
      </c>
      <c r="J1" s="22" t="s">
        <v>6</v>
      </c>
      <c r="K1" s="22" t="s">
        <v>7</v>
      </c>
      <c r="L1" s="22" t="s">
        <v>151</v>
      </c>
      <c r="M1" s="22" t="s">
        <v>174</v>
      </c>
      <c r="N1" s="22" t="s">
        <v>1126</v>
      </c>
      <c r="O1" s="22" t="s">
        <v>126</v>
      </c>
      <c r="P1" s="22" t="s">
        <v>159</v>
      </c>
      <c r="Q1" s="22" t="s">
        <v>11</v>
      </c>
      <c r="R1" s="22" t="s">
        <v>152</v>
      </c>
      <c r="S1" s="22" t="s">
        <v>153</v>
      </c>
      <c r="T1" s="22" t="s">
        <v>135</v>
      </c>
      <c r="U1" s="22" t="s">
        <v>1127</v>
      </c>
      <c r="V1" s="22" t="s">
        <v>1128</v>
      </c>
      <c r="W1" s="22" t="s">
        <v>17</v>
      </c>
      <c r="X1" s="22" t="s">
        <v>19</v>
      </c>
      <c r="Y1" s="22" t="s">
        <v>18</v>
      </c>
      <c r="Z1" s="22" t="s">
        <v>1359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25"/>
  <cols>
    <col min="1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1141</v>
      </c>
      <c r="E1" s="22" t="s">
        <v>1142</v>
      </c>
      <c r="F1" s="175" t="s">
        <v>18</v>
      </c>
      <c r="G1" s="22" t="s">
        <v>1143</v>
      </c>
      <c r="H1" s="22" t="s">
        <v>1144</v>
      </c>
      <c r="I1" s="22" t="s">
        <v>1145</v>
      </c>
      <c r="J1" s="22" t="s">
        <v>1146</v>
      </c>
      <c r="K1" s="22" t="s">
        <v>1147</v>
      </c>
      <c r="L1" s="22" t="s">
        <v>1148</v>
      </c>
      <c r="M1" s="175" t="s">
        <v>18</v>
      </c>
      <c r="N1" s="22" t="s">
        <v>1149</v>
      </c>
      <c r="O1" s="22" t="s">
        <v>1150</v>
      </c>
      <c r="P1" s="22" t="s">
        <v>1306</v>
      </c>
      <c r="Q1" s="22" t="s">
        <v>1307</v>
      </c>
      <c r="R1" s="22" t="s">
        <v>1308</v>
      </c>
      <c r="S1" s="22" t="s">
        <v>6</v>
      </c>
      <c r="T1" s="22" t="s">
        <v>7</v>
      </c>
      <c r="U1" s="22" t="s">
        <v>1154</v>
      </c>
      <c r="V1" s="22" t="s">
        <v>933</v>
      </c>
      <c r="W1" s="22" t="s">
        <v>940</v>
      </c>
      <c r="X1" s="22" t="s">
        <v>327</v>
      </c>
      <c r="Y1" s="22" t="s">
        <v>126</v>
      </c>
      <c r="Z1" s="22" t="s">
        <v>1155</v>
      </c>
      <c r="AA1" s="22" t="s">
        <v>1156</v>
      </c>
      <c r="AB1" s="22" t="s">
        <v>904</v>
      </c>
      <c r="AC1" s="22" t="s">
        <v>912</v>
      </c>
      <c r="AD1" s="22" t="s">
        <v>1157</v>
      </c>
      <c r="AE1" s="22" t="s">
        <v>930</v>
      </c>
      <c r="AF1" s="22" t="s">
        <v>915</v>
      </c>
      <c r="AG1" s="22" t="s">
        <v>926</v>
      </c>
      <c r="AH1" s="166" t="s">
        <v>1158</v>
      </c>
      <c r="AI1" s="22" t="s">
        <v>1159</v>
      </c>
      <c r="AJ1" s="22" t="s">
        <v>1160</v>
      </c>
      <c r="AK1" s="22" t="s">
        <v>955</v>
      </c>
      <c r="AL1" s="22" t="s">
        <v>1161</v>
      </c>
      <c r="AM1" s="22" t="s">
        <v>1162</v>
      </c>
      <c r="AN1" s="170" t="s">
        <v>24</v>
      </c>
      <c r="AO1" s="170" t="s">
        <v>25</v>
      </c>
    </row>
    <row r="2" spans="1:41">
      <c r="A2" s="12" t="s">
        <v>1309</v>
      </c>
      <c r="B2" s="12" t="s">
        <v>1309</v>
      </c>
      <c r="C2" s="12" t="s">
        <v>1052</v>
      </c>
      <c r="D2" s="1" t="s">
        <v>1310</v>
      </c>
      <c r="E2" s="12" t="s">
        <v>34</v>
      </c>
      <c r="F2" s="189">
        <v>1</v>
      </c>
      <c r="G2" s="162">
        <v>32144095.899999999</v>
      </c>
      <c r="H2" s="155">
        <v>32126.685000000001</v>
      </c>
      <c r="I2" s="163">
        <v>0.13542899999999999</v>
      </c>
      <c r="J2" s="155">
        <v>2.8E-5</v>
      </c>
      <c r="K2" s="11" t="s">
        <v>1310</v>
      </c>
      <c r="L2" s="12" t="s">
        <v>1190</v>
      </c>
      <c r="M2" s="190">
        <v>4.1524000000000001</v>
      </c>
      <c r="N2" s="163">
        <v>-7859000</v>
      </c>
      <c r="O2" s="163">
        <v>-7859</v>
      </c>
      <c r="P2" s="163">
        <v>-6.9999999999999999E-6</v>
      </c>
      <c r="Q2" s="163">
        <v>0.124239</v>
      </c>
      <c r="R2" s="162">
        <v>-507.02699999999999</v>
      </c>
      <c r="S2" s="11" t="s">
        <v>30</v>
      </c>
      <c r="T2" s="21" t="s">
        <v>30</v>
      </c>
      <c r="U2" s="12" t="s">
        <v>751</v>
      </c>
      <c r="V2" s="12" t="s">
        <v>935</v>
      </c>
      <c r="W2" s="11" t="s">
        <v>949</v>
      </c>
      <c r="X2" s="12" t="s">
        <v>1311</v>
      </c>
      <c r="Y2" s="12" t="s">
        <v>140</v>
      </c>
      <c r="Z2" s="1" t="s">
        <v>1312</v>
      </c>
      <c r="AA2" s="27" t="s">
        <v>1313</v>
      </c>
      <c r="AB2" s="12" t="s">
        <v>911</v>
      </c>
      <c r="AC2" s="12" t="s">
        <v>913</v>
      </c>
      <c r="AD2" s="12" t="s">
        <v>343</v>
      </c>
      <c r="AE2" s="12" t="s">
        <v>931</v>
      </c>
      <c r="AF2" s="12" t="s">
        <v>911</v>
      </c>
      <c r="AG2" s="12" t="s">
        <v>911</v>
      </c>
      <c r="AH2" s="191">
        <v>0</v>
      </c>
      <c r="AI2" s="162">
        <v>4.0900999999999996</v>
      </c>
      <c r="AJ2" s="11" t="s">
        <v>1314</v>
      </c>
      <c r="AK2" s="12" t="s">
        <v>140</v>
      </c>
      <c r="AL2" s="11" t="s">
        <v>140</v>
      </c>
      <c r="AM2" s="11" t="s">
        <v>1315</v>
      </c>
      <c r="AN2" s="179">
        <v>0.54017800000000005</v>
      </c>
      <c r="AO2" s="179">
        <v>0</v>
      </c>
    </row>
    <row r="3" spans="1:41">
      <c r="A3" s="12" t="s">
        <v>1309</v>
      </c>
      <c r="B3" s="12" t="s">
        <v>1309</v>
      </c>
      <c r="C3" s="12" t="s">
        <v>1052</v>
      </c>
      <c r="D3" s="1" t="s">
        <v>1316</v>
      </c>
      <c r="E3" s="12" t="s">
        <v>34</v>
      </c>
      <c r="F3" s="189">
        <v>1</v>
      </c>
      <c r="G3" s="162">
        <v>204916698.94</v>
      </c>
      <c r="H3" s="155">
        <v>205094.473</v>
      </c>
      <c r="I3" s="163">
        <v>0.86457099999999998</v>
      </c>
      <c r="J3" s="155">
        <v>1.7699999999999999E-4</v>
      </c>
      <c r="K3" s="11" t="s">
        <v>1316</v>
      </c>
      <c r="L3" s="12" t="s">
        <v>1188</v>
      </c>
      <c r="M3" s="190">
        <v>3.71</v>
      </c>
      <c r="N3" s="163">
        <v>-55397864</v>
      </c>
      <c r="O3" s="163">
        <v>-55397.864000000001</v>
      </c>
      <c r="P3" s="163">
        <v>-4.8000000000000001E-5</v>
      </c>
      <c r="Q3" s="163">
        <v>0.87576100000000001</v>
      </c>
      <c r="R3" s="162">
        <v>-431.60300000000001</v>
      </c>
      <c r="S3" s="11" t="s">
        <v>30</v>
      </c>
      <c r="T3" s="21" t="s">
        <v>30</v>
      </c>
      <c r="U3" s="12" t="s">
        <v>751</v>
      </c>
      <c r="V3" s="12" t="s">
        <v>935</v>
      </c>
      <c r="W3" s="11" t="s">
        <v>949</v>
      </c>
      <c r="X3" s="12" t="s">
        <v>1317</v>
      </c>
      <c r="Y3" s="12" t="s">
        <v>140</v>
      </c>
      <c r="Z3" s="1" t="s">
        <v>1318</v>
      </c>
      <c r="AA3" s="27" t="s">
        <v>1313</v>
      </c>
      <c r="AB3" s="12" t="s">
        <v>911</v>
      </c>
      <c r="AC3" s="12" t="s">
        <v>913</v>
      </c>
      <c r="AD3" s="12" t="s">
        <v>343</v>
      </c>
      <c r="AE3" s="12" t="s">
        <v>931</v>
      </c>
      <c r="AF3" s="12" t="s">
        <v>911</v>
      </c>
      <c r="AG3" s="12" t="s">
        <v>911</v>
      </c>
      <c r="AH3" s="168">
        <v>0</v>
      </c>
      <c r="AI3" s="162">
        <v>3.6989999999999998</v>
      </c>
      <c r="AJ3" s="12" t="s">
        <v>1314</v>
      </c>
      <c r="AK3" s="12" t="s">
        <v>140</v>
      </c>
      <c r="AL3" s="11" t="s">
        <v>140</v>
      </c>
      <c r="AM3" s="11" t="s">
        <v>1315</v>
      </c>
      <c r="AN3" s="179">
        <v>0.45982200000000001</v>
      </c>
      <c r="AO3" s="179">
        <v>0</v>
      </c>
    </row>
    <row r="4" spans="1:41">
      <c r="A4" s="12" t="s">
        <v>1309</v>
      </c>
      <c r="B4" s="12" t="s">
        <v>1319</v>
      </c>
      <c r="C4" s="12" t="s">
        <v>1052</v>
      </c>
      <c r="D4" s="1" t="s">
        <v>1310</v>
      </c>
      <c r="E4" s="12" t="s">
        <v>34</v>
      </c>
      <c r="F4" s="189">
        <v>1</v>
      </c>
      <c r="G4" s="162">
        <v>576704.1</v>
      </c>
      <c r="H4" s="155">
        <v>576.39200000000005</v>
      </c>
      <c r="I4" s="163">
        <v>0.181945</v>
      </c>
      <c r="J4" s="155">
        <v>4.8000000000000001E-5</v>
      </c>
      <c r="K4" s="11" t="s">
        <v>1310</v>
      </c>
      <c r="L4" s="12" t="s">
        <v>1190</v>
      </c>
      <c r="M4" s="190">
        <v>4.1524000000000001</v>
      </c>
      <c r="N4" s="163">
        <v>-141000</v>
      </c>
      <c r="O4" s="163">
        <v>-141</v>
      </c>
      <c r="P4" s="163">
        <v>-1.2E-5</v>
      </c>
      <c r="Q4" s="163">
        <v>0.167658</v>
      </c>
      <c r="R4" s="162">
        <v>-9.0969999999999995</v>
      </c>
      <c r="S4" s="11" t="s">
        <v>30</v>
      </c>
      <c r="T4" s="21" t="s">
        <v>30</v>
      </c>
      <c r="U4" s="12" t="s">
        <v>751</v>
      </c>
      <c r="V4" s="12" t="s">
        <v>935</v>
      </c>
      <c r="W4" s="11" t="s">
        <v>949</v>
      </c>
      <c r="X4" s="12" t="s">
        <v>1311</v>
      </c>
      <c r="Y4" s="12" t="s">
        <v>140</v>
      </c>
      <c r="Z4" s="1" t="s">
        <v>1312</v>
      </c>
      <c r="AA4" s="27" t="s">
        <v>1313</v>
      </c>
      <c r="AB4" s="12" t="s">
        <v>911</v>
      </c>
      <c r="AC4" s="12" t="s">
        <v>913</v>
      </c>
      <c r="AD4" s="12" t="s">
        <v>343</v>
      </c>
      <c r="AE4" s="12" t="s">
        <v>931</v>
      </c>
      <c r="AF4" s="12" t="s">
        <v>911</v>
      </c>
      <c r="AG4" s="12" t="s">
        <v>911</v>
      </c>
      <c r="AH4" s="168">
        <v>0</v>
      </c>
      <c r="AI4" s="162">
        <v>4.0900999999999996</v>
      </c>
      <c r="AJ4" s="12" t="s">
        <v>1314</v>
      </c>
      <c r="AK4" s="12" t="s">
        <v>140</v>
      </c>
      <c r="AL4" s="11" t="s">
        <v>140</v>
      </c>
      <c r="AM4" s="11" t="s">
        <v>1315</v>
      </c>
      <c r="AN4" s="179">
        <v>0.62517999999999996</v>
      </c>
      <c r="AO4" s="179">
        <v>-9.9999999999999995E-7</v>
      </c>
    </row>
    <row r="5" spans="1:41">
      <c r="A5" s="12" t="s">
        <v>1309</v>
      </c>
      <c r="B5" s="12" t="s">
        <v>1319</v>
      </c>
      <c r="C5" s="12" t="s">
        <v>1052</v>
      </c>
      <c r="D5" s="1" t="s">
        <v>1316</v>
      </c>
      <c r="E5" s="12" t="s">
        <v>34</v>
      </c>
      <c r="F5" s="189">
        <v>1</v>
      </c>
      <c r="G5" s="162">
        <v>2589300</v>
      </c>
      <c r="H5" s="155">
        <v>2591.5459999999998</v>
      </c>
      <c r="I5" s="163">
        <v>0.81805499999999998</v>
      </c>
      <c r="J5" s="155">
        <v>2.14E-4</v>
      </c>
      <c r="K5" s="11" t="s">
        <v>1316</v>
      </c>
      <c r="L5" s="12" t="s">
        <v>1188</v>
      </c>
      <c r="M5" s="190">
        <v>3.71</v>
      </c>
      <c r="N5" s="163">
        <v>-700000</v>
      </c>
      <c r="O5" s="163">
        <v>-700</v>
      </c>
      <c r="P5" s="163">
        <v>-5.8E-5</v>
      </c>
      <c r="Q5" s="163">
        <v>0.83234200000000003</v>
      </c>
      <c r="R5" s="162">
        <v>-5.4539999999999997</v>
      </c>
      <c r="S5" s="11" t="s">
        <v>30</v>
      </c>
      <c r="T5" s="21" t="s">
        <v>30</v>
      </c>
      <c r="U5" s="12" t="s">
        <v>751</v>
      </c>
      <c r="V5" s="12" t="s">
        <v>935</v>
      </c>
      <c r="W5" s="11" t="s">
        <v>949</v>
      </c>
      <c r="X5" s="12" t="s">
        <v>1317</v>
      </c>
      <c r="Y5" s="12" t="s">
        <v>140</v>
      </c>
      <c r="Z5" s="1" t="s">
        <v>1318</v>
      </c>
      <c r="AA5" s="27" t="s">
        <v>1313</v>
      </c>
      <c r="AB5" s="12" t="s">
        <v>911</v>
      </c>
      <c r="AC5" s="12" t="s">
        <v>913</v>
      </c>
      <c r="AD5" s="12" t="s">
        <v>343</v>
      </c>
      <c r="AE5" s="12" t="s">
        <v>931</v>
      </c>
      <c r="AF5" s="12" t="s">
        <v>911</v>
      </c>
      <c r="AG5" s="12" t="s">
        <v>911</v>
      </c>
      <c r="AH5" s="168">
        <v>0</v>
      </c>
      <c r="AI5" s="162">
        <v>3.6989999999999998</v>
      </c>
      <c r="AJ5" s="12" t="s">
        <v>1314</v>
      </c>
      <c r="AK5" s="12" t="s">
        <v>140</v>
      </c>
      <c r="AL5" s="11" t="s">
        <v>140</v>
      </c>
      <c r="AM5" s="11" t="s">
        <v>1315</v>
      </c>
      <c r="AN5" s="179">
        <v>0.37481999999999999</v>
      </c>
      <c r="AO5" s="179">
        <v>0</v>
      </c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L13" sqref="AL13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3" width="13.5" style="2" bestFit="1" customWidth="1"/>
    <col min="44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121</v>
      </c>
      <c r="D1" s="22" t="s">
        <v>122</v>
      </c>
      <c r="E1" s="22" t="s">
        <v>123</v>
      </c>
      <c r="F1" s="22" t="s">
        <v>124</v>
      </c>
      <c r="G1" s="22" t="s">
        <v>5</v>
      </c>
      <c r="H1" s="22" t="s">
        <v>1163</v>
      </c>
      <c r="I1" s="22" t="s">
        <v>6</v>
      </c>
      <c r="J1" s="22" t="s">
        <v>7</v>
      </c>
      <c r="K1" s="22" t="s">
        <v>151</v>
      </c>
      <c r="L1" s="22" t="s">
        <v>126</v>
      </c>
      <c r="M1" s="22" t="s">
        <v>1164</v>
      </c>
      <c r="N1" s="22" t="s">
        <v>1165</v>
      </c>
      <c r="O1" s="22" t="s">
        <v>1166</v>
      </c>
      <c r="P1" s="22" t="s">
        <v>9</v>
      </c>
      <c r="Q1" s="22" t="s">
        <v>10</v>
      </c>
      <c r="R1" s="22" t="s">
        <v>127</v>
      </c>
      <c r="S1" s="22" t="s">
        <v>11</v>
      </c>
      <c r="T1" s="22" t="s">
        <v>12</v>
      </c>
      <c r="U1" s="22" t="s">
        <v>128</v>
      </c>
      <c r="V1" s="166" t="s">
        <v>14</v>
      </c>
      <c r="W1" s="22" t="s">
        <v>758</v>
      </c>
      <c r="X1" s="22" t="s">
        <v>915</v>
      </c>
      <c r="Y1" s="187" t="s">
        <v>1168</v>
      </c>
      <c r="Z1" s="170" t="s">
        <v>15</v>
      </c>
      <c r="AA1" s="22" t="s">
        <v>13</v>
      </c>
      <c r="AB1" s="22" t="s">
        <v>413</v>
      </c>
      <c r="AC1" s="22" t="s">
        <v>763</v>
      </c>
      <c r="AD1" s="187" t="s">
        <v>1169</v>
      </c>
      <c r="AE1" s="170" t="s">
        <v>1170</v>
      </c>
      <c r="AF1" s="22" t="s">
        <v>1171</v>
      </c>
      <c r="AG1" s="22" t="s">
        <v>786</v>
      </c>
      <c r="AH1" s="22" t="s">
        <v>787</v>
      </c>
      <c r="AI1" s="22" t="s">
        <v>1172</v>
      </c>
      <c r="AJ1" s="22" t="s">
        <v>793</v>
      </c>
      <c r="AK1" s="22" t="s">
        <v>152</v>
      </c>
      <c r="AL1" s="22" t="s">
        <v>165</v>
      </c>
      <c r="AM1" s="22" t="s">
        <v>153</v>
      </c>
      <c r="AN1" s="22" t="s">
        <v>135</v>
      </c>
      <c r="AO1" s="22" t="s">
        <v>154</v>
      </c>
      <c r="AP1" s="166" t="s">
        <v>1173</v>
      </c>
      <c r="AQ1" s="22" t="s">
        <v>1174</v>
      </c>
      <c r="AR1" s="175" t="s">
        <v>1175</v>
      </c>
      <c r="AS1" s="164" t="s">
        <v>18</v>
      </c>
      <c r="AT1" s="22" t="s">
        <v>20</v>
      </c>
      <c r="AU1" s="22" t="s">
        <v>166</v>
      </c>
      <c r="AV1" s="22" t="s">
        <v>21</v>
      </c>
      <c r="AW1" s="22" t="s">
        <v>167</v>
      </c>
      <c r="AX1" s="22" t="s">
        <v>836</v>
      </c>
      <c r="AY1" s="22" t="s">
        <v>22</v>
      </c>
      <c r="AZ1" s="170" t="s">
        <v>24</v>
      </c>
      <c r="BA1" s="170" t="s">
        <v>25</v>
      </c>
    </row>
    <row r="2" spans="1:53" ht="15">
      <c r="A2" s="2">
        <v>419</v>
      </c>
      <c r="B2" s="2">
        <v>419</v>
      </c>
      <c r="C2" s="23" t="s">
        <v>1320</v>
      </c>
      <c r="D2" s="23" t="s">
        <v>1321</v>
      </c>
      <c r="E2" s="23" t="s">
        <v>1322</v>
      </c>
      <c r="F2" s="23">
        <v>299944700</v>
      </c>
      <c r="G2" s="23" t="s">
        <v>1046</v>
      </c>
      <c r="H2" s="2" t="s">
        <v>820</v>
      </c>
      <c r="I2" s="21" t="s">
        <v>30</v>
      </c>
      <c r="J2" s="21" t="s">
        <v>30</v>
      </c>
      <c r="K2" s="23" t="s">
        <v>481</v>
      </c>
      <c r="L2" s="23" t="s">
        <v>140</v>
      </c>
      <c r="M2" s="23" t="s">
        <v>343</v>
      </c>
      <c r="N2" s="23" t="s">
        <v>1323</v>
      </c>
      <c r="O2" s="23" t="s">
        <v>1324</v>
      </c>
      <c r="P2" s="194" t="s">
        <v>2710</v>
      </c>
      <c r="Q2" s="194" t="s">
        <v>418</v>
      </c>
      <c r="R2" s="23" t="s">
        <v>411</v>
      </c>
      <c r="S2" s="21" t="s">
        <v>34</v>
      </c>
      <c r="T2" s="158">
        <v>0.28000000000000003</v>
      </c>
      <c r="U2" s="23" t="s">
        <v>835</v>
      </c>
      <c r="V2" s="178">
        <v>8.6499999999999994E-2</v>
      </c>
      <c r="W2" s="23" t="s">
        <v>759</v>
      </c>
      <c r="X2" s="19" t="s">
        <v>911</v>
      </c>
      <c r="Y2" s="188">
        <v>0</v>
      </c>
      <c r="Z2" s="179">
        <v>7.2700000000000001E-2</v>
      </c>
      <c r="AA2" s="23" t="s">
        <v>1326</v>
      </c>
      <c r="AB2" s="21" t="s">
        <v>415</v>
      </c>
      <c r="AC2" s="23" t="s">
        <v>785</v>
      </c>
      <c r="AD2" s="23">
        <v>817674</v>
      </c>
      <c r="AE2" s="179">
        <v>0.43</v>
      </c>
      <c r="AF2" s="192">
        <v>45565</v>
      </c>
      <c r="AG2" s="23" t="s">
        <v>343</v>
      </c>
      <c r="AH2" s="23" t="s">
        <v>788</v>
      </c>
      <c r="AI2" s="2" t="s">
        <v>1327</v>
      </c>
      <c r="AJ2" s="2" t="s">
        <v>343</v>
      </c>
      <c r="AK2" s="23" t="s">
        <v>899</v>
      </c>
      <c r="AL2" s="23" t="s">
        <v>1328</v>
      </c>
      <c r="AM2" s="23" t="s">
        <v>902</v>
      </c>
      <c r="AN2" s="2" t="s">
        <v>142</v>
      </c>
      <c r="AO2" s="193">
        <v>45565</v>
      </c>
      <c r="AP2" s="169">
        <v>0</v>
      </c>
      <c r="AQ2" s="156">
        <v>3500000</v>
      </c>
      <c r="AR2" s="181">
        <v>106.54</v>
      </c>
      <c r="AS2" s="180">
        <v>1</v>
      </c>
      <c r="AT2" s="158">
        <v>3728.9</v>
      </c>
      <c r="AU2" s="161">
        <v>3728.9</v>
      </c>
      <c r="AV2" s="30"/>
      <c r="AW2" s="30"/>
      <c r="AX2" s="21" t="s">
        <v>140</v>
      </c>
      <c r="AY2" s="23" t="s">
        <v>36</v>
      </c>
      <c r="AZ2" s="179">
        <v>0.23547803043319401</v>
      </c>
      <c r="BA2" s="179">
        <v>3.2164229045306201E-3</v>
      </c>
    </row>
    <row r="3" spans="1:53">
      <c r="A3" s="2">
        <v>419</v>
      </c>
      <c r="B3" s="2">
        <v>419</v>
      </c>
      <c r="C3" s="23" t="s">
        <v>1329</v>
      </c>
      <c r="D3" s="23" t="s">
        <v>1321</v>
      </c>
      <c r="E3" s="23" t="s">
        <v>1330</v>
      </c>
      <c r="F3" s="23" t="s">
        <v>1331</v>
      </c>
      <c r="G3" s="23" t="s">
        <v>1045</v>
      </c>
      <c r="I3" s="21" t="s">
        <v>30</v>
      </c>
      <c r="J3" s="21" t="s">
        <v>30</v>
      </c>
      <c r="K3" s="23" t="s">
        <v>1332</v>
      </c>
      <c r="L3" s="23" t="s">
        <v>140</v>
      </c>
      <c r="M3" s="23" t="s">
        <v>140</v>
      </c>
      <c r="N3" s="23"/>
      <c r="O3" s="23" t="s">
        <v>1333</v>
      </c>
      <c r="P3" s="23" t="s">
        <v>68</v>
      </c>
      <c r="Q3" s="23" t="s">
        <v>69</v>
      </c>
      <c r="R3" s="23" t="s">
        <v>411</v>
      </c>
      <c r="S3" s="21" t="s">
        <v>34</v>
      </c>
      <c r="T3" s="158">
        <v>2.0699999999999998</v>
      </c>
      <c r="U3" s="23" t="s">
        <v>1334</v>
      </c>
      <c r="V3" s="178">
        <v>5.5357000000000003E-2</v>
      </c>
      <c r="W3" s="23" t="s">
        <v>762</v>
      </c>
      <c r="X3" s="23" t="s">
        <v>1325</v>
      </c>
      <c r="Y3" s="188">
        <v>5.5357000000000003</v>
      </c>
      <c r="Z3" s="179">
        <v>5.2220000000000003E-2</v>
      </c>
      <c r="AA3" s="23" t="s">
        <v>1335</v>
      </c>
      <c r="AB3" s="21" t="s">
        <v>415</v>
      </c>
      <c r="AC3" s="23"/>
      <c r="AD3" s="23"/>
      <c r="AE3" s="179">
        <v>0</v>
      </c>
      <c r="AF3" s="23"/>
      <c r="AG3" s="23" t="s">
        <v>140</v>
      </c>
      <c r="AH3" s="23" t="s">
        <v>317</v>
      </c>
      <c r="AI3" s="2" t="s">
        <v>1336</v>
      </c>
      <c r="AJ3" s="2" t="s">
        <v>140</v>
      </c>
      <c r="AK3" s="23" t="s">
        <v>317</v>
      </c>
      <c r="AL3" s="23" t="s">
        <v>1337</v>
      </c>
      <c r="AM3" s="23" t="s">
        <v>1338</v>
      </c>
      <c r="AN3" s="2" t="s">
        <v>142</v>
      </c>
      <c r="AO3" s="2" t="s">
        <v>1339</v>
      </c>
      <c r="AP3" s="169">
        <v>0</v>
      </c>
      <c r="AQ3" s="156">
        <v>11952149.68</v>
      </c>
      <c r="AR3" s="181">
        <v>101.292</v>
      </c>
      <c r="AS3" s="180">
        <v>1</v>
      </c>
      <c r="AT3" s="158">
        <v>12106.548000000001</v>
      </c>
      <c r="AU3" s="158">
        <v>12106.548000000001</v>
      </c>
      <c r="AV3" s="23"/>
      <c r="AW3" s="23"/>
      <c r="AX3" s="21" t="s">
        <v>140</v>
      </c>
      <c r="AY3" s="23" t="s">
        <v>36</v>
      </c>
      <c r="AZ3" s="179">
        <v>0.76452196956680596</v>
      </c>
      <c r="BA3" s="179">
        <v>1.04426980699976E-2</v>
      </c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152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152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152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152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152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152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152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152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152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152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152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152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152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152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152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152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3"/>
      <c r="AG20" s="23"/>
      <c r="AH20" s="23"/>
      <c r="AK20" s="23"/>
      <c r="AM20" s="23"/>
      <c r="AX20" s="21"/>
      <c r="AY20" s="23"/>
    </row>
    <row r="21" spans="3:53">
      <c r="D21" s="4"/>
      <c r="S21" s="21"/>
      <c r="AE21" s="153"/>
    </row>
    <row r="22" spans="3:53">
      <c r="D22" s="4"/>
      <c r="S22" s="21"/>
      <c r="AE22" s="153"/>
    </row>
    <row r="23" spans="3:53">
      <c r="D23" s="4"/>
      <c r="AE23" s="153"/>
    </row>
    <row r="24" spans="3:53">
      <c r="AE24" s="153"/>
    </row>
    <row r="25" spans="3:53">
      <c r="AE25" s="153"/>
    </row>
    <row r="26" spans="3:53">
      <c r="AE26" s="153"/>
    </row>
    <row r="27" spans="3:53">
      <c r="AE27" s="153"/>
    </row>
    <row r="28" spans="3:53">
      <c r="AE28" s="153"/>
    </row>
    <row r="29" spans="3:53">
      <c r="AE29" s="153"/>
    </row>
    <row r="30" spans="3:53">
      <c r="AE30" s="153"/>
    </row>
    <row r="31" spans="3:53">
      <c r="AE31" s="153"/>
    </row>
    <row r="32" spans="3:53">
      <c r="AE32" s="153"/>
    </row>
    <row r="33" spans="31:31">
      <c r="AE33" s="153"/>
    </row>
    <row r="34" spans="31:31">
      <c r="AE34" s="153"/>
    </row>
    <row r="35" spans="31:31">
      <c r="AE35" s="153"/>
    </row>
    <row r="36" spans="31:31">
      <c r="AE36" s="153"/>
    </row>
    <row r="37" spans="31:31">
      <c r="AE37" s="153"/>
    </row>
    <row r="38" spans="31:31">
      <c r="AE38" s="153"/>
    </row>
    <row r="39" spans="31:31">
      <c r="AE39" s="153"/>
    </row>
    <row r="40" spans="31:31">
      <c r="AE40" s="153"/>
    </row>
    <row r="41" spans="31:31">
      <c r="AE41" s="153"/>
    </row>
    <row r="42" spans="31:31">
      <c r="AE42" s="153"/>
    </row>
    <row r="43" spans="31:31">
      <c r="AE43" s="153"/>
    </row>
    <row r="44" spans="31:31">
      <c r="AE44" s="153"/>
    </row>
    <row r="45" spans="31:31">
      <c r="AE45" s="153"/>
    </row>
    <row r="46" spans="31:31">
      <c r="AE46" s="153"/>
    </row>
    <row r="47" spans="31:31">
      <c r="AE47" s="153"/>
    </row>
    <row r="48" spans="31:31">
      <c r="AE48" s="153"/>
    </row>
    <row r="49" spans="31:31">
      <c r="AE49" s="153"/>
    </row>
    <row r="50" spans="31:31">
      <c r="AE50" s="153"/>
    </row>
    <row r="51" spans="31:31">
      <c r="AE51" s="153"/>
    </row>
    <row r="52" spans="31:31">
      <c r="AE52" s="153"/>
    </row>
    <row r="53" spans="31:31">
      <c r="AE53" s="153"/>
    </row>
    <row r="54" spans="31:31">
      <c r="AE54" s="153"/>
    </row>
    <row r="55" spans="31:31">
      <c r="AE55" s="153"/>
    </row>
    <row r="56" spans="31:31">
      <c r="AE56" s="153"/>
    </row>
    <row r="57" spans="31:31">
      <c r="AE57" s="153"/>
    </row>
    <row r="58" spans="31:31">
      <c r="AE58" s="153"/>
    </row>
    <row r="59" spans="31:31">
      <c r="AE59" s="153"/>
    </row>
    <row r="60" spans="31:31">
      <c r="AE60" s="153"/>
    </row>
    <row r="61" spans="31:31">
      <c r="AE61" s="153"/>
    </row>
    <row r="62" spans="31:31">
      <c r="AE62" s="153"/>
    </row>
    <row r="63" spans="31:31">
      <c r="AE63" s="153"/>
    </row>
    <row r="64" spans="31:31">
      <c r="AE64" s="153"/>
    </row>
    <row r="65" spans="31:31">
      <c r="AE65" s="153"/>
    </row>
    <row r="66" spans="31:31">
      <c r="AE66" s="153"/>
    </row>
    <row r="67" spans="31:31">
      <c r="AE67" s="153"/>
    </row>
    <row r="68" spans="31:31">
      <c r="AE68" s="153"/>
    </row>
    <row r="69" spans="31:31">
      <c r="AE69" s="153"/>
    </row>
    <row r="70" spans="31:31">
      <c r="AE70" s="153"/>
    </row>
    <row r="71" spans="31:31">
      <c r="AE71" s="153"/>
    </row>
    <row r="72" spans="31:31">
      <c r="AE72" s="153"/>
    </row>
    <row r="73" spans="31:31">
      <c r="AE73" s="153"/>
    </row>
    <row r="74" spans="31:31">
      <c r="AE74" s="153"/>
    </row>
    <row r="75" spans="31:31">
      <c r="AE75" s="153"/>
    </row>
    <row r="76" spans="31:31">
      <c r="AE76" s="153"/>
    </row>
    <row r="77" spans="31:31">
      <c r="AE77" s="153"/>
    </row>
    <row r="78" spans="31:31">
      <c r="AE78" s="153"/>
    </row>
    <row r="79" spans="31:31">
      <c r="AE79" s="153"/>
    </row>
    <row r="80" spans="31:31">
      <c r="AE80" s="153"/>
    </row>
    <row r="81" spans="31:31">
      <c r="AE81" s="153"/>
    </row>
    <row r="82" spans="31:31">
      <c r="AE82" s="153"/>
    </row>
    <row r="83" spans="31:31">
      <c r="AE83" s="153"/>
    </row>
    <row r="84" spans="31:31">
      <c r="AE84" s="153"/>
    </row>
    <row r="85" spans="31:31">
      <c r="AE85" s="153"/>
    </row>
    <row r="86" spans="31:31">
      <c r="AE86" s="153"/>
    </row>
    <row r="87" spans="31:31">
      <c r="AE87" s="153"/>
    </row>
    <row r="88" spans="31:31">
      <c r="AE88" s="153"/>
    </row>
    <row r="89" spans="31:31">
      <c r="AE89" s="153"/>
    </row>
    <row r="90" spans="31:31">
      <c r="AE90" s="153"/>
    </row>
    <row r="91" spans="31:31">
      <c r="AE91" s="153"/>
    </row>
    <row r="92" spans="31:31">
      <c r="AE92" s="153"/>
    </row>
    <row r="93" spans="31:31">
      <c r="AE93" s="153"/>
    </row>
    <row r="94" spans="31:31">
      <c r="AE94" s="153"/>
    </row>
    <row r="95" spans="31:31">
      <c r="AE95" s="153"/>
    </row>
    <row r="96" spans="31:31">
      <c r="AE96" s="153"/>
    </row>
    <row r="97" spans="31:31">
      <c r="AE97" s="153"/>
    </row>
    <row r="98" spans="31:31">
      <c r="AE98" s="153"/>
    </row>
    <row r="99" spans="31:31">
      <c r="AE99" s="153"/>
    </row>
    <row r="100" spans="31:31">
      <c r="AE100" s="153"/>
    </row>
    <row r="101" spans="31:31">
      <c r="AE101" s="153"/>
    </row>
    <row r="102" spans="31:31">
      <c r="AE102" s="153"/>
    </row>
    <row r="103" spans="31:31">
      <c r="AE103" s="153"/>
    </row>
    <row r="104" spans="31:31">
      <c r="AE104" s="153"/>
    </row>
    <row r="105" spans="31:31">
      <c r="AE105" s="153"/>
    </row>
    <row r="106" spans="31:31">
      <c r="AE106" s="153"/>
    </row>
    <row r="107" spans="31:31">
      <c r="AE107" s="153"/>
    </row>
    <row r="108" spans="31:31">
      <c r="AE108" s="153"/>
    </row>
    <row r="109" spans="31:31">
      <c r="AE109" s="153"/>
    </row>
    <row r="110" spans="31:31">
      <c r="AE110" s="153"/>
    </row>
    <row r="111" spans="31:31">
      <c r="AE111" s="153"/>
    </row>
    <row r="112" spans="31:31">
      <c r="AE112" s="153"/>
    </row>
    <row r="113" spans="31:31">
      <c r="AE113" s="153"/>
    </row>
    <row r="114" spans="31:31">
      <c r="AE114" s="153"/>
    </row>
    <row r="115" spans="31:31">
      <c r="AE115" s="153"/>
    </row>
    <row r="116" spans="31:31">
      <c r="AE116" s="153"/>
    </row>
    <row r="117" spans="31:31">
      <c r="AE117" s="153"/>
    </row>
    <row r="118" spans="31:31">
      <c r="AE118" s="153"/>
    </row>
    <row r="119" spans="31:31">
      <c r="AE119" s="153"/>
    </row>
    <row r="120" spans="31:31">
      <c r="AE120" s="153"/>
    </row>
    <row r="121" spans="31:31">
      <c r="AE121" s="153"/>
    </row>
    <row r="122" spans="31:31">
      <c r="AE122" s="153"/>
    </row>
    <row r="123" spans="31:31">
      <c r="AE123" s="153"/>
    </row>
    <row r="124" spans="31:31">
      <c r="AE124" s="153"/>
    </row>
    <row r="125" spans="31:31">
      <c r="AE125" s="153"/>
    </row>
    <row r="126" spans="31:31">
      <c r="AE126" s="153"/>
    </row>
    <row r="127" spans="31:31">
      <c r="AE127" s="153"/>
    </row>
    <row r="128" spans="31:31">
      <c r="AE128" s="153"/>
    </row>
    <row r="129" spans="31:31">
      <c r="AE129" s="153"/>
    </row>
    <row r="130" spans="31:31">
      <c r="AE130" s="153"/>
    </row>
    <row r="131" spans="31:31">
      <c r="AE131" s="153"/>
    </row>
    <row r="132" spans="31:31">
      <c r="AE132" s="153"/>
    </row>
    <row r="133" spans="31:31">
      <c r="AE133" s="153"/>
    </row>
    <row r="134" spans="31:31">
      <c r="AE134" s="153"/>
    </row>
    <row r="135" spans="31:31">
      <c r="AE135" s="153"/>
    </row>
    <row r="136" spans="31:31">
      <c r="AE136" s="153"/>
    </row>
    <row r="137" spans="31:31">
      <c r="AE137" s="153"/>
    </row>
    <row r="138" spans="31:31">
      <c r="AE138" s="153"/>
    </row>
    <row r="139" spans="31:31">
      <c r="AE139" s="153"/>
    </row>
    <row r="140" spans="31:31">
      <c r="AE140" s="153"/>
    </row>
    <row r="141" spans="31:31">
      <c r="AE141" s="153"/>
    </row>
    <row r="142" spans="31:31">
      <c r="AE142" s="153"/>
    </row>
    <row r="143" spans="31:31">
      <c r="AE143" s="153"/>
    </row>
    <row r="144" spans="31:31">
      <c r="AE144" s="153"/>
    </row>
    <row r="145" spans="31:31">
      <c r="AE145" s="153"/>
    </row>
    <row r="146" spans="31:31">
      <c r="AE146" s="153"/>
    </row>
    <row r="147" spans="31:31">
      <c r="AE147" s="153"/>
    </row>
    <row r="148" spans="31:31">
      <c r="AE148" s="153"/>
    </row>
    <row r="149" spans="31:31">
      <c r="AE149" s="153"/>
    </row>
    <row r="150" spans="31:31">
      <c r="AE150" s="153"/>
    </row>
    <row r="151" spans="31:31">
      <c r="AE151" s="153"/>
    </row>
    <row r="152" spans="31:31">
      <c r="AE152" s="153"/>
    </row>
    <row r="153" spans="31:31">
      <c r="AE153" s="153"/>
    </row>
    <row r="154" spans="31:31">
      <c r="AE154" s="153"/>
    </row>
    <row r="155" spans="31:31">
      <c r="AE155" s="153"/>
    </row>
    <row r="156" spans="31:31">
      <c r="AE156" s="153"/>
    </row>
    <row r="157" spans="31:31">
      <c r="AE157" s="153"/>
    </row>
    <row r="158" spans="31:31">
      <c r="AE158" s="153"/>
    </row>
    <row r="159" spans="31:31">
      <c r="AE159" s="153"/>
    </row>
    <row r="160" spans="31:31">
      <c r="AE160" s="153"/>
    </row>
    <row r="161" spans="31:31">
      <c r="AE161" s="153"/>
    </row>
    <row r="162" spans="31:31">
      <c r="AE162" s="153"/>
    </row>
    <row r="163" spans="31:31">
      <c r="AE163" s="153"/>
    </row>
    <row r="164" spans="31:31">
      <c r="AE164" s="153"/>
    </row>
    <row r="165" spans="31:31">
      <c r="AE165" s="153"/>
    </row>
    <row r="166" spans="31:31">
      <c r="AE166" s="153"/>
    </row>
    <row r="167" spans="31:31">
      <c r="AE167" s="153"/>
    </row>
    <row r="168" spans="31:31">
      <c r="AE168" s="153"/>
    </row>
    <row r="169" spans="31:31">
      <c r="AE169" s="153"/>
    </row>
    <row r="170" spans="31:31">
      <c r="AE170" s="153"/>
    </row>
    <row r="171" spans="31:31">
      <c r="AE171" s="153"/>
    </row>
    <row r="172" spans="31:31">
      <c r="AE172" s="153"/>
    </row>
    <row r="173" spans="31:31">
      <c r="AE173" s="153"/>
    </row>
    <row r="174" spans="31:31">
      <c r="AE174" s="153"/>
    </row>
    <row r="175" spans="31:31">
      <c r="AE175" s="153"/>
    </row>
    <row r="176" spans="31:31">
      <c r="AE176" s="153"/>
    </row>
    <row r="177" spans="31:31">
      <c r="AE177" s="153"/>
    </row>
    <row r="178" spans="31:31">
      <c r="AE178" s="153"/>
    </row>
    <row r="179" spans="31:31">
      <c r="AE179" s="153"/>
    </row>
    <row r="180" spans="31:31">
      <c r="AE180" s="153"/>
    </row>
    <row r="181" spans="31:31">
      <c r="AE181" s="153"/>
    </row>
    <row r="182" spans="31:31">
      <c r="AE182" s="153"/>
    </row>
    <row r="183" spans="31:31">
      <c r="AE183" s="153"/>
    </row>
    <row r="184" spans="31:31">
      <c r="AE184" s="153"/>
    </row>
    <row r="185" spans="31:31">
      <c r="AE185" s="153"/>
    </row>
    <row r="186" spans="31:31">
      <c r="AE186" s="153"/>
    </row>
    <row r="187" spans="31:31">
      <c r="AE187" s="153"/>
    </row>
    <row r="188" spans="31:31">
      <c r="AE188" s="153"/>
    </row>
    <row r="189" spans="31:31">
      <c r="AE189" s="153"/>
    </row>
    <row r="190" spans="31:31">
      <c r="AE190" s="153"/>
    </row>
    <row r="191" spans="31:31">
      <c r="AE191" s="153"/>
    </row>
    <row r="192" spans="31:31">
      <c r="AE192" s="153"/>
    </row>
    <row r="193" spans="31:31">
      <c r="AE193" s="153"/>
    </row>
    <row r="194" spans="31:31">
      <c r="AE194" s="153"/>
    </row>
    <row r="195" spans="31:31">
      <c r="AE195" s="153"/>
    </row>
    <row r="196" spans="31:31">
      <c r="AE196" s="153"/>
    </row>
    <row r="197" spans="31:31">
      <c r="AE197" s="153"/>
    </row>
    <row r="198" spans="31:31">
      <c r="AE198" s="153"/>
    </row>
    <row r="199" spans="31:31">
      <c r="AE199" s="153"/>
    </row>
    <row r="200" spans="31:31">
      <c r="AE200" s="153"/>
    </row>
    <row r="201" spans="31:31">
      <c r="AE201" s="153"/>
    </row>
    <row r="202" spans="31:31">
      <c r="AE202" s="153"/>
    </row>
    <row r="203" spans="31:31">
      <c r="AE203" s="153"/>
    </row>
    <row r="204" spans="31:31">
      <c r="AE204" s="153"/>
    </row>
    <row r="205" spans="31:31">
      <c r="AE205" s="153"/>
    </row>
    <row r="206" spans="31:31">
      <c r="AE206" s="153"/>
    </row>
    <row r="207" spans="31:31">
      <c r="AE207" s="153"/>
    </row>
    <row r="208" spans="31:31">
      <c r="AE208" s="153"/>
    </row>
    <row r="209" spans="31:31">
      <c r="AE209" s="153"/>
    </row>
    <row r="210" spans="31:31">
      <c r="AE210" s="153"/>
    </row>
    <row r="211" spans="31:31">
      <c r="AE211" s="153"/>
    </row>
    <row r="212" spans="31:31">
      <c r="AE212" s="153"/>
    </row>
    <row r="213" spans="31:31">
      <c r="AE213" s="153"/>
    </row>
    <row r="214" spans="31:31">
      <c r="AE214" s="153"/>
    </row>
    <row r="215" spans="31:31">
      <c r="AE215" s="153"/>
    </row>
    <row r="216" spans="31:31">
      <c r="AE216" s="153"/>
    </row>
    <row r="217" spans="31:31">
      <c r="AE217" s="153"/>
    </row>
    <row r="218" spans="31:31">
      <c r="AE218" s="153"/>
    </row>
    <row r="219" spans="31:31">
      <c r="AE219" s="153"/>
    </row>
    <row r="220" spans="31:31">
      <c r="AE220" s="153"/>
    </row>
    <row r="221" spans="31:31">
      <c r="AE221" s="153"/>
    </row>
    <row r="222" spans="31:31">
      <c r="AE222" s="153"/>
    </row>
    <row r="223" spans="31:31">
      <c r="AE223" s="153"/>
    </row>
    <row r="224" spans="31:31">
      <c r="AE224" s="153"/>
    </row>
    <row r="225" spans="31:31">
      <c r="AE225" s="153"/>
    </row>
    <row r="226" spans="31:31">
      <c r="AE226" s="153"/>
    </row>
    <row r="227" spans="31:31">
      <c r="AE227" s="153"/>
    </row>
    <row r="228" spans="31:31">
      <c r="AE228" s="153"/>
    </row>
    <row r="229" spans="31:31">
      <c r="AE229" s="153"/>
    </row>
    <row r="230" spans="31:31">
      <c r="AE230" s="153"/>
    </row>
    <row r="231" spans="31:31">
      <c r="AE231" s="153"/>
    </row>
    <row r="232" spans="31:31">
      <c r="AE232" s="153"/>
    </row>
    <row r="233" spans="31:31">
      <c r="AE233" s="153"/>
    </row>
    <row r="234" spans="31:31">
      <c r="AE234" s="153"/>
    </row>
    <row r="235" spans="31:31">
      <c r="AE235" s="153"/>
    </row>
    <row r="236" spans="31:31">
      <c r="AE236" s="153"/>
    </row>
    <row r="237" spans="31:31">
      <c r="AE237" s="153"/>
    </row>
    <row r="238" spans="31:31">
      <c r="AE238" s="153"/>
    </row>
    <row r="239" spans="31:31">
      <c r="AE239" s="153"/>
    </row>
    <row r="240" spans="31:31">
      <c r="AE240" s="153"/>
    </row>
    <row r="241" spans="31:31">
      <c r="AE241" s="153"/>
    </row>
    <row r="242" spans="31:31">
      <c r="AE242" s="153"/>
    </row>
    <row r="243" spans="31:31">
      <c r="AE243" s="153"/>
    </row>
    <row r="244" spans="31:31">
      <c r="AE244" s="153"/>
    </row>
    <row r="245" spans="31:31">
      <c r="AE245" s="153"/>
    </row>
    <row r="246" spans="31:31">
      <c r="AE246" s="153"/>
    </row>
    <row r="247" spans="31:31">
      <c r="AE247" s="153"/>
    </row>
    <row r="248" spans="31:31">
      <c r="AE248" s="153"/>
    </row>
    <row r="249" spans="31:31">
      <c r="AE249" s="153"/>
    </row>
    <row r="250" spans="31:31">
      <c r="AE250" s="153"/>
    </row>
    <row r="251" spans="31:31">
      <c r="AE251" s="153"/>
    </row>
    <row r="252" spans="31:31">
      <c r="AE252" s="153"/>
    </row>
    <row r="253" spans="31:31">
      <c r="AE253" s="153"/>
    </row>
    <row r="254" spans="31:31">
      <c r="AE254" s="153"/>
    </row>
    <row r="255" spans="31:31">
      <c r="AE255" s="153"/>
    </row>
    <row r="256" spans="31:31">
      <c r="AE256" s="153"/>
    </row>
    <row r="257" spans="31:31">
      <c r="AE257" s="153"/>
    </row>
    <row r="258" spans="31:31">
      <c r="AE258" s="153"/>
    </row>
    <row r="259" spans="31:31">
      <c r="AE259" s="153"/>
    </row>
    <row r="260" spans="31:31">
      <c r="AE260" s="153"/>
    </row>
    <row r="261" spans="31:31">
      <c r="AE261" s="153"/>
    </row>
    <row r="262" spans="31:31">
      <c r="AE262" s="153"/>
    </row>
    <row r="263" spans="31:31">
      <c r="AE263" s="153"/>
    </row>
    <row r="264" spans="31:31">
      <c r="AE264" s="153"/>
    </row>
    <row r="265" spans="31:31">
      <c r="AE265" s="153"/>
    </row>
    <row r="266" spans="31:31">
      <c r="AE266" s="153"/>
    </row>
    <row r="267" spans="31:31">
      <c r="AE267" s="153"/>
    </row>
    <row r="268" spans="31:31">
      <c r="AE268" s="153"/>
    </row>
    <row r="269" spans="31:31">
      <c r="AE269" s="153"/>
    </row>
    <row r="270" spans="31:31">
      <c r="AE270" s="153"/>
    </row>
    <row r="271" spans="31:31">
      <c r="AE271" s="153"/>
    </row>
    <row r="272" spans="31:31">
      <c r="AE272" s="153"/>
    </row>
    <row r="273" spans="31:31">
      <c r="AE273" s="153"/>
    </row>
    <row r="274" spans="31:31">
      <c r="AE274" s="153"/>
    </row>
    <row r="275" spans="31:31">
      <c r="AE275" s="153"/>
    </row>
    <row r="276" spans="31:31">
      <c r="AE276" s="153"/>
    </row>
    <row r="277" spans="31:31">
      <c r="AE277" s="153"/>
    </row>
    <row r="278" spans="31:31">
      <c r="AE278" s="153"/>
    </row>
    <row r="279" spans="31:31">
      <c r="AE279" s="153"/>
    </row>
    <row r="280" spans="31:31">
      <c r="AE280" s="153"/>
    </row>
    <row r="281" spans="31:31">
      <c r="AE281" s="153"/>
    </row>
    <row r="282" spans="31:31">
      <c r="AE282" s="153"/>
    </row>
    <row r="283" spans="31:31">
      <c r="AE283" s="153"/>
    </row>
    <row r="284" spans="31:31">
      <c r="AE284" s="153"/>
    </row>
    <row r="285" spans="31:31">
      <c r="AE285" s="153"/>
    </row>
    <row r="286" spans="31:31">
      <c r="AE286" s="153"/>
    </row>
    <row r="287" spans="31:31">
      <c r="AE287" s="153"/>
    </row>
    <row r="288" spans="31:31">
      <c r="AE288" s="153"/>
    </row>
    <row r="289" spans="31:31">
      <c r="AE289" s="153"/>
    </row>
    <row r="290" spans="31:31">
      <c r="AE290" s="153"/>
    </row>
    <row r="291" spans="31:31">
      <c r="AE291" s="153"/>
    </row>
    <row r="292" spans="31:31">
      <c r="AE292" s="153"/>
    </row>
    <row r="293" spans="31:31">
      <c r="AE293" s="153"/>
    </row>
    <row r="294" spans="31:31">
      <c r="AE294" s="153"/>
    </row>
    <row r="295" spans="31:31">
      <c r="AE295" s="153"/>
    </row>
    <row r="296" spans="31:31">
      <c r="AE296" s="153"/>
    </row>
    <row r="297" spans="31:31">
      <c r="AE297" s="153"/>
    </row>
    <row r="298" spans="31:31">
      <c r="AE298" s="153"/>
    </row>
    <row r="299" spans="31:31">
      <c r="AE299" s="153"/>
    </row>
    <row r="300" spans="31:31">
      <c r="AE300" s="153"/>
    </row>
    <row r="301" spans="31:31">
      <c r="AE301" s="153"/>
    </row>
    <row r="302" spans="31:31">
      <c r="AE302" s="153"/>
    </row>
    <row r="303" spans="31:31">
      <c r="AE303" s="153"/>
    </row>
    <row r="304" spans="31:31">
      <c r="AE304" s="153"/>
    </row>
    <row r="305" spans="31:31">
      <c r="AE305" s="153"/>
    </row>
    <row r="306" spans="31:31">
      <c r="AE306" s="153"/>
    </row>
    <row r="307" spans="31:31">
      <c r="AE307" s="153"/>
    </row>
    <row r="308" spans="31:31">
      <c r="AE308" s="153"/>
    </row>
    <row r="309" spans="31:31">
      <c r="AE309" s="153"/>
    </row>
    <row r="310" spans="31:31">
      <c r="AE310" s="153"/>
    </row>
    <row r="311" spans="31:31">
      <c r="AE311" s="153"/>
    </row>
    <row r="312" spans="31:31">
      <c r="AE312" s="153"/>
    </row>
    <row r="313" spans="31:31">
      <c r="AE313" s="153"/>
    </row>
    <row r="314" spans="31:31">
      <c r="AE314" s="153"/>
    </row>
    <row r="315" spans="31:31">
      <c r="AE315" s="153"/>
    </row>
    <row r="316" spans="31:31">
      <c r="AE316" s="153"/>
    </row>
    <row r="317" spans="31:31">
      <c r="AE317" s="153"/>
    </row>
    <row r="318" spans="31:31">
      <c r="AE318" s="153"/>
    </row>
    <row r="319" spans="31:31">
      <c r="AE319" s="153"/>
    </row>
    <row r="320" spans="31:31">
      <c r="AE320" s="153"/>
    </row>
    <row r="321" spans="31:31">
      <c r="AE321" s="153"/>
    </row>
    <row r="322" spans="31:31">
      <c r="AE322" s="153"/>
    </row>
    <row r="323" spans="31:31">
      <c r="AE323" s="153"/>
    </row>
    <row r="324" spans="31:31">
      <c r="AE324" s="153"/>
    </row>
    <row r="325" spans="31:31">
      <c r="AE325" s="153"/>
    </row>
    <row r="326" spans="31:31">
      <c r="AE326" s="153"/>
    </row>
    <row r="327" spans="31:31">
      <c r="AE327" s="153"/>
    </row>
    <row r="328" spans="31:31">
      <c r="AE328" s="153"/>
    </row>
    <row r="329" spans="31:31">
      <c r="AE329" s="153"/>
    </row>
    <row r="330" spans="31:31">
      <c r="AE330" s="153"/>
    </row>
    <row r="331" spans="31:31">
      <c r="AE331" s="153"/>
    </row>
    <row r="332" spans="31:31">
      <c r="AE332" s="153"/>
    </row>
    <row r="333" spans="31:31">
      <c r="AE333" s="153"/>
    </row>
    <row r="334" spans="31:31">
      <c r="AE334" s="153"/>
    </row>
    <row r="335" spans="31:31">
      <c r="AE335" s="153"/>
    </row>
    <row r="336" spans="31:31">
      <c r="AE336" s="153"/>
    </row>
    <row r="337" spans="31:31">
      <c r="AE337" s="153"/>
    </row>
    <row r="338" spans="31:31">
      <c r="AE338" s="153"/>
    </row>
    <row r="339" spans="31:31">
      <c r="AE339" s="153"/>
    </row>
    <row r="340" spans="31:31">
      <c r="AE340" s="153"/>
    </row>
    <row r="341" spans="31:31">
      <c r="AE341" s="153"/>
    </row>
    <row r="342" spans="31:31">
      <c r="AE342" s="153"/>
    </row>
    <row r="343" spans="31:31">
      <c r="AE343" s="153"/>
    </row>
    <row r="344" spans="31:31">
      <c r="AE344" s="153"/>
    </row>
    <row r="345" spans="31:31">
      <c r="AE345" s="153"/>
    </row>
    <row r="346" spans="31:31">
      <c r="AE346" s="153"/>
    </row>
    <row r="347" spans="31:31">
      <c r="AE347" s="153"/>
    </row>
    <row r="348" spans="31:31">
      <c r="AE348" s="153"/>
    </row>
    <row r="349" spans="31:31">
      <c r="AE349" s="153"/>
    </row>
    <row r="350" spans="31:31">
      <c r="AE350" s="153"/>
    </row>
    <row r="351" spans="31:31">
      <c r="AE351" s="153"/>
    </row>
    <row r="352" spans="31:31">
      <c r="AE352" s="153"/>
    </row>
    <row r="353" spans="31:31">
      <c r="AE353" s="153"/>
    </row>
    <row r="354" spans="31:31">
      <c r="AE354" s="153"/>
    </row>
    <row r="355" spans="31:31">
      <c r="AE355" s="153"/>
    </row>
    <row r="356" spans="31:31">
      <c r="AE356" s="153"/>
    </row>
    <row r="357" spans="31:31">
      <c r="AE357" s="153"/>
    </row>
    <row r="358" spans="31:31">
      <c r="AE358" s="153"/>
    </row>
    <row r="359" spans="31:31">
      <c r="AE359" s="153"/>
    </row>
    <row r="360" spans="31:31">
      <c r="AE360" s="153"/>
    </row>
    <row r="361" spans="31:31">
      <c r="AE361" s="153"/>
    </row>
    <row r="362" spans="31:31">
      <c r="AE362" s="153"/>
    </row>
    <row r="363" spans="31:31">
      <c r="AE363" s="153"/>
    </row>
    <row r="364" spans="31:31">
      <c r="AE364" s="153"/>
    </row>
    <row r="365" spans="31:31">
      <c r="AE365" s="153"/>
    </row>
    <row r="366" spans="31:31">
      <c r="AE366" s="153"/>
    </row>
    <row r="367" spans="31:31">
      <c r="AE367" s="153"/>
    </row>
    <row r="368" spans="31:31">
      <c r="AE368" s="153"/>
    </row>
    <row r="369" spans="31:31">
      <c r="AE369" s="153"/>
    </row>
    <row r="370" spans="31:31">
      <c r="AE370" s="153"/>
    </row>
    <row r="371" spans="31:31">
      <c r="AE371" s="153"/>
    </row>
    <row r="372" spans="31:31">
      <c r="AE372" s="153"/>
    </row>
    <row r="373" spans="31:31">
      <c r="AE373" s="153"/>
    </row>
    <row r="374" spans="31:31">
      <c r="AE374" s="153"/>
    </row>
    <row r="375" spans="31:31">
      <c r="AE375" s="153"/>
    </row>
    <row r="376" spans="31:31">
      <c r="AE376" s="153"/>
    </row>
    <row r="377" spans="31:31">
      <c r="AE377" s="153"/>
    </row>
    <row r="378" spans="31:31">
      <c r="AE378" s="153"/>
    </row>
    <row r="379" spans="31:31">
      <c r="AE379" s="153"/>
    </row>
    <row r="380" spans="31:31">
      <c r="AE380" s="153"/>
    </row>
    <row r="381" spans="31:31">
      <c r="AE381" s="153"/>
    </row>
    <row r="382" spans="31:31">
      <c r="AE382" s="153"/>
    </row>
    <row r="383" spans="31:31">
      <c r="AE383" s="153"/>
    </row>
    <row r="384" spans="31:31">
      <c r="AE384" s="153"/>
    </row>
    <row r="385" spans="31:31">
      <c r="AE385" s="153"/>
    </row>
    <row r="386" spans="31:31">
      <c r="AE386" s="153"/>
    </row>
    <row r="387" spans="31:31">
      <c r="AE387" s="153"/>
    </row>
    <row r="388" spans="31:31">
      <c r="AE388" s="153"/>
    </row>
    <row r="389" spans="31:31">
      <c r="AE389" s="153"/>
    </row>
    <row r="390" spans="31:31">
      <c r="AE390" s="153"/>
    </row>
    <row r="391" spans="31:31">
      <c r="AE391" s="153"/>
    </row>
    <row r="392" spans="31:31">
      <c r="AE392" s="153"/>
    </row>
    <row r="393" spans="31:31">
      <c r="AE393" s="153"/>
    </row>
    <row r="394" spans="31:31">
      <c r="AE394" s="153"/>
    </row>
    <row r="395" spans="31:31">
      <c r="AE395" s="153"/>
    </row>
    <row r="396" spans="31:31">
      <c r="AE396" s="153"/>
    </row>
    <row r="397" spans="31:31">
      <c r="AE397" s="153"/>
    </row>
    <row r="398" spans="31:31">
      <c r="AE398" s="153"/>
    </row>
    <row r="399" spans="31:31">
      <c r="AE399" s="153"/>
    </row>
    <row r="400" spans="31:31">
      <c r="AE400" s="153"/>
    </row>
    <row r="401" spans="31:31">
      <c r="AE401" s="153"/>
    </row>
    <row r="402" spans="31:31">
      <c r="AE402" s="153"/>
    </row>
    <row r="403" spans="31:31">
      <c r="AE403" s="153"/>
    </row>
    <row r="404" spans="31:31">
      <c r="AE404" s="153"/>
    </row>
    <row r="405" spans="31:31">
      <c r="AE405" s="153"/>
    </row>
    <row r="406" spans="31:31">
      <c r="AE406" s="153"/>
    </row>
    <row r="407" spans="31:31">
      <c r="AE407" s="153"/>
    </row>
    <row r="408" spans="31:31">
      <c r="AE408" s="153"/>
    </row>
    <row r="409" spans="31:31">
      <c r="AE409" s="153"/>
    </row>
    <row r="410" spans="31:31">
      <c r="AE410" s="153"/>
    </row>
    <row r="411" spans="31:31">
      <c r="AE411" s="153"/>
    </row>
    <row r="412" spans="31:31">
      <c r="AE412" s="153"/>
    </row>
    <row r="413" spans="31:31">
      <c r="AE413" s="153"/>
    </row>
    <row r="414" spans="31:31">
      <c r="AE414" s="153"/>
    </row>
    <row r="415" spans="31:31">
      <c r="AE415" s="153"/>
    </row>
    <row r="416" spans="31:31">
      <c r="AE416" s="153"/>
    </row>
    <row r="417" spans="31:31">
      <c r="AE417" s="153"/>
    </row>
    <row r="418" spans="31:31">
      <c r="AE418" s="153"/>
    </row>
    <row r="419" spans="31:31">
      <c r="AE419" s="153"/>
    </row>
    <row r="420" spans="31:31">
      <c r="AE420" s="153"/>
    </row>
    <row r="421" spans="31:31">
      <c r="AE421" s="153"/>
    </row>
    <row r="422" spans="31:31">
      <c r="AE422" s="153"/>
    </row>
    <row r="423" spans="31:31">
      <c r="AE423" s="153"/>
    </row>
    <row r="424" spans="31:31">
      <c r="AE424" s="153"/>
    </row>
    <row r="425" spans="31:31">
      <c r="AE425" s="153"/>
    </row>
    <row r="426" spans="31:31">
      <c r="AE426" s="153"/>
    </row>
    <row r="427" spans="31:31">
      <c r="AE427" s="153"/>
    </row>
    <row r="428" spans="31:31">
      <c r="AE428" s="153"/>
    </row>
    <row r="429" spans="31:31">
      <c r="AE429" s="153"/>
    </row>
    <row r="430" spans="31:31">
      <c r="AE430" s="153"/>
    </row>
    <row r="431" spans="31:31">
      <c r="AE431" s="153"/>
    </row>
    <row r="432" spans="31:31">
      <c r="AE432" s="153"/>
    </row>
    <row r="433" spans="31:31">
      <c r="AE433" s="153"/>
    </row>
    <row r="434" spans="31:31">
      <c r="AE434" s="153"/>
    </row>
    <row r="435" spans="31:31">
      <c r="AE435" s="153"/>
    </row>
    <row r="436" spans="31:31">
      <c r="AE436" s="153"/>
    </row>
    <row r="437" spans="31:31">
      <c r="AE437" s="153"/>
    </row>
    <row r="438" spans="31:31">
      <c r="AE438" s="153"/>
    </row>
    <row r="439" spans="31:31">
      <c r="AE439" s="153"/>
    </row>
    <row r="440" spans="31:31">
      <c r="AE440" s="153"/>
    </row>
    <row r="441" spans="31:31">
      <c r="AE441" s="153"/>
    </row>
    <row r="442" spans="31:31">
      <c r="AE442" s="153"/>
    </row>
    <row r="443" spans="31:31">
      <c r="AE443" s="153"/>
    </row>
    <row r="444" spans="31:31">
      <c r="AE444" s="153"/>
    </row>
    <row r="445" spans="31:31">
      <c r="AE445" s="153"/>
    </row>
    <row r="446" spans="31:31">
      <c r="AE446" s="153"/>
    </row>
    <row r="447" spans="31:31">
      <c r="AE447" s="153"/>
    </row>
    <row r="448" spans="31:31">
      <c r="AE448" s="153"/>
    </row>
    <row r="449" spans="31:31">
      <c r="AE449" s="153"/>
    </row>
    <row r="450" spans="31:31">
      <c r="AE450" s="153"/>
    </row>
    <row r="451" spans="31:31">
      <c r="AE451" s="153"/>
    </row>
    <row r="452" spans="31:31">
      <c r="AE452" s="153"/>
    </row>
    <row r="453" spans="31:31">
      <c r="AE453" s="153"/>
    </row>
    <row r="454" spans="31:31">
      <c r="AE454" s="153"/>
    </row>
    <row r="455" spans="31:31">
      <c r="AE455" s="153"/>
    </row>
    <row r="456" spans="31:31">
      <c r="AE456" s="153"/>
    </row>
    <row r="457" spans="31:31">
      <c r="AE457" s="153"/>
    </row>
    <row r="458" spans="31:31">
      <c r="AE458" s="153"/>
    </row>
    <row r="459" spans="31:31">
      <c r="AE459" s="153"/>
    </row>
    <row r="460" spans="31:31">
      <c r="AE460" s="153"/>
    </row>
    <row r="461" spans="31:31">
      <c r="AE461" s="153"/>
    </row>
    <row r="462" spans="31:31">
      <c r="AE462" s="153"/>
    </row>
    <row r="463" spans="31:31">
      <c r="AE463" s="153"/>
    </row>
    <row r="464" spans="31:31">
      <c r="AE464" s="153"/>
    </row>
    <row r="465" spans="31:31">
      <c r="AE465" s="153"/>
    </row>
    <row r="466" spans="31:31">
      <c r="AE466" s="153"/>
    </row>
    <row r="467" spans="31:31">
      <c r="AE467" s="153"/>
    </row>
    <row r="468" spans="31:31">
      <c r="AE468" s="153"/>
    </row>
    <row r="469" spans="31:31">
      <c r="AE469" s="153"/>
    </row>
    <row r="470" spans="31:31">
      <c r="AE470" s="153"/>
    </row>
    <row r="471" spans="31:31">
      <c r="AE471" s="153"/>
    </row>
    <row r="472" spans="31:31">
      <c r="AE472" s="153"/>
    </row>
    <row r="473" spans="31:31">
      <c r="AE473" s="153"/>
    </row>
    <row r="474" spans="31:31">
      <c r="AE474" s="153"/>
    </row>
    <row r="475" spans="31:31">
      <c r="AE475" s="153"/>
    </row>
    <row r="476" spans="31:31">
      <c r="AE476" s="153"/>
    </row>
    <row r="477" spans="31:31">
      <c r="AE477" s="153"/>
    </row>
    <row r="478" spans="31:31">
      <c r="AE478" s="153"/>
    </row>
    <row r="479" spans="31:31">
      <c r="AE479" s="153"/>
    </row>
    <row r="480" spans="31:31">
      <c r="AE480" s="153"/>
    </row>
    <row r="481" spans="31:31">
      <c r="AE481" s="153"/>
    </row>
    <row r="482" spans="31:31">
      <c r="AE482" s="153"/>
    </row>
    <row r="483" spans="31:31">
      <c r="AE483" s="153"/>
    </row>
    <row r="484" spans="31:31">
      <c r="AE484" s="153"/>
    </row>
    <row r="485" spans="31:31">
      <c r="AE485" s="153"/>
    </row>
    <row r="486" spans="31:31">
      <c r="AE486" s="153"/>
    </row>
    <row r="487" spans="31:31">
      <c r="AE487" s="153"/>
    </row>
    <row r="488" spans="31:31">
      <c r="AE488" s="153"/>
    </row>
    <row r="489" spans="31:31">
      <c r="AE489" s="153"/>
    </row>
    <row r="490" spans="31:31">
      <c r="AE490" s="153"/>
    </row>
    <row r="491" spans="31:31">
      <c r="AE491" s="153"/>
    </row>
    <row r="492" spans="31:31">
      <c r="AE492" s="153"/>
    </row>
    <row r="493" spans="31:31">
      <c r="AE493" s="153"/>
    </row>
    <row r="494" spans="31:31">
      <c r="AE494" s="153"/>
    </row>
    <row r="495" spans="31:31">
      <c r="AE495" s="153"/>
    </row>
    <row r="496" spans="31:31">
      <c r="AE496" s="153"/>
    </row>
    <row r="497" spans="31:31">
      <c r="AE497" s="153"/>
    </row>
    <row r="498" spans="31:31">
      <c r="AE498" s="153"/>
    </row>
    <row r="499" spans="31:31">
      <c r="AE499" s="153"/>
    </row>
    <row r="500" spans="31:31">
      <c r="AE500" s="153"/>
    </row>
    <row r="501" spans="31:31">
      <c r="AE501" s="153"/>
    </row>
    <row r="502" spans="31:31">
      <c r="AE502" s="153"/>
    </row>
    <row r="503" spans="31:31">
      <c r="AE503" s="153"/>
    </row>
    <row r="504" spans="31:31">
      <c r="AE504" s="153"/>
    </row>
    <row r="505" spans="31:31">
      <c r="AE505" s="153"/>
    </row>
    <row r="506" spans="31:31">
      <c r="AE506" s="153"/>
    </row>
    <row r="507" spans="31:31">
      <c r="AE507" s="153"/>
    </row>
    <row r="508" spans="31:31">
      <c r="AE508" s="153"/>
    </row>
    <row r="509" spans="31:31">
      <c r="AE509" s="153"/>
    </row>
    <row r="510" spans="31:31">
      <c r="AE510" s="153"/>
    </row>
    <row r="511" spans="31:31">
      <c r="AE511" s="153"/>
    </row>
    <row r="512" spans="31:31">
      <c r="AE512" s="153"/>
    </row>
    <row r="513" spans="31:31">
      <c r="AE513" s="153"/>
    </row>
    <row r="514" spans="31:31">
      <c r="AE514" s="153"/>
    </row>
    <row r="515" spans="31:31">
      <c r="AE515" s="153"/>
    </row>
    <row r="516" spans="31:31">
      <c r="AE516" s="153"/>
    </row>
    <row r="517" spans="31:31">
      <c r="AE517" s="153"/>
    </row>
    <row r="518" spans="31:31">
      <c r="AE518" s="153"/>
    </row>
    <row r="519" spans="31:31">
      <c r="AE519" s="153"/>
    </row>
    <row r="520" spans="31:31">
      <c r="AE520" s="153"/>
    </row>
    <row r="521" spans="31:31">
      <c r="AE521" s="153"/>
    </row>
    <row r="522" spans="31:31">
      <c r="AE522" s="153"/>
    </row>
    <row r="523" spans="31:31">
      <c r="AE523" s="153"/>
    </row>
    <row r="524" spans="31:31">
      <c r="AE524" s="153"/>
    </row>
    <row r="525" spans="31:31">
      <c r="AE525" s="153"/>
    </row>
    <row r="526" spans="31:31">
      <c r="AE526" s="153"/>
    </row>
    <row r="527" spans="31:31">
      <c r="AE527" s="153"/>
    </row>
    <row r="528" spans="31:31">
      <c r="AE528" s="153"/>
    </row>
    <row r="529" spans="31:31">
      <c r="AE529" s="153"/>
    </row>
    <row r="530" spans="31:31">
      <c r="AE530" s="153"/>
    </row>
    <row r="531" spans="31:31">
      <c r="AE531" s="153"/>
    </row>
    <row r="532" spans="31:31">
      <c r="AE532" s="153"/>
    </row>
    <row r="533" spans="31:31">
      <c r="AE533" s="153"/>
    </row>
    <row r="534" spans="31:31">
      <c r="AE534" s="153"/>
    </row>
    <row r="535" spans="31:31">
      <c r="AE535" s="153"/>
    </row>
    <row r="536" spans="31:31">
      <c r="AE536" s="153"/>
    </row>
    <row r="537" spans="31:31">
      <c r="AE537" s="153"/>
    </row>
    <row r="538" spans="31:31">
      <c r="AE538" s="153"/>
    </row>
    <row r="539" spans="31:31">
      <c r="AE539" s="153"/>
    </row>
    <row r="540" spans="31:31">
      <c r="AE540" s="153"/>
    </row>
    <row r="541" spans="31:31">
      <c r="AE541" s="153"/>
    </row>
    <row r="542" spans="31:31">
      <c r="AE542" s="153"/>
    </row>
    <row r="543" spans="31:31">
      <c r="AE543" s="153"/>
    </row>
    <row r="544" spans="31:31">
      <c r="AE544" s="153"/>
    </row>
    <row r="545" spans="31:31">
      <c r="AE545" s="153"/>
    </row>
    <row r="546" spans="31:31">
      <c r="AE546" s="153"/>
    </row>
    <row r="547" spans="31:31">
      <c r="AE547" s="153"/>
    </row>
    <row r="548" spans="31:31">
      <c r="AE548" s="153"/>
    </row>
    <row r="549" spans="31:31">
      <c r="AE549" s="153"/>
    </row>
    <row r="550" spans="31:31">
      <c r="AE550" s="153"/>
    </row>
    <row r="551" spans="31:31">
      <c r="AE551" s="153"/>
    </row>
    <row r="552" spans="31:31">
      <c r="AE552" s="153"/>
    </row>
    <row r="553" spans="31:31">
      <c r="AE553" s="153"/>
    </row>
    <row r="554" spans="31:31">
      <c r="AE554" s="153"/>
    </row>
    <row r="555" spans="31:31">
      <c r="AE555" s="153"/>
    </row>
    <row r="556" spans="31:31">
      <c r="AE556" s="153"/>
    </row>
    <row r="557" spans="31:31">
      <c r="AE557" s="153"/>
    </row>
    <row r="558" spans="31:31">
      <c r="AE558" s="153"/>
    </row>
    <row r="559" spans="31:31">
      <c r="AE559" s="153"/>
    </row>
    <row r="560" spans="31:31">
      <c r="AE560" s="153"/>
    </row>
    <row r="561" spans="31:31">
      <c r="AE561" s="153"/>
    </row>
    <row r="562" spans="31:31">
      <c r="AE562" s="153"/>
    </row>
    <row r="563" spans="31:31">
      <c r="AE563" s="153"/>
    </row>
    <row r="564" spans="31:31">
      <c r="AE564" s="153"/>
    </row>
    <row r="565" spans="31:31">
      <c r="AE565" s="153"/>
    </row>
    <row r="566" spans="31:31">
      <c r="AE566" s="153"/>
    </row>
    <row r="567" spans="31:31">
      <c r="AE567" s="153"/>
    </row>
    <row r="568" spans="31:31">
      <c r="AE568" s="153"/>
    </row>
    <row r="569" spans="31:31">
      <c r="AE569" s="153"/>
    </row>
    <row r="570" spans="31:31">
      <c r="AE570" s="153"/>
    </row>
    <row r="571" spans="31:31">
      <c r="AE571" s="153"/>
    </row>
    <row r="572" spans="31:31">
      <c r="AE572" s="153"/>
    </row>
    <row r="573" spans="31:31">
      <c r="AE573" s="153"/>
    </row>
    <row r="574" spans="31:31">
      <c r="AE574" s="153"/>
    </row>
    <row r="575" spans="31:31">
      <c r="AE575" s="153"/>
    </row>
    <row r="576" spans="31:31">
      <c r="AE576" s="153"/>
    </row>
    <row r="577" spans="31:31">
      <c r="AE577" s="153"/>
    </row>
    <row r="578" spans="31:31">
      <c r="AE578" s="153"/>
    </row>
    <row r="579" spans="31:31">
      <c r="AE579" s="153"/>
    </row>
    <row r="580" spans="31:31">
      <c r="AE580" s="153"/>
    </row>
    <row r="581" spans="31:31">
      <c r="AE581" s="153"/>
    </row>
    <row r="582" spans="31:31">
      <c r="AE582" s="153"/>
    </row>
    <row r="583" spans="31:31">
      <c r="AE583" s="153"/>
    </row>
    <row r="584" spans="31:31">
      <c r="AE584" s="153"/>
    </row>
    <row r="585" spans="31:31">
      <c r="AE585" s="153"/>
    </row>
    <row r="586" spans="31:31">
      <c r="AE586" s="153"/>
    </row>
    <row r="587" spans="31:31">
      <c r="AE587" s="153"/>
    </row>
    <row r="588" spans="31:31">
      <c r="AE588" s="153"/>
    </row>
    <row r="589" spans="31:31">
      <c r="AE589" s="153"/>
    </row>
    <row r="590" spans="31:31">
      <c r="AE590" s="153"/>
    </row>
    <row r="591" spans="31:31">
      <c r="AE591" s="153"/>
    </row>
    <row r="592" spans="31:31">
      <c r="AE592" s="153"/>
    </row>
    <row r="593" spans="31:31">
      <c r="AE593" s="153"/>
    </row>
    <row r="594" spans="31:31">
      <c r="AE594" s="153"/>
    </row>
    <row r="595" spans="31:31">
      <c r="AE595" s="153"/>
    </row>
    <row r="596" spans="31:31">
      <c r="AE596" s="153"/>
    </row>
    <row r="597" spans="31:31">
      <c r="AE597" s="153"/>
    </row>
    <row r="598" spans="31:31">
      <c r="AE598" s="153"/>
    </row>
    <row r="599" spans="31:31">
      <c r="AE599" s="153"/>
    </row>
    <row r="600" spans="31:31">
      <c r="AE600" s="153"/>
    </row>
    <row r="601" spans="31:31">
      <c r="AE601" s="153"/>
    </row>
    <row r="602" spans="31:31">
      <c r="AE602" s="153"/>
    </row>
    <row r="603" spans="31:31">
      <c r="AE603" s="153"/>
    </row>
    <row r="604" spans="31:31">
      <c r="AE604" s="153"/>
    </row>
    <row r="605" spans="31:31">
      <c r="AE605" s="153"/>
    </row>
    <row r="606" spans="31:31">
      <c r="AE606" s="153"/>
    </row>
    <row r="607" spans="31:31">
      <c r="AE607" s="153"/>
    </row>
    <row r="608" spans="31:31">
      <c r="AE608" s="153"/>
    </row>
    <row r="609" spans="31:31">
      <c r="AE609" s="153"/>
    </row>
    <row r="610" spans="31:31">
      <c r="AE610" s="153"/>
    </row>
    <row r="611" spans="31:31">
      <c r="AE611" s="153"/>
    </row>
    <row r="612" spans="31:31">
      <c r="AE612" s="153"/>
    </row>
    <row r="613" spans="31:31">
      <c r="AE613" s="153"/>
    </row>
    <row r="614" spans="31:31">
      <c r="AE614" s="153"/>
    </row>
    <row r="615" spans="31:31">
      <c r="AE615" s="153"/>
    </row>
    <row r="616" spans="31:31">
      <c r="AE616" s="153"/>
    </row>
    <row r="617" spans="31:31">
      <c r="AE617" s="153"/>
    </row>
    <row r="618" spans="31:31">
      <c r="AE618" s="153"/>
    </row>
    <row r="619" spans="31:31">
      <c r="AE619" s="153"/>
    </row>
    <row r="620" spans="31:31">
      <c r="AE620" s="153"/>
    </row>
    <row r="621" spans="31:31">
      <c r="AE621" s="153"/>
    </row>
    <row r="622" spans="31:31">
      <c r="AE622" s="153"/>
    </row>
    <row r="623" spans="31:31">
      <c r="AE623" s="153"/>
    </row>
    <row r="624" spans="31:31">
      <c r="AE624" s="153"/>
    </row>
    <row r="625" spans="31:31">
      <c r="AE625" s="153"/>
    </row>
    <row r="626" spans="31:31">
      <c r="AE626" s="153"/>
    </row>
    <row r="627" spans="31:31">
      <c r="AE627" s="153"/>
    </row>
    <row r="628" spans="31:31">
      <c r="AE628" s="153"/>
    </row>
    <row r="629" spans="31:31">
      <c r="AE629" s="153"/>
    </row>
    <row r="630" spans="31:31">
      <c r="AE630" s="153"/>
    </row>
    <row r="631" spans="31:31">
      <c r="AE631" s="153"/>
    </row>
    <row r="632" spans="31:31">
      <c r="AE632" s="153"/>
    </row>
    <row r="633" spans="31:31">
      <c r="AE633" s="153"/>
    </row>
    <row r="634" spans="31:31">
      <c r="AE634" s="153"/>
    </row>
    <row r="635" spans="31:31">
      <c r="AE635" s="153"/>
    </row>
    <row r="636" spans="31:31">
      <c r="AE636" s="153"/>
    </row>
    <row r="637" spans="31:31">
      <c r="AE637" s="153"/>
    </row>
    <row r="638" spans="31:31">
      <c r="AE638" s="153"/>
    </row>
    <row r="639" spans="31:31">
      <c r="AE639" s="153"/>
    </row>
    <row r="640" spans="31:31">
      <c r="AE640" s="153"/>
    </row>
    <row r="641" spans="31:31">
      <c r="AE641" s="153"/>
    </row>
    <row r="642" spans="31:31">
      <c r="AE642" s="153"/>
    </row>
    <row r="643" spans="31:31">
      <c r="AE643" s="153"/>
    </row>
    <row r="644" spans="31:31">
      <c r="AE644" s="153"/>
    </row>
    <row r="645" spans="31:31">
      <c r="AE645" s="153"/>
    </row>
    <row r="646" spans="31:31">
      <c r="AE646" s="153"/>
    </row>
    <row r="647" spans="31:31">
      <c r="AE647" s="153"/>
    </row>
    <row r="648" spans="31:31">
      <c r="AE648" s="153"/>
    </row>
    <row r="649" spans="31:31">
      <c r="AE649" s="153"/>
    </row>
    <row r="650" spans="31:31">
      <c r="AE650" s="153"/>
    </row>
    <row r="651" spans="31:31">
      <c r="AE651" s="153"/>
    </row>
    <row r="652" spans="31:31">
      <c r="AE652" s="153"/>
    </row>
    <row r="653" spans="31:31">
      <c r="AE653" s="153"/>
    </row>
    <row r="654" spans="31:31">
      <c r="AE654" s="153"/>
    </row>
    <row r="655" spans="31:31">
      <c r="AE655" s="153"/>
    </row>
    <row r="656" spans="31:31">
      <c r="AE656" s="153"/>
    </row>
    <row r="657" spans="31:31">
      <c r="AE657" s="153"/>
    </row>
    <row r="658" spans="31:31">
      <c r="AE658" s="153"/>
    </row>
    <row r="659" spans="31:31">
      <c r="AE659" s="153"/>
    </row>
    <row r="660" spans="31:31">
      <c r="AE660" s="153"/>
    </row>
    <row r="661" spans="31:31">
      <c r="AE661" s="153"/>
    </row>
    <row r="662" spans="31:31">
      <c r="AE662" s="153"/>
    </row>
    <row r="663" spans="31:31">
      <c r="AE663" s="153"/>
    </row>
    <row r="664" spans="31:31">
      <c r="AE664" s="153"/>
    </row>
    <row r="665" spans="31:31">
      <c r="AE665" s="153"/>
    </row>
    <row r="666" spans="31:31">
      <c r="AE666" s="153"/>
    </row>
    <row r="667" spans="31:31">
      <c r="AE667" s="153"/>
    </row>
    <row r="668" spans="31:31">
      <c r="AE668" s="153"/>
    </row>
    <row r="669" spans="31:31">
      <c r="AE669" s="153"/>
    </row>
    <row r="670" spans="31:31">
      <c r="AE670" s="153"/>
    </row>
    <row r="671" spans="31:31">
      <c r="AE671" s="153"/>
    </row>
    <row r="672" spans="31:31">
      <c r="AE672" s="153"/>
    </row>
    <row r="673" spans="31:31">
      <c r="AE673" s="153"/>
    </row>
    <row r="674" spans="31:31">
      <c r="AE674" s="153"/>
    </row>
    <row r="675" spans="31:31">
      <c r="AE675" s="153"/>
    </row>
    <row r="676" spans="31:31">
      <c r="AE676" s="153"/>
    </row>
    <row r="677" spans="31:31">
      <c r="AE677" s="153"/>
    </row>
    <row r="678" spans="31:31">
      <c r="AE678" s="153"/>
    </row>
    <row r="679" spans="31:31">
      <c r="AE679" s="153"/>
    </row>
    <row r="680" spans="31:31">
      <c r="AE680" s="153"/>
    </row>
    <row r="681" spans="31:31">
      <c r="AE681" s="153"/>
    </row>
    <row r="682" spans="31:31">
      <c r="AE682" s="153"/>
    </row>
    <row r="683" spans="31:31">
      <c r="AE683" s="153"/>
    </row>
    <row r="684" spans="31:31">
      <c r="AE684" s="153"/>
    </row>
    <row r="685" spans="31:31">
      <c r="AE685" s="153"/>
    </row>
    <row r="686" spans="31:31">
      <c r="AE686" s="153"/>
    </row>
    <row r="687" spans="31:31">
      <c r="AE687" s="153"/>
    </row>
    <row r="688" spans="31:31">
      <c r="AE688" s="153"/>
    </row>
    <row r="689" spans="31:31">
      <c r="AE689" s="153"/>
    </row>
    <row r="690" spans="31:31">
      <c r="AE690" s="153"/>
    </row>
    <row r="691" spans="31:31">
      <c r="AE691" s="153"/>
    </row>
    <row r="692" spans="31:31">
      <c r="AE692" s="153"/>
    </row>
    <row r="693" spans="31:31">
      <c r="AE693" s="153"/>
    </row>
    <row r="694" spans="31:31">
      <c r="AE694" s="153"/>
    </row>
    <row r="695" spans="31:31">
      <c r="AE695" s="153"/>
    </row>
    <row r="696" spans="31:31">
      <c r="AE696" s="153"/>
    </row>
    <row r="697" spans="31:31">
      <c r="AE697" s="153"/>
    </row>
    <row r="698" spans="31:31">
      <c r="AE698" s="153"/>
    </row>
    <row r="699" spans="31:31">
      <c r="AE699" s="153"/>
    </row>
    <row r="700" spans="31:31">
      <c r="AE700" s="153"/>
    </row>
    <row r="701" spans="31:31">
      <c r="AE701" s="153"/>
    </row>
    <row r="702" spans="31:31">
      <c r="AE702" s="153"/>
    </row>
    <row r="703" spans="31:31">
      <c r="AE703" s="153"/>
    </row>
    <row r="704" spans="31:31">
      <c r="AE704" s="153"/>
    </row>
    <row r="705" spans="31:31">
      <c r="AE705" s="153"/>
    </row>
    <row r="706" spans="31:31">
      <c r="AE706" s="153"/>
    </row>
    <row r="707" spans="31:31">
      <c r="AE707" s="153"/>
    </row>
    <row r="708" spans="31:31">
      <c r="AE708" s="153"/>
    </row>
    <row r="709" spans="31:31">
      <c r="AE709" s="153"/>
    </row>
    <row r="710" spans="31:31">
      <c r="AE710" s="153"/>
    </row>
    <row r="711" spans="31:31">
      <c r="AE711" s="153"/>
    </row>
    <row r="712" spans="31:31">
      <c r="AE712" s="153"/>
    </row>
    <row r="713" spans="31:31">
      <c r="AE713" s="153"/>
    </row>
    <row r="714" spans="31:31">
      <c r="AE714" s="153"/>
    </row>
    <row r="715" spans="31:31">
      <c r="AE715" s="153"/>
    </row>
    <row r="716" spans="31:31">
      <c r="AE716" s="153"/>
    </row>
    <row r="717" spans="31:31">
      <c r="AE717" s="153"/>
    </row>
    <row r="718" spans="31:31">
      <c r="AE718" s="153"/>
    </row>
    <row r="719" spans="31:31">
      <c r="AE719" s="153"/>
    </row>
    <row r="720" spans="31:31">
      <c r="AE720" s="153"/>
    </row>
    <row r="721" spans="31:31">
      <c r="AE721" s="153"/>
    </row>
    <row r="722" spans="31:31">
      <c r="AE722" s="153"/>
    </row>
    <row r="723" spans="31:31">
      <c r="AE723" s="153"/>
    </row>
    <row r="724" spans="31:31">
      <c r="AE724" s="153"/>
    </row>
    <row r="725" spans="31:31">
      <c r="AE725" s="153"/>
    </row>
    <row r="726" spans="31:31">
      <c r="AE726" s="153"/>
    </row>
    <row r="727" spans="31:31">
      <c r="AE727" s="153"/>
    </row>
    <row r="728" spans="31:31">
      <c r="AE728" s="153"/>
    </row>
    <row r="729" spans="31:31">
      <c r="AE729" s="153"/>
    </row>
    <row r="730" spans="31:31">
      <c r="AE730" s="153"/>
    </row>
    <row r="731" spans="31:31">
      <c r="AE731" s="153"/>
    </row>
    <row r="732" spans="31:31">
      <c r="AE732" s="153"/>
    </row>
    <row r="733" spans="31:31">
      <c r="AE733" s="153"/>
    </row>
    <row r="734" spans="31:31">
      <c r="AE734" s="153"/>
    </row>
    <row r="735" spans="31:31">
      <c r="AE735" s="153"/>
    </row>
    <row r="736" spans="31:31">
      <c r="AE736" s="153"/>
    </row>
    <row r="737" spans="31:31">
      <c r="AE737" s="153"/>
    </row>
    <row r="738" spans="31:31">
      <c r="AE738" s="153"/>
    </row>
    <row r="739" spans="31:31">
      <c r="AE739" s="153"/>
    </row>
    <row r="740" spans="31:31">
      <c r="AE740" s="153"/>
    </row>
    <row r="741" spans="31:31">
      <c r="AE741" s="153"/>
    </row>
    <row r="742" spans="31:31">
      <c r="AE742" s="153"/>
    </row>
    <row r="743" spans="31:31">
      <c r="AE743" s="153"/>
    </row>
    <row r="744" spans="31:31">
      <c r="AE744" s="153"/>
    </row>
    <row r="745" spans="31:31">
      <c r="AE745" s="153"/>
    </row>
    <row r="746" spans="31:31">
      <c r="AE746" s="153"/>
    </row>
    <row r="747" spans="31:31">
      <c r="AE747" s="153"/>
    </row>
    <row r="748" spans="31:31">
      <c r="AE748" s="153"/>
    </row>
    <row r="749" spans="31:31">
      <c r="AE749" s="153"/>
    </row>
    <row r="750" spans="31:31">
      <c r="AE750" s="153"/>
    </row>
    <row r="751" spans="31:31">
      <c r="AE751" s="153"/>
    </row>
    <row r="752" spans="31:31">
      <c r="AE752" s="153"/>
    </row>
    <row r="753" spans="31:31">
      <c r="AE753" s="153"/>
    </row>
    <row r="754" spans="31:31">
      <c r="AE754" s="153"/>
    </row>
    <row r="755" spans="31:31">
      <c r="AE755" s="153"/>
    </row>
    <row r="756" spans="31:31">
      <c r="AE756" s="153"/>
    </row>
    <row r="757" spans="31:31">
      <c r="AE757" s="153"/>
    </row>
    <row r="758" spans="31:31">
      <c r="AE758" s="153"/>
    </row>
    <row r="759" spans="31:31">
      <c r="AE759" s="153"/>
    </row>
    <row r="760" spans="31:31">
      <c r="AE760" s="153"/>
    </row>
    <row r="761" spans="31:31">
      <c r="AE761" s="153"/>
    </row>
    <row r="762" spans="31:31">
      <c r="AE762" s="153"/>
    </row>
    <row r="763" spans="31:31">
      <c r="AE763" s="153"/>
    </row>
    <row r="764" spans="31:31">
      <c r="AE764" s="153"/>
    </row>
    <row r="765" spans="31:31">
      <c r="AE765" s="153"/>
    </row>
    <row r="766" spans="31:31">
      <c r="AE766" s="153"/>
    </row>
    <row r="767" spans="31:31">
      <c r="AE767" s="153"/>
    </row>
    <row r="768" spans="31:31">
      <c r="AE768" s="153"/>
    </row>
    <row r="769" spans="31:31">
      <c r="AE769" s="153"/>
    </row>
    <row r="770" spans="31:31">
      <c r="AE770" s="153"/>
    </row>
    <row r="771" spans="31:31">
      <c r="AE771" s="153"/>
    </row>
    <row r="772" spans="31:31">
      <c r="AE772" s="153"/>
    </row>
    <row r="773" spans="31:31">
      <c r="AE773" s="153"/>
    </row>
    <row r="774" spans="31:31">
      <c r="AE774" s="153"/>
    </row>
    <row r="775" spans="31:31">
      <c r="AE775" s="153"/>
    </row>
    <row r="776" spans="31:31">
      <c r="AE776" s="153"/>
    </row>
    <row r="777" spans="31:31">
      <c r="AE777" s="153"/>
    </row>
    <row r="778" spans="31:31">
      <c r="AE778" s="153"/>
    </row>
    <row r="779" spans="31:31">
      <c r="AE779" s="153"/>
    </row>
    <row r="780" spans="31:31">
      <c r="AE780" s="153"/>
    </row>
    <row r="781" spans="31:31">
      <c r="AE781" s="153"/>
    </row>
    <row r="782" spans="31:31">
      <c r="AE782" s="153"/>
    </row>
    <row r="783" spans="31:31">
      <c r="AE783" s="153"/>
    </row>
    <row r="784" spans="31:31">
      <c r="AE784" s="153"/>
    </row>
    <row r="785" spans="31:31">
      <c r="AE785" s="153"/>
    </row>
    <row r="786" spans="31:31">
      <c r="AE786" s="153"/>
    </row>
    <row r="787" spans="31:31">
      <c r="AE787" s="153"/>
    </row>
    <row r="788" spans="31:31">
      <c r="AE788" s="153"/>
    </row>
    <row r="789" spans="31:31">
      <c r="AE789" s="153"/>
    </row>
    <row r="790" spans="31:31">
      <c r="AE790" s="153"/>
    </row>
    <row r="791" spans="31:31">
      <c r="AE791" s="153"/>
    </row>
    <row r="792" spans="31:31">
      <c r="AE792" s="153"/>
    </row>
    <row r="793" spans="31:31">
      <c r="AE793" s="153"/>
    </row>
    <row r="794" spans="31:31">
      <c r="AE794" s="153"/>
    </row>
    <row r="795" spans="31:31">
      <c r="AE795" s="153"/>
    </row>
    <row r="796" spans="31:31">
      <c r="AE796" s="153"/>
    </row>
    <row r="797" spans="31:31">
      <c r="AE797" s="153"/>
    </row>
    <row r="798" spans="31:31">
      <c r="AE798" s="153"/>
    </row>
    <row r="799" spans="31:31">
      <c r="AE799" s="153"/>
    </row>
    <row r="800" spans="31:31">
      <c r="AE800" s="153"/>
    </row>
    <row r="801" spans="31:31">
      <c r="AE801" s="153"/>
    </row>
    <row r="802" spans="31:31">
      <c r="AE802" s="15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5</v>
      </c>
      <c r="J1" s="22" t="s">
        <v>6</v>
      </c>
      <c r="K1" s="22" t="s">
        <v>7</v>
      </c>
      <c r="L1" s="22" t="s">
        <v>126</v>
      </c>
      <c r="M1" s="22" t="s">
        <v>174</v>
      </c>
      <c r="N1" s="22" t="s">
        <v>159</v>
      </c>
      <c r="O1" s="22" t="s">
        <v>9</v>
      </c>
      <c r="P1" s="22" t="s">
        <v>10</v>
      </c>
      <c r="Q1" s="22" t="s">
        <v>175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152</v>
      </c>
      <c r="W1" s="22" t="s">
        <v>153</v>
      </c>
      <c r="X1" s="22" t="s">
        <v>135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168</v>
      </c>
      <c r="D1" s="22" t="s">
        <v>169</v>
      </c>
      <c r="E1" s="22" t="s">
        <v>170</v>
      </c>
      <c r="F1" s="22" t="s">
        <v>5</v>
      </c>
      <c r="G1" s="22" t="s">
        <v>171</v>
      </c>
      <c r="H1" s="22" t="s">
        <v>6</v>
      </c>
      <c r="I1" s="22" t="s">
        <v>7</v>
      </c>
      <c r="J1" s="22" t="s">
        <v>126</v>
      </c>
      <c r="K1" s="22" t="s">
        <v>172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136</v>
      </c>
      <c r="R1" s="22" t="s">
        <v>18</v>
      </c>
      <c r="S1" s="22" t="s">
        <v>173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157</v>
      </c>
      <c r="D1" s="22" t="s">
        <v>5</v>
      </c>
      <c r="E1" s="22" t="s">
        <v>158</v>
      </c>
      <c r="F1" s="22" t="s">
        <v>126</v>
      </c>
      <c r="G1" s="22" t="s">
        <v>159</v>
      </c>
      <c r="H1" s="22" t="s">
        <v>160</v>
      </c>
      <c r="I1" s="22" t="s">
        <v>161</v>
      </c>
      <c r="J1" s="22" t="s">
        <v>162</v>
      </c>
      <c r="K1" s="22" t="s">
        <v>163</v>
      </c>
      <c r="L1" s="22" t="s">
        <v>164</v>
      </c>
      <c r="M1" s="22" t="s">
        <v>152</v>
      </c>
      <c r="N1" s="22" t="s">
        <v>165</v>
      </c>
      <c r="O1" s="22" t="s">
        <v>153</v>
      </c>
      <c r="P1" s="22" t="s">
        <v>135</v>
      </c>
      <c r="Q1" s="22" t="s">
        <v>11</v>
      </c>
      <c r="R1" s="22" t="s">
        <v>166</v>
      </c>
      <c r="S1" s="22" t="s">
        <v>20</v>
      </c>
      <c r="T1" s="22" t="s">
        <v>21</v>
      </c>
      <c r="U1" s="22" t="s">
        <v>167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148</v>
      </c>
      <c r="E1" s="22" t="s">
        <v>149</v>
      </c>
      <c r="F1" s="22" t="s">
        <v>3</v>
      </c>
      <c r="G1" s="22" t="s">
        <v>4</v>
      </c>
      <c r="H1" s="22" t="s">
        <v>150</v>
      </c>
      <c r="I1" s="22" t="s">
        <v>5</v>
      </c>
      <c r="J1" s="22" t="s">
        <v>6</v>
      </c>
      <c r="K1" s="22" t="s">
        <v>7</v>
      </c>
      <c r="L1" s="22" t="s">
        <v>151</v>
      </c>
      <c r="M1" s="22" t="s">
        <v>126</v>
      </c>
      <c r="N1" s="22" t="s">
        <v>11</v>
      </c>
      <c r="O1" s="22" t="s">
        <v>152</v>
      </c>
      <c r="P1" s="22" t="s">
        <v>153</v>
      </c>
      <c r="Q1" s="22" t="s">
        <v>135</v>
      </c>
      <c r="R1" s="22" t="s">
        <v>154</v>
      </c>
      <c r="S1" s="22" t="s">
        <v>155</v>
      </c>
      <c r="T1" s="22" t="s">
        <v>156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132</v>
      </c>
      <c r="D1" s="22" t="s">
        <v>133</v>
      </c>
      <c r="E1" s="22" t="s">
        <v>5</v>
      </c>
      <c r="F1" s="22" t="s">
        <v>6</v>
      </c>
      <c r="G1" s="22" t="s">
        <v>7</v>
      </c>
      <c r="H1" s="22" t="s">
        <v>126</v>
      </c>
      <c r="I1" s="22" t="s">
        <v>134</v>
      </c>
      <c r="J1" s="22" t="s">
        <v>11</v>
      </c>
      <c r="K1" s="22" t="s">
        <v>135</v>
      </c>
      <c r="L1" s="22" t="s">
        <v>136</v>
      </c>
      <c r="M1" s="164" t="s">
        <v>18</v>
      </c>
      <c r="N1" s="22" t="s">
        <v>20</v>
      </c>
      <c r="O1" s="22" t="s">
        <v>21</v>
      </c>
      <c r="P1" s="22" t="s">
        <v>22</v>
      </c>
      <c r="Q1" s="170" t="s">
        <v>24</v>
      </c>
      <c r="R1" s="170" t="s">
        <v>25</v>
      </c>
    </row>
    <row r="2" spans="1:18">
      <c r="A2" s="23">
        <v>14947</v>
      </c>
      <c r="B2" s="23">
        <v>14948</v>
      </c>
      <c r="C2" s="30" t="s">
        <v>137</v>
      </c>
      <c r="D2" s="30" t="s">
        <v>138</v>
      </c>
      <c r="E2" s="30" t="s">
        <v>139</v>
      </c>
      <c r="F2" s="21" t="s">
        <v>30</v>
      </c>
      <c r="G2" s="21" t="s">
        <v>30</v>
      </c>
      <c r="H2" s="23" t="s">
        <v>140</v>
      </c>
      <c r="I2" s="23" t="s">
        <v>141</v>
      </c>
      <c r="J2" s="21" t="s">
        <v>34</v>
      </c>
      <c r="K2" s="23" t="s">
        <v>142</v>
      </c>
      <c r="L2" s="156">
        <v>-1.7999999999999999E-2</v>
      </c>
      <c r="M2" s="180">
        <v>1</v>
      </c>
      <c r="N2" s="158">
        <v>-1.7999999999999999E-2</v>
      </c>
      <c r="O2" s="23"/>
      <c r="P2" s="21" t="s">
        <v>36</v>
      </c>
      <c r="Q2" s="179">
        <v>1</v>
      </c>
      <c r="R2" s="179">
        <v>-2.2394550728624399E-4</v>
      </c>
    </row>
    <row r="3" spans="1:18">
      <c r="A3" s="23">
        <v>14947</v>
      </c>
      <c r="B3" s="23">
        <v>14949</v>
      </c>
      <c r="C3" s="30" t="s">
        <v>137</v>
      </c>
      <c r="D3" s="23" t="s">
        <v>138</v>
      </c>
      <c r="E3" s="30" t="s">
        <v>139</v>
      </c>
      <c r="F3" s="21" t="s">
        <v>30</v>
      </c>
      <c r="G3" s="21" t="s">
        <v>30</v>
      </c>
      <c r="H3" s="23" t="s">
        <v>140</v>
      </c>
      <c r="I3" s="23" t="s">
        <v>141</v>
      </c>
      <c r="J3" s="21" t="s">
        <v>34</v>
      </c>
      <c r="K3" s="23" t="s">
        <v>142</v>
      </c>
      <c r="L3" s="156">
        <v>-1.4E-2</v>
      </c>
      <c r="M3" s="180">
        <v>1</v>
      </c>
      <c r="N3" s="158">
        <v>-1.4E-2</v>
      </c>
      <c r="O3" s="23"/>
      <c r="P3" s="21" t="s">
        <v>36</v>
      </c>
      <c r="Q3" s="179">
        <v>1</v>
      </c>
      <c r="R3" s="179">
        <v>-3.0699808395397702E-4</v>
      </c>
    </row>
    <row r="4" spans="1:18">
      <c r="A4" s="23">
        <v>14947</v>
      </c>
      <c r="B4" s="23">
        <v>15203</v>
      </c>
      <c r="C4" s="30" t="s">
        <v>137</v>
      </c>
      <c r="D4" s="23" t="s">
        <v>138</v>
      </c>
      <c r="E4" s="30" t="s">
        <v>139</v>
      </c>
      <c r="F4" s="21" t="s">
        <v>30</v>
      </c>
      <c r="G4" s="21" t="s">
        <v>30</v>
      </c>
      <c r="H4" s="23" t="s">
        <v>140</v>
      </c>
      <c r="I4" s="23" t="s">
        <v>141</v>
      </c>
      <c r="J4" s="21" t="s">
        <v>34</v>
      </c>
      <c r="K4" s="23" t="s">
        <v>142</v>
      </c>
      <c r="L4" s="156">
        <v>-0.106</v>
      </c>
      <c r="M4" s="180">
        <v>1</v>
      </c>
      <c r="N4" s="158">
        <v>-0.106</v>
      </c>
      <c r="O4" s="23"/>
      <c r="P4" s="21" t="s">
        <v>36</v>
      </c>
      <c r="Q4" s="179">
        <v>1</v>
      </c>
      <c r="R4" s="179">
        <v>-3.0748400948365601E-4</v>
      </c>
    </row>
    <row r="5" spans="1:18">
      <c r="A5" s="23">
        <v>419</v>
      </c>
      <c r="B5" s="23">
        <v>419</v>
      </c>
      <c r="C5" s="30" t="s">
        <v>137</v>
      </c>
      <c r="D5" s="23" t="s">
        <v>138</v>
      </c>
      <c r="E5" s="30" t="s">
        <v>139</v>
      </c>
      <c r="F5" s="21" t="s">
        <v>30</v>
      </c>
      <c r="G5" s="21" t="s">
        <v>30</v>
      </c>
      <c r="H5" s="23" t="s">
        <v>140</v>
      </c>
      <c r="I5" s="23" t="s">
        <v>141</v>
      </c>
      <c r="J5" s="21" t="s">
        <v>34</v>
      </c>
      <c r="K5" s="23" t="s">
        <v>142</v>
      </c>
      <c r="L5" s="156">
        <v>46.460999999999999</v>
      </c>
      <c r="M5" s="180">
        <v>1</v>
      </c>
      <c r="N5" s="158">
        <v>46.460999999999999</v>
      </c>
      <c r="O5" s="23"/>
      <c r="P5" s="21" t="s">
        <v>36</v>
      </c>
      <c r="Q5" s="179">
        <v>-0.88360469890697502</v>
      </c>
      <c r="R5" s="179">
        <v>4.0075979015576898E-5</v>
      </c>
    </row>
    <row r="6" spans="1:18">
      <c r="A6" s="23">
        <v>419</v>
      </c>
      <c r="B6" s="23">
        <v>419</v>
      </c>
      <c r="C6" s="30" t="s">
        <v>143</v>
      </c>
      <c r="D6" s="23" t="s">
        <v>144</v>
      </c>
      <c r="E6" s="30" t="s">
        <v>145</v>
      </c>
      <c r="F6" s="21" t="s">
        <v>30</v>
      </c>
      <c r="G6" s="21" t="s">
        <v>30</v>
      </c>
      <c r="H6" s="23" t="s">
        <v>140</v>
      </c>
      <c r="I6" s="23" t="s">
        <v>141</v>
      </c>
      <c r="J6" s="21" t="s">
        <v>34</v>
      </c>
      <c r="K6" s="23" t="s">
        <v>142</v>
      </c>
      <c r="L6" s="156">
        <v>-51.856000000000002</v>
      </c>
      <c r="M6" s="180">
        <v>1</v>
      </c>
      <c r="N6" s="158">
        <v>-51.856000000000002</v>
      </c>
      <c r="O6" s="23"/>
      <c r="P6" s="21" t="s">
        <v>36</v>
      </c>
      <c r="Q6" s="179">
        <v>0.98620315589543806</v>
      </c>
      <c r="R6" s="179">
        <v>-4.4729342238278703E-5</v>
      </c>
    </row>
    <row r="7" spans="1:18">
      <c r="A7" s="23">
        <v>419</v>
      </c>
      <c r="B7" s="23">
        <v>419</v>
      </c>
      <c r="C7" s="30" t="s">
        <v>146</v>
      </c>
      <c r="D7" s="23" t="s">
        <v>147</v>
      </c>
      <c r="E7" s="30" t="s">
        <v>139</v>
      </c>
      <c r="F7" s="21" t="s">
        <v>30</v>
      </c>
      <c r="G7" s="21" t="s">
        <v>30</v>
      </c>
      <c r="H7" s="23" t="s">
        <v>140</v>
      </c>
      <c r="I7" s="23" t="s">
        <v>141</v>
      </c>
      <c r="J7" s="21" t="s">
        <v>34</v>
      </c>
      <c r="K7" s="23" t="s">
        <v>142</v>
      </c>
      <c r="L7" s="156">
        <v>-47.186999999999998</v>
      </c>
      <c r="M7" s="180">
        <v>1</v>
      </c>
      <c r="N7" s="158">
        <v>-47.186999999999998</v>
      </c>
      <c r="O7" s="23"/>
      <c r="P7" s="21" t="s">
        <v>36</v>
      </c>
      <c r="Q7" s="179">
        <v>0.89740154301153696</v>
      </c>
      <c r="R7" s="179">
        <v>-4.0701736252381499E-5</v>
      </c>
    </row>
    <row r="8" spans="1:18">
      <c r="A8" s="23">
        <v>419</v>
      </c>
      <c r="B8" s="23">
        <v>1472</v>
      </c>
      <c r="C8" s="30" t="s">
        <v>137</v>
      </c>
      <c r="D8" s="23" t="s">
        <v>138</v>
      </c>
      <c r="E8" s="30" t="s">
        <v>139</v>
      </c>
      <c r="F8" s="21" t="s">
        <v>30</v>
      </c>
      <c r="G8" s="21" t="s">
        <v>30</v>
      </c>
      <c r="H8" s="23" t="s">
        <v>140</v>
      </c>
      <c r="I8" s="23" t="s">
        <v>141</v>
      </c>
      <c r="J8" s="21" t="s">
        <v>34</v>
      </c>
      <c r="K8" s="23" t="s">
        <v>142</v>
      </c>
      <c r="L8" s="156">
        <v>-3.2280000000000002</v>
      </c>
      <c r="M8" s="180">
        <v>1</v>
      </c>
      <c r="N8" s="158">
        <v>-3.2280000000000002</v>
      </c>
      <c r="O8" s="23"/>
      <c r="P8" s="21" t="s">
        <v>36</v>
      </c>
      <c r="Q8" s="179">
        <v>0.92064583107541598</v>
      </c>
      <c r="R8" s="179">
        <v>-3.0937002778435902E-4</v>
      </c>
    </row>
    <row r="9" spans="1:18">
      <c r="A9" s="23">
        <v>419</v>
      </c>
      <c r="B9" s="23">
        <v>1472</v>
      </c>
      <c r="C9" s="30" t="s">
        <v>143</v>
      </c>
      <c r="D9" s="23" t="s">
        <v>144</v>
      </c>
      <c r="E9" s="30" t="s">
        <v>145</v>
      </c>
      <c r="F9" s="21" t="s">
        <v>30</v>
      </c>
      <c r="G9" s="21" t="s">
        <v>30</v>
      </c>
      <c r="H9" s="23" t="s">
        <v>140</v>
      </c>
      <c r="I9" s="23" t="s">
        <v>141</v>
      </c>
      <c r="J9" s="21" t="s">
        <v>34</v>
      </c>
      <c r="K9" s="23" t="s">
        <v>142</v>
      </c>
      <c r="L9" s="156">
        <v>-0.27800000000000002</v>
      </c>
      <c r="M9" s="180">
        <v>1</v>
      </c>
      <c r="N9" s="158">
        <v>-0.27800000000000002</v>
      </c>
      <c r="O9" s="23"/>
      <c r="P9" s="21" t="s">
        <v>36</v>
      </c>
      <c r="Q9" s="179">
        <v>7.9354168924584606E-2</v>
      </c>
      <c r="R9" s="179">
        <v>-2.66658476216925E-5</v>
      </c>
    </row>
    <row r="10" spans="1:18">
      <c r="A10" s="23">
        <v>419</v>
      </c>
      <c r="B10" s="23">
        <v>12435</v>
      </c>
      <c r="C10" s="30" t="s">
        <v>137</v>
      </c>
      <c r="D10" s="23" t="s">
        <v>138</v>
      </c>
      <c r="E10" s="30" t="s">
        <v>139</v>
      </c>
      <c r="F10" s="21" t="s">
        <v>30</v>
      </c>
      <c r="G10" s="21" t="s">
        <v>30</v>
      </c>
      <c r="H10" s="23" t="s">
        <v>140</v>
      </c>
      <c r="I10" s="23" t="s">
        <v>141</v>
      </c>
      <c r="J10" s="21" t="s">
        <v>34</v>
      </c>
      <c r="K10" s="23" t="s">
        <v>142</v>
      </c>
      <c r="L10" s="156">
        <v>-3.7040000000000002</v>
      </c>
      <c r="M10" s="180">
        <v>1</v>
      </c>
      <c r="N10" s="158">
        <v>-3.7040000000000002</v>
      </c>
      <c r="O10" s="23"/>
      <c r="P10" s="21" t="s">
        <v>36</v>
      </c>
      <c r="Q10" s="179">
        <v>0.72188299678228496</v>
      </c>
      <c r="R10" s="179">
        <v>-3.0651285842267398E-4</v>
      </c>
    </row>
    <row r="11" spans="1:18">
      <c r="A11" s="23">
        <v>419</v>
      </c>
      <c r="B11" s="23">
        <v>12435</v>
      </c>
      <c r="C11" s="30" t="s">
        <v>143</v>
      </c>
      <c r="D11" s="23" t="s">
        <v>144</v>
      </c>
      <c r="E11" s="30" t="s">
        <v>145</v>
      </c>
      <c r="F11" s="21" t="s">
        <v>30</v>
      </c>
      <c r="G11" s="21" t="s">
        <v>30</v>
      </c>
      <c r="H11" s="23" t="s">
        <v>140</v>
      </c>
      <c r="I11" s="23" t="s">
        <v>141</v>
      </c>
      <c r="J11" s="21" t="s">
        <v>34</v>
      </c>
      <c r="K11" s="23" t="s">
        <v>142</v>
      </c>
      <c r="L11" s="156">
        <v>-1.738</v>
      </c>
      <c r="M11" s="180">
        <v>1</v>
      </c>
      <c r="N11" s="158">
        <v>-1.738</v>
      </c>
      <c r="O11" s="23"/>
      <c r="P11" s="21" t="s">
        <v>36</v>
      </c>
      <c r="Q11" s="179">
        <v>0.33865136611595797</v>
      </c>
      <c r="R11" s="179">
        <v>-1.43791997733189E-4</v>
      </c>
    </row>
    <row r="12" spans="1:18">
      <c r="A12" s="23">
        <v>419</v>
      </c>
      <c r="B12" s="23">
        <v>12435</v>
      </c>
      <c r="C12" s="30" t="s">
        <v>146</v>
      </c>
      <c r="D12" s="23" t="s">
        <v>147</v>
      </c>
      <c r="E12" s="30" t="s">
        <v>139</v>
      </c>
      <c r="F12" s="21" t="s">
        <v>30</v>
      </c>
      <c r="G12" s="21" t="s">
        <v>30</v>
      </c>
      <c r="H12" s="23" t="s">
        <v>140</v>
      </c>
      <c r="I12" s="23" t="s">
        <v>141</v>
      </c>
      <c r="J12" s="21" t="s">
        <v>34</v>
      </c>
      <c r="K12" s="23" t="s">
        <v>142</v>
      </c>
      <c r="L12" s="156">
        <v>0.311</v>
      </c>
      <c r="M12" s="180">
        <v>1</v>
      </c>
      <c r="N12" s="158">
        <v>0.311</v>
      </c>
      <c r="O12" s="23"/>
      <c r="P12" s="21" t="s">
        <v>36</v>
      </c>
      <c r="Q12" s="179">
        <v>-6.0534362898243398E-2</v>
      </c>
      <c r="R12" s="179">
        <v>2.57030026852564E-5</v>
      </c>
    </row>
    <row r="13" spans="1:18">
      <c r="A13" s="23">
        <v>419</v>
      </c>
      <c r="B13" s="23">
        <v>15204</v>
      </c>
      <c r="C13" s="30" t="s">
        <v>137</v>
      </c>
      <c r="D13" s="23" t="s">
        <v>138</v>
      </c>
      <c r="E13" s="30" t="s">
        <v>139</v>
      </c>
      <c r="F13" s="21" t="s">
        <v>30</v>
      </c>
      <c r="G13" s="21" t="s">
        <v>30</v>
      </c>
      <c r="H13" s="23" t="s">
        <v>140</v>
      </c>
      <c r="I13" s="23" t="s">
        <v>141</v>
      </c>
      <c r="J13" s="21" t="s">
        <v>34</v>
      </c>
      <c r="K13" s="23" t="s">
        <v>142</v>
      </c>
      <c r="L13" s="156">
        <v>-1.1659999999999999</v>
      </c>
      <c r="M13" s="180">
        <v>1</v>
      </c>
      <c r="N13" s="158">
        <v>-1.1659999999999999</v>
      </c>
      <c r="O13" s="23"/>
      <c r="P13" s="21" t="s">
        <v>36</v>
      </c>
      <c r="Q13" s="179">
        <v>1</v>
      </c>
      <c r="R13" s="179">
        <v>-3.2582268234017798E-4</v>
      </c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121</v>
      </c>
      <c r="D1" s="22" t="s">
        <v>122</v>
      </c>
      <c r="E1" s="22" t="s">
        <v>123</v>
      </c>
      <c r="F1" s="22" t="s">
        <v>124</v>
      </c>
      <c r="G1" s="22" t="s">
        <v>125</v>
      </c>
      <c r="H1" s="22" t="s">
        <v>6</v>
      </c>
      <c r="I1" s="22" t="s">
        <v>7</v>
      </c>
      <c r="J1" s="22" t="s">
        <v>126</v>
      </c>
      <c r="K1" s="22" t="s">
        <v>9</v>
      </c>
      <c r="L1" s="22" t="s">
        <v>10</v>
      </c>
      <c r="M1" s="22" t="s">
        <v>127</v>
      </c>
      <c r="N1" s="22" t="s">
        <v>11</v>
      </c>
      <c r="O1" s="22" t="s">
        <v>18</v>
      </c>
      <c r="P1" s="146" t="s">
        <v>14</v>
      </c>
      <c r="Q1" s="22" t="s">
        <v>128</v>
      </c>
      <c r="R1" s="22" t="s">
        <v>129</v>
      </c>
      <c r="S1" s="22" t="s">
        <v>130</v>
      </c>
      <c r="T1" s="22" t="s">
        <v>131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38"/>
  <sheetViews>
    <sheetView rightToLeft="1" zoomScale="70" zoomScaleNormal="70" workbookViewId="0">
      <selection activeCell="I24" sqref="I24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191</v>
      </c>
      <c r="E1" s="22" t="s">
        <v>192</v>
      </c>
      <c r="F1" s="22" t="s">
        <v>193</v>
      </c>
      <c r="G1" s="22" t="s">
        <v>194</v>
      </c>
      <c r="H1" s="22" t="s">
        <v>195</v>
      </c>
      <c r="I1" s="22" t="s">
        <v>196</v>
      </c>
      <c r="J1" s="22" t="s">
        <v>11</v>
      </c>
      <c r="K1" s="22" t="s">
        <v>197</v>
      </c>
      <c r="L1" s="22" t="s">
        <v>198</v>
      </c>
      <c r="M1" s="22" t="s">
        <v>199</v>
      </c>
      <c r="N1" s="22" t="s">
        <v>200</v>
      </c>
      <c r="O1" s="22" t="s">
        <v>201</v>
      </c>
      <c r="P1" s="22" t="s">
        <v>202</v>
      </c>
      <c r="Q1" s="22" t="s">
        <v>203</v>
      </c>
    </row>
    <row r="2" spans="1:22" ht="14.1" customHeight="1">
      <c r="A2" s="11">
        <v>419</v>
      </c>
      <c r="B2" s="11">
        <v>419</v>
      </c>
      <c r="C2" s="11" t="s">
        <v>1106</v>
      </c>
      <c r="D2" s="11" t="s">
        <v>2572</v>
      </c>
      <c r="E2" s="11" t="s">
        <v>2714</v>
      </c>
      <c r="F2" s="30" t="s">
        <v>315</v>
      </c>
      <c r="G2" s="11" t="s">
        <v>2574</v>
      </c>
      <c r="H2" s="11">
        <v>6201277</v>
      </c>
      <c r="I2" s="30" t="s">
        <v>33</v>
      </c>
      <c r="J2" s="11" t="s">
        <v>1188</v>
      </c>
      <c r="K2" s="30" t="s">
        <v>2483</v>
      </c>
      <c r="L2" s="195">
        <v>2800000</v>
      </c>
      <c r="M2" s="195">
        <v>10388</v>
      </c>
      <c r="N2" s="195">
        <v>104926</v>
      </c>
      <c r="O2" s="196">
        <v>389.27546000000001</v>
      </c>
      <c r="P2" s="197">
        <v>3.7473571428571426E-2</v>
      </c>
      <c r="Q2" s="198">
        <v>47238</v>
      </c>
      <c r="R2" s="11"/>
      <c r="V2" s="21"/>
    </row>
    <row r="3" spans="1:22" ht="14.1" customHeight="1">
      <c r="A3" s="11">
        <v>419</v>
      </c>
      <c r="B3" s="11">
        <v>419</v>
      </c>
      <c r="C3" s="11" t="s">
        <v>1106</v>
      </c>
      <c r="D3" s="11" t="s">
        <v>2503</v>
      </c>
      <c r="E3" s="11" t="s">
        <v>2504</v>
      </c>
      <c r="F3" s="30" t="s">
        <v>1321</v>
      </c>
      <c r="G3" s="11" t="s">
        <v>2505</v>
      </c>
      <c r="H3" s="11">
        <v>29992354</v>
      </c>
      <c r="I3" s="30" t="s">
        <v>33</v>
      </c>
      <c r="J3" s="11" t="s">
        <v>34</v>
      </c>
      <c r="K3" s="30" t="s">
        <v>2506</v>
      </c>
      <c r="L3" s="195">
        <v>3000000</v>
      </c>
      <c r="M3" s="195">
        <v>3000</v>
      </c>
      <c r="N3" s="195">
        <v>2981418</v>
      </c>
      <c r="O3" s="196">
        <v>2981.4180000000001</v>
      </c>
      <c r="P3" s="197">
        <v>0.99380599999999997</v>
      </c>
      <c r="Q3" s="199">
        <v>48730</v>
      </c>
      <c r="V3" s="21"/>
    </row>
    <row r="4" spans="1:22" ht="13.5" customHeight="1">
      <c r="A4" s="11">
        <v>419</v>
      </c>
      <c r="B4" s="11">
        <v>419</v>
      </c>
      <c r="C4" s="11" t="s">
        <v>1106</v>
      </c>
      <c r="D4" s="11" t="s">
        <v>2572</v>
      </c>
      <c r="E4" s="11" t="s">
        <v>2714</v>
      </c>
      <c r="F4" s="30" t="s">
        <v>315</v>
      </c>
      <c r="G4" s="11" t="s">
        <v>2576</v>
      </c>
      <c r="H4" s="11">
        <v>29994487</v>
      </c>
      <c r="I4" s="30" t="s">
        <v>33</v>
      </c>
      <c r="J4" s="11" t="s">
        <v>1188</v>
      </c>
      <c r="K4" s="30" t="s">
        <v>2577</v>
      </c>
      <c r="L4" s="195">
        <v>350000</v>
      </c>
      <c r="M4" s="195">
        <v>1298.5</v>
      </c>
      <c r="N4" s="195">
        <v>52309</v>
      </c>
      <c r="O4" s="196">
        <v>194.06638999999998</v>
      </c>
      <c r="P4" s="197">
        <v>0.14945428571428571</v>
      </c>
      <c r="Q4" s="199">
        <v>49096</v>
      </c>
      <c r="V4" s="21"/>
    </row>
    <row r="5" spans="1:22" ht="13.5" customHeight="1">
      <c r="A5" s="11">
        <v>419</v>
      </c>
      <c r="B5" s="11">
        <v>419</v>
      </c>
      <c r="C5" s="11" t="s">
        <v>1106</v>
      </c>
      <c r="D5" s="11" t="s">
        <v>2521</v>
      </c>
      <c r="E5" s="11" t="s">
        <v>2522</v>
      </c>
      <c r="F5" s="30" t="s">
        <v>316</v>
      </c>
      <c r="G5" s="11" t="s">
        <v>2523</v>
      </c>
      <c r="H5" s="11">
        <v>29994488</v>
      </c>
      <c r="I5" s="30" t="s">
        <v>33</v>
      </c>
      <c r="J5" s="11" t="s">
        <v>1190</v>
      </c>
      <c r="K5" s="30" t="s">
        <v>2524</v>
      </c>
      <c r="L5" s="195">
        <v>1000000</v>
      </c>
      <c r="M5" s="195">
        <v>4152.3999999999996</v>
      </c>
      <c r="N5" s="195">
        <v>553949.49</v>
      </c>
      <c r="O5" s="196">
        <v>2300.2198622760002</v>
      </c>
      <c r="P5" s="197">
        <v>0.55394949000000004</v>
      </c>
      <c r="Q5" s="199">
        <v>47482</v>
      </c>
      <c r="V5" s="21"/>
    </row>
    <row r="6" spans="1:22" ht="14.1" customHeight="1">
      <c r="A6" s="11">
        <v>419</v>
      </c>
      <c r="B6" s="11">
        <v>419</v>
      </c>
      <c r="C6" s="11" t="s">
        <v>1106</v>
      </c>
      <c r="D6" s="11" t="s">
        <v>2500</v>
      </c>
      <c r="E6" s="11" t="s">
        <v>2501</v>
      </c>
      <c r="F6" s="30" t="s">
        <v>314</v>
      </c>
      <c r="G6" s="11" t="s">
        <v>2502</v>
      </c>
      <c r="H6" s="11">
        <v>50000883</v>
      </c>
      <c r="I6" s="30" t="s">
        <v>33</v>
      </c>
      <c r="J6" s="11" t="s">
        <v>34</v>
      </c>
      <c r="K6" s="30" t="s">
        <v>2483</v>
      </c>
      <c r="L6" s="195">
        <v>5600000</v>
      </c>
      <c r="M6" s="195">
        <v>5600</v>
      </c>
      <c r="N6" s="195">
        <v>1660762</v>
      </c>
      <c r="O6" s="196">
        <v>1660.7619999999999</v>
      </c>
      <c r="P6" s="197">
        <v>0.29656464285714285</v>
      </c>
      <c r="Q6" s="199">
        <v>48182</v>
      </c>
      <c r="V6" s="21"/>
    </row>
    <row r="7" spans="1:22" ht="14.1" customHeight="1">
      <c r="A7" s="11">
        <v>419</v>
      </c>
      <c r="B7" s="11">
        <v>419</v>
      </c>
      <c r="C7" s="11" t="s">
        <v>1106</v>
      </c>
      <c r="D7" s="11" t="s">
        <v>2564</v>
      </c>
      <c r="E7" s="11" t="s">
        <v>2565</v>
      </c>
      <c r="F7" s="30" t="s">
        <v>1321</v>
      </c>
      <c r="G7" s="11" t="s">
        <v>2566</v>
      </c>
      <c r="H7" s="11">
        <v>62006218</v>
      </c>
      <c r="I7" s="30" t="s">
        <v>33</v>
      </c>
      <c r="J7" s="11" t="s">
        <v>1190</v>
      </c>
      <c r="K7" s="30" t="s">
        <v>2515</v>
      </c>
      <c r="L7" s="195">
        <v>2000000</v>
      </c>
      <c r="M7" s="195">
        <v>8304.7999999999993</v>
      </c>
      <c r="N7" s="195">
        <v>30849</v>
      </c>
      <c r="O7" s="196">
        <v>128.09738759999999</v>
      </c>
      <c r="P7" s="197">
        <v>1.5424500000000001E-2</v>
      </c>
      <c r="Q7" s="199">
        <v>45869</v>
      </c>
      <c r="V7" s="21"/>
    </row>
    <row r="8" spans="1:22" ht="14.1" customHeight="1">
      <c r="A8" s="11">
        <v>419</v>
      </c>
      <c r="B8" s="11">
        <v>419</v>
      </c>
      <c r="C8" s="11" t="s">
        <v>1106</v>
      </c>
      <c r="D8" s="11" t="s">
        <v>2560</v>
      </c>
      <c r="E8" s="11" t="s">
        <v>2561</v>
      </c>
      <c r="F8" s="30" t="s">
        <v>315</v>
      </c>
      <c r="G8" s="11" t="s">
        <v>2562</v>
      </c>
      <c r="H8" s="11">
        <v>62006721</v>
      </c>
      <c r="I8" s="30" t="s">
        <v>33</v>
      </c>
      <c r="J8" s="11" t="s">
        <v>1188</v>
      </c>
      <c r="K8" s="30" t="s">
        <v>2498</v>
      </c>
      <c r="L8" s="195">
        <v>850000</v>
      </c>
      <c r="M8" s="195">
        <v>3153.5</v>
      </c>
      <c r="N8" s="195">
        <v>19125</v>
      </c>
      <c r="O8" s="196">
        <v>70.953749999999999</v>
      </c>
      <c r="P8" s="197">
        <v>2.2499999999999999E-2</v>
      </c>
      <c r="Q8" s="199">
        <v>46111</v>
      </c>
      <c r="V8" s="21"/>
    </row>
    <row r="9" spans="1:22" ht="14.1" customHeight="1">
      <c r="A9" s="11">
        <v>419</v>
      </c>
      <c r="B9" s="11">
        <v>419</v>
      </c>
      <c r="C9" s="11" t="s">
        <v>1106</v>
      </c>
      <c r="D9" s="11" t="s">
        <v>2584</v>
      </c>
      <c r="E9" s="11" t="s">
        <v>2585</v>
      </c>
      <c r="F9" s="30" t="s">
        <v>1321</v>
      </c>
      <c r="G9" s="11" t="s">
        <v>2586</v>
      </c>
      <c r="H9" s="11">
        <v>62010133</v>
      </c>
      <c r="I9" s="30" t="s">
        <v>33</v>
      </c>
      <c r="J9" s="11" t="s">
        <v>1188</v>
      </c>
      <c r="K9" s="30" t="s">
        <v>2541</v>
      </c>
      <c r="L9" s="195">
        <v>1000000</v>
      </c>
      <c r="M9" s="195">
        <v>3710</v>
      </c>
      <c r="N9" s="195">
        <v>447500</v>
      </c>
      <c r="O9" s="196">
        <v>1660.2249999999999</v>
      </c>
      <c r="P9" s="197">
        <v>0.44750000000000001</v>
      </c>
      <c r="Q9" s="199">
        <v>47268</v>
      </c>
      <c r="V9" s="21"/>
    </row>
    <row r="10" spans="1:22" ht="14.1" customHeight="1">
      <c r="A10" s="11">
        <v>419</v>
      </c>
      <c r="B10" s="11">
        <v>419</v>
      </c>
      <c r="C10" s="11" t="s">
        <v>1106</v>
      </c>
      <c r="D10" s="11" t="s">
        <v>2545</v>
      </c>
      <c r="E10" s="11" t="s">
        <v>2546</v>
      </c>
      <c r="F10" s="30" t="s">
        <v>315</v>
      </c>
      <c r="G10" s="11" t="s">
        <v>2547</v>
      </c>
      <c r="H10" s="11">
        <v>62011839</v>
      </c>
      <c r="I10" s="30" t="s">
        <v>33</v>
      </c>
      <c r="J10" s="11" t="s">
        <v>1188</v>
      </c>
      <c r="K10" s="30" t="s">
        <v>2548</v>
      </c>
      <c r="L10" s="195">
        <v>1500000</v>
      </c>
      <c r="M10" s="195">
        <v>5565</v>
      </c>
      <c r="N10" s="195">
        <v>627050</v>
      </c>
      <c r="O10" s="196">
        <v>2326.3555000000001</v>
      </c>
      <c r="P10" s="197">
        <v>0.41803333333333331</v>
      </c>
      <c r="Q10" s="199">
        <v>47260</v>
      </c>
      <c r="V10" s="21"/>
    </row>
    <row r="11" spans="1:22" ht="14.1" customHeight="1">
      <c r="A11" s="11">
        <v>419</v>
      </c>
      <c r="B11" s="11">
        <v>419</v>
      </c>
      <c r="C11" s="11" t="s">
        <v>1106</v>
      </c>
      <c r="D11" s="11" t="s">
        <v>2628</v>
      </c>
      <c r="E11" s="11" t="s">
        <v>2631</v>
      </c>
      <c r="F11" s="30" t="s">
        <v>315</v>
      </c>
      <c r="G11" s="11" t="s">
        <v>2632</v>
      </c>
      <c r="H11" s="11">
        <v>62015227</v>
      </c>
      <c r="I11" s="30" t="s">
        <v>33</v>
      </c>
      <c r="J11" s="11" t="s">
        <v>1188</v>
      </c>
      <c r="K11" s="30" t="s">
        <v>2633</v>
      </c>
      <c r="L11" s="195">
        <v>800000</v>
      </c>
      <c r="M11" s="195">
        <v>2968</v>
      </c>
      <c r="N11" s="195">
        <v>243999</v>
      </c>
      <c r="O11" s="196">
        <v>905.23629000000005</v>
      </c>
      <c r="P11" s="197">
        <v>0.30499874999999999</v>
      </c>
      <c r="Q11" s="199">
        <v>47118</v>
      </c>
    </row>
    <row r="12" spans="1:22" ht="14.1" customHeight="1">
      <c r="A12" s="11">
        <v>419</v>
      </c>
      <c r="B12" s="11">
        <v>419</v>
      </c>
      <c r="C12" s="11" t="s">
        <v>1106</v>
      </c>
      <c r="D12" s="11" t="s">
        <v>2567</v>
      </c>
      <c r="E12" s="11" t="s">
        <v>2568</v>
      </c>
      <c r="F12" s="30" t="s">
        <v>314</v>
      </c>
      <c r="G12" s="11" t="s">
        <v>2571</v>
      </c>
      <c r="H12" s="11">
        <v>62016084</v>
      </c>
      <c r="I12" s="30" t="s">
        <v>33</v>
      </c>
      <c r="J12" s="11" t="s">
        <v>1188</v>
      </c>
      <c r="K12" s="30" t="s">
        <v>2515</v>
      </c>
      <c r="L12" s="195">
        <v>1500000</v>
      </c>
      <c r="M12" s="195">
        <v>5565</v>
      </c>
      <c r="N12" s="195">
        <v>19500</v>
      </c>
      <c r="O12" s="196">
        <v>72.344999999999999</v>
      </c>
      <c r="P12" s="197">
        <v>1.2999999999999999E-2</v>
      </c>
      <c r="Q12" s="199">
        <v>47573</v>
      </c>
    </row>
    <row r="13" spans="1:22" ht="14.1" customHeight="1">
      <c r="A13" s="11">
        <v>419</v>
      </c>
      <c r="B13" s="11">
        <v>419</v>
      </c>
      <c r="C13" s="11" t="s">
        <v>1106</v>
      </c>
      <c r="D13" s="11" t="s">
        <v>2567</v>
      </c>
      <c r="E13" s="11" t="s">
        <v>2568</v>
      </c>
      <c r="F13" s="30" t="s">
        <v>314</v>
      </c>
      <c r="G13" s="11" t="s">
        <v>2569</v>
      </c>
      <c r="H13" s="11">
        <v>62016085</v>
      </c>
      <c r="I13" s="30" t="s">
        <v>33</v>
      </c>
      <c r="J13" s="11" t="s">
        <v>1188</v>
      </c>
      <c r="K13" s="30" t="s">
        <v>2570</v>
      </c>
      <c r="L13" s="195">
        <v>750000</v>
      </c>
      <c r="M13" s="195">
        <v>2782.5</v>
      </c>
      <c r="N13" s="195">
        <v>558750</v>
      </c>
      <c r="O13" s="196">
        <v>2072.9625000000001</v>
      </c>
      <c r="P13" s="197">
        <v>0.745</v>
      </c>
      <c r="Q13" s="199">
        <v>47269</v>
      </c>
    </row>
    <row r="14" spans="1:22" ht="14.1" customHeight="1">
      <c r="A14" s="11">
        <v>419</v>
      </c>
      <c r="B14" s="11">
        <v>419</v>
      </c>
      <c r="C14" s="11" t="s">
        <v>1106</v>
      </c>
      <c r="D14" s="11" t="s">
        <v>2596</v>
      </c>
      <c r="E14" s="11" t="s">
        <v>2597</v>
      </c>
      <c r="F14" s="30" t="s">
        <v>1321</v>
      </c>
      <c r="G14" s="11" t="s">
        <v>2598</v>
      </c>
      <c r="H14" s="11">
        <v>62016571</v>
      </c>
      <c r="I14" s="30" t="s">
        <v>33</v>
      </c>
      <c r="J14" s="11" t="s">
        <v>1188</v>
      </c>
      <c r="K14" s="30" t="s">
        <v>2498</v>
      </c>
      <c r="L14" s="195">
        <v>700000</v>
      </c>
      <c r="M14" s="195">
        <v>2597</v>
      </c>
      <c r="N14" s="195">
        <v>160858.59999999998</v>
      </c>
      <c r="O14" s="196">
        <v>596.78540599999997</v>
      </c>
      <c r="P14" s="197">
        <v>0.22979799999999997</v>
      </c>
      <c r="Q14" s="199">
        <v>46142</v>
      </c>
    </row>
    <row r="15" spans="1:22" ht="14.1" customHeight="1">
      <c r="A15" s="11">
        <v>419</v>
      </c>
      <c r="B15" s="11">
        <v>419</v>
      </c>
      <c r="C15" s="11" t="s">
        <v>1106</v>
      </c>
      <c r="D15" s="11" t="s">
        <v>2621</v>
      </c>
      <c r="E15" s="11" t="s">
        <v>2622</v>
      </c>
      <c r="F15" s="30" t="s">
        <v>33</v>
      </c>
      <c r="G15" s="11" t="s">
        <v>2623</v>
      </c>
      <c r="H15" s="11">
        <v>62016577</v>
      </c>
      <c r="I15" s="30" t="s">
        <v>33</v>
      </c>
      <c r="J15" s="11" t="s">
        <v>1188</v>
      </c>
      <c r="K15" s="30" t="s">
        <v>2478</v>
      </c>
      <c r="L15" s="195">
        <v>1500000</v>
      </c>
      <c r="M15" s="195">
        <v>5565</v>
      </c>
      <c r="N15" s="195">
        <v>1498840.59</v>
      </c>
      <c r="O15" s="196">
        <v>5560.6985888999998</v>
      </c>
      <c r="P15" s="197">
        <v>0.99922706000000006</v>
      </c>
      <c r="Q15" s="199">
        <v>47391</v>
      </c>
    </row>
    <row r="16" spans="1:22" ht="14.1" customHeight="1">
      <c r="A16" s="11">
        <v>419</v>
      </c>
      <c r="B16" s="11">
        <v>419</v>
      </c>
      <c r="C16" s="11" t="s">
        <v>1106</v>
      </c>
      <c r="D16" s="11" t="s">
        <v>2490</v>
      </c>
      <c r="E16" s="11" t="s">
        <v>2491</v>
      </c>
      <c r="F16" s="30" t="s">
        <v>33</v>
      </c>
      <c r="G16" s="11" t="s">
        <v>2492</v>
      </c>
      <c r="H16" s="11">
        <v>62017132</v>
      </c>
      <c r="I16" s="30" t="s">
        <v>33</v>
      </c>
      <c r="J16" s="11" t="s">
        <v>1190</v>
      </c>
      <c r="K16" s="30" t="s">
        <v>2493</v>
      </c>
      <c r="L16" s="195">
        <v>1500000</v>
      </c>
      <c r="M16" s="195">
        <v>6228.6</v>
      </c>
      <c r="N16" s="195">
        <v>913200</v>
      </c>
      <c r="O16" s="196">
        <v>3791.9716800000001</v>
      </c>
      <c r="P16" s="197">
        <v>0.60880000000000001</v>
      </c>
      <c r="Q16" s="199">
        <v>47664</v>
      </c>
    </row>
    <row r="17" spans="1:17" ht="14.1" customHeight="1">
      <c r="A17" s="11">
        <v>419</v>
      </c>
      <c r="B17" s="11">
        <v>419</v>
      </c>
      <c r="C17" s="11" t="s">
        <v>1106</v>
      </c>
      <c r="D17" s="11" t="s">
        <v>2470</v>
      </c>
      <c r="E17" s="11" t="s">
        <v>2471</v>
      </c>
      <c r="F17" s="30" t="s">
        <v>315</v>
      </c>
      <c r="G17" s="11" t="s">
        <v>2472</v>
      </c>
      <c r="H17" s="11">
        <v>62017133</v>
      </c>
      <c r="I17" s="30" t="s">
        <v>33</v>
      </c>
      <c r="J17" s="11" t="s">
        <v>34</v>
      </c>
      <c r="K17" s="30" t="s">
        <v>2473</v>
      </c>
      <c r="L17" s="195">
        <v>4000000</v>
      </c>
      <c r="M17" s="195">
        <v>4000</v>
      </c>
      <c r="N17" s="195">
        <v>1924766</v>
      </c>
      <c r="O17" s="196">
        <v>1924.7660000000001</v>
      </c>
      <c r="P17" s="197">
        <v>0.48119149999999999</v>
      </c>
      <c r="Q17" s="199">
        <v>46996</v>
      </c>
    </row>
    <row r="18" spans="1:17" ht="14.1" customHeight="1">
      <c r="A18" s="11">
        <v>419</v>
      </c>
      <c r="B18" s="11">
        <v>419</v>
      </c>
      <c r="C18" s="11" t="s">
        <v>1106</v>
      </c>
      <c r="D18" s="11" t="s">
        <v>2606</v>
      </c>
      <c r="E18" s="11" t="s">
        <v>2607</v>
      </c>
      <c r="F18" s="30" t="s">
        <v>315</v>
      </c>
      <c r="G18" s="11" t="s">
        <v>2608</v>
      </c>
      <c r="H18" s="11">
        <v>62019751</v>
      </c>
      <c r="I18" s="30" t="s">
        <v>33</v>
      </c>
      <c r="J18" s="11" t="s">
        <v>1188</v>
      </c>
      <c r="K18" s="30" t="s">
        <v>2609</v>
      </c>
      <c r="L18" s="195">
        <v>1000000</v>
      </c>
      <c r="M18" s="195">
        <v>3710</v>
      </c>
      <c r="N18" s="195">
        <v>40564</v>
      </c>
      <c r="O18" s="196">
        <v>150.49244000000002</v>
      </c>
      <c r="P18" s="197">
        <v>4.0564000000000003E-2</v>
      </c>
      <c r="Q18" s="199">
        <v>47236</v>
      </c>
    </row>
    <row r="19" spans="1:17" ht="14.1" customHeight="1">
      <c r="A19" s="11">
        <v>419</v>
      </c>
      <c r="B19" s="11">
        <v>419</v>
      </c>
      <c r="C19" s="11" t="s">
        <v>1106</v>
      </c>
      <c r="D19" s="11" t="s">
        <v>2556</v>
      </c>
      <c r="E19" s="11" t="s">
        <v>2557</v>
      </c>
      <c r="F19" s="30" t="s">
        <v>1321</v>
      </c>
      <c r="G19" s="11" t="s">
        <v>2558</v>
      </c>
      <c r="H19" s="11">
        <v>125512851</v>
      </c>
      <c r="I19" s="30" t="s">
        <v>33</v>
      </c>
      <c r="J19" s="11" t="s">
        <v>1190</v>
      </c>
      <c r="K19" s="30" t="s">
        <v>2559</v>
      </c>
      <c r="L19" s="195">
        <v>1000000</v>
      </c>
      <c r="M19" s="195">
        <v>4152.3999999999996</v>
      </c>
      <c r="N19" s="195">
        <v>39502.859999999986</v>
      </c>
      <c r="O19" s="196">
        <v>164.03167586399994</v>
      </c>
      <c r="P19" s="197">
        <v>3.9502859999999987E-2</v>
      </c>
      <c r="Q19" s="199">
        <v>47879</v>
      </c>
    </row>
    <row r="20" spans="1:17" ht="14.1" customHeight="1">
      <c r="A20" s="11">
        <v>419</v>
      </c>
      <c r="B20" s="11">
        <v>419</v>
      </c>
      <c r="C20" s="11" t="s">
        <v>1106</v>
      </c>
      <c r="D20" s="11" t="s">
        <v>2480</v>
      </c>
      <c r="E20" s="11" t="s">
        <v>2481</v>
      </c>
      <c r="F20" s="30" t="s">
        <v>315</v>
      </c>
      <c r="G20" s="11" t="s">
        <v>2482</v>
      </c>
      <c r="H20" s="11">
        <v>201400091</v>
      </c>
      <c r="I20" s="30" t="s">
        <v>33</v>
      </c>
      <c r="J20" s="11" t="s">
        <v>1188</v>
      </c>
      <c r="K20" s="11" t="s">
        <v>2483</v>
      </c>
      <c r="L20" s="195">
        <v>1250000</v>
      </c>
      <c r="M20" s="195">
        <v>4637.5</v>
      </c>
      <c r="N20" s="195">
        <v>56250</v>
      </c>
      <c r="O20" s="196">
        <v>208.6875</v>
      </c>
      <c r="P20" s="197">
        <v>4.4999999999999998E-2</v>
      </c>
      <c r="Q20" s="199">
        <v>47258</v>
      </c>
    </row>
    <row r="21" spans="1:17" ht="14.1" customHeight="1">
      <c r="A21" s="11">
        <v>419</v>
      </c>
      <c r="B21" s="11">
        <v>419</v>
      </c>
      <c r="C21" s="11" t="s">
        <v>1106</v>
      </c>
      <c r="D21" s="11" t="s">
        <v>2628</v>
      </c>
      <c r="E21" s="11" t="s">
        <v>2629</v>
      </c>
      <c r="F21" s="11" t="s">
        <v>315</v>
      </c>
      <c r="G21" s="11" t="s">
        <v>2630</v>
      </c>
      <c r="H21" s="11">
        <v>400051120</v>
      </c>
      <c r="I21" s="11" t="s">
        <v>33</v>
      </c>
      <c r="J21" s="11" t="s">
        <v>1188</v>
      </c>
      <c r="K21" s="11" t="s">
        <v>1333</v>
      </c>
      <c r="L21" s="195">
        <v>500000</v>
      </c>
      <c r="M21" s="195">
        <v>1855</v>
      </c>
      <c r="N21" s="195">
        <v>82500</v>
      </c>
      <c r="O21" s="196">
        <v>306.07499999999999</v>
      </c>
      <c r="P21" s="197">
        <v>0.16500000000000001</v>
      </c>
      <c r="Q21" s="199">
        <v>46890</v>
      </c>
    </row>
    <row r="22" spans="1:17" ht="14.1" customHeight="1">
      <c r="A22" s="11">
        <v>419</v>
      </c>
      <c r="B22" s="11">
        <v>419</v>
      </c>
      <c r="C22" s="11" t="s">
        <v>1106</v>
      </c>
      <c r="D22" s="11" t="s">
        <v>2508</v>
      </c>
      <c r="E22" s="11" t="s">
        <v>2509</v>
      </c>
      <c r="F22" s="11" t="s">
        <v>1321</v>
      </c>
      <c r="G22" s="11" t="s">
        <v>2510</v>
      </c>
      <c r="H22" s="11">
        <v>400131020</v>
      </c>
      <c r="I22" s="11" t="s">
        <v>33</v>
      </c>
      <c r="J22" s="11" t="s">
        <v>1188</v>
      </c>
      <c r="K22" s="11" t="s">
        <v>2511</v>
      </c>
      <c r="L22" s="195">
        <v>1300000</v>
      </c>
      <c r="M22" s="195">
        <v>4823</v>
      </c>
      <c r="N22" s="195">
        <v>233055.00000000003</v>
      </c>
      <c r="O22" s="196">
        <v>864.63405</v>
      </c>
      <c r="P22" s="197">
        <v>0.17927307692307695</v>
      </c>
      <c r="Q22" s="198">
        <v>47573</v>
      </c>
    </row>
    <row r="23" spans="1:17" ht="14.1" customHeight="1">
      <c r="A23" s="11">
        <v>419</v>
      </c>
      <c r="B23" s="11">
        <v>419</v>
      </c>
      <c r="C23" s="11" t="s">
        <v>1106</v>
      </c>
      <c r="D23" s="11" t="s">
        <v>2624</v>
      </c>
      <c r="E23" s="11" t="s">
        <v>2625</v>
      </c>
      <c r="F23" s="11" t="s">
        <v>315</v>
      </c>
      <c r="G23" s="11" t="s">
        <v>2626</v>
      </c>
      <c r="H23" s="11">
        <v>400301020</v>
      </c>
      <c r="I23" s="11" t="s">
        <v>33</v>
      </c>
      <c r="J23" s="11" t="s">
        <v>1188</v>
      </c>
      <c r="K23" s="11" t="s">
        <v>2627</v>
      </c>
      <c r="L23" s="195">
        <v>500000</v>
      </c>
      <c r="M23" s="195">
        <v>1855</v>
      </c>
      <c r="N23" s="195">
        <v>125000</v>
      </c>
      <c r="O23" s="196">
        <v>463.75</v>
      </c>
      <c r="P23" s="197">
        <v>0.25</v>
      </c>
      <c r="Q23" s="199">
        <v>48852</v>
      </c>
    </row>
    <row r="24" spans="1:17" ht="14.1" customHeight="1">
      <c r="A24" s="11">
        <v>419</v>
      </c>
      <c r="B24" s="11">
        <v>419</v>
      </c>
      <c r="C24" s="11" t="s">
        <v>1106</v>
      </c>
      <c r="D24" s="11" t="s">
        <v>2634</v>
      </c>
      <c r="E24" s="11" t="s">
        <v>2635</v>
      </c>
      <c r="F24" s="11" t="s">
        <v>315</v>
      </c>
      <c r="G24" s="11" t="s">
        <v>2636</v>
      </c>
      <c r="H24" s="11">
        <v>401311183</v>
      </c>
      <c r="I24" s="11" t="s">
        <v>33</v>
      </c>
      <c r="J24" s="11" t="s">
        <v>1188</v>
      </c>
      <c r="K24" s="11" t="s">
        <v>2515</v>
      </c>
      <c r="L24" s="195">
        <v>1500000</v>
      </c>
      <c r="M24" s="195">
        <v>5565</v>
      </c>
      <c r="N24" s="195">
        <v>45000</v>
      </c>
      <c r="O24" s="196">
        <v>166.95</v>
      </c>
      <c r="P24" s="197">
        <v>0.03</v>
      </c>
      <c r="Q24" s="199">
        <v>48060</v>
      </c>
    </row>
    <row r="25" spans="1:17" ht="14.1" customHeight="1">
      <c r="A25" s="11">
        <v>419</v>
      </c>
      <c r="B25" s="11">
        <v>419</v>
      </c>
      <c r="C25" s="11" t="s">
        <v>1106</v>
      </c>
      <c r="D25" s="11" t="s">
        <v>2475</v>
      </c>
      <c r="E25" s="11" t="s">
        <v>2476</v>
      </c>
      <c r="F25" s="11" t="s">
        <v>315</v>
      </c>
      <c r="G25" s="11" t="s">
        <v>2477</v>
      </c>
      <c r="H25" s="11">
        <v>500010150</v>
      </c>
      <c r="I25" s="11" t="s">
        <v>33</v>
      </c>
      <c r="J25" s="11" t="s">
        <v>34</v>
      </c>
      <c r="K25" s="11" t="s">
        <v>2478</v>
      </c>
      <c r="L25" s="195">
        <v>6000000</v>
      </c>
      <c r="M25" s="195">
        <v>6000</v>
      </c>
      <c r="N25" s="195">
        <v>1800000</v>
      </c>
      <c r="O25" s="196">
        <v>1800</v>
      </c>
      <c r="P25" s="197">
        <v>0.3</v>
      </c>
      <c r="Q25" s="199">
        <v>46691</v>
      </c>
    </row>
    <row r="26" spans="1:17" ht="14.1" customHeight="1">
      <c r="A26" s="11">
        <v>419</v>
      </c>
      <c r="B26" s="11">
        <v>419</v>
      </c>
      <c r="C26" s="11" t="s">
        <v>1106</v>
      </c>
      <c r="D26" s="11" t="s">
        <v>2587</v>
      </c>
      <c r="E26" s="11" t="s">
        <v>2588</v>
      </c>
      <c r="F26" s="11" t="s">
        <v>315</v>
      </c>
      <c r="G26" s="11" t="s">
        <v>2589</v>
      </c>
      <c r="H26" s="11">
        <v>500010152</v>
      </c>
      <c r="I26" s="11" t="s">
        <v>33</v>
      </c>
      <c r="J26" s="11" t="s">
        <v>34</v>
      </c>
      <c r="K26" s="11" t="s">
        <v>2590</v>
      </c>
      <c r="L26" s="195">
        <v>4000000</v>
      </c>
      <c r="M26" s="195">
        <v>4000</v>
      </c>
      <c r="N26" s="195">
        <v>2800000</v>
      </c>
      <c r="O26" s="196">
        <v>2800</v>
      </c>
      <c r="P26" s="197">
        <v>0.7</v>
      </c>
      <c r="Q26" s="199">
        <v>47269</v>
      </c>
    </row>
    <row r="27" spans="1:17" ht="14.1" customHeight="1">
      <c r="A27" s="11">
        <v>419</v>
      </c>
      <c r="B27" s="11">
        <v>419</v>
      </c>
      <c r="C27" s="11" t="s">
        <v>1106</v>
      </c>
      <c r="D27" s="11" t="s">
        <v>2485</v>
      </c>
      <c r="E27" s="11" t="s">
        <v>2486</v>
      </c>
      <c r="F27" s="11" t="s">
        <v>314</v>
      </c>
      <c r="G27" s="11" t="s">
        <v>2487</v>
      </c>
      <c r="H27" s="11">
        <v>500010160</v>
      </c>
      <c r="I27" s="11" t="s">
        <v>33</v>
      </c>
      <c r="J27" s="11" t="s">
        <v>34</v>
      </c>
      <c r="K27" s="11" t="s">
        <v>2488</v>
      </c>
      <c r="L27" s="195">
        <v>3268000</v>
      </c>
      <c r="M27" s="195">
        <v>3268</v>
      </c>
      <c r="N27" s="195">
        <v>2450543</v>
      </c>
      <c r="O27" s="196">
        <v>2450.5430000000001</v>
      </c>
      <c r="P27" s="197">
        <v>0.74986015911872705</v>
      </c>
      <c r="Q27" s="199">
        <v>47198</v>
      </c>
    </row>
    <row r="28" spans="1:17" ht="14.1" customHeight="1">
      <c r="A28" s="11">
        <v>419</v>
      </c>
      <c r="B28" s="11">
        <v>419</v>
      </c>
      <c r="C28" s="11" t="s">
        <v>1106</v>
      </c>
      <c r="D28" s="11" t="s">
        <v>2616</v>
      </c>
      <c r="E28" s="11" t="s">
        <v>2617</v>
      </c>
      <c r="F28" s="11" t="s">
        <v>315</v>
      </c>
      <c r="G28" s="11" t="s">
        <v>2618</v>
      </c>
      <c r="H28" s="11">
        <v>620019914</v>
      </c>
      <c r="I28" s="11" t="s">
        <v>33</v>
      </c>
      <c r="J28" s="11" t="s">
        <v>1188</v>
      </c>
      <c r="K28" s="11" t="s">
        <v>2619</v>
      </c>
      <c r="L28" s="195">
        <v>1200000</v>
      </c>
      <c r="M28" s="195">
        <v>4452</v>
      </c>
      <c r="N28" s="195">
        <v>510014</v>
      </c>
      <c r="O28" s="196">
        <v>1892.15194</v>
      </c>
      <c r="P28" s="197">
        <v>0.42501166666666668</v>
      </c>
      <c r="Q28" s="199">
        <v>46891</v>
      </c>
    </row>
    <row r="29" spans="1:17" ht="14.1" customHeight="1">
      <c r="A29" s="11">
        <v>419</v>
      </c>
      <c r="B29" s="11">
        <v>419</v>
      </c>
      <c r="C29" s="11" t="s">
        <v>1106</v>
      </c>
      <c r="D29" s="11" t="s">
        <v>2611</v>
      </c>
      <c r="E29" s="11" t="s">
        <v>2612</v>
      </c>
      <c r="F29" s="11" t="s">
        <v>315</v>
      </c>
      <c r="G29" s="11" t="s">
        <v>2613</v>
      </c>
      <c r="H29" s="11">
        <v>620070833</v>
      </c>
      <c r="I29" s="11" t="s">
        <v>33</v>
      </c>
      <c r="J29" s="11" t="s">
        <v>1188</v>
      </c>
      <c r="K29" s="11" t="s">
        <v>2614</v>
      </c>
      <c r="L29" s="195">
        <v>2900000</v>
      </c>
      <c r="M29" s="195">
        <v>10759</v>
      </c>
      <c r="N29" s="195">
        <v>520550</v>
      </c>
      <c r="O29" s="196">
        <v>1931.2405000000001</v>
      </c>
      <c r="P29" s="197">
        <v>0.17949999999999999</v>
      </c>
      <c r="Q29" s="199">
        <v>47938</v>
      </c>
    </row>
    <row r="30" spans="1:17" ht="14.1" customHeight="1">
      <c r="A30" s="11">
        <v>419</v>
      </c>
      <c r="B30" s="11">
        <v>419</v>
      </c>
      <c r="C30" s="11" t="s">
        <v>1106</v>
      </c>
      <c r="D30" s="11" t="s">
        <v>2599</v>
      </c>
      <c r="E30" s="11" t="s">
        <v>2600</v>
      </c>
      <c r="F30" s="11" t="s">
        <v>1321</v>
      </c>
      <c r="G30" s="11" t="s">
        <v>2637</v>
      </c>
      <c r="H30" s="11">
        <v>620104341</v>
      </c>
      <c r="I30" s="11" t="s">
        <v>33</v>
      </c>
      <c r="J30" s="11" t="s">
        <v>1188</v>
      </c>
      <c r="K30" s="11" t="s">
        <v>2638</v>
      </c>
      <c r="L30" s="195">
        <v>400000</v>
      </c>
      <c r="M30" s="195">
        <v>1484</v>
      </c>
      <c r="N30" s="195">
        <v>160000</v>
      </c>
      <c r="O30" s="196">
        <v>593.6</v>
      </c>
      <c r="P30" s="197">
        <v>0.4</v>
      </c>
      <c r="Q30" s="198">
        <v>45716</v>
      </c>
    </row>
    <row r="31" spans="1:17" ht="14.1" customHeight="1">
      <c r="A31" s="11">
        <v>419</v>
      </c>
      <c r="B31" s="11">
        <v>419</v>
      </c>
      <c r="C31" s="11" t="s">
        <v>1106</v>
      </c>
      <c r="D31" s="11" t="s">
        <v>2599</v>
      </c>
      <c r="E31" s="11" t="s">
        <v>2600</v>
      </c>
      <c r="F31" s="11" t="s">
        <v>1321</v>
      </c>
      <c r="G31" s="11" t="s">
        <v>2601</v>
      </c>
      <c r="H31" s="11">
        <v>620104344</v>
      </c>
      <c r="I31" s="11" t="s">
        <v>33</v>
      </c>
      <c r="J31" s="11" t="s">
        <v>1188</v>
      </c>
      <c r="K31" s="11" t="s">
        <v>2602</v>
      </c>
      <c r="L31" s="195">
        <v>600000</v>
      </c>
      <c r="M31" s="195">
        <v>2226</v>
      </c>
      <c r="N31" s="195">
        <v>45000</v>
      </c>
      <c r="O31" s="196">
        <v>166.95</v>
      </c>
      <c r="P31" s="197">
        <v>7.4999999999999997E-2</v>
      </c>
      <c r="Q31" s="198">
        <v>45291</v>
      </c>
    </row>
    <row r="32" spans="1:17" ht="14.1" customHeight="1">
      <c r="A32" s="11">
        <v>419</v>
      </c>
      <c r="B32" s="11">
        <v>419</v>
      </c>
      <c r="C32" s="11" t="s">
        <v>1106</v>
      </c>
      <c r="D32" s="11" t="s">
        <v>2538</v>
      </c>
      <c r="E32" s="11" t="s">
        <v>2539</v>
      </c>
      <c r="F32" s="11" t="s">
        <v>315</v>
      </c>
      <c r="G32" s="11" t="s">
        <v>2540</v>
      </c>
      <c r="H32" s="11">
        <v>620141701</v>
      </c>
      <c r="I32" s="11" t="s">
        <v>33</v>
      </c>
      <c r="J32" s="11" t="s">
        <v>1188</v>
      </c>
      <c r="K32" s="11" t="s">
        <v>2541</v>
      </c>
      <c r="L32" s="195">
        <v>2800000</v>
      </c>
      <c r="M32" s="195">
        <v>10388</v>
      </c>
      <c r="N32" s="195">
        <v>588000</v>
      </c>
      <c r="O32" s="196">
        <v>2181.48</v>
      </c>
      <c r="P32" s="197">
        <v>0.21</v>
      </c>
      <c r="Q32" s="199">
        <v>47483</v>
      </c>
    </row>
    <row r="33" spans="1:17" ht="14.1" customHeight="1">
      <c r="A33" s="11">
        <v>419</v>
      </c>
      <c r="B33" s="11">
        <v>419</v>
      </c>
      <c r="C33" s="11" t="s">
        <v>1106</v>
      </c>
      <c r="D33" s="11" t="s">
        <v>2538</v>
      </c>
      <c r="E33" s="11" t="s">
        <v>2539</v>
      </c>
      <c r="F33" s="11" t="s">
        <v>315</v>
      </c>
      <c r="G33" s="11" t="s">
        <v>2542</v>
      </c>
      <c r="H33" s="11">
        <v>620141702</v>
      </c>
      <c r="I33" s="11" t="s">
        <v>33</v>
      </c>
      <c r="J33" s="11" t="s">
        <v>1188</v>
      </c>
      <c r="K33" s="11" t="s">
        <v>2543</v>
      </c>
      <c r="L33" s="195">
        <v>1200000</v>
      </c>
      <c r="M33" s="195">
        <v>4452</v>
      </c>
      <c r="N33" s="195">
        <v>972000</v>
      </c>
      <c r="O33" s="196">
        <v>3606.12</v>
      </c>
      <c r="P33" s="197">
        <v>0.81</v>
      </c>
      <c r="Q33" s="199">
        <v>11933</v>
      </c>
    </row>
    <row r="34" spans="1:17" ht="14.1" customHeight="1">
      <c r="A34" s="11">
        <v>419</v>
      </c>
      <c r="B34" s="11">
        <v>419</v>
      </c>
      <c r="C34" s="11" t="s">
        <v>1106</v>
      </c>
      <c r="D34" s="11" t="s">
        <v>2460</v>
      </c>
      <c r="E34" s="11" t="s">
        <v>2461</v>
      </c>
      <c r="F34" s="11" t="s">
        <v>314</v>
      </c>
      <c r="G34" s="11" t="s">
        <v>2462</v>
      </c>
      <c r="H34" s="11">
        <v>620143861</v>
      </c>
      <c r="I34" s="11" t="s">
        <v>33</v>
      </c>
      <c r="J34" s="11" t="s">
        <v>1188</v>
      </c>
      <c r="K34" s="11" t="s">
        <v>2463</v>
      </c>
      <c r="L34" s="195">
        <v>420000</v>
      </c>
      <c r="M34" s="195">
        <v>1558.2</v>
      </c>
      <c r="N34" s="195">
        <v>46200</v>
      </c>
      <c r="O34" s="196">
        <v>171.40199999999999</v>
      </c>
      <c r="P34" s="197">
        <v>0.11</v>
      </c>
      <c r="Q34" s="199">
        <v>46842</v>
      </c>
    </row>
    <row r="35" spans="1:17" ht="14.1" customHeight="1">
      <c r="A35" s="11">
        <v>419</v>
      </c>
      <c r="B35" s="11">
        <v>419</v>
      </c>
      <c r="C35" s="11" t="s">
        <v>1106</v>
      </c>
      <c r="D35" s="11" t="s">
        <v>2579</v>
      </c>
      <c r="E35" s="11" t="s">
        <v>2580</v>
      </c>
      <c r="F35" s="11" t="s">
        <v>315</v>
      </c>
      <c r="G35" s="11" t="s">
        <v>2581</v>
      </c>
      <c r="H35" s="11">
        <v>620158621</v>
      </c>
      <c r="I35" s="11" t="s">
        <v>33</v>
      </c>
      <c r="J35" s="11" t="s">
        <v>1188</v>
      </c>
      <c r="K35" s="11" t="s">
        <v>2582</v>
      </c>
      <c r="L35" s="195">
        <v>735000</v>
      </c>
      <c r="M35" s="195">
        <v>2726.85</v>
      </c>
      <c r="N35" s="195">
        <v>19779.80000000005</v>
      </c>
      <c r="O35" s="196">
        <v>73.383058000000176</v>
      </c>
      <c r="P35" s="197">
        <v>2.6911292517006871E-2</v>
      </c>
      <c r="Q35" s="199">
        <v>47542</v>
      </c>
    </row>
    <row r="36" spans="1:17" ht="14.1" customHeight="1">
      <c r="A36" s="11">
        <v>419</v>
      </c>
      <c r="B36" s="11">
        <v>419</v>
      </c>
      <c r="C36" s="11" t="s">
        <v>1106</v>
      </c>
      <c r="D36" s="11" t="s">
        <v>2579</v>
      </c>
      <c r="E36" s="11" t="s">
        <v>2580</v>
      </c>
      <c r="F36" s="11" t="s">
        <v>315</v>
      </c>
      <c r="G36" s="11" t="s">
        <v>2604</v>
      </c>
      <c r="H36" s="11">
        <v>620171401</v>
      </c>
      <c r="I36" s="11" t="s">
        <v>33</v>
      </c>
      <c r="J36" s="11" t="s">
        <v>1190</v>
      </c>
      <c r="K36" s="11" t="s">
        <v>2605</v>
      </c>
      <c r="L36" s="195">
        <v>1700000</v>
      </c>
      <c r="M36" s="195">
        <v>7059.08</v>
      </c>
      <c r="N36" s="195">
        <v>122969.51000000001</v>
      </c>
      <c r="O36" s="196">
        <v>510.61859332400007</v>
      </c>
      <c r="P36" s="197">
        <v>7.2335005882352948E-2</v>
      </c>
      <c r="Q36" s="199">
        <v>46568</v>
      </c>
    </row>
    <row r="37" spans="1:17" ht="14.1" customHeight="1">
      <c r="A37" s="11">
        <v>419</v>
      </c>
      <c r="B37" s="11">
        <v>419</v>
      </c>
      <c r="C37" s="11" t="s">
        <v>1106</v>
      </c>
      <c r="D37" s="11" t="s">
        <v>2465</v>
      </c>
      <c r="E37" s="11" t="s">
        <v>2466</v>
      </c>
      <c r="F37" s="11" t="s">
        <v>1321</v>
      </c>
      <c r="G37" s="11" t="s">
        <v>2467</v>
      </c>
      <c r="H37" s="11">
        <v>620185288</v>
      </c>
      <c r="I37" s="11" t="s">
        <v>33</v>
      </c>
      <c r="J37" s="11" t="s">
        <v>1190</v>
      </c>
      <c r="K37" s="11" t="s">
        <v>2468</v>
      </c>
      <c r="L37" s="195">
        <v>800000</v>
      </c>
      <c r="M37" s="195">
        <v>3321.92</v>
      </c>
      <c r="N37" s="195">
        <v>183813</v>
      </c>
      <c r="O37" s="196">
        <v>763.2651012</v>
      </c>
      <c r="P37" s="197">
        <v>0.22976625000000001</v>
      </c>
      <c r="Q37" s="199">
        <v>47329</v>
      </c>
    </row>
    <row r="38" spans="1:17" ht="14.1" customHeight="1">
      <c r="A38" s="11">
        <v>419</v>
      </c>
      <c r="B38" s="11">
        <v>419</v>
      </c>
      <c r="C38" s="11" t="s">
        <v>1106</v>
      </c>
      <c r="D38" s="11" t="s">
        <v>2552</v>
      </c>
      <c r="E38" s="11" t="s">
        <v>2553</v>
      </c>
      <c r="F38" s="11" t="s">
        <v>1321</v>
      </c>
      <c r="G38" s="11" t="s">
        <v>2554</v>
      </c>
      <c r="H38" s="11">
        <v>620188900</v>
      </c>
      <c r="I38" s="11" t="s">
        <v>33</v>
      </c>
      <c r="J38" s="11" t="s">
        <v>1190</v>
      </c>
      <c r="K38" s="11" t="s">
        <v>2555</v>
      </c>
      <c r="L38" s="195">
        <v>1250000</v>
      </c>
      <c r="M38" s="195">
        <v>5190.5</v>
      </c>
      <c r="N38" s="195">
        <v>155251.16999999993</v>
      </c>
      <c r="O38" s="196">
        <v>644.66495830799965</v>
      </c>
      <c r="P38" s="197">
        <v>0.12420093599999994</v>
      </c>
      <c r="Q38" s="199">
        <v>46964</v>
      </c>
    </row>
  </sheetData>
  <sheetProtection formatColumns="0"/>
  <dataConsolidate/>
  <dataValidations count="2">
    <dataValidation type="list" allowBlank="1" showInputMessage="1" showErrorMessage="1" sqref="F2:F20" xr:uid="{650C301D-CF04-4676-98A3-01B3DD58315B}">
      <formula1>Issuer_Number_Fund</formula1>
    </dataValidation>
    <dataValidation type="list" allowBlank="1" showInputMessage="1" showErrorMessage="1" sqref="I2:I20" xr:uid="{C8AE027F-391F-4BF8-BDF4-CD389EEED13E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588555-4A41-4C66-BBCC-8B342011D599}">
          <x14:formula1>
            <xm:f>'I:\EXCEL\account\Name\tatyanaK\נכס בודד\[עותק של 510930654_gm_0324_638657104398470224.xlsx]אפשרויות בחירה'!#REF!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204</v>
      </c>
      <c r="B1" s="53" t="s">
        <v>205</v>
      </c>
      <c r="C1" s="53" t="s">
        <v>206</v>
      </c>
      <c r="D1" s="53" t="s">
        <v>207</v>
      </c>
    </row>
    <row r="2" spans="1:5">
      <c r="A2" s="88"/>
      <c r="B2" s="88" t="s">
        <v>208</v>
      </c>
      <c r="C2" s="24" t="s">
        <v>30</v>
      </c>
      <c r="D2" s="24"/>
    </row>
    <row r="3" spans="1:5">
      <c r="A3" s="89"/>
      <c r="B3" s="89"/>
      <c r="C3" s="24" t="s">
        <v>209</v>
      </c>
      <c r="D3" s="24"/>
    </row>
    <row r="4" spans="1:5" ht="42.75">
      <c r="A4" s="81"/>
      <c r="B4" s="102" t="s">
        <v>210</v>
      </c>
      <c r="C4" s="25" t="s">
        <v>30</v>
      </c>
      <c r="D4" s="25"/>
    </row>
    <row r="5" spans="1:5">
      <c r="A5" s="82"/>
      <c r="B5" s="103"/>
      <c r="C5" s="25" t="s">
        <v>211</v>
      </c>
      <c r="D5" s="25"/>
    </row>
    <row r="6" spans="1:5">
      <c r="A6" s="82"/>
      <c r="B6" s="103"/>
      <c r="C6" s="25" t="s">
        <v>212</v>
      </c>
      <c r="D6" s="25"/>
    </row>
    <row r="7" spans="1:5">
      <c r="A7" s="82"/>
      <c r="B7" s="103"/>
      <c r="C7" s="25" t="s">
        <v>213</v>
      </c>
      <c r="D7" s="25"/>
    </row>
    <row r="8" spans="1:5">
      <c r="A8" s="82"/>
      <c r="B8" s="103"/>
      <c r="C8" s="25" t="s">
        <v>214</v>
      </c>
      <c r="D8" s="25"/>
    </row>
    <row r="9" spans="1:5">
      <c r="A9" s="82"/>
      <c r="B9" s="103"/>
      <c r="C9" s="25" t="s">
        <v>215</v>
      </c>
      <c r="D9" s="25"/>
    </row>
    <row r="10" spans="1:5">
      <c r="A10" s="82"/>
      <c r="B10" s="103"/>
      <c r="C10" s="25" t="s">
        <v>216</v>
      </c>
      <c r="D10" s="25"/>
    </row>
    <row r="11" spans="1:5">
      <c r="A11" s="82"/>
      <c r="B11" s="103"/>
      <c r="C11" s="25" t="s">
        <v>217</v>
      </c>
      <c r="D11" s="25"/>
      <c r="E11" t="s">
        <v>218</v>
      </c>
    </row>
    <row r="12" spans="1:5">
      <c r="A12" s="82"/>
      <c r="B12" s="103"/>
      <c r="C12" s="25" t="s">
        <v>219</v>
      </c>
      <c r="D12" s="25"/>
      <c r="E12" t="s">
        <v>218</v>
      </c>
    </row>
    <row r="13" spans="1:5">
      <c r="A13" s="82"/>
      <c r="B13" s="103"/>
      <c r="C13" s="25" t="s">
        <v>220</v>
      </c>
      <c r="D13" s="25"/>
    </row>
    <row r="14" spans="1:5">
      <c r="A14" s="82"/>
      <c r="B14" s="103"/>
      <c r="C14" s="25" t="s">
        <v>221</v>
      </c>
      <c r="D14" s="25"/>
    </row>
    <row r="15" spans="1:5">
      <c r="A15" s="82"/>
      <c r="B15" s="103"/>
      <c r="C15" s="25" t="s">
        <v>222</v>
      </c>
      <c r="D15" s="25"/>
    </row>
    <row r="16" spans="1:5">
      <c r="A16" s="82"/>
      <c r="B16" s="103"/>
      <c r="C16" s="25" t="s">
        <v>223</v>
      </c>
      <c r="D16" s="25"/>
    </row>
    <row r="17" spans="1:4">
      <c r="A17" s="82"/>
      <c r="B17" s="103"/>
      <c r="C17" s="25" t="s">
        <v>224</v>
      </c>
      <c r="D17" s="25"/>
    </row>
    <row r="18" spans="1:4">
      <c r="A18" s="82"/>
      <c r="B18" s="103"/>
      <c r="C18" s="25" t="s">
        <v>225</v>
      </c>
      <c r="D18" s="25"/>
    </row>
    <row r="19" spans="1:4">
      <c r="A19" s="82"/>
      <c r="B19" s="103"/>
      <c r="C19" s="25" t="s">
        <v>226</v>
      </c>
      <c r="D19" s="25"/>
    </row>
    <row r="20" spans="1:4">
      <c r="A20" s="82"/>
      <c r="B20" s="103"/>
      <c r="C20" s="25" t="s">
        <v>227</v>
      </c>
      <c r="D20" s="25"/>
    </row>
    <row r="21" spans="1:4">
      <c r="A21" s="82"/>
      <c r="B21" s="103"/>
      <c r="C21" s="25" t="s">
        <v>228</v>
      </c>
      <c r="D21" s="25"/>
    </row>
    <row r="22" spans="1:4">
      <c r="A22" s="82"/>
      <c r="B22" s="103"/>
      <c r="C22" s="25" t="s">
        <v>229</v>
      </c>
      <c r="D22" s="25"/>
    </row>
    <row r="23" spans="1:4">
      <c r="A23" s="82"/>
      <c r="B23" s="103"/>
      <c r="C23" s="25" t="s">
        <v>230</v>
      </c>
      <c r="D23" s="25"/>
    </row>
    <row r="24" spans="1:4">
      <c r="A24" s="82"/>
      <c r="B24" s="103"/>
      <c r="C24" s="25" t="s">
        <v>231</v>
      </c>
      <c r="D24" s="25"/>
    </row>
    <row r="25" spans="1:4">
      <c r="A25" s="82"/>
      <c r="B25" s="103"/>
      <c r="C25" s="25" t="s">
        <v>232</v>
      </c>
      <c r="D25" s="25"/>
    </row>
    <row r="26" spans="1:4">
      <c r="A26" s="82"/>
      <c r="B26" s="103"/>
      <c r="C26" s="25" t="s">
        <v>233</v>
      </c>
      <c r="D26" s="25"/>
    </row>
    <row r="27" spans="1:4">
      <c r="A27" s="82"/>
      <c r="B27" s="103"/>
      <c r="C27" s="25" t="s">
        <v>234</v>
      </c>
      <c r="D27" s="25"/>
    </row>
    <row r="28" spans="1:4">
      <c r="A28" s="82"/>
      <c r="B28" s="103"/>
      <c r="C28" s="25" t="s">
        <v>235</v>
      </c>
      <c r="D28" s="25"/>
    </row>
    <row r="29" spans="1:4">
      <c r="A29" s="82"/>
      <c r="B29" s="103"/>
      <c r="C29" s="25" t="s">
        <v>236</v>
      </c>
      <c r="D29" s="25"/>
    </row>
    <row r="30" spans="1:4">
      <c r="A30" s="82"/>
      <c r="B30" s="103"/>
      <c r="C30" s="25" t="s">
        <v>237</v>
      </c>
      <c r="D30" s="25"/>
    </row>
    <row r="31" spans="1:4">
      <c r="A31" s="82"/>
      <c r="B31" s="103"/>
      <c r="C31" s="25" t="s">
        <v>238</v>
      </c>
      <c r="D31" s="25"/>
    </row>
    <row r="32" spans="1:4">
      <c r="A32" s="82"/>
      <c r="B32" s="103"/>
      <c r="C32" s="25" t="s">
        <v>239</v>
      </c>
      <c r="D32" s="25"/>
    </row>
    <row r="33" spans="1:5">
      <c r="A33" s="82"/>
      <c r="B33" s="103"/>
      <c r="C33" s="25" t="s">
        <v>240</v>
      </c>
      <c r="D33" s="25"/>
    </row>
    <row r="34" spans="1:5">
      <c r="A34" s="82"/>
      <c r="B34" s="103"/>
      <c r="C34" s="25" t="s">
        <v>241</v>
      </c>
      <c r="D34" s="25"/>
    </row>
    <row r="35" spans="1:5">
      <c r="A35" s="82"/>
      <c r="B35" s="103"/>
      <c r="C35" s="25" t="s">
        <v>242</v>
      </c>
      <c r="D35" s="25"/>
    </row>
    <row r="36" spans="1:5">
      <c r="A36" s="82"/>
      <c r="B36" s="103"/>
      <c r="C36" s="25" t="s">
        <v>243</v>
      </c>
      <c r="D36" s="25"/>
      <c r="E36" t="s">
        <v>218</v>
      </c>
    </row>
    <row r="37" spans="1:5">
      <c r="A37" s="82"/>
      <c r="B37" s="103"/>
      <c r="C37" s="11" t="s">
        <v>244</v>
      </c>
      <c r="D37" s="25"/>
      <c r="E37" t="s">
        <v>218</v>
      </c>
    </row>
    <row r="38" spans="1:5">
      <c r="A38" s="82"/>
      <c r="B38" s="103"/>
      <c r="C38" s="25" t="s">
        <v>245</v>
      </c>
      <c r="D38" s="25"/>
    </row>
    <row r="39" spans="1:5">
      <c r="A39" s="82"/>
      <c r="B39" s="103"/>
      <c r="C39" s="25" t="s">
        <v>246</v>
      </c>
      <c r="D39" s="25"/>
    </row>
    <row r="40" spans="1:5">
      <c r="A40" s="82"/>
      <c r="B40" s="103"/>
      <c r="C40" s="25" t="s">
        <v>247</v>
      </c>
      <c r="D40" s="25"/>
      <c r="E40" t="s">
        <v>218</v>
      </c>
    </row>
    <row r="41" spans="1:5">
      <c r="A41" s="82"/>
      <c r="B41" s="103"/>
      <c r="C41" s="25" t="s">
        <v>248</v>
      </c>
      <c r="D41" s="25"/>
    </row>
    <row r="42" spans="1:5">
      <c r="A42" s="82"/>
      <c r="B42" s="103"/>
      <c r="C42" s="25" t="s">
        <v>249</v>
      </c>
      <c r="D42" s="25"/>
    </row>
    <row r="43" spans="1:5">
      <c r="A43" s="82"/>
      <c r="B43" s="103"/>
      <c r="C43" s="25" t="s">
        <v>250</v>
      </c>
      <c r="D43" s="25"/>
    </row>
    <row r="44" spans="1:5">
      <c r="A44" s="82"/>
      <c r="B44" s="103"/>
      <c r="C44" s="25" t="s">
        <v>251</v>
      </c>
      <c r="D44" s="25"/>
    </row>
    <row r="45" spans="1:5">
      <c r="A45" s="82"/>
      <c r="B45" s="103"/>
      <c r="C45" s="25" t="s">
        <v>252</v>
      </c>
      <c r="D45" s="25"/>
    </row>
    <row r="46" spans="1:5">
      <c r="A46" s="82"/>
      <c r="B46" s="103"/>
      <c r="C46" s="25" t="s">
        <v>253</v>
      </c>
      <c r="D46" s="25"/>
      <c r="E46" t="s">
        <v>218</v>
      </c>
    </row>
    <row r="47" spans="1:5">
      <c r="A47" s="82"/>
      <c r="B47" s="103"/>
      <c r="C47" s="25" t="s">
        <v>254</v>
      </c>
      <c r="D47" s="25"/>
    </row>
    <row r="48" spans="1:5">
      <c r="A48" s="82"/>
      <c r="B48" s="103"/>
      <c r="C48" s="25" t="s">
        <v>255</v>
      </c>
      <c r="D48" s="25"/>
    </row>
    <row r="49" spans="1:5">
      <c r="A49" s="82"/>
      <c r="B49" s="103"/>
      <c r="C49" s="25" t="s">
        <v>256</v>
      </c>
      <c r="D49" s="25"/>
    </row>
    <row r="50" spans="1:5">
      <c r="A50" s="82"/>
      <c r="B50" s="103"/>
      <c r="C50" s="25" t="s">
        <v>257</v>
      </c>
      <c r="D50" s="25"/>
    </row>
    <row r="51" spans="1:5">
      <c r="A51" s="82"/>
      <c r="B51" s="103"/>
      <c r="C51" s="25" t="s">
        <v>258</v>
      </c>
      <c r="D51" s="25"/>
    </row>
    <row r="52" spans="1:5">
      <c r="A52" s="82"/>
      <c r="B52" s="103"/>
      <c r="C52" s="25" t="s">
        <v>259</v>
      </c>
      <c r="D52" s="25"/>
    </row>
    <row r="53" spans="1:5">
      <c r="A53" s="82"/>
      <c r="B53" s="103"/>
      <c r="C53" s="25" t="s">
        <v>260</v>
      </c>
      <c r="D53" s="25"/>
    </row>
    <row r="54" spans="1:5">
      <c r="A54" s="82"/>
      <c r="B54" s="103"/>
      <c r="C54" s="25" t="s">
        <v>261</v>
      </c>
      <c r="D54" s="25"/>
    </row>
    <row r="55" spans="1:5">
      <c r="A55" s="82"/>
      <c r="B55" s="103"/>
      <c r="C55" s="25" t="s">
        <v>262</v>
      </c>
      <c r="D55" s="25"/>
    </row>
    <row r="56" spans="1:5">
      <c r="A56" s="82"/>
      <c r="B56" s="103"/>
      <c r="C56" s="25" t="s">
        <v>263</v>
      </c>
      <c r="D56" s="25"/>
    </row>
    <row r="57" spans="1:5">
      <c r="A57" s="82"/>
      <c r="B57" s="103"/>
      <c r="C57" s="25" t="s">
        <v>264</v>
      </c>
      <c r="D57" s="25"/>
    </row>
    <row r="58" spans="1:5">
      <c r="A58" s="82"/>
      <c r="B58" s="103"/>
      <c r="C58" s="25" t="s">
        <v>265</v>
      </c>
      <c r="D58" s="25"/>
    </row>
    <row r="59" spans="1:5">
      <c r="A59" s="82"/>
      <c r="B59" s="103"/>
      <c r="C59" s="25" t="s">
        <v>266</v>
      </c>
      <c r="D59" s="25"/>
    </row>
    <row r="60" spans="1:5">
      <c r="A60" s="82"/>
      <c r="B60" s="103"/>
      <c r="C60" s="25" t="s">
        <v>267</v>
      </c>
      <c r="D60" s="25"/>
    </row>
    <row r="61" spans="1:5">
      <c r="A61" s="82"/>
      <c r="B61" s="103"/>
      <c r="C61" s="25" t="s">
        <v>268</v>
      </c>
      <c r="D61" s="25"/>
    </row>
    <row r="62" spans="1:5">
      <c r="A62" s="82"/>
      <c r="B62" s="103"/>
      <c r="C62" s="25" t="s">
        <v>269</v>
      </c>
      <c r="D62" s="25"/>
    </row>
    <row r="63" spans="1:5">
      <c r="A63" s="82"/>
      <c r="B63" s="103"/>
      <c r="C63" s="25" t="s">
        <v>270</v>
      </c>
      <c r="D63" s="25"/>
      <c r="E63" t="s">
        <v>218</v>
      </c>
    </row>
    <row r="64" spans="1:5">
      <c r="A64" s="82"/>
      <c r="B64" s="103"/>
      <c r="C64" s="25" t="s">
        <v>271</v>
      </c>
      <c r="D64" s="25"/>
    </row>
    <row r="65" spans="1:4">
      <c r="A65" s="82"/>
      <c r="B65" s="103"/>
      <c r="C65" s="25" t="s">
        <v>272</v>
      </c>
      <c r="D65" s="25"/>
    </row>
    <row r="66" spans="1:4">
      <c r="A66" s="82"/>
      <c r="B66" s="103"/>
      <c r="C66" s="25" t="s">
        <v>273</v>
      </c>
      <c r="D66" s="25"/>
    </row>
    <row r="67" spans="1:4">
      <c r="A67" s="82"/>
      <c r="B67" s="103"/>
      <c r="C67" s="25" t="s">
        <v>274</v>
      </c>
      <c r="D67" s="25"/>
    </row>
    <row r="68" spans="1:4">
      <c r="A68" s="82"/>
      <c r="B68" s="103"/>
      <c r="C68" s="25" t="s">
        <v>275</v>
      </c>
      <c r="D68" s="25"/>
    </row>
    <row r="69" spans="1:4">
      <c r="A69" s="82"/>
      <c r="B69" s="103"/>
      <c r="C69" s="25" t="s">
        <v>276</v>
      </c>
      <c r="D69" s="25"/>
    </row>
    <row r="70" spans="1:4">
      <c r="A70" s="82"/>
      <c r="B70" s="103"/>
      <c r="C70" s="25" t="s">
        <v>277</v>
      </c>
      <c r="D70" s="25"/>
    </row>
    <row r="71" spans="1:4">
      <c r="A71" s="82"/>
      <c r="B71" s="103"/>
      <c r="C71" s="25" t="s">
        <v>278</v>
      </c>
      <c r="D71" s="25"/>
    </row>
    <row r="72" spans="1:4">
      <c r="A72" s="82"/>
      <c r="B72" s="103"/>
      <c r="C72" s="25" t="s">
        <v>279</v>
      </c>
      <c r="D72" s="25"/>
    </row>
    <row r="73" spans="1:4">
      <c r="A73" s="82"/>
      <c r="B73" s="103"/>
      <c r="C73" s="25" t="s">
        <v>280</v>
      </c>
      <c r="D73" s="25"/>
    </row>
    <row r="74" spans="1:4">
      <c r="A74" s="82"/>
      <c r="B74" s="103"/>
      <c r="C74" s="25" t="s">
        <v>281</v>
      </c>
      <c r="D74" s="25"/>
    </row>
    <row r="75" spans="1:4">
      <c r="A75" s="82"/>
      <c r="B75" s="103"/>
      <c r="C75" s="25" t="s">
        <v>282</v>
      </c>
      <c r="D75" s="25"/>
    </row>
    <row r="76" spans="1:4">
      <c r="A76" s="82"/>
      <c r="B76" s="103"/>
      <c r="C76" s="25" t="s">
        <v>283</v>
      </c>
      <c r="D76" s="25"/>
    </row>
    <row r="77" spans="1:4">
      <c r="A77" s="82"/>
      <c r="B77" s="103"/>
      <c r="C77" s="25" t="s">
        <v>284</v>
      </c>
      <c r="D77" s="25"/>
    </row>
    <row r="78" spans="1:4">
      <c r="A78" s="82"/>
      <c r="B78" s="103"/>
      <c r="C78" s="25" t="s">
        <v>285</v>
      </c>
      <c r="D78" s="25"/>
    </row>
    <row r="79" spans="1:4">
      <c r="A79" s="82"/>
      <c r="B79" s="103"/>
      <c r="C79" s="25" t="s">
        <v>286</v>
      </c>
      <c r="D79" s="25"/>
    </row>
    <row r="80" spans="1:4">
      <c r="A80" s="82"/>
      <c r="B80" s="103"/>
      <c r="C80" s="25" t="s">
        <v>287</v>
      </c>
      <c r="D80" s="25"/>
    </row>
    <row r="81" spans="1:5">
      <c r="A81" s="82"/>
      <c r="B81" s="103"/>
      <c r="C81" s="25" t="s">
        <v>288</v>
      </c>
      <c r="D81" s="25"/>
    </row>
    <row r="82" spans="1:5">
      <c r="A82" s="82"/>
      <c r="B82" s="103"/>
      <c r="C82" s="25" t="s">
        <v>289</v>
      </c>
      <c r="D82" s="25"/>
    </row>
    <row r="83" spans="1:5">
      <c r="A83" s="82"/>
      <c r="B83" s="103"/>
      <c r="C83" s="25" t="s">
        <v>290</v>
      </c>
      <c r="D83" s="25"/>
    </row>
    <row r="84" spans="1:5">
      <c r="A84" s="82"/>
      <c r="B84" s="103"/>
      <c r="C84" s="25" t="s">
        <v>291</v>
      </c>
      <c r="D84" s="25"/>
    </row>
    <row r="85" spans="1:5">
      <c r="A85" s="82"/>
      <c r="B85" s="103"/>
      <c r="C85" s="25" t="s">
        <v>292</v>
      </c>
      <c r="D85" s="25"/>
    </row>
    <row r="86" spans="1:5">
      <c r="A86" s="82"/>
      <c r="B86" s="103"/>
      <c r="C86" s="25" t="s">
        <v>293</v>
      </c>
      <c r="D86" s="25"/>
    </row>
    <row r="87" spans="1:5">
      <c r="A87" s="82"/>
      <c r="B87" s="103"/>
      <c r="C87" s="25" t="s">
        <v>294</v>
      </c>
      <c r="D87" s="25"/>
    </row>
    <row r="88" spans="1:5">
      <c r="A88" s="82"/>
      <c r="B88" s="103"/>
      <c r="C88" s="25" t="s">
        <v>295</v>
      </c>
      <c r="D88" s="25"/>
    </row>
    <row r="89" spans="1:5">
      <c r="A89" s="82"/>
      <c r="B89" s="103"/>
      <c r="C89" s="25" t="s">
        <v>296</v>
      </c>
      <c r="D89" s="25"/>
    </row>
    <row r="90" spans="1:5">
      <c r="A90" s="82"/>
      <c r="B90" s="103"/>
      <c r="C90" s="25" t="s">
        <v>297</v>
      </c>
      <c r="D90" s="25"/>
    </row>
    <row r="91" spans="1:5">
      <c r="A91" s="82"/>
      <c r="B91" s="103"/>
      <c r="C91" s="25" t="s">
        <v>298</v>
      </c>
      <c r="D91" s="25"/>
    </row>
    <row r="92" spans="1:5">
      <c r="A92" s="82"/>
      <c r="B92" s="103"/>
      <c r="C92" s="25" t="s">
        <v>299</v>
      </c>
      <c r="D92" s="25"/>
    </row>
    <row r="93" spans="1:5">
      <c r="A93" s="82"/>
      <c r="B93" s="103"/>
      <c r="C93" s="25" t="s">
        <v>300</v>
      </c>
      <c r="D93" s="25"/>
    </row>
    <row r="94" spans="1:5">
      <c r="A94" s="82"/>
      <c r="B94" s="103"/>
      <c r="C94" s="25" t="s">
        <v>301</v>
      </c>
      <c r="D94" s="25" t="s">
        <v>302</v>
      </c>
      <c r="E94" t="s">
        <v>218</v>
      </c>
    </row>
    <row r="95" spans="1:5">
      <c r="A95" s="82"/>
      <c r="B95" s="103"/>
      <c r="C95" s="25" t="s">
        <v>303</v>
      </c>
      <c r="D95" s="25" t="s">
        <v>304</v>
      </c>
      <c r="E95" t="s">
        <v>218</v>
      </c>
    </row>
    <row r="96" spans="1:5">
      <c r="A96" s="82"/>
      <c r="B96" s="103"/>
      <c r="C96" s="25" t="s">
        <v>305</v>
      </c>
      <c r="D96" s="25" t="s">
        <v>304</v>
      </c>
      <c r="E96" t="s">
        <v>218</v>
      </c>
    </row>
    <row r="97" spans="1:5">
      <c r="A97" s="82"/>
      <c r="B97" s="103"/>
      <c r="C97" s="25" t="s">
        <v>306</v>
      </c>
      <c r="D97" s="25" t="s">
        <v>304</v>
      </c>
      <c r="E97" t="s">
        <v>218</v>
      </c>
    </row>
    <row r="98" spans="1:5">
      <c r="A98" s="82"/>
      <c r="B98" s="103"/>
      <c r="C98" s="25" t="s">
        <v>307</v>
      </c>
      <c r="D98" s="25" t="s">
        <v>304</v>
      </c>
      <c r="E98" t="s">
        <v>218</v>
      </c>
    </row>
    <row r="99" spans="1:5">
      <c r="A99" s="82"/>
      <c r="B99" s="103"/>
      <c r="C99" s="25" t="s">
        <v>308</v>
      </c>
      <c r="D99" s="25" t="s">
        <v>304</v>
      </c>
      <c r="E99" t="s">
        <v>218</v>
      </c>
    </row>
    <row r="100" spans="1:5">
      <c r="A100" s="82"/>
      <c r="B100" s="103"/>
      <c r="C100" s="25" t="s">
        <v>309</v>
      </c>
      <c r="D100" s="25" t="s">
        <v>304</v>
      </c>
      <c r="E100" t="s">
        <v>218</v>
      </c>
    </row>
    <row r="101" spans="1:5">
      <c r="A101" s="82"/>
      <c r="B101" s="103"/>
      <c r="C101" s="25" t="s">
        <v>310</v>
      </c>
      <c r="D101" s="25" t="s">
        <v>304</v>
      </c>
      <c r="E101" t="s">
        <v>218</v>
      </c>
    </row>
    <row r="102" spans="1:5">
      <c r="A102" s="82"/>
      <c r="B102" s="103"/>
      <c r="C102" s="25" t="s">
        <v>311</v>
      </c>
      <c r="D102" s="25" t="s">
        <v>304</v>
      </c>
      <c r="E102" t="s">
        <v>218</v>
      </c>
    </row>
    <row r="103" spans="1:5">
      <c r="A103" s="82"/>
      <c r="B103" s="103"/>
      <c r="C103" s="25" t="s">
        <v>312</v>
      </c>
      <c r="D103" s="25" t="s">
        <v>304</v>
      </c>
      <c r="E103" t="s">
        <v>218</v>
      </c>
    </row>
    <row r="104" spans="1:5">
      <c r="A104" s="77"/>
      <c r="B104" s="77" t="s">
        <v>149</v>
      </c>
      <c r="C104" s="24" t="s">
        <v>313</v>
      </c>
      <c r="D104" s="24"/>
    </row>
    <row r="105" spans="1:5">
      <c r="A105" s="78"/>
      <c r="B105" s="78"/>
      <c r="C105" s="24" t="s">
        <v>148</v>
      </c>
      <c r="D105" s="24"/>
    </row>
    <row r="106" spans="1:5">
      <c r="A106" s="78"/>
      <c r="B106" s="78"/>
      <c r="C106" s="24" t="s">
        <v>314</v>
      </c>
      <c r="D106" s="24"/>
    </row>
    <row r="107" spans="1:5">
      <c r="A107" s="78"/>
      <c r="B107" s="78"/>
      <c r="C107" s="24" t="s">
        <v>315</v>
      </c>
      <c r="D107" s="24"/>
    </row>
    <row r="108" spans="1:5">
      <c r="A108" s="78"/>
      <c r="B108" s="78"/>
      <c r="C108" s="24" t="s">
        <v>33</v>
      </c>
      <c r="D108" s="24"/>
    </row>
    <row r="109" spans="1:5">
      <c r="A109" s="78"/>
      <c r="B109" s="78"/>
      <c r="C109" s="24" t="s">
        <v>316</v>
      </c>
      <c r="D109" s="24"/>
    </row>
    <row r="110" spans="1:5">
      <c r="A110" s="79"/>
      <c r="B110" s="79"/>
      <c r="C110" s="24" t="s">
        <v>317</v>
      </c>
      <c r="D110" s="24"/>
    </row>
    <row r="111" spans="1:5">
      <c r="A111" s="82"/>
      <c r="B111" s="68" t="s">
        <v>170</v>
      </c>
      <c r="C111" s="25" t="s">
        <v>313</v>
      </c>
      <c r="D111" s="25"/>
    </row>
    <row r="112" spans="1:5">
      <c r="A112" s="82"/>
      <c r="B112" s="69"/>
      <c r="C112" s="25" t="s">
        <v>318</v>
      </c>
      <c r="D112" s="25"/>
    </row>
    <row r="113" spans="1:4">
      <c r="A113" s="82"/>
      <c r="B113" s="70"/>
      <c r="C113" s="25" t="s">
        <v>319</v>
      </c>
      <c r="D113" s="25"/>
    </row>
    <row r="114" spans="1:4">
      <c r="A114" s="95"/>
      <c r="B114" s="95" t="s">
        <v>320</v>
      </c>
      <c r="C114" s="24" t="s">
        <v>313</v>
      </c>
      <c r="D114" s="24"/>
    </row>
    <row r="115" spans="1:4">
      <c r="A115" s="95"/>
      <c r="B115" s="95"/>
      <c r="C115" s="24" t="s">
        <v>314</v>
      </c>
      <c r="D115" s="24"/>
    </row>
    <row r="116" spans="1:4">
      <c r="A116" s="95"/>
      <c r="B116" s="95"/>
      <c r="C116" s="24" t="s">
        <v>315</v>
      </c>
      <c r="D116" s="24"/>
    </row>
    <row r="117" spans="1:4">
      <c r="A117" s="95"/>
      <c r="B117" s="95"/>
      <c r="C117" s="24" t="s">
        <v>316</v>
      </c>
      <c r="D117" s="24"/>
    </row>
    <row r="118" spans="1:4">
      <c r="A118" s="81"/>
      <c r="B118" s="96" t="s">
        <v>122</v>
      </c>
      <c r="C118" s="25" t="s">
        <v>313</v>
      </c>
      <c r="D118" s="25"/>
    </row>
    <row r="119" spans="1:4">
      <c r="A119" s="12"/>
      <c r="B119" s="116"/>
      <c r="C119" s="25" t="s">
        <v>321</v>
      </c>
      <c r="D119" s="25"/>
    </row>
    <row r="120" spans="1:4">
      <c r="A120" s="12"/>
      <c r="B120" s="116"/>
      <c r="C120" s="25" t="s">
        <v>315</v>
      </c>
      <c r="D120" s="25"/>
    </row>
    <row r="121" spans="1:4">
      <c r="A121" s="12"/>
      <c r="B121" s="116"/>
      <c r="C121" s="25" t="s">
        <v>33</v>
      </c>
      <c r="D121" s="25"/>
    </row>
    <row r="122" spans="1:4">
      <c r="A122" s="12"/>
      <c r="B122" s="116"/>
      <c r="C122" s="25" t="s">
        <v>314</v>
      </c>
      <c r="D122" s="25"/>
    </row>
    <row r="123" spans="1:4">
      <c r="A123" s="12"/>
      <c r="B123" s="116"/>
      <c r="C123" s="25" t="s">
        <v>322</v>
      </c>
      <c r="D123" s="25"/>
    </row>
    <row r="124" spans="1:4">
      <c r="A124" s="12"/>
      <c r="B124" s="116"/>
      <c r="C124" s="25" t="s">
        <v>323</v>
      </c>
      <c r="D124" s="25"/>
    </row>
    <row r="125" spans="1:4">
      <c r="A125" s="12"/>
      <c r="B125" s="116"/>
      <c r="C125" s="25" t="s">
        <v>316</v>
      </c>
      <c r="D125" s="25"/>
    </row>
    <row r="126" spans="1:4">
      <c r="A126" s="82"/>
      <c r="B126" s="97"/>
      <c r="C126" s="25" t="s">
        <v>317</v>
      </c>
      <c r="D126" s="25"/>
    </row>
    <row r="127" spans="1:4">
      <c r="A127" s="77"/>
      <c r="B127" s="77" t="s">
        <v>150</v>
      </c>
      <c r="C127" s="24" t="s">
        <v>324</v>
      </c>
      <c r="D127" s="24"/>
    </row>
    <row r="128" spans="1:4">
      <c r="A128" s="78"/>
      <c r="B128" s="78"/>
      <c r="C128" s="24" t="s">
        <v>325</v>
      </c>
      <c r="D128" s="24"/>
    </row>
    <row r="129" spans="1:5">
      <c r="A129" s="78"/>
      <c r="B129" s="78"/>
      <c r="C129" s="24" t="s">
        <v>326</v>
      </c>
      <c r="D129" s="24"/>
    </row>
    <row r="130" spans="1:5">
      <c r="A130" s="78"/>
      <c r="B130" s="78"/>
      <c r="C130" s="24" t="s">
        <v>327</v>
      </c>
      <c r="D130" s="24"/>
    </row>
    <row r="131" spans="1:5">
      <c r="A131" s="78"/>
      <c r="B131" s="78"/>
      <c r="C131" s="24" t="s">
        <v>33</v>
      </c>
      <c r="D131" s="24"/>
    </row>
    <row r="132" spans="1:5">
      <c r="A132" s="82"/>
      <c r="B132" s="69" t="s">
        <v>328</v>
      </c>
      <c r="C132" s="25" t="s">
        <v>324</v>
      </c>
      <c r="D132" s="25"/>
    </row>
    <row r="133" spans="1:5">
      <c r="A133" s="82"/>
      <c r="B133" s="69"/>
      <c r="C133" s="25" t="s">
        <v>33</v>
      </c>
      <c r="D133" s="25"/>
    </row>
    <row r="134" spans="1:5">
      <c r="A134" s="83"/>
      <c r="B134" s="70"/>
      <c r="C134" s="25" t="s">
        <v>317</v>
      </c>
      <c r="D134" s="25"/>
    </row>
    <row r="135" spans="1:5">
      <c r="A135" s="84"/>
      <c r="B135" s="84" t="s">
        <v>329</v>
      </c>
      <c r="C135" s="24" t="s">
        <v>330</v>
      </c>
      <c r="D135" s="24"/>
    </row>
    <row r="136" spans="1:5">
      <c r="A136" s="85"/>
      <c r="B136" s="85"/>
      <c r="C136" s="24" t="s">
        <v>331</v>
      </c>
      <c r="D136" s="24"/>
      <c r="E136" t="s">
        <v>218</v>
      </c>
    </row>
    <row r="137" spans="1:5">
      <c r="A137" s="85"/>
      <c r="B137" s="85"/>
      <c r="C137" s="24" t="s">
        <v>332</v>
      </c>
      <c r="D137" s="24" t="s">
        <v>333</v>
      </c>
    </row>
    <row r="138" spans="1:5">
      <c r="A138" s="85"/>
      <c r="B138" s="85"/>
      <c r="C138" s="24" t="s">
        <v>334</v>
      </c>
      <c r="D138" s="24" t="s">
        <v>335</v>
      </c>
    </row>
    <row r="139" spans="1:5">
      <c r="A139" s="85"/>
      <c r="B139" s="85"/>
      <c r="C139" s="24" t="s">
        <v>336</v>
      </c>
      <c r="D139" s="24"/>
    </row>
    <row r="140" spans="1:5">
      <c r="A140" s="85"/>
      <c r="B140" s="85"/>
      <c r="C140" s="24" t="s">
        <v>337</v>
      </c>
      <c r="D140" s="24"/>
    </row>
    <row r="141" spans="1:5">
      <c r="A141" s="85"/>
      <c r="B141" s="85"/>
      <c r="C141" s="24" t="s">
        <v>338</v>
      </c>
      <c r="D141" s="24"/>
    </row>
    <row r="142" spans="1:5">
      <c r="A142" s="85"/>
      <c r="B142" s="85"/>
      <c r="C142" s="24" t="s">
        <v>339</v>
      </c>
      <c r="D142" s="24"/>
    </row>
    <row r="143" spans="1:5">
      <c r="A143" s="85"/>
      <c r="B143" s="85"/>
      <c r="C143" s="24" t="s">
        <v>340</v>
      </c>
      <c r="D143" s="24"/>
    </row>
    <row r="144" spans="1:5">
      <c r="A144" s="85"/>
      <c r="B144" s="85"/>
      <c r="C144" s="24" t="s">
        <v>341</v>
      </c>
      <c r="D144" s="24"/>
    </row>
    <row r="145" spans="1:4">
      <c r="A145" s="85"/>
      <c r="B145" s="85"/>
      <c r="C145" s="24" t="s">
        <v>317</v>
      </c>
      <c r="D145" s="24"/>
    </row>
    <row r="146" spans="1:4">
      <c r="A146" s="81"/>
      <c r="B146" s="74" t="s">
        <v>342</v>
      </c>
      <c r="C146" s="25" t="s">
        <v>343</v>
      </c>
      <c r="D146" s="25"/>
    </row>
    <row r="147" spans="1:4">
      <c r="A147" s="83"/>
      <c r="B147" s="76"/>
      <c r="C147" s="25" t="s">
        <v>140</v>
      </c>
      <c r="D147" s="25"/>
    </row>
    <row r="148" spans="1:4">
      <c r="A148" s="63"/>
      <c r="B148" s="115" t="s">
        <v>8</v>
      </c>
      <c r="C148" s="24" t="s">
        <v>31</v>
      </c>
      <c r="D148" s="24" t="s">
        <v>344</v>
      </c>
    </row>
    <row r="149" spans="1:4">
      <c r="A149" s="64"/>
      <c r="B149" s="64"/>
      <c r="C149" s="24" t="s">
        <v>345</v>
      </c>
      <c r="D149" s="24" t="s">
        <v>346</v>
      </c>
    </row>
    <row r="150" spans="1:4">
      <c r="A150" s="64"/>
      <c r="B150" s="64"/>
      <c r="C150" s="24" t="s">
        <v>347</v>
      </c>
      <c r="D150" s="24" t="s">
        <v>348</v>
      </c>
    </row>
    <row r="151" spans="1:4">
      <c r="A151" s="64"/>
      <c r="B151" s="64"/>
      <c r="C151" s="24" t="s">
        <v>349</v>
      </c>
      <c r="D151" s="24" t="s">
        <v>350</v>
      </c>
    </row>
    <row r="152" spans="1:4">
      <c r="A152" s="64"/>
      <c r="B152" s="64"/>
      <c r="C152" s="24" t="s">
        <v>351</v>
      </c>
      <c r="D152" s="24" t="s">
        <v>352</v>
      </c>
    </row>
    <row r="153" spans="1:4">
      <c r="A153" s="64"/>
      <c r="B153" s="64"/>
      <c r="C153" s="24" t="s">
        <v>353</v>
      </c>
      <c r="D153" s="24" t="s">
        <v>354</v>
      </c>
    </row>
    <row r="154" spans="1:4">
      <c r="A154" s="64"/>
      <c r="B154" s="64"/>
      <c r="C154" s="24" t="s">
        <v>355</v>
      </c>
      <c r="D154" s="24" t="s">
        <v>356</v>
      </c>
    </row>
    <row r="155" spans="1:4">
      <c r="A155" s="64"/>
      <c r="B155" s="64"/>
      <c r="C155" s="24" t="s">
        <v>357</v>
      </c>
      <c r="D155" s="24" t="s">
        <v>358</v>
      </c>
    </row>
    <row r="156" spans="1:4">
      <c r="A156" s="64"/>
      <c r="B156" s="64"/>
      <c r="C156" s="24" t="s">
        <v>359</v>
      </c>
      <c r="D156" s="24" t="s">
        <v>360</v>
      </c>
    </row>
    <row r="157" spans="1:4">
      <c r="A157" s="64"/>
      <c r="B157" s="64"/>
      <c r="C157" s="24" t="s">
        <v>361</v>
      </c>
      <c r="D157" s="24" t="s">
        <v>362</v>
      </c>
    </row>
    <row r="158" spans="1:4">
      <c r="A158" s="64"/>
      <c r="B158" s="64"/>
      <c r="C158" s="24" t="s">
        <v>363</v>
      </c>
      <c r="D158" s="24" t="s">
        <v>364</v>
      </c>
    </row>
    <row r="159" spans="1:4">
      <c r="A159" s="64"/>
      <c r="B159" s="64"/>
      <c r="C159" s="24" t="s">
        <v>365</v>
      </c>
      <c r="D159" s="24" t="s">
        <v>366</v>
      </c>
    </row>
    <row r="160" spans="1:4">
      <c r="A160" s="64"/>
      <c r="B160" s="64"/>
      <c r="C160" s="24" t="s">
        <v>367</v>
      </c>
      <c r="D160" s="24" t="s">
        <v>368</v>
      </c>
    </row>
    <row r="161" spans="1:4">
      <c r="A161" s="64"/>
      <c r="B161" s="64"/>
      <c r="C161" s="24" t="s">
        <v>369</v>
      </c>
      <c r="D161" s="24" t="s">
        <v>370</v>
      </c>
    </row>
    <row r="162" spans="1:4">
      <c r="A162" s="64"/>
      <c r="B162" s="64"/>
      <c r="C162" s="24" t="s">
        <v>371</v>
      </c>
      <c r="D162" s="24" t="s">
        <v>372</v>
      </c>
    </row>
    <row r="163" spans="1:4">
      <c r="A163" s="64"/>
      <c r="B163" s="64"/>
      <c r="C163" s="24" t="s">
        <v>373</v>
      </c>
      <c r="D163" s="24" t="s">
        <v>374</v>
      </c>
    </row>
    <row r="164" spans="1:4">
      <c r="A164" s="64"/>
      <c r="B164" s="64"/>
      <c r="C164" s="24" t="s">
        <v>375</v>
      </c>
      <c r="D164" s="24" t="s">
        <v>376</v>
      </c>
    </row>
    <row r="165" spans="1:4">
      <c r="A165" s="64"/>
      <c r="B165" s="64"/>
      <c r="C165" s="24" t="s">
        <v>377</v>
      </c>
      <c r="D165" s="24" t="s">
        <v>378</v>
      </c>
    </row>
    <row r="166" spans="1:4">
      <c r="A166" s="64"/>
      <c r="B166" s="64"/>
      <c r="C166" s="24" t="s">
        <v>379</v>
      </c>
      <c r="D166" s="24" t="s">
        <v>380</v>
      </c>
    </row>
    <row r="167" spans="1:4">
      <c r="A167" s="64"/>
      <c r="B167" s="64"/>
      <c r="C167" s="24" t="s">
        <v>381</v>
      </c>
      <c r="D167" s="24" t="s">
        <v>382</v>
      </c>
    </row>
    <row r="168" spans="1:4">
      <c r="A168" s="64"/>
      <c r="B168" s="64"/>
      <c r="C168" s="24" t="s">
        <v>383</v>
      </c>
      <c r="D168" s="24" t="s">
        <v>384</v>
      </c>
    </row>
    <row r="169" spans="1:4">
      <c r="A169" s="64"/>
      <c r="B169" s="64"/>
      <c r="C169" s="24" t="s">
        <v>385</v>
      </c>
      <c r="D169" s="24" t="s">
        <v>386</v>
      </c>
    </row>
    <row r="170" spans="1:4">
      <c r="A170" s="64"/>
      <c r="B170" s="64"/>
      <c r="C170" s="24" t="s">
        <v>387</v>
      </c>
      <c r="D170" s="24" t="s">
        <v>388</v>
      </c>
    </row>
    <row r="171" spans="1:4">
      <c r="A171" s="64"/>
      <c r="B171" s="64"/>
      <c r="C171" s="24" t="s">
        <v>389</v>
      </c>
      <c r="D171" s="24" t="s">
        <v>390</v>
      </c>
    </row>
    <row r="172" spans="1:4">
      <c r="A172" s="64"/>
      <c r="B172" s="64"/>
      <c r="C172" s="24" t="s">
        <v>391</v>
      </c>
      <c r="D172" s="24" t="s">
        <v>392</v>
      </c>
    </row>
    <row r="173" spans="1:4">
      <c r="A173" s="64"/>
      <c r="B173" s="64"/>
      <c r="C173" s="24" t="s">
        <v>393</v>
      </c>
      <c r="D173" s="24" t="s">
        <v>394</v>
      </c>
    </row>
    <row r="174" spans="1:4">
      <c r="A174" s="64"/>
      <c r="B174" s="64"/>
      <c r="C174" s="24" t="s">
        <v>395</v>
      </c>
      <c r="D174" s="24" t="s">
        <v>396</v>
      </c>
    </row>
    <row r="175" spans="1:4">
      <c r="A175" s="64"/>
      <c r="B175" s="64"/>
      <c r="C175" s="24" t="s">
        <v>397</v>
      </c>
      <c r="D175" s="24" t="s">
        <v>398</v>
      </c>
    </row>
    <row r="176" spans="1:4">
      <c r="A176" s="64"/>
      <c r="B176" s="64"/>
      <c r="C176" s="24" t="s">
        <v>399</v>
      </c>
      <c r="D176" s="24" t="s">
        <v>400</v>
      </c>
    </row>
    <row r="177" spans="1:5">
      <c r="A177" s="64"/>
      <c r="B177" s="64"/>
      <c r="C177" s="24" t="s">
        <v>401</v>
      </c>
      <c r="D177" s="24" t="s">
        <v>402</v>
      </c>
    </row>
    <row r="178" spans="1:5">
      <c r="A178" s="64"/>
      <c r="B178" s="64"/>
      <c r="C178" s="24" t="s">
        <v>403</v>
      </c>
      <c r="D178" s="24" t="s">
        <v>404</v>
      </c>
    </row>
    <row r="179" spans="1:5">
      <c r="A179" s="64"/>
      <c r="B179" s="64"/>
      <c r="C179" s="24" t="s">
        <v>405</v>
      </c>
      <c r="D179" s="24" t="s">
        <v>406</v>
      </c>
    </row>
    <row r="180" spans="1:5">
      <c r="A180" s="64"/>
      <c r="B180" s="64"/>
      <c r="C180" s="24" t="s">
        <v>407</v>
      </c>
      <c r="D180" s="24" t="s">
        <v>408</v>
      </c>
      <c r="E180" t="s">
        <v>218</v>
      </c>
    </row>
    <row r="181" spans="1:5">
      <c r="A181" s="64"/>
      <c r="B181" s="64"/>
      <c r="C181" s="24" t="s">
        <v>317</v>
      </c>
      <c r="D181" s="24" t="s">
        <v>317</v>
      </c>
    </row>
    <row r="182" spans="1:5">
      <c r="A182" s="81"/>
      <c r="B182" s="74" t="s">
        <v>409</v>
      </c>
      <c r="C182" s="56" t="s">
        <v>410</v>
      </c>
      <c r="D182" s="56"/>
    </row>
    <row r="183" spans="1:5">
      <c r="A183" s="82"/>
      <c r="B183" s="75"/>
      <c r="C183" s="56" t="s">
        <v>411</v>
      </c>
      <c r="D183" s="56"/>
    </row>
    <row r="184" spans="1:5">
      <c r="A184" s="82"/>
      <c r="B184" s="75"/>
      <c r="C184" s="56" t="s">
        <v>412</v>
      </c>
      <c r="D184" s="56"/>
    </row>
    <row r="185" spans="1:5">
      <c r="A185" s="83"/>
      <c r="B185" s="76"/>
      <c r="C185" s="57" t="s">
        <v>69</v>
      </c>
      <c r="D185" s="57"/>
    </row>
    <row r="186" spans="1:5">
      <c r="A186" s="77"/>
      <c r="B186" s="77" t="s">
        <v>413</v>
      </c>
      <c r="C186" s="55" t="s">
        <v>414</v>
      </c>
      <c r="D186" s="55"/>
    </row>
    <row r="187" spans="1:5">
      <c r="A187" s="78"/>
      <c r="B187" s="78"/>
      <c r="C187" s="55" t="s">
        <v>415</v>
      </c>
      <c r="D187" s="55"/>
    </row>
    <row r="188" spans="1:5">
      <c r="A188" s="81"/>
      <c r="B188" s="74" t="s">
        <v>10</v>
      </c>
      <c r="C188" s="57" t="s">
        <v>416</v>
      </c>
      <c r="D188" s="57" t="s">
        <v>417</v>
      </c>
    </row>
    <row r="189" spans="1:5">
      <c r="A189" s="82"/>
      <c r="B189" s="75"/>
      <c r="C189" s="57" t="s">
        <v>418</v>
      </c>
      <c r="D189" s="57" t="s">
        <v>419</v>
      </c>
    </row>
    <row r="190" spans="1:5">
      <c r="A190" s="82"/>
      <c r="B190" s="75"/>
      <c r="C190" s="57" t="s">
        <v>33</v>
      </c>
      <c r="D190" s="57" t="s">
        <v>33</v>
      </c>
    </row>
    <row r="191" spans="1:5">
      <c r="A191" s="82"/>
      <c r="B191" s="75"/>
      <c r="C191" s="57" t="s">
        <v>420</v>
      </c>
      <c r="D191" s="57" t="s">
        <v>421</v>
      </c>
    </row>
    <row r="192" spans="1:5">
      <c r="A192" s="82"/>
      <c r="B192" s="75"/>
      <c r="C192" s="57" t="s">
        <v>422</v>
      </c>
      <c r="D192" s="57" t="s">
        <v>423</v>
      </c>
    </row>
    <row r="193" spans="1:4">
      <c r="A193" s="82"/>
      <c r="B193" s="75"/>
      <c r="C193" s="57" t="s">
        <v>424</v>
      </c>
      <c r="D193" s="57" t="s">
        <v>425</v>
      </c>
    </row>
    <row r="194" spans="1:4">
      <c r="A194" s="82"/>
      <c r="B194" s="75"/>
      <c r="C194" s="57" t="s">
        <v>426</v>
      </c>
      <c r="D194" s="57" t="s">
        <v>427</v>
      </c>
    </row>
    <row r="195" spans="1:4">
      <c r="A195" s="82"/>
      <c r="B195" s="75"/>
      <c r="C195" s="57" t="s">
        <v>428</v>
      </c>
      <c r="D195" s="57" t="s">
        <v>429</v>
      </c>
    </row>
    <row r="196" spans="1:4">
      <c r="A196" s="82"/>
      <c r="B196" s="75"/>
      <c r="C196" s="57" t="s">
        <v>430</v>
      </c>
      <c r="D196" s="57" t="s">
        <v>431</v>
      </c>
    </row>
    <row r="197" spans="1:4">
      <c r="A197" s="82"/>
      <c r="B197" s="75"/>
      <c r="C197" s="57" t="s">
        <v>432</v>
      </c>
      <c r="D197" s="57" t="s">
        <v>433</v>
      </c>
    </row>
    <row r="198" spans="1:4">
      <c r="A198" s="82"/>
      <c r="B198" s="75"/>
      <c r="C198" s="57" t="s">
        <v>434</v>
      </c>
      <c r="D198" s="57" t="s">
        <v>435</v>
      </c>
    </row>
    <row r="199" spans="1:4">
      <c r="A199" s="82"/>
      <c r="B199" s="75"/>
      <c r="C199" s="57" t="s">
        <v>436</v>
      </c>
      <c r="D199" s="57" t="s">
        <v>437</v>
      </c>
    </row>
    <row r="200" spans="1:4">
      <c r="A200" s="82"/>
      <c r="B200" s="75"/>
      <c r="C200" s="57" t="s">
        <v>317</v>
      </c>
      <c r="D200" s="57" t="s">
        <v>317</v>
      </c>
    </row>
    <row r="201" spans="1:4">
      <c r="A201" s="83"/>
      <c r="B201" s="76"/>
      <c r="C201" s="57" t="s">
        <v>69</v>
      </c>
      <c r="D201" s="57" t="s">
        <v>438</v>
      </c>
    </row>
    <row r="202" spans="1:4">
      <c r="A202" s="115"/>
      <c r="B202" s="115" t="s">
        <v>151</v>
      </c>
      <c r="C202" s="24" t="s">
        <v>439</v>
      </c>
      <c r="D202" s="24"/>
    </row>
    <row r="203" spans="1:4">
      <c r="A203" s="64"/>
      <c r="B203" s="64"/>
      <c r="C203" s="24" t="s">
        <v>440</v>
      </c>
      <c r="D203" s="24"/>
    </row>
    <row r="204" spans="1:4">
      <c r="A204" s="64"/>
      <c r="B204" s="64"/>
      <c r="C204" s="24" t="s">
        <v>441</v>
      </c>
      <c r="D204" s="24"/>
    </row>
    <row r="205" spans="1:4">
      <c r="A205" s="64"/>
      <c r="B205" s="64"/>
      <c r="C205" s="24" t="s">
        <v>442</v>
      </c>
      <c r="D205" s="24"/>
    </row>
    <row r="206" spans="1:4">
      <c r="A206" s="64"/>
      <c r="B206" s="64"/>
      <c r="C206" s="24" t="s">
        <v>443</v>
      </c>
      <c r="D206" s="24"/>
    </row>
    <row r="207" spans="1:4">
      <c r="A207" s="64"/>
      <c r="B207" s="64"/>
      <c r="C207" s="24" t="s">
        <v>444</v>
      </c>
      <c r="D207" s="24"/>
    </row>
    <row r="208" spans="1:4">
      <c r="A208" s="64"/>
      <c r="B208" s="64"/>
      <c r="C208" s="24" t="s">
        <v>445</v>
      </c>
      <c r="D208" s="24"/>
    </row>
    <row r="209" spans="1:5">
      <c r="A209" s="64"/>
      <c r="B209" s="64"/>
      <c r="C209" s="24" t="s">
        <v>446</v>
      </c>
      <c r="D209" s="24"/>
    </row>
    <row r="210" spans="1:5">
      <c r="A210" s="64"/>
      <c r="B210" s="64"/>
      <c r="C210" s="24" t="s">
        <v>447</v>
      </c>
      <c r="D210" s="24"/>
    </row>
    <row r="211" spans="1:5">
      <c r="A211" s="64"/>
      <c r="B211" s="64"/>
      <c r="C211" s="24" t="s">
        <v>448</v>
      </c>
      <c r="D211" s="24"/>
    </row>
    <row r="212" spans="1:5">
      <c r="A212" s="64"/>
      <c r="B212" s="64"/>
      <c r="C212" s="24" t="s">
        <v>449</v>
      </c>
      <c r="D212" s="24"/>
    </row>
    <row r="213" spans="1:5">
      <c r="A213" s="64"/>
      <c r="B213" s="64"/>
      <c r="C213" s="24" t="s">
        <v>450</v>
      </c>
      <c r="D213" s="24"/>
    </row>
    <row r="214" spans="1:5">
      <c r="A214" s="64"/>
      <c r="B214" s="64"/>
      <c r="C214" s="24" t="s">
        <v>451</v>
      </c>
      <c r="D214" s="24"/>
    </row>
    <row r="215" spans="1:5">
      <c r="A215" s="64"/>
      <c r="B215" s="64"/>
      <c r="C215" s="24" t="s">
        <v>452</v>
      </c>
      <c r="D215" s="24"/>
    </row>
    <row r="216" spans="1:5">
      <c r="A216" s="64"/>
      <c r="B216" s="64"/>
      <c r="C216" s="24" t="s">
        <v>453</v>
      </c>
      <c r="D216" s="24"/>
    </row>
    <row r="217" spans="1:5">
      <c r="A217" s="64"/>
      <c r="B217" s="64"/>
      <c r="C217" s="24" t="s">
        <v>454</v>
      </c>
      <c r="D217" s="24"/>
    </row>
    <row r="218" spans="1:5">
      <c r="A218" s="64"/>
      <c r="B218" s="64"/>
      <c r="C218" s="24" t="s">
        <v>455</v>
      </c>
      <c r="D218" s="24" t="s">
        <v>456</v>
      </c>
      <c r="E218" t="s">
        <v>218</v>
      </c>
    </row>
    <row r="219" spans="1:5">
      <c r="A219" s="64"/>
      <c r="B219" s="64"/>
      <c r="C219" s="24" t="s">
        <v>457</v>
      </c>
      <c r="D219" s="24"/>
    </row>
    <row r="220" spans="1:5">
      <c r="A220" s="64"/>
      <c r="B220" s="64"/>
      <c r="C220" s="24" t="s">
        <v>458</v>
      </c>
      <c r="D220" s="24"/>
    </row>
    <row r="221" spans="1:5">
      <c r="A221" s="64"/>
      <c r="B221" s="64"/>
      <c r="C221" s="24" t="s">
        <v>459</v>
      </c>
      <c r="D221" s="24"/>
    </row>
    <row r="222" spans="1:5">
      <c r="A222" s="64"/>
      <c r="B222" s="64"/>
      <c r="C222" s="24" t="s">
        <v>460</v>
      </c>
      <c r="D222" s="24"/>
    </row>
    <row r="223" spans="1:5">
      <c r="A223" s="64"/>
      <c r="B223" s="64"/>
      <c r="C223" s="24" t="s">
        <v>461</v>
      </c>
      <c r="D223" s="24"/>
    </row>
    <row r="224" spans="1:5">
      <c r="A224" s="64"/>
      <c r="B224" s="64"/>
      <c r="C224" s="24" t="s">
        <v>462</v>
      </c>
      <c r="D224" s="24"/>
    </row>
    <row r="225" spans="1:4">
      <c r="A225" s="64"/>
      <c r="B225" s="64"/>
      <c r="C225" s="24" t="s">
        <v>463</v>
      </c>
      <c r="D225" s="24"/>
    </row>
    <row r="226" spans="1:4">
      <c r="A226" s="64"/>
      <c r="B226" s="64"/>
      <c r="C226" s="24" t="s">
        <v>464</v>
      </c>
      <c r="D226" s="24"/>
    </row>
    <row r="227" spans="1:4">
      <c r="A227" s="64"/>
      <c r="B227" s="64"/>
      <c r="C227" s="24" t="s">
        <v>465</v>
      </c>
      <c r="D227" s="24"/>
    </row>
    <row r="228" spans="1:4">
      <c r="A228" s="64"/>
      <c r="B228" s="64"/>
      <c r="C228" s="24" t="s">
        <v>466</v>
      </c>
      <c r="D228" s="24"/>
    </row>
    <row r="229" spans="1:4">
      <c r="A229" s="64"/>
      <c r="B229" s="64"/>
      <c r="C229" s="24" t="s">
        <v>467</v>
      </c>
      <c r="D229" s="24"/>
    </row>
    <row r="230" spans="1:4">
      <c r="A230" s="64"/>
      <c r="B230" s="64"/>
      <c r="C230" s="24" t="s">
        <v>468</v>
      </c>
      <c r="D230" s="24"/>
    </row>
    <row r="231" spans="1:4">
      <c r="A231" s="64"/>
      <c r="B231" s="64"/>
      <c r="C231" s="24" t="s">
        <v>469</v>
      </c>
      <c r="D231" s="24"/>
    </row>
    <row r="232" spans="1:4">
      <c r="A232" s="64"/>
      <c r="B232" s="64"/>
      <c r="C232" s="24" t="s">
        <v>470</v>
      </c>
      <c r="D232" s="24"/>
    </row>
    <row r="233" spans="1:4">
      <c r="A233" s="64"/>
      <c r="B233" s="64"/>
      <c r="C233" s="24" t="s">
        <v>471</v>
      </c>
      <c r="D233" s="24"/>
    </row>
    <row r="234" spans="1:4">
      <c r="A234" s="64"/>
      <c r="B234" s="64"/>
      <c r="C234" s="24" t="s">
        <v>472</v>
      </c>
      <c r="D234" s="24"/>
    </row>
    <row r="235" spans="1:4">
      <c r="A235" s="64"/>
      <c r="B235" s="64"/>
      <c r="C235" s="24" t="s">
        <v>473</v>
      </c>
      <c r="D235" s="24"/>
    </row>
    <row r="236" spans="1:4">
      <c r="A236" s="64"/>
      <c r="B236" s="64"/>
      <c r="C236" s="24" t="s">
        <v>474</v>
      </c>
      <c r="D236" s="24"/>
    </row>
    <row r="237" spans="1:4">
      <c r="A237" s="64"/>
      <c r="B237" s="64"/>
      <c r="C237" s="24" t="s">
        <v>475</v>
      </c>
      <c r="D237" s="24"/>
    </row>
    <row r="238" spans="1:4">
      <c r="A238" s="64"/>
      <c r="B238" s="64"/>
      <c r="C238" s="24" t="s">
        <v>476</v>
      </c>
      <c r="D238" s="24"/>
    </row>
    <row r="239" spans="1:4">
      <c r="A239" s="64"/>
      <c r="B239" s="64"/>
      <c r="C239" s="24" t="s">
        <v>477</v>
      </c>
      <c r="D239" s="24"/>
    </row>
    <row r="240" spans="1:4">
      <c r="A240" s="64"/>
      <c r="B240" s="64"/>
      <c r="C240" s="24" t="s">
        <v>478</v>
      </c>
      <c r="D240" s="24"/>
    </row>
    <row r="241" spans="1:4">
      <c r="A241" s="64"/>
      <c r="B241" s="64"/>
      <c r="C241" s="24" t="s">
        <v>479</v>
      </c>
      <c r="D241" s="24"/>
    </row>
    <row r="242" spans="1:4">
      <c r="A242" s="64"/>
      <c r="B242" s="64"/>
      <c r="C242" s="24" t="s">
        <v>480</v>
      </c>
      <c r="D242" s="24"/>
    </row>
    <row r="243" spans="1:4">
      <c r="A243" s="64"/>
      <c r="B243" s="64"/>
      <c r="C243" s="24" t="s">
        <v>481</v>
      </c>
      <c r="D243" s="24"/>
    </row>
    <row r="244" spans="1:4">
      <c r="A244" s="64"/>
      <c r="B244" s="64"/>
      <c r="C244" s="24" t="s">
        <v>482</v>
      </c>
      <c r="D244" s="24"/>
    </row>
    <row r="245" spans="1:4">
      <c r="A245" s="64"/>
      <c r="B245" s="64"/>
      <c r="C245" s="24" t="s">
        <v>483</v>
      </c>
      <c r="D245" s="24"/>
    </row>
    <row r="246" spans="1:4">
      <c r="A246" s="64"/>
      <c r="B246" s="64"/>
      <c r="C246" s="24" t="s">
        <v>484</v>
      </c>
      <c r="D246" s="24"/>
    </row>
    <row r="247" spans="1:4">
      <c r="A247" s="64"/>
      <c r="B247" s="64"/>
      <c r="C247" s="24" t="s">
        <v>485</v>
      </c>
      <c r="D247" s="24"/>
    </row>
    <row r="248" spans="1:4">
      <c r="A248" s="64"/>
      <c r="B248" s="64"/>
      <c r="C248" s="24" t="s">
        <v>486</v>
      </c>
      <c r="D248" s="24"/>
    </row>
    <row r="249" spans="1:4">
      <c r="A249" s="64"/>
      <c r="B249" s="64"/>
      <c r="C249" s="24" t="s">
        <v>487</v>
      </c>
      <c r="D249" s="24"/>
    </row>
    <row r="250" spans="1:4">
      <c r="A250" s="64"/>
      <c r="B250" s="64"/>
      <c r="C250" s="24" t="s">
        <v>488</v>
      </c>
      <c r="D250" s="24"/>
    </row>
    <row r="251" spans="1:4">
      <c r="A251" s="64"/>
      <c r="B251" s="64"/>
      <c r="C251" s="24" t="s">
        <v>489</v>
      </c>
      <c r="D251" s="24"/>
    </row>
    <row r="252" spans="1:4">
      <c r="A252" s="64"/>
      <c r="B252" s="64"/>
      <c r="C252" s="24" t="s">
        <v>317</v>
      </c>
      <c r="D252" s="24"/>
    </row>
    <row r="253" spans="1:4">
      <c r="A253" s="64"/>
      <c r="B253" s="64"/>
      <c r="C253" s="24" t="s">
        <v>490</v>
      </c>
      <c r="D253" s="24"/>
    </row>
    <row r="254" spans="1:4">
      <c r="A254" s="64"/>
      <c r="B254" s="64"/>
      <c r="C254" s="24" t="s">
        <v>491</v>
      </c>
      <c r="D254" s="24"/>
    </row>
    <row r="255" spans="1:4">
      <c r="A255" s="64"/>
      <c r="B255" s="64"/>
      <c r="C255" s="24" t="s">
        <v>492</v>
      </c>
      <c r="D255" s="24"/>
    </row>
    <row r="256" spans="1:4">
      <c r="A256" s="64"/>
      <c r="B256" s="64"/>
      <c r="C256" s="24" t="s">
        <v>493</v>
      </c>
      <c r="D256" s="24"/>
    </row>
    <row r="257" spans="1:5">
      <c r="A257" s="64"/>
      <c r="B257" s="64"/>
      <c r="C257" s="24" t="s">
        <v>494</v>
      </c>
      <c r="D257" s="24"/>
    </row>
    <row r="258" spans="1:5">
      <c r="A258" s="64"/>
      <c r="B258" s="64"/>
      <c r="C258" s="24" t="s">
        <v>495</v>
      </c>
      <c r="D258" s="24"/>
    </row>
    <row r="259" spans="1:5">
      <c r="A259" s="64"/>
      <c r="B259" s="64"/>
      <c r="C259" s="24" t="s">
        <v>496</v>
      </c>
      <c r="D259" s="24"/>
    </row>
    <row r="260" spans="1:5">
      <c r="A260" s="64"/>
      <c r="B260" s="64"/>
      <c r="C260" s="24" t="s">
        <v>497</v>
      </c>
      <c r="D260" s="24"/>
    </row>
    <row r="261" spans="1:5">
      <c r="A261" s="64"/>
      <c r="B261" s="64"/>
      <c r="C261" s="24" t="s">
        <v>498</v>
      </c>
      <c r="D261" s="24"/>
    </row>
    <row r="262" spans="1:5">
      <c r="A262" s="64"/>
      <c r="B262" s="64"/>
      <c r="C262" s="24" t="s">
        <v>499</v>
      </c>
      <c r="D262" s="24"/>
    </row>
    <row r="263" spans="1:5">
      <c r="A263" s="64"/>
      <c r="B263" s="64"/>
      <c r="C263" s="24" t="s">
        <v>500</v>
      </c>
      <c r="D263" s="24"/>
    </row>
    <row r="264" spans="1:5">
      <c r="A264" s="64"/>
      <c r="B264" s="64"/>
      <c r="C264" s="24" t="s">
        <v>501</v>
      </c>
      <c r="D264" s="24"/>
    </row>
    <row r="265" spans="1:5">
      <c r="A265" s="64"/>
      <c r="B265" s="64"/>
      <c r="C265" s="24" t="s">
        <v>502</v>
      </c>
      <c r="D265" s="24"/>
    </row>
    <row r="266" spans="1:5">
      <c r="A266" s="64"/>
      <c r="B266" s="64"/>
      <c r="C266" s="24" t="s">
        <v>503</v>
      </c>
      <c r="D266" s="24"/>
    </row>
    <row r="267" spans="1:5">
      <c r="A267" s="64"/>
      <c r="B267" s="64"/>
      <c r="C267" s="24" t="s">
        <v>504</v>
      </c>
      <c r="D267" s="24"/>
    </row>
    <row r="268" spans="1:5">
      <c r="A268" s="64"/>
      <c r="B268" s="64"/>
      <c r="C268" s="24" t="s">
        <v>505</v>
      </c>
      <c r="D268" s="24"/>
    </row>
    <row r="269" spans="1:5">
      <c r="A269" s="64"/>
      <c r="B269" s="64"/>
      <c r="C269" s="24" t="s">
        <v>506</v>
      </c>
      <c r="D269" s="24"/>
    </row>
    <row r="270" spans="1:5">
      <c r="A270" s="64"/>
      <c r="B270" s="64"/>
      <c r="C270" s="24" t="s">
        <v>507</v>
      </c>
      <c r="D270" s="24" t="s">
        <v>508</v>
      </c>
      <c r="E270" t="s">
        <v>218</v>
      </c>
    </row>
    <row r="271" spans="1:5">
      <c r="A271" s="64"/>
      <c r="B271" s="64"/>
      <c r="C271" s="24" t="s">
        <v>509</v>
      </c>
      <c r="D271" s="24" t="s">
        <v>510</v>
      </c>
      <c r="E271" t="s">
        <v>218</v>
      </c>
    </row>
    <row r="272" spans="1:5">
      <c r="A272" s="64"/>
      <c r="B272" s="64"/>
      <c r="C272" s="24" t="s">
        <v>511</v>
      </c>
      <c r="D272" s="24" t="s">
        <v>512</v>
      </c>
      <c r="E272" t="s">
        <v>218</v>
      </c>
    </row>
    <row r="273" spans="1:5">
      <c r="A273" s="64"/>
      <c r="B273" s="64"/>
      <c r="C273" s="24" t="s">
        <v>513</v>
      </c>
      <c r="D273" s="24"/>
    </row>
    <row r="274" spans="1:5">
      <c r="A274" s="64"/>
      <c r="B274" s="64"/>
      <c r="C274" s="24" t="s">
        <v>514</v>
      </c>
      <c r="D274" s="24" t="s">
        <v>515</v>
      </c>
      <c r="E274" t="s">
        <v>218</v>
      </c>
    </row>
    <row r="275" spans="1:5">
      <c r="A275" s="64"/>
      <c r="B275" s="64"/>
      <c r="C275" s="24" t="s">
        <v>516</v>
      </c>
      <c r="D275" s="24"/>
    </row>
    <row r="276" spans="1:5">
      <c r="A276" s="64"/>
      <c r="B276" s="64"/>
      <c r="C276" s="24" t="s">
        <v>517</v>
      </c>
      <c r="D276" s="24"/>
    </row>
    <row r="277" spans="1:5">
      <c r="A277" s="64"/>
      <c r="B277" s="64"/>
      <c r="C277" s="24" t="s">
        <v>518</v>
      </c>
      <c r="D277" s="24"/>
    </row>
    <row r="278" spans="1:5">
      <c r="A278" s="64"/>
      <c r="B278" s="64"/>
      <c r="C278" s="24" t="s">
        <v>519</v>
      </c>
      <c r="D278" s="24"/>
    </row>
    <row r="279" spans="1:5">
      <c r="A279" s="64"/>
      <c r="B279" s="64"/>
      <c r="C279" s="24" t="s">
        <v>520</v>
      </c>
      <c r="D279" s="24"/>
    </row>
    <row r="280" spans="1:5">
      <c r="A280" s="64"/>
      <c r="B280" s="64"/>
      <c r="C280" s="24" t="s">
        <v>521</v>
      </c>
      <c r="D280" s="24"/>
    </row>
    <row r="281" spans="1:5">
      <c r="A281" s="64"/>
      <c r="B281" s="64"/>
      <c r="C281" s="24" t="s">
        <v>522</v>
      </c>
      <c r="D281" s="24"/>
    </row>
    <row r="282" spans="1:5">
      <c r="A282" s="64"/>
      <c r="B282" s="64"/>
      <c r="C282" s="24" t="s">
        <v>523</v>
      </c>
      <c r="D282" s="24" t="s">
        <v>524</v>
      </c>
      <c r="E282" t="s">
        <v>218</v>
      </c>
    </row>
    <row r="283" spans="1:5">
      <c r="A283" s="64"/>
      <c r="B283" s="64"/>
      <c r="C283" s="24" t="s">
        <v>525</v>
      </c>
      <c r="D283" s="24"/>
    </row>
    <row r="284" spans="1:5">
      <c r="A284" s="64"/>
      <c r="B284" s="64"/>
      <c r="C284" s="24" t="s">
        <v>526</v>
      </c>
      <c r="D284" s="24" t="s">
        <v>527</v>
      </c>
      <c r="E284" t="s">
        <v>218</v>
      </c>
    </row>
    <row r="285" spans="1:5">
      <c r="A285" s="64"/>
      <c r="B285" s="64"/>
      <c r="C285" s="24" t="s">
        <v>528</v>
      </c>
      <c r="D285" s="24"/>
    </row>
    <row r="286" spans="1:5">
      <c r="A286" s="64"/>
      <c r="B286" s="64"/>
      <c r="C286" s="24" t="s">
        <v>529</v>
      </c>
      <c r="D286" s="24"/>
    </row>
    <row r="287" spans="1:5">
      <c r="A287" s="64"/>
      <c r="B287" s="64"/>
      <c r="C287" s="24" t="s">
        <v>530</v>
      </c>
      <c r="D287" s="24"/>
    </row>
    <row r="288" spans="1:5">
      <c r="A288" s="64"/>
      <c r="B288" s="64"/>
      <c r="C288" s="24" t="s">
        <v>531</v>
      </c>
      <c r="D288" s="24"/>
    </row>
    <row r="289" spans="1:5">
      <c r="A289" s="64"/>
      <c r="B289" s="64"/>
      <c r="C289" s="24" t="s">
        <v>532</v>
      </c>
      <c r="D289" s="24" t="s">
        <v>533</v>
      </c>
      <c r="E289" t="s">
        <v>218</v>
      </c>
    </row>
    <row r="290" spans="1:5">
      <c r="A290" s="64"/>
      <c r="B290" s="64"/>
      <c r="C290" s="24" t="s">
        <v>534</v>
      </c>
      <c r="D290" s="24"/>
    </row>
    <row r="291" spans="1:5">
      <c r="A291" s="64"/>
      <c r="B291" s="64"/>
      <c r="C291" s="24" t="s">
        <v>535</v>
      </c>
      <c r="D291" s="24"/>
    </row>
    <row r="292" spans="1:5">
      <c r="A292" s="64"/>
      <c r="B292" s="64"/>
      <c r="C292" s="24" t="s">
        <v>536</v>
      </c>
      <c r="D292" s="24"/>
    </row>
    <row r="293" spans="1:5">
      <c r="A293" s="64"/>
      <c r="B293" s="64"/>
      <c r="C293" s="24" t="s">
        <v>537</v>
      </c>
      <c r="D293" s="24"/>
    </row>
    <row r="294" spans="1:5">
      <c r="A294" s="64"/>
      <c r="B294" s="64"/>
      <c r="C294" s="24" t="s">
        <v>538</v>
      </c>
      <c r="D294" s="24"/>
    </row>
    <row r="295" spans="1:5">
      <c r="A295" s="64"/>
      <c r="B295" s="64"/>
      <c r="C295" s="24" t="s">
        <v>539</v>
      </c>
      <c r="D295" s="24"/>
    </row>
    <row r="296" spans="1:5">
      <c r="A296" s="64"/>
      <c r="B296" s="64"/>
      <c r="C296" s="24" t="s">
        <v>540</v>
      </c>
      <c r="D296" s="24"/>
    </row>
    <row r="297" spans="1:5">
      <c r="A297" s="64"/>
      <c r="B297" s="64"/>
      <c r="C297" s="24" t="s">
        <v>541</v>
      </c>
      <c r="D297" s="24" t="s">
        <v>542</v>
      </c>
      <c r="E297" t="s">
        <v>218</v>
      </c>
    </row>
    <row r="298" spans="1:5">
      <c r="A298" s="64"/>
      <c r="B298" s="64"/>
      <c r="C298" s="24" t="s">
        <v>543</v>
      </c>
      <c r="D298" s="24"/>
    </row>
    <row r="299" spans="1:5">
      <c r="A299" s="64"/>
      <c r="B299" s="64"/>
      <c r="C299" s="24" t="s">
        <v>544</v>
      </c>
      <c r="D299" s="24"/>
    </row>
    <row r="300" spans="1:5">
      <c r="A300" s="64"/>
      <c r="B300" s="64"/>
      <c r="C300" s="134" t="s">
        <v>545</v>
      </c>
      <c r="D300" s="24"/>
      <c r="E300" t="s">
        <v>218</v>
      </c>
    </row>
    <row r="301" spans="1:5">
      <c r="A301" s="64"/>
      <c r="B301" s="64"/>
      <c r="C301" s="24" t="s">
        <v>546</v>
      </c>
      <c r="D301" s="24"/>
    </row>
    <row r="302" spans="1:5">
      <c r="A302" s="64"/>
      <c r="B302" s="64"/>
      <c r="C302" s="24" t="s">
        <v>547</v>
      </c>
      <c r="D302" s="24"/>
    </row>
    <row r="303" spans="1:5">
      <c r="A303" s="64"/>
      <c r="B303" s="64"/>
      <c r="C303" s="24" t="s">
        <v>548</v>
      </c>
      <c r="D303" s="24"/>
    </row>
    <row r="304" spans="1:5">
      <c r="A304" s="64"/>
      <c r="B304" s="64"/>
      <c r="C304" s="24" t="s">
        <v>549</v>
      </c>
      <c r="D304" s="24"/>
    </row>
    <row r="305" spans="1:5">
      <c r="A305" s="64"/>
      <c r="B305" s="64"/>
      <c r="C305" s="24" t="s">
        <v>550</v>
      </c>
      <c r="D305" s="24"/>
    </row>
    <row r="306" spans="1:5">
      <c r="A306" s="64"/>
      <c r="B306" s="64"/>
      <c r="C306" s="24" t="s">
        <v>551</v>
      </c>
      <c r="D306" s="24"/>
    </row>
    <row r="307" spans="1:5">
      <c r="A307" s="64"/>
      <c r="B307" s="64"/>
      <c r="C307" s="24" t="s">
        <v>552</v>
      </c>
      <c r="D307" s="24"/>
    </row>
    <row r="308" spans="1:5">
      <c r="A308" s="64"/>
      <c r="B308" s="64"/>
      <c r="C308" s="24" t="s">
        <v>553</v>
      </c>
      <c r="D308" s="24"/>
    </row>
    <row r="309" spans="1:5">
      <c r="A309" s="64"/>
      <c r="B309" s="64"/>
      <c r="C309" s="24" t="s">
        <v>554</v>
      </c>
      <c r="D309" s="24"/>
    </row>
    <row r="310" spans="1:5">
      <c r="A310" s="64"/>
      <c r="B310" s="64"/>
      <c r="C310" s="134" t="s">
        <v>555</v>
      </c>
      <c r="D310" s="24"/>
      <c r="E310" t="s">
        <v>218</v>
      </c>
    </row>
    <row r="311" spans="1:5">
      <c r="A311" s="64"/>
      <c r="B311" s="64"/>
      <c r="C311" s="134" t="s">
        <v>556</v>
      </c>
      <c r="D311" s="24"/>
      <c r="E311" t="s">
        <v>218</v>
      </c>
    </row>
    <row r="312" spans="1:5">
      <c r="A312" s="64"/>
      <c r="B312" s="64"/>
      <c r="C312" s="134" t="s">
        <v>557</v>
      </c>
      <c r="D312" s="24"/>
      <c r="E312" t="s">
        <v>218</v>
      </c>
    </row>
    <row r="313" spans="1:5">
      <c r="A313" s="64"/>
      <c r="B313" s="64"/>
      <c r="C313" s="24" t="s">
        <v>558</v>
      </c>
      <c r="D313" s="24"/>
    </row>
    <row r="314" spans="1:5">
      <c r="A314" s="64"/>
      <c r="B314" s="64"/>
      <c r="C314" s="24" t="s">
        <v>559</v>
      </c>
      <c r="D314" s="24"/>
    </row>
    <row r="315" spans="1:5">
      <c r="A315" s="64"/>
      <c r="B315" s="64"/>
      <c r="C315" s="24" t="s">
        <v>560</v>
      </c>
      <c r="D315" s="24"/>
    </row>
    <row r="316" spans="1:5">
      <c r="A316" s="64"/>
      <c r="B316" s="64"/>
      <c r="C316" s="24" t="s">
        <v>561</v>
      </c>
      <c r="D316" s="24"/>
    </row>
    <row r="317" spans="1:5">
      <c r="A317" s="64"/>
      <c r="B317" s="64"/>
      <c r="C317" s="24" t="s">
        <v>562</v>
      </c>
      <c r="D317" s="24"/>
    </row>
    <row r="318" spans="1:5">
      <c r="A318" s="64"/>
      <c r="B318" s="64"/>
      <c r="C318" s="24" t="s">
        <v>563</v>
      </c>
      <c r="D318" s="129" t="s">
        <v>564</v>
      </c>
      <c r="E318" t="s">
        <v>218</v>
      </c>
    </row>
    <row r="319" spans="1:5">
      <c r="A319" s="64"/>
      <c r="B319" s="64"/>
      <c r="C319" s="24" t="s">
        <v>565</v>
      </c>
      <c r="D319" s="24"/>
    </row>
    <row r="320" spans="1:5">
      <c r="A320" s="64"/>
      <c r="B320" s="64"/>
      <c r="C320" s="24" t="s">
        <v>566</v>
      </c>
      <c r="D320" s="24"/>
    </row>
    <row r="321" spans="1:5">
      <c r="A321" s="64"/>
      <c r="B321" s="64"/>
      <c r="C321" s="24" t="s">
        <v>567</v>
      </c>
      <c r="D321" s="24"/>
    </row>
    <row r="322" spans="1:5">
      <c r="A322" s="64"/>
      <c r="B322" s="64"/>
      <c r="C322" s="24" t="s">
        <v>568</v>
      </c>
      <c r="D322" s="24"/>
    </row>
    <row r="323" spans="1:5">
      <c r="A323" s="64"/>
      <c r="B323" s="64"/>
      <c r="C323" s="24" t="s">
        <v>569</v>
      </c>
      <c r="D323" s="24"/>
    </row>
    <row r="324" spans="1:5">
      <c r="A324" s="64"/>
      <c r="B324" s="64"/>
      <c r="C324" s="24" t="s">
        <v>570</v>
      </c>
      <c r="D324" s="24"/>
    </row>
    <row r="325" spans="1:5">
      <c r="A325" s="64"/>
      <c r="B325" s="64"/>
      <c r="C325" s="24" t="s">
        <v>571</v>
      </c>
      <c r="D325" s="24"/>
    </row>
    <row r="326" spans="1:5">
      <c r="A326" s="64"/>
      <c r="B326" s="64"/>
      <c r="C326" s="24" t="s">
        <v>572</v>
      </c>
      <c r="D326" s="24"/>
    </row>
    <row r="327" spans="1:5">
      <c r="A327" s="64"/>
      <c r="B327" s="64"/>
      <c r="C327" s="24" t="s">
        <v>573</v>
      </c>
      <c r="D327" s="24"/>
    </row>
    <row r="328" spans="1:5">
      <c r="A328" s="81"/>
      <c r="B328" s="71" t="s">
        <v>574</v>
      </c>
      <c r="C328" s="57" t="s">
        <v>575</v>
      </c>
      <c r="D328" s="57"/>
      <c r="E328" t="s">
        <v>218</v>
      </c>
    </row>
    <row r="329" spans="1:5">
      <c r="A329" s="82"/>
      <c r="B329" s="72"/>
      <c r="C329" s="57" t="s">
        <v>576</v>
      </c>
      <c r="D329" s="57"/>
      <c r="E329" t="s">
        <v>218</v>
      </c>
    </row>
    <row r="330" spans="1:5">
      <c r="A330" s="82"/>
      <c r="B330" s="72"/>
      <c r="C330" s="131" t="s">
        <v>577</v>
      </c>
      <c r="D330" s="57"/>
      <c r="E330" t="s">
        <v>218</v>
      </c>
    </row>
    <row r="331" spans="1:5">
      <c r="A331" s="82"/>
      <c r="B331" s="72"/>
      <c r="C331" s="130" t="s">
        <v>578</v>
      </c>
      <c r="D331" s="57"/>
      <c r="E331" t="s">
        <v>218</v>
      </c>
    </row>
    <row r="332" spans="1:5">
      <c r="A332" s="82"/>
      <c r="B332" s="72"/>
      <c r="C332" s="130" t="s">
        <v>579</v>
      </c>
      <c r="D332" s="57"/>
      <c r="E332" t="s">
        <v>218</v>
      </c>
    </row>
    <row r="333" spans="1:5">
      <c r="A333" s="82"/>
      <c r="B333" s="72"/>
      <c r="C333" s="130" t="s">
        <v>580</v>
      </c>
      <c r="D333" s="57"/>
      <c r="E333" t="s">
        <v>218</v>
      </c>
    </row>
    <row r="334" spans="1:5">
      <c r="A334" s="82"/>
      <c r="B334" s="72"/>
      <c r="C334" s="130" t="s">
        <v>581</v>
      </c>
      <c r="D334" s="57"/>
      <c r="E334" t="s">
        <v>218</v>
      </c>
    </row>
    <row r="335" spans="1:5">
      <c r="A335" s="82"/>
      <c r="B335" s="72"/>
      <c r="C335" s="57" t="s">
        <v>582</v>
      </c>
      <c r="D335" s="57"/>
      <c r="E335" t="s">
        <v>218</v>
      </c>
    </row>
    <row r="336" spans="1:5">
      <c r="A336" s="82"/>
      <c r="B336" s="72"/>
      <c r="C336" s="57" t="s">
        <v>583</v>
      </c>
      <c r="D336" s="57"/>
      <c r="E336" t="s">
        <v>218</v>
      </c>
    </row>
    <row r="337" spans="1:5">
      <c r="A337" s="82"/>
      <c r="B337" s="72"/>
      <c r="C337" s="57" t="s">
        <v>584</v>
      </c>
      <c r="D337" s="57"/>
      <c r="E337" t="s">
        <v>218</v>
      </c>
    </row>
    <row r="338" spans="1:5">
      <c r="A338" s="82"/>
      <c r="B338" s="72"/>
      <c r="C338" s="57" t="s">
        <v>585</v>
      </c>
      <c r="D338" s="57"/>
      <c r="E338" t="s">
        <v>218</v>
      </c>
    </row>
    <row r="339" spans="1:5">
      <c r="A339" s="82"/>
      <c r="B339" s="72"/>
      <c r="C339" s="57" t="s">
        <v>586</v>
      </c>
      <c r="D339" s="57"/>
      <c r="E339" t="s">
        <v>218</v>
      </c>
    </row>
    <row r="340" spans="1:5">
      <c r="A340" s="82"/>
      <c r="B340" s="72"/>
      <c r="C340" s="57" t="s">
        <v>587</v>
      </c>
      <c r="D340" s="57"/>
      <c r="E340" t="s">
        <v>218</v>
      </c>
    </row>
    <row r="341" spans="1:5">
      <c r="A341" s="82"/>
      <c r="B341" s="72"/>
      <c r="C341" s="57" t="s">
        <v>588</v>
      </c>
      <c r="D341" s="57"/>
      <c r="E341" t="s">
        <v>218</v>
      </c>
    </row>
    <row r="342" spans="1:5">
      <c r="A342" s="82"/>
      <c r="B342" s="72"/>
      <c r="C342" s="57" t="s">
        <v>589</v>
      </c>
      <c r="D342" s="57"/>
      <c r="E342" t="s">
        <v>218</v>
      </c>
    </row>
    <row r="343" spans="1:5">
      <c r="A343" s="82"/>
      <c r="B343" s="72"/>
      <c r="C343" s="57" t="s">
        <v>590</v>
      </c>
      <c r="D343" s="57"/>
      <c r="E343" t="s">
        <v>218</v>
      </c>
    </row>
    <row r="344" spans="1:5">
      <c r="A344" s="82"/>
      <c r="B344" s="72"/>
      <c r="C344" s="57" t="s">
        <v>591</v>
      </c>
      <c r="D344" s="57"/>
      <c r="E344" t="s">
        <v>218</v>
      </c>
    </row>
    <row r="345" spans="1:5">
      <c r="A345" s="82"/>
      <c r="B345" s="72"/>
      <c r="C345" s="57" t="s">
        <v>592</v>
      </c>
      <c r="D345" s="57"/>
      <c r="E345" t="s">
        <v>218</v>
      </c>
    </row>
    <row r="346" spans="1:5">
      <c r="A346" s="82"/>
      <c r="B346" s="72"/>
      <c r="C346" s="57" t="s">
        <v>593</v>
      </c>
      <c r="D346" s="57"/>
      <c r="E346" t="s">
        <v>218</v>
      </c>
    </row>
    <row r="347" spans="1:5">
      <c r="A347" s="82"/>
      <c r="B347" s="72"/>
      <c r="C347" s="57" t="s">
        <v>594</v>
      </c>
      <c r="D347" s="57"/>
      <c r="E347" t="s">
        <v>218</v>
      </c>
    </row>
    <row r="348" spans="1:5">
      <c r="A348" s="82"/>
      <c r="B348" s="72"/>
      <c r="C348" s="57" t="s">
        <v>595</v>
      </c>
      <c r="D348" s="57"/>
      <c r="E348" t="s">
        <v>218</v>
      </c>
    </row>
    <row r="349" spans="1:5">
      <c r="A349" s="82"/>
      <c r="B349" s="72"/>
      <c r="C349" s="57" t="s">
        <v>596</v>
      </c>
      <c r="D349" s="57"/>
      <c r="E349" t="s">
        <v>218</v>
      </c>
    </row>
    <row r="350" spans="1:5">
      <c r="A350" s="82"/>
      <c r="B350" s="72"/>
      <c r="C350" s="57" t="s">
        <v>597</v>
      </c>
      <c r="D350" s="57"/>
      <c r="E350" t="s">
        <v>218</v>
      </c>
    </row>
    <row r="351" spans="1:5">
      <c r="A351" s="82"/>
      <c r="B351" s="72"/>
      <c r="C351" s="57" t="s">
        <v>598</v>
      </c>
      <c r="D351" s="57"/>
      <c r="E351" t="s">
        <v>218</v>
      </c>
    </row>
    <row r="352" spans="1:5">
      <c r="A352" s="82"/>
      <c r="B352" s="72"/>
      <c r="C352" s="57" t="s">
        <v>599</v>
      </c>
      <c r="D352" s="57"/>
      <c r="E352" t="s">
        <v>218</v>
      </c>
    </row>
    <row r="353" spans="1:5">
      <c r="A353" s="82"/>
      <c r="B353" s="72"/>
      <c r="C353" s="57" t="s">
        <v>600</v>
      </c>
      <c r="D353" s="57"/>
      <c r="E353" t="s">
        <v>218</v>
      </c>
    </row>
    <row r="354" spans="1:5">
      <c r="A354" s="82"/>
      <c r="B354" s="72"/>
      <c r="C354" s="57" t="s">
        <v>601</v>
      </c>
      <c r="D354" s="57"/>
      <c r="E354" t="s">
        <v>218</v>
      </c>
    </row>
    <row r="355" spans="1:5">
      <c r="A355" s="82"/>
      <c r="B355" s="72"/>
      <c r="C355" s="57" t="s">
        <v>602</v>
      </c>
      <c r="D355" s="57"/>
      <c r="E355" t="s">
        <v>218</v>
      </c>
    </row>
    <row r="356" spans="1:5">
      <c r="A356" s="82"/>
      <c r="B356" s="72"/>
      <c r="C356" s="57" t="s">
        <v>603</v>
      </c>
      <c r="D356" s="57"/>
      <c r="E356" t="s">
        <v>218</v>
      </c>
    </row>
    <row r="357" spans="1:5">
      <c r="A357" s="82"/>
      <c r="B357" s="72"/>
      <c r="C357" s="57" t="s">
        <v>604</v>
      </c>
      <c r="D357" s="57"/>
      <c r="E357" t="s">
        <v>218</v>
      </c>
    </row>
    <row r="358" spans="1:5">
      <c r="A358" s="82"/>
      <c r="B358" s="72"/>
      <c r="C358" s="57" t="s">
        <v>605</v>
      </c>
      <c r="D358" s="57"/>
      <c r="E358" t="s">
        <v>218</v>
      </c>
    </row>
    <row r="359" spans="1:5">
      <c r="A359" s="82"/>
      <c r="B359" s="72"/>
      <c r="C359" s="57" t="s">
        <v>606</v>
      </c>
      <c r="D359" s="57"/>
      <c r="E359" t="s">
        <v>218</v>
      </c>
    </row>
    <row r="360" spans="1:5">
      <c r="A360" s="82"/>
      <c r="B360" s="72"/>
      <c r="C360" s="57" t="s">
        <v>607</v>
      </c>
      <c r="D360" s="57"/>
      <c r="E360" t="s">
        <v>218</v>
      </c>
    </row>
    <row r="361" spans="1:5">
      <c r="A361" s="82"/>
      <c r="B361" s="72"/>
      <c r="C361" s="57" t="s">
        <v>608</v>
      </c>
      <c r="D361" s="57"/>
      <c r="E361" t="s">
        <v>218</v>
      </c>
    </row>
    <row r="362" spans="1:5">
      <c r="A362" s="82"/>
      <c r="B362" s="72"/>
      <c r="C362" s="57" t="s">
        <v>609</v>
      </c>
      <c r="D362" s="57"/>
      <c r="E362" t="s">
        <v>218</v>
      </c>
    </row>
    <row r="363" spans="1:5">
      <c r="A363" s="82"/>
      <c r="B363" s="72"/>
      <c r="C363" s="57" t="s">
        <v>610</v>
      </c>
      <c r="D363" s="57"/>
      <c r="E363" t="s">
        <v>218</v>
      </c>
    </row>
    <row r="364" spans="1:5">
      <c r="A364" s="82"/>
      <c r="B364" s="72"/>
      <c r="C364" s="57" t="s">
        <v>611</v>
      </c>
      <c r="D364" s="57"/>
      <c r="E364" t="s">
        <v>218</v>
      </c>
    </row>
    <row r="365" spans="1:5">
      <c r="A365" s="82"/>
      <c r="B365" s="72"/>
      <c r="C365" s="57" t="s">
        <v>612</v>
      </c>
      <c r="D365" s="57"/>
      <c r="E365" t="s">
        <v>218</v>
      </c>
    </row>
    <row r="366" spans="1:5">
      <c r="A366" s="82"/>
      <c r="B366" s="72"/>
      <c r="C366" s="57" t="s">
        <v>613</v>
      </c>
      <c r="D366" s="57"/>
      <c r="E366" t="s">
        <v>218</v>
      </c>
    </row>
    <row r="367" spans="1:5">
      <c r="A367" s="82"/>
      <c r="B367" s="72"/>
      <c r="C367" s="57" t="s">
        <v>614</v>
      </c>
      <c r="D367" s="57"/>
      <c r="E367" t="s">
        <v>218</v>
      </c>
    </row>
    <row r="368" spans="1:5">
      <c r="A368" s="82"/>
      <c r="B368" s="72"/>
      <c r="C368" s="57" t="s">
        <v>615</v>
      </c>
      <c r="D368" s="57"/>
      <c r="E368" t="s">
        <v>218</v>
      </c>
    </row>
    <row r="369" spans="1:5">
      <c r="A369" s="82"/>
      <c r="B369" s="72"/>
      <c r="C369" s="57" t="s">
        <v>616</v>
      </c>
      <c r="D369" s="57"/>
      <c r="E369" t="s">
        <v>218</v>
      </c>
    </row>
    <row r="370" spans="1:5">
      <c r="A370" s="82"/>
      <c r="B370" s="72"/>
      <c r="C370" s="57" t="s">
        <v>617</v>
      </c>
      <c r="D370" s="57"/>
      <c r="E370" t="s">
        <v>218</v>
      </c>
    </row>
    <row r="371" spans="1:5">
      <c r="A371" s="82"/>
      <c r="B371" s="72"/>
      <c r="C371" s="57" t="s">
        <v>618</v>
      </c>
      <c r="D371" s="57"/>
      <c r="E371" t="s">
        <v>218</v>
      </c>
    </row>
    <row r="372" spans="1:5">
      <c r="A372" s="82"/>
      <c r="B372" s="72"/>
      <c r="C372" s="57" t="s">
        <v>619</v>
      </c>
      <c r="D372" s="57"/>
      <c r="E372" t="s">
        <v>218</v>
      </c>
    </row>
    <row r="373" spans="1:5">
      <c r="A373" s="82"/>
      <c r="B373" s="72"/>
      <c r="C373" s="57" t="s">
        <v>620</v>
      </c>
      <c r="D373" s="57"/>
      <c r="E373" t="s">
        <v>218</v>
      </c>
    </row>
    <row r="374" spans="1:5">
      <c r="A374" s="82"/>
      <c r="B374" s="72"/>
      <c r="C374" s="57" t="s">
        <v>621</v>
      </c>
      <c r="D374" s="57"/>
      <c r="E374" t="s">
        <v>218</v>
      </c>
    </row>
    <row r="375" spans="1:5">
      <c r="A375" s="82"/>
      <c r="B375" s="72"/>
      <c r="C375" s="57" t="s">
        <v>622</v>
      </c>
      <c r="D375" s="57"/>
      <c r="E375" t="s">
        <v>218</v>
      </c>
    </row>
    <row r="376" spans="1:5">
      <c r="A376" s="82"/>
      <c r="B376" s="72"/>
      <c r="C376" s="57" t="s">
        <v>623</v>
      </c>
      <c r="D376" s="57"/>
      <c r="E376" t="s">
        <v>218</v>
      </c>
    </row>
    <row r="377" spans="1:5">
      <c r="A377" s="82"/>
      <c r="B377" s="72"/>
      <c r="C377" s="57" t="s">
        <v>624</v>
      </c>
      <c r="D377" s="57"/>
      <c r="E377" t="s">
        <v>218</v>
      </c>
    </row>
    <row r="378" spans="1:5">
      <c r="A378" s="82"/>
      <c r="B378" s="72"/>
      <c r="C378" s="57" t="s">
        <v>625</v>
      </c>
      <c r="D378" s="57"/>
      <c r="E378" t="s">
        <v>218</v>
      </c>
    </row>
    <row r="379" spans="1:5">
      <c r="A379" s="82"/>
      <c r="B379" s="72"/>
      <c r="C379" s="57" t="s">
        <v>626</v>
      </c>
      <c r="D379" s="57"/>
      <c r="E379" t="s">
        <v>218</v>
      </c>
    </row>
    <row r="380" spans="1:5">
      <c r="A380" s="82"/>
      <c r="B380" s="72"/>
      <c r="C380" s="57" t="s">
        <v>627</v>
      </c>
      <c r="D380" s="57"/>
      <c r="E380" t="s">
        <v>218</v>
      </c>
    </row>
    <row r="381" spans="1:5">
      <c r="A381" s="82"/>
      <c r="B381" s="72"/>
      <c r="C381" s="57" t="s">
        <v>628</v>
      </c>
      <c r="D381" s="57"/>
      <c r="E381" t="s">
        <v>218</v>
      </c>
    </row>
    <row r="382" spans="1:5">
      <c r="A382" s="82"/>
      <c r="B382" s="72"/>
      <c r="C382" s="57" t="s">
        <v>629</v>
      </c>
      <c r="D382" s="57"/>
      <c r="E382" t="s">
        <v>218</v>
      </c>
    </row>
    <row r="383" spans="1:5">
      <c r="A383" s="82"/>
      <c r="B383" s="72"/>
      <c r="C383" s="57" t="s">
        <v>630</v>
      </c>
      <c r="D383" s="57"/>
      <c r="E383" t="s">
        <v>218</v>
      </c>
    </row>
    <row r="384" spans="1:5">
      <c r="A384" s="82"/>
      <c r="B384" s="72"/>
      <c r="C384" s="57" t="s">
        <v>631</v>
      </c>
      <c r="D384" s="57"/>
      <c r="E384" t="s">
        <v>218</v>
      </c>
    </row>
    <row r="385" spans="1:5">
      <c r="A385" s="82"/>
      <c r="B385" s="72"/>
      <c r="C385" s="57" t="s">
        <v>632</v>
      </c>
      <c r="D385" s="57"/>
      <c r="E385" t="s">
        <v>218</v>
      </c>
    </row>
    <row r="386" spans="1:5">
      <c r="A386" s="82"/>
      <c r="B386" s="72"/>
      <c r="C386" s="57" t="s">
        <v>633</v>
      </c>
      <c r="D386" s="57"/>
      <c r="E386" t="s">
        <v>218</v>
      </c>
    </row>
    <row r="387" spans="1:5">
      <c r="A387" s="82"/>
      <c r="B387" s="72"/>
      <c r="C387" s="57" t="s">
        <v>634</v>
      </c>
      <c r="D387" s="57"/>
      <c r="E387" t="s">
        <v>218</v>
      </c>
    </row>
    <row r="388" spans="1:5">
      <c r="A388" s="82"/>
      <c r="B388" s="72"/>
      <c r="C388" s="57" t="s">
        <v>635</v>
      </c>
      <c r="D388" s="57"/>
      <c r="E388" t="s">
        <v>218</v>
      </c>
    </row>
    <row r="389" spans="1:5">
      <c r="A389" s="82"/>
      <c r="B389" s="72"/>
      <c r="C389" s="57" t="s">
        <v>636</v>
      </c>
      <c r="D389" s="57"/>
      <c r="E389" t="s">
        <v>218</v>
      </c>
    </row>
    <row r="390" spans="1:5">
      <c r="A390" s="82"/>
      <c r="B390" s="72"/>
      <c r="C390" s="57" t="s">
        <v>637</v>
      </c>
      <c r="D390" s="57"/>
      <c r="E390" t="s">
        <v>218</v>
      </c>
    </row>
    <row r="391" spans="1:5">
      <c r="A391" s="82"/>
      <c r="B391" s="72"/>
      <c r="C391" s="57" t="s">
        <v>638</v>
      </c>
      <c r="D391" s="57"/>
      <c r="E391" t="s">
        <v>218</v>
      </c>
    </row>
    <row r="392" spans="1:5">
      <c r="A392" s="82"/>
      <c r="B392" s="72"/>
      <c r="C392" s="57" t="s">
        <v>639</v>
      </c>
      <c r="D392" s="57"/>
      <c r="E392" t="s">
        <v>218</v>
      </c>
    </row>
    <row r="393" spans="1:5">
      <c r="A393" s="82"/>
      <c r="B393" s="72"/>
      <c r="C393" s="57" t="s">
        <v>640</v>
      </c>
      <c r="D393" s="57"/>
      <c r="E393" t="s">
        <v>218</v>
      </c>
    </row>
    <row r="394" spans="1:5">
      <c r="A394" s="82"/>
      <c r="B394" s="72"/>
      <c r="C394" s="57" t="s">
        <v>641</v>
      </c>
      <c r="D394" s="57"/>
      <c r="E394" t="s">
        <v>218</v>
      </c>
    </row>
    <row r="395" spans="1:5">
      <c r="A395" s="82"/>
      <c r="B395" s="72"/>
      <c r="C395" s="57" t="s">
        <v>642</v>
      </c>
      <c r="D395" s="57"/>
      <c r="E395" t="s">
        <v>218</v>
      </c>
    </row>
    <row r="396" spans="1:5">
      <c r="A396" s="82"/>
      <c r="B396" s="72"/>
      <c r="C396" s="57" t="s">
        <v>643</v>
      </c>
      <c r="D396" s="57"/>
      <c r="E396" t="s">
        <v>218</v>
      </c>
    </row>
    <row r="397" spans="1:5">
      <c r="A397" s="82"/>
      <c r="B397" s="72"/>
      <c r="C397" s="57" t="s">
        <v>644</v>
      </c>
      <c r="D397" s="57"/>
      <c r="E397" t="s">
        <v>218</v>
      </c>
    </row>
    <row r="398" spans="1:5">
      <c r="A398" s="82"/>
      <c r="B398" s="72"/>
      <c r="C398" s="57" t="s">
        <v>645</v>
      </c>
      <c r="D398" s="57"/>
      <c r="E398" t="s">
        <v>218</v>
      </c>
    </row>
    <row r="399" spans="1:5">
      <c r="A399" s="82"/>
      <c r="B399" s="72"/>
      <c r="C399" s="57" t="s">
        <v>646</v>
      </c>
      <c r="D399" s="57"/>
      <c r="E399" t="s">
        <v>218</v>
      </c>
    </row>
    <row r="400" spans="1:5">
      <c r="A400" s="82"/>
      <c r="B400" s="72"/>
      <c r="C400" s="57" t="s">
        <v>647</v>
      </c>
      <c r="D400" s="57"/>
      <c r="E400" t="s">
        <v>218</v>
      </c>
    </row>
    <row r="401" spans="1:5">
      <c r="A401" s="82"/>
      <c r="B401" s="72"/>
      <c r="C401" s="57" t="s">
        <v>648</v>
      </c>
      <c r="D401" s="57"/>
      <c r="E401" t="s">
        <v>218</v>
      </c>
    </row>
    <row r="402" spans="1:5">
      <c r="A402" s="82"/>
      <c r="B402" s="72"/>
      <c r="C402" s="57" t="s">
        <v>649</v>
      </c>
      <c r="D402" s="57"/>
      <c r="E402" t="s">
        <v>218</v>
      </c>
    </row>
    <row r="403" spans="1:5">
      <c r="A403" s="82"/>
      <c r="B403" s="72"/>
      <c r="C403" s="57" t="s">
        <v>650</v>
      </c>
      <c r="D403" s="57"/>
      <c r="E403" t="s">
        <v>218</v>
      </c>
    </row>
    <row r="404" spans="1:5">
      <c r="A404" s="82"/>
      <c r="B404" s="72"/>
      <c r="C404" s="57" t="s">
        <v>651</v>
      </c>
      <c r="D404" s="57"/>
      <c r="E404" t="s">
        <v>218</v>
      </c>
    </row>
    <row r="405" spans="1:5">
      <c r="A405" s="82"/>
      <c r="B405" s="72"/>
      <c r="C405" s="57" t="s">
        <v>652</v>
      </c>
      <c r="D405" s="57"/>
      <c r="E405" t="s">
        <v>218</v>
      </c>
    </row>
    <row r="406" spans="1:5">
      <c r="A406" s="82"/>
      <c r="B406" s="72"/>
      <c r="C406" s="57" t="s">
        <v>653</v>
      </c>
      <c r="D406" s="57"/>
      <c r="E406" t="s">
        <v>218</v>
      </c>
    </row>
    <row r="407" spans="1:5">
      <c r="A407" s="82"/>
      <c r="B407" s="72"/>
      <c r="C407" s="57" t="s">
        <v>654</v>
      </c>
      <c r="D407" s="57"/>
      <c r="E407" t="s">
        <v>218</v>
      </c>
    </row>
    <row r="408" spans="1:5">
      <c r="A408" s="82"/>
      <c r="B408" s="72"/>
      <c r="C408" s="57" t="s">
        <v>655</v>
      </c>
      <c r="D408" s="57"/>
      <c r="E408" t="s">
        <v>218</v>
      </c>
    </row>
    <row r="409" spans="1:5">
      <c r="A409" s="82"/>
      <c r="B409" s="72"/>
      <c r="C409" s="57" t="s">
        <v>656</v>
      </c>
      <c r="D409" s="57"/>
      <c r="E409" t="s">
        <v>218</v>
      </c>
    </row>
    <row r="410" spans="1:5">
      <c r="A410" s="82"/>
      <c r="B410" s="72"/>
      <c r="C410" s="57" t="s">
        <v>657</v>
      </c>
      <c r="D410" s="57"/>
      <c r="E410" t="s">
        <v>218</v>
      </c>
    </row>
    <row r="411" spans="1:5">
      <c r="A411" s="82"/>
      <c r="B411" s="72"/>
      <c r="C411" s="57" t="s">
        <v>658</v>
      </c>
      <c r="D411" s="57"/>
      <c r="E411" t="s">
        <v>218</v>
      </c>
    </row>
    <row r="412" spans="1:5">
      <c r="A412" s="82"/>
      <c r="B412" s="72"/>
      <c r="C412" s="57" t="s">
        <v>659</v>
      </c>
      <c r="D412" s="57"/>
      <c r="E412" t="s">
        <v>218</v>
      </c>
    </row>
    <row r="413" spans="1:5">
      <c r="A413" s="82"/>
      <c r="B413" s="72"/>
      <c r="C413" s="57" t="s">
        <v>660</v>
      </c>
      <c r="D413" s="57"/>
      <c r="E413" t="s">
        <v>218</v>
      </c>
    </row>
    <row r="414" spans="1:5">
      <c r="A414" s="82"/>
      <c r="B414" s="72"/>
      <c r="C414" s="57" t="s">
        <v>661</v>
      </c>
      <c r="D414" s="57"/>
      <c r="E414" t="s">
        <v>218</v>
      </c>
    </row>
    <row r="415" spans="1:5">
      <c r="A415" s="82"/>
      <c r="B415" s="72"/>
      <c r="C415" s="57" t="s">
        <v>662</v>
      </c>
      <c r="D415" s="57"/>
      <c r="E415" t="s">
        <v>218</v>
      </c>
    </row>
    <row r="416" spans="1:5">
      <c r="A416" s="82"/>
      <c r="B416" s="72"/>
      <c r="C416" s="57" t="s">
        <v>663</v>
      </c>
      <c r="D416" s="57"/>
      <c r="E416" t="s">
        <v>218</v>
      </c>
    </row>
    <row r="417" spans="1:5">
      <c r="A417" s="82"/>
      <c r="B417" s="72"/>
      <c r="C417" s="57" t="s">
        <v>664</v>
      </c>
      <c r="D417" s="57"/>
      <c r="E417" t="s">
        <v>218</v>
      </c>
    </row>
    <row r="418" spans="1:5">
      <c r="A418" s="82"/>
      <c r="B418" s="72"/>
      <c r="C418" s="57" t="s">
        <v>665</v>
      </c>
      <c r="D418" s="57"/>
      <c r="E418" t="s">
        <v>218</v>
      </c>
    </row>
    <row r="419" spans="1:5">
      <c r="A419" s="82"/>
      <c r="B419" s="72"/>
      <c r="C419" s="57" t="s">
        <v>666</v>
      </c>
      <c r="D419" s="57"/>
      <c r="E419" t="s">
        <v>218</v>
      </c>
    </row>
    <row r="420" spans="1:5">
      <c r="A420" s="82"/>
      <c r="B420" s="72"/>
      <c r="C420" s="57" t="s">
        <v>667</v>
      </c>
      <c r="D420" s="57"/>
      <c r="E420" t="s">
        <v>218</v>
      </c>
    </row>
    <row r="421" spans="1:5">
      <c r="A421" s="82"/>
      <c r="B421" s="72"/>
      <c r="C421" s="57" t="s">
        <v>668</v>
      </c>
      <c r="D421" s="57"/>
      <c r="E421" t="s">
        <v>218</v>
      </c>
    </row>
    <row r="422" spans="1:5">
      <c r="A422" s="82"/>
      <c r="B422" s="72"/>
      <c r="C422" s="57" t="s">
        <v>669</v>
      </c>
      <c r="D422" s="57"/>
      <c r="E422" t="s">
        <v>218</v>
      </c>
    </row>
    <row r="423" spans="1:5">
      <c r="A423" s="82"/>
      <c r="B423" s="72"/>
      <c r="C423" s="57" t="s">
        <v>670</v>
      </c>
      <c r="D423" s="57"/>
      <c r="E423" t="s">
        <v>218</v>
      </c>
    </row>
    <row r="424" spans="1:5">
      <c r="A424" s="82"/>
      <c r="B424" s="72"/>
      <c r="C424" s="57" t="s">
        <v>671</v>
      </c>
      <c r="D424" s="57"/>
      <c r="E424" t="s">
        <v>218</v>
      </c>
    </row>
    <row r="425" spans="1:5">
      <c r="A425" s="82"/>
      <c r="B425" s="72"/>
      <c r="C425" s="57" t="s">
        <v>672</v>
      </c>
      <c r="D425" s="57"/>
      <c r="E425" t="s">
        <v>218</v>
      </c>
    </row>
    <row r="426" spans="1:5">
      <c r="A426" s="82"/>
      <c r="B426" s="72"/>
      <c r="C426" s="57" t="s">
        <v>673</v>
      </c>
      <c r="D426" s="57"/>
      <c r="E426" t="s">
        <v>218</v>
      </c>
    </row>
    <row r="427" spans="1:5">
      <c r="A427" s="82"/>
      <c r="B427" s="72"/>
      <c r="C427" s="57" t="s">
        <v>674</v>
      </c>
      <c r="D427" s="57"/>
      <c r="E427" t="s">
        <v>218</v>
      </c>
    </row>
    <row r="428" spans="1:5">
      <c r="A428" s="82"/>
      <c r="B428" s="72"/>
      <c r="C428" s="57" t="s">
        <v>675</v>
      </c>
      <c r="D428" s="57"/>
      <c r="E428" t="s">
        <v>218</v>
      </c>
    </row>
    <row r="429" spans="1:5">
      <c r="A429" s="82"/>
      <c r="B429" s="72"/>
      <c r="C429" s="57" t="s">
        <v>676</v>
      </c>
      <c r="D429" s="57"/>
      <c r="E429" t="s">
        <v>218</v>
      </c>
    </row>
    <row r="430" spans="1:5">
      <c r="A430" s="82"/>
      <c r="B430" s="72"/>
      <c r="C430" s="57" t="s">
        <v>677</v>
      </c>
      <c r="D430" s="57"/>
      <c r="E430" t="s">
        <v>218</v>
      </c>
    </row>
    <row r="431" spans="1:5">
      <c r="A431" s="82"/>
      <c r="B431" s="72"/>
      <c r="C431" s="57" t="s">
        <v>678</v>
      </c>
      <c r="D431" s="57"/>
      <c r="E431" t="s">
        <v>218</v>
      </c>
    </row>
    <row r="432" spans="1:5">
      <c r="A432" s="82"/>
      <c r="B432" s="72"/>
      <c r="C432" s="57" t="s">
        <v>679</v>
      </c>
      <c r="D432" s="57"/>
      <c r="E432" t="s">
        <v>218</v>
      </c>
    </row>
    <row r="433" spans="1:5">
      <c r="A433" s="82"/>
      <c r="B433" s="72"/>
      <c r="C433" s="57" t="s">
        <v>680</v>
      </c>
      <c r="D433" s="57"/>
      <c r="E433" t="s">
        <v>218</v>
      </c>
    </row>
    <row r="434" spans="1:5">
      <c r="A434" s="82"/>
      <c r="B434" s="72"/>
      <c r="C434" s="57" t="s">
        <v>681</v>
      </c>
      <c r="D434" s="57"/>
      <c r="E434" t="s">
        <v>218</v>
      </c>
    </row>
    <row r="435" spans="1:5">
      <c r="A435" s="82"/>
      <c r="B435" s="72"/>
      <c r="C435" s="57" t="s">
        <v>682</v>
      </c>
      <c r="D435" s="57"/>
      <c r="E435" t="s">
        <v>218</v>
      </c>
    </row>
    <row r="436" spans="1:5">
      <c r="A436" s="82"/>
      <c r="B436" s="72"/>
      <c r="C436" s="57" t="s">
        <v>683</v>
      </c>
      <c r="D436" s="57"/>
      <c r="E436" t="s">
        <v>218</v>
      </c>
    </row>
    <row r="437" spans="1:5">
      <c r="A437" s="82"/>
      <c r="B437" s="72"/>
      <c r="C437" s="57" t="s">
        <v>684</v>
      </c>
      <c r="D437" s="57"/>
      <c r="E437" t="s">
        <v>218</v>
      </c>
    </row>
    <row r="438" spans="1:5">
      <c r="A438" s="82"/>
      <c r="B438" s="72"/>
      <c r="C438" s="57" t="s">
        <v>685</v>
      </c>
      <c r="D438" s="57"/>
      <c r="E438" t="s">
        <v>218</v>
      </c>
    </row>
    <row r="439" spans="1:5">
      <c r="A439" s="82"/>
      <c r="B439" s="72"/>
      <c r="C439" s="57" t="s">
        <v>686</v>
      </c>
      <c r="D439" s="57"/>
      <c r="E439" t="s">
        <v>218</v>
      </c>
    </row>
    <row r="440" spans="1:5">
      <c r="A440" s="82"/>
      <c r="B440" s="72"/>
      <c r="C440" s="57" t="s">
        <v>687</v>
      </c>
      <c r="D440" s="57"/>
      <c r="E440" t="s">
        <v>218</v>
      </c>
    </row>
    <row r="441" spans="1:5">
      <c r="A441" s="82"/>
      <c r="B441" s="72"/>
      <c r="C441" s="57" t="s">
        <v>688</v>
      </c>
      <c r="D441" s="57"/>
      <c r="E441" t="s">
        <v>218</v>
      </c>
    </row>
    <row r="442" spans="1:5">
      <c r="A442" s="82"/>
      <c r="B442" s="72"/>
      <c r="C442" s="57" t="s">
        <v>689</v>
      </c>
      <c r="D442" s="57"/>
      <c r="E442" t="s">
        <v>218</v>
      </c>
    </row>
    <row r="443" spans="1:5">
      <c r="A443" s="82"/>
      <c r="B443" s="72"/>
      <c r="C443" s="57" t="s">
        <v>690</v>
      </c>
      <c r="D443" s="57"/>
      <c r="E443" t="s">
        <v>218</v>
      </c>
    </row>
    <row r="444" spans="1:5">
      <c r="A444" s="82"/>
      <c r="B444" s="72"/>
      <c r="C444" s="57" t="s">
        <v>691</v>
      </c>
      <c r="D444" s="57"/>
      <c r="E444" t="s">
        <v>218</v>
      </c>
    </row>
    <row r="445" spans="1:5">
      <c r="A445" s="82"/>
      <c r="B445" s="72"/>
      <c r="C445" s="57" t="s">
        <v>692</v>
      </c>
      <c r="D445" s="57"/>
      <c r="E445" t="s">
        <v>218</v>
      </c>
    </row>
    <row r="446" spans="1:5">
      <c r="A446" s="82"/>
      <c r="B446" s="72"/>
      <c r="C446" s="57" t="s">
        <v>693</v>
      </c>
      <c r="D446" s="57"/>
      <c r="E446" t="s">
        <v>218</v>
      </c>
    </row>
    <row r="447" spans="1:5">
      <c r="A447" s="82"/>
      <c r="B447" s="72"/>
      <c r="C447" s="57" t="s">
        <v>694</v>
      </c>
      <c r="D447" s="57"/>
      <c r="E447" t="s">
        <v>218</v>
      </c>
    </row>
    <row r="448" spans="1:5">
      <c r="A448" s="82"/>
      <c r="B448" s="72"/>
      <c r="C448" s="57" t="s">
        <v>695</v>
      </c>
      <c r="D448" s="57"/>
      <c r="E448" t="s">
        <v>218</v>
      </c>
    </row>
    <row r="449" spans="1:5">
      <c r="A449" s="82"/>
      <c r="B449" s="72"/>
      <c r="C449" s="57" t="s">
        <v>696</v>
      </c>
      <c r="D449" s="57"/>
      <c r="E449" t="s">
        <v>218</v>
      </c>
    </row>
    <row r="450" spans="1:5">
      <c r="A450" s="82"/>
      <c r="B450" s="72"/>
      <c r="C450" s="57" t="s">
        <v>697</v>
      </c>
      <c r="D450" s="57"/>
      <c r="E450" t="s">
        <v>218</v>
      </c>
    </row>
    <row r="451" spans="1:5">
      <c r="A451" s="82"/>
      <c r="B451" s="72"/>
      <c r="C451" s="57" t="s">
        <v>698</v>
      </c>
      <c r="D451" s="57"/>
      <c r="E451" t="s">
        <v>218</v>
      </c>
    </row>
    <row r="452" spans="1:5">
      <c r="A452" s="82"/>
      <c r="B452" s="72"/>
      <c r="C452" s="57" t="s">
        <v>699</v>
      </c>
      <c r="D452" s="57"/>
      <c r="E452" t="s">
        <v>218</v>
      </c>
    </row>
    <row r="453" spans="1:5">
      <c r="A453" s="82"/>
      <c r="B453" s="72"/>
      <c r="C453" s="57" t="s">
        <v>700</v>
      </c>
      <c r="D453" s="57"/>
      <c r="E453" t="s">
        <v>218</v>
      </c>
    </row>
    <row r="454" spans="1:5">
      <c r="A454" s="82"/>
      <c r="B454" s="72"/>
      <c r="C454" s="57" t="s">
        <v>701</v>
      </c>
      <c r="D454" s="57"/>
      <c r="E454" t="s">
        <v>218</v>
      </c>
    </row>
    <row r="455" spans="1:5">
      <c r="A455" s="82"/>
      <c r="B455" s="72"/>
      <c r="C455" s="57" t="s">
        <v>702</v>
      </c>
      <c r="D455" s="57"/>
      <c r="E455" t="s">
        <v>218</v>
      </c>
    </row>
    <row r="456" spans="1:5">
      <c r="A456" s="82"/>
      <c r="B456" s="72"/>
      <c r="C456" s="57" t="s">
        <v>703</v>
      </c>
      <c r="D456" s="57"/>
      <c r="E456" t="s">
        <v>218</v>
      </c>
    </row>
    <row r="457" spans="1:5">
      <c r="A457" s="82"/>
      <c r="B457" s="72"/>
      <c r="C457" s="57" t="s">
        <v>704</v>
      </c>
      <c r="D457" s="57"/>
      <c r="E457" t="s">
        <v>218</v>
      </c>
    </row>
    <row r="458" spans="1:5">
      <c r="A458" s="82"/>
      <c r="B458" s="72"/>
      <c r="C458" s="57" t="s">
        <v>705</v>
      </c>
      <c r="D458" s="57"/>
      <c r="E458" t="s">
        <v>218</v>
      </c>
    </row>
    <row r="459" spans="1:5">
      <c r="A459" s="82"/>
      <c r="B459" s="72"/>
      <c r="C459" s="57" t="s">
        <v>706</v>
      </c>
      <c r="D459" s="57"/>
      <c r="E459" t="s">
        <v>218</v>
      </c>
    </row>
    <row r="460" spans="1:5">
      <c r="A460" s="82"/>
      <c r="B460" s="72"/>
      <c r="C460" s="57" t="s">
        <v>707</v>
      </c>
      <c r="D460" s="57"/>
      <c r="E460" t="s">
        <v>218</v>
      </c>
    </row>
    <row r="461" spans="1:5">
      <c r="A461" s="82"/>
      <c r="B461" s="72"/>
      <c r="C461" s="57" t="s">
        <v>708</v>
      </c>
      <c r="D461" s="57"/>
      <c r="E461" t="s">
        <v>218</v>
      </c>
    </row>
    <row r="462" spans="1:5">
      <c r="A462" s="82"/>
      <c r="B462" s="72"/>
      <c r="C462" s="57" t="s">
        <v>709</v>
      </c>
      <c r="D462" s="57"/>
      <c r="E462" t="s">
        <v>218</v>
      </c>
    </row>
    <row r="463" spans="1:5">
      <c r="A463" s="82"/>
      <c r="B463" s="72"/>
      <c r="C463" s="57" t="s">
        <v>710</v>
      </c>
      <c r="D463" s="57"/>
      <c r="E463" t="s">
        <v>218</v>
      </c>
    </row>
    <row r="464" spans="1:5">
      <c r="A464" s="82"/>
      <c r="B464" s="72"/>
      <c r="C464" s="57" t="s">
        <v>711</v>
      </c>
      <c r="D464" s="57"/>
      <c r="E464" t="s">
        <v>218</v>
      </c>
    </row>
    <row r="465" spans="1:5">
      <c r="A465" s="82"/>
      <c r="B465" s="72"/>
      <c r="C465" s="57" t="s">
        <v>712</v>
      </c>
      <c r="D465" s="57"/>
      <c r="E465" t="s">
        <v>218</v>
      </c>
    </row>
    <row r="466" spans="1:5">
      <c r="A466" s="82"/>
      <c r="B466" s="72"/>
      <c r="C466" s="57" t="s">
        <v>713</v>
      </c>
      <c r="D466" s="57"/>
      <c r="E466" t="s">
        <v>218</v>
      </c>
    </row>
    <row r="467" spans="1:5">
      <c r="A467" s="82"/>
      <c r="B467" s="72"/>
      <c r="C467" s="57" t="s">
        <v>714</v>
      </c>
      <c r="D467" s="57"/>
      <c r="E467" t="s">
        <v>218</v>
      </c>
    </row>
    <row r="468" spans="1:5">
      <c r="A468" s="82"/>
      <c r="B468" s="72"/>
      <c r="C468" s="57" t="s">
        <v>715</v>
      </c>
      <c r="D468" s="57"/>
      <c r="E468" t="s">
        <v>218</v>
      </c>
    </row>
    <row r="469" spans="1:5">
      <c r="A469" s="82"/>
      <c r="B469" s="72"/>
      <c r="C469" s="57" t="s">
        <v>716</v>
      </c>
      <c r="D469" s="57"/>
      <c r="E469" t="s">
        <v>218</v>
      </c>
    </row>
    <row r="470" spans="1:5">
      <c r="A470" s="82"/>
      <c r="B470" s="72"/>
      <c r="C470" s="57" t="s">
        <v>717</v>
      </c>
      <c r="D470" s="57"/>
      <c r="E470" t="s">
        <v>218</v>
      </c>
    </row>
    <row r="471" spans="1:5">
      <c r="A471" s="82"/>
      <c r="B471" s="72"/>
      <c r="C471" s="57" t="s">
        <v>718</v>
      </c>
      <c r="D471" s="57"/>
      <c r="E471" t="s">
        <v>218</v>
      </c>
    </row>
    <row r="472" spans="1:5">
      <c r="A472" s="82"/>
      <c r="B472" s="72"/>
      <c r="C472" s="57" t="s">
        <v>719</v>
      </c>
      <c r="D472" s="57"/>
      <c r="E472" t="s">
        <v>218</v>
      </c>
    </row>
    <row r="473" spans="1:5">
      <c r="A473" s="82"/>
      <c r="B473" s="72"/>
      <c r="C473" s="57" t="s">
        <v>720</v>
      </c>
      <c r="D473" s="57"/>
      <c r="E473" t="s">
        <v>218</v>
      </c>
    </row>
    <row r="474" spans="1:5">
      <c r="A474" s="82"/>
      <c r="B474" s="72"/>
      <c r="C474" s="57" t="s">
        <v>721</v>
      </c>
      <c r="D474" s="57"/>
      <c r="E474" t="s">
        <v>218</v>
      </c>
    </row>
    <row r="475" spans="1:5">
      <c r="A475" s="82"/>
      <c r="B475" s="72"/>
      <c r="C475" s="57" t="s">
        <v>722</v>
      </c>
      <c r="D475" s="57"/>
      <c r="E475" t="s">
        <v>218</v>
      </c>
    </row>
    <row r="476" spans="1:5">
      <c r="A476" s="82"/>
      <c r="B476" s="72"/>
      <c r="C476" s="57" t="s">
        <v>723</v>
      </c>
      <c r="D476" s="57"/>
      <c r="E476" t="s">
        <v>218</v>
      </c>
    </row>
    <row r="477" spans="1:5">
      <c r="A477" s="82"/>
      <c r="B477" s="72"/>
      <c r="C477" s="57" t="s">
        <v>724</v>
      </c>
      <c r="D477" s="57"/>
      <c r="E477" t="s">
        <v>218</v>
      </c>
    </row>
    <row r="478" spans="1:5">
      <c r="A478" s="82"/>
      <c r="B478" s="72"/>
      <c r="C478" s="57" t="s">
        <v>725</v>
      </c>
      <c r="D478" s="57"/>
      <c r="E478" t="s">
        <v>218</v>
      </c>
    </row>
    <row r="479" spans="1:5">
      <c r="A479" s="82"/>
      <c r="B479" s="72"/>
      <c r="C479" s="57" t="s">
        <v>726</v>
      </c>
      <c r="D479" s="57"/>
      <c r="E479" t="s">
        <v>218</v>
      </c>
    </row>
    <row r="480" spans="1:5">
      <c r="A480" s="82"/>
      <c r="B480" s="72"/>
      <c r="C480" s="57" t="s">
        <v>727</v>
      </c>
      <c r="D480" s="57"/>
      <c r="E480" t="s">
        <v>218</v>
      </c>
    </row>
    <row r="481" spans="1:5">
      <c r="A481" s="82"/>
      <c r="B481" s="72"/>
      <c r="C481" s="57" t="s">
        <v>728</v>
      </c>
      <c r="D481" s="57"/>
      <c r="E481" t="s">
        <v>218</v>
      </c>
    </row>
    <row r="482" spans="1:5">
      <c r="A482" s="82"/>
      <c r="B482" s="72"/>
      <c r="C482" s="57" t="s">
        <v>729</v>
      </c>
      <c r="D482" s="57"/>
      <c r="E482" t="s">
        <v>218</v>
      </c>
    </row>
    <row r="483" spans="1:5">
      <c r="A483" s="82"/>
      <c r="B483" s="72"/>
      <c r="C483" s="57" t="s">
        <v>730</v>
      </c>
      <c r="D483" s="57"/>
      <c r="E483" t="s">
        <v>218</v>
      </c>
    </row>
    <row r="484" spans="1:5">
      <c r="A484" s="82"/>
      <c r="B484" s="72"/>
      <c r="C484" s="57" t="s">
        <v>731</v>
      </c>
      <c r="D484" s="57"/>
      <c r="E484" t="s">
        <v>218</v>
      </c>
    </row>
    <row r="485" spans="1:5">
      <c r="A485" s="82"/>
      <c r="B485" s="72"/>
      <c r="C485" s="57" t="s">
        <v>732</v>
      </c>
      <c r="D485" s="57"/>
      <c r="E485" t="s">
        <v>218</v>
      </c>
    </row>
    <row r="486" spans="1:5">
      <c r="A486" s="82"/>
      <c r="B486" s="72"/>
      <c r="C486" s="57" t="s">
        <v>733</v>
      </c>
      <c r="D486" s="57"/>
      <c r="E486" t="s">
        <v>218</v>
      </c>
    </row>
    <row r="487" spans="1:5">
      <c r="A487" s="82"/>
      <c r="B487" s="72"/>
      <c r="C487" s="57" t="s">
        <v>734</v>
      </c>
      <c r="D487" s="57"/>
      <c r="E487" t="s">
        <v>218</v>
      </c>
    </row>
    <row r="488" spans="1:5">
      <c r="A488" s="82"/>
      <c r="B488" s="72"/>
      <c r="C488" s="57" t="s">
        <v>735</v>
      </c>
      <c r="D488" s="57"/>
      <c r="E488" t="s">
        <v>218</v>
      </c>
    </row>
    <row r="489" spans="1:5">
      <c r="A489" s="82"/>
      <c r="B489" s="72"/>
      <c r="C489" s="57" t="s">
        <v>317</v>
      </c>
      <c r="D489" s="57"/>
    </row>
    <row r="490" spans="1:5">
      <c r="A490" s="82"/>
      <c r="B490" s="72"/>
      <c r="C490" s="57" t="s">
        <v>736</v>
      </c>
      <c r="D490" s="57"/>
    </row>
    <row r="491" spans="1:5">
      <c r="A491" s="82"/>
      <c r="B491" s="72"/>
      <c r="C491" s="57" t="s">
        <v>737</v>
      </c>
      <c r="D491" s="57"/>
    </row>
    <row r="492" spans="1:5">
      <c r="A492" s="82"/>
      <c r="B492" s="72"/>
      <c r="C492" s="57" t="s">
        <v>738</v>
      </c>
      <c r="D492" s="57"/>
    </row>
    <row r="493" spans="1:5">
      <c r="A493" s="82"/>
      <c r="B493" s="72"/>
      <c r="C493" s="57" t="s">
        <v>739</v>
      </c>
      <c r="D493" s="57"/>
    </row>
    <row r="494" spans="1:5">
      <c r="A494" s="82"/>
      <c r="B494" s="72"/>
      <c r="C494" s="57" t="s">
        <v>740</v>
      </c>
      <c r="D494" s="57"/>
    </row>
    <row r="495" spans="1:5">
      <c r="A495" s="82"/>
      <c r="B495" s="72"/>
      <c r="C495" s="57" t="s">
        <v>741</v>
      </c>
      <c r="D495" s="57"/>
    </row>
    <row r="496" spans="1:5">
      <c r="A496" s="82"/>
      <c r="B496" s="72"/>
      <c r="C496" s="57" t="s">
        <v>742</v>
      </c>
      <c r="D496" s="57"/>
    </row>
    <row r="497" spans="1:4">
      <c r="A497" s="82"/>
      <c r="B497" s="72"/>
      <c r="C497" s="57" t="s">
        <v>743</v>
      </c>
      <c r="D497" s="57"/>
    </row>
    <row r="498" spans="1:4">
      <c r="A498" s="83"/>
      <c r="B498" s="73"/>
      <c r="C498" s="57" t="s">
        <v>573</v>
      </c>
      <c r="D498" s="57"/>
    </row>
    <row r="499" spans="1:4">
      <c r="A499" s="115"/>
      <c r="B499" s="119" t="s">
        <v>744</v>
      </c>
      <c r="C499" s="55" t="s">
        <v>443</v>
      </c>
      <c r="D499" s="55"/>
    </row>
    <row r="500" spans="1:4">
      <c r="A500" s="64"/>
      <c r="B500" s="119"/>
      <c r="C500" s="55" t="s">
        <v>745</v>
      </c>
      <c r="D500" s="55"/>
    </row>
    <row r="501" spans="1:4">
      <c r="A501" s="64"/>
      <c r="B501" s="119"/>
      <c r="C501" s="55" t="s">
        <v>746</v>
      </c>
      <c r="D501" s="55"/>
    </row>
    <row r="502" spans="1:4">
      <c r="A502" s="64"/>
      <c r="B502" s="119"/>
      <c r="C502" s="55" t="s">
        <v>747</v>
      </c>
      <c r="D502" s="55"/>
    </row>
    <row r="503" spans="1:4">
      <c r="A503" s="64"/>
      <c r="B503" s="119"/>
      <c r="C503" s="55" t="s">
        <v>748</v>
      </c>
      <c r="D503" s="55"/>
    </row>
    <row r="504" spans="1:4">
      <c r="A504" s="64"/>
      <c r="B504" s="119"/>
      <c r="C504" s="55" t="s">
        <v>749</v>
      </c>
      <c r="D504" s="55"/>
    </row>
    <row r="505" spans="1:4">
      <c r="A505" s="64"/>
      <c r="B505" s="119"/>
      <c r="C505" s="55" t="s">
        <v>750</v>
      </c>
      <c r="D505" s="55"/>
    </row>
    <row r="506" spans="1:4">
      <c r="A506" s="64"/>
      <c r="B506" s="119"/>
      <c r="C506" s="55" t="s">
        <v>751</v>
      </c>
      <c r="D506" s="55"/>
    </row>
    <row r="507" spans="1:4">
      <c r="A507" s="64"/>
      <c r="B507" s="119"/>
      <c r="C507" s="55" t="s">
        <v>752</v>
      </c>
      <c r="D507" s="55"/>
    </row>
    <row r="508" spans="1:4">
      <c r="A508" s="64"/>
      <c r="B508" s="119"/>
      <c r="C508" s="55" t="s">
        <v>753</v>
      </c>
      <c r="D508" s="55"/>
    </row>
    <row r="509" spans="1:4">
      <c r="A509" s="64"/>
      <c r="B509" s="119"/>
      <c r="C509" s="55" t="s">
        <v>754</v>
      </c>
      <c r="D509" s="55"/>
    </row>
    <row r="510" spans="1:4">
      <c r="A510" s="64"/>
      <c r="B510" s="119"/>
      <c r="C510" s="55" t="s">
        <v>755</v>
      </c>
      <c r="D510" s="55"/>
    </row>
    <row r="511" spans="1:4">
      <c r="A511" s="64"/>
      <c r="B511" s="119"/>
      <c r="C511" s="55" t="s">
        <v>756</v>
      </c>
      <c r="D511" s="55"/>
    </row>
    <row r="512" spans="1:4">
      <c r="A512" s="64"/>
      <c r="B512" s="119"/>
      <c r="C512" s="55" t="s">
        <v>489</v>
      </c>
      <c r="D512" s="55"/>
    </row>
    <row r="513" spans="1:4">
      <c r="A513" s="64"/>
      <c r="B513" s="119"/>
      <c r="C513" s="55" t="s">
        <v>317</v>
      </c>
      <c r="D513" s="55"/>
    </row>
    <row r="514" spans="1:4">
      <c r="A514" s="82"/>
      <c r="B514" s="68" t="s">
        <v>757</v>
      </c>
      <c r="C514" s="57" t="s">
        <v>343</v>
      </c>
      <c r="D514" s="57"/>
    </row>
    <row r="515" spans="1:4">
      <c r="A515" s="83"/>
      <c r="B515" s="70"/>
      <c r="C515" s="57" t="s">
        <v>140</v>
      </c>
      <c r="D515" s="57"/>
    </row>
    <row r="516" spans="1:4">
      <c r="A516" s="64"/>
      <c r="B516" s="119" t="s">
        <v>758</v>
      </c>
      <c r="C516" s="55" t="s">
        <v>759</v>
      </c>
      <c r="D516" s="55"/>
    </row>
    <row r="517" spans="1:4">
      <c r="A517" s="64"/>
      <c r="B517" s="119"/>
      <c r="C517" s="55" t="s">
        <v>760</v>
      </c>
      <c r="D517" s="55"/>
    </row>
    <row r="518" spans="1:4">
      <c r="A518" s="64"/>
      <c r="B518" s="119"/>
      <c r="C518" s="55" t="s">
        <v>761</v>
      </c>
      <c r="D518" s="55"/>
    </row>
    <row r="519" spans="1:4">
      <c r="A519" s="64"/>
      <c r="B519" s="119"/>
      <c r="C519" s="55" t="s">
        <v>762</v>
      </c>
      <c r="D519" s="55"/>
    </row>
    <row r="520" spans="1:4">
      <c r="A520" s="117"/>
      <c r="B520" s="68" t="s">
        <v>763</v>
      </c>
      <c r="C520" s="57" t="s">
        <v>764</v>
      </c>
      <c r="D520" s="57"/>
    </row>
    <row r="521" spans="1:4">
      <c r="A521" s="80"/>
      <c r="B521" s="69"/>
      <c r="C521" s="57" t="s">
        <v>765</v>
      </c>
      <c r="D521" s="57"/>
    </row>
    <row r="522" spans="1:4">
      <c r="A522" s="80"/>
      <c r="B522" s="69"/>
      <c r="C522" s="57" t="s">
        <v>766</v>
      </c>
      <c r="D522" s="57"/>
    </row>
    <row r="523" spans="1:4">
      <c r="A523" s="80"/>
      <c r="B523" s="69"/>
      <c r="C523" s="57" t="s">
        <v>767</v>
      </c>
      <c r="D523" s="57"/>
    </row>
    <row r="524" spans="1:4">
      <c r="A524" s="80"/>
      <c r="B524" s="69"/>
      <c r="C524" s="57" t="s">
        <v>768</v>
      </c>
      <c r="D524" s="57"/>
    </row>
    <row r="525" spans="1:4">
      <c r="A525" s="80"/>
      <c r="B525" s="69"/>
      <c r="C525" s="57" t="s">
        <v>769</v>
      </c>
      <c r="D525" s="57"/>
    </row>
    <row r="526" spans="1:4">
      <c r="A526" s="80"/>
      <c r="B526" s="69"/>
      <c r="C526" s="57" t="s">
        <v>770</v>
      </c>
      <c r="D526" s="57"/>
    </row>
    <row r="527" spans="1:4">
      <c r="A527" s="80"/>
      <c r="B527" s="69"/>
      <c r="C527" s="57" t="s">
        <v>771</v>
      </c>
      <c r="D527" s="57"/>
    </row>
    <row r="528" spans="1:4">
      <c r="A528" s="80"/>
      <c r="B528" s="69"/>
      <c r="C528" s="57" t="s">
        <v>772</v>
      </c>
      <c r="D528" s="57"/>
    </row>
    <row r="529" spans="1:4">
      <c r="A529" s="80"/>
      <c r="B529" s="69"/>
      <c r="C529" s="57" t="s">
        <v>753</v>
      </c>
      <c r="D529" s="57"/>
    </row>
    <row r="530" spans="1:4">
      <c r="B530" s="69"/>
      <c r="C530" s="57" t="s">
        <v>773</v>
      </c>
      <c r="D530" s="57"/>
    </row>
    <row r="531" spans="1:4" ht="15">
      <c r="A531" s="80"/>
      <c r="B531" s="69"/>
      <c r="C531" s="57" t="s">
        <v>774</v>
      </c>
      <c r="D531" s="57" t="s">
        <v>775</v>
      </c>
    </row>
    <row r="532" spans="1:4" ht="15">
      <c r="A532" s="80"/>
      <c r="B532" s="69"/>
      <c r="C532" s="57" t="s">
        <v>776</v>
      </c>
      <c r="D532" s="57" t="s">
        <v>775</v>
      </c>
    </row>
    <row r="533" spans="1:4" ht="15">
      <c r="A533" s="80"/>
      <c r="B533" s="69"/>
      <c r="C533" s="57" t="s">
        <v>777</v>
      </c>
      <c r="D533" s="57" t="s">
        <v>775</v>
      </c>
    </row>
    <row r="534" spans="1:4">
      <c r="A534" s="80"/>
      <c r="B534" s="69"/>
      <c r="C534" s="57" t="s">
        <v>778</v>
      </c>
      <c r="D534" s="57"/>
    </row>
    <row r="535" spans="1:4">
      <c r="A535" s="80"/>
      <c r="B535" s="69"/>
      <c r="C535" s="57" t="s">
        <v>779</v>
      </c>
      <c r="D535" s="57"/>
    </row>
    <row r="536" spans="1:4">
      <c r="A536" s="80"/>
      <c r="B536" s="69"/>
      <c r="C536" s="57" t="s">
        <v>780</v>
      </c>
      <c r="D536" s="57"/>
    </row>
    <row r="537" spans="1:4">
      <c r="A537" s="80"/>
      <c r="B537" s="69"/>
      <c r="C537" s="57" t="s">
        <v>781</v>
      </c>
      <c r="D537" s="57"/>
    </row>
    <row r="538" spans="1:4">
      <c r="A538" s="80"/>
      <c r="B538" s="69"/>
      <c r="C538" s="57" t="s">
        <v>782</v>
      </c>
      <c r="D538" s="57"/>
    </row>
    <row r="539" spans="1:4">
      <c r="A539" s="80"/>
      <c r="B539" s="69"/>
      <c r="C539" s="57" t="s">
        <v>783</v>
      </c>
      <c r="D539" s="57"/>
    </row>
    <row r="540" spans="1:4">
      <c r="A540" s="80"/>
      <c r="B540" s="69"/>
      <c r="C540" s="57" t="s">
        <v>784</v>
      </c>
      <c r="D540" s="57"/>
    </row>
    <row r="541" spans="1:4">
      <c r="A541" s="80"/>
      <c r="B541" s="69"/>
      <c r="C541" s="57" t="s">
        <v>785</v>
      </c>
      <c r="D541" s="57"/>
    </row>
    <row r="542" spans="1:4">
      <c r="A542" s="80"/>
      <c r="B542" s="69"/>
      <c r="C542" s="57" t="s">
        <v>489</v>
      </c>
      <c r="D542" s="57"/>
    </row>
    <row r="543" spans="1:4">
      <c r="A543" s="80"/>
      <c r="B543" s="69"/>
      <c r="C543" s="57" t="s">
        <v>317</v>
      </c>
      <c r="D543" s="58"/>
    </row>
    <row r="544" spans="1:4">
      <c r="A544" s="86"/>
      <c r="B544" s="59" t="s">
        <v>786</v>
      </c>
      <c r="C544" s="55" t="s">
        <v>343</v>
      </c>
      <c r="D544" s="55"/>
    </row>
    <row r="545" spans="1:4">
      <c r="A545" s="87"/>
      <c r="B545" s="118"/>
      <c r="C545" s="55" t="s">
        <v>140</v>
      </c>
      <c r="D545" s="55"/>
    </row>
    <row r="546" spans="1:4">
      <c r="A546" s="80"/>
      <c r="B546" s="68" t="s">
        <v>787</v>
      </c>
      <c r="C546" s="57" t="s">
        <v>788</v>
      </c>
      <c r="D546" s="57"/>
    </row>
    <row r="547" spans="1:4">
      <c r="A547" s="80"/>
      <c r="B547" s="69"/>
      <c r="C547" s="57" t="s">
        <v>789</v>
      </c>
      <c r="D547" s="57"/>
    </row>
    <row r="548" spans="1:4">
      <c r="A548" s="80"/>
      <c r="B548" s="69"/>
      <c r="C548" s="57" t="s">
        <v>790</v>
      </c>
      <c r="D548" s="57"/>
    </row>
    <row r="549" spans="1:4">
      <c r="A549" s="80"/>
      <c r="B549" s="69"/>
      <c r="C549" s="57" t="s">
        <v>791</v>
      </c>
      <c r="D549" s="57"/>
    </row>
    <row r="550" spans="1:4">
      <c r="A550" s="80"/>
      <c r="B550" s="69"/>
      <c r="C550" s="57" t="s">
        <v>792</v>
      </c>
      <c r="D550" s="57"/>
    </row>
    <row r="551" spans="1:4">
      <c r="A551" s="86"/>
      <c r="B551" s="59" t="s">
        <v>793</v>
      </c>
      <c r="C551" s="55" t="s">
        <v>343</v>
      </c>
      <c r="D551" s="55"/>
    </row>
    <row r="552" spans="1:4">
      <c r="A552" s="87"/>
      <c r="B552" s="118"/>
      <c r="C552" s="55" t="s">
        <v>140</v>
      </c>
      <c r="D552" s="55"/>
    </row>
    <row r="553" spans="1:4">
      <c r="A553" s="65"/>
      <c r="B553" s="68" t="s">
        <v>794</v>
      </c>
      <c r="C553" s="57" t="s">
        <v>795</v>
      </c>
      <c r="D553" s="57"/>
    </row>
    <row r="554" spans="1:4">
      <c r="A554" s="66"/>
      <c r="B554" s="66"/>
      <c r="C554" s="57" t="s">
        <v>796</v>
      </c>
      <c r="D554" s="57"/>
    </row>
    <row r="555" spans="1:4">
      <c r="A555" s="66"/>
      <c r="B555" s="66"/>
      <c r="C555" s="57" t="s">
        <v>797</v>
      </c>
      <c r="D555" s="57"/>
    </row>
    <row r="556" spans="1:4">
      <c r="A556" s="66"/>
      <c r="B556" s="66"/>
      <c r="C556" s="57" t="s">
        <v>798</v>
      </c>
      <c r="D556" s="57"/>
    </row>
    <row r="557" spans="1:4">
      <c r="A557" s="66"/>
      <c r="B557" s="66"/>
      <c r="C557" s="57" t="s">
        <v>799</v>
      </c>
      <c r="D557" s="57"/>
    </row>
    <row r="558" spans="1:4">
      <c r="A558" s="66"/>
      <c r="B558" s="66"/>
      <c r="C558" s="57" t="s">
        <v>800</v>
      </c>
      <c r="D558" s="57"/>
    </row>
    <row r="559" spans="1:4">
      <c r="A559" s="66"/>
      <c r="B559" s="66"/>
      <c r="C559" s="57" t="s">
        <v>801</v>
      </c>
      <c r="D559" s="57"/>
    </row>
    <row r="560" spans="1:4">
      <c r="A560" s="66"/>
      <c r="B560" s="66"/>
      <c r="C560" s="57" t="s">
        <v>802</v>
      </c>
      <c r="D560" s="57"/>
    </row>
    <row r="561" spans="1:4">
      <c r="A561" s="66"/>
      <c r="B561" s="66"/>
      <c r="C561" s="57" t="s">
        <v>803</v>
      </c>
      <c r="D561" s="57"/>
    </row>
    <row r="562" spans="1:4">
      <c r="A562" s="66"/>
      <c r="B562" s="66"/>
      <c r="C562" s="57" t="s">
        <v>804</v>
      </c>
      <c r="D562" s="57"/>
    </row>
    <row r="563" spans="1:4">
      <c r="A563" s="66"/>
      <c r="B563" s="66"/>
      <c r="C563" s="57" t="s">
        <v>805</v>
      </c>
      <c r="D563" s="57"/>
    </row>
    <row r="564" spans="1:4">
      <c r="A564" s="66"/>
      <c r="B564" s="66"/>
      <c r="C564" s="57" t="s">
        <v>806</v>
      </c>
      <c r="D564" s="57"/>
    </row>
    <row r="565" spans="1:4">
      <c r="A565" s="66"/>
      <c r="B565" s="66"/>
      <c r="C565" s="57" t="s">
        <v>807</v>
      </c>
      <c r="D565" s="57"/>
    </row>
    <row r="566" spans="1:4">
      <c r="A566" s="66"/>
      <c r="B566" s="66"/>
      <c r="C566" s="57" t="s">
        <v>808</v>
      </c>
      <c r="D566" s="57"/>
    </row>
    <row r="567" spans="1:4">
      <c r="A567" s="66"/>
      <c r="B567" s="66"/>
      <c r="C567" s="57" t="s">
        <v>809</v>
      </c>
      <c r="D567" s="57"/>
    </row>
    <row r="568" spans="1:4">
      <c r="A568" s="66"/>
      <c r="B568" s="66"/>
      <c r="C568" s="57" t="s">
        <v>810</v>
      </c>
      <c r="D568" s="57"/>
    </row>
    <row r="569" spans="1:4">
      <c r="A569" s="66"/>
      <c r="B569" s="66"/>
      <c r="C569" s="57" t="s">
        <v>811</v>
      </c>
      <c r="D569" s="57"/>
    </row>
    <row r="570" spans="1:4">
      <c r="A570" s="66"/>
      <c r="B570" s="66"/>
      <c r="C570" s="57" t="s">
        <v>812</v>
      </c>
      <c r="D570" s="57"/>
    </row>
    <row r="571" spans="1:4">
      <c r="A571" s="66"/>
      <c r="B571" s="66"/>
      <c r="C571" s="57" t="s">
        <v>813</v>
      </c>
      <c r="D571" s="57"/>
    </row>
    <row r="572" spans="1:4">
      <c r="A572" s="66"/>
      <c r="B572" s="66"/>
      <c r="C572" s="57" t="s">
        <v>814</v>
      </c>
      <c r="D572" s="57"/>
    </row>
    <row r="573" spans="1:4">
      <c r="A573" s="66"/>
      <c r="B573" s="66"/>
      <c r="C573" s="57" t="s">
        <v>815</v>
      </c>
      <c r="D573" s="57"/>
    </row>
    <row r="574" spans="1:4">
      <c r="A574" s="66"/>
      <c r="B574" s="66"/>
      <c r="C574" s="57" t="s">
        <v>816</v>
      </c>
      <c r="D574" s="57"/>
    </row>
    <row r="575" spans="1:4">
      <c r="A575" s="66"/>
      <c r="B575" s="66"/>
      <c r="C575" s="57" t="s">
        <v>817</v>
      </c>
      <c r="D575" s="57"/>
    </row>
    <row r="576" spans="1:4">
      <c r="A576" s="66"/>
      <c r="B576" s="66"/>
      <c r="C576" s="57" t="s">
        <v>818</v>
      </c>
      <c r="D576" s="57"/>
    </row>
    <row r="577" spans="1:5">
      <c r="A577" s="66"/>
      <c r="B577" s="66"/>
      <c r="C577" s="57" t="s">
        <v>819</v>
      </c>
      <c r="D577" s="57"/>
    </row>
    <row r="578" spans="1:5">
      <c r="A578" s="66"/>
      <c r="B578" s="66"/>
      <c r="C578" s="57" t="s">
        <v>820</v>
      </c>
      <c r="D578" s="57"/>
    </row>
    <row r="579" spans="1:5">
      <c r="A579" s="66"/>
      <c r="B579" s="66"/>
      <c r="C579" s="57" t="s">
        <v>821</v>
      </c>
      <c r="D579" s="57"/>
    </row>
    <row r="580" spans="1:5">
      <c r="A580" s="66"/>
      <c r="B580" s="66"/>
      <c r="C580" s="57" t="s">
        <v>822</v>
      </c>
      <c r="D580" s="57"/>
      <c r="E580" t="s">
        <v>218</v>
      </c>
    </row>
    <row r="581" spans="1:5">
      <c r="A581" s="66"/>
      <c r="B581" s="66"/>
      <c r="C581" s="57" t="s">
        <v>823</v>
      </c>
      <c r="D581" s="57"/>
      <c r="E581" t="s">
        <v>218</v>
      </c>
    </row>
    <row r="582" spans="1:5">
      <c r="A582" s="66"/>
      <c r="B582" s="66"/>
      <c r="C582" s="57" t="s">
        <v>824</v>
      </c>
      <c r="D582" s="57"/>
    </row>
    <row r="583" spans="1:5">
      <c r="A583" s="66"/>
      <c r="B583" s="66"/>
      <c r="C583" s="57" t="s">
        <v>825</v>
      </c>
      <c r="D583" s="57"/>
    </row>
    <row r="584" spans="1:5">
      <c r="A584" s="66"/>
      <c r="B584" s="66"/>
      <c r="C584" s="57" t="s">
        <v>826</v>
      </c>
      <c r="D584" s="57"/>
    </row>
    <row r="585" spans="1:5">
      <c r="A585" s="66"/>
      <c r="B585" s="66"/>
      <c r="C585" s="57" t="s">
        <v>827</v>
      </c>
      <c r="D585" s="57"/>
    </row>
    <row r="586" spans="1:5">
      <c r="A586" s="66"/>
      <c r="B586" s="66"/>
      <c r="C586" s="57" t="s">
        <v>828</v>
      </c>
      <c r="D586" s="57"/>
    </row>
    <row r="587" spans="1:5">
      <c r="A587" s="66"/>
      <c r="B587" s="66"/>
      <c r="C587" s="57" t="s">
        <v>829</v>
      </c>
      <c r="D587" s="57"/>
    </row>
    <row r="588" spans="1:5">
      <c r="A588" s="66"/>
      <c r="B588" s="66"/>
      <c r="C588" s="57" t="s">
        <v>830</v>
      </c>
      <c r="D588" s="57"/>
    </row>
    <row r="589" spans="1:5">
      <c r="A589" s="66"/>
      <c r="B589" s="66"/>
      <c r="C589" s="57" t="s">
        <v>831</v>
      </c>
      <c r="D589" s="57"/>
    </row>
    <row r="590" spans="1:5">
      <c r="A590" s="66"/>
      <c r="B590" s="66"/>
      <c r="C590" s="57" t="s">
        <v>832</v>
      </c>
      <c r="D590" s="57"/>
    </row>
    <row r="591" spans="1:5">
      <c r="A591" s="67"/>
      <c r="B591" s="67"/>
      <c r="C591" s="57" t="s">
        <v>833</v>
      </c>
      <c r="D591" s="57"/>
    </row>
    <row r="592" spans="1:5">
      <c r="A592" s="64"/>
      <c r="B592" s="119" t="s">
        <v>128</v>
      </c>
      <c r="C592" s="55" t="s">
        <v>834</v>
      </c>
      <c r="D592" s="55"/>
    </row>
    <row r="593" spans="1:4">
      <c r="A593" s="64"/>
      <c r="B593" s="119"/>
      <c r="C593" s="55" t="s">
        <v>835</v>
      </c>
      <c r="D593" s="55"/>
    </row>
    <row r="594" spans="1:4">
      <c r="A594" s="64"/>
      <c r="B594" s="119"/>
      <c r="C594" s="55" t="s">
        <v>317</v>
      </c>
      <c r="D594" s="55"/>
    </row>
    <row r="595" spans="1:4">
      <c r="A595" s="68"/>
      <c r="B595" s="74" t="s">
        <v>836</v>
      </c>
      <c r="C595" s="57" t="s">
        <v>343</v>
      </c>
      <c r="D595" s="57"/>
    </row>
    <row r="596" spans="1:4">
      <c r="A596" s="120"/>
      <c r="B596" s="122"/>
      <c r="C596" s="121" t="s">
        <v>140</v>
      </c>
      <c r="D596" s="57"/>
    </row>
    <row r="597" spans="1:4">
      <c r="A597" s="115"/>
      <c r="B597" s="115" t="s">
        <v>837</v>
      </c>
      <c r="C597" s="55" t="s">
        <v>838</v>
      </c>
      <c r="D597" s="55"/>
    </row>
    <row r="598" spans="1:4">
      <c r="A598" s="64"/>
      <c r="B598" s="64"/>
      <c r="C598" s="55" t="s">
        <v>839</v>
      </c>
      <c r="D598" s="55"/>
    </row>
    <row r="599" spans="1:4">
      <c r="A599" s="64"/>
      <c r="B599" s="64"/>
      <c r="C599" s="55" t="s">
        <v>840</v>
      </c>
      <c r="D599" s="55"/>
    </row>
    <row r="600" spans="1:4">
      <c r="A600" s="64"/>
      <c r="B600" s="64"/>
      <c r="C600" s="55" t="s">
        <v>841</v>
      </c>
      <c r="D600" s="55"/>
    </row>
    <row r="601" spans="1:4">
      <c r="A601" s="64"/>
      <c r="B601" s="64"/>
      <c r="C601" s="55" t="s">
        <v>842</v>
      </c>
      <c r="D601" s="55"/>
    </row>
    <row r="602" spans="1:4">
      <c r="A602" s="64"/>
      <c r="B602" s="64"/>
      <c r="C602" s="55" t="s">
        <v>843</v>
      </c>
      <c r="D602" s="55"/>
    </row>
    <row r="603" spans="1:4">
      <c r="A603" s="64"/>
      <c r="B603" s="64"/>
      <c r="C603" s="55" t="s">
        <v>844</v>
      </c>
      <c r="D603" s="55"/>
    </row>
    <row r="604" spans="1:4">
      <c r="A604" s="64"/>
      <c r="B604" s="64"/>
      <c r="C604" s="55" t="s">
        <v>845</v>
      </c>
      <c r="D604" s="55"/>
    </row>
    <row r="605" spans="1:4">
      <c r="A605" s="64"/>
      <c r="B605" s="64"/>
      <c r="C605" s="55" t="s">
        <v>846</v>
      </c>
      <c r="D605" s="55"/>
    </row>
    <row r="606" spans="1:4">
      <c r="A606" s="64"/>
      <c r="B606" s="64"/>
      <c r="C606" s="55" t="s">
        <v>847</v>
      </c>
      <c r="D606" s="55"/>
    </row>
    <row r="607" spans="1:4">
      <c r="A607" s="64"/>
      <c r="B607" s="64"/>
      <c r="C607" s="55" t="s">
        <v>848</v>
      </c>
      <c r="D607" s="55"/>
    </row>
    <row r="608" spans="1:4">
      <c r="A608" s="64"/>
      <c r="B608" s="64"/>
      <c r="C608" s="55" t="s">
        <v>849</v>
      </c>
      <c r="D608" s="55"/>
    </row>
    <row r="609" spans="1:5">
      <c r="A609" s="64"/>
      <c r="B609" s="64"/>
      <c r="C609" s="55" t="s">
        <v>850</v>
      </c>
      <c r="D609" s="55"/>
    </row>
    <row r="610" spans="1:5">
      <c r="A610" s="64"/>
      <c r="B610" s="64"/>
      <c r="C610" s="55" t="s">
        <v>851</v>
      </c>
      <c r="D610" s="55"/>
    </row>
    <row r="611" spans="1:5">
      <c r="A611" s="64"/>
      <c r="B611" s="64"/>
      <c r="C611" s="55" t="s">
        <v>852</v>
      </c>
      <c r="D611" s="55"/>
    </row>
    <row r="612" spans="1:5">
      <c r="A612" s="64"/>
      <c r="B612" s="64"/>
      <c r="C612" s="55" t="s">
        <v>853</v>
      </c>
      <c r="D612" s="55"/>
    </row>
    <row r="613" spans="1:5">
      <c r="A613" s="64"/>
      <c r="B613" s="64"/>
      <c r="C613" s="55" t="s">
        <v>854</v>
      </c>
      <c r="D613" s="55"/>
    </row>
    <row r="614" spans="1:5">
      <c r="A614" s="64"/>
      <c r="B614" s="64"/>
      <c r="C614" s="55" t="s">
        <v>855</v>
      </c>
      <c r="D614" s="55"/>
    </row>
    <row r="615" spans="1:5">
      <c r="A615" s="64"/>
      <c r="B615" s="64"/>
      <c r="C615" s="55" t="s">
        <v>856</v>
      </c>
      <c r="D615" s="55"/>
    </row>
    <row r="616" spans="1:5">
      <c r="A616" s="64"/>
      <c r="B616" s="64"/>
      <c r="C616" s="55" t="s">
        <v>857</v>
      </c>
      <c r="D616" s="55"/>
    </row>
    <row r="617" spans="1:5">
      <c r="A617" s="64"/>
      <c r="B617" s="64"/>
      <c r="C617" s="55" t="s">
        <v>858</v>
      </c>
      <c r="D617" s="55"/>
    </row>
    <row r="618" spans="1:5">
      <c r="A618" s="64"/>
      <c r="B618" s="64"/>
      <c r="C618" s="55" t="s">
        <v>859</v>
      </c>
      <c r="D618" s="55"/>
    </row>
    <row r="619" spans="1:5">
      <c r="A619" s="64"/>
      <c r="B619" s="64"/>
      <c r="C619" s="55" t="s">
        <v>860</v>
      </c>
      <c r="D619" s="55"/>
    </row>
    <row r="620" spans="1:5">
      <c r="A620" s="64"/>
      <c r="B620" s="64"/>
      <c r="C620" s="55" t="s">
        <v>573</v>
      </c>
      <c r="D620" s="55"/>
    </row>
    <row r="621" spans="1:5">
      <c r="A621" s="64"/>
      <c r="B621" s="64"/>
      <c r="C621" s="55" t="s">
        <v>861</v>
      </c>
      <c r="D621" s="55"/>
      <c r="E621" t="s">
        <v>218</v>
      </c>
    </row>
    <row r="622" spans="1:5">
      <c r="A622" s="68"/>
      <c r="B622" s="68" t="s">
        <v>160</v>
      </c>
      <c r="C622" s="57" t="s">
        <v>862</v>
      </c>
      <c r="D622" s="57"/>
    </row>
    <row r="623" spans="1:5">
      <c r="A623" s="69"/>
      <c r="B623" s="69"/>
      <c r="C623" s="57" t="s">
        <v>863</v>
      </c>
      <c r="D623" s="57"/>
    </row>
    <row r="624" spans="1:5">
      <c r="A624" s="69"/>
      <c r="B624" s="69"/>
      <c r="C624" s="57" t="s">
        <v>864</v>
      </c>
      <c r="D624" s="57"/>
    </row>
    <row r="625" spans="1:5">
      <c r="A625" s="69"/>
      <c r="B625" s="69"/>
      <c r="C625" s="57" t="s">
        <v>865</v>
      </c>
      <c r="D625" s="57"/>
    </row>
    <row r="626" spans="1:5">
      <c r="A626" s="69"/>
      <c r="B626" s="69"/>
      <c r="C626" s="57" t="s">
        <v>866</v>
      </c>
      <c r="D626" s="57"/>
      <c r="E626" t="s">
        <v>218</v>
      </c>
    </row>
    <row r="627" spans="1:5">
      <c r="A627" s="69"/>
      <c r="B627" s="69"/>
      <c r="C627" s="57" t="s">
        <v>867</v>
      </c>
      <c r="D627" s="57"/>
    </row>
    <row r="628" spans="1:5">
      <c r="A628" s="69"/>
      <c r="B628" s="69"/>
      <c r="C628" s="57" t="s">
        <v>868</v>
      </c>
      <c r="D628" s="57"/>
    </row>
    <row r="629" spans="1:5">
      <c r="A629" s="69"/>
      <c r="B629" s="69"/>
      <c r="C629" s="57" t="s">
        <v>465</v>
      </c>
      <c r="D629" s="57"/>
    </row>
    <row r="630" spans="1:5">
      <c r="A630" s="69"/>
      <c r="B630" s="69"/>
      <c r="C630" s="57" t="s">
        <v>869</v>
      </c>
      <c r="D630" s="57"/>
    </row>
    <row r="631" spans="1:5">
      <c r="A631" s="69"/>
      <c r="B631" s="69"/>
      <c r="C631" s="57" t="s">
        <v>870</v>
      </c>
      <c r="D631" s="57"/>
    </row>
    <row r="632" spans="1:5">
      <c r="A632" s="69"/>
      <c r="B632" s="69"/>
      <c r="C632" s="57" t="s">
        <v>871</v>
      </c>
      <c r="D632" s="57"/>
    </row>
    <row r="633" spans="1:5">
      <c r="A633" s="70"/>
      <c r="B633" s="70"/>
      <c r="C633" s="57" t="s">
        <v>317</v>
      </c>
      <c r="D633" s="57"/>
    </row>
    <row r="634" spans="1:5">
      <c r="A634" s="64"/>
      <c r="B634" s="119" t="s">
        <v>161</v>
      </c>
      <c r="C634" s="55" t="s">
        <v>872</v>
      </c>
      <c r="D634" s="55" t="s">
        <v>873</v>
      </c>
    </row>
    <row r="635" spans="1:5">
      <c r="A635" s="64"/>
      <c r="B635" s="119"/>
      <c r="C635" s="55" t="s">
        <v>874</v>
      </c>
      <c r="D635" s="55" t="s">
        <v>875</v>
      </c>
    </row>
    <row r="636" spans="1:5">
      <c r="A636" s="64"/>
      <c r="B636" s="119"/>
      <c r="C636" s="55" t="s">
        <v>876</v>
      </c>
      <c r="D636" s="55" t="s">
        <v>877</v>
      </c>
    </row>
    <row r="637" spans="1:5">
      <c r="A637" s="64"/>
      <c r="B637" s="119"/>
      <c r="C637" s="55" t="s">
        <v>878</v>
      </c>
      <c r="D637" s="55" t="s">
        <v>879</v>
      </c>
    </row>
    <row r="638" spans="1:5">
      <c r="A638" s="64"/>
      <c r="B638" s="119"/>
      <c r="C638" s="55" t="s">
        <v>880</v>
      </c>
      <c r="D638" s="55" t="s">
        <v>881</v>
      </c>
    </row>
    <row r="639" spans="1:5">
      <c r="A639" s="64"/>
      <c r="B639" s="119"/>
      <c r="C639" s="55" t="s">
        <v>882</v>
      </c>
      <c r="D639" s="55" t="s">
        <v>883</v>
      </c>
    </row>
    <row r="640" spans="1:5">
      <c r="A640" s="64"/>
      <c r="B640" s="119"/>
      <c r="C640" s="55" t="s">
        <v>884</v>
      </c>
      <c r="D640" s="55" t="s">
        <v>885</v>
      </c>
    </row>
    <row r="641" spans="1:4">
      <c r="A641" s="64"/>
      <c r="B641" s="119"/>
      <c r="C641" s="55" t="s">
        <v>886</v>
      </c>
      <c r="D641" s="55" t="s">
        <v>886</v>
      </c>
    </row>
    <row r="642" spans="1:4">
      <c r="A642" s="64"/>
      <c r="B642" s="119"/>
      <c r="C642" s="55" t="s">
        <v>317</v>
      </c>
      <c r="D642" s="55"/>
    </row>
    <row r="643" spans="1:4">
      <c r="A643" s="71"/>
      <c r="B643" s="71" t="s">
        <v>887</v>
      </c>
      <c r="C643" s="57" t="s">
        <v>888</v>
      </c>
      <c r="D643" s="57" t="s">
        <v>889</v>
      </c>
    </row>
    <row r="644" spans="1:4">
      <c r="A644" s="72"/>
      <c r="B644" s="72"/>
      <c r="C644" s="57" t="s">
        <v>890</v>
      </c>
      <c r="D644" s="57" t="s">
        <v>891</v>
      </c>
    </row>
    <row r="645" spans="1:4">
      <c r="A645" s="72"/>
      <c r="B645" s="72"/>
      <c r="C645" s="57" t="s">
        <v>892</v>
      </c>
      <c r="D645" s="57" t="s">
        <v>893</v>
      </c>
    </row>
    <row r="646" spans="1:4">
      <c r="A646" s="72"/>
      <c r="B646" s="72"/>
      <c r="C646" s="57" t="s">
        <v>894</v>
      </c>
      <c r="D646" s="57" t="s">
        <v>895</v>
      </c>
    </row>
    <row r="647" spans="1:4">
      <c r="A647" s="72"/>
      <c r="B647" s="72"/>
      <c r="C647" s="57" t="s">
        <v>896</v>
      </c>
      <c r="D647" s="57"/>
    </row>
    <row r="648" spans="1:4">
      <c r="A648" s="73"/>
      <c r="B648" s="73"/>
      <c r="C648" s="57" t="s">
        <v>317</v>
      </c>
      <c r="D648" s="57"/>
    </row>
    <row r="649" spans="1:4">
      <c r="A649" s="64"/>
      <c r="B649" s="119" t="s">
        <v>152</v>
      </c>
      <c r="C649" s="55" t="s">
        <v>897</v>
      </c>
      <c r="D649" s="55"/>
    </row>
    <row r="650" spans="1:4">
      <c r="A650" s="64"/>
      <c r="B650" s="119"/>
      <c r="C650" s="55" t="s">
        <v>898</v>
      </c>
      <c r="D650" s="55"/>
    </row>
    <row r="651" spans="1:4">
      <c r="A651" s="64"/>
      <c r="B651" s="119"/>
      <c r="C651" s="55" t="s">
        <v>899</v>
      </c>
      <c r="D651" s="55"/>
    </row>
    <row r="652" spans="1:4">
      <c r="A652" s="64"/>
      <c r="B652" s="119"/>
      <c r="C652" s="55" t="s">
        <v>900</v>
      </c>
      <c r="D652" s="55"/>
    </row>
    <row r="653" spans="1:4">
      <c r="A653" s="64"/>
      <c r="B653" s="119"/>
      <c r="C653" s="55" t="s">
        <v>317</v>
      </c>
      <c r="D653" s="55"/>
    </row>
    <row r="654" spans="1:4">
      <c r="A654" s="71"/>
      <c r="B654" s="71" t="s">
        <v>153</v>
      </c>
      <c r="C654" s="57" t="s">
        <v>901</v>
      </c>
      <c r="D654" s="57"/>
    </row>
    <row r="655" spans="1:4">
      <c r="A655" s="72"/>
      <c r="B655" s="72"/>
      <c r="C655" s="57" t="s">
        <v>902</v>
      </c>
      <c r="D655" s="57"/>
    </row>
    <row r="656" spans="1:4">
      <c r="A656" s="64"/>
      <c r="B656" s="119" t="s">
        <v>22</v>
      </c>
      <c r="C656" s="55" t="s">
        <v>36</v>
      </c>
      <c r="D656" s="55"/>
    </row>
    <row r="657" spans="1:6">
      <c r="A657" s="64"/>
      <c r="B657" s="119"/>
      <c r="C657" s="55" t="s">
        <v>903</v>
      </c>
      <c r="D657" s="55"/>
    </row>
    <row r="658" spans="1:6">
      <c r="A658" s="71"/>
      <c r="B658" s="71" t="s">
        <v>904</v>
      </c>
      <c r="C658" s="57" t="s">
        <v>905</v>
      </c>
      <c r="D658" s="57"/>
    </row>
    <row r="659" spans="1:6">
      <c r="A659" s="72"/>
      <c r="B659" s="72"/>
      <c r="C659" s="57" t="s">
        <v>906</v>
      </c>
      <c r="D659" s="57"/>
    </row>
    <row r="660" spans="1:6">
      <c r="A660" s="72"/>
      <c r="B660" s="72"/>
      <c r="C660" s="57" t="s">
        <v>907</v>
      </c>
      <c r="D660" s="57"/>
    </row>
    <row r="661" spans="1:6">
      <c r="A661" s="72"/>
      <c r="B661" s="72"/>
      <c r="C661" s="57" t="s">
        <v>908</v>
      </c>
      <c r="D661" s="57"/>
    </row>
    <row r="662" spans="1:6">
      <c r="A662" s="72"/>
      <c r="B662" s="72"/>
      <c r="C662" s="57" t="s">
        <v>909</v>
      </c>
      <c r="D662" s="57"/>
    </row>
    <row r="663" spans="1:6">
      <c r="A663" s="72"/>
      <c r="B663" s="72"/>
      <c r="C663" s="57" t="s">
        <v>910</v>
      </c>
      <c r="D663" s="57"/>
    </row>
    <row r="664" spans="1:6">
      <c r="A664" s="72"/>
      <c r="B664" s="72"/>
      <c r="C664" s="57" t="s">
        <v>317</v>
      </c>
      <c r="D664" s="57"/>
    </row>
    <row r="665" spans="1:6">
      <c r="A665" s="73"/>
      <c r="B665" s="73"/>
      <c r="C665" s="57" t="s">
        <v>911</v>
      </c>
      <c r="D665" s="57"/>
    </row>
    <row r="666" spans="1:6">
      <c r="A666" s="64"/>
      <c r="B666" s="119" t="s">
        <v>912</v>
      </c>
      <c r="C666" s="55" t="s">
        <v>913</v>
      </c>
      <c r="D666" s="55"/>
    </row>
    <row r="667" spans="1:6">
      <c r="A667" s="64"/>
      <c r="B667" s="119"/>
      <c r="C667" s="55" t="s">
        <v>914</v>
      </c>
      <c r="D667" s="55"/>
      <c r="F667" s="8"/>
    </row>
    <row r="668" spans="1:6">
      <c r="A668" s="71"/>
      <c r="B668" s="71" t="s">
        <v>915</v>
      </c>
      <c r="C668" s="57" t="s">
        <v>916</v>
      </c>
      <c r="D668" s="57"/>
    </row>
    <row r="669" spans="1:6">
      <c r="A669" s="72"/>
      <c r="B669" s="72"/>
      <c r="C669" s="57" t="s">
        <v>917</v>
      </c>
      <c r="D669" s="57"/>
    </row>
    <row r="670" spans="1:6">
      <c r="A670" s="72"/>
      <c r="B670" s="72"/>
      <c r="C670" s="57" t="s">
        <v>918</v>
      </c>
      <c r="D670" s="57"/>
    </row>
    <row r="671" spans="1:6">
      <c r="A671" s="72"/>
      <c r="B671" s="72"/>
      <c r="C671" s="57" t="s">
        <v>919</v>
      </c>
      <c r="D671" s="57"/>
    </row>
    <row r="672" spans="1:6">
      <c r="A672" s="72"/>
      <c r="B672" s="72"/>
      <c r="C672" s="57" t="s">
        <v>920</v>
      </c>
      <c r="D672" s="57"/>
    </row>
    <row r="673" spans="1:4">
      <c r="A673" s="72"/>
      <c r="B673" s="72"/>
      <c r="C673" s="57" t="s">
        <v>921</v>
      </c>
      <c r="D673" s="57"/>
    </row>
    <row r="674" spans="1:4">
      <c r="A674" s="72"/>
      <c r="B674" s="72"/>
      <c r="C674" s="57" t="s">
        <v>922</v>
      </c>
      <c r="D674" s="57"/>
    </row>
    <row r="675" spans="1:4">
      <c r="A675" s="72"/>
      <c r="B675" s="72"/>
      <c r="C675" s="57" t="s">
        <v>923</v>
      </c>
      <c r="D675" s="57"/>
    </row>
    <row r="676" spans="1:4">
      <c r="A676" s="72"/>
      <c r="B676" s="72"/>
      <c r="C676" s="57" t="s">
        <v>924</v>
      </c>
      <c r="D676" s="57"/>
    </row>
    <row r="677" spans="1:4">
      <c r="A677" s="72"/>
      <c r="B677" s="72"/>
      <c r="C677" s="57" t="s">
        <v>925</v>
      </c>
      <c r="D677" s="57"/>
    </row>
    <row r="678" spans="1:4">
      <c r="A678" s="72"/>
      <c r="B678" s="72"/>
      <c r="C678" s="57" t="s">
        <v>573</v>
      </c>
      <c r="D678" s="57"/>
    </row>
    <row r="679" spans="1:4">
      <c r="A679" s="73"/>
      <c r="B679" s="73"/>
      <c r="C679" s="57" t="s">
        <v>911</v>
      </c>
      <c r="D679" s="57"/>
    </row>
    <row r="680" spans="1:4">
      <c r="A680" s="93"/>
      <c r="B680" s="93" t="s">
        <v>926</v>
      </c>
      <c r="C680" s="55" t="s">
        <v>905</v>
      </c>
      <c r="D680" s="55"/>
    </row>
    <row r="681" spans="1:4">
      <c r="A681" s="95"/>
      <c r="B681" s="95"/>
      <c r="C681" s="55" t="s">
        <v>906</v>
      </c>
      <c r="D681" s="55"/>
    </row>
    <row r="682" spans="1:4">
      <c r="A682" s="95"/>
      <c r="B682" s="95"/>
      <c r="C682" s="55" t="s">
        <v>907</v>
      </c>
      <c r="D682" s="55"/>
    </row>
    <row r="683" spans="1:4">
      <c r="A683" s="95"/>
      <c r="B683" s="95"/>
      <c r="C683" s="55" t="s">
        <v>908</v>
      </c>
      <c r="D683" s="55"/>
    </row>
    <row r="684" spans="1:4">
      <c r="A684" s="95"/>
      <c r="B684" s="95"/>
      <c r="C684" s="55" t="s">
        <v>909</v>
      </c>
      <c r="D684" s="55"/>
    </row>
    <row r="685" spans="1:4">
      <c r="A685" s="95"/>
      <c r="B685" s="95"/>
      <c r="C685" s="55" t="s">
        <v>910</v>
      </c>
      <c r="D685" s="55"/>
    </row>
    <row r="686" spans="1:4">
      <c r="A686" s="95"/>
      <c r="B686" s="95"/>
      <c r="C686" s="55" t="s">
        <v>317</v>
      </c>
      <c r="D686" s="55"/>
    </row>
    <row r="687" spans="1:4">
      <c r="A687" s="95"/>
      <c r="B687" s="95"/>
      <c r="C687" s="55" t="s">
        <v>911</v>
      </c>
      <c r="D687" s="55"/>
    </row>
    <row r="688" spans="1:4">
      <c r="A688" s="71"/>
      <c r="B688" s="68" t="s">
        <v>927</v>
      </c>
      <c r="C688" s="57" t="s">
        <v>928</v>
      </c>
      <c r="D688" s="57"/>
    </row>
    <row r="689" spans="1:4">
      <c r="A689" s="72"/>
      <c r="B689" s="70"/>
      <c r="C689" s="57" t="s">
        <v>929</v>
      </c>
      <c r="D689" s="57"/>
    </row>
    <row r="690" spans="1:4">
      <c r="A690" s="93"/>
      <c r="B690" s="93" t="s">
        <v>930</v>
      </c>
      <c r="C690" s="55" t="s">
        <v>931</v>
      </c>
      <c r="D690" s="55"/>
    </row>
    <row r="691" spans="1:4">
      <c r="A691" s="95"/>
      <c r="B691" s="95"/>
      <c r="C691" s="55" t="s">
        <v>932</v>
      </c>
      <c r="D691" s="55"/>
    </row>
    <row r="692" spans="1:4">
      <c r="A692" s="71"/>
      <c r="B692" s="71" t="s">
        <v>933</v>
      </c>
      <c r="C692" s="57" t="s">
        <v>934</v>
      </c>
      <c r="D692" s="57"/>
    </row>
    <row r="693" spans="1:4">
      <c r="A693" s="72"/>
      <c r="B693" s="72"/>
      <c r="C693" s="57" t="s">
        <v>750</v>
      </c>
      <c r="D693" s="57"/>
    </row>
    <row r="694" spans="1:4">
      <c r="A694" s="72"/>
      <c r="B694" s="72"/>
      <c r="C694" s="57" t="s">
        <v>935</v>
      </c>
      <c r="D694" s="57"/>
    </row>
    <row r="695" spans="1:4">
      <c r="A695" s="72"/>
      <c r="B695" s="72"/>
      <c r="C695" s="57" t="s">
        <v>936</v>
      </c>
      <c r="D695" s="57"/>
    </row>
    <row r="696" spans="1:4">
      <c r="A696" s="72"/>
      <c r="B696" s="72"/>
      <c r="C696" s="57" t="s">
        <v>937</v>
      </c>
      <c r="D696" s="57"/>
    </row>
    <row r="697" spans="1:4">
      <c r="A697" s="72"/>
      <c r="B697" s="72"/>
      <c r="C697" s="57" t="s">
        <v>151</v>
      </c>
      <c r="D697" s="57"/>
    </row>
    <row r="698" spans="1:4">
      <c r="A698" s="72"/>
      <c r="B698" s="72"/>
      <c r="C698" s="57" t="s">
        <v>938</v>
      </c>
      <c r="D698" s="57"/>
    </row>
    <row r="699" spans="1:4">
      <c r="A699" s="72"/>
      <c r="B699" s="72"/>
      <c r="C699" s="57" t="s">
        <v>939</v>
      </c>
      <c r="D699" s="57"/>
    </row>
    <row r="700" spans="1:4">
      <c r="A700" s="72"/>
      <c r="B700" s="72"/>
      <c r="C700" s="57" t="s">
        <v>317</v>
      </c>
      <c r="D700" s="57"/>
    </row>
    <row r="701" spans="1:4">
      <c r="A701" s="93"/>
      <c r="B701" s="93" t="s">
        <v>940</v>
      </c>
      <c r="C701" s="55" t="s">
        <v>439</v>
      </c>
      <c r="D701" s="55"/>
    </row>
    <row r="702" spans="1:4">
      <c r="A702" s="95"/>
      <c r="B702" s="95"/>
      <c r="C702" s="55" t="s">
        <v>440</v>
      </c>
      <c r="D702" s="55"/>
    </row>
    <row r="703" spans="1:4">
      <c r="A703" s="95"/>
      <c r="B703" s="95"/>
      <c r="C703" s="55" t="s">
        <v>441</v>
      </c>
      <c r="D703" s="55"/>
    </row>
    <row r="704" spans="1:4">
      <c r="A704" s="95"/>
      <c r="B704" s="95"/>
      <c r="C704" s="55" t="s">
        <v>442</v>
      </c>
      <c r="D704" s="55"/>
    </row>
    <row r="705" spans="1:5">
      <c r="A705" s="95"/>
      <c r="B705" s="95"/>
      <c r="C705" s="55" t="s">
        <v>443</v>
      </c>
      <c r="D705" s="55"/>
    </row>
    <row r="706" spans="1:5">
      <c r="A706" s="95"/>
      <c r="B706" s="95"/>
      <c r="C706" s="55" t="s">
        <v>444</v>
      </c>
      <c r="D706" s="55"/>
    </row>
    <row r="707" spans="1:5">
      <c r="A707" s="95"/>
      <c r="B707" s="95"/>
      <c r="C707" s="55" t="s">
        <v>446</v>
      </c>
      <c r="D707" s="55"/>
    </row>
    <row r="708" spans="1:5">
      <c r="A708" s="95"/>
      <c r="B708" s="95"/>
      <c r="C708" s="55" t="s">
        <v>447</v>
      </c>
      <c r="D708" s="55"/>
    </row>
    <row r="709" spans="1:5">
      <c r="A709" s="95"/>
      <c r="B709" s="95"/>
      <c r="C709" s="55" t="s">
        <v>448</v>
      </c>
      <c r="D709" s="55"/>
    </row>
    <row r="710" spans="1:5">
      <c r="A710" s="95"/>
      <c r="B710" s="95"/>
      <c r="C710" s="55" t="s">
        <v>449</v>
      </c>
      <c r="D710" s="55"/>
    </row>
    <row r="711" spans="1:5">
      <c r="A711" s="95"/>
      <c r="B711" s="95"/>
      <c r="C711" s="55" t="s">
        <v>450</v>
      </c>
      <c r="D711" s="55"/>
    </row>
    <row r="712" spans="1:5">
      <c r="A712" s="95"/>
      <c r="B712" s="95"/>
      <c r="C712" s="55" t="s">
        <v>451</v>
      </c>
      <c r="D712" s="55"/>
    </row>
    <row r="713" spans="1:5">
      <c r="A713" s="95"/>
      <c r="B713" s="95"/>
      <c r="C713" s="55" t="s">
        <v>452</v>
      </c>
      <c r="D713" s="55"/>
    </row>
    <row r="714" spans="1:5">
      <c r="A714" s="95"/>
      <c r="B714" s="95"/>
      <c r="C714" s="55" t="s">
        <v>453</v>
      </c>
      <c r="D714" s="55"/>
    </row>
    <row r="715" spans="1:5">
      <c r="A715" s="95"/>
      <c r="B715" s="95"/>
      <c r="C715" s="55" t="s">
        <v>454</v>
      </c>
      <c r="D715" s="55"/>
    </row>
    <row r="716" spans="1:5">
      <c r="A716" s="95"/>
      <c r="B716" s="95"/>
      <c r="C716" s="55" t="s">
        <v>455</v>
      </c>
      <c r="D716" s="55" t="s">
        <v>456</v>
      </c>
      <c r="E716" t="s">
        <v>218</v>
      </c>
    </row>
    <row r="717" spans="1:5">
      <c r="A717" s="95"/>
      <c r="B717" s="95"/>
      <c r="C717" s="55" t="s">
        <v>457</v>
      </c>
      <c r="D717" s="55"/>
    </row>
    <row r="718" spans="1:5">
      <c r="A718" s="95"/>
      <c r="B718" s="95"/>
      <c r="C718" s="55" t="s">
        <v>458</v>
      </c>
      <c r="D718" s="55"/>
    </row>
    <row r="719" spans="1:5">
      <c r="A719" s="95"/>
      <c r="B719" s="95"/>
      <c r="C719" s="55" t="s">
        <v>459</v>
      </c>
      <c r="D719" s="55"/>
    </row>
    <row r="720" spans="1:5">
      <c r="A720" s="95"/>
      <c r="B720" s="95"/>
      <c r="C720" s="55" t="s">
        <v>460</v>
      </c>
      <c r="D720" s="55"/>
    </row>
    <row r="721" spans="1:4">
      <c r="A721" s="95"/>
      <c r="B721" s="95"/>
      <c r="C721" s="55" t="s">
        <v>461</v>
      </c>
      <c r="D721" s="55"/>
    </row>
    <row r="722" spans="1:4">
      <c r="A722" s="95"/>
      <c r="B722" s="95"/>
      <c r="C722" s="55" t="s">
        <v>462</v>
      </c>
      <c r="D722" s="55"/>
    </row>
    <row r="723" spans="1:4">
      <c r="A723" s="95"/>
      <c r="B723" s="95"/>
      <c r="C723" s="55" t="s">
        <v>463</v>
      </c>
      <c r="D723" s="55"/>
    </row>
    <row r="724" spans="1:4">
      <c r="A724" s="95"/>
      <c r="B724" s="95"/>
      <c r="C724" s="55" t="s">
        <v>464</v>
      </c>
      <c r="D724" s="55"/>
    </row>
    <row r="725" spans="1:4">
      <c r="A725" s="95"/>
      <c r="B725" s="95"/>
      <c r="C725" s="55" t="s">
        <v>465</v>
      </c>
      <c r="D725" s="55"/>
    </row>
    <row r="726" spans="1:4">
      <c r="A726" s="95"/>
      <c r="B726" s="95"/>
      <c r="C726" s="55" t="s">
        <v>466</v>
      </c>
      <c r="D726" s="55"/>
    </row>
    <row r="727" spans="1:4">
      <c r="A727" s="95"/>
      <c r="B727" s="95"/>
      <c r="C727" s="55" t="s">
        <v>467</v>
      </c>
      <c r="D727" s="55"/>
    </row>
    <row r="728" spans="1:4">
      <c r="A728" s="95"/>
      <c r="B728" s="95"/>
      <c r="C728" s="55" t="s">
        <v>468</v>
      </c>
      <c r="D728" s="55"/>
    </row>
    <row r="729" spans="1:4">
      <c r="A729" s="95"/>
      <c r="B729" s="95"/>
      <c r="C729" s="55" t="s">
        <v>469</v>
      </c>
      <c r="D729" s="55"/>
    </row>
    <row r="730" spans="1:4">
      <c r="A730" s="95"/>
      <c r="B730" s="95"/>
      <c r="C730" s="55" t="s">
        <v>470</v>
      </c>
      <c r="D730" s="55"/>
    </row>
    <row r="731" spans="1:4">
      <c r="A731" s="95"/>
      <c r="B731" s="95"/>
      <c r="C731" s="55" t="s">
        <v>471</v>
      </c>
      <c r="D731" s="55"/>
    </row>
    <row r="732" spans="1:4">
      <c r="A732" s="95"/>
      <c r="B732" s="95"/>
      <c r="C732" s="55" t="s">
        <v>472</v>
      </c>
      <c r="D732" s="55"/>
    </row>
    <row r="733" spans="1:4">
      <c r="A733" s="95"/>
      <c r="B733" s="95"/>
      <c r="C733" s="55" t="s">
        <v>473</v>
      </c>
      <c r="D733" s="55"/>
    </row>
    <row r="734" spans="1:4">
      <c r="A734" s="95"/>
      <c r="B734" s="95"/>
      <c r="C734" s="55" t="s">
        <v>474</v>
      </c>
      <c r="D734" s="55"/>
    </row>
    <row r="735" spans="1:4">
      <c r="A735" s="95"/>
      <c r="B735" s="95"/>
      <c r="C735" s="55" t="s">
        <v>475</v>
      </c>
      <c r="D735" s="55"/>
    </row>
    <row r="736" spans="1:4">
      <c r="A736" s="95"/>
      <c r="B736" s="95"/>
      <c r="C736" s="55" t="s">
        <v>476</v>
      </c>
      <c r="D736" s="55"/>
    </row>
    <row r="737" spans="1:4">
      <c r="A737" s="95"/>
      <c r="B737" s="95"/>
      <c r="C737" s="55" t="s">
        <v>477</v>
      </c>
      <c r="D737" s="55"/>
    </row>
    <row r="738" spans="1:4">
      <c r="A738" s="95"/>
      <c r="B738" s="95"/>
      <c r="C738" s="55" t="s">
        <v>478</v>
      </c>
      <c r="D738" s="55"/>
    </row>
    <row r="739" spans="1:4">
      <c r="A739" s="95"/>
      <c r="B739" s="95"/>
      <c r="C739" s="55" t="s">
        <v>479</v>
      </c>
      <c r="D739" s="55"/>
    </row>
    <row r="740" spans="1:4">
      <c r="A740" s="95"/>
      <c r="B740" s="95"/>
      <c r="C740" s="55" t="s">
        <v>480</v>
      </c>
      <c r="D740" s="55"/>
    </row>
    <row r="741" spans="1:4">
      <c r="A741" s="95"/>
      <c r="B741" s="95"/>
      <c r="C741" s="55" t="s">
        <v>481</v>
      </c>
      <c r="D741" s="55"/>
    </row>
    <row r="742" spans="1:4">
      <c r="A742" s="95"/>
      <c r="B742" s="95"/>
      <c r="C742" s="55" t="s">
        <v>482</v>
      </c>
      <c r="D742" s="55"/>
    </row>
    <row r="743" spans="1:4">
      <c r="A743" s="95"/>
      <c r="B743" s="95"/>
      <c r="C743" s="55" t="s">
        <v>483</v>
      </c>
      <c r="D743" s="55"/>
    </row>
    <row r="744" spans="1:4">
      <c r="A744" s="95"/>
      <c r="B744" s="95"/>
      <c r="C744" s="55" t="s">
        <v>484</v>
      </c>
      <c r="D744" s="55"/>
    </row>
    <row r="745" spans="1:4">
      <c r="A745" s="95"/>
      <c r="B745" s="95"/>
      <c r="C745" s="55" t="s">
        <v>485</v>
      </c>
      <c r="D745" s="55"/>
    </row>
    <row r="746" spans="1:4">
      <c r="A746" s="95"/>
      <c r="B746" s="95"/>
      <c r="C746" s="55" t="s">
        <v>486</v>
      </c>
      <c r="D746" s="55"/>
    </row>
    <row r="747" spans="1:4">
      <c r="A747" s="95"/>
      <c r="B747" s="95"/>
      <c r="C747" s="55" t="s">
        <v>487</v>
      </c>
      <c r="D747" s="55"/>
    </row>
    <row r="748" spans="1:4">
      <c r="A748" s="95"/>
      <c r="B748" s="95"/>
      <c r="C748" s="55" t="s">
        <v>488</v>
      </c>
      <c r="D748" s="55"/>
    </row>
    <row r="749" spans="1:4">
      <c r="A749" s="95"/>
      <c r="B749" s="95"/>
      <c r="C749" s="55" t="s">
        <v>489</v>
      </c>
      <c r="D749" s="55"/>
    </row>
    <row r="750" spans="1:4">
      <c r="A750" s="95"/>
      <c r="B750" s="95"/>
      <c r="C750" s="55" t="s">
        <v>30</v>
      </c>
      <c r="D750" s="55"/>
    </row>
    <row r="751" spans="1:4">
      <c r="A751" s="95"/>
      <c r="B751" s="95"/>
      <c r="C751" s="55" t="s">
        <v>211</v>
      </c>
      <c r="D751" s="55"/>
    </row>
    <row r="752" spans="1:4">
      <c r="A752" s="95"/>
      <c r="B752" s="95"/>
      <c r="C752" s="55" t="s">
        <v>212</v>
      </c>
      <c r="D752" s="55"/>
    </row>
    <row r="753" spans="1:4">
      <c r="A753" s="95"/>
      <c r="B753" s="95"/>
      <c r="C753" s="55" t="s">
        <v>213</v>
      </c>
      <c r="D753" s="55"/>
    </row>
    <row r="754" spans="1:4">
      <c r="A754" s="95"/>
      <c r="B754" s="95"/>
      <c r="C754" s="55" t="s">
        <v>214</v>
      </c>
      <c r="D754" s="55"/>
    </row>
    <row r="755" spans="1:4">
      <c r="A755" s="95"/>
      <c r="B755" s="95"/>
      <c r="C755" s="55" t="s">
        <v>215</v>
      </c>
      <c r="D755" s="55"/>
    </row>
    <row r="756" spans="1:4">
      <c r="A756" s="95"/>
      <c r="B756" s="95"/>
      <c r="C756" s="55" t="s">
        <v>216</v>
      </c>
      <c r="D756" s="55"/>
    </row>
    <row r="757" spans="1:4">
      <c r="A757" s="95"/>
      <c r="B757" s="95"/>
      <c r="C757" s="55" t="s">
        <v>217</v>
      </c>
      <c r="D757" s="55"/>
    </row>
    <row r="758" spans="1:4">
      <c r="A758" s="95"/>
      <c r="B758" s="95"/>
      <c r="C758" s="55" t="s">
        <v>219</v>
      </c>
      <c r="D758" s="55"/>
    </row>
    <row r="759" spans="1:4">
      <c r="A759" s="95"/>
      <c r="B759" s="95"/>
      <c r="C759" s="55" t="s">
        <v>220</v>
      </c>
      <c r="D759" s="55"/>
    </row>
    <row r="760" spans="1:4">
      <c r="A760" s="95"/>
      <c r="B760" s="95"/>
      <c r="C760" s="55" t="s">
        <v>221</v>
      </c>
      <c r="D760" s="55"/>
    </row>
    <row r="761" spans="1:4">
      <c r="A761" s="95"/>
      <c r="B761" s="95"/>
      <c r="C761" s="55" t="s">
        <v>222</v>
      </c>
      <c r="D761" s="55"/>
    </row>
    <row r="762" spans="1:4">
      <c r="A762" s="95"/>
      <c r="B762" s="95"/>
      <c r="C762" s="55" t="s">
        <v>223</v>
      </c>
      <c r="D762" s="55"/>
    </row>
    <row r="763" spans="1:4">
      <c r="A763" s="95"/>
      <c r="B763" s="95"/>
      <c r="C763" s="55" t="s">
        <v>224</v>
      </c>
      <c r="D763" s="55"/>
    </row>
    <row r="764" spans="1:4">
      <c r="A764" s="95"/>
      <c r="B764" s="95"/>
      <c r="C764" s="55" t="s">
        <v>225</v>
      </c>
      <c r="D764" s="55"/>
    </row>
    <row r="765" spans="1:4">
      <c r="A765" s="95"/>
      <c r="B765" s="95"/>
      <c r="C765" s="55" t="s">
        <v>226</v>
      </c>
      <c r="D765" s="55"/>
    </row>
    <row r="766" spans="1:4">
      <c r="A766" s="95"/>
      <c r="B766" s="95"/>
      <c r="C766" s="55" t="s">
        <v>227</v>
      </c>
      <c r="D766" s="55"/>
    </row>
    <row r="767" spans="1:4">
      <c r="A767" s="95"/>
      <c r="B767" s="95"/>
      <c r="C767" s="55" t="s">
        <v>228</v>
      </c>
      <c r="D767" s="55"/>
    </row>
    <row r="768" spans="1:4">
      <c r="A768" s="95"/>
      <c r="B768" s="95"/>
      <c r="C768" s="55" t="s">
        <v>229</v>
      </c>
      <c r="D768" s="55"/>
    </row>
    <row r="769" spans="1:5">
      <c r="A769" s="95"/>
      <c r="B769" s="95"/>
      <c r="C769" s="55" t="s">
        <v>230</v>
      </c>
      <c r="D769" s="55"/>
    </row>
    <row r="770" spans="1:5">
      <c r="A770" s="95"/>
      <c r="B770" s="95"/>
      <c r="C770" s="55" t="s">
        <v>231</v>
      </c>
      <c r="D770" s="55"/>
    </row>
    <row r="771" spans="1:5">
      <c r="A771" s="95"/>
      <c r="B771" s="95"/>
      <c r="C771" s="55" t="s">
        <v>232</v>
      </c>
      <c r="D771" s="55"/>
    </row>
    <row r="772" spans="1:5">
      <c r="A772" s="95"/>
      <c r="B772" s="95"/>
      <c r="C772" s="55" t="s">
        <v>233</v>
      </c>
      <c r="D772" s="55"/>
    </row>
    <row r="773" spans="1:5">
      <c r="A773" s="95"/>
      <c r="B773" s="95"/>
      <c r="C773" s="55" t="s">
        <v>234</v>
      </c>
      <c r="D773" s="55"/>
    </row>
    <row r="774" spans="1:5">
      <c r="A774" s="95"/>
      <c r="B774" s="95"/>
      <c r="C774" s="55" t="s">
        <v>235</v>
      </c>
      <c r="D774" s="55"/>
    </row>
    <row r="775" spans="1:5">
      <c r="A775" s="95"/>
      <c r="B775" s="95"/>
      <c r="C775" s="55" t="s">
        <v>236</v>
      </c>
      <c r="D775" s="55"/>
    </row>
    <row r="776" spans="1:5">
      <c r="A776" s="95"/>
      <c r="B776" s="95"/>
      <c r="C776" s="55" t="s">
        <v>237</v>
      </c>
      <c r="D776" s="55"/>
    </row>
    <row r="777" spans="1:5">
      <c r="A777" s="95"/>
      <c r="B777" s="95"/>
      <c r="C777" s="55" t="s">
        <v>238</v>
      </c>
      <c r="D777" s="55"/>
    </row>
    <row r="778" spans="1:5">
      <c r="A778" s="95"/>
      <c r="B778" s="95"/>
      <c r="C778" s="55" t="s">
        <v>239</v>
      </c>
      <c r="D778" s="55"/>
    </row>
    <row r="779" spans="1:5">
      <c r="A779" s="95"/>
      <c r="B779" s="95"/>
      <c r="C779" s="55" t="s">
        <v>240</v>
      </c>
      <c r="D779" s="55"/>
    </row>
    <row r="780" spans="1:5">
      <c r="A780" s="95"/>
      <c r="B780" s="95"/>
      <c r="C780" s="55" t="s">
        <v>241</v>
      </c>
      <c r="D780" s="55"/>
    </row>
    <row r="781" spans="1:5">
      <c r="A781" s="95"/>
      <c r="B781" s="95"/>
      <c r="C781" s="55" t="s">
        <v>242</v>
      </c>
      <c r="D781" s="55"/>
    </row>
    <row r="782" spans="1:5">
      <c r="A782" s="95"/>
      <c r="B782" s="95"/>
      <c r="C782" s="55" t="s">
        <v>243</v>
      </c>
      <c r="D782" s="55"/>
      <c r="E782" t="s">
        <v>218</v>
      </c>
    </row>
    <row r="783" spans="1:5">
      <c r="A783" s="95"/>
      <c r="B783" s="95"/>
      <c r="C783" s="55" t="s">
        <v>244</v>
      </c>
      <c r="D783" s="55"/>
      <c r="E783" t="s">
        <v>218</v>
      </c>
    </row>
    <row r="784" spans="1:5">
      <c r="A784" s="95"/>
      <c r="B784" s="95"/>
      <c r="C784" s="55" t="s">
        <v>247</v>
      </c>
      <c r="D784" s="55"/>
      <c r="E784" t="s">
        <v>218</v>
      </c>
    </row>
    <row r="785" spans="1:5">
      <c r="A785" s="95"/>
      <c r="B785" s="95"/>
      <c r="C785" s="55" t="s">
        <v>248</v>
      </c>
      <c r="D785" s="55"/>
    </row>
    <row r="786" spans="1:5">
      <c r="A786" s="95"/>
      <c r="B786" s="95"/>
      <c r="C786" s="55" t="s">
        <v>249</v>
      </c>
      <c r="D786" s="55"/>
    </row>
    <row r="787" spans="1:5">
      <c r="A787" s="95"/>
      <c r="B787" s="95"/>
      <c r="C787" s="55" t="s">
        <v>250</v>
      </c>
      <c r="D787" s="55"/>
    </row>
    <row r="788" spans="1:5">
      <c r="A788" s="95"/>
      <c r="B788" s="95"/>
      <c r="C788" s="55" t="s">
        <v>251</v>
      </c>
      <c r="D788" s="55"/>
    </row>
    <row r="789" spans="1:5">
      <c r="A789" s="95"/>
      <c r="B789" s="95"/>
      <c r="C789" s="55" t="s">
        <v>252</v>
      </c>
      <c r="D789" s="55"/>
    </row>
    <row r="790" spans="1:5">
      <c r="A790" s="95"/>
      <c r="B790" s="95"/>
      <c r="C790" s="55" t="s">
        <v>253</v>
      </c>
      <c r="D790" s="55"/>
      <c r="E790" t="s">
        <v>218</v>
      </c>
    </row>
    <row r="791" spans="1:5">
      <c r="A791" s="95"/>
      <c r="B791" s="95"/>
      <c r="C791" s="55" t="s">
        <v>254</v>
      </c>
      <c r="D791" s="55"/>
    </row>
    <row r="792" spans="1:5">
      <c r="A792" s="95"/>
      <c r="B792" s="95"/>
      <c r="C792" s="55" t="s">
        <v>255</v>
      </c>
      <c r="D792" s="55"/>
    </row>
    <row r="793" spans="1:5">
      <c r="A793" s="95"/>
      <c r="B793" s="95"/>
      <c r="C793" s="55" t="s">
        <v>256</v>
      </c>
      <c r="D793" s="55"/>
    </row>
    <row r="794" spans="1:5">
      <c r="A794" s="95"/>
      <c r="B794" s="95"/>
      <c r="C794" s="55" t="s">
        <v>941</v>
      </c>
      <c r="D794" s="55"/>
    </row>
    <row r="795" spans="1:5">
      <c r="A795" s="95"/>
      <c r="B795" s="95"/>
      <c r="C795" s="55" t="s">
        <v>257</v>
      </c>
      <c r="D795" s="55"/>
    </row>
    <row r="796" spans="1:5">
      <c r="A796" s="95"/>
      <c r="B796" s="95"/>
      <c r="C796" s="55" t="s">
        <v>258</v>
      </c>
      <c r="D796" s="55"/>
    </row>
    <row r="797" spans="1:5">
      <c r="A797" s="95"/>
      <c r="B797" s="95"/>
      <c r="C797" s="55" t="s">
        <v>259</v>
      </c>
      <c r="D797" s="55"/>
    </row>
    <row r="798" spans="1:5">
      <c r="A798" s="95"/>
      <c r="B798" s="95"/>
      <c r="C798" s="55" t="s">
        <v>260</v>
      </c>
      <c r="D798" s="55"/>
    </row>
    <row r="799" spans="1:5">
      <c r="A799" s="95"/>
      <c r="B799" s="95"/>
      <c r="C799" s="55" t="s">
        <v>261</v>
      </c>
      <c r="D799" s="55"/>
    </row>
    <row r="800" spans="1:5">
      <c r="A800" s="95"/>
      <c r="B800" s="95"/>
      <c r="C800" s="55" t="s">
        <v>262</v>
      </c>
      <c r="D800" s="55"/>
    </row>
    <row r="801" spans="1:5">
      <c r="A801" s="95"/>
      <c r="B801" s="95"/>
      <c r="C801" s="55" t="s">
        <v>263</v>
      </c>
      <c r="D801" s="55"/>
    </row>
    <row r="802" spans="1:5">
      <c r="A802" s="95"/>
      <c r="B802" s="95"/>
      <c r="C802" s="55" t="s">
        <v>264</v>
      </c>
      <c r="D802" s="55"/>
    </row>
    <row r="803" spans="1:5">
      <c r="A803" s="95"/>
      <c r="B803" s="95"/>
      <c r="C803" s="55" t="s">
        <v>265</v>
      </c>
      <c r="D803" s="55"/>
    </row>
    <row r="804" spans="1:5">
      <c r="A804" s="95"/>
      <c r="B804" s="95"/>
      <c r="C804" s="55" t="s">
        <v>266</v>
      </c>
      <c r="D804" s="55"/>
    </row>
    <row r="805" spans="1:5">
      <c r="A805" s="95"/>
      <c r="B805" s="95"/>
      <c r="C805" s="55" t="s">
        <v>267</v>
      </c>
      <c r="D805" s="55"/>
    </row>
    <row r="806" spans="1:5">
      <c r="A806" s="95"/>
      <c r="B806" s="95"/>
      <c r="C806" s="55" t="s">
        <v>268</v>
      </c>
      <c r="D806" s="55"/>
    </row>
    <row r="807" spans="1:5">
      <c r="A807" s="95"/>
      <c r="B807" s="95"/>
      <c r="C807" s="55" t="s">
        <v>269</v>
      </c>
      <c r="D807" s="55"/>
    </row>
    <row r="808" spans="1:5">
      <c r="A808" s="95"/>
      <c r="B808" s="95"/>
      <c r="C808" s="55" t="s">
        <v>271</v>
      </c>
      <c r="D808" s="55"/>
    </row>
    <row r="809" spans="1:5">
      <c r="A809" s="95"/>
      <c r="B809" s="95"/>
      <c r="C809" s="55" t="s">
        <v>270</v>
      </c>
      <c r="D809" s="55"/>
      <c r="E809" t="s">
        <v>218</v>
      </c>
    </row>
    <row r="810" spans="1:5">
      <c r="A810" s="95"/>
      <c r="B810" s="95"/>
      <c r="C810" s="55" t="s">
        <v>272</v>
      </c>
      <c r="D810" s="55"/>
    </row>
    <row r="811" spans="1:5">
      <c r="A811" s="95"/>
      <c r="B811" s="95"/>
      <c r="C811" s="55" t="s">
        <v>273</v>
      </c>
      <c r="D811" s="55"/>
    </row>
    <row r="812" spans="1:5">
      <c r="A812" s="95"/>
      <c r="B812" s="95"/>
      <c r="C812" s="55" t="s">
        <v>274</v>
      </c>
      <c r="D812" s="55"/>
    </row>
    <row r="813" spans="1:5">
      <c r="A813" s="95"/>
      <c r="B813" s="95"/>
      <c r="C813" s="55" t="s">
        <v>275</v>
      </c>
      <c r="D813" s="55"/>
    </row>
    <row r="814" spans="1:5">
      <c r="A814" s="95"/>
      <c r="B814" s="95"/>
      <c r="C814" s="55" t="s">
        <v>276</v>
      </c>
      <c r="D814" s="55"/>
    </row>
    <row r="815" spans="1:5">
      <c r="A815" s="95"/>
      <c r="B815" s="95"/>
      <c r="C815" s="55" t="s">
        <v>277</v>
      </c>
      <c r="D815" s="55"/>
    </row>
    <row r="816" spans="1:5">
      <c r="A816" s="95"/>
      <c r="B816" s="95"/>
      <c r="C816" s="55" t="s">
        <v>278</v>
      </c>
      <c r="D816" s="55"/>
    </row>
    <row r="817" spans="1:4">
      <c r="A817" s="95"/>
      <c r="B817" s="95"/>
      <c r="C817" s="55" t="s">
        <v>279</v>
      </c>
      <c r="D817" s="55"/>
    </row>
    <row r="818" spans="1:4">
      <c r="A818" s="95"/>
      <c r="B818" s="95"/>
      <c r="C818" s="55" t="s">
        <v>280</v>
      </c>
      <c r="D818" s="55"/>
    </row>
    <row r="819" spans="1:4">
      <c r="A819" s="95"/>
      <c r="B819" s="95"/>
      <c r="C819" s="55" t="s">
        <v>281</v>
      </c>
      <c r="D819" s="55"/>
    </row>
    <row r="820" spans="1:4">
      <c r="A820" s="95"/>
      <c r="B820" s="95"/>
      <c r="C820" s="55" t="s">
        <v>282</v>
      </c>
      <c r="D820" s="55"/>
    </row>
    <row r="821" spans="1:4">
      <c r="A821" s="95"/>
      <c r="B821" s="95"/>
      <c r="C821" s="55" t="s">
        <v>283</v>
      </c>
      <c r="D821" s="55"/>
    </row>
    <row r="822" spans="1:4">
      <c r="A822" s="95"/>
      <c r="B822" s="95"/>
      <c r="C822" s="55" t="s">
        <v>284</v>
      </c>
      <c r="D822" s="55"/>
    </row>
    <row r="823" spans="1:4">
      <c r="A823" s="95"/>
      <c r="B823" s="95"/>
      <c r="C823" s="55" t="s">
        <v>285</v>
      </c>
      <c r="D823" s="55"/>
    </row>
    <row r="824" spans="1:4">
      <c r="A824" s="95"/>
      <c r="B824" s="95"/>
      <c r="C824" s="55" t="s">
        <v>286</v>
      </c>
      <c r="D824" s="55"/>
    </row>
    <row r="825" spans="1:4">
      <c r="A825" s="95"/>
      <c r="B825" s="95"/>
      <c r="C825" s="55" t="s">
        <v>287</v>
      </c>
      <c r="D825" s="55"/>
    </row>
    <row r="826" spans="1:4">
      <c r="A826" s="95"/>
      <c r="B826" s="95"/>
      <c r="C826" s="55" t="s">
        <v>288</v>
      </c>
      <c r="D826" s="55"/>
    </row>
    <row r="827" spans="1:4">
      <c r="A827" s="95"/>
      <c r="B827" s="95"/>
      <c r="C827" s="55" t="s">
        <v>289</v>
      </c>
      <c r="D827" s="55"/>
    </row>
    <row r="828" spans="1:4">
      <c r="A828" s="95"/>
      <c r="B828" s="95"/>
      <c r="C828" s="55" t="s">
        <v>290</v>
      </c>
      <c r="D828" s="55"/>
    </row>
    <row r="829" spans="1:4">
      <c r="A829" s="95"/>
      <c r="B829" s="95"/>
      <c r="C829" s="55" t="s">
        <v>291</v>
      </c>
      <c r="D829" s="55"/>
    </row>
    <row r="830" spans="1:4">
      <c r="A830" s="95"/>
      <c r="B830" s="95"/>
      <c r="C830" s="55" t="s">
        <v>292</v>
      </c>
      <c r="D830" s="55"/>
    </row>
    <row r="831" spans="1:4">
      <c r="A831" s="95"/>
      <c r="B831" s="95"/>
      <c r="C831" s="55" t="s">
        <v>942</v>
      </c>
      <c r="D831" s="127" t="s">
        <v>943</v>
      </c>
    </row>
    <row r="832" spans="1:4">
      <c r="A832" s="95"/>
      <c r="B832" s="95"/>
      <c r="C832" s="55" t="s">
        <v>944</v>
      </c>
      <c r="D832" s="127" t="s">
        <v>304</v>
      </c>
    </row>
    <row r="833" spans="1:4">
      <c r="A833" s="95"/>
      <c r="B833" s="95"/>
      <c r="C833" s="55" t="s">
        <v>945</v>
      </c>
      <c r="D833" s="127" t="s">
        <v>304</v>
      </c>
    </row>
    <row r="834" spans="1:4" ht="15">
      <c r="A834" s="95"/>
      <c r="B834" s="95"/>
      <c r="C834" s="55" t="s">
        <v>946</v>
      </c>
      <c r="D834" s="125"/>
    </row>
    <row r="835" spans="1:4">
      <c r="A835" s="95"/>
      <c r="B835" s="95"/>
      <c r="C835" s="55" t="s">
        <v>300</v>
      </c>
      <c r="D835" s="55"/>
    </row>
    <row r="836" spans="1:4">
      <c r="A836" s="95"/>
      <c r="B836" s="95"/>
      <c r="C836" s="55" t="s">
        <v>295</v>
      </c>
      <c r="D836" s="55"/>
    </row>
    <row r="837" spans="1:4">
      <c r="A837" s="95"/>
      <c r="B837" s="95"/>
      <c r="C837" s="55" t="s">
        <v>296</v>
      </c>
      <c r="D837" s="55"/>
    </row>
    <row r="838" spans="1:4">
      <c r="A838" s="95"/>
      <c r="B838" s="95"/>
      <c r="C838" s="55" t="s">
        <v>293</v>
      </c>
      <c r="D838" s="55"/>
    </row>
    <row r="839" spans="1:4">
      <c r="A839" s="95"/>
      <c r="B839" s="95"/>
      <c r="C839" s="55" t="s">
        <v>297</v>
      </c>
      <c r="D839" s="55"/>
    </row>
    <row r="840" spans="1:4">
      <c r="A840" s="95"/>
      <c r="B840" s="95"/>
      <c r="C840" s="55" t="s">
        <v>294</v>
      </c>
      <c r="D840" s="55"/>
    </row>
    <row r="841" spans="1:4">
      <c r="A841" s="95"/>
      <c r="B841" s="95"/>
      <c r="C841" s="55" t="s">
        <v>298</v>
      </c>
      <c r="D841" s="55"/>
    </row>
    <row r="842" spans="1:4">
      <c r="A842" s="95"/>
      <c r="B842" s="95"/>
      <c r="C842" s="55" t="s">
        <v>947</v>
      </c>
      <c r="D842" s="55"/>
    </row>
    <row r="843" spans="1:4">
      <c r="A843" s="95"/>
      <c r="B843" s="95"/>
      <c r="C843" s="55" t="s">
        <v>948</v>
      </c>
      <c r="D843" s="55"/>
    </row>
    <row r="844" spans="1:4">
      <c r="A844" s="95"/>
      <c r="B844" s="95"/>
      <c r="C844" s="55" t="s">
        <v>949</v>
      </c>
      <c r="D844" s="55"/>
    </row>
    <row r="845" spans="1:4">
      <c r="A845" s="95"/>
      <c r="B845" s="95"/>
      <c r="C845" s="55" t="s">
        <v>950</v>
      </c>
      <c r="D845" s="55"/>
    </row>
    <row r="846" spans="1:4">
      <c r="A846" s="95"/>
      <c r="B846" s="95"/>
      <c r="C846" s="55" t="s">
        <v>951</v>
      </c>
      <c r="D846" s="55"/>
    </row>
    <row r="847" spans="1:4">
      <c r="A847" s="95"/>
      <c r="B847" s="95"/>
      <c r="C847" s="55" t="s">
        <v>952</v>
      </c>
      <c r="D847" s="55"/>
    </row>
    <row r="848" spans="1:4">
      <c r="A848" s="95"/>
      <c r="B848" s="95"/>
      <c r="C848" s="55" t="s">
        <v>953</v>
      </c>
      <c r="D848" s="55"/>
    </row>
    <row r="849" spans="1:4">
      <c r="A849" s="95"/>
      <c r="B849" s="95"/>
      <c r="C849" s="55" t="s">
        <v>954</v>
      </c>
      <c r="D849" s="55"/>
    </row>
    <row r="850" spans="1:4">
      <c r="A850" s="95"/>
      <c r="B850" s="95"/>
      <c r="C850" s="55" t="s">
        <v>317</v>
      </c>
      <c r="D850" s="55"/>
    </row>
    <row r="851" spans="1:4">
      <c r="A851" s="68" t="s">
        <v>955</v>
      </c>
      <c r="B851" s="68"/>
      <c r="C851" s="57" t="s">
        <v>343</v>
      </c>
      <c r="D851" s="57"/>
    </row>
    <row r="852" spans="1:4">
      <c r="A852" s="69"/>
      <c r="B852" s="69"/>
      <c r="C852" s="57" t="s">
        <v>140</v>
      </c>
      <c r="D852" s="57"/>
    </row>
    <row r="853" spans="1:4">
      <c r="A853" s="95" t="s">
        <v>956</v>
      </c>
      <c r="B853" s="95" t="s">
        <v>5</v>
      </c>
      <c r="C853" s="55" t="s">
        <v>957</v>
      </c>
      <c r="D853" s="55"/>
    </row>
    <row r="854" spans="1:4">
      <c r="A854" s="95"/>
      <c r="B854" s="95"/>
      <c r="C854" s="55" t="s">
        <v>958</v>
      </c>
      <c r="D854" s="55"/>
    </row>
    <row r="855" spans="1:4">
      <c r="A855" s="95"/>
      <c r="B855" s="95"/>
      <c r="C855" s="55" t="s">
        <v>959</v>
      </c>
      <c r="D855" s="55"/>
    </row>
    <row r="856" spans="1:4">
      <c r="A856" s="95"/>
      <c r="B856" s="95"/>
      <c r="C856" s="55" t="s">
        <v>960</v>
      </c>
      <c r="D856" s="55"/>
    </row>
    <row r="857" spans="1:4">
      <c r="A857" s="95"/>
      <c r="B857" s="95"/>
      <c r="C857" s="55" t="s">
        <v>961</v>
      </c>
      <c r="D857" s="55"/>
    </row>
    <row r="858" spans="1:4">
      <c r="A858" s="95"/>
      <c r="B858" s="95"/>
      <c r="C858" s="55" t="s">
        <v>962</v>
      </c>
      <c r="D858" s="55"/>
    </row>
    <row r="859" spans="1:4">
      <c r="A859" s="95"/>
      <c r="B859" s="95"/>
      <c r="C859" s="55" t="s">
        <v>963</v>
      </c>
      <c r="D859" s="55"/>
    </row>
    <row r="860" spans="1:4">
      <c r="A860" s="95"/>
      <c r="B860" s="95"/>
      <c r="C860" s="55" t="s">
        <v>964</v>
      </c>
      <c r="D860" s="55"/>
    </row>
    <row r="861" spans="1:4">
      <c r="A861" s="95"/>
      <c r="B861" s="95"/>
      <c r="C861" s="55" t="s">
        <v>965</v>
      </c>
      <c r="D861" s="55"/>
    </row>
    <row r="862" spans="1:4">
      <c r="A862" s="68" t="s">
        <v>966</v>
      </c>
      <c r="B862" s="68" t="s">
        <v>5</v>
      </c>
      <c r="C862" s="57" t="s">
        <v>29</v>
      </c>
      <c r="D862" s="57"/>
    </row>
    <row r="863" spans="1:4">
      <c r="A863" s="69"/>
      <c r="B863" s="69"/>
      <c r="C863" s="57" t="s">
        <v>967</v>
      </c>
      <c r="D863" s="57"/>
    </row>
    <row r="864" spans="1:4">
      <c r="A864" s="69"/>
      <c r="B864" s="69"/>
      <c r="C864" s="57" t="s">
        <v>40</v>
      </c>
      <c r="D864" s="57"/>
    </row>
    <row r="865" spans="1:4">
      <c r="A865" s="69"/>
      <c r="B865" s="69"/>
      <c r="C865" s="57" t="s">
        <v>89</v>
      </c>
      <c r="D865" s="57"/>
    </row>
    <row r="866" spans="1:4">
      <c r="A866" s="69"/>
      <c r="B866" s="69"/>
      <c r="C866" s="57" t="s">
        <v>968</v>
      </c>
      <c r="D866" s="57"/>
    </row>
    <row r="867" spans="1:4">
      <c r="A867" s="69"/>
      <c r="B867" s="69"/>
      <c r="C867" s="57" t="s">
        <v>969</v>
      </c>
      <c r="D867" s="57"/>
    </row>
    <row r="868" spans="1:4">
      <c r="A868" s="69"/>
      <c r="B868" s="69"/>
      <c r="C868" s="57" t="s">
        <v>45</v>
      </c>
      <c r="D868" s="57"/>
    </row>
    <row r="869" spans="1:4">
      <c r="A869" s="69"/>
      <c r="B869" s="69"/>
      <c r="C869" s="57" t="s">
        <v>970</v>
      </c>
      <c r="D869" s="57"/>
    </row>
    <row r="870" spans="1:4">
      <c r="A870" s="95" t="s">
        <v>971</v>
      </c>
      <c r="B870" s="95" t="s">
        <v>5</v>
      </c>
      <c r="C870" s="55" t="s">
        <v>29</v>
      </c>
      <c r="D870" s="55"/>
    </row>
    <row r="871" spans="1:4">
      <c r="A871" s="95"/>
      <c r="B871" s="95"/>
      <c r="C871" s="55" t="s">
        <v>40</v>
      </c>
      <c r="D871" s="55"/>
    </row>
    <row r="872" spans="1:4">
      <c r="A872" s="95"/>
      <c r="B872" s="95"/>
      <c r="C872" s="55" t="s">
        <v>968</v>
      </c>
      <c r="D872" s="55"/>
    </row>
    <row r="873" spans="1:4">
      <c r="A873" s="95"/>
      <c r="B873" s="95"/>
      <c r="C873" s="55" t="s">
        <v>317</v>
      </c>
      <c r="D873" s="55"/>
    </row>
    <row r="874" spans="1:4">
      <c r="A874" s="68" t="s">
        <v>972</v>
      </c>
      <c r="B874" s="68" t="s">
        <v>5</v>
      </c>
      <c r="C874" s="57" t="s">
        <v>973</v>
      </c>
      <c r="D874" s="57"/>
    </row>
    <row r="875" spans="1:4">
      <c r="A875" s="69"/>
      <c r="B875" s="69"/>
      <c r="C875" s="57" t="s">
        <v>760</v>
      </c>
      <c r="D875" s="57"/>
    </row>
    <row r="876" spans="1:4">
      <c r="A876" s="69"/>
      <c r="B876" s="69"/>
      <c r="C876" s="57" t="s">
        <v>761</v>
      </c>
      <c r="D876" s="57"/>
    </row>
    <row r="877" spans="1:4">
      <c r="A877" s="69"/>
      <c r="B877" s="69"/>
      <c r="C877" s="57" t="s">
        <v>762</v>
      </c>
      <c r="D877" s="57"/>
    </row>
    <row r="878" spans="1:4">
      <c r="A878" s="69"/>
      <c r="B878" s="69"/>
      <c r="C878" s="57" t="s">
        <v>974</v>
      </c>
      <c r="D878" s="57"/>
    </row>
    <row r="879" spans="1:4">
      <c r="A879" s="69"/>
      <c r="B879" s="69"/>
      <c r="C879" s="57" t="s">
        <v>975</v>
      </c>
      <c r="D879" s="57"/>
    </row>
    <row r="880" spans="1:4">
      <c r="A880" s="69"/>
      <c r="B880" s="69"/>
      <c r="C880" s="57" t="s">
        <v>976</v>
      </c>
      <c r="D880" s="57"/>
    </row>
    <row r="881" spans="1:5">
      <c r="A881" s="69"/>
      <c r="B881" s="69"/>
      <c r="C881" s="57" t="s">
        <v>977</v>
      </c>
      <c r="D881" s="57"/>
    </row>
    <row r="882" spans="1:5">
      <c r="A882" s="69"/>
      <c r="B882" s="69"/>
      <c r="C882" s="57" t="s">
        <v>978</v>
      </c>
      <c r="D882" s="57" t="s">
        <v>978</v>
      </c>
      <c r="E882" t="s">
        <v>218</v>
      </c>
    </row>
    <row r="883" spans="1:5">
      <c r="A883" s="70"/>
      <c r="B883" s="70"/>
      <c r="C883" s="57" t="s">
        <v>317</v>
      </c>
      <c r="D883" s="57"/>
    </row>
    <row r="884" spans="1:5">
      <c r="A884" s="84" t="s">
        <v>979</v>
      </c>
      <c r="B884" s="84" t="s">
        <v>5</v>
      </c>
      <c r="C884" s="55" t="s">
        <v>937</v>
      </c>
      <c r="D884" s="55"/>
    </row>
    <row r="885" spans="1:5">
      <c r="A885" s="85"/>
      <c r="B885" s="85"/>
      <c r="C885" s="55" t="s">
        <v>980</v>
      </c>
      <c r="D885" s="55"/>
    </row>
    <row r="886" spans="1:5">
      <c r="A886" s="85"/>
      <c r="B886" s="85"/>
      <c r="C886" s="55" t="s">
        <v>981</v>
      </c>
      <c r="D886" s="55"/>
    </row>
    <row r="887" spans="1:5">
      <c r="A887" s="85"/>
      <c r="B887" s="85"/>
      <c r="C887" s="55" t="s">
        <v>982</v>
      </c>
      <c r="D887" s="55"/>
    </row>
    <row r="888" spans="1:5">
      <c r="A888" s="85"/>
      <c r="B888" s="85"/>
      <c r="C888" s="55" t="s">
        <v>983</v>
      </c>
      <c r="D888" s="55"/>
    </row>
    <row r="889" spans="1:5">
      <c r="A889" s="85"/>
      <c r="B889" s="85"/>
      <c r="C889" s="55" t="s">
        <v>984</v>
      </c>
      <c r="D889" s="55" t="s">
        <v>985</v>
      </c>
    </row>
    <row r="890" spans="1:5">
      <c r="A890" s="85"/>
      <c r="B890" s="85"/>
      <c r="C890" s="55" t="s">
        <v>986</v>
      </c>
      <c r="D890" s="55"/>
    </row>
    <row r="891" spans="1:5">
      <c r="A891" s="68" t="s">
        <v>476</v>
      </c>
      <c r="B891" s="68" t="s">
        <v>5</v>
      </c>
      <c r="C891" s="57" t="s">
        <v>987</v>
      </c>
      <c r="D891" s="57"/>
    </row>
    <row r="892" spans="1:5">
      <c r="A892" s="69"/>
      <c r="B892" s="69"/>
      <c r="C892" s="57" t="s">
        <v>988</v>
      </c>
      <c r="D892" s="57"/>
    </row>
    <row r="893" spans="1:5">
      <c r="A893" s="69"/>
      <c r="B893" s="69"/>
      <c r="C893" s="57" t="s">
        <v>989</v>
      </c>
      <c r="D893" s="57"/>
    </row>
    <row r="894" spans="1:5">
      <c r="A894" s="69"/>
      <c r="B894" s="69"/>
      <c r="C894" s="57" t="s">
        <v>990</v>
      </c>
      <c r="D894" s="57"/>
    </row>
    <row r="895" spans="1:5">
      <c r="A895" s="69"/>
      <c r="B895" s="69"/>
      <c r="C895" s="57" t="s">
        <v>991</v>
      </c>
      <c r="D895" s="57"/>
    </row>
    <row r="896" spans="1:5">
      <c r="A896" s="69"/>
      <c r="B896" s="69"/>
      <c r="C896" s="57" t="s">
        <v>317</v>
      </c>
      <c r="D896" s="57"/>
    </row>
    <row r="897" spans="1:4">
      <c r="A897" s="84" t="s">
        <v>992</v>
      </c>
      <c r="B897" s="84" t="s">
        <v>5</v>
      </c>
      <c r="C897" s="55" t="s">
        <v>993</v>
      </c>
      <c r="D897" s="55"/>
    </row>
    <row r="898" spans="1:4">
      <c r="A898" s="85"/>
      <c r="B898" s="85"/>
      <c r="C898" s="55" t="s">
        <v>994</v>
      </c>
      <c r="D898" s="55"/>
    </row>
    <row r="899" spans="1:4">
      <c r="A899" s="85"/>
      <c r="B899" s="85"/>
      <c r="C899" s="55" t="s">
        <v>937</v>
      </c>
      <c r="D899" s="55"/>
    </row>
    <row r="900" spans="1:4">
      <c r="A900" s="85"/>
      <c r="B900" s="85"/>
      <c r="C900" s="55" t="s">
        <v>317</v>
      </c>
      <c r="D900" s="55"/>
    </row>
    <row r="901" spans="1:4">
      <c r="A901" s="68" t="s">
        <v>995</v>
      </c>
      <c r="B901" s="68" t="s">
        <v>5</v>
      </c>
      <c r="C901" s="57" t="s">
        <v>996</v>
      </c>
      <c r="D901" s="57"/>
    </row>
    <row r="902" spans="1:4">
      <c r="A902" s="69"/>
      <c r="B902" s="69"/>
      <c r="C902" s="57" t="s">
        <v>997</v>
      </c>
      <c r="D902" s="57"/>
    </row>
    <row r="903" spans="1:4">
      <c r="A903" s="69"/>
      <c r="B903" s="69"/>
      <c r="C903" s="57" t="s">
        <v>751</v>
      </c>
      <c r="D903" s="57"/>
    </row>
    <row r="904" spans="1:4">
      <c r="A904" s="69"/>
      <c r="B904" s="69"/>
      <c r="C904" s="57" t="s">
        <v>998</v>
      </c>
      <c r="D904" s="57"/>
    </row>
    <row r="905" spans="1:4">
      <c r="A905" s="69"/>
      <c r="B905" s="69"/>
      <c r="C905" s="57" t="s">
        <v>999</v>
      </c>
      <c r="D905" s="57"/>
    </row>
    <row r="906" spans="1:4">
      <c r="A906" s="94" t="s">
        <v>1000</v>
      </c>
      <c r="B906" s="94" t="s">
        <v>5</v>
      </c>
      <c r="C906" s="60" t="s">
        <v>1001</v>
      </c>
      <c r="D906" s="60"/>
    </row>
    <row r="907" spans="1:4">
      <c r="A907" s="95"/>
      <c r="B907" s="95"/>
      <c r="C907" s="60" t="s">
        <v>1002</v>
      </c>
      <c r="D907" s="60"/>
    </row>
    <row r="908" spans="1:4">
      <c r="A908" s="95"/>
      <c r="B908" s="95"/>
      <c r="C908" s="55" t="s">
        <v>1003</v>
      </c>
      <c r="D908" s="55"/>
    </row>
    <row r="909" spans="1:4">
      <c r="A909" s="95"/>
      <c r="B909" s="95"/>
      <c r="C909" s="55" t="s">
        <v>1004</v>
      </c>
      <c r="D909" s="55"/>
    </row>
    <row r="910" spans="1:4">
      <c r="A910" s="95"/>
      <c r="B910" s="95"/>
      <c r="C910" s="55" t="s">
        <v>1005</v>
      </c>
      <c r="D910" s="55"/>
    </row>
    <row r="911" spans="1:4">
      <c r="A911" s="95"/>
      <c r="B911" s="95"/>
      <c r="C911" s="55" t="s">
        <v>1006</v>
      </c>
      <c r="D911" s="55"/>
    </row>
    <row r="912" spans="1:4">
      <c r="A912" s="90" t="s">
        <v>1007</v>
      </c>
      <c r="B912" s="90" t="s">
        <v>5</v>
      </c>
      <c r="C912" s="62" t="s">
        <v>29</v>
      </c>
      <c r="D912" s="62"/>
    </row>
    <row r="913" spans="1:5">
      <c r="A913" s="72"/>
      <c r="B913" s="72"/>
      <c r="C913" s="62" t="s">
        <v>967</v>
      </c>
      <c r="D913" s="62"/>
    </row>
    <row r="914" spans="1:5">
      <c r="A914" s="72"/>
      <c r="B914" s="72"/>
      <c r="C914" s="57" t="s">
        <v>40</v>
      </c>
      <c r="D914" s="57"/>
    </row>
    <row r="915" spans="1:5">
      <c r="A915" s="72"/>
      <c r="B915" s="72"/>
      <c r="C915" s="57" t="s">
        <v>89</v>
      </c>
      <c r="D915" s="57"/>
    </row>
    <row r="916" spans="1:5">
      <c r="A916" s="72"/>
      <c r="B916" s="72"/>
      <c r="C916" s="57" t="s">
        <v>968</v>
      </c>
      <c r="D916" s="57"/>
    </row>
    <row r="917" spans="1:5">
      <c r="A917" s="72"/>
      <c r="B917" s="72"/>
      <c r="C917" s="57" t="s">
        <v>969</v>
      </c>
      <c r="D917" s="57"/>
    </row>
    <row r="918" spans="1:5">
      <c r="A918" s="72"/>
      <c r="B918" s="72"/>
      <c r="C918" s="62" t="s">
        <v>45</v>
      </c>
      <c r="D918" s="62"/>
    </row>
    <row r="919" spans="1:5">
      <c r="A919" s="72"/>
      <c r="B919" s="72"/>
      <c r="C919" s="62" t="s">
        <v>970</v>
      </c>
      <c r="D919" s="62"/>
    </row>
    <row r="920" spans="1:5" ht="15">
      <c r="A920" s="94" t="s">
        <v>1008</v>
      </c>
      <c r="B920" s="94" t="s">
        <v>5</v>
      </c>
      <c r="C920" s="60" t="s">
        <v>1009</v>
      </c>
      <c r="D920" s="60"/>
      <c r="E920" s="61"/>
    </row>
    <row r="921" spans="1:5" ht="15">
      <c r="A921" s="95"/>
      <c r="B921" s="95"/>
      <c r="C921" s="60" t="s">
        <v>1010</v>
      </c>
      <c r="D921" s="60"/>
      <c r="E921" s="61"/>
    </row>
    <row r="922" spans="1:5" ht="15">
      <c r="A922" s="95"/>
      <c r="B922" s="95"/>
      <c r="C922" s="55" t="s">
        <v>1011</v>
      </c>
      <c r="D922" s="55"/>
      <c r="E922" s="61"/>
    </row>
    <row r="923" spans="1:5" ht="15">
      <c r="A923" s="95"/>
      <c r="B923" s="95"/>
      <c r="C923" s="55" t="s">
        <v>1012</v>
      </c>
      <c r="D923" s="55"/>
      <c r="E923" s="61"/>
    </row>
    <row r="924" spans="1:5" ht="15">
      <c r="A924" s="95"/>
      <c r="B924" s="95"/>
      <c r="C924" s="55" t="s">
        <v>1013</v>
      </c>
      <c r="D924" s="55"/>
      <c r="E924" s="61"/>
    </row>
    <row r="925" spans="1:5">
      <c r="A925" s="95"/>
      <c r="B925" s="95"/>
      <c r="C925" s="55" t="s">
        <v>317</v>
      </c>
      <c r="D925" s="55"/>
    </row>
    <row r="926" spans="1:5">
      <c r="A926" s="90" t="s">
        <v>1014</v>
      </c>
      <c r="B926" s="90" t="s">
        <v>5</v>
      </c>
      <c r="C926" s="57" t="s">
        <v>1015</v>
      </c>
      <c r="D926" s="57"/>
    </row>
    <row r="927" spans="1:5">
      <c r="A927" s="72"/>
      <c r="B927" s="72"/>
      <c r="C927" s="57" t="s">
        <v>1016</v>
      </c>
      <c r="D927" s="57"/>
    </row>
    <row r="928" spans="1:5">
      <c r="A928" s="72"/>
      <c r="B928" s="72"/>
      <c r="C928" s="57" t="s">
        <v>1017</v>
      </c>
      <c r="D928" s="57"/>
    </row>
    <row r="929" spans="1:5">
      <c r="A929" s="91" t="s">
        <v>1018</v>
      </c>
      <c r="B929" s="91" t="s">
        <v>5</v>
      </c>
      <c r="C929" s="60" t="s">
        <v>1019</v>
      </c>
      <c r="D929" s="60"/>
    </row>
    <row r="930" spans="1:5">
      <c r="A930" s="92"/>
      <c r="B930" s="92"/>
      <c r="C930" s="60" t="s">
        <v>760</v>
      </c>
      <c r="D930" s="60"/>
    </row>
    <row r="931" spans="1:5">
      <c r="A931" s="92"/>
      <c r="B931" s="92"/>
      <c r="C931" s="55" t="s">
        <v>973</v>
      </c>
      <c r="D931" s="55"/>
    </row>
    <row r="932" spans="1:5">
      <c r="A932" s="92"/>
      <c r="B932" s="92"/>
      <c r="C932" s="55" t="s">
        <v>761</v>
      </c>
      <c r="D932" s="55"/>
    </row>
    <row r="933" spans="1:5">
      <c r="A933" s="92"/>
      <c r="B933" s="92"/>
      <c r="C933" s="55" t="s">
        <v>317</v>
      </c>
      <c r="D933" s="55"/>
    </row>
    <row r="934" spans="1:5">
      <c r="A934" s="98" t="s">
        <v>1020</v>
      </c>
      <c r="B934" s="98" t="s">
        <v>5</v>
      </c>
      <c r="C934" s="62" t="s">
        <v>973</v>
      </c>
      <c r="D934" s="62"/>
    </row>
    <row r="935" spans="1:5">
      <c r="A935" s="99"/>
      <c r="B935" s="99"/>
      <c r="C935" s="62" t="s">
        <v>760</v>
      </c>
      <c r="D935" s="62"/>
    </row>
    <row r="936" spans="1:5">
      <c r="A936" s="99"/>
      <c r="B936" s="99"/>
      <c r="C936" s="57" t="s">
        <v>761</v>
      </c>
      <c r="D936" s="57"/>
    </row>
    <row r="937" spans="1:5">
      <c r="A937" s="99"/>
      <c r="B937" s="99"/>
      <c r="C937" s="57" t="s">
        <v>762</v>
      </c>
      <c r="D937" s="57"/>
    </row>
    <row r="938" spans="1:5">
      <c r="A938" s="99"/>
      <c r="B938" s="99"/>
      <c r="C938" s="57" t="s">
        <v>1021</v>
      </c>
      <c r="D938" s="57"/>
    </row>
    <row r="939" spans="1:5">
      <c r="A939" s="99"/>
      <c r="B939" s="99"/>
      <c r="C939" s="62" t="s">
        <v>1021</v>
      </c>
      <c r="D939" s="62"/>
    </row>
    <row r="940" spans="1:5">
      <c r="A940" s="99"/>
      <c r="B940" s="99"/>
      <c r="C940" s="62" t="s">
        <v>975</v>
      </c>
      <c r="D940" s="62"/>
    </row>
    <row r="941" spans="1:5">
      <c r="A941" s="99"/>
      <c r="B941" s="99"/>
      <c r="C941" s="57" t="s">
        <v>976</v>
      </c>
      <c r="D941" s="57"/>
    </row>
    <row r="942" spans="1:5">
      <c r="A942" s="99"/>
      <c r="B942" s="99"/>
      <c r="C942" s="62" t="s">
        <v>977</v>
      </c>
      <c r="D942" s="62"/>
    </row>
    <row r="943" spans="1:5">
      <c r="A943" s="99"/>
      <c r="B943" s="99"/>
      <c r="C943" s="62" t="s">
        <v>1019</v>
      </c>
      <c r="D943" s="62"/>
    </row>
    <row r="944" spans="1:5">
      <c r="A944" s="99"/>
      <c r="B944" s="99"/>
      <c r="C944" s="57" t="s">
        <v>1022</v>
      </c>
      <c r="D944" s="57" t="s">
        <v>1022</v>
      </c>
      <c r="E944" t="s">
        <v>218</v>
      </c>
    </row>
    <row r="945" spans="1:4">
      <c r="A945" s="123"/>
      <c r="B945" s="123"/>
      <c r="C945" s="57" t="s">
        <v>317</v>
      </c>
      <c r="D945" s="57"/>
    </row>
    <row r="946" spans="1:4" ht="14.25" customHeight="1">
      <c r="A946" s="91" t="s">
        <v>1023</v>
      </c>
      <c r="B946" s="91" t="s">
        <v>5</v>
      </c>
      <c r="C946" s="60" t="s">
        <v>1024</v>
      </c>
      <c r="D946" s="60"/>
    </row>
    <row r="947" spans="1:4">
      <c r="A947" s="92"/>
      <c r="B947" s="92"/>
      <c r="C947" s="60" t="s">
        <v>1025</v>
      </c>
      <c r="D947" s="60"/>
    </row>
    <row r="948" spans="1:4">
      <c r="A948" s="92"/>
      <c r="B948" s="92"/>
      <c r="C948" s="55" t="s">
        <v>1026</v>
      </c>
      <c r="D948" s="55"/>
    </row>
    <row r="949" spans="1:4">
      <c r="A949" s="92"/>
      <c r="B949" s="92"/>
      <c r="C949" s="55" t="s">
        <v>1027</v>
      </c>
      <c r="D949" s="55"/>
    </row>
    <row r="950" spans="1:4">
      <c r="A950" s="92"/>
      <c r="B950" s="92"/>
      <c r="C950" s="55" t="s">
        <v>1028</v>
      </c>
      <c r="D950" s="55"/>
    </row>
    <row r="951" spans="1:4">
      <c r="A951" s="92"/>
      <c r="B951" s="92"/>
      <c r="C951" s="60" t="s">
        <v>772</v>
      </c>
      <c r="D951" s="60"/>
    </row>
    <row r="952" spans="1:4">
      <c r="A952" s="92"/>
      <c r="B952" s="92"/>
      <c r="C952" s="60" t="s">
        <v>1019</v>
      </c>
      <c r="D952" s="60"/>
    </row>
    <row r="953" spans="1:4">
      <c r="A953" s="92"/>
      <c r="B953" s="92"/>
      <c r="C953" s="55" t="s">
        <v>1029</v>
      </c>
      <c r="D953" s="55" t="s">
        <v>1030</v>
      </c>
    </row>
    <row r="954" spans="1:4">
      <c r="A954" s="92"/>
      <c r="B954" s="92"/>
      <c r="C954" s="55" t="s">
        <v>984</v>
      </c>
      <c r="D954" s="55" t="s">
        <v>985</v>
      </c>
    </row>
    <row r="955" spans="1:4">
      <c r="A955" s="92"/>
      <c r="B955" s="92"/>
      <c r="C955" s="55" t="s">
        <v>317</v>
      </c>
      <c r="D955" s="55"/>
    </row>
    <row r="956" spans="1:4">
      <c r="A956" s="98" t="s">
        <v>780</v>
      </c>
      <c r="B956" s="98" t="s">
        <v>5</v>
      </c>
      <c r="C956" s="57" t="s">
        <v>1031</v>
      </c>
      <c r="D956" s="57"/>
    </row>
    <row r="957" spans="1:4">
      <c r="A957" s="99"/>
      <c r="B957" s="99"/>
      <c r="C957" s="57" t="s">
        <v>1032</v>
      </c>
      <c r="D957" s="57"/>
    </row>
    <row r="958" spans="1:4">
      <c r="A958" s="99"/>
      <c r="B958" s="99"/>
      <c r="C958" s="57" t="s">
        <v>1033</v>
      </c>
      <c r="D958" s="57"/>
    </row>
    <row r="959" spans="1:4">
      <c r="A959" s="99"/>
      <c r="B959" s="99"/>
      <c r="C959" s="57" t="s">
        <v>1034</v>
      </c>
      <c r="D959" s="57"/>
    </row>
    <row r="960" spans="1:4">
      <c r="A960" s="99"/>
      <c r="B960" s="99"/>
      <c r="C960" s="57" t="s">
        <v>1035</v>
      </c>
      <c r="D960" s="57"/>
    </row>
    <row r="961" spans="1:5">
      <c r="A961" s="99"/>
      <c r="B961" s="99"/>
      <c r="C961" s="57" t="s">
        <v>1036</v>
      </c>
      <c r="D961" s="57"/>
    </row>
    <row r="962" spans="1:5">
      <c r="A962" s="99"/>
      <c r="B962" s="99"/>
      <c r="C962" s="57" t="s">
        <v>1037</v>
      </c>
      <c r="D962" s="57"/>
    </row>
    <row r="963" spans="1:5">
      <c r="A963" s="99"/>
      <c r="B963" s="99"/>
      <c r="C963" s="57" t="s">
        <v>861</v>
      </c>
      <c r="D963" s="57"/>
      <c r="E963" t="s">
        <v>218</v>
      </c>
    </row>
    <row r="964" spans="1:5">
      <c r="A964" s="100" t="s">
        <v>1038</v>
      </c>
      <c r="B964" s="91" t="s">
        <v>5</v>
      </c>
      <c r="C964" s="55" t="s">
        <v>996</v>
      </c>
      <c r="D964" s="55"/>
    </row>
    <row r="965" spans="1:5">
      <c r="A965" s="101"/>
      <c r="B965" s="92"/>
      <c r="C965" s="55" t="s">
        <v>997</v>
      </c>
      <c r="D965" s="55"/>
    </row>
    <row r="966" spans="1:5">
      <c r="A966" s="101"/>
      <c r="B966" s="92"/>
      <c r="C966" s="55" t="s">
        <v>751</v>
      </c>
      <c r="D966" s="55"/>
    </row>
    <row r="967" spans="1:5">
      <c r="A967" s="101"/>
      <c r="B967" s="92"/>
      <c r="C967" s="55" t="s">
        <v>998</v>
      </c>
      <c r="D967" s="55"/>
    </row>
    <row r="968" spans="1:5">
      <c r="A968" s="101"/>
      <c r="B968" s="92"/>
      <c r="C968" s="55" t="s">
        <v>999</v>
      </c>
      <c r="D968" s="55"/>
    </row>
    <row r="969" spans="1:5">
      <c r="A969" s="101"/>
      <c r="B969" s="92"/>
      <c r="C969" s="55" t="s">
        <v>1039</v>
      </c>
      <c r="D969" s="55"/>
      <c r="E969" t="s">
        <v>218</v>
      </c>
    </row>
    <row r="970" spans="1:5">
      <c r="A970" s="102" t="s">
        <v>1040</v>
      </c>
      <c r="B970" s="98" t="s">
        <v>5</v>
      </c>
      <c r="C970" s="57" t="s">
        <v>1041</v>
      </c>
      <c r="D970" s="57"/>
    </row>
    <row r="971" spans="1:5">
      <c r="A971" s="103"/>
      <c r="B971" s="99"/>
      <c r="C971" s="57" t="s">
        <v>1042</v>
      </c>
      <c r="D971" s="57"/>
    </row>
    <row r="972" spans="1:5">
      <c r="A972" s="103"/>
      <c r="B972" s="99"/>
      <c r="C972" s="57" t="s">
        <v>1043</v>
      </c>
      <c r="D972" s="57"/>
    </row>
    <row r="973" spans="1:5">
      <c r="A973" s="103"/>
      <c r="B973" s="99"/>
      <c r="C973" s="57" t="s">
        <v>1044</v>
      </c>
      <c r="D973" s="57"/>
    </row>
    <row r="974" spans="1:5">
      <c r="A974" s="103"/>
      <c r="B974" s="99"/>
      <c r="C974" s="57" t="s">
        <v>1045</v>
      </c>
      <c r="D974" s="57"/>
    </row>
    <row r="975" spans="1:5">
      <c r="A975" s="103"/>
      <c r="B975" s="99"/>
      <c r="C975" s="57" t="s">
        <v>1046</v>
      </c>
      <c r="D975" s="57"/>
    </row>
    <row r="976" spans="1:5">
      <c r="A976" s="124"/>
      <c r="B976" s="123"/>
      <c r="C976" s="57" t="s">
        <v>317</v>
      </c>
      <c r="D976" s="57"/>
    </row>
    <row r="977" spans="1:5">
      <c r="A977" s="91" t="s">
        <v>1047</v>
      </c>
      <c r="B977" s="91" t="s">
        <v>5</v>
      </c>
      <c r="C977" s="55" t="s">
        <v>1048</v>
      </c>
      <c r="D977" s="55"/>
      <c r="E977" t="s">
        <v>1049</v>
      </c>
    </row>
    <row r="978" spans="1:5">
      <c r="A978" s="92"/>
      <c r="B978" s="92"/>
      <c r="C978" s="55" t="s">
        <v>1050</v>
      </c>
      <c r="D978" s="55"/>
    </row>
    <row r="979" spans="1:5">
      <c r="A979" s="92"/>
      <c r="B979" s="92"/>
      <c r="C979" s="55" t="s">
        <v>1051</v>
      </c>
      <c r="D979" s="55"/>
    </row>
    <row r="980" spans="1:5">
      <c r="A980" s="92"/>
      <c r="B980" s="92"/>
      <c r="C980" s="55" t="s">
        <v>1052</v>
      </c>
      <c r="D980" s="55"/>
    </row>
    <row r="981" spans="1:5">
      <c r="A981" s="92"/>
      <c r="B981" s="92"/>
      <c r="C981" s="55" t="s">
        <v>1053</v>
      </c>
      <c r="D981" s="55"/>
    </row>
    <row r="982" spans="1:5">
      <c r="A982" s="92"/>
      <c r="B982" s="92"/>
      <c r="C982" s="55" t="s">
        <v>1054</v>
      </c>
      <c r="D982" s="55"/>
    </row>
    <row r="983" spans="1:5">
      <c r="A983" s="92"/>
      <c r="B983" s="92"/>
      <c r="C983" s="55" t="s">
        <v>1055</v>
      </c>
      <c r="D983" s="55"/>
    </row>
    <row r="984" spans="1:5">
      <c r="A984" s="92"/>
      <c r="B984" s="92"/>
      <c r="C984" s="55" t="s">
        <v>1056</v>
      </c>
      <c r="D984" s="55"/>
    </row>
    <row r="985" spans="1:5">
      <c r="A985" s="92"/>
      <c r="B985" s="92"/>
      <c r="C985" s="55" t="s">
        <v>1057</v>
      </c>
      <c r="D985" s="55" t="s">
        <v>1058</v>
      </c>
      <c r="E985" t="s">
        <v>218</v>
      </c>
    </row>
    <row r="986" spans="1:5">
      <c r="A986" s="102" t="s">
        <v>1059</v>
      </c>
      <c r="B986" s="98" t="s">
        <v>5</v>
      </c>
      <c r="C986" s="57" t="s">
        <v>1001</v>
      </c>
      <c r="D986" s="57"/>
    </row>
    <row r="987" spans="1:5">
      <c r="A987" s="103"/>
      <c r="B987" s="99"/>
      <c r="C987" s="57" t="s">
        <v>1002</v>
      </c>
      <c r="D987" s="57"/>
    </row>
    <row r="988" spans="1:5">
      <c r="A988" s="103"/>
      <c r="B988" s="99"/>
      <c r="C988" s="57" t="s">
        <v>1060</v>
      </c>
      <c r="D988" s="57"/>
    </row>
    <row r="989" spans="1:5">
      <c r="A989" s="103"/>
      <c r="B989" s="99"/>
      <c r="C989" s="57" t="s">
        <v>1061</v>
      </c>
      <c r="D989" s="57"/>
    </row>
    <row r="990" spans="1:5">
      <c r="A990" s="103"/>
      <c r="B990" s="99"/>
      <c r="C990" s="57" t="s">
        <v>1062</v>
      </c>
      <c r="D990" s="57"/>
    </row>
    <row r="991" spans="1:5">
      <c r="A991" s="103"/>
      <c r="B991" s="99"/>
      <c r="C991" s="57" t="s">
        <v>1063</v>
      </c>
      <c r="D991" s="57"/>
    </row>
    <row r="992" spans="1:5">
      <c r="A992" s="91" t="s">
        <v>1064</v>
      </c>
      <c r="B992" s="91" t="s">
        <v>5</v>
      </c>
      <c r="C992" s="55" t="s">
        <v>760</v>
      </c>
      <c r="D992" s="55"/>
    </row>
    <row r="993" spans="1:5">
      <c r="A993" s="92"/>
      <c r="B993" s="92"/>
      <c r="C993" s="55" t="s">
        <v>973</v>
      </c>
      <c r="D993" s="55"/>
    </row>
    <row r="994" spans="1:5">
      <c r="A994" s="92"/>
      <c r="B994" s="92"/>
      <c r="C994" s="55" t="s">
        <v>970</v>
      </c>
      <c r="D994" s="55"/>
    </row>
    <row r="995" spans="1:5">
      <c r="A995" s="92"/>
      <c r="B995" s="92"/>
      <c r="C995" s="55" t="s">
        <v>761</v>
      </c>
      <c r="D995" s="55"/>
    </row>
    <row r="996" spans="1:5">
      <c r="A996" s="92"/>
      <c r="B996" s="92"/>
      <c r="C996" s="55" t="s">
        <v>1065</v>
      </c>
      <c r="D996" s="55" t="s">
        <v>1066</v>
      </c>
    </row>
    <row r="997" spans="1:5">
      <c r="A997" s="92"/>
      <c r="B997" s="92"/>
      <c r="C997" s="55" t="s">
        <v>317</v>
      </c>
      <c r="D997" s="55"/>
    </row>
    <row r="998" spans="1:5">
      <c r="A998" s="98" t="s">
        <v>1067</v>
      </c>
      <c r="B998" s="98" t="s">
        <v>5</v>
      </c>
      <c r="C998" s="57" t="s">
        <v>1068</v>
      </c>
      <c r="D998" s="57"/>
      <c r="E998" t="s">
        <v>1049</v>
      </c>
    </row>
    <row r="999" spans="1:5">
      <c r="A999" s="99"/>
      <c r="B999" s="99"/>
      <c r="C999" s="57" t="s">
        <v>1069</v>
      </c>
      <c r="D999" s="57"/>
    </row>
    <row r="1000" spans="1:5">
      <c r="A1000" s="91" t="s">
        <v>1070</v>
      </c>
      <c r="B1000" s="91" t="s">
        <v>5</v>
      </c>
      <c r="C1000" s="55" t="s">
        <v>1071</v>
      </c>
      <c r="D1000" s="55"/>
    </row>
    <row r="1001" spans="1:5">
      <c r="A1001" s="92"/>
      <c r="B1001" s="92"/>
      <c r="C1001" s="55" t="s">
        <v>1072</v>
      </c>
      <c r="D1001" s="55"/>
    </row>
    <row r="1002" spans="1:5">
      <c r="A1002" s="92"/>
      <c r="B1002" s="92"/>
      <c r="C1002" s="55" t="s">
        <v>1073</v>
      </c>
      <c r="D1002" s="55"/>
    </row>
    <row r="1003" spans="1:5">
      <c r="A1003" s="92"/>
      <c r="B1003" s="92"/>
      <c r="C1003" s="55" t="s">
        <v>1074</v>
      </c>
      <c r="D1003" s="55"/>
      <c r="E1003" t="s">
        <v>218</v>
      </c>
    </row>
    <row r="1004" spans="1:5">
      <c r="A1004" s="92"/>
      <c r="B1004" s="92"/>
      <c r="C1004" s="55" t="s">
        <v>1075</v>
      </c>
      <c r="D1004" s="55"/>
    </row>
    <row r="1005" spans="1:5">
      <c r="A1005" s="92"/>
      <c r="B1005" s="92"/>
      <c r="C1005" s="55" t="s">
        <v>1076</v>
      </c>
      <c r="D1005" s="55"/>
    </row>
    <row r="1006" spans="1:5">
      <c r="A1006" s="92"/>
      <c r="B1006" s="92"/>
      <c r="C1006" s="55" t="s">
        <v>1077</v>
      </c>
      <c r="D1006" s="55"/>
      <c r="E1006" t="s">
        <v>218</v>
      </c>
    </row>
    <row r="1007" spans="1:5">
      <c r="A1007" s="92"/>
      <c r="B1007" s="92"/>
      <c r="C1007" s="55" t="s">
        <v>1078</v>
      </c>
      <c r="D1007" s="55"/>
    </row>
    <row r="1008" spans="1:5">
      <c r="A1008" s="92"/>
      <c r="B1008" s="92"/>
      <c r="C1008" s="55" t="s">
        <v>1079</v>
      </c>
      <c r="D1008" s="55"/>
    </row>
    <row r="1009" spans="1:4">
      <c r="A1009" s="92"/>
      <c r="B1009" s="92"/>
      <c r="C1009" s="55" t="s">
        <v>1080</v>
      </c>
      <c r="D1009" s="55"/>
    </row>
    <row r="1010" spans="1:4">
      <c r="A1010" s="92"/>
      <c r="B1010" s="92"/>
      <c r="C1010" s="55" t="s">
        <v>1081</v>
      </c>
      <c r="D1010" s="55"/>
    </row>
    <row r="1011" spans="1:4">
      <c r="A1011" s="92"/>
      <c r="B1011" s="92"/>
      <c r="C1011" s="55" t="s">
        <v>1082</v>
      </c>
      <c r="D1011" s="55"/>
    </row>
    <row r="1012" spans="1:4">
      <c r="A1012" s="92"/>
      <c r="B1012" s="92"/>
      <c r="C1012" s="55" t="s">
        <v>1083</v>
      </c>
      <c r="D1012" s="55"/>
    </row>
    <row r="1013" spans="1:4">
      <c r="A1013" s="92"/>
      <c r="B1013" s="92"/>
      <c r="C1013" s="55" t="s">
        <v>1084</v>
      </c>
      <c r="D1013" s="55"/>
    </row>
    <row r="1014" spans="1:4">
      <c r="A1014" s="92"/>
      <c r="B1014" s="92"/>
      <c r="C1014" s="55" t="s">
        <v>1085</v>
      </c>
      <c r="D1014" s="55"/>
    </row>
    <row r="1015" spans="1:4">
      <c r="A1015" s="92"/>
      <c r="B1015" s="92"/>
      <c r="C1015" s="55" t="s">
        <v>139</v>
      </c>
      <c r="D1015" s="55"/>
    </row>
    <row r="1016" spans="1:4">
      <c r="A1016" s="92"/>
      <c r="B1016" s="92"/>
      <c r="C1016" s="55" t="s">
        <v>1086</v>
      </c>
      <c r="D1016" s="55"/>
    </row>
    <row r="1017" spans="1:4">
      <c r="A1017" s="92"/>
      <c r="B1017" s="92"/>
      <c r="C1017" s="55" t="s">
        <v>145</v>
      </c>
      <c r="D1017" s="55"/>
    </row>
    <row r="1018" spans="1:4">
      <c r="A1018" s="92"/>
      <c r="B1018" s="92"/>
      <c r="C1018" s="55" t="s">
        <v>1087</v>
      </c>
      <c r="D1018" s="55"/>
    </row>
    <row r="1019" spans="1:4">
      <c r="A1019" s="92"/>
      <c r="B1019" s="92"/>
      <c r="C1019" s="55" t="s">
        <v>1088</v>
      </c>
      <c r="D1019" s="55"/>
    </row>
    <row r="1020" spans="1:4">
      <c r="A1020" s="92"/>
      <c r="B1020" s="92"/>
      <c r="C1020" s="55" t="s">
        <v>1089</v>
      </c>
      <c r="D1020" s="55"/>
    </row>
    <row r="1021" spans="1:4">
      <c r="A1021" s="92"/>
      <c r="B1021" s="92"/>
      <c r="C1021" s="55" t="s">
        <v>1090</v>
      </c>
      <c r="D1021" s="55"/>
    </row>
    <row r="1022" spans="1:4">
      <c r="A1022" s="92"/>
      <c r="B1022" s="92"/>
      <c r="C1022" s="55" t="s">
        <v>1091</v>
      </c>
      <c r="D1022" s="55"/>
    </row>
    <row r="1023" spans="1:4">
      <c r="A1023" s="92"/>
      <c r="B1023" s="92"/>
      <c r="C1023" s="55" t="s">
        <v>1092</v>
      </c>
      <c r="D1023" s="55"/>
    </row>
    <row r="1024" spans="1:4">
      <c r="A1024" s="92"/>
      <c r="B1024" s="92"/>
      <c r="C1024" s="55" t="s">
        <v>1093</v>
      </c>
      <c r="D1024" s="55"/>
    </row>
    <row r="1025" spans="1:5">
      <c r="A1025" s="92"/>
      <c r="B1025" s="92"/>
      <c r="C1025" s="55" t="s">
        <v>1094</v>
      </c>
      <c r="D1025" s="55"/>
    </row>
    <row r="1026" spans="1:5">
      <c r="A1026" s="92"/>
      <c r="B1026" s="92"/>
      <c r="C1026" s="55" t="s">
        <v>1095</v>
      </c>
      <c r="D1026" s="55"/>
    </row>
    <row r="1027" spans="1:5">
      <c r="A1027" s="92"/>
      <c r="B1027" s="92"/>
      <c r="C1027" s="55" t="s">
        <v>1096</v>
      </c>
      <c r="D1027" s="55"/>
    </row>
    <row r="1028" spans="1:5">
      <c r="A1028" s="92"/>
      <c r="B1028" s="92"/>
      <c r="C1028" s="55" t="s">
        <v>1097</v>
      </c>
      <c r="D1028" s="55"/>
    </row>
    <row r="1029" spans="1:5">
      <c r="A1029" s="92"/>
      <c r="B1029" s="92"/>
      <c r="C1029" s="55" t="s">
        <v>1098</v>
      </c>
      <c r="D1029" s="55"/>
    </row>
    <row r="1030" spans="1:5">
      <c r="A1030" s="92"/>
      <c r="B1030" s="92"/>
      <c r="C1030" s="55" t="s">
        <v>1099</v>
      </c>
      <c r="D1030" s="55"/>
    </row>
    <row r="1031" spans="1:5">
      <c r="A1031" s="92"/>
      <c r="B1031" s="92"/>
      <c r="C1031" s="133" t="s">
        <v>1100</v>
      </c>
      <c r="D1031" s="55"/>
      <c r="E1031" t="s">
        <v>218</v>
      </c>
    </row>
    <row r="1032" spans="1:5">
      <c r="A1032" s="92"/>
      <c r="B1032" s="92"/>
      <c r="C1032" s="55" t="s">
        <v>1101</v>
      </c>
      <c r="D1032" s="55"/>
    </row>
    <row r="1033" spans="1:5">
      <c r="A1033" s="92"/>
      <c r="B1033" s="92"/>
      <c r="C1033" s="55" t="s">
        <v>317</v>
      </c>
      <c r="D1033" s="55"/>
    </row>
    <row r="1034" spans="1:5">
      <c r="A1034" s="68" t="s">
        <v>1102</v>
      </c>
      <c r="B1034" s="68" t="s">
        <v>5</v>
      </c>
      <c r="C1034" s="57" t="s">
        <v>1103</v>
      </c>
      <c r="D1034" s="57"/>
      <c r="E1034" t="s">
        <v>1049</v>
      </c>
    </row>
    <row r="1035" spans="1:5">
      <c r="A1035" s="69"/>
      <c r="B1035" s="69"/>
      <c r="C1035" s="57" t="s">
        <v>1104</v>
      </c>
      <c r="D1035" s="57"/>
    </row>
    <row r="1036" spans="1:5">
      <c r="A1036" s="69"/>
      <c r="B1036" s="69"/>
      <c r="C1036" s="57" t="s">
        <v>317</v>
      </c>
      <c r="D1036" s="57"/>
    </row>
    <row r="1037" spans="1:5">
      <c r="A1037" s="91" t="s">
        <v>1105</v>
      </c>
      <c r="B1037" s="91" t="s">
        <v>5</v>
      </c>
      <c r="C1037" s="55" t="s">
        <v>1106</v>
      </c>
      <c r="D1037" s="55"/>
    </row>
    <row r="1038" spans="1:5">
      <c r="A1038" s="92"/>
      <c r="B1038" s="92"/>
      <c r="C1038" s="55" t="s">
        <v>1107</v>
      </c>
      <c r="D1038" s="55" t="s">
        <v>1108</v>
      </c>
    </row>
    <row r="1039" spans="1:5">
      <c r="A1039" s="92"/>
      <c r="B1039" s="92"/>
      <c r="C1039" s="55" t="s">
        <v>1109</v>
      </c>
      <c r="D1039" s="55" t="s">
        <v>1110</v>
      </c>
    </row>
    <row r="1040" spans="1:5">
      <c r="A1040" s="92"/>
      <c r="B1040" s="92"/>
      <c r="C1040" s="55" t="s">
        <v>1111</v>
      </c>
      <c r="D1040" s="55" t="s">
        <v>1112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313</v>
      </c>
    </row>
    <row r="1077" spans="1:3" s="11" customFormat="1">
      <c r="C1077" s="18" t="s">
        <v>148</v>
      </c>
    </row>
    <row r="1078" spans="1:3" s="11" customFormat="1">
      <c r="C1078" s="18" t="s">
        <v>314</v>
      </c>
    </row>
    <row r="1079" spans="1:3" s="11" customFormat="1">
      <c r="C1079" s="18" t="s">
        <v>316</v>
      </c>
    </row>
    <row r="1080" spans="1:3" s="11" customFormat="1">
      <c r="C1080" s="18"/>
    </row>
    <row r="1081" spans="1:3" s="11" customFormat="1">
      <c r="C1081" s="18" t="s">
        <v>313</v>
      </c>
    </row>
    <row r="1082" spans="1:3" s="11" customFormat="1">
      <c r="C1082" s="18" t="s">
        <v>148</v>
      </c>
    </row>
    <row r="1083" spans="1:3" s="11" customFormat="1">
      <c r="C1083" s="18" t="s">
        <v>314</v>
      </c>
    </row>
    <row r="1084" spans="1:3" s="11" customFormat="1">
      <c r="C1084" s="18" t="s">
        <v>316</v>
      </c>
    </row>
    <row r="1085" spans="1:3" s="11" customFormat="1">
      <c r="C1085" s="18" t="s">
        <v>315</v>
      </c>
    </row>
    <row r="1086" spans="1:3" s="11" customFormat="1">
      <c r="C1086" s="18"/>
    </row>
    <row r="1087" spans="1:3" s="11" customFormat="1">
      <c r="C1087" s="18" t="s">
        <v>313</v>
      </c>
    </row>
    <row r="1088" spans="1:3" s="11" customFormat="1">
      <c r="C1088" s="18" t="s">
        <v>148</v>
      </c>
    </row>
    <row r="1089" spans="3:3" s="11" customFormat="1">
      <c r="C1089" s="18" t="s">
        <v>316</v>
      </c>
    </row>
    <row r="1090" spans="3:3" s="11" customFormat="1">
      <c r="C1090" s="18"/>
    </row>
    <row r="1091" spans="3:3" s="11" customFormat="1">
      <c r="C1091" s="18" t="s">
        <v>899</v>
      </c>
    </row>
    <row r="1092" spans="3:3" s="11" customFormat="1">
      <c r="C1092" s="18" t="s">
        <v>317</v>
      </c>
    </row>
    <row r="1093" spans="3:3" s="11" customFormat="1">
      <c r="C1093" s="18"/>
    </row>
    <row r="1094" spans="3:3" s="11" customFormat="1">
      <c r="C1094" s="18" t="s">
        <v>443</v>
      </c>
    </row>
    <row r="1095" spans="3:3" s="11" customFormat="1">
      <c r="C1095" s="18" t="s">
        <v>745</v>
      </c>
    </row>
    <row r="1096" spans="3:3" s="11" customFormat="1">
      <c r="C1096" s="18" t="s">
        <v>746</v>
      </c>
    </row>
    <row r="1097" spans="3:3" s="11" customFormat="1">
      <c r="C1097" s="18" t="s">
        <v>749</v>
      </c>
    </row>
    <row r="1098" spans="3:3" s="11" customFormat="1">
      <c r="C1098" s="18" t="s">
        <v>750</v>
      </c>
    </row>
    <row r="1099" spans="3:3" s="11" customFormat="1">
      <c r="C1099" s="18" t="s">
        <v>751</v>
      </c>
    </row>
    <row r="1100" spans="3:3" s="11" customFormat="1">
      <c r="C1100" s="18" t="s">
        <v>752</v>
      </c>
    </row>
    <row r="1101" spans="3:3" s="11" customFormat="1">
      <c r="C1101" s="18" t="s">
        <v>753</v>
      </c>
    </row>
    <row r="1102" spans="3:3" s="11" customFormat="1">
      <c r="C1102" s="18" t="s">
        <v>754</v>
      </c>
    </row>
    <row r="1103" spans="3:3" s="11" customFormat="1">
      <c r="C1103" s="18" t="s">
        <v>756</v>
      </c>
    </row>
    <row r="1104" spans="3:3" s="11" customFormat="1">
      <c r="C1104" s="18" t="s">
        <v>489</v>
      </c>
    </row>
    <row r="1105" spans="3:3" s="11" customFormat="1">
      <c r="C1105" s="18" t="s">
        <v>317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897</v>
      </c>
    </row>
    <row r="1109" spans="3:3" s="11" customFormat="1">
      <c r="C1109" s="18" t="s">
        <v>898</v>
      </c>
    </row>
    <row r="1110" spans="3:3" s="11" customFormat="1">
      <c r="C1110" s="18" t="s">
        <v>900</v>
      </c>
    </row>
    <row r="1111" spans="3:3" s="11" customFormat="1">
      <c r="C1111" s="18" t="s">
        <v>317</v>
      </c>
    </row>
    <row r="1112" spans="3:3" s="11" customFormat="1">
      <c r="C1112" s="18"/>
    </row>
    <row r="1113" spans="3:3" s="11" customFormat="1">
      <c r="C1113" s="18" t="s">
        <v>324</v>
      </c>
    </row>
    <row r="1114" spans="3:3" s="11" customFormat="1">
      <c r="C1114" s="18" t="s">
        <v>325</v>
      </c>
    </row>
    <row r="1115" spans="3:3" s="11" customFormat="1">
      <c r="C1115" s="18" t="s">
        <v>33</v>
      </c>
    </row>
    <row r="1116" spans="3:3" s="11" customFormat="1">
      <c r="C1116" s="18" t="s">
        <v>317</v>
      </c>
    </row>
    <row r="1117" spans="3:3" s="11" customFormat="1">
      <c r="C1117" s="18"/>
    </row>
    <row r="1118" spans="3:3" s="11" customFormat="1">
      <c r="C1118" s="18" t="s">
        <v>330</v>
      </c>
    </row>
    <row r="1119" spans="3:3" s="11" customFormat="1">
      <c r="C1119" s="18" t="s">
        <v>1113</v>
      </c>
    </row>
    <row r="1120" spans="3:3" s="11" customFormat="1">
      <c r="C1120" s="18"/>
    </row>
    <row r="1121" spans="3:3">
      <c r="C1121" s="18" t="s">
        <v>330</v>
      </c>
    </row>
    <row r="1122" spans="3:3" s="11" customFormat="1">
      <c r="C1122" s="18" t="s">
        <v>332</v>
      </c>
    </row>
    <row r="1123" spans="3:3" s="11" customFormat="1">
      <c r="C1123" s="18" t="s">
        <v>334</v>
      </c>
    </row>
    <row r="1124" spans="3:3" s="11" customFormat="1">
      <c r="C1124" s="18" t="s">
        <v>336</v>
      </c>
    </row>
    <row r="1125" spans="3:3">
      <c r="C1125" s="18" t="s">
        <v>341</v>
      </c>
    </row>
    <row r="1126" spans="3:3">
      <c r="C1126" s="18" t="s">
        <v>317</v>
      </c>
    </row>
    <row r="1129" spans="3:3">
      <c r="C1129" s="18" t="s">
        <v>439</v>
      </c>
    </row>
    <row r="1130" spans="3:3">
      <c r="C1130" s="18" t="s">
        <v>440</v>
      </c>
    </row>
    <row r="1131" spans="3:3">
      <c r="C1131" s="18" t="s">
        <v>442</v>
      </c>
    </row>
    <row r="1132" spans="3:3">
      <c r="C1132" s="18" t="s">
        <v>443</v>
      </c>
    </row>
    <row r="1133" spans="3:3">
      <c r="C1133" s="18" t="s">
        <v>444</v>
      </c>
    </row>
    <row r="1134" spans="3:3">
      <c r="C1134" s="18" t="s">
        <v>446</v>
      </c>
    </row>
    <row r="1135" spans="3:3">
      <c r="C1135" s="18" t="s">
        <v>447</v>
      </c>
    </row>
    <row r="1136" spans="3:3">
      <c r="C1136" s="18" t="s">
        <v>448</v>
      </c>
    </row>
    <row r="1137" spans="3:3">
      <c r="C1137" s="18" t="s">
        <v>449</v>
      </c>
    </row>
    <row r="1138" spans="3:3">
      <c r="C1138" s="18" t="s">
        <v>450</v>
      </c>
    </row>
    <row r="1139" spans="3:3">
      <c r="C1139" s="18" t="s">
        <v>451</v>
      </c>
    </row>
    <row r="1140" spans="3:3">
      <c r="C1140" s="18" t="s">
        <v>452</v>
      </c>
    </row>
    <row r="1141" spans="3:3">
      <c r="C1141" s="18" t="s">
        <v>453</v>
      </c>
    </row>
    <row r="1142" spans="3:3">
      <c r="C1142" s="18" t="s">
        <v>454</v>
      </c>
    </row>
    <row r="1143" spans="3:3">
      <c r="C1143" s="18" t="s">
        <v>455</v>
      </c>
    </row>
    <row r="1144" spans="3:3">
      <c r="C1144" s="18" t="s">
        <v>457</v>
      </c>
    </row>
    <row r="1145" spans="3:3">
      <c r="C1145" s="18" t="s">
        <v>458</v>
      </c>
    </row>
    <row r="1146" spans="3:3">
      <c r="C1146" s="18" t="s">
        <v>459</v>
      </c>
    </row>
    <row r="1147" spans="3:3">
      <c r="C1147" s="18" t="s">
        <v>461</v>
      </c>
    </row>
    <row r="1148" spans="3:3">
      <c r="C1148" s="18" t="s">
        <v>462</v>
      </c>
    </row>
    <row r="1149" spans="3:3">
      <c r="C1149" s="18" t="s">
        <v>463</v>
      </c>
    </row>
    <row r="1150" spans="3:3">
      <c r="C1150" s="18" t="s">
        <v>464</v>
      </c>
    </row>
    <row r="1151" spans="3:3">
      <c r="C1151" s="18" t="s">
        <v>465</v>
      </c>
    </row>
    <row r="1152" spans="3:3">
      <c r="C1152" s="18" t="s">
        <v>466</v>
      </c>
    </row>
    <row r="1153" spans="3:3">
      <c r="C1153" s="18" t="s">
        <v>467</v>
      </c>
    </row>
    <row r="1154" spans="3:3">
      <c r="C1154" s="18" t="s">
        <v>468</v>
      </c>
    </row>
    <row r="1155" spans="3:3">
      <c r="C1155" s="18" t="s">
        <v>469</v>
      </c>
    </row>
    <row r="1156" spans="3:3">
      <c r="C1156" s="18" t="s">
        <v>470</v>
      </c>
    </row>
    <row r="1157" spans="3:3">
      <c r="C1157" s="18" t="s">
        <v>471</v>
      </c>
    </row>
    <row r="1158" spans="3:3">
      <c r="C1158" s="18" t="s">
        <v>472</v>
      </c>
    </row>
    <row r="1159" spans="3:3">
      <c r="C1159" s="18" t="s">
        <v>473</v>
      </c>
    </row>
    <row r="1160" spans="3:3">
      <c r="C1160" s="18" t="s">
        <v>474</v>
      </c>
    </row>
    <row r="1161" spans="3:3">
      <c r="C1161" s="18" t="s">
        <v>475</v>
      </c>
    </row>
    <row r="1162" spans="3:3">
      <c r="C1162" s="18" t="s">
        <v>476</v>
      </c>
    </row>
    <row r="1163" spans="3:3" ht="14.45" customHeight="1">
      <c r="C1163" s="18" t="s">
        <v>477</v>
      </c>
    </row>
    <row r="1164" spans="3:3">
      <c r="C1164" s="18" t="s">
        <v>479</v>
      </c>
    </row>
    <row r="1165" spans="3:3">
      <c r="C1165" s="18" t="s">
        <v>480</v>
      </c>
    </row>
    <row r="1166" spans="3:3">
      <c r="C1166" s="18" t="s">
        <v>481</v>
      </c>
    </row>
    <row r="1167" spans="3:3">
      <c r="C1167" s="18" t="s">
        <v>482</v>
      </c>
    </row>
    <row r="1168" spans="3:3">
      <c r="C1168" s="18" t="s">
        <v>484</v>
      </c>
    </row>
    <row r="1169" spans="3:3">
      <c r="C1169" s="18" t="s">
        <v>488</v>
      </c>
    </row>
    <row r="1170" spans="3:3">
      <c r="C1170" s="18" t="s">
        <v>317</v>
      </c>
    </row>
    <row r="1171" spans="3:3">
      <c r="C1171" s="18" t="s">
        <v>490</v>
      </c>
    </row>
    <row r="1172" spans="3:3">
      <c r="C1172" s="18" t="s">
        <v>491</v>
      </c>
    </row>
    <row r="1173" spans="3:3">
      <c r="C1173" s="18" t="s">
        <v>492</v>
      </c>
    </row>
    <row r="1174" spans="3:3">
      <c r="C1174" s="18" t="s">
        <v>493</v>
      </c>
    </row>
    <row r="1175" spans="3:3">
      <c r="C1175" s="18" t="s">
        <v>494</v>
      </c>
    </row>
    <row r="1176" spans="3:3">
      <c r="C1176" s="18" t="s">
        <v>495</v>
      </c>
    </row>
    <row r="1177" spans="3:3">
      <c r="C1177" s="18" t="s">
        <v>496</v>
      </c>
    </row>
    <row r="1178" spans="3:3">
      <c r="C1178" s="18" t="s">
        <v>497</v>
      </c>
    </row>
    <row r="1179" spans="3:3">
      <c r="C1179" s="18" t="s">
        <v>498</v>
      </c>
    </row>
    <row r="1180" spans="3:3">
      <c r="C1180" s="18" t="s">
        <v>499</v>
      </c>
    </row>
    <row r="1181" spans="3:3">
      <c r="C1181" s="18" t="s">
        <v>500</v>
      </c>
    </row>
    <row r="1182" spans="3:3">
      <c r="C1182" s="18" t="s">
        <v>501</v>
      </c>
    </row>
    <row r="1183" spans="3:3">
      <c r="C1183" s="18" t="s">
        <v>502</v>
      </c>
    </row>
    <row r="1184" spans="3:3">
      <c r="C1184" s="18" t="s">
        <v>503</v>
      </c>
    </row>
    <row r="1185" spans="3:3">
      <c r="C1185" s="18" t="s">
        <v>504</v>
      </c>
    </row>
    <row r="1186" spans="3:3">
      <c r="C1186" s="18" t="s">
        <v>505</v>
      </c>
    </row>
    <row r="1187" spans="3:3">
      <c r="C1187" s="18" t="s">
        <v>506</v>
      </c>
    </row>
    <row r="1188" spans="3:3">
      <c r="C1188" s="18" t="s">
        <v>507</v>
      </c>
    </row>
    <row r="1189" spans="3:3">
      <c r="C1189" s="18" t="s">
        <v>509</v>
      </c>
    </row>
    <row r="1190" spans="3:3">
      <c r="C1190" s="18" t="s">
        <v>511</v>
      </c>
    </row>
    <row r="1191" spans="3:3">
      <c r="C1191" s="18" t="s">
        <v>513</v>
      </c>
    </row>
    <row r="1192" spans="3:3">
      <c r="C1192" s="132" t="s">
        <v>514</v>
      </c>
    </row>
    <row r="1193" spans="3:3">
      <c r="C1193" s="18" t="s">
        <v>516</v>
      </c>
    </row>
    <row r="1194" spans="3:3">
      <c r="C1194" s="18" t="s">
        <v>517</v>
      </c>
    </row>
    <row r="1195" spans="3:3">
      <c r="C1195" s="18" t="s">
        <v>518</v>
      </c>
    </row>
    <row r="1196" spans="3:3">
      <c r="C1196" s="18" t="s">
        <v>519</v>
      </c>
    </row>
    <row r="1197" spans="3:3">
      <c r="C1197" s="18" t="s">
        <v>520</v>
      </c>
    </row>
    <row r="1198" spans="3:3">
      <c r="C1198" s="18" t="s">
        <v>521</v>
      </c>
    </row>
    <row r="1199" spans="3:3">
      <c r="C1199" s="18" t="s">
        <v>522</v>
      </c>
    </row>
    <row r="1200" spans="3:3">
      <c r="C1200" s="18" t="s">
        <v>523</v>
      </c>
    </row>
    <row r="1201" spans="3:3">
      <c r="C1201" s="18" t="s">
        <v>525</v>
      </c>
    </row>
    <row r="1202" spans="3:3">
      <c r="C1202" s="18" t="s">
        <v>526</v>
      </c>
    </row>
    <row r="1203" spans="3:3">
      <c r="C1203" s="18" t="s">
        <v>528</v>
      </c>
    </row>
    <row r="1204" spans="3:3">
      <c r="C1204" s="18" t="s">
        <v>529</v>
      </c>
    </row>
    <row r="1205" spans="3:3">
      <c r="C1205" s="18" t="s">
        <v>530</v>
      </c>
    </row>
    <row r="1206" spans="3:3">
      <c r="C1206" s="18" t="s">
        <v>531</v>
      </c>
    </row>
    <row r="1207" spans="3:3">
      <c r="C1207" s="18" t="s">
        <v>532</v>
      </c>
    </row>
    <row r="1208" spans="3:3">
      <c r="C1208" s="18" t="s">
        <v>534</v>
      </c>
    </row>
    <row r="1209" spans="3:3">
      <c r="C1209" s="18" t="s">
        <v>535</v>
      </c>
    </row>
    <row r="1210" spans="3:3">
      <c r="C1210" s="18" t="s">
        <v>536</v>
      </c>
    </row>
    <row r="1211" spans="3:3">
      <c r="C1211" s="18" t="s">
        <v>537</v>
      </c>
    </row>
    <row r="1212" spans="3:3">
      <c r="C1212" s="18" t="s">
        <v>538</v>
      </c>
    </row>
    <row r="1213" spans="3:3">
      <c r="C1213" s="18" t="s">
        <v>539</v>
      </c>
    </row>
    <row r="1214" spans="3:3">
      <c r="C1214" s="18" t="s">
        <v>540</v>
      </c>
    </row>
    <row r="1215" spans="3:3">
      <c r="C1215" s="18" t="s">
        <v>541</v>
      </c>
    </row>
    <row r="1216" spans="3:3">
      <c r="C1216" s="18" t="s">
        <v>543</v>
      </c>
    </row>
    <row r="1217" spans="3:3">
      <c r="C1217" s="18" t="s">
        <v>544</v>
      </c>
    </row>
    <row r="1218" spans="3:3">
      <c r="C1218" s="18" t="s">
        <v>545</v>
      </c>
    </row>
    <row r="1219" spans="3:3">
      <c r="C1219" s="18" t="s">
        <v>546</v>
      </c>
    </row>
    <row r="1220" spans="3:3">
      <c r="C1220" s="18" t="s">
        <v>547</v>
      </c>
    </row>
    <row r="1221" spans="3:3">
      <c r="C1221" s="18" t="s">
        <v>548</v>
      </c>
    </row>
    <row r="1222" spans="3:3">
      <c r="C1222" s="18" t="s">
        <v>549</v>
      </c>
    </row>
    <row r="1223" spans="3:3">
      <c r="C1223" s="18" t="s">
        <v>550</v>
      </c>
    </row>
    <row r="1224" spans="3:3">
      <c r="C1224" s="18" t="s">
        <v>551</v>
      </c>
    </row>
    <row r="1225" spans="3:3">
      <c r="C1225" s="18" t="s">
        <v>552</v>
      </c>
    </row>
    <row r="1226" spans="3:3">
      <c r="C1226" s="18" t="s">
        <v>553</v>
      </c>
    </row>
    <row r="1227" spans="3:3">
      <c r="C1227" s="18" t="s">
        <v>554</v>
      </c>
    </row>
    <row r="1228" spans="3:3">
      <c r="C1228" s="18" t="s">
        <v>555</v>
      </c>
    </row>
    <row r="1229" spans="3:3">
      <c r="C1229" s="18" t="s">
        <v>556</v>
      </c>
    </row>
    <row r="1230" spans="3:3">
      <c r="C1230" s="18" t="s">
        <v>557</v>
      </c>
    </row>
    <row r="1231" spans="3:3">
      <c r="C1231" s="18" t="s">
        <v>558</v>
      </c>
    </row>
    <row r="1232" spans="3:3">
      <c r="C1232" s="18" t="s">
        <v>559</v>
      </c>
    </row>
    <row r="1233" spans="3:3">
      <c r="C1233" s="18" t="s">
        <v>560</v>
      </c>
    </row>
    <row r="1234" spans="3:3">
      <c r="C1234" s="18" t="s">
        <v>561</v>
      </c>
    </row>
    <row r="1235" spans="3:3">
      <c r="C1235" s="18" t="s">
        <v>562</v>
      </c>
    </row>
    <row r="1236" spans="3:3">
      <c r="C1236" s="18" t="s">
        <v>563</v>
      </c>
    </row>
    <row r="1237" spans="3:3">
      <c r="C1237" s="18" t="s">
        <v>565</v>
      </c>
    </row>
    <row r="1238" spans="3:3">
      <c r="C1238" s="18" t="s">
        <v>566</v>
      </c>
    </row>
    <row r="1239" spans="3:3">
      <c r="C1239" s="18" t="s">
        <v>567</v>
      </c>
    </row>
    <row r="1240" spans="3:3">
      <c r="C1240" s="18" t="s">
        <v>568</v>
      </c>
    </row>
    <row r="1241" spans="3:3">
      <c r="C1241" s="18" t="s">
        <v>569</v>
      </c>
    </row>
    <row r="1242" spans="3:3">
      <c r="C1242" s="18" t="s">
        <v>570</v>
      </c>
    </row>
    <row r="1243" spans="3:3">
      <c r="C1243" s="18" t="s">
        <v>571</v>
      </c>
    </row>
    <row r="1244" spans="3:3">
      <c r="C1244" s="18" t="s">
        <v>572</v>
      </c>
    </row>
    <row r="1245" spans="3:3">
      <c r="C1245" s="18" t="s">
        <v>573</v>
      </c>
    </row>
    <row r="1248" spans="3:3">
      <c r="C1248" s="18" t="s">
        <v>331</v>
      </c>
    </row>
    <row r="1249" spans="3:3">
      <c r="C1249" s="18" t="s">
        <v>332</v>
      </c>
    </row>
    <row r="1250" spans="3:3">
      <c r="C1250" s="18" t="s">
        <v>334</v>
      </c>
    </row>
    <row r="1251" spans="3:3">
      <c r="C1251" s="18" t="s">
        <v>337</v>
      </c>
    </row>
    <row r="1252" spans="3:3">
      <c r="C1252" s="18" t="s">
        <v>339</v>
      </c>
    </row>
    <row r="1253" spans="3:3">
      <c r="C1253" s="18" t="s">
        <v>317</v>
      </c>
    </row>
    <row r="1255" spans="3:3">
      <c r="C1255" s="18" t="s">
        <v>331</v>
      </c>
    </row>
    <row r="1256" spans="3:3">
      <c r="C1256" s="18" t="s">
        <v>336</v>
      </c>
    </row>
    <row r="1257" spans="3:3">
      <c r="C1257" s="18" t="s">
        <v>341</v>
      </c>
    </row>
    <row r="1258" spans="3:3">
      <c r="C1258" s="18" t="s">
        <v>332</v>
      </c>
    </row>
    <row r="1259" spans="3:3">
      <c r="C1259" s="18" t="s">
        <v>317</v>
      </c>
    </row>
    <row r="1261" spans="3:3">
      <c r="C1261" s="18" t="s">
        <v>330</v>
      </c>
    </row>
    <row r="1262" spans="3:3">
      <c r="C1262" s="18" t="s">
        <v>332</v>
      </c>
    </row>
    <row r="1263" spans="3:3">
      <c r="C1263" s="18" t="s">
        <v>339</v>
      </c>
    </row>
    <row r="1264" spans="3:3">
      <c r="C1264" s="18" t="s">
        <v>337</v>
      </c>
    </row>
    <row r="1265" spans="3:3">
      <c r="C1265" s="18" t="s">
        <v>317</v>
      </c>
    </row>
    <row r="1267" spans="3:3">
      <c r="C1267" s="18" t="s">
        <v>331</v>
      </c>
    </row>
    <row r="1268" spans="3:3">
      <c r="C1268" s="18" t="s">
        <v>332</v>
      </c>
    </row>
    <row r="1269" spans="3:3">
      <c r="C1269" s="18" t="s">
        <v>317</v>
      </c>
    </row>
    <row r="1272" spans="3:3">
      <c r="C1272" s="18" t="s">
        <v>330</v>
      </c>
    </row>
    <row r="1273" spans="3:3">
      <c r="C1273" s="18" t="s">
        <v>332</v>
      </c>
    </row>
    <row r="1274" spans="3:3">
      <c r="C1274" s="18" t="s">
        <v>334</v>
      </c>
    </row>
    <row r="1275" spans="3:3">
      <c r="C1275" s="18" t="s">
        <v>336</v>
      </c>
    </row>
    <row r="1276" spans="3:3">
      <c r="C1276" s="18" t="s">
        <v>337</v>
      </c>
    </row>
    <row r="1277" spans="3:3">
      <c r="C1277" s="18" t="s">
        <v>338</v>
      </c>
    </row>
    <row r="1278" spans="3:3">
      <c r="C1278" s="18" t="s">
        <v>339</v>
      </c>
    </row>
    <row r="1279" spans="3:3">
      <c r="C1279" s="18" t="s">
        <v>340</v>
      </c>
    </row>
    <row r="1280" spans="3:3">
      <c r="C1280" s="18" t="s">
        <v>341</v>
      </c>
    </row>
    <row r="1281" spans="3:3">
      <c r="C1281" s="18" t="s">
        <v>317</v>
      </c>
    </row>
    <row r="1283" spans="3:3">
      <c r="C1283" s="18" t="s">
        <v>31</v>
      </c>
    </row>
    <row r="1284" spans="3:3">
      <c r="C1284" s="18" t="s">
        <v>345</v>
      </c>
    </row>
    <row r="1285" spans="3:3">
      <c r="C1285" s="18" t="s">
        <v>347</v>
      </c>
    </row>
    <row r="1286" spans="3:3">
      <c r="C1286" s="18" t="s">
        <v>349</v>
      </c>
    </row>
    <row r="1287" spans="3:3">
      <c r="C1287" s="18" t="s">
        <v>351</v>
      </c>
    </row>
    <row r="1288" spans="3:3">
      <c r="C1288" s="18" t="s">
        <v>353</v>
      </c>
    </row>
    <row r="1289" spans="3:3">
      <c r="C1289" s="18" t="s">
        <v>355</v>
      </c>
    </row>
    <row r="1290" spans="3:3">
      <c r="C1290" s="18" t="s">
        <v>357</v>
      </c>
    </row>
    <row r="1291" spans="3:3">
      <c r="C1291" s="18" t="s">
        <v>359</v>
      </c>
    </row>
    <row r="1292" spans="3:3">
      <c r="C1292" s="18" t="s">
        <v>361</v>
      </c>
    </row>
    <row r="1293" spans="3:3">
      <c r="C1293" s="18" t="s">
        <v>363</v>
      </c>
    </row>
    <row r="1294" spans="3:3">
      <c r="C1294" s="18" t="s">
        <v>365</v>
      </c>
    </row>
    <row r="1295" spans="3:3">
      <c r="C1295" s="18" t="s">
        <v>367</v>
      </c>
    </row>
    <row r="1296" spans="3:3">
      <c r="C1296" s="18" t="s">
        <v>369</v>
      </c>
    </row>
    <row r="1297" spans="3:3">
      <c r="C1297" s="18" t="s">
        <v>371</v>
      </c>
    </row>
    <row r="1298" spans="3:3">
      <c r="C1298" s="18" t="s">
        <v>373</v>
      </c>
    </row>
    <row r="1299" spans="3:3">
      <c r="C1299" s="18" t="s">
        <v>375</v>
      </c>
    </row>
    <row r="1300" spans="3:3">
      <c r="C1300" s="18" t="s">
        <v>377</v>
      </c>
    </row>
    <row r="1301" spans="3:3">
      <c r="C1301" s="18" t="s">
        <v>379</v>
      </c>
    </row>
    <row r="1302" spans="3:3">
      <c r="C1302" s="18" t="s">
        <v>381</v>
      </c>
    </row>
    <row r="1303" spans="3:3">
      <c r="C1303" s="18" t="s">
        <v>383</v>
      </c>
    </row>
    <row r="1304" spans="3:3">
      <c r="C1304" s="18" t="s">
        <v>385</v>
      </c>
    </row>
    <row r="1305" spans="3:3">
      <c r="C1305" s="18" t="s">
        <v>387</v>
      </c>
    </row>
    <row r="1306" spans="3:3">
      <c r="C1306" s="18" t="s">
        <v>389</v>
      </c>
    </row>
    <row r="1307" spans="3:3">
      <c r="C1307" s="18" t="s">
        <v>391</v>
      </c>
    </row>
    <row r="1308" spans="3:3">
      <c r="C1308" s="18" t="s">
        <v>393</v>
      </c>
    </row>
    <row r="1309" spans="3:3">
      <c r="C1309" s="18" t="s">
        <v>395</v>
      </c>
    </row>
    <row r="1310" spans="3:3">
      <c r="C1310" s="18" t="s">
        <v>397</v>
      </c>
    </row>
    <row r="1311" spans="3:3">
      <c r="C1311" s="18" t="s">
        <v>399</v>
      </c>
    </row>
    <row r="1312" spans="3:3">
      <c r="C1312" s="18" t="s">
        <v>401</v>
      </c>
    </row>
    <row r="1313" spans="3:3">
      <c r="C1313" s="18" t="s">
        <v>403</v>
      </c>
    </row>
    <row r="1314" spans="3:3">
      <c r="C1314" s="18" t="s">
        <v>405</v>
      </c>
    </row>
    <row r="1315" spans="3:3">
      <c r="C1315" s="18" t="s">
        <v>317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 activeCell="B22" sqref="B22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1114</v>
      </c>
      <c r="B1" s="111" t="s">
        <v>1115</v>
      </c>
      <c r="C1" s="111" t="s">
        <v>1116</v>
      </c>
      <c r="D1" s="112" t="s">
        <v>1117</v>
      </c>
      <c r="E1" s="126"/>
    </row>
    <row r="2" spans="1:5" ht="15.75" outlineLevel="1">
      <c r="A2" s="40" t="s">
        <v>956</v>
      </c>
      <c r="B2" s="41" t="s">
        <v>0</v>
      </c>
      <c r="C2" s="40">
        <v>5.0999999999999996</v>
      </c>
      <c r="D2" s="114"/>
    </row>
    <row r="3" spans="1:5" ht="15.75" outlineLevel="1">
      <c r="A3" s="40" t="s">
        <v>956</v>
      </c>
      <c r="B3" s="41" t="s">
        <v>1</v>
      </c>
      <c r="C3" s="40">
        <v>5.2</v>
      </c>
      <c r="D3" s="114"/>
    </row>
    <row r="4" spans="1:5" ht="15.75" outlineLevel="1">
      <c r="A4" s="40" t="s">
        <v>956</v>
      </c>
      <c r="B4" s="41" t="s">
        <v>168</v>
      </c>
      <c r="C4" s="40">
        <v>5.4</v>
      </c>
      <c r="D4" s="114"/>
    </row>
    <row r="5" spans="1:5" ht="15.75" outlineLevel="1">
      <c r="A5" s="40" t="s">
        <v>956</v>
      </c>
      <c r="B5" s="41" t="s">
        <v>169</v>
      </c>
      <c r="C5" s="40">
        <v>5.7</v>
      </c>
      <c r="D5" s="114"/>
    </row>
    <row r="6" spans="1:5" ht="15.75" outlineLevel="1">
      <c r="A6" s="40" t="s">
        <v>956</v>
      </c>
      <c r="B6" s="41" t="s">
        <v>170</v>
      </c>
      <c r="C6" s="40">
        <v>5.1100000000000003</v>
      </c>
      <c r="D6" s="114"/>
    </row>
    <row r="7" spans="1:5" ht="15.75" outlineLevel="1">
      <c r="A7" s="40" t="s">
        <v>956</v>
      </c>
      <c r="B7" s="41" t="s">
        <v>5</v>
      </c>
      <c r="C7" s="40">
        <v>5.26</v>
      </c>
      <c r="D7" s="114"/>
    </row>
    <row r="8" spans="1:5" ht="15.75" outlineLevel="1">
      <c r="A8" s="40" t="s">
        <v>956</v>
      </c>
      <c r="B8" s="41" t="s">
        <v>6</v>
      </c>
      <c r="C8" s="40">
        <v>5.27</v>
      </c>
      <c r="D8" s="114"/>
    </row>
    <row r="9" spans="1:5" ht="15.75" outlineLevel="1">
      <c r="A9" s="40" t="s">
        <v>956</v>
      </c>
      <c r="B9" s="41" t="s">
        <v>126</v>
      </c>
      <c r="C9" s="40">
        <v>5.36</v>
      </c>
      <c r="D9" s="114"/>
    </row>
    <row r="10" spans="1:5" ht="15.75" outlineLevel="1">
      <c r="A10" s="40" t="s">
        <v>956</v>
      </c>
      <c r="B10" s="41" t="s">
        <v>172</v>
      </c>
      <c r="C10" s="42">
        <v>5.5</v>
      </c>
      <c r="D10" s="114"/>
    </row>
    <row r="11" spans="1:5" ht="15.75" outlineLevel="1">
      <c r="A11" s="40" t="s">
        <v>956</v>
      </c>
      <c r="B11" s="41" t="s">
        <v>10</v>
      </c>
      <c r="C11" s="40">
        <v>5.51</v>
      </c>
      <c r="D11" s="114"/>
    </row>
    <row r="12" spans="1:5" ht="15.75" outlineLevel="1">
      <c r="A12" s="40" t="s">
        <v>956</v>
      </c>
      <c r="B12" s="41" t="s">
        <v>11</v>
      </c>
      <c r="C12" s="40">
        <v>5.53</v>
      </c>
      <c r="D12" s="114"/>
    </row>
    <row r="13" spans="1:5" ht="15.75" outlineLevel="1">
      <c r="A13" s="40" t="s">
        <v>956</v>
      </c>
      <c r="B13" s="41" t="s">
        <v>136</v>
      </c>
      <c r="C13" s="40">
        <v>5.59</v>
      </c>
      <c r="D13" s="114"/>
    </row>
    <row r="14" spans="1:5" ht="15.75" outlineLevel="1">
      <c r="A14" s="40" t="s">
        <v>956</v>
      </c>
      <c r="B14" s="41" t="s">
        <v>18</v>
      </c>
      <c r="C14" s="40">
        <v>5.54</v>
      </c>
      <c r="D14" s="114"/>
    </row>
    <row r="15" spans="1:5" ht="15.75" outlineLevel="1">
      <c r="A15" s="40" t="s">
        <v>956</v>
      </c>
      <c r="B15" s="41" t="s">
        <v>14</v>
      </c>
      <c r="C15" s="42">
        <v>5.7</v>
      </c>
      <c r="D15" s="113" t="s">
        <v>1118</v>
      </c>
    </row>
    <row r="16" spans="1:5" ht="15.75" outlineLevel="1">
      <c r="A16" s="40" t="s">
        <v>956</v>
      </c>
      <c r="B16" s="41" t="s">
        <v>20</v>
      </c>
      <c r="C16" s="40">
        <v>5.63</v>
      </c>
      <c r="D16" s="114"/>
    </row>
    <row r="17" spans="1:4" ht="15.75" outlineLevel="1">
      <c r="A17" s="40" t="s">
        <v>956</v>
      </c>
      <c r="B17" s="41" t="s">
        <v>24</v>
      </c>
      <c r="C17" s="40">
        <v>5.47</v>
      </c>
      <c r="D17" s="114"/>
    </row>
    <row r="18" spans="1:4" ht="15.75" outlineLevel="1">
      <c r="A18" s="40" t="s">
        <v>956</v>
      </c>
      <c r="B18" s="41" t="s">
        <v>25</v>
      </c>
      <c r="C18" s="40">
        <v>5.48</v>
      </c>
      <c r="D18" s="114"/>
    </row>
    <row r="19" spans="1:4" ht="15.75">
      <c r="A19" s="46" t="s">
        <v>956</v>
      </c>
      <c r="B19" s="41"/>
      <c r="C19" s="40"/>
      <c r="D19" s="114"/>
    </row>
    <row r="20" spans="1:4" ht="15.75" outlineLevel="1">
      <c r="A20" s="40" t="s">
        <v>966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966</v>
      </c>
      <c r="B21" s="41" t="s">
        <v>1</v>
      </c>
      <c r="C21" s="40">
        <v>5.2</v>
      </c>
      <c r="D21" s="114"/>
    </row>
    <row r="22" spans="1:4" ht="15.75" outlineLevel="1">
      <c r="A22" s="40" t="s">
        <v>966</v>
      </c>
      <c r="B22" s="41" t="s">
        <v>2</v>
      </c>
      <c r="C22" s="40">
        <v>5.3</v>
      </c>
      <c r="D22" s="114"/>
    </row>
    <row r="23" spans="1:4" ht="15.75" outlineLevel="1">
      <c r="A23" s="40" t="s">
        <v>966</v>
      </c>
      <c r="B23" s="41" t="s">
        <v>1119</v>
      </c>
      <c r="C23" s="40">
        <v>5.14</v>
      </c>
      <c r="D23" s="114"/>
    </row>
    <row r="24" spans="1:4" ht="15.75" outlineLevel="1">
      <c r="A24" s="40" t="s">
        <v>966</v>
      </c>
      <c r="B24" s="41" t="s">
        <v>4</v>
      </c>
      <c r="C24" s="40">
        <v>5.19</v>
      </c>
      <c r="D24" s="114"/>
    </row>
    <row r="25" spans="1:4" ht="15.75" outlineLevel="1">
      <c r="A25" s="40" t="s">
        <v>966</v>
      </c>
      <c r="B25" s="41" t="s">
        <v>5</v>
      </c>
      <c r="C25" s="40">
        <v>5.26</v>
      </c>
      <c r="D25" s="114"/>
    </row>
    <row r="26" spans="1:4" ht="15.75" outlineLevel="1">
      <c r="A26" s="40" t="s">
        <v>966</v>
      </c>
      <c r="B26" s="41" t="s">
        <v>6</v>
      </c>
      <c r="C26" s="40">
        <v>5.27</v>
      </c>
      <c r="D26" s="114"/>
    </row>
    <row r="27" spans="1:4" ht="15.75" outlineLevel="1">
      <c r="A27" s="40" t="s">
        <v>966</v>
      </c>
      <c r="B27" s="41" t="s">
        <v>7</v>
      </c>
      <c r="C27" s="40">
        <v>5.28</v>
      </c>
      <c r="D27" s="114"/>
    </row>
    <row r="28" spans="1:4" ht="15.75" outlineLevel="1">
      <c r="A28" s="40" t="s">
        <v>966</v>
      </c>
      <c r="B28" s="41" t="s">
        <v>8</v>
      </c>
      <c r="C28" s="42">
        <v>5.3</v>
      </c>
      <c r="D28" s="114"/>
    </row>
    <row r="29" spans="1:4" ht="15.75" outlineLevel="1">
      <c r="A29" s="40" t="s">
        <v>966</v>
      </c>
      <c r="B29" s="41" t="s">
        <v>9</v>
      </c>
      <c r="C29" s="40">
        <v>5.49</v>
      </c>
      <c r="D29" s="114"/>
    </row>
    <row r="30" spans="1:4" ht="15.75" outlineLevel="1">
      <c r="A30" s="40" t="s">
        <v>966</v>
      </c>
      <c r="B30" s="41" t="s">
        <v>10</v>
      </c>
      <c r="C30" s="40">
        <v>5.51</v>
      </c>
      <c r="D30" s="114"/>
    </row>
    <row r="31" spans="1:4" ht="15.75" outlineLevel="1">
      <c r="A31" s="40" t="s">
        <v>966</v>
      </c>
      <c r="B31" s="41" t="s">
        <v>11</v>
      </c>
      <c r="C31" s="40">
        <v>5.53</v>
      </c>
      <c r="D31" s="114"/>
    </row>
    <row r="32" spans="1:4" ht="15.75" outlineLevel="1">
      <c r="A32" s="40" t="s">
        <v>966</v>
      </c>
      <c r="B32" s="41" t="s">
        <v>12</v>
      </c>
      <c r="C32" s="40">
        <v>5.69</v>
      </c>
      <c r="D32" s="114"/>
    </row>
    <row r="33" spans="1:4" ht="15.75" outlineLevel="1">
      <c r="A33" s="40" t="s">
        <v>966</v>
      </c>
      <c r="B33" s="41" t="s">
        <v>13</v>
      </c>
      <c r="C33" s="40">
        <v>5.75</v>
      </c>
      <c r="D33" s="114"/>
    </row>
    <row r="34" spans="1:4" ht="15.75" outlineLevel="1">
      <c r="A34" s="40" t="s">
        <v>966</v>
      </c>
      <c r="B34" s="41" t="s">
        <v>14</v>
      </c>
      <c r="C34" s="42">
        <v>5.7</v>
      </c>
      <c r="D34" s="114"/>
    </row>
    <row r="35" spans="1:4" ht="15.75" outlineLevel="1">
      <c r="A35" s="40" t="s">
        <v>966</v>
      </c>
      <c r="B35" s="41" t="s">
        <v>15</v>
      </c>
      <c r="C35" s="40">
        <v>5.74</v>
      </c>
      <c r="D35" s="114"/>
    </row>
    <row r="36" spans="1:4" ht="15.75" outlineLevel="1">
      <c r="A36" s="40" t="s">
        <v>966</v>
      </c>
      <c r="B36" s="41" t="s">
        <v>16</v>
      </c>
      <c r="C36" s="40">
        <v>5.62</v>
      </c>
      <c r="D36" s="114"/>
    </row>
    <row r="37" spans="1:4" ht="15.75" outlineLevel="1">
      <c r="A37" s="40" t="s">
        <v>966</v>
      </c>
      <c r="B37" s="41" t="s">
        <v>17</v>
      </c>
      <c r="C37" s="40">
        <v>5.58</v>
      </c>
      <c r="D37" s="114"/>
    </row>
    <row r="38" spans="1:4" ht="15.75" outlineLevel="1">
      <c r="A38" s="40" t="s">
        <v>966</v>
      </c>
      <c r="B38" s="41" t="s">
        <v>18</v>
      </c>
      <c r="C38" s="40">
        <v>5.54</v>
      </c>
      <c r="D38" s="114"/>
    </row>
    <row r="39" spans="1:4" ht="15.75" outlineLevel="1">
      <c r="A39" s="40" t="s">
        <v>966</v>
      </c>
      <c r="B39" s="41" t="s">
        <v>19</v>
      </c>
      <c r="C39" s="40">
        <v>5.55</v>
      </c>
      <c r="D39" s="114"/>
    </row>
    <row r="40" spans="1:4" ht="15.75" outlineLevel="1">
      <c r="A40" s="40" t="s">
        <v>966</v>
      </c>
      <c r="B40" s="41" t="s">
        <v>20</v>
      </c>
      <c r="C40" s="40">
        <v>5.63</v>
      </c>
      <c r="D40" s="114"/>
    </row>
    <row r="41" spans="1:4" ht="15.75" outlineLevel="1">
      <c r="A41" s="40" t="s">
        <v>966</v>
      </c>
      <c r="B41" s="41" t="s">
        <v>21</v>
      </c>
      <c r="C41" s="40">
        <v>5.65</v>
      </c>
      <c r="D41" s="114"/>
    </row>
    <row r="42" spans="1:4" ht="15.75" outlineLevel="1">
      <c r="A42" s="40" t="s">
        <v>966</v>
      </c>
      <c r="B42" s="41" t="s">
        <v>22</v>
      </c>
      <c r="C42" s="40">
        <v>5.68</v>
      </c>
      <c r="D42" s="114"/>
    </row>
    <row r="43" spans="1:4" ht="15.75" outlineLevel="1">
      <c r="A43" s="40" t="s">
        <v>966</v>
      </c>
      <c r="B43" s="41" t="s">
        <v>23</v>
      </c>
      <c r="C43" s="40">
        <v>5.45</v>
      </c>
      <c r="D43" s="114"/>
    </row>
    <row r="44" spans="1:4" ht="15.75" outlineLevel="1">
      <c r="A44" s="40" t="s">
        <v>966</v>
      </c>
      <c r="B44" s="41" t="s">
        <v>24</v>
      </c>
      <c r="C44" s="40">
        <v>5.47</v>
      </c>
      <c r="D44" s="114"/>
    </row>
    <row r="45" spans="1:4" ht="15.75" outlineLevel="1">
      <c r="A45" s="40" t="s">
        <v>966</v>
      </c>
      <c r="B45" s="41" t="s">
        <v>25</v>
      </c>
      <c r="C45" s="40">
        <v>5.48</v>
      </c>
      <c r="D45" s="114"/>
    </row>
    <row r="46" spans="1:4" ht="15.75">
      <c r="A46" s="46" t="s">
        <v>966</v>
      </c>
      <c r="B46" s="41"/>
      <c r="C46" s="40"/>
      <c r="D46" s="114"/>
    </row>
    <row r="47" spans="1:4" ht="15.75" outlineLevel="1">
      <c r="A47" s="40" t="s">
        <v>971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971</v>
      </c>
      <c r="B48" s="41" t="s">
        <v>1</v>
      </c>
      <c r="C48" s="40">
        <v>5.2</v>
      </c>
      <c r="D48" s="114"/>
    </row>
    <row r="49" spans="1:4" ht="15.75" outlineLevel="1">
      <c r="A49" s="40" t="s">
        <v>971</v>
      </c>
      <c r="B49" s="41" t="s">
        <v>2</v>
      </c>
      <c r="C49" s="40">
        <v>5.3</v>
      </c>
      <c r="D49" s="114"/>
    </row>
    <row r="50" spans="1:4" ht="15.75" outlineLevel="1">
      <c r="A50" s="40" t="s">
        <v>971</v>
      </c>
      <c r="B50" s="41" t="s">
        <v>148</v>
      </c>
      <c r="C50" s="40">
        <v>5.6</v>
      </c>
      <c r="D50" s="114"/>
    </row>
    <row r="51" spans="1:4" ht="15.75" outlineLevel="1">
      <c r="A51" s="40" t="s">
        <v>971</v>
      </c>
      <c r="B51" s="41" t="s">
        <v>1120</v>
      </c>
      <c r="C51" s="42">
        <v>5.0999999999999996</v>
      </c>
      <c r="D51" s="114"/>
    </row>
    <row r="52" spans="1:4" ht="15.75" outlineLevel="1">
      <c r="A52" s="40" t="s">
        <v>971</v>
      </c>
      <c r="B52" s="41" t="s">
        <v>1119</v>
      </c>
      <c r="C52" s="40">
        <v>5.14</v>
      </c>
      <c r="D52" s="114"/>
    </row>
    <row r="53" spans="1:4" ht="15.75" outlineLevel="1">
      <c r="A53" s="40" t="s">
        <v>971</v>
      </c>
      <c r="B53" s="41" t="s">
        <v>4</v>
      </c>
      <c r="C53" s="40">
        <v>5.19</v>
      </c>
      <c r="D53" s="114"/>
    </row>
    <row r="54" spans="1:4" ht="15.75" outlineLevel="1">
      <c r="A54" s="40" t="s">
        <v>971</v>
      </c>
      <c r="B54" s="41" t="s">
        <v>150</v>
      </c>
      <c r="C54" s="40">
        <v>5.24</v>
      </c>
      <c r="D54" s="114"/>
    </row>
    <row r="55" spans="1:4" ht="15.75" outlineLevel="1">
      <c r="A55" s="40" t="s">
        <v>971</v>
      </c>
      <c r="B55" s="41" t="s">
        <v>5</v>
      </c>
      <c r="C55" s="40">
        <v>5.26</v>
      </c>
      <c r="D55" s="114"/>
    </row>
    <row r="56" spans="1:4" ht="15.75" outlineLevel="1">
      <c r="A56" s="40" t="s">
        <v>971</v>
      </c>
      <c r="B56" s="41" t="s">
        <v>6</v>
      </c>
      <c r="C56" s="40">
        <v>5.27</v>
      </c>
      <c r="D56" s="114"/>
    </row>
    <row r="57" spans="1:4" ht="15.75" outlineLevel="1">
      <c r="A57" s="40" t="s">
        <v>971</v>
      </c>
      <c r="B57" s="41" t="s">
        <v>7</v>
      </c>
      <c r="C57" s="40">
        <v>5.28</v>
      </c>
      <c r="D57" s="114"/>
    </row>
    <row r="58" spans="1:4" ht="15.75" outlineLevel="1">
      <c r="A58" s="40" t="s">
        <v>971</v>
      </c>
      <c r="B58" s="41" t="s">
        <v>8</v>
      </c>
      <c r="C58" s="42">
        <v>5.3</v>
      </c>
      <c r="D58" s="114"/>
    </row>
    <row r="59" spans="1:4" ht="15.75" outlineLevel="1">
      <c r="A59" s="40" t="s">
        <v>971</v>
      </c>
      <c r="B59" s="41" t="s">
        <v>151</v>
      </c>
      <c r="C59" s="40">
        <v>5.31</v>
      </c>
      <c r="D59" s="114"/>
    </row>
    <row r="60" spans="1:4" ht="15.75" outlineLevel="1">
      <c r="A60" s="40" t="s">
        <v>971</v>
      </c>
      <c r="B60" s="41" t="s">
        <v>126</v>
      </c>
      <c r="C60" s="40">
        <v>5.36</v>
      </c>
      <c r="D60" s="114"/>
    </row>
    <row r="61" spans="1:4" ht="15.75" outlineLevel="1">
      <c r="A61" s="40" t="s">
        <v>971</v>
      </c>
      <c r="B61" s="41" t="s">
        <v>9</v>
      </c>
      <c r="C61" s="40">
        <v>5.49</v>
      </c>
      <c r="D61" s="114"/>
    </row>
    <row r="62" spans="1:4" ht="15.75" outlineLevel="1">
      <c r="A62" s="40" t="s">
        <v>971</v>
      </c>
      <c r="B62" s="41" t="s">
        <v>10</v>
      </c>
      <c r="C62" s="40">
        <v>5.51</v>
      </c>
      <c r="D62" s="114"/>
    </row>
    <row r="63" spans="1:4" ht="15.75" outlineLevel="1">
      <c r="A63" s="40" t="s">
        <v>971</v>
      </c>
      <c r="B63" s="41" t="s">
        <v>1121</v>
      </c>
      <c r="C63" s="40">
        <v>5.52</v>
      </c>
      <c r="D63" s="114"/>
    </row>
    <row r="64" spans="1:4" ht="15.75" outlineLevel="1">
      <c r="A64" s="40" t="s">
        <v>971</v>
      </c>
      <c r="B64" s="41" t="s">
        <v>11</v>
      </c>
      <c r="C64" s="40">
        <v>5.53</v>
      </c>
      <c r="D64" s="114"/>
    </row>
    <row r="65" spans="1:4" ht="15.75" outlineLevel="1">
      <c r="A65" s="40" t="s">
        <v>971</v>
      </c>
      <c r="B65" s="41" t="s">
        <v>12</v>
      </c>
      <c r="C65" s="40">
        <v>5.69</v>
      </c>
      <c r="D65" s="114"/>
    </row>
    <row r="66" spans="1:4" ht="15.75" outlineLevel="1">
      <c r="A66" s="40" t="s">
        <v>971</v>
      </c>
      <c r="B66" s="41" t="s">
        <v>915</v>
      </c>
      <c r="C66" s="42">
        <v>5.72</v>
      </c>
      <c r="D66" s="114"/>
    </row>
    <row r="67" spans="1:4" ht="15.75" outlineLevel="1">
      <c r="A67" s="40" t="s">
        <v>971</v>
      </c>
      <c r="B67" s="41" t="s">
        <v>13</v>
      </c>
      <c r="C67" s="40">
        <v>5.75</v>
      </c>
      <c r="D67" s="114"/>
    </row>
    <row r="68" spans="1:4" ht="15.75" outlineLevel="1">
      <c r="A68" s="40" t="s">
        <v>971</v>
      </c>
      <c r="B68" s="41" t="s">
        <v>14</v>
      </c>
      <c r="C68" s="42">
        <v>5.7</v>
      </c>
      <c r="D68" s="114"/>
    </row>
    <row r="69" spans="1:4" ht="15.75" outlineLevel="1">
      <c r="A69" s="40" t="s">
        <v>971</v>
      </c>
      <c r="B69" s="41" t="s">
        <v>15</v>
      </c>
      <c r="C69" s="40">
        <v>5.74</v>
      </c>
      <c r="D69" s="114"/>
    </row>
    <row r="70" spans="1:4" ht="15.75" outlineLevel="1">
      <c r="A70" s="40" t="s">
        <v>971</v>
      </c>
      <c r="B70" s="41" t="s">
        <v>413</v>
      </c>
      <c r="C70" s="40">
        <v>5.76</v>
      </c>
      <c r="D70" s="114"/>
    </row>
    <row r="71" spans="1:4" ht="15.75" outlineLevel="1">
      <c r="A71" s="40" t="s">
        <v>971</v>
      </c>
      <c r="B71" s="41" t="s">
        <v>836</v>
      </c>
      <c r="C71" s="40">
        <v>5.89</v>
      </c>
      <c r="D71" s="113" t="s">
        <v>1118</v>
      </c>
    </row>
    <row r="72" spans="1:4" ht="15.75" outlineLevel="1">
      <c r="A72" s="40" t="s">
        <v>971</v>
      </c>
      <c r="B72" s="41" t="s">
        <v>17</v>
      </c>
      <c r="C72" s="40">
        <v>5.58</v>
      </c>
      <c r="D72" s="114"/>
    </row>
    <row r="73" spans="1:4" ht="15.75" outlineLevel="1">
      <c r="A73" s="40" t="s">
        <v>971</v>
      </c>
      <c r="B73" s="41" t="s">
        <v>16</v>
      </c>
      <c r="C73" s="40">
        <v>5.62</v>
      </c>
      <c r="D73" s="114"/>
    </row>
    <row r="74" spans="1:4" ht="15.75" outlineLevel="1">
      <c r="A74" s="40" t="s">
        <v>971</v>
      </c>
      <c r="B74" s="41" t="s">
        <v>18</v>
      </c>
      <c r="C74" s="40">
        <v>5.54</v>
      </c>
      <c r="D74" s="114"/>
    </row>
    <row r="75" spans="1:4" ht="15.75" outlineLevel="1">
      <c r="A75" s="40" t="s">
        <v>971</v>
      </c>
      <c r="B75" s="41" t="s">
        <v>19</v>
      </c>
      <c r="C75" s="40">
        <v>5.55</v>
      </c>
      <c r="D75" s="114"/>
    </row>
    <row r="76" spans="1:4" ht="15.75" outlineLevel="1">
      <c r="A76" s="40" t="s">
        <v>971</v>
      </c>
      <c r="B76" s="41" t="s">
        <v>20</v>
      </c>
      <c r="C76" s="40">
        <v>5.63</v>
      </c>
      <c r="D76" s="114"/>
    </row>
    <row r="77" spans="1:4" ht="15.75" outlineLevel="1">
      <c r="A77" s="40" t="s">
        <v>971</v>
      </c>
      <c r="B77" s="41" t="s">
        <v>21</v>
      </c>
      <c r="C77" s="40">
        <v>5.65</v>
      </c>
      <c r="D77" s="114"/>
    </row>
    <row r="78" spans="1:4" ht="15.75" outlineLevel="1">
      <c r="A78" s="40" t="s">
        <v>971</v>
      </c>
      <c r="B78" s="41" t="s">
        <v>167</v>
      </c>
      <c r="C78" s="40">
        <v>5.66</v>
      </c>
      <c r="D78" s="114"/>
    </row>
    <row r="79" spans="1:4" ht="15.75" outlineLevel="1">
      <c r="A79" s="40" t="s">
        <v>971</v>
      </c>
      <c r="B79" s="41" t="s">
        <v>22</v>
      </c>
      <c r="C79" s="40">
        <v>5.68</v>
      </c>
      <c r="D79" s="114"/>
    </row>
    <row r="80" spans="1:4" ht="15.75" outlineLevel="1">
      <c r="A80" s="40" t="s">
        <v>971</v>
      </c>
      <c r="B80" s="41" t="s">
        <v>23</v>
      </c>
      <c r="C80" s="40">
        <v>5.45</v>
      </c>
      <c r="D80" s="114"/>
    </row>
    <row r="81" spans="1:4" ht="15.75" outlineLevel="1">
      <c r="A81" s="40" t="s">
        <v>971</v>
      </c>
      <c r="B81" s="41" t="s">
        <v>24</v>
      </c>
      <c r="C81" s="40">
        <v>5.47</v>
      </c>
      <c r="D81" s="114"/>
    </row>
    <row r="82" spans="1:4" ht="15.75" outlineLevel="1">
      <c r="A82" s="40" t="s">
        <v>971</v>
      </c>
      <c r="B82" s="41" t="s">
        <v>25</v>
      </c>
      <c r="C82" s="40">
        <v>5.48</v>
      </c>
      <c r="D82" s="114"/>
    </row>
    <row r="83" spans="1:4" ht="15.75">
      <c r="A83" s="46" t="s">
        <v>971</v>
      </c>
      <c r="B83" s="41"/>
      <c r="C83" s="40"/>
      <c r="D83" s="114"/>
    </row>
    <row r="84" spans="1:4" ht="15.75" outlineLevel="1">
      <c r="A84" s="40" t="s">
        <v>972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972</v>
      </c>
      <c r="B85" s="41" t="s">
        <v>1</v>
      </c>
      <c r="C85" s="40">
        <v>5.2</v>
      </c>
      <c r="D85" s="114"/>
    </row>
    <row r="86" spans="1:4" ht="15.75" outlineLevel="1">
      <c r="A86" s="40" t="s">
        <v>972</v>
      </c>
      <c r="B86" s="41" t="s">
        <v>2</v>
      </c>
      <c r="C86" s="40">
        <v>5.3</v>
      </c>
      <c r="D86" s="114"/>
    </row>
    <row r="87" spans="1:4" ht="15.75" outlineLevel="1">
      <c r="A87" s="40" t="s">
        <v>972</v>
      </c>
      <c r="B87" s="41" t="s">
        <v>148</v>
      </c>
      <c r="C87" s="40">
        <v>5.6</v>
      </c>
      <c r="D87" s="114"/>
    </row>
    <row r="88" spans="1:4" ht="15.75" outlineLevel="1">
      <c r="A88" s="40" t="s">
        <v>972</v>
      </c>
      <c r="B88" s="41" t="s">
        <v>1120</v>
      </c>
      <c r="C88" s="42">
        <v>5.0999999999999996</v>
      </c>
      <c r="D88" s="114"/>
    </row>
    <row r="89" spans="1:4" ht="15.75" outlineLevel="1">
      <c r="A89" s="40" t="s">
        <v>972</v>
      </c>
      <c r="B89" s="41" t="s">
        <v>1119</v>
      </c>
      <c r="C89" s="40">
        <v>5.14</v>
      </c>
      <c r="D89" s="114"/>
    </row>
    <row r="90" spans="1:4" ht="15.75" outlineLevel="1">
      <c r="A90" s="40" t="s">
        <v>972</v>
      </c>
      <c r="B90" s="41" t="s">
        <v>4</v>
      </c>
      <c r="C90" s="40">
        <v>5.19</v>
      </c>
      <c r="D90" s="114"/>
    </row>
    <row r="91" spans="1:4" ht="15.75" outlineLevel="1">
      <c r="A91" s="40" t="s">
        <v>972</v>
      </c>
      <c r="B91" s="41" t="s">
        <v>150</v>
      </c>
      <c r="C91" s="40">
        <v>5.24</v>
      </c>
      <c r="D91" s="114"/>
    </row>
    <row r="92" spans="1:4" ht="15.75" outlineLevel="1">
      <c r="A92" s="40" t="s">
        <v>972</v>
      </c>
      <c r="B92" s="41" t="s">
        <v>5</v>
      </c>
      <c r="C92" s="40">
        <v>5.26</v>
      </c>
      <c r="D92" s="114"/>
    </row>
    <row r="93" spans="1:4" ht="15.75" outlineLevel="1">
      <c r="A93" s="40" t="s">
        <v>972</v>
      </c>
      <c r="B93" s="41" t="s">
        <v>6</v>
      </c>
      <c r="C93" s="40">
        <v>5.27</v>
      </c>
      <c r="D93" s="114"/>
    </row>
    <row r="94" spans="1:4" ht="15.75" outlineLevel="1">
      <c r="A94" s="40" t="s">
        <v>972</v>
      </c>
      <c r="B94" s="41" t="s">
        <v>7</v>
      </c>
      <c r="C94" s="40">
        <v>5.28</v>
      </c>
      <c r="D94" s="114"/>
    </row>
    <row r="95" spans="1:4" ht="15.75" outlineLevel="1">
      <c r="A95" s="40" t="s">
        <v>972</v>
      </c>
      <c r="B95" s="41" t="s">
        <v>329</v>
      </c>
      <c r="C95" s="40">
        <v>5.29</v>
      </c>
      <c r="D95" s="114"/>
    </row>
    <row r="96" spans="1:4" ht="15.75" outlineLevel="1">
      <c r="A96" s="40" t="s">
        <v>972</v>
      </c>
      <c r="B96" s="41" t="s">
        <v>8</v>
      </c>
      <c r="C96" s="42">
        <v>5.3</v>
      </c>
      <c r="D96" s="114"/>
    </row>
    <row r="97" spans="1:4" ht="15.75" outlineLevel="1">
      <c r="A97" s="40" t="s">
        <v>972</v>
      </c>
      <c r="B97" s="41" t="s">
        <v>151</v>
      </c>
      <c r="C97" s="40">
        <v>5.31</v>
      </c>
      <c r="D97" s="114"/>
    </row>
    <row r="98" spans="1:4" ht="15.75" outlineLevel="1">
      <c r="A98" s="40" t="s">
        <v>972</v>
      </c>
      <c r="B98" s="41" t="s">
        <v>126</v>
      </c>
      <c r="C98" s="40">
        <v>5.36</v>
      </c>
      <c r="D98" s="114"/>
    </row>
    <row r="99" spans="1:4" ht="15.75" outlineLevel="1">
      <c r="A99" s="40" t="s">
        <v>972</v>
      </c>
      <c r="B99" s="41" t="s">
        <v>9</v>
      </c>
      <c r="C99" s="40">
        <v>5.49</v>
      </c>
      <c r="D99" s="114"/>
    </row>
    <row r="100" spans="1:4" ht="15.75" outlineLevel="1">
      <c r="A100" s="40" t="s">
        <v>972</v>
      </c>
      <c r="B100" s="41" t="s">
        <v>10</v>
      </c>
      <c r="C100" s="40">
        <v>5.51</v>
      </c>
      <c r="D100" s="114"/>
    </row>
    <row r="101" spans="1:4" ht="15.75" outlineLevel="1">
      <c r="A101" s="40" t="s">
        <v>972</v>
      </c>
      <c r="B101" s="41" t="s">
        <v>1121</v>
      </c>
      <c r="C101" s="40">
        <v>5.52</v>
      </c>
      <c r="D101" s="114"/>
    </row>
    <row r="102" spans="1:4" ht="15.75" outlineLevel="1">
      <c r="A102" s="40" t="s">
        <v>972</v>
      </c>
      <c r="B102" s="41" t="s">
        <v>11</v>
      </c>
      <c r="C102" s="40">
        <v>5.53</v>
      </c>
      <c r="D102" s="114"/>
    </row>
    <row r="103" spans="1:4" ht="15.75" outlineLevel="1">
      <c r="A103" s="40" t="s">
        <v>972</v>
      </c>
      <c r="B103" s="41" t="s">
        <v>12</v>
      </c>
      <c r="C103" s="40">
        <v>5.69</v>
      </c>
      <c r="D103" s="114"/>
    </row>
    <row r="104" spans="1:4" ht="15.75" outlineLevel="1">
      <c r="A104" s="40" t="s">
        <v>972</v>
      </c>
      <c r="B104" s="41" t="s">
        <v>13</v>
      </c>
      <c r="C104" s="40">
        <v>5.75</v>
      </c>
      <c r="D104" s="114"/>
    </row>
    <row r="105" spans="1:4" ht="15.75" outlineLevel="1">
      <c r="A105" s="40" t="s">
        <v>972</v>
      </c>
      <c r="B105" s="41" t="s">
        <v>14</v>
      </c>
      <c r="C105" s="42">
        <v>5.7</v>
      </c>
      <c r="D105" s="114"/>
    </row>
    <row r="106" spans="1:4" ht="15.75" outlineLevel="1">
      <c r="A106" s="40" t="s">
        <v>972</v>
      </c>
      <c r="B106" s="41" t="s">
        <v>15</v>
      </c>
      <c r="C106" s="40">
        <v>5.74</v>
      </c>
      <c r="D106" s="114"/>
    </row>
    <row r="107" spans="1:4" ht="15.75" outlineLevel="1">
      <c r="A107" s="40" t="s">
        <v>972</v>
      </c>
      <c r="B107" s="41" t="s">
        <v>413</v>
      </c>
      <c r="C107" s="40">
        <v>5.76</v>
      </c>
      <c r="D107" s="114"/>
    </row>
    <row r="108" spans="1:4" ht="15.75" outlineLevel="1">
      <c r="A108" s="40" t="s">
        <v>972</v>
      </c>
      <c r="B108" s="41" t="s">
        <v>836</v>
      </c>
      <c r="C108" s="40">
        <v>5.89</v>
      </c>
      <c r="D108" s="113" t="s">
        <v>1118</v>
      </c>
    </row>
    <row r="109" spans="1:4" ht="15.75" outlineLevel="1">
      <c r="A109" s="40" t="s">
        <v>972</v>
      </c>
      <c r="B109" s="41" t="s">
        <v>17</v>
      </c>
      <c r="C109" s="40">
        <v>5.58</v>
      </c>
      <c r="D109" s="114"/>
    </row>
    <row r="110" spans="1:4" ht="15.75" outlineLevel="1">
      <c r="A110" s="40" t="s">
        <v>972</v>
      </c>
      <c r="B110" s="41" t="s">
        <v>16</v>
      </c>
      <c r="C110" s="40">
        <v>5.62</v>
      </c>
      <c r="D110" s="114"/>
    </row>
    <row r="111" spans="1:4" ht="15.75" outlineLevel="1">
      <c r="A111" s="40" t="s">
        <v>972</v>
      </c>
      <c r="B111" s="41" t="s">
        <v>18</v>
      </c>
      <c r="C111" s="40">
        <v>5.54</v>
      </c>
      <c r="D111" s="114"/>
    </row>
    <row r="112" spans="1:4" ht="15.75" outlineLevel="1">
      <c r="A112" s="40" t="s">
        <v>972</v>
      </c>
      <c r="B112" s="41" t="s">
        <v>19</v>
      </c>
      <c r="C112" s="40">
        <v>5.55</v>
      </c>
      <c r="D112" s="114"/>
    </row>
    <row r="113" spans="1:4" ht="15.75" outlineLevel="1">
      <c r="A113" s="40" t="s">
        <v>972</v>
      </c>
      <c r="B113" s="41" t="s">
        <v>21</v>
      </c>
      <c r="C113" s="40">
        <v>5.65</v>
      </c>
      <c r="D113" s="114"/>
    </row>
    <row r="114" spans="1:4" ht="15.75" outlineLevel="1">
      <c r="A114" s="40" t="s">
        <v>972</v>
      </c>
      <c r="B114" s="41" t="s">
        <v>167</v>
      </c>
      <c r="C114" s="40">
        <v>5.66</v>
      </c>
      <c r="D114" s="114"/>
    </row>
    <row r="115" spans="1:4" ht="15.75" outlineLevel="1">
      <c r="A115" s="40" t="s">
        <v>972</v>
      </c>
      <c r="B115" s="41" t="s">
        <v>22</v>
      </c>
      <c r="C115" s="40">
        <v>5.68</v>
      </c>
      <c r="D115" s="114"/>
    </row>
    <row r="116" spans="1:4" ht="15.75" outlineLevel="1">
      <c r="A116" s="40" t="s">
        <v>972</v>
      </c>
      <c r="B116" s="41" t="s">
        <v>23</v>
      </c>
      <c r="C116" s="40">
        <v>5.45</v>
      </c>
      <c r="D116" s="114"/>
    </row>
    <row r="117" spans="1:4" ht="15.75" outlineLevel="1">
      <c r="A117" s="40" t="s">
        <v>972</v>
      </c>
      <c r="B117" s="41" t="s">
        <v>24</v>
      </c>
      <c r="C117" s="40">
        <v>5.47</v>
      </c>
      <c r="D117" s="114"/>
    </row>
    <row r="118" spans="1:4" ht="15.75" outlineLevel="1">
      <c r="A118" s="40" t="s">
        <v>972</v>
      </c>
      <c r="B118" s="41" t="s">
        <v>25</v>
      </c>
      <c r="C118" s="40">
        <v>5.48</v>
      </c>
      <c r="D118" s="114"/>
    </row>
    <row r="119" spans="1:4" ht="15.75">
      <c r="A119" s="46" t="s">
        <v>972</v>
      </c>
      <c r="B119" s="41"/>
      <c r="C119" s="40"/>
      <c r="D119" s="114"/>
    </row>
    <row r="120" spans="1:4" ht="15.75" outlineLevel="1">
      <c r="A120" s="40" t="s">
        <v>1122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1122</v>
      </c>
      <c r="B121" s="41" t="s">
        <v>1</v>
      </c>
      <c r="C121" s="40">
        <v>5.2</v>
      </c>
      <c r="D121" s="114"/>
    </row>
    <row r="122" spans="1:4" ht="15.75" outlineLevel="1">
      <c r="A122" s="40" t="s">
        <v>1122</v>
      </c>
      <c r="B122" s="41" t="s">
        <v>2</v>
      </c>
      <c r="C122" s="40">
        <v>5.3</v>
      </c>
      <c r="D122" s="114"/>
    </row>
    <row r="123" spans="1:4" ht="15.75" outlineLevel="1">
      <c r="A123" s="40" t="s">
        <v>1122</v>
      </c>
      <c r="B123" s="41" t="s">
        <v>148</v>
      </c>
      <c r="C123" s="40">
        <v>5.6</v>
      </c>
      <c r="D123" s="114"/>
    </row>
    <row r="124" spans="1:4" ht="15.75" outlineLevel="1">
      <c r="A124" s="40" t="s">
        <v>1122</v>
      </c>
      <c r="B124" s="41" t="s">
        <v>1120</v>
      </c>
      <c r="C124" s="42">
        <v>5.0999999999999996</v>
      </c>
      <c r="D124" s="114"/>
    </row>
    <row r="125" spans="1:4" ht="15.75" outlineLevel="1">
      <c r="A125" s="40" t="s">
        <v>1122</v>
      </c>
      <c r="B125" s="41" t="s">
        <v>1119</v>
      </c>
      <c r="C125" s="40">
        <v>5.14</v>
      </c>
      <c r="D125" s="114"/>
    </row>
    <row r="126" spans="1:4" ht="15.75" outlineLevel="1">
      <c r="A126" s="40" t="s">
        <v>1122</v>
      </c>
      <c r="B126" s="41" t="s">
        <v>4</v>
      </c>
      <c r="C126" s="40">
        <v>5.19</v>
      </c>
      <c r="D126" s="114"/>
    </row>
    <row r="127" spans="1:4" ht="15.75" outlineLevel="1">
      <c r="A127" s="40" t="s">
        <v>1122</v>
      </c>
      <c r="B127" s="41" t="s">
        <v>150</v>
      </c>
      <c r="C127" s="40">
        <v>5.24</v>
      </c>
      <c r="D127" s="114"/>
    </row>
    <row r="128" spans="1:4" ht="15.75" outlineLevel="1">
      <c r="A128" s="40" t="s">
        <v>1122</v>
      </c>
      <c r="B128" s="41" t="s">
        <v>5</v>
      </c>
      <c r="C128" s="40">
        <v>5.26</v>
      </c>
      <c r="D128" s="114"/>
    </row>
    <row r="129" spans="1:4" ht="15.75" outlineLevel="1">
      <c r="A129" s="40" t="s">
        <v>1122</v>
      </c>
      <c r="B129" s="41" t="s">
        <v>6</v>
      </c>
      <c r="C129" s="40">
        <v>5.27</v>
      </c>
      <c r="D129" s="114"/>
    </row>
    <row r="130" spans="1:4" ht="15.75" outlineLevel="1">
      <c r="A130" s="40" t="s">
        <v>1122</v>
      </c>
      <c r="B130" s="41" t="s">
        <v>7</v>
      </c>
      <c r="C130" s="40">
        <v>5.28</v>
      </c>
      <c r="D130" s="114"/>
    </row>
    <row r="131" spans="1:4" ht="15.75" outlineLevel="1">
      <c r="A131" s="40" t="s">
        <v>1122</v>
      </c>
      <c r="B131" s="41" t="s">
        <v>329</v>
      </c>
      <c r="C131" s="40">
        <v>5.29</v>
      </c>
      <c r="D131" s="114"/>
    </row>
    <row r="132" spans="1:4" ht="15.75" outlineLevel="1">
      <c r="A132" s="40" t="s">
        <v>1122</v>
      </c>
      <c r="B132" s="41" t="s">
        <v>8</v>
      </c>
      <c r="C132" s="42">
        <v>5.3</v>
      </c>
      <c r="D132" s="114"/>
    </row>
    <row r="133" spans="1:4" ht="15.75" outlineLevel="1">
      <c r="A133" s="40" t="s">
        <v>1122</v>
      </c>
      <c r="B133" s="41" t="s">
        <v>151</v>
      </c>
      <c r="C133" s="40">
        <v>5.31</v>
      </c>
      <c r="D133" s="114"/>
    </row>
    <row r="134" spans="1:4" ht="15.75" outlineLevel="1">
      <c r="A134" s="40" t="s">
        <v>1122</v>
      </c>
      <c r="B134" s="41" t="s">
        <v>126</v>
      </c>
      <c r="C134" s="40">
        <v>5.36</v>
      </c>
      <c r="D134" s="114"/>
    </row>
    <row r="135" spans="1:4" ht="15.75" outlineLevel="1">
      <c r="A135" s="40" t="s">
        <v>1122</v>
      </c>
      <c r="B135" s="41" t="s">
        <v>11</v>
      </c>
      <c r="C135" s="40">
        <v>5.53</v>
      </c>
      <c r="D135" s="114"/>
    </row>
    <row r="136" spans="1:4" ht="15.75" outlineLevel="1">
      <c r="A136" s="40" t="s">
        <v>1122</v>
      </c>
      <c r="B136" s="41" t="s">
        <v>17</v>
      </c>
      <c r="C136" s="40">
        <v>5.58</v>
      </c>
      <c r="D136" s="114"/>
    </row>
    <row r="137" spans="1:4" ht="15.75" outlineLevel="1">
      <c r="A137" s="40" t="s">
        <v>1122</v>
      </c>
      <c r="B137" s="41" t="s">
        <v>16</v>
      </c>
      <c r="C137" s="40">
        <v>5.62</v>
      </c>
      <c r="D137" s="114"/>
    </row>
    <row r="138" spans="1:4" ht="15.75" outlineLevel="1">
      <c r="A138" s="40" t="s">
        <v>1122</v>
      </c>
      <c r="B138" s="41" t="s">
        <v>18</v>
      </c>
      <c r="C138" s="40">
        <v>5.54</v>
      </c>
      <c r="D138" s="114"/>
    </row>
    <row r="139" spans="1:4" ht="15.75" outlineLevel="1">
      <c r="A139" s="40" t="s">
        <v>1122</v>
      </c>
      <c r="B139" s="41" t="s">
        <v>19</v>
      </c>
      <c r="C139" s="40">
        <v>5.55</v>
      </c>
      <c r="D139" s="114"/>
    </row>
    <row r="140" spans="1:4" ht="15.75" outlineLevel="1">
      <c r="A140" s="40" t="s">
        <v>1122</v>
      </c>
      <c r="B140" s="41" t="s">
        <v>20</v>
      </c>
      <c r="C140" s="40">
        <v>5.63</v>
      </c>
      <c r="D140" s="114"/>
    </row>
    <row r="141" spans="1:4" ht="15.75" outlineLevel="1">
      <c r="A141" s="40" t="s">
        <v>1122</v>
      </c>
      <c r="B141" s="41" t="s">
        <v>23</v>
      </c>
      <c r="C141" s="40">
        <v>5.45</v>
      </c>
      <c r="D141" s="114"/>
    </row>
    <row r="142" spans="1:4" ht="15.75" outlineLevel="1">
      <c r="A142" s="40" t="s">
        <v>1122</v>
      </c>
      <c r="B142" s="41" t="s">
        <v>24</v>
      </c>
      <c r="C142" s="40">
        <v>5.47</v>
      </c>
      <c r="D142" s="114"/>
    </row>
    <row r="143" spans="1:4" ht="15.75" outlineLevel="1">
      <c r="A143" s="40" t="s">
        <v>1122</v>
      </c>
      <c r="B143" s="41" t="s">
        <v>25</v>
      </c>
      <c r="C143" s="40">
        <v>5.48</v>
      </c>
      <c r="D143" s="114"/>
    </row>
    <row r="144" spans="1:4" ht="15.75">
      <c r="A144" s="46" t="s">
        <v>1122</v>
      </c>
      <c r="B144" s="41"/>
      <c r="C144" s="40"/>
      <c r="D144" s="114"/>
    </row>
    <row r="145" spans="1:4" ht="15.75" outlineLevel="1">
      <c r="A145" s="40" t="s">
        <v>476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476</v>
      </c>
      <c r="B146" s="41" t="s">
        <v>1</v>
      </c>
      <c r="C146" s="40">
        <v>5.2</v>
      </c>
      <c r="D146" s="114"/>
    </row>
    <row r="147" spans="1:4" ht="15.75" outlineLevel="1">
      <c r="A147" s="40" t="s">
        <v>476</v>
      </c>
      <c r="B147" s="41" t="s">
        <v>2</v>
      </c>
      <c r="C147" s="40">
        <v>5.3</v>
      </c>
      <c r="D147" s="114"/>
    </row>
    <row r="148" spans="1:4" ht="15.75" outlineLevel="1">
      <c r="A148" s="40" t="s">
        <v>476</v>
      </c>
      <c r="B148" s="41" t="s">
        <v>148</v>
      </c>
      <c r="C148" s="40">
        <v>5.6</v>
      </c>
      <c r="D148" s="114"/>
    </row>
    <row r="149" spans="1:4" ht="15.75" outlineLevel="1">
      <c r="A149" s="40" t="s">
        <v>476</v>
      </c>
      <c r="B149" s="41" t="s">
        <v>1120</v>
      </c>
      <c r="C149" s="42">
        <v>5.0999999999999996</v>
      </c>
      <c r="D149" s="114"/>
    </row>
    <row r="150" spans="1:4" ht="15.75" outlineLevel="1">
      <c r="A150" s="40" t="s">
        <v>476</v>
      </c>
      <c r="B150" s="41" t="s">
        <v>1119</v>
      </c>
      <c r="C150" s="40">
        <v>5.14</v>
      </c>
      <c r="D150" s="114"/>
    </row>
    <row r="151" spans="1:4" ht="15.75" outlineLevel="1">
      <c r="A151" s="40" t="s">
        <v>476</v>
      </c>
      <c r="B151" s="41" t="s">
        <v>4</v>
      </c>
      <c r="C151" s="40">
        <v>5.19</v>
      </c>
      <c r="D151" s="114"/>
    </row>
    <row r="152" spans="1:4" ht="15.75" outlineLevel="1">
      <c r="A152" s="40" t="s">
        <v>476</v>
      </c>
      <c r="B152" s="41" t="s">
        <v>150</v>
      </c>
      <c r="C152" s="40">
        <v>5.24</v>
      </c>
      <c r="D152" s="114"/>
    </row>
    <row r="153" spans="1:4" ht="15.75" outlineLevel="1">
      <c r="A153" s="40" t="s">
        <v>476</v>
      </c>
      <c r="B153" s="41" t="s">
        <v>5</v>
      </c>
      <c r="C153" s="40">
        <v>5.26</v>
      </c>
      <c r="D153" s="114"/>
    </row>
    <row r="154" spans="1:4" ht="15.75" outlineLevel="1">
      <c r="A154" s="40" t="s">
        <v>476</v>
      </c>
      <c r="B154" s="41" t="s">
        <v>6</v>
      </c>
      <c r="C154" s="40">
        <v>5.27</v>
      </c>
      <c r="D154" s="114"/>
    </row>
    <row r="155" spans="1:4" ht="15.75" outlineLevel="1">
      <c r="A155" s="40" t="s">
        <v>476</v>
      </c>
      <c r="B155" s="41" t="s">
        <v>7</v>
      </c>
      <c r="C155" s="40">
        <v>5.28</v>
      </c>
      <c r="D155" s="114"/>
    </row>
    <row r="156" spans="1:4" ht="15.75" outlineLevel="1">
      <c r="A156" s="40" t="s">
        <v>476</v>
      </c>
      <c r="B156" s="41" t="s">
        <v>8</v>
      </c>
      <c r="C156" s="42">
        <v>5.3</v>
      </c>
      <c r="D156" s="114"/>
    </row>
    <row r="157" spans="1:4" ht="15.75" outlineLevel="1">
      <c r="A157" s="40" t="s">
        <v>476</v>
      </c>
      <c r="B157" s="41" t="s">
        <v>574</v>
      </c>
      <c r="C157" s="40">
        <v>5.32</v>
      </c>
      <c r="D157" s="114"/>
    </row>
    <row r="158" spans="1:4" ht="15.75" outlineLevel="1">
      <c r="A158" s="40" t="s">
        <v>476</v>
      </c>
      <c r="B158" s="41" t="s">
        <v>126</v>
      </c>
      <c r="C158" s="40">
        <v>5.36</v>
      </c>
      <c r="D158" s="114"/>
    </row>
    <row r="159" spans="1:4" ht="15.75" outlineLevel="1">
      <c r="A159" s="40" t="s">
        <v>476</v>
      </c>
      <c r="B159" s="41" t="s">
        <v>11</v>
      </c>
      <c r="C159" s="40">
        <v>5.53</v>
      </c>
      <c r="D159" s="114"/>
    </row>
    <row r="160" spans="1:4" ht="15.75" outlineLevel="1">
      <c r="A160" s="40" t="s">
        <v>476</v>
      </c>
      <c r="B160" s="41" t="s">
        <v>17</v>
      </c>
      <c r="C160" s="40">
        <v>5.58</v>
      </c>
      <c r="D160" s="114"/>
    </row>
    <row r="161" spans="1:5" ht="15.75" outlineLevel="1">
      <c r="A161" s="40" t="s">
        <v>476</v>
      </c>
      <c r="B161" s="41" t="s">
        <v>18</v>
      </c>
      <c r="C161" s="40">
        <v>5.54</v>
      </c>
      <c r="D161" s="114"/>
    </row>
    <row r="162" spans="1:5" ht="15.75" outlineLevel="1">
      <c r="A162" s="40" t="s">
        <v>476</v>
      </c>
      <c r="B162" s="41" t="s">
        <v>19</v>
      </c>
      <c r="C162" s="40">
        <v>5.55</v>
      </c>
      <c r="D162" s="114"/>
    </row>
    <row r="163" spans="1:5" ht="15.75" outlineLevel="1">
      <c r="A163" s="40" t="s">
        <v>476</v>
      </c>
      <c r="B163" s="41" t="s">
        <v>16</v>
      </c>
      <c r="C163" s="40">
        <v>5.62</v>
      </c>
      <c r="D163" s="114"/>
      <c r="E163" t="s">
        <v>1123</v>
      </c>
    </row>
    <row r="164" spans="1:5" ht="15.75" outlineLevel="1">
      <c r="A164" s="40" t="s">
        <v>476</v>
      </c>
      <c r="B164" s="41" t="s">
        <v>20</v>
      </c>
      <c r="C164" s="40">
        <v>5.63</v>
      </c>
      <c r="D164" s="114"/>
    </row>
    <row r="165" spans="1:5" ht="15.75" outlineLevel="1">
      <c r="A165" s="40" t="s">
        <v>476</v>
      </c>
      <c r="B165" s="41" t="s">
        <v>23</v>
      </c>
      <c r="C165" s="40">
        <v>5.45</v>
      </c>
      <c r="D165" s="114"/>
    </row>
    <row r="166" spans="1:5" ht="15.75" outlineLevel="1">
      <c r="A166" s="40" t="s">
        <v>476</v>
      </c>
      <c r="B166" s="41" t="s">
        <v>24</v>
      </c>
      <c r="C166" s="40">
        <v>5.47</v>
      </c>
      <c r="D166" s="114"/>
    </row>
    <row r="167" spans="1:5" ht="15.75" outlineLevel="1">
      <c r="A167" s="40" t="s">
        <v>476</v>
      </c>
      <c r="B167" s="41" t="s">
        <v>25</v>
      </c>
      <c r="C167" s="40">
        <v>5.48</v>
      </c>
      <c r="D167" s="114"/>
    </row>
    <row r="168" spans="1:5" ht="15.75">
      <c r="A168" s="46" t="s">
        <v>476</v>
      </c>
      <c r="B168" s="41"/>
      <c r="C168" s="40"/>
      <c r="D168" s="114"/>
    </row>
    <row r="169" spans="1:5" ht="15.75" outlineLevel="1">
      <c r="A169" s="40" t="s">
        <v>992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992</v>
      </c>
      <c r="B170" s="41" t="s">
        <v>1</v>
      </c>
      <c r="C170" s="40">
        <v>5.2</v>
      </c>
      <c r="D170" s="114"/>
    </row>
    <row r="171" spans="1:5" ht="15.75" outlineLevel="1">
      <c r="A171" s="40" t="s">
        <v>992</v>
      </c>
      <c r="B171" s="41" t="s">
        <v>2</v>
      </c>
      <c r="C171" s="40">
        <v>5.3</v>
      </c>
      <c r="D171" s="114"/>
    </row>
    <row r="172" spans="1:5" ht="15.75" outlineLevel="1">
      <c r="A172" s="40" t="s">
        <v>992</v>
      </c>
      <c r="B172" s="41" t="s">
        <v>148</v>
      </c>
      <c r="C172" s="40">
        <v>5.6</v>
      </c>
      <c r="D172" s="114"/>
    </row>
    <row r="173" spans="1:5" ht="15.75" outlineLevel="1">
      <c r="A173" s="40" t="s">
        <v>992</v>
      </c>
      <c r="B173" s="41" t="s">
        <v>1120</v>
      </c>
      <c r="C173" s="42">
        <v>5.0999999999999996</v>
      </c>
      <c r="D173" s="114"/>
    </row>
    <row r="174" spans="1:5" ht="15.75" outlineLevel="1">
      <c r="A174" s="40" t="s">
        <v>992</v>
      </c>
      <c r="B174" s="41" t="s">
        <v>1119</v>
      </c>
      <c r="C174" s="40">
        <v>5.14</v>
      </c>
      <c r="D174" s="114"/>
    </row>
    <row r="175" spans="1:5" ht="15.75" outlineLevel="1">
      <c r="A175" s="40" t="s">
        <v>992</v>
      </c>
      <c r="B175" s="41" t="s">
        <v>4</v>
      </c>
      <c r="C175" s="40">
        <v>5.19</v>
      </c>
      <c r="D175" s="114"/>
    </row>
    <row r="176" spans="1:5" ht="15.75" outlineLevel="1">
      <c r="A176" s="40" t="s">
        <v>992</v>
      </c>
      <c r="B176" s="41" t="s">
        <v>150</v>
      </c>
      <c r="C176" s="40">
        <v>5.24</v>
      </c>
      <c r="D176" s="114"/>
    </row>
    <row r="177" spans="1:4" ht="15.75" outlineLevel="1">
      <c r="A177" s="40" t="s">
        <v>992</v>
      </c>
      <c r="B177" s="41" t="s">
        <v>5</v>
      </c>
      <c r="C177" s="40">
        <v>5.26</v>
      </c>
      <c r="D177" s="114"/>
    </row>
    <row r="178" spans="1:4" ht="15.75" outlineLevel="1">
      <c r="A178" s="40" t="s">
        <v>992</v>
      </c>
      <c r="B178" s="41" t="s">
        <v>6</v>
      </c>
      <c r="C178" s="40">
        <v>5.27</v>
      </c>
      <c r="D178" s="114"/>
    </row>
    <row r="179" spans="1:4" ht="15.75" outlineLevel="1">
      <c r="A179" s="40" t="s">
        <v>992</v>
      </c>
      <c r="B179" s="41" t="s">
        <v>7</v>
      </c>
      <c r="C179" s="40">
        <v>5.28</v>
      </c>
      <c r="D179" s="114"/>
    </row>
    <row r="180" spans="1:4" ht="15.75" outlineLevel="1">
      <c r="A180" s="40" t="s">
        <v>992</v>
      </c>
      <c r="B180" s="41" t="s">
        <v>329</v>
      </c>
      <c r="C180" s="40">
        <v>5.29</v>
      </c>
      <c r="D180" s="114"/>
    </row>
    <row r="181" spans="1:4" ht="15.75" outlineLevel="1">
      <c r="A181" s="40" t="s">
        <v>992</v>
      </c>
      <c r="B181" s="41" t="s">
        <v>8</v>
      </c>
      <c r="C181" s="42">
        <v>5.3</v>
      </c>
      <c r="D181" s="114"/>
    </row>
    <row r="182" spans="1:4" ht="15.75" outlineLevel="1">
      <c r="A182" s="40" t="s">
        <v>992</v>
      </c>
      <c r="B182" s="41" t="s">
        <v>574</v>
      </c>
      <c r="C182" s="40">
        <v>5.32</v>
      </c>
      <c r="D182" s="114"/>
    </row>
    <row r="183" spans="1:4" ht="15.75" outlineLevel="1">
      <c r="A183" s="40" t="s">
        <v>992</v>
      </c>
      <c r="B183" s="41" t="s">
        <v>126</v>
      </c>
      <c r="C183" s="40">
        <v>5.36</v>
      </c>
      <c r="D183" s="114"/>
    </row>
    <row r="184" spans="1:4" ht="15.75" outlineLevel="1">
      <c r="A184" s="40" t="s">
        <v>992</v>
      </c>
      <c r="B184" s="41" t="s">
        <v>11</v>
      </c>
      <c r="C184" s="40">
        <v>5.53</v>
      </c>
      <c r="D184" s="114"/>
    </row>
    <row r="185" spans="1:4" ht="15.75" outlineLevel="1">
      <c r="A185" s="40" t="s">
        <v>992</v>
      </c>
      <c r="B185" s="41" t="s">
        <v>17</v>
      </c>
      <c r="C185" s="40">
        <v>5.58</v>
      </c>
      <c r="D185" s="114"/>
    </row>
    <row r="186" spans="1:4" ht="15.75" outlineLevel="1">
      <c r="A186" s="40" t="s">
        <v>992</v>
      </c>
      <c r="B186" s="41" t="s">
        <v>18</v>
      </c>
      <c r="C186" s="40">
        <v>5.54</v>
      </c>
      <c r="D186" s="114"/>
    </row>
    <row r="187" spans="1:4" ht="15.75" outlineLevel="1">
      <c r="A187" s="40" t="s">
        <v>992</v>
      </c>
      <c r="B187" s="41" t="s">
        <v>19</v>
      </c>
      <c r="C187" s="40">
        <v>5.55</v>
      </c>
      <c r="D187" s="114"/>
    </row>
    <row r="188" spans="1:4" ht="15.75" outlineLevel="1">
      <c r="A188" s="40" t="s">
        <v>992</v>
      </c>
      <c r="B188" s="41" t="s">
        <v>20</v>
      </c>
      <c r="C188" s="40">
        <v>5.63</v>
      </c>
      <c r="D188" s="114"/>
    </row>
    <row r="189" spans="1:4" ht="15.75" outlineLevel="1">
      <c r="A189" s="40" t="s">
        <v>992</v>
      </c>
      <c r="B189" s="41" t="s">
        <v>23</v>
      </c>
      <c r="C189" s="40">
        <v>5.45</v>
      </c>
      <c r="D189" s="114"/>
    </row>
    <row r="190" spans="1:4" ht="15.75" outlineLevel="1">
      <c r="A190" s="40" t="s">
        <v>992</v>
      </c>
      <c r="B190" s="41" t="s">
        <v>24</v>
      </c>
      <c r="C190" s="40">
        <v>5.47</v>
      </c>
      <c r="D190" s="114"/>
    </row>
    <row r="191" spans="1:4" ht="15.75" outlineLevel="1">
      <c r="A191" s="40" t="s">
        <v>992</v>
      </c>
      <c r="B191" s="41" t="s">
        <v>25</v>
      </c>
      <c r="C191" s="40">
        <v>5.48</v>
      </c>
      <c r="D191" s="114"/>
    </row>
    <row r="192" spans="1:4" ht="15.75">
      <c r="A192" s="46" t="s">
        <v>992</v>
      </c>
      <c r="B192" s="41"/>
      <c r="C192" s="40"/>
      <c r="D192" s="114"/>
    </row>
    <row r="193" spans="1:4" ht="15.75" outlineLevel="1">
      <c r="A193" s="40" t="s">
        <v>1124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1124</v>
      </c>
      <c r="B194" s="41" t="s">
        <v>1</v>
      </c>
      <c r="C194" s="40">
        <v>5.2</v>
      </c>
      <c r="D194" s="114"/>
    </row>
    <row r="195" spans="1:4" ht="15.75" outlineLevel="1">
      <c r="A195" s="40" t="s">
        <v>1124</v>
      </c>
      <c r="B195" s="41" t="s">
        <v>2</v>
      </c>
      <c r="C195" s="40">
        <v>5.3</v>
      </c>
      <c r="D195" s="114"/>
    </row>
    <row r="196" spans="1:4" ht="15.75" outlineLevel="1">
      <c r="A196" s="40" t="s">
        <v>1124</v>
      </c>
      <c r="B196" s="41" t="s">
        <v>148</v>
      </c>
      <c r="C196" s="40">
        <v>5.6</v>
      </c>
      <c r="D196" s="114"/>
    </row>
    <row r="197" spans="1:4" ht="15.75" outlineLevel="1">
      <c r="A197" s="40" t="s">
        <v>1124</v>
      </c>
      <c r="B197" s="41" t="s">
        <v>1120</v>
      </c>
      <c r="C197" s="42">
        <v>5.0999999999999996</v>
      </c>
      <c r="D197" s="114"/>
    </row>
    <row r="198" spans="1:4" ht="15.75" outlineLevel="1">
      <c r="A198" s="40" t="s">
        <v>1124</v>
      </c>
      <c r="B198" s="41" t="s">
        <v>1119</v>
      </c>
      <c r="C198" s="40">
        <v>5.14</v>
      </c>
      <c r="D198" s="114"/>
    </row>
    <row r="199" spans="1:4" ht="15.75" outlineLevel="1">
      <c r="A199" s="40" t="s">
        <v>1124</v>
      </c>
      <c r="B199" s="41" t="s">
        <v>4</v>
      </c>
      <c r="C199" s="40">
        <v>5.19</v>
      </c>
      <c r="D199" s="114"/>
    </row>
    <row r="200" spans="1:4" ht="15.75" outlineLevel="1">
      <c r="A200" s="40" t="s">
        <v>1124</v>
      </c>
      <c r="B200" s="41" t="s">
        <v>150</v>
      </c>
      <c r="C200" s="40">
        <v>5.24</v>
      </c>
      <c r="D200" s="114"/>
    </row>
    <row r="201" spans="1:4" ht="15.75" outlineLevel="1">
      <c r="A201" s="40" t="s">
        <v>1124</v>
      </c>
      <c r="B201" s="41" t="s">
        <v>6</v>
      </c>
      <c r="C201" s="40">
        <v>5.27</v>
      </c>
      <c r="D201" s="114"/>
    </row>
    <row r="202" spans="1:4" ht="15.75" outlineLevel="1">
      <c r="A202" s="40" t="s">
        <v>1124</v>
      </c>
      <c r="B202" s="41" t="s">
        <v>7</v>
      </c>
      <c r="C202" s="40">
        <v>5.28</v>
      </c>
      <c r="D202" s="114"/>
    </row>
    <row r="203" spans="1:4" ht="15.75" outlineLevel="1">
      <c r="A203" s="40" t="s">
        <v>1124</v>
      </c>
      <c r="B203" s="41" t="s">
        <v>329</v>
      </c>
      <c r="C203" s="40">
        <v>5.29</v>
      </c>
      <c r="D203" s="114"/>
    </row>
    <row r="204" spans="1:4" ht="15.75" outlineLevel="1">
      <c r="A204" s="40" t="s">
        <v>1124</v>
      </c>
      <c r="B204" s="41" t="s">
        <v>8</v>
      </c>
      <c r="C204" s="42">
        <v>5.3</v>
      </c>
      <c r="D204" s="114"/>
    </row>
    <row r="205" spans="1:4" ht="15.75" outlineLevel="1">
      <c r="A205" s="40" t="s">
        <v>1124</v>
      </c>
      <c r="B205" s="41" t="s">
        <v>1125</v>
      </c>
      <c r="C205" s="40">
        <v>5.34</v>
      </c>
      <c r="D205" s="114"/>
    </row>
    <row r="206" spans="1:4" ht="15.75" outlineLevel="1">
      <c r="A206" s="40" t="s">
        <v>1124</v>
      </c>
      <c r="B206" s="41" t="s">
        <v>151</v>
      </c>
      <c r="C206" s="40">
        <v>5.31</v>
      </c>
      <c r="D206" s="114"/>
    </row>
    <row r="207" spans="1:4" ht="15.75" outlineLevel="1">
      <c r="A207" s="40" t="s">
        <v>1124</v>
      </c>
      <c r="B207" s="41" t="s">
        <v>1126</v>
      </c>
      <c r="C207" s="40">
        <v>5.101</v>
      </c>
      <c r="D207" s="114"/>
    </row>
    <row r="208" spans="1:4" ht="15.75" outlineLevel="1">
      <c r="A208" s="40" t="s">
        <v>1124</v>
      </c>
      <c r="B208" s="41" t="s">
        <v>126</v>
      </c>
      <c r="C208" s="40">
        <v>5.36</v>
      </c>
      <c r="D208" s="114"/>
    </row>
    <row r="209" spans="1:4" ht="15.75" outlineLevel="1">
      <c r="A209" s="40" t="s">
        <v>1124</v>
      </c>
      <c r="B209" s="41" t="s">
        <v>11</v>
      </c>
      <c r="C209" s="40">
        <v>5.53</v>
      </c>
      <c r="D209" s="114"/>
    </row>
    <row r="210" spans="1:4" ht="15.75" outlineLevel="1">
      <c r="A210" s="40" t="s">
        <v>1124</v>
      </c>
      <c r="B210" s="41" t="s">
        <v>1127</v>
      </c>
      <c r="C210" s="40">
        <v>5.1020000000000003</v>
      </c>
      <c r="D210" s="114"/>
    </row>
    <row r="211" spans="1:4" ht="15.75" outlineLevel="1">
      <c r="A211" s="40" t="s">
        <v>1124</v>
      </c>
      <c r="B211" s="41" t="s">
        <v>1128</v>
      </c>
      <c r="C211" s="43">
        <v>5.0999999999999996</v>
      </c>
      <c r="D211" s="114"/>
    </row>
    <row r="212" spans="1:4" ht="15.75" outlineLevel="1">
      <c r="A212" s="40" t="s">
        <v>1124</v>
      </c>
      <c r="B212" s="41" t="s">
        <v>17</v>
      </c>
      <c r="C212" s="40">
        <v>5.58</v>
      </c>
      <c r="D212" s="114"/>
    </row>
    <row r="213" spans="1:4" ht="15.75" outlineLevel="1">
      <c r="A213" s="40" t="s">
        <v>1124</v>
      </c>
      <c r="B213" s="41" t="s">
        <v>18</v>
      </c>
      <c r="C213" s="40">
        <v>5.54</v>
      </c>
      <c r="D213" s="114"/>
    </row>
    <row r="214" spans="1:4" ht="15.75" outlineLevel="1">
      <c r="A214" s="40" t="s">
        <v>1124</v>
      </c>
      <c r="B214" s="41" t="s">
        <v>19</v>
      </c>
      <c r="C214" s="40">
        <v>5.55</v>
      </c>
      <c r="D214" s="114"/>
    </row>
    <row r="215" spans="1:4" ht="15.75" outlineLevel="1">
      <c r="A215" s="40" t="s">
        <v>1124</v>
      </c>
      <c r="B215" s="41" t="s">
        <v>20</v>
      </c>
      <c r="C215" s="40">
        <v>5.63</v>
      </c>
      <c r="D215" s="114"/>
    </row>
    <row r="216" spans="1:4" ht="15.75" outlineLevel="1">
      <c r="A216" s="40" t="s">
        <v>1124</v>
      </c>
      <c r="B216" s="41" t="s">
        <v>24</v>
      </c>
      <c r="C216" s="40">
        <v>5.47</v>
      </c>
      <c r="D216" s="114"/>
    </row>
    <row r="217" spans="1:4" ht="15.75" outlineLevel="1">
      <c r="A217" s="40" t="s">
        <v>1124</v>
      </c>
      <c r="B217" s="41" t="s">
        <v>25</v>
      </c>
      <c r="C217" s="40">
        <v>5.48</v>
      </c>
      <c r="D217" s="114"/>
    </row>
    <row r="218" spans="1:4" ht="15.75">
      <c r="A218" s="46" t="s">
        <v>1124</v>
      </c>
      <c r="B218" s="41"/>
      <c r="C218" s="40"/>
      <c r="D218" s="114"/>
    </row>
    <row r="219" spans="1:4" ht="15.75" outlineLevel="1">
      <c r="A219" s="40" t="s">
        <v>995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995</v>
      </c>
      <c r="B220" s="41" t="s">
        <v>1</v>
      </c>
      <c r="C220" s="40">
        <v>5.2</v>
      </c>
      <c r="D220" s="114"/>
    </row>
    <row r="221" spans="1:4" ht="15.75" outlineLevel="1">
      <c r="A221" s="40" t="s">
        <v>995</v>
      </c>
      <c r="B221" s="41" t="s">
        <v>2</v>
      </c>
      <c r="C221" s="40">
        <v>5.3</v>
      </c>
      <c r="D221" s="114"/>
    </row>
    <row r="222" spans="1:4" ht="15.75" outlineLevel="1">
      <c r="A222" s="40" t="s">
        <v>995</v>
      </c>
      <c r="B222" s="41" t="s">
        <v>148</v>
      </c>
      <c r="C222" s="40">
        <v>5.6</v>
      </c>
      <c r="D222" s="114"/>
    </row>
    <row r="223" spans="1:4" ht="15.75" outlineLevel="1">
      <c r="A223" s="40" t="s">
        <v>995</v>
      </c>
      <c r="B223" s="41" t="s">
        <v>1120</v>
      </c>
      <c r="C223" s="42">
        <v>5.0999999999999996</v>
      </c>
      <c r="D223" s="114"/>
    </row>
    <row r="224" spans="1:4" ht="15.75" outlineLevel="1">
      <c r="A224" s="40" t="s">
        <v>995</v>
      </c>
      <c r="B224" s="41" t="s">
        <v>1119</v>
      </c>
      <c r="C224" s="40">
        <v>5.14</v>
      </c>
      <c r="D224" s="114"/>
    </row>
    <row r="225" spans="1:4" ht="15.75" outlineLevel="1">
      <c r="A225" s="40" t="s">
        <v>995</v>
      </c>
      <c r="B225" s="41" t="s">
        <v>4</v>
      </c>
      <c r="C225" s="40">
        <v>5.19</v>
      </c>
      <c r="D225" s="114"/>
    </row>
    <row r="226" spans="1:4" ht="15.75" outlineLevel="1">
      <c r="A226" s="40" t="s">
        <v>995</v>
      </c>
      <c r="B226" s="41" t="s">
        <v>150</v>
      </c>
      <c r="C226" s="40">
        <v>5.24</v>
      </c>
      <c r="D226" s="114"/>
    </row>
    <row r="227" spans="1:4" ht="15.75" outlineLevel="1">
      <c r="A227" s="40" t="s">
        <v>995</v>
      </c>
      <c r="B227" s="41" t="s">
        <v>5</v>
      </c>
      <c r="C227" s="40">
        <v>5.26</v>
      </c>
      <c r="D227" s="114"/>
    </row>
    <row r="228" spans="1:4" ht="15.75" outlineLevel="1">
      <c r="A228" s="40" t="s">
        <v>995</v>
      </c>
      <c r="B228" s="41" t="s">
        <v>6</v>
      </c>
      <c r="C228" s="40">
        <v>5.27</v>
      </c>
      <c r="D228" s="114"/>
    </row>
    <row r="229" spans="1:4" ht="15.75" outlineLevel="1">
      <c r="A229" s="40" t="s">
        <v>995</v>
      </c>
      <c r="B229" s="41" t="s">
        <v>7</v>
      </c>
      <c r="C229" s="40">
        <v>5.28</v>
      </c>
      <c r="D229" s="114"/>
    </row>
    <row r="230" spans="1:4" ht="15.75" outlineLevel="1">
      <c r="A230" s="40" t="s">
        <v>995</v>
      </c>
      <c r="B230" s="41" t="s">
        <v>329</v>
      </c>
      <c r="C230" s="40">
        <v>5.29</v>
      </c>
      <c r="D230" s="114"/>
    </row>
    <row r="231" spans="1:4" ht="15.75" outlineLevel="1">
      <c r="A231" s="40" t="s">
        <v>995</v>
      </c>
      <c r="B231" s="41" t="s">
        <v>8</v>
      </c>
      <c r="C231" s="42">
        <v>5.3</v>
      </c>
      <c r="D231" s="114"/>
    </row>
    <row r="232" spans="1:4" ht="15.75" outlineLevel="1">
      <c r="A232" s="40" t="s">
        <v>995</v>
      </c>
      <c r="B232" s="41" t="s">
        <v>151</v>
      </c>
      <c r="C232" s="40">
        <v>5.31</v>
      </c>
      <c r="D232" s="114"/>
    </row>
    <row r="233" spans="1:4" ht="15.75" outlineLevel="1">
      <c r="A233" s="40" t="s">
        <v>995</v>
      </c>
      <c r="B233" s="41" t="s">
        <v>174</v>
      </c>
      <c r="C233" s="40">
        <v>5.33</v>
      </c>
      <c r="D233" s="114"/>
    </row>
    <row r="234" spans="1:4" ht="15.75" outlineLevel="1">
      <c r="A234" s="40" t="s">
        <v>995</v>
      </c>
      <c r="B234" s="41" t="s">
        <v>1126</v>
      </c>
      <c r="C234" s="40">
        <v>5.101</v>
      </c>
      <c r="D234" s="114"/>
    </row>
    <row r="235" spans="1:4" ht="15.75" outlineLevel="1">
      <c r="A235" s="40" t="s">
        <v>995</v>
      </c>
      <c r="B235" s="41" t="s">
        <v>126</v>
      </c>
      <c r="C235" s="40">
        <v>5.36</v>
      </c>
      <c r="D235" s="114"/>
    </row>
    <row r="236" spans="1:4" ht="15.75" outlineLevel="1">
      <c r="A236" s="40" t="s">
        <v>995</v>
      </c>
      <c r="B236" s="41" t="s">
        <v>11</v>
      </c>
      <c r="C236" s="40">
        <v>5.53</v>
      </c>
      <c r="D236" s="114"/>
    </row>
    <row r="237" spans="1:4" ht="15.75" outlineLevel="1">
      <c r="A237" s="40" t="s">
        <v>995</v>
      </c>
      <c r="B237" s="41" t="s">
        <v>1127</v>
      </c>
      <c r="C237" s="40">
        <v>5.1020000000000003</v>
      </c>
      <c r="D237" s="114"/>
    </row>
    <row r="238" spans="1:4" ht="15.75" outlineLevel="1">
      <c r="A238" s="40" t="s">
        <v>995</v>
      </c>
      <c r="B238" s="41" t="s">
        <v>17</v>
      </c>
      <c r="C238" s="40">
        <v>5.58</v>
      </c>
      <c r="D238" s="114"/>
    </row>
    <row r="239" spans="1:4" ht="15.75" outlineLevel="1">
      <c r="A239" s="40" t="s">
        <v>995</v>
      </c>
      <c r="B239" s="41" t="s">
        <v>18</v>
      </c>
      <c r="C239" s="40">
        <v>5.54</v>
      </c>
      <c r="D239" s="114"/>
    </row>
    <row r="240" spans="1:4" ht="15.75" outlineLevel="1">
      <c r="A240" s="40" t="s">
        <v>995</v>
      </c>
      <c r="B240" s="41" t="s">
        <v>19</v>
      </c>
      <c r="C240" s="40">
        <v>5.55</v>
      </c>
      <c r="D240" s="114"/>
    </row>
    <row r="241" spans="1:4" ht="15.75" outlineLevel="1">
      <c r="A241" s="40" t="s">
        <v>995</v>
      </c>
      <c r="B241" s="41" t="s">
        <v>20</v>
      </c>
      <c r="C241" s="40">
        <v>5.63</v>
      </c>
      <c r="D241" s="114"/>
    </row>
    <row r="242" spans="1:4" ht="15.75" outlineLevel="1">
      <c r="A242" s="40" t="s">
        <v>995</v>
      </c>
      <c r="B242" s="41" t="s">
        <v>24</v>
      </c>
      <c r="C242" s="40">
        <v>5.47</v>
      </c>
      <c r="D242" s="114"/>
    </row>
    <row r="243" spans="1:4" ht="15.75" outlineLevel="1">
      <c r="A243" s="40" t="s">
        <v>995</v>
      </c>
      <c r="B243" s="41" t="s">
        <v>25</v>
      </c>
      <c r="C243" s="40">
        <v>5.48</v>
      </c>
      <c r="D243" s="114"/>
    </row>
    <row r="244" spans="1:4" ht="15.75">
      <c r="A244" s="46" t="s">
        <v>995</v>
      </c>
      <c r="B244" s="41"/>
      <c r="C244" s="40"/>
      <c r="D244" s="114"/>
    </row>
    <row r="245" spans="1:4" ht="15.75" outlineLevel="1">
      <c r="A245" s="40" t="s">
        <v>1129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1129</v>
      </c>
      <c r="B246" s="41" t="s">
        <v>1</v>
      </c>
      <c r="C246" s="40">
        <v>5.2</v>
      </c>
      <c r="D246" s="114"/>
    </row>
    <row r="247" spans="1:4" ht="15.75" outlineLevel="1">
      <c r="A247" s="40" t="s">
        <v>1129</v>
      </c>
      <c r="B247" s="41" t="s">
        <v>2</v>
      </c>
      <c r="C247" s="40">
        <v>5.3</v>
      </c>
      <c r="D247" s="114"/>
    </row>
    <row r="248" spans="1:4" ht="15.75" outlineLevel="1">
      <c r="A248" s="40" t="s">
        <v>1129</v>
      </c>
      <c r="B248" s="41" t="s">
        <v>148</v>
      </c>
      <c r="C248" s="40">
        <v>5.6</v>
      </c>
      <c r="D248" s="114"/>
    </row>
    <row r="249" spans="1:4" ht="15.75" outlineLevel="1">
      <c r="A249" s="40" t="s">
        <v>1129</v>
      </c>
      <c r="B249" s="41" t="s">
        <v>1120</v>
      </c>
      <c r="C249" s="42">
        <v>5.0999999999999996</v>
      </c>
      <c r="D249" s="114"/>
    </row>
    <row r="250" spans="1:4" ht="15.75" outlineLevel="1">
      <c r="A250" s="40" t="s">
        <v>1129</v>
      </c>
      <c r="B250" s="41" t="s">
        <v>1119</v>
      </c>
      <c r="C250" s="40">
        <v>5.14</v>
      </c>
      <c r="D250" s="114"/>
    </row>
    <row r="251" spans="1:4" ht="15.75" outlineLevel="1">
      <c r="A251" s="40" t="s">
        <v>1129</v>
      </c>
      <c r="B251" s="41" t="s">
        <v>4</v>
      </c>
      <c r="C251" s="40">
        <v>5.19</v>
      </c>
      <c r="D251" s="114"/>
    </row>
    <row r="252" spans="1:4" ht="15.75" outlineLevel="1">
      <c r="A252" s="40" t="s">
        <v>1129</v>
      </c>
      <c r="B252" s="41" t="s">
        <v>150</v>
      </c>
      <c r="C252" s="40">
        <v>5.24</v>
      </c>
      <c r="D252" s="114"/>
    </row>
    <row r="253" spans="1:4" ht="15.75" outlineLevel="1">
      <c r="A253" s="40" t="s">
        <v>1129</v>
      </c>
      <c r="B253" s="41" t="s">
        <v>6</v>
      </c>
      <c r="C253" s="40">
        <v>5.27</v>
      </c>
      <c r="D253" s="114"/>
    </row>
    <row r="254" spans="1:4" ht="15.75" outlineLevel="1">
      <c r="A254" s="40" t="s">
        <v>1129</v>
      </c>
      <c r="B254" s="41" t="s">
        <v>7</v>
      </c>
      <c r="C254" s="40">
        <v>5.28</v>
      </c>
      <c r="D254" s="114"/>
    </row>
    <row r="255" spans="1:4" ht="15.75" outlineLevel="1">
      <c r="A255" s="40" t="s">
        <v>1129</v>
      </c>
      <c r="B255" s="41" t="s">
        <v>8</v>
      </c>
      <c r="C255" s="42">
        <v>5.3</v>
      </c>
      <c r="D255" s="114"/>
    </row>
    <row r="256" spans="1:4" ht="15.75" outlineLevel="1">
      <c r="A256" s="40" t="s">
        <v>1129</v>
      </c>
      <c r="B256" s="41" t="s">
        <v>174</v>
      </c>
      <c r="C256" s="40">
        <v>5.33</v>
      </c>
      <c r="D256" s="114"/>
    </row>
    <row r="257" spans="1:4" ht="15.75" outlineLevel="1">
      <c r="A257" s="40" t="s">
        <v>1129</v>
      </c>
      <c r="B257" s="41" t="s">
        <v>126</v>
      </c>
      <c r="C257" s="40">
        <v>5.36</v>
      </c>
      <c r="D257" s="114"/>
    </row>
    <row r="258" spans="1:4" ht="15.75" outlineLevel="1">
      <c r="A258" s="40" t="s">
        <v>1129</v>
      </c>
      <c r="B258" s="41" t="s">
        <v>11</v>
      </c>
      <c r="C258" s="40">
        <v>5.53</v>
      </c>
      <c r="D258" s="114"/>
    </row>
    <row r="259" spans="1:4" ht="15.75" outlineLevel="1">
      <c r="A259" s="40" t="s">
        <v>1129</v>
      </c>
      <c r="B259" s="41" t="s">
        <v>17</v>
      </c>
      <c r="C259" s="40">
        <v>5.58</v>
      </c>
      <c r="D259" s="114"/>
    </row>
    <row r="260" spans="1:4" ht="15.75" outlineLevel="1">
      <c r="A260" s="40" t="s">
        <v>1129</v>
      </c>
      <c r="B260" s="41" t="s">
        <v>18</v>
      </c>
      <c r="C260" s="40">
        <v>5.54</v>
      </c>
      <c r="D260" s="114"/>
    </row>
    <row r="261" spans="1:4" ht="15.75" outlineLevel="1">
      <c r="A261" s="40" t="s">
        <v>1129</v>
      </c>
      <c r="B261" s="41" t="s">
        <v>19</v>
      </c>
      <c r="C261" s="40">
        <v>5.55</v>
      </c>
      <c r="D261" s="114"/>
    </row>
    <row r="262" spans="1:4" ht="15.75" outlineLevel="1">
      <c r="A262" s="40" t="s">
        <v>1129</v>
      </c>
      <c r="B262" s="41" t="s">
        <v>20</v>
      </c>
      <c r="C262" s="40">
        <v>5.63</v>
      </c>
      <c r="D262" s="114"/>
    </row>
    <row r="263" spans="1:4" ht="15.75" outlineLevel="1">
      <c r="A263" s="40" t="s">
        <v>1129</v>
      </c>
      <c r="B263" s="41" t="s">
        <v>24</v>
      </c>
      <c r="C263" s="40">
        <v>5.47</v>
      </c>
      <c r="D263" s="114"/>
    </row>
    <row r="264" spans="1:4" ht="15.75" outlineLevel="1">
      <c r="A264" s="40" t="s">
        <v>1129</v>
      </c>
      <c r="B264" s="41" t="s">
        <v>25</v>
      </c>
      <c r="C264" s="40">
        <v>5.48</v>
      </c>
      <c r="D264" s="114"/>
    </row>
    <row r="265" spans="1:4" ht="15.75">
      <c r="A265" s="46" t="s">
        <v>1129</v>
      </c>
      <c r="B265" s="41"/>
      <c r="C265" s="40"/>
      <c r="D265" s="114"/>
    </row>
    <row r="266" spans="1:4" ht="15.75" outlineLevel="1">
      <c r="A266" s="40" t="s">
        <v>1000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1000</v>
      </c>
      <c r="B267" s="41" t="s">
        <v>1</v>
      </c>
      <c r="C267" s="40">
        <v>5.2</v>
      </c>
      <c r="D267" s="114"/>
    </row>
    <row r="268" spans="1:4" ht="15.75" outlineLevel="1">
      <c r="A268" s="40" t="s">
        <v>1000</v>
      </c>
      <c r="B268" s="41" t="s">
        <v>2</v>
      </c>
      <c r="C268" s="40">
        <v>5.3</v>
      </c>
      <c r="D268" s="114"/>
    </row>
    <row r="269" spans="1:4" ht="15.75" outlineLevel="1">
      <c r="A269" s="40" t="s">
        <v>1000</v>
      </c>
      <c r="B269" s="41" t="s">
        <v>148</v>
      </c>
      <c r="C269" s="40">
        <v>5.6</v>
      </c>
      <c r="D269" s="114"/>
    </row>
    <row r="270" spans="1:4" ht="15.75" outlineLevel="1">
      <c r="A270" s="40" t="s">
        <v>1000</v>
      </c>
      <c r="B270" s="41" t="s">
        <v>1120</v>
      </c>
      <c r="C270" s="42">
        <v>5.0999999999999996</v>
      </c>
      <c r="D270" s="114"/>
    </row>
    <row r="271" spans="1:4" ht="15.75" outlineLevel="1">
      <c r="A271" s="40" t="s">
        <v>1000</v>
      </c>
      <c r="B271" s="41" t="s">
        <v>1119</v>
      </c>
      <c r="C271" s="40">
        <v>5.14</v>
      </c>
      <c r="D271" s="114"/>
    </row>
    <row r="272" spans="1:4" ht="15.75" outlineLevel="1">
      <c r="A272" s="40" t="s">
        <v>1000</v>
      </c>
      <c r="B272" s="41" t="s">
        <v>4</v>
      </c>
      <c r="C272" s="40">
        <v>5.19</v>
      </c>
      <c r="D272" s="114"/>
    </row>
    <row r="273" spans="1:4" ht="15.75" outlineLevel="1">
      <c r="A273" s="40" t="s">
        <v>1000</v>
      </c>
      <c r="B273" s="41" t="s">
        <v>150</v>
      </c>
      <c r="C273" s="40">
        <v>5.24</v>
      </c>
      <c r="D273" s="114"/>
    </row>
    <row r="274" spans="1:4" ht="15.75" outlineLevel="1">
      <c r="A274" s="40" t="s">
        <v>1000</v>
      </c>
      <c r="B274" s="41" t="s">
        <v>5</v>
      </c>
      <c r="C274" s="40">
        <v>5.26</v>
      </c>
      <c r="D274" s="114"/>
    </row>
    <row r="275" spans="1:4" ht="15.75" outlineLevel="1">
      <c r="A275" s="40" t="s">
        <v>1000</v>
      </c>
      <c r="B275" s="41" t="s">
        <v>6</v>
      </c>
      <c r="C275" s="40">
        <v>5.27</v>
      </c>
      <c r="D275" s="114"/>
    </row>
    <row r="276" spans="1:4" ht="15.75" outlineLevel="1">
      <c r="A276" s="40" t="s">
        <v>1000</v>
      </c>
      <c r="B276" s="41" t="s">
        <v>7</v>
      </c>
      <c r="C276" s="40">
        <v>5.28</v>
      </c>
      <c r="D276" s="114"/>
    </row>
    <row r="277" spans="1:4" ht="15.75" outlineLevel="1">
      <c r="A277" s="40" t="s">
        <v>1000</v>
      </c>
      <c r="B277" s="41" t="s">
        <v>329</v>
      </c>
      <c r="C277" s="40">
        <v>5.29</v>
      </c>
      <c r="D277" s="114"/>
    </row>
    <row r="278" spans="1:4" ht="15.75" outlineLevel="1">
      <c r="A278" s="40" t="s">
        <v>1000</v>
      </c>
      <c r="B278" s="41" t="s">
        <v>8</v>
      </c>
      <c r="C278" s="42">
        <v>5.3</v>
      </c>
      <c r="D278" s="114"/>
    </row>
    <row r="279" spans="1:4" ht="15.75" outlineLevel="1">
      <c r="A279" s="40" t="s">
        <v>1000</v>
      </c>
      <c r="B279" s="41" t="s">
        <v>174</v>
      </c>
      <c r="C279" s="40">
        <v>5.33</v>
      </c>
      <c r="D279" s="114"/>
    </row>
    <row r="280" spans="1:4" ht="15.75" outlineLevel="1">
      <c r="A280" s="40" t="s">
        <v>1000</v>
      </c>
      <c r="B280" s="41" t="s">
        <v>126</v>
      </c>
      <c r="C280" s="40">
        <v>5.36</v>
      </c>
      <c r="D280" s="114"/>
    </row>
    <row r="281" spans="1:4" ht="15.75" outlineLevel="1">
      <c r="A281" s="40" t="s">
        <v>1000</v>
      </c>
      <c r="B281" s="41" t="s">
        <v>12</v>
      </c>
      <c r="C281" s="40">
        <v>5.69</v>
      </c>
      <c r="D281" s="114"/>
    </row>
    <row r="282" spans="1:4" ht="15.75" outlineLevel="1">
      <c r="A282" s="40" t="s">
        <v>1000</v>
      </c>
      <c r="B282" s="41" t="s">
        <v>14</v>
      </c>
      <c r="C282" s="42">
        <v>5.7</v>
      </c>
      <c r="D282" s="114"/>
    </row>
    <row r="283" spans="1:4" ht="15.75" outlineLevel="1">
      <c r="A283" s="40" t="s">
        <v>1000</v>
      </c>
      <c r="B283" s="41" t="s">
        <v>15</v>
      </c>
      <c r="C283" s="40">
        <v>5.74</v>
      </c>
      <c r="D283" s="114"/>
    </row>
    <row r="284" spans="1:4" ht="15.75" outlineLevel="1">
      <c r="A284" s="40" t="s">
        <v>1000</v>
      </c>
      <c r="B284" s="41" t="s">
        <v>9</v>
      </c>
      <c r="C284" s="40">
        <v>5.49</v>
      </c>
      <c r="D284" s="114"/>
    </row>
    <row r="285" spans="1:4" ht="15.75" outlineLevel="1">
      <c r="A285" s="40" t="s">
        <v>1000</v>
      </c>
      <c r="B285" s="41" t="s">
        <v>10</v>
      </c>
      <c r="C285" s="40">
        <v>5.51</v>
      </c>
      <c r="D285" s="114"/>
    </row>
    <row r="286" spans="1:4" ht="15.75" outlineLevel="1">
      <c r="A286" s="40" t="s">
        <v>1000</v>
      </c>
      <c r="B286" s="41" t="s">
        <v>1121</v>
      </c>
      <c r="C286" s="40">
        <v>5.52</v>
      </c>
      <c r="D286" s="114"/>
    </row>
    <row r="287" spans="1:4" ht="15.75" outlineLevel="1">
      <c r="A287" s="40" t="s">
        <v>1000</v>
      </c>
      <c r="B287" s="41" t="s">
        <v>11</v>
      </c>
      <c r="C287" s="40">
        <v>5.53</v>
      </c>
      <c r="D287" s="114"/>
    </row>
    <row r="288" spans="1:4" ht="15.75" outlineLevel="1">
      <c r="A288" s="40" t="s">
        <v>1000</v>
      </c>
      <c r="B288" s="41" t="s">
        <v>17</v>
      </c>
      <c r="C288" s="40">
        <v>5.58</v>
      </c>
      <c r="D288" s="114"/>
    </row>
    <row r="289" spans="1:4" ht="15.75" outlineLevel="1">
      <c r="A289" s="40" t="s">
        <v>1000</v>
      </c>
      <c r="B289" s="41" t="s">
        <v>18</v>
      </c>
      <c r="C289" s="40">
        <v>5.54</v>
      </c>
      <c r="D289" s="114"/>
    </row>
    <row r="290" spans="1:4" ht="15.75" outlineLevel="1">
      <c r="A290" s="40" t="s">
        <v>1000</v>
      </c>
      <c r="B290" s="41" t="s">
        <v>19</v>
      </c>
      <c r="C290" s="40">
        <v>5.55</v>
      </c>
      <c r="D290" s="114"/>
    </row>
    <row r="291" spans="1:4" ht="15.75" outlineLevel="1">
      <c r="A291" s="40" t="s">
        <v>1000</v>
      </c>
      <c r="B291" s="41" t="s">
        <v>20</v>
      </c>
      <c r="C291" s="40">
        <v>5.63</v>
      </c>
      <c r="D291" s="114"/>
    </row>
    <row r="292" spans="1:4" ht="15.75" outlineLevel="1">
      <c r="A292" s="40" t="s">
        <v>1000</v>
      </c>
      <c r="B292" s="41" t="s">
        <v>24</v>
      </c>
      <c r="C292" s="40">
        <v>5.47</v>
      </c>
      <c r="D292" s="114"/>
    </row>
    <row r="293" spans="1:4" ht="15.75" outlineLevel="1">
      <c r="A293" s="40" t="s">
        <v>1000</v>
      </c>
      <c r="B293" s="41" t="s">
        <v>25</v>
      </c>
      <c r="C293" s="40">
        <v>5.48</v>
      </c>
      <c r="D293" s="114"/>
    </row>
    <row r="294" spans="1:4" ht="15.75">
      <c r="A294" s="46" t="s">
        <v>1000</v>
      </c>
      <c r="B294" s="41"/>
      <c r="C294" s="40"/>
      <c r="D294" s="114"/>
    </row>
    <row r="295" spans="1:4" ht="31.5" outlineLevel="1">
      <c r="A295" s="40" t="s">
        <v>1007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1007</v>
      </c>
      <c r="B296" s="41" t="s">
        <v>1</v>
      </c>
      <c r="C296" s="40">
        <v>5.2</v>
      </c>
      <c r="D296" s="114"/>
    </row>
    <row r="297" spans="1:4" ht="31.5" outlineLevel="1">
      <c r="A297" s="40" t="s">
        <v>1007</v>
      </c>
      <c r="B297" s="41" t="s">
        <v>2</v>
      </c>
      <c r="C297" s="40">
        <v>5.3</v>
      </c>
      <c r="D297" s="114"/>
    </row>
    <row r="298" spans="1:4" ht="31.5" outlineLevel="1">
      <c r="A298" s="40" t="s">
        <v>1007</v>
      </c>
      <c r="B298" s="41" t="s">
        <v>1119</v>
      </c>
      <c r="C298" s="40">
        <v>5.14</v>
      </c>
      <c r="D298" s="114"/>
    </row>
    <row r="299" spans="1:4" ht="31.5" outlineLevel="1">
      <c r="A299" s="40" t="s">
        <v>1007</v>
      </c>
      <c r="B299" s="41" t="s">
        <v>4</v>
      </c>
      <c r="C299" s="40">
        <v>5.19</v>
      </c>
      <c r="D299" s="114"/>
    </row>
    <row r="300" spans="1:4" ht="31.5" outlineLevel="1">
      <c r="A300" s="40" t="s">
        <v>1007</v>
      </c>
      <c r="B300" s="41" t="s">
        <v>150</v>
      </c>
      <c r="C300" s="40">
        <v>5.24</v>
      </c>
      <c r="D300" s="114"/>
    </row>
    <row r="301" spans="1:4" ht="31.5" outlineLevel="1">
      <c r="A301" s="40" t="s">
        <v>1007</v>
      </c>
      <c r="B301" s="41" t="s">
        <v>5</v>
      </c>
      <c r="C301" s="40">
        <v>5.26</v>
      </c>
      <c r="D301" s="114"/>
    </row>
    <row r="302" spans="1:4" ht="31.5" outlineLevel="1">
      <c r="A302" s="40" t="s">
        <v>1007</v>
      </c>
      <c r="B302" s="41" t="s">
        <v>6</v>
      </c>
      <c r="C302" s="40">
        <v>5.27</v>
      </c>
      <c r="D302" s="114"/>
    </row>
    <row r="303" spans="1:4" ht="31.5" outlineLevel="1">
      <c r="A303" s="40" t="s">
        <v>1007</v>
      </c>
      <c r="B303" s="41" t="s">
        <v>7</v>
      </c>
      <c r="C303" s="40">
        <v>5.28</v>
      </c>
      <c r="D303" s="114"/>
    </row>
    <row r="304" spans="1:4" ht="31.5" outlineLevel="1">
      <c r="A304" s="40" t="s">
        <v>1007</v>
      </c>
      <c r="B304" s="41" t="s">
        <v>159</v>
      </c>
      <c r="C304" s="40">
        <v>5.37</v>
      </c>
      <c r="D304" s="114"/>
    </row>
    <row r="305" spans="1:4" ht="31.5" outlineLevel="1">
      <c r="A305" s="40" t="s">
        <v>1007</v>
      </c>
      <c r="B305" s="41" t="s">
        <v>9</v>
      </c>
      <c r="C305" s="40">
        <v>5.49</v>
      </c>
      <c r="D305" s="114"/>
    </row>
    <row r="306" spans="1:4" ht="31.5" outlineLevel="1">
      <c r="A306" s="40" t="s">
        <v>1007</v>
      </c>
      <c r="B306" s="41" t="s">
        <v>10</v>
      </c>
      <c r="C306" s="40">
        <v>5.51</v>
      </c>
      <c r="D306" s="114"/>
    </row>
    <row r="307" spans="1:4" ht="31.5" outlineLevel="1">
      <c r="A307" s="40" t="s">
        <v>1007</v>
      </c>
      <c r="B307" s="41" t="s">
        <v>11</v>
      </c>
      <c r="C307" s="40">
        <v>5.53</v>
      </c>
      <c r="D307" s="114"/>
    </row>
    <row r="308" spans="1:4" ht="31.5" outlineLevel="1">
      <c r="A308" s="40" t="s">
        <v>1007</v>
      </c>
      <c r="B308" s="41" t="s">
        <v>12</v>
      </c>
      <c r="C308" s="40">
        <v>5.69</v>
      </c>
      <c r="D308" s="114"/>
    </row>
    <row r="309" spans="1:4" ht="31.5" outlineLevel="1">
      <c r="A309" s="40" t="s">
        <v>1007</v>
      </c>
      <c r="B309" s="41" t="s">
        <v>13</v>
      </c>
      <c r="C309" s="40">
        <v>5.75</v>
      </c>
      <c r="D309" s="114"/>
    </row>
    <row r="310" spans="1:4" ht="31.5" outlineLevel="1">
      <c r="A310" s="40" t="s">
        <v>1007</v>
      </c>
      <c r="B310" s="41" t="s">
        <v>14</v>
      </c>
      <c r="C310" s="42">
        <v>5.7</v>
      </c>
      <c r="D310" s="114"/>
    </row>
    <row r="311" spans="1:4" ht="31.5" outlineLevel="1">
      <c r="A311" s="40" t="s">
        <v>1007</v>
      </c>
      <c r="B311" s="41" t="s">
        <v>15</v>
      </c>
      <c r="C311" s="40">
        <v>5.74</v>
      </c>
      <c r="D311" s="114"/>
    </row>
    <row r="312" spans="1:4" ht="31.5" outlineLevel="1">
      <c r="A312" s="40" t="s">
        <v>1007</v>
      </c>
      <c r="B312" s="41" t="s">
        <v>17</v>
      </c>
      <c r="C312" s="40">
        <v>5.58</v>
      </c>
      <c r="D312" s="114"/>
    </row>
    <row r="313" spans="1:4" ht="31.5" outlineLevel="1">
      <c r="A313" s="40" t="s">
        <v>1007</v>
      </c>
      <c r="B313" s="41" t="s">
        <v>18</v>
      </c>
      <c r="C313" s="40">
        <v>5.54</v>
      </c>
      <c r="D313" s="114"/>
    </row>
    <row r="314" spans="1:4" ht="31.5" outlineLevel="1">
      <c r="A314" s="40" t="s">
        <v>1007</v>
      </c>
      <c r="B314" s="41" t="s">
        <v>19</v>
      </c>
      <c r="C314" s="40">
        <v>5.55</v>
      </c>
      <c r="D314" s="114"/>
    </row>
    <row r="315" spans="1:4" ht="31.5" outlineLevel="1">
      <c r="A315" s="40" t="s">
        <v>1007</v>
      </c>
      <c r="B315" s="41" t="s">
        <v>20</v>
      </c>
      <c r="C315" s="40">
        <v>5.63</v>
      </c>
      <c r="D315" s="114"/>
    </row>
    <row r="316" spans="1:4" ht="31.5" outlineLevel="1">
      <c r="A316" s="40" t="s">
        <v>1007</v>
      </c>
      <c r="B316" s="41" t="s">
        <v>21</v>
      </c>
      <c r="C316" s="40">
        <v>5.65</v>
      </c>
      <c r="D316" s="114"/>
    </row>
    <row r="317" spans="1:4" ht="31.5" outlineLevel="1">
      <c r="A317" s="40" t="s">
        <v>1007</v>
      </c>
      <c r="B317" s="41" t="s">
        <v>22</v>
      </c>
      <c r="C317" s="40">
        <v>5.68</v>
      </c>
      <c r="D317" s="114"/>
    </row>
    <row r="318" spans="1:4" ht="31.5" outlineLevel="1">
      <c r="A318" s="40" t="s">
        <v>1007</v>
      </c>
      <c r="B318" s="41" t="s">
        <v>24</v>
      </c>
      <c r="C318" s="40">
        <v>5.47</v>
      </c>
      <c r="D318" s="114"/>
    </row>
    <row r="319" spans="1:4" ht="31.5" outlineLevel="1">
      <c r="A319" s="40" t="s">
        <v>1007</v>
      </c>
      <c r="B319" s="41" t="s">
        <v>25</v>
      </c>
      <c r="C319" s="40">
        <v>5.48</v>
      </c>
      <c r="D319" s="114"/>
    </row>
    <row r="320" spans="1:4" ht="31.5">
      <c r="A320" s="46" t="s">
        <v>1007</v>
      </c>
      <c r="B320" s="41"/>
      <c r="C320" s="40"/>
      <c r="D320" s="114"/>
    </row>
    <row r="321" spans="1:4" ht="31.5" outlineLevel="1">
      <c r="A321" s="40" t="s">
        <v>1008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1008</v>
      </c>
      <c r="B322" s="41" t="s">
        <v>1</v>
      </c>
      <c r="C322" s="40">
        <v>5.2</v>
      </c>
      <c r="D322" s="114"/>
    </row>
    <row r="323" spans="1:4" ht="31.5" outlineLevel="1">
      <c r="A323" s="40" t="s">
        <v>1008</v>
      </c>
      <c r="B323" s="41" t="s">
        <v>5</v>
      </c>
      <c r="C323" s="40">
        <v>5.26</v>
      </c>
      <c r="D323" s="114"/>
    </row>
    <row r="324" spans="1:4" ht="31.5" outlineLevel="1">
      <c r="A324" s="40" t="s">
        <v>1008</v>
      </c>
      <c r="B324" s="41" t="s">
        <v>1119</v>
      </c>
      <c r="C324" s="40">
        <v>5.14</v>
      </c>
      <c r="D324" s="114"/>
    </row>
    <row r="325" spans="1:4" ht="31.5" outlineLevel="1">
      <c r="A325" s="40" t="s">
        <v>1008</v>
      </c>
      <c r="B325" s="41" t="s">
        <v>4</v>
      </c>
      <c r="C325" s="40">
        <v>5.19</v>
      </c>
      <c r="D325" s="114"/>
    </row>
    <row r="326" spans="1:4" ht="31.5" outlineLevel="1">
      <c r="A326" s="40" t="s">
        <v>1008</v>
      </c>
      <c r="B326" s="41" t="s">
        <v>159</v>
      </c>
      <c r="C326" s="40">
        <v>5.37</v>
      </c>
      <c r="D326" s="114"/>
    </row>
    <row r="327" spans="1:4" ht="31.5" outlineLevel="1">
      <c r="A327" s="40" t="s">
        <v>1008</v>
      </c>
      <c r="B327" s="41" t="s">
        <v>12</v>
      </c>
      <c r="C327" s="40">
        <v>5.69</v>
      </c>
      <c r="D327" s="114"/>
    </row>
    <row r="328" spans="1:4" ht="31.5" outlineLevel="1">
      <c r="A328" s="40" t="s">
        <v>1008</v>
      </c>
      <c r="B328" s="41" t="s">
        <v>758</v>
      </c>
      <c r="C328" s="42">
        <v>5.8</v>
      </c>
      <c r="D328" s="114"/>
    </row>
    <row r="329" spans="1:4" ht="31.5" outlineLevel="1">
      <c r="A329" s="40" t="s">
        <v>1008</v>
      </c>
      <c r="B329" s="41" t="s">
        <v>13</v>
      </c>
      <c r="C329" s="40">
        <v>5.75</v>
      </c>
      <c r="D329" s="114"/>
    </row>
    <row r="330" spans="1:4" ht="31.5" outlineLevel="1">
      <c r="A330" s="40" t="s">
        <v>1008</v>
      </c>
      <c r="B330" s="41" t="s">
        <v>14</v>
      </c>
      <c r="C330" s="42">
        <v>5.7</v>
      </c>
      <c r="D330" s="114"/>
    </row>
    <row r="331" spans="1:4" ht="31.5" outlineLevel="1">
      <c r="A331" s="40" t="s">
        <v>1008</v>
      </c>
      <c r="B331" s="41" t="s">
        <v>15</v>
      </c>
      <c r="C331" s="40">
        <v>5.74</v>
      </c>
      <c r="D331" s="114"/>
    </row>
    <row r="332" spans="1:4" ht="31.5" outlineLevel="1">
      <c r="A332" s="40" t="s">
        <v>1008</v>
      </c>
      <c r="B332" s="41" t="s">
        <v>17</v>
      </c>
      <c r="C332" s="40">
        <v>5.58</v>
      </c>
      <c r="D332" s="114"/>
    </row>
    <row r="333" spans="1:4" ht="31.5" outlineLevel="1">
      <c r="A333" s="40" t="s">
        <v>1008</v>
      </c>
      <c r="B333" s="41" t="s">
        <v>19</v>
      </c>
      <c r="C333" s="40">
        <v>5.55</v>
      </c>
      <c r="D333" s="114"/>
    </row>
    <row r="334" spans="1:4" ht="31.5" outlineLevel="1">
      <c r="A334" s="40" t="s">
        <v>1008</v>
      </c>
      <c r="B334" s="41" t="s">
        <v>20</v>
      </c>
      <c r="C334" s="40">
        <v>5.63</v>
      </c>
      <c r="D334" s="114"/>
    </row>
    <row r="335" spans="1:4" ht="31.5" outlineLevel="1">
      <c r="A335" s="40" t="s">
        <v>1008</v>
      </c>
      <c r="B335" s="41" t="s">
        <v>21</v>
      </c>
      <c r="C335" s="40">
        <v>5.65</v>
      </c>
      <c r="D335" s="114"/>
    </row>
    <row r="336" spans="1:4" ht="31.5" outlineLevel="1">
      <c r="A336" s="40" t="s">
        <v>1008</v>
      </c>
      <c r="B336" s="41" t="s">
        <v>22</v>
      </c>
      <c r="C336" s="40">
        <v>5.68</v>
      </c>
      <c r="D336" s="114"/>
    </row>
    <row r="337" spans="1:4" ht="31.5" outlineLevel="1">
      <c r="A337" s="40" t="s">
        <v>1008</v>
      </c>
      <c r="B337" s="41" t="s">
        <v>24</v>
      </c>
      <c r="C337" s="40">
        <v>5.47</v>
      </c>
      <c r="D337" s="114"/>
    </row>
    <row r="338" spans="1:4" ht="31.5" outlineLevel="1">
      <c r="A338" s="40" t="s">
        <v>1008</v>
      </c>
      <c r="B338" s="41" t="s">
        <v>25</v>
      </c>
      <c r="C338" s="40">
        <v>5.48</v>
      </c>
      <c r="D338" s="114"/>
    </row>
    <row r="339" spans="1:4" ht="31.5">
      <c r="A339" s="46" t="s">
        <v>1008</v>
      </c>
      <c r="B339" s="41"/>
      <c r="C339" s="40"/>
      <c r="D339" s="114"/>
    </row>
    <row r="340" spans="1:4" ht="31.5" outlineLevel="1">
      <c r="A340" s="40" t="s">
        <v>1014</v>
      </c>
      <c r="B340" s="41" t="s">
        <v>1130</v>
      </c>
      <c r="C340" s="40">
        <v>5.0999999999999996</v>
      </c>
      <c r="D340" s="114"/>
    </row>
    <row r="341" spans="1:4" ht="31.5" outlineLevel="1">
      <c r="A341" s="40" t="s">
        <v>1014</v>
      </c>
      <c r="B341" s="41" t="s">
        <v>1</v>
      </c>
      <c r="C341" s="40">
        <v>5.2</v>
      </c>
      <c r="D341" s="114"/>
    </row>
    <row r="342" spans="1:4" ht="31.5" outlineLevel="1">
      <c r="A342" s="40" t="s">
        <v>1014</v>
      </c>
      <c r="B342" s="41" t="s">
        <v>5</v>
      </c>
      <c r="C342" s="40">
        <v>5.26</v>
      </c>
      <c r="D342" s="114"/>
    </row>
    <row r="343" spans="1:4" ht="31.5" outlineLevel="1">
      <c r="A343" s="40" t="s">
        <v>1014</v>
      </c>
      <c r="B343" s="41" t="s">
        <v>1131</v>
      </c>
      <c r="C343" s="40">
        <v>5.38</v>
      </c>
      <c r="D343" s="114"/>
    </row>
    <row r="344" spans="1:4" ht="31.5" outlineLevel="1">
      <c r="A344" s="40" t="s">
        <v>1014</v>
      </c>
      <c r="B344" s="41" t="s">
        <v>1132</v>
      </c>
      <c r="C344" s="40">
        <v>5.39</v>
      </c>
      <c r="D344" s="114"/>
    </row>
    <row r="345" spans="1:4" ht="31.5" outlineLevel="1">
      <c r="A345" s="40" t="s">
        <v>1014</v>
      </c>
      <c r="B345" s="41" t="s">
        <v>1133</v>
      </c>
      <c r="C345" s="42">
        <v>5.6</v>
      </c>
      <c r="D345" s="114"/>
    </row>
    <row r="346" spans="1:4" ht="31.5" outlineLevel="1">
      <c r="A346" s="40" t="s">
        <v>1014</v>
      </c>
      <c r="B346" s="41" t="s">
        <v>25</v>
      </c>
      <c r="C346" s="40">
        <v>5.48</v>
      </c>
      <c r="D346" s="114"/>
    </row>
    <row r="347" spans="1:4" ht="31.5">
      <c r="A347" s="46" t="s">
        <v>1014</v>
      </c>
      <c r="B347" s="41"/>
      <c r="C347" s="40"/>
      <c r="D347" s="114"/>
    </row>
    <row r="348" spans="1:4" ht="31.5" outlineLevel="1">
      <c r="A348" s="40" t="s">
        <v>1018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1018</v>
      </c>
      <c r="B349" s="41" t="s">
        <v>1</v>
      </c>
      <c r="C349" s="40">
        <v>5.2</v>
      </c>
      <c r="D349" s="114"/>
    </row>
    <row r="350" spans="1:4" ht="31.5" outlineLevel="1">
      <c r="A350" s="40" t="s">
        <v>1018</v>
      </c>
      <c r="B350" s="41" t="s">
        <v>2</v>
      </c>
      <c r="C350" s="40">
        <v>5.3</v>
      </c>
      <c r="D350" s="114"/>
    </row>
    <row r="351" spans="1:4" ht="31.5" outlineLevel="1">
      <c r="A351" s="40" t="s">
        <v>1018</v>
      </c>
      <c r="B351" s="41" t="s">
        <v>148</v>
      </c>
      <c r="C351" s="40">
        <v>5.6</v>
      </c>
      <c r="D351" s="114"/>
    </row>
    <row r="352" spans="1:4" ht="31.5" outlineLevel="1">
      <c r="A352" s="40" t="s">
        <v>1018</v>
      </c>
      <c r="B352" s="41" t="s">
        <v>1120</v>
      </c>
      <c r="C352" s="42">
        <v>5.0999999999999996</v>
      </c>
      <c r="D352" s="114"/>
    </row>
    <row r="353" spans="1:4" ht="31.5" outlineLevel="1">
      <c r="A353" s="40" t="s">
        <v>1018</v>
      </c>
      <c r="B353" s="41" t="s">
        <v>1119</v>
      </c>
      <c r="C353" s="40">
        <v>5.14</v>
      </c>
      <c r="D353" s="114"/>
    </row>
    <row r="354" spans="1:4" ht="31.5" outlineLevel="1">
      <c r="A354" s="40" t="s">
        <v>1018</v>
      </c>
      <c r="B354" s="41" t="s">
        <v>4</v>
      </c>
      <c r="C354" s="40">
        <v>5.19</v>
      </c>
      <c r="D354" s="114"/>
    </row>
    <row r="355" spans="1:4" ht="31.5" outlineLevel="1">
      <c r="A355" s="40" t="s">
        <v>1018</v>
      </c>
      <c r="B355" s="41" t="s">
        <v>150</v>
      </c>
      <c r="C355" s="40">
        <v>5.24</v>
      </c>
      <c r="D355" s="114"/>
    </row>
    <row r="356" spans="1:4" ht="31.5" outlineLevel="1">
      <c r="A356" s="40" t="s">
        <v>1018</v>
      </c>
      <c r="B356" s="41" t="s">
        <v>5</v>
      </c>
      <c r="C356" s="40">
        <v>5.26</v>
      </c>
      <c r="D356" s="114"/>
    </row>
    <row r="357" spans="1:4" ht="31.5" outlineLevel="1">
      <c r="A357" s="40" t="s">
        <v>1018</v>
      </c>
      <c r="B357" s="41" t="s">
        <v>6</v>
      </c>
      <c r="C357" s="40">
        <v>5.27</v>
      </c>
      <c r="D357" s="114"/>
    </row>
    <row r="358" spans="1:4" ht="31.5" outlineLevel="1">
      <c r="A358" s="40" t="s">
        <v>1018</v>
      </c>
      <c r="B358" s="41" t="s">
        <v>7</v>
      </c>
      <c r="C358" s="40">
        <v>5.28</v>
      </c>
      <c r="D358" s="114"/>
    </row>
    <row r="359" spans="1:4" ht="31.5" outlineLevel="1">
      <c r="A359" s="40" t="s">
        <v>1018</v>
      </c>
      <c r="B359" s="41" t="s">
        <v>151</v>
      </c>
      <c r="C359" s="40">
        <v>5.31</v>
      </c>
      <c r="D359" s="114"/>
    </row>
    <row r="360" spans="1:4" ht="31.5" outlineLevel="1">
      <c r="A360" s="40" t="s">
        <v>1018</v>
      </c>
      <c r="B360" s="41" t="s">
        <v>126</v>
      </c>
      <c r="C360" s="40">
        <v>5.36</v>
      </c>
      <c r="D360" s="114"/>
    </row>
    <row r="361" spans="1:4" ht="31.5" outlineLevel="1">
      <c r="A361" s="40" t="s">
        <v>1018</v>
      </c>
      <c r="B361" s="41" t="s">
        <v>159</v>
      </c>
      <c r="C361" s="40">
        <v>5.37</v>
      </c>
      <c r="D361" s="114"/>
    </row>
    <row r="362" spans="1:4" ht="31.5" outlineLevel="1">
      <c r="A362" s="40" t="s">
        <v>1018</v>
      </c>
      <c r="B362" s="41" t="s">
        <v>9</v>
      </c>
      <c r="C362" s="40">
        <v>5.49</v>
      </c>
      <c r="D362" s="114"/>
    </row>
    <row r="363" spans="1:4" ht="31.5" outlineLevel="1">
      <c r="A363" s="40" t="s">
        <v>1018</v>
      </c>
      <c r="B363" s="41" t="s">
        <v>10</v>
      </c>
      <c r="C363" s="40">
        <v>5.51</v>
      </c>
      <c r="D363" s="114"/>
    </row>
    <row r="364" spans="1:4" ht="31.5" outlineLevel="1">
      <c r="A364" s="40" t="s">
        <v>1018</v>
      </c>
      <c r="B364" s="41" t="s">
        <v>1121</v>
      </c>
      <c r="C364" s="40">
        <v>5.52</v>
      </c>
      <c r="D364" s="114"/>
    </row>
    <row r="365" spans="1:4" ht="31.5" outlineLevel="1">
      <c r="A365" s="40" t="s">
        <v>1018</v>
      </c>
      <c r="B365" s="41" t="s">
        <v>11</v>
      </c>
      <c r="C365" s="40">
        <v>5.53</v>
      </c>
      <c r="D365" s="114"/>
    </row>
    <row r="366" spans="1:4" ht="31.5" outlineLevel="1">
      <c r="A366" s="40" t="s">
        <v>1018</v>
      </c>
      <c r="B366" s="41" t="s">
        <v>12</v>
      </c>
      <c r="C366" s="40">
        <v>5.69</v>
      </c>
      <c r="D366" s="114"/>
    </row>
    <row r="367" spans="1:4" ht="31.5" outlineLevel="1">
      <c r="A367" s="40" t="s">
        <v>1018</v>
      </c>
      <c r="B367" s="41" t="s">
        <v>758</v>
      </c>
      <c r="C367" s="42">
        <v>5.8</v>
      </c>
      <c r="D367" s="114"/>
    </row>
    <row r="368" spans="1:4" ht="31.5" outlineLevel="1">
      <c r="A368" s="40" t="s">
        <v>1018</v>
      </c>
      <c r="B368" s="41" t="s">
        <v>915</v>
      </c>
      <c r="C368" s="42">
        <v>5.72</v>
      </c>
      <c r="D368" s="114"/>
    </row>
    <row r="369" spans="1:4" ht="31.5" outlineLevel="1">
      <c r="A369" s="40" t="s">
        <v>1018</v>
      </c>
      <c r="B369" s="41" t="s">
        <v>13</v>
      </c>
      <c r="C369" s="40">
        <v>5.75</v>
      </c>
      <c r="D369" s="114"/>
    </row>
    <row r="370" spans="1:4" ht="31.5" outlineLevel="1">
      <c r="A370" s="40" t="s">
        <v>1018</v>
      </c>
      <c r="B370" s="41" t="s">
        <v>14</v>
      </c>
      <c r="C370" s="42">
        <v>5.7</v>
      </c>
      <c r="D370" s="114"/>
    </row>
    <row r="371" spans="1:4" ht="31.5" outlineLevel="1">
      <c r="A371" s="40" t="s">
        <v>1018</v>
      </c>
      <c r="B371" s="41" t="s">
        <v>15</v>
      </c>
      <c r="C371" s="40">
        <v>5.74</v>
      </c>
      <c r="D371" s="114"/>
    </row>
    <row r="372" spans="1:4" ht="31.5" outlineLevel="1">
      <c r="A372" s="40" t="s">
        <v>1018</v>
      </c>
      <c r="B372" s="41" t="s">
        <v>413</v>
      </c>
      <c r="C372" s="40">
        <v>5.76</v>
      </c>
      <c r="D372" s="114"/>
    </row>
    <row r="373" spans="1:4" ht="31.5" outlineLevel="1">
      <c r="A373" s="40" t="s">
        <v>1018</v>
      </c>
      <c r="B373" s="41" t="s">
        <v>836</v>
      </c>
      <c r="C373" s="40">
        <v>5.89</v>
      </c>
      <c r="D373" s="113" t="s">
        <v>1118</v>
      </c>
    </row>
    <row r="374" spans="1:4" ht="31.5" outlineLevel="1">
      <c r="A374" s="40" t="s">
        <v>1018</v>
      </c>
      <c r="B374" s="41" t="s">
        <v>152</v>
      </c>
      <c r="C374" s="40">
        <v>5.109</v>
      </c>
      <c r="D374" s="113"/>
    </row>
    <row r="375" spans="1:4" ht="31.5" outlineLevel="1">
      <c r="A375" s="40" t="s">
        <v>1018</v>
      </c>
      <c r="B375" s="41" t="s">
        <v>153</v>
      </c>
      <c r="C375" s="40">
        <v>5.1109999999999998</v>
      </c>
      <c r="D375" s="114"/>
    </row>
    <row r="376" spans="1:4" ht="31.5" outlineLevel="1">
      <c r="A376" s="40" t="s">
        <v>1018</v>
      </c>
      <c r="B376" s="41" t="s">
        <v>135</v>
      </c>
      <c r="C376" s="40">
        <v>5.1120000000000001</v>
      </c>
      <c r="D376" s="114"/>
    </row>
    <row r="377" spans="1:4" ht="31.5" outlineLevel="1">
      <c r="A377" s="40" t="s">
        <v>1018</v>
      </c>
      <c r="B377" s="41" t="s">
        <v>1134</v>
      </c>
      <c r="C377" s="40">
        <v>5.1130000000000004</v>
      </c>
      <c r="D377" s="114"/>
    </row>
    <row r="378" spans="1:4" ht="31.5" outlineLevel="1">
      <c r="A378" s="40" t="s">
        <v>1018</v>
      </c>
      <c r="B378" s="41" t="s">
        <v>17</v>
      </c>
      <c r="C378" s="40">
        <v>5.58</v>
      </c>
      <c r="D378" s="114"/>
    </row>
    <row r="379" spans="1:4" ht="31.5" outlineLevel="1">
      <c r="A379" s="40" t="s">
        <v>1018</v>
      </c>
      <c r="B379" s="41" t="s">
        <v>18</v>
      </c>
      <c r="C379" s="40">
        <v>5.54</v>
      </c>
      <c r="D379" s="114"/>
    </row>
    <row r="380" spans="1:4" ht="31.5" outlineLevel="1">
      <c r="A380" s="40" t="s">
        <v>1018</v>
      </c>
      <c r="B380" s="41" t="s">
        <v>19</v>
      </c>
      <c r="C380" s="40">
        <v>5.55</v>
      </c>
      <c r="D380" s="114"/>
    </row>
    <row r="381" spans="1:4" ht="31.5" outlineLevel="1">
      <c r="A381" s="40" t="s">
        <v>1018</v>
      </c>
      <c r="B381" s="41" t="s">
        <v>20</v>
      </c>
      <c r="C381" s="40">
        <v>5.63</v>
      </c>
      <c r="D381" s="114"/>
    </row>
    <row r="382" spans="1:4" ht="31.5" outlineLevel="1">
      <c r="A382" s="40" t="s">
        <v>1018</v>
      </c>
      <c r="B382" s="41" t="s">
        <v>21</v>
      </c>
      <c r="C382" s="40">
        <v>5.65</v>
      </c>
      <c r="D382" s="114"/>
    </row>
    <row r="383" spans="1:4" ht="31.5" outlineLevel="1">
      <c r="A383" s="40" t="s">
        <v>1018</v>
      </c>
      <c r="B383" s="41" t="s">
        <v>167</v>
      </c>
      <c r="C383" s="40">
        <v>5.66</v>
      </c>
      <c r="D383" s="114"/>
    </row>
    <row r="384" spans="1:4" ht="31.5" outlineLevel="1">
      <c r="A384" s="40" t="s">
        <v>1018</v>
      </c>
      <c r="B384" s="41" t="s">
        <v>22</v>
      </c>
      <c r="C384" s="40">
        <v>5.68</v>
      </c>
      <c r="D384" s="114"/>
    </row>
    <row r="385" spans="1:4" ht="31.5" outlineLevel="1">
      <c r="A385" s="40" t="s">
        <v>1018</v>
      </c>
      <c r="B385" s="41" t="s">
        <v>24</v>
      </c>
      <c r="C385" s="40">
        <v>5.47</v>
      </c>
      <c r="D385" s="114"/>
    </row>
    <row r="386" spans="1:4" ht="31.5" outlineLevel="1">
      <c r="A386" s="40" t="s">
        <v>1018</v>
      </c>
      <c r="B386" s="41" t="s">
        <v>25</v>
      </c>
      <c r="C386" s="40">
        <v>5.48</v>
      </c>
      <c r="D386" s="114"/>
    </row>
    <row r="387" spans="1:4" ht="31.5">
      <c r="A387" s="46" t="s">
        <v>1018</v>
      </c>
      <c r="B387" s="41"/>
      <c r="C387" s="40"/>
      <c r="D387" s="114"/>
    </row>
    <row r="388" spans="1:4" ht="15.75" outlineLevel="1">
      <c r="A388" s="40" t="s">
        <v>1020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1020</v>
      </c>
      <c r="B389" s="41" t="s">
        <v>1</v>
      </c>
      <c r="C389" s="40">
        <v>5.2</v>
      </c>
      <c r="D389" s="114"/>
    </row>
    <row r="390" spans="1:4" ht="15.75" outlineLevel="1">
      <c r="A390" s="40" t="s">
        <v>1020</v>
      </c>
      <c r="B390" s="41" t="s">
        <v>2</v>
      </c>
      <c r="C390" s="40">
        <v>5.3</v>
      </c>
      <c r="D390" s="114"/>
    </row>
    <row r="391" spans="1:4" ht="15.75" outlineLevel="1">
      <c r="A391" s="40" t="s">
        <v>1020</v>
      </c>
      <c r="B391" s="41" t="s">
        <v>148</v>
      </c>
      <c r="C391" s="40">
        <v>5.6</v>
      </c>
      <c r="D391" s="114"/>
    </row>
    <row r="392" spans="1:4" ht="15.75" outlineLevel="1">
      <c r="A392" s="40" t="s">
        <v>1020</v>
      </c>
      <c r="B392" s="41" t="s">
        <v>1120</v>
      </c>
      <c r="C392" s="42">
        <v>5.0999999999999996</v>
      </c>
      <c r="D392" s="114"/>
    </row>
    <row r="393" spans="1:4" ht="15.75" outlineLevel="1">
      <c r="A393" s="40" t="s">
        <v>1020</v>
      </c>
      <c r="B393" s="41" t="s">
        <v>1119</v>
      </c>
      <c r="C393" s="40">
        <v>5.14</v>
      </c>
      <c r="D393" s="114"/>
    </row>
    <row r="394" spans="1:4" ht="15.75" outlineLevel="1">
      <c r="A394" s="40" t="s">
        <v>1020</v>
      </c>
      <c r="B394" s="41" t="s">
        <v>4</v>
      </c>
      <c r="C394" s="40">
        <v>5.19</v>
      </c>
      <c r="D394" s="114"/>
    </row>
    <row r="395" spans="1:4" ht="15.75" outlineLevel="1">
      <c r="A395" s="40" t="s">
        <v>1020</v>
      </c>
      <c r="B395" s="41" t="s">
        <v>150</v>
      </c>
      <c r="C395" s="40">
        <v>5.24</v>
      </c>
      <c r="D395" s="114"/>
    </row>
    <row r="396" spans="1:4" ht="15.75" outlineLevel="1">
      <c r="A396" s="40" t="s">
        <v>1020</v>
      </c>
      <c r="B396" s="41" t="s">
        <v>5</v>
      </c>
      <c r="C396" s="40">
        <v>5.26</v>
      </c>
      <c r="D396" s="114"/>
    </row>
    <row r="397" spans="1:4" ht="15.75" outlineLevel="1">
      <c r="A397" s="40" t="s">
        <v>1020</v>
      </c>
      <c r="B397" s="41" t="s">
        <v>6</v>
      </c>
      <c r="C397" s="40">
        <v>5.27</v>
      </c>
      <c r="D397" s="114"/>
    </row>
    <row r="398" spans="1:4" ht="15.75" outlineLevel="1">
      <c r="A398" s="40" t="s">
        <v>1020</v>
      </c>
      <c r="B398" s="41" t="s">
        <v>7</v>
      </c>
      <c r="C398" s="40">
        <v>5.28</v>
      </c>
      <c r="D398" s="114"/>
    </row>
    <row r="399" spans="1:4" ht="15.75" outlineLevel="1">
      <c r="A399" s="40" t="s">
        <v>1020</v>
      </c>
      <c r="B399" s="41" t="s">
        <v>329</v>
      </c>
      <c r="C399" s="40">
        <v>5.29</v>
      </c>
      <c r="D399" s="114"/>
    </row>
    <row r="400" spans="1:4" ht="15.75" outlineLevel="1">
      <c r="A400" s="40" t="s">
        <v>1020</v>
      </c>
      <c r="B400" s="41" t="s">
        <v>151</v>
      </c>
      <c r="C400" s="40">
        <v>5.31</v>
      </c>
      <c r="D400" s="114"/>
    </row>
    <row r="401" spans="1:4" ht="15.75" outlineLevel="1">
      <c r="A401" s="40" t="s">
        <v>1020</v>
      </c>
      <c r="B401" s="41" t="s">
        <v>126</v>
      </c>
      <c r="C401" s="40">
        <v>5.36</v>
      </c>
      <c r="D401" s="114"/>
    </row>
    <row r="402" spans="1:4" ht="15.75" outlineLevel="1">
      <c r="A402" s="40" t="s">
        <v>1020</v>
      </c>
      <c r="B402" s="41" t="s">
        <v>159</v>
      </c>
      <c r="C402" s="40">
        <v>5.37</v>
      </c>
      <c r="D402" s="114"/>
    </row>
    <row r="403" spans="1:4" ht="15.75" outlineLevel="1">
      <c r="A403" s="40" t="s">
        <v>1020</v>
      </c>
      <c r="B403" s="41" t="s">
        <v>9</v>
      </c>
      <c r="C403" s="40">
        <v>5.49</v>
      </c>
      <c r="D403" s="114"/>
    </row>
    <row r="404" spans="1:4" ht="15.75" outlineLevel="1">
      <c r="A404" s="40" t="s">
        <v>1020</v>
      </c>
      <c r="B404" s="41" t="s">
        <v>10</v>
      </c>
      <c r="C404" s="40">
        <v>5.51</v>
      </c>
      <c r="D404" s="114"/>
    </row>
    <row r="405" spans="1:4" ht="15.75" outlineLevel="1">
      <c r="A405" s="40" t="s">
        <v>1020</v>
      </c>
      <c r="B405" s="41" t="s">
        <v>1121</v>
      </c>
      <c r="C405" s="40">
        <v>5.52</v>
      </c>
      <c r="D405" s="114"/>
    </row>
    <row r="406" spans="1:4" ht="15.75" outlineLevel="1">
      <c r="A406" s="40" t="s">
        <v>1020</v>
      </c>
      <c r="B406" s="41" t="s">
        <v>11</v>
      </c>
      <c r="C406" s="40">
        <v>5.53</v>
      </c>
      <c r="D406" s="114"/>
    </row>
    <row r="407" spans="1:4" ht="15.75" outlineLevel="1">
      <c r="A407" s="40" t="s">
        <v>1020</v>
      </c>
      <c r="B407" s="41" t="s">
        <v>12</v>
      </c>
      <c r="C407" s="40">
        <v>5.69</v>
      </c>
      <c r="D407" s="114"/>
    </row>
    <row r="408" spans="1:4" ht="15.75" outlineLevel="1">
      <c r="A408" s="40" t="s">
        <v>1020</v>
      </c>
      <c r="B408" s="41" t="s">
        <v>13</v>
      </c>
      <c r="C408" s="40">
        <v>5.75</v>
      </c>
      <c r="D408" s="114"/>
    </row>
    <row r="409" spans="1:4" ht="15.75" outlineLevel="1">
      <c r="A409" s="40" t="s">
        <v>1020</v>
      </c>
      <c r="B409" s="41" t="s">
        <v>15</v>
      </c>
      <c r="C409" s="40">
        <v>5.74</v>
      </c>
      <c r="D409" s="114"/>
    </row>
    <row r="410" spans="1:4" ht="15.75" outlineLevel="1">
      <c r="A410" s="40" t="s">
        <v>1020</v>
      </c>
      <c r="B410" s="41" t="s">
        <v>14</v>
      </c>
      <c r="C410" s="42">
        <v>5.7</v>
      </c>
      <c r="D410" s="114"/>
    </row>
    <row r="411" spans="1:4" ht="15.75" outlineLevel="1">
      <c r="A411" s="40" t="s">
        <v>1020</v>
      </c>
      <c r="B411" s="41" t="s">
        <v>413</v>
      </c>
      <c r="C411" s="40">
        <v>5.76</v>
      </c>
      <c r="D411" s="114"/>
    </row>
    <row r="412" spans="1:4" ht="15.75" outlineLevel="1">
      <c r="A412" s="40" t="s">
        <v>1020</v>
      </c>
      <c r="B412" s="41" t="s">
        <v>836</v>
      </c>
      <c r="C412" s="40">
        <v>5.89</v>
      </c>
      <c r="D412" s="113" t="s">
        <v>1118</v>
      </c>
    </row>
    <row r="413" spans="1:4" ht="15.75" outlineLevel="1">
      <c r="A413" s="40" t="s">
        <v>1020</v>
      </c>
      <c r="B413" s="41" t="s">
        <v>152</v>
      </c>
      <c r="C413" s="40">
        <v>5.109</v>
      </c>
      <c r="D413" s="114"/>
    </row>
    <row r="414" spans="1:4" ht="15.75" outlineLevel="1">
      <c r="A414" s="40" t="s">
        <v>1020</v>
      </c>
      <c r="B414" s="41" t="s">
        <v>153</v>
      </c>
      <c r="C414" s="40">
        <v>5.1109999999999998</v>
      </c>
      <c r="D414" s="114"/>
    </row>
    <row r="415" spans="1:4" ht="15.75" outlineLevel="1">
      <c r="A415" s="40" t="s">
        <v>1020</v>
      </c>
      <c r="B415" s="41" t="s">
        <v>135</v>
      </c>
      <c r="C415" s="40">
        <v>5.1120000000000001</v>
      </c>
      <c r="D415" s="114"/>
    </row>
    <row r="416" spans="1:4" ht="15.75" outlineLevel="1">
      <c r="A416" s="40" t="s">
        <v>1020</v>
      </c>
      <c r="B416" s="41" t="s">
        <v>1134</v>
      </c>
      <c r="C416" s="40">
        <v>5.1130000000000004</v>
      </c>
      <c r="D416" s="114"/>
    </row>
    <row r="417" spans="1:4" ht="15.75" outlineLevel="1">
      <c r="A417" s="40" t="s">
        <v>1020</v>
      </c>
      <c r="B417" s="41" t="s">
        <v>17</v>
      </c>
      <c r="C417" s="40">
        <v>5.58</v>
      </c>
      <c r="D417" s="114"/>
    </row>
    <row r="418" spans="1:4" ht="15.75" outlineLevel="1">
      <c r="A418" s="40" t="s">
        <v>1020</v>
      </c>
      <c r="B418" s="41" t="s">
        <v>18</v>
      </c>
      <c r="C418" s="40">
        <v>5.54</v>
      </c>
      <c r="D418" s="114"/>
    </row>
    <row r="419" spans="1:4" ht="15.75" outlineLevel="1">
      <c r="A419" s="40" t="s">
        <v>1020</v>
      </c>
      <c r="B419" s="41" t="s">
        <v>19</v>
      </c>
      <c r="C419" s="40">
        <v>5.55</v>
      </c>
      <c r="D419" s="114"/>
    </row>
    <row r="420" spans="1:4" ht="15.75" outlineLevel="1">
      <c r="A420" s="40" t="s">
        <v>1020</v>
      </c>
      <c r="B420" s="41" t="s">
        <v>20</v>
      </c>
      <c r="C420" s="40">
        <v>5.63</v>
      </c>
      <c r="D420" s="114"/>
    </row>
    <row r="421" spans="1:4" ht="15.75" outlineLevel="1">
      <c r="A421" s="40" t="s">
        <v>1020</v>
      </c>
      <c r="B421" s="41" t="s">
        <v>21</v>
      </c>
      <c r="C421" s="40">
        <v>5.65</v>
      </c>
      <c r="D421" s="114"/>
    </row>
    <row r="422" spans="1:4" ht="15.75" outlineLevel="1">
      <c r="A422" s="40" t="s">
        <v>1020</v>
      </c>
      <c r="B422" s="41" t="s">
        <v>167</v>
      </c>
      <c r="C422" s="40">
        <v>5.66</v>
      </c>
      <c r="D422" s="114"/>
    </row>
    <row r="423" spans="1:4" ht="15.75" outlineLevel="1">
      <c r="A423" s="40" t="s">
        <v>1020</v>
      </c>
      <c r="B423" s="41" t="s">
        <v>22</v>
      </c>
      <c r="C423" s="40">
        <v>5.68</v>
      </c>
      <c r="D423" s="114"/>
    </row>
    <row r="424" spans="1:4" ht="15.75" outlineLevel="1">
      <c r="A424" s="40" t="s">
        <v>1020</v>
      </c>
      <c r="B424" s="41" t="s">
        <v>24</v>
      </c>
      <c r="C424" s="40">
        <v>5.47</v>
      </c>
      <c r="D424" s="114"/>
    </row>
    <row r="425" spans="1:4" ht="15.75" outlineLevel="1">
      <c r="A425" s="40" t="s">
        <v>1020</v>
      </c>
      <c r="B425" s="41" t="s">
        <v>25</v>
      </c>
      <c r="C425" s="40">
        <v>5.48</v>
      </c>
      <c r="D425" s="114"/>
    </row>
    <row r="426" spans="1:4" ht="15.75">
      <c r="A426" s="46" t="s">
        <v>1020</v>
      </c>
      <c r="B426" s="41"/>
      <c r="C426" s="40"/>
      <c r="D426" s="114"/>
    </row>
    <row r="427" spans="1:4" ht="15.75" outlineLevel="1">
      <c r="A427" s="40" t="s">
        <v>1135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1135</v>
      </c>
      <c r="B428" s="41" t="s">
        <v>1</v>
      </c>
      <c r="C428" s="40">
        <v>5.2</v>
      </c>
      <c r="D428" s="114"/>
    </row>
    <row r="429" spans="1:4" ht="15.75" outlineLevel="1">
      <c r="A429" s="40" t="s">
        <v>1135</v>
      </c>
      <c r="B429" s="41" t="s">
        <v>2</v>
      </c>
      <c r="C429" s="40">
        <v>5.3</v>
      </c>
      <c r="D429" s="114"/>
    </row>
    <row r="430" spans="1:4" ht="15.75" outlineLevel="1">
      <c r="A430" s="40" t="s">
        <v>1135</v>
      </c>
      <c r="B430" s="41" t="s">
        <v>148</v>
      </c>
      <c r="C430" s="40">
        <v>5.6</v>
      </c>
      <c r="D430" s="114"/>
    </row>
    <row r="431" spans="1:4" ht="15.75" outlineLevel="1">
      <c r="A431" s="40" t="s">
        <v>1135</v>
      </c>
      <c r="B431" s="41" t="s">
        <v>1120</v>
      </c>
      <c r="C431" s="42">
        <v>5.0999999999999996</v>
      </c>
      <c r="D431" s="114"/>
    </row>
    <row r="432" spans="1:4" ht="15.75" outlineLevel="1">
      <c r="A432" s="40" t="s">
        <v>1135</v>
      </c>
      <c r="B432" s="41" t="s">
        <v>1119</v>
      </c>
      <c r="C432" s="40">
        <v>5.14</v>
      </c>
      <c r="D432" s="114"/>
    </row>
    <row r="433" spans="1:4" ht="15.75" outlineLevel="1">
      <c r="A433" s="40" t="s">
        <v>1135</v>
      </c>
      <c r="B433" s="41" t="s">
        <v>4</v>
      </c>
      <c r="C433" s="40">
        <v>5.19</v>
      </c>
      <c r="D433" s="114"/>
    </row>
    <row r="434" spans="1:4" ht="15.75" outlineLevel="1">
      <c r="A434" s="40" t="s">
        <v>1135</v>
      </c>
      <c r="B434" s="41" t="s">
        <v>150</v>
      </c>
      <c r="C434" s="40">
        <v>5.24</v>
      </c>
      <c r="D434" s="114"/>
    </row>
    <row r="435" spans="1:4" ht="15.75" outlineLevel="1">
      <c r="A435" s="40" t="s">
        <v>1135</v>
      </c>
      <c r="B435" s="41" t="s">
        <v>5</v>
      </c>
      <c r="C435" s="40">
        <v>5.26</v>
      </c>
      <c r="D435" s="114"/>
    </row>
    <row r="436" spans="1:4" ht="15.75" outlineLevel="1">
      <c r="A436" s="40" t="s">
        <v>1135</v>
      </c>
      <c r="B436" s="41" t="s">
        <v>6</v>
      </c>
      <c r="C436" s="40">
        <v>5.27</v>
      </c>
      <c r="D436" s="114"/>
    </row>
    <row r="437" spans="1:4" ht="15.75" outlineLevel="1">
      <c r="A437" s="40" t="s">
        <v>1135</v>
      </c>
      <c r="B437" s="41" t="s">
        <v>7</v>
      </c>
      <c r="C437" s="40">
        <v>5.28</v>
      </c>
      <c r="D437" s="114"/>
    </row>
    <row r="438" spans="1:4" ht="15.75" outlineLevel="1">
      <c r="A438" s="40" t="s">
        <v>1135</v>
      </c>
      <c r="B438" s="41" t="s">
        <v>329</v>
      </c>
      <c r="C438" s="40">
        <v>5.29</v>
      </c>
      <c r="D438" s="114"/>
    </row>
    <row r="439" spans="1:4" ht="15.75" outlineLevel="1">
      <c r="A439" s="40" t="s">
        <v>1135</v>
      </c>
      <c r="B439" s="41" t="s">
        <v>151</v>
      </c>
      <c r="C439" s="40">
        <v>5.31</v>
      </c>
      <c r="D439" s="114"/>
    </row>
    <row r="440" spans="1:4" ht="15.75" outlineLevel="1">
      <c r="A440" s="40" t="s">
        <v>1135</v>
      </c>
      <c r="B440" s="41" t="s">
        <v>126</v>
      </c>
      <c r="C440" s="40">
        <v>5.36</v>
      </c>
      <c r="D440" s="114"/>
    </row>
    <row r="441" spans="1:4" ht="15.75" outlineLevel="1">
      <c r="A441" s="40" t="s">
        <v>1135</v>
      </c>
      <c r="B441" s="41" t="s">
        <v>159</v>
      </c>
      <c r="C441" s="40">
        <v>5.37</v>
      </c>
      <c r="D441" s="114"/>
    </row>
    <row r="442" spans="1:4" ht="15.75" outlineLevel="1">
      <c r="A442" s="40" t="s">
        <v>1135</v>
      </c>
      <c r="B442" s="41" t="s">
        <v>11</v>
      </c>
      <c r="C442" s="40">
        <v>5.53</v>
      </c>
      <c r="D442" s="114"/>
    </row>
    <row r="443" spans="1:4" ht="15.75" outlineLevel="1">
      <c r="A443" s="40" t="s">
        <v>1135</v>
      </c>
      <c r="B443" s="41" t="s">
        <v>152</v>
      </c>
      <c r="C443" s="40">
        <v>5.109</v>
      </c>
      <c r="D443" s="114"/>
    </row>
    <row r="444" spans="1:4" ht="15.75" outlineLevel="1">
      <c r="A444" s="40" t="s">
        <v>1135</v>
      </c>
      <c r="B444" s="41" t="s">
        <v>153</v>
      </c>
      <c r="C444" s="40">
        <v>5.1109999999999998</v>
      </c>
      <c r="D444" s="114"/>
    </row>
    <row r="445" spans="1:4" ht="15.75" outlineLevel="1">
      <c r="A445" s="40" t="s">
        <v>1135</v>
      </c>
      <c r="B445" s="41" t="s">
        <v>135</v>
      </c>
      <c r="C445" s="40">
        <v>5.1120000000000001</v>
      </c>
      <c r="D445" s="114"/>
    </row>
    <row r="446" spans="1:4" ht="15.75" outlineLevel="1">
      <c r="A446" s="40" t="s">
        <v>1135</v>
      </c>
      <c r="B446" s="41" t="s">
        <v>1134</v>
      </c>
      <c r="C446" s="40">
        <v>5.1130000000000004</v>
      </c>
      <c r="D446" s="114"/>
    </row>
    <row r="447" spans="1:4" ht="15.75" outlineLevel="1">
      <c r="A447" s="40" t="s">
        <v>1135</v>
      </c>
      <c r="B447" s="41" t="s">
        <v>17</v>
      </c>
      <c r="C447" s="40">
        <v>5.58</v>
      </c>
      <c r="D447" s="114"/>
    </row>
    <row r="448" spans="1:4" ht="15.75" outlineLevel="1">
      <c r="A448" s="40" t="s">
        <v>1135</v>
      </c>
      <c r="B448" s="41" t="s">
        <v>18</v>
      </c>
      <c r="C448" s="40">
        <v>5.54</v>
      </c>
      <c r="D448" s="114"/>
    </row>
    <row r="449" spans="1:4" ht="15.75" outlineLevel="1">
      <c r="A449" s="40" t="s">
        <v>1135</v>
      </c>
      <c r="B449" s="41" t="s">
        <v>19</v>
      </c>
      <c r="C449" s="40">
        <v>5.55</v>
      </c>
      <c r="D449" s="114"/>
    </row>
    <row r="450" spans="1:4" ht="15.75" outlineLevel="1">
      <c r="A450" s="40" t="s">
        <v>1135</v>
      </c>
      <c r="B450" s="41" t="s">
        <v>20</v>
      </c>
      <c r="C450" s="40">
        <v>5.63</v>
      </c>
      <c r="D450" s="114"/>
    </row>
    <row r="451" spans="1:4" ht="15.75" outlineLevel="1">
      <c r="A451" s="40" t="s">
        <v>1135</v>
      </c>
      <c r="B451" s="41" t="s">
        <v>24</v>
      </c>
      <c r="C451" s="40">
        <v>5.47</v>
      </c>
      <c r="D451" s="114"/>
    </row>
    <row r="452" spans="1:4" ht="15.75" outlineLevel="1">
      <c r="A452" s="40" t="s">
        <v>1135</v>
      </c>
      <c r="B452" s="41" t="s">
        <v>25</v>
      </c>
      <c r="C452" s="40">
        <v>5.48</v>
      </c>
      <c r="D452" s="114"/>
    </row>
    <row r="453" spans="1:4" ht="31.5">
      <c r="A453" s="46" t="s">
        <v>1135</v>
      </c>
      <c r="B453" s="41"/>
      <c r="C453" s="40"/>
      <c r="D453" s="114"/>
    </row>
    <row r="454" spans="1:4" ht="15.75" outlineLevel="1">
      <c r="A454" s="40" t="s">
        <v>780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780</v>
      </c>
      <c r="B455" s="41" t="s">
        <v>1</v>
      </c>
      <c r="C455" s="40">
        <v>5.2</v>
      </c>
      <c r="D455" s="114"/>
    </row>
    <row r="456" spans="1:4" ht="15.75" outlineLevel="1">
      <c r="A456" s="40" t="s">
        <v>780</v>
      </c>
      <c r="B456" s="41" t="s">
        <v>191</v>
      </c>
      <c r="C456" s="40">
        <v>5.5</v>
      </c>
      <c r="D456" s="114"/>
    </row>
    <row r="457" spans="1:4" ht="15.75" outlineLevel="1">
      <c r="A457" s="40" t="s">
        <v>780</v>
      </c>
      <c r="B457" s="41" t="s">
        <v>192</v>
      </c>
      <c r="C457" s="40">
        <v>5.8</v>
      </c>
      <c r="D457" s="113" t="s">
        <v>1118</v>
      </c>
    </row>
    <row r="458" spans="1:4" ht="15.75" outlineLevel="1">
      <c r="A458" s="40" t="s">
        <v>780</v>
      </c>
      <c r="B458" s="41" t="s">
        <v>193</v>
      </c>
      <c r="C458" s="40">
        <v>5.12</v>
      </c>
      <c r="D458" s="113" t="s">
        <v>1118</v>
      </c>
    </row>
    <row r="459" spans="1:4" ht="15.75" outlineLevel="1">
      <c r="A459" s="40" t="s">
        <v>780</v>
      </c>
      <c r="B459" s="41" t="s">
        <v>194</v>
      </c>
      <c r="C459" s="40">
        <v>5.15</v>
      </c>
      <c r="D459" s="114"/>
    </row>
    <row r="460" spans="1:4" ht="15.75" outlineLevel="1">
      <c r="A460" s="40" t="s">
        <v>780</v>
      </c>
      <c r="B460" s="41" t="s">
        <v>195</v>
      </c>
      <c r="C460" s="42">
        <v>5.2</v>
      </c>
      <c r="D460" s="113"/>
    </row>
    <row r="461" spans="1:4" ht="15.75" outlineLevel="1">
      <c r="A461" s="40" t="s">
        <v>780</v>
      </c>
      <c r="B461" s="41" t="s">
        <v>196</v>
      </c>
      <c r="C461" s="40">
        <v>5.25</v>
      </c>
      <c r="D461" s="114"/>
    </row>
    <row r="462" spans="1:4" ht="15.75" outlineLevel="1">
      <c r="A462" s="40" t="s">
        <v>780</v>
      </c>
      <c r="B462" s="41" t="s">
        <v>5</v>
      </c>
      <c r="C462" s="40">
        <v>5.26</v>
      </c>
      <c r="D462" s="114"/>
    </row>
    <row r="463" spans="1:4" ht="15.75" outlineLevel="1">
      <c r="A463" s="40" t="s">
        <v>780</v>
      </c>
      <c r="B463" s="41" t="s">
        <v>837</v>
      </c>
      <c r="C463" s="40">
        <v>5.1139999999999999</v>
      </c>
      <c r="D463" s="113" t="s">
        <v>1118</v>
      </c>
    </row>
    <row r="464" spans="1:4" ht="15.75" outlineLevel="1">
      <c r="A464" s="40" t="s">
        <v>780</v>
      </c>
      <c r="B464" s="41" t="s">
        <v>6</v>
      </c>
      <c r="C464" s="40">
        <v>5.27</v>
      </c>
      <c r="D464" s="114"/>
    </row>
    <row r="465" spans="1:4" ht="15.75" outlineLevel="1">
      <c r="A465" s="40" t="s">
        <v>780</v>
      </c>
      <c r="B465" s="41" t="s">
        <v>1136</v>
      </c>
      <c r="C465" s="40">
        <v>5.1150000000000002</v>
      </c>
      <c r="D465" s="113" t="s">
        <v>1118</v>
      </c>
    </row>
    <row r="466" spans="1:4" ht="15.75" outlineLevel="1">
      <c r="A466" s="40" t="s">
        <v>780</v>
      </c>
      <c r="B466" s="41" t="s">
        <v>1137</v>
      </c>
      <c r="C466" s="40">
        <v>5.1159999999999997</v>
      </c>
      <c r="D466" s="113" t="s">
        <v>1118</v>
      </c>
    </row>
    <row r="467" spans="1:4" ht="15.75" outlineLevel="1">
      <c r="A467" s="40" t="s">
        <v>780</v>
      </c>
      <c r="B467" s="41" t="s">
        <v>7</v>
      </c>
      <c r="C467" s="40">
        <v>5.28</v>
      </c>
      <c r="D467" s="114"/>
    </row>
    <row r="468" spans="1:4" ht="15.75" outlineLevel="1">
      <c r="A468" s="40" t="s">
        <v>780</v>
      </c>
      <c r="B468" s="41" t="s">
        <v>126</v>
      </c>
      <c r="C468" s="40">
        <v>5.36</v>
      </c>
      <c r="D468" s="114"/>
    </row>
    <row r="469" spans="1:4" ht="15.75" outlineLevel="1">
      <c r="A469" s="40" t="s">
        <v>780</v>
      </c>
      <c r="B469" s="41" t="s">
        <v>159</v>
      </c>
      <c r="C469" s="40">
        <v>5.37</v>
      </c>
      <c r="D469" s="114"/>
    </row>
    <row r="470" spans="1:4" ht="15.75" outlineLevel="1">
      <c r="A470" s="40" t="s">
        <v>780</v>
      </c>
      <c r="B470" s="41" t="s">
        <v>11</v>
      </c>
      <c r="C470" s="40">
        <v>5.53</v>
      </c>
      <c r="D470" s="114"/>
    </row>
    <row r="471" spans="1:4" ht="15.75" outlineLevel="1">
      <c r="A471" s="40" t="s">
        <v>780</v>
      </c>
      <c r="B471" s="41" t="s">
        <v>152</v>
      </c>
      <c r="C471" s="40">
        <v>5.109</v>
      </c>
      <c r="D471" s="114"/>
    </row>
    <row r="472" spans="1:4" ht="15.75" outlineLevel="1">
      <c r="A472" s="40" t="s">
        <v>780</v>
      </c>
      <c r="B472" s="41" t="s">
        <v>153</v>
      </c>
      <c r="C472" s="40">
        <v>5.1109999999999998</v>
      </c>
      <c r="D472" s="114"/>
    </row>
    <row r="473" spans="1:4" ht="15.75" outlineLevel="1">
      <c r="A473" s="40" t="s">
        <v>780</v>
      </c>
      <c r="B473" s="41" t="s">
        <v>135</v>
      </c>
      <c r="C473" s="40">
        <v>5.1120000000000001</v>
      </c>
      <c r="D473" s="114"/>
    </row>
    <row r="474" spans="1:4" ht="15.75" outlineLevel="1">
      <c r="A474" s="40" t="s">
        <v>780</v>
      </c>
      <c r="B474" s="41" t="s">
        <v>18</v>
      </c>
      <c r="C474" s="40">
        <v>5.54</v>
      </c>
      <c r="D474" s="114"/>
    </row>
    <row r="475" spans="1:4" ht="15.75" outlineLevel="1">
      <c r="A475" s="40" t="s">
        <v>780</v>
      </c>
      <c r="B475" s="41" t="s">
        <v>1138</v>
      </c>
      <c r="C475" s="40">
        <v>5.61</v>
      </c>
      <c r="D475" s="114"/>
    </row>
    <row r="476" spans="1:4" ht="15.75" outlineLevel="1">
      <c r="A476" s="40" t="s">
        <v>780</v>
      </c>
      <c r="B476" s="41" t="s">
        <v>20</v>
      </c>
      <c r="C476" s="40">
        <v>5.63</v>
      </c>
      <c r="D476" s="114"/>
    </row>
    <row r="477" spans="1:4" ht="15.75" outlineLevel="1">
      <c r="A477" s="40" t="s">
        <v>780</v>
      </c>
      <c r="B477" s="41" t="s">
        <v>1139</v>
      </c>
      <c r="C477" s="40">
        <v>5.46</v>
      </c>
      <c r="D477" s="114"/>
    </row>
    <row r="478" spans="1:4" ht="15.75" outlineLevel="1">
      <c r="A478" s="40" t="s">
        <v>780</v>
      </c>
      <c r="B478" s="41" t="s">
        <v>24</v>
      </c>
      <c r="C478" s="40">
        <v>5.47</v>
      </c>
      <c r="D478" s="114"/>
    </row>
    <row r="479" spans="1:4" ht="15.75" outlineLevel="1">
      <c r="A479" s="40" t="s">
        <v>780</v>
      </c>
      <c r="B479" s="41" t="s">
        <v>25</v>
      </c>
      <c r="C479" s="40">
        <v>5.48</v>
      </c>
      <c r="D479" s="114"/>
    </row>
    <row r="480" spans="1:4" ht="15.75">
      <c r="A480" s="46" t="s">
        <v>780</v>
      </c>
      <c r="B480" s="41"/>
      <c r="C480" s="40"/>
      <c r="D480" s="114"/>
    </row>
    <row r="481" spans="1:4" ht="15.75" outlineLevel="1">
      <c r="A481" s="40" t="s">
        <v>1140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1140</v>
      </c>
      <c r="B482" s="41" t="s">
        <v>1</v>
      </c>
      <c r="C482" s="40">
        <v>5.2</v>
      </c>
      <c r="D482" s="114"/>
    </row>
    <row r="483" spans="1:4" ht="15.75" outlineLevel="1">
      <c r="A483" s="40" t="s">
        <v>1140</v>
      </c>
      <c r="B483" s="41" t="s">
        <v>2</v>
      </c>
      <c r="C483" s="40">
        <v>5.3</v>
      </c>
      <c r="D483" s="114"/>
    </row>
    <row r="484" spans="1:4" ht="15.75" outlineLevel="1">
      <c r="A484" s="40" t="s">
        <v>1140</v>
      </c>
      <c r="B484" s="41" t="s">
        <v>148</v>
      </c>
      <c r="C484" s="40">
        <v>5.6</v>
      </c>
      <c r="D484" s="114"/>
    </row>
    <row r="485" spans="1:4" ht="15.75" outlineLevel="1">
      <c r="A485" s="40" t="s">
        <v>1140</v>
      </c>
      <c r="B485" s="41" t="s">
        <v>1120</v>
      </c>
      <c r="C485" s="42">
        <v>5.0999999999999996</v>
      </c>
      <c r="D485" s="114"/>
    </row>
    <row r="486" spans="1:4" ht="15.75" outlineLevel="1">
      <c r="A486" s="40" t="s">
        <v>1140</v>
      </c>
      <c r="B486" s="41" t="s">
        <v>1119</v>
      </c>
      <c r="C486" s="40">
        <v>5.14</v>
      </c>
      <c r="D486" s="114"/>
    </row>
    <row r="487" spans="1:4" ht="15.75" outlineLevel="1">
      <c r="A487" s="40" t="s">
        <v>1140</v>
      </c>
      <c r="B487" s="41" t="s">
        <v>4</v>
      </c>
      <c r="C487" s="40">
        <v>5.19</v>
      </c>
      <c r="D487" s="114"/>
    </row>
    <row r="488" spans="1:4" ht="15.75" outlineLevel="1">
      <c r="A488" s="40" t="s">
        <v>1140</v>
      </c>
      <c r="B488" s="41" t="s">
        <v>150</v>
      </c>
      <c r="C488" s="40">
        <v>5.24</v>
      </c>
      <c r="D488" s="114"/>
    </row>
    <row r="489" spans="1:4" ht="15.75" outlineLevel="1">
      <c r="A489" s="40" t="s">
        <v>1140</v>
      </c>
      <c r="B489" s="41" t="s">
        <v>6</v>
      </c>
      <c r="C489" s="40">
        <v>5.27</v>
      </c>
      <c r="D489" s="114"/>
    </row>
    <row r="490" spans="1:4" ht="15.75" outlineLevel="1">
      <c r="A490" s="40" t="s">
        <v>1140</v>
      </c>
      <c r="B490" s="41" t="s">
        <v>7</v>
      </c>
      <c r="C490" s="40">
        <v>5.28</v>
      </c>
      <c r="D490" s="114"/>
    </row>
    <row r="491" spans="1:4" ht="15.75" outlineLevel="1">
      <c r="A491" s="40" t="s">
        <v>1140</v>
      </c>
      <c r="B491" s="41" t="s">
        <v>329</v>
      </c>
      <c r="C491" s="40">
        <v>5.29</v>
      </c>
      <c r="D491" s="114"/>
    </row>
    <row r="492" spans="1:4" ht="15.75" outlineLevel="1">
      <c r="A492" s="40" t="s">
        <v>1140</v>
      </c>
      <c r="B492" s="41" t="s">
        <v>1125</v>
      </c>
      <c r="C492" s="40">
        <v>5.34</v>
      </c>
      <c r="D492" s="114"/>
    </row>
    <row r="493" spans="1:4" ht="15.75" outlineLevel="1">
      <c r="A493" s="40" t="s">
        <v>1140</v>
      </c>
      <c r="B493" s="41" t="s">
        <v>151</v>
      </c>
      <c r="C493" s="40">
        <v>5.31</v>
      </c>
      <c r="D493" s="114"/>
    </row>
    <row r="494" spans="1:4" ht="15.75" outlineLevel="1">
      <c r="A494" s="40" t="s">
        <v>1140</v>
      </c>
      <c r="B494" s="41" t="s">
        <v>1126</v>
      </c>
      <c r="C494" s="40">
        <v>5.101</v>
      </c>
      <c r="D494" s="114"/>
    </row>
    <row r="495" spans="1:4" ht="15.75" outlineLevel="1">
      <c r="A495" s="40" t="s">
        <v>1140</v>
      </c>
      <c r="B495" s="41" t="s">
        <v>126</v>
      </c>
      <c r="C495" s="40">
        <v>5.36</v>
      </c>
      <c r="D495" s="114"/>
    </row>
    <row r="496" spans="1:4" ht="15.75" outlineLevel="1">
      <c r="A496" s="40" t="s">
        <v>1140</v>
      </c>
      <c r="B496" s="41" t="s">
        <v>159</v>
      </c>
      <c r="C496" s="40">
        <v>5.37</v>
      </c>
      <c r="D496" s="114"/>
    </row>
    <row r="497" spans="1:4" ht="15.75" outlineLevel="1">
      <c r="A497" s="40" t="s">
        <v>1140</v>
      </c>
      <c r="B497" s="41" t="s">
        <v>11</v>
      </c>
      <c r="C497" s="40">
        <v>5.53</v>
      </c>
      <c r="D497" s="114"/>
    </row>
    <row r="498" spans="1:4" ht="15.75" outlineLevel="1">
      <c r="A498" s="40" t="s">
        <v>1140</v>
      </c>
      <c r="B498" s="41" t="s">
        <v>152</v>
      </c>
      <c r="C498" s="40">
        <v>5.109</v>
      </c>
      <c r="D498" s="114"/>
    </row>
    <row r="499" spans="1:4" ht="15.75" outlineLevel="1">
      <c r="A499" s="40" t="s">
        <v>1140</v>
      </c>
      <c r="B499" s="41" t="s">
        <v>153</v>
      </c>
      <c r="C499" s="40">
        <v>5.1109999999999998</v>
      </c>
      <c r="D499" s="114"/>
    </row>
    <row r="500" spans="1:4" ht="15.75" outlineLevel="1">
      <c r="A500" s="40" t="s">
        <v>1140</v>
      </c>
      <c r="B500" s="41" t="s">
        <v>135</v>
      </c>
      <c r="C500" s="40">
        <v>5.1120000000000001</v>
      </c>
      <c r="D500" s="114"/>
    </row>
    <row r="501" spans="1:4" ht="15.75" outlineLevel="1">
      <c r="A501" s="40" t="s">
        <v>1140</v>
      </c>
      <c r="B501" s="41" t="s">
        <v>1127</v>
      </c>
      <c r="C501" s="40">
        <v>5.1020000000000003</v>
      </c>
      <c r="D501" s="114"/>
    </row>
    <row r="502" spans="1:4" ht="15.75" outlineLevel="1">
      <c r="A502" s="40" t="s">
        <v>1140</v>
      </c>
      <c r="B502" s="41" t="s">
        <v>1128</v>
      </c>
      <c r="C502" s="43">
        <v>5.0999999999999996</v>
      </c>
      <c r="D502" s="114"/>
    </row>
    <row r="503" spans="1:4" ht="15.75" outlineLevel="1">
      <c r="A503" s="40" t="s">
        <v>1140</v>
      </c>
      <c r="B503" s="41" t="s">
        <v>17</v>
      </c>
      <c r="C503" s="40">
        <v>5.58</v>
      </c>
      <c r="D503" s="114"/>
    </row>
    <row r="504" spans="1:4" ht="15.75" outlineLevel="1">
      <c r="A504" s="40" t="s">
        <v>1140</v>
      </c>
      <c r="B504" s="41" t="s">
        <v>19</v>
      </c>
      <c r="C504" s="40">
        <v>5.55</v>
      </c>
      <c r="D504" s="114"/>
    </row>
    <row r="505" spans="1:4" ht="15.75" outlineLevel="1">
      <c r="A505" s="40" t="s">
        <v>1140</v>
      </c>
      <c r="B505" s="41" t="s">
        <v>18</v>
      </c>
      <c r="C505" s="40">
        <v>5.54</v>
      </c>
      <c r="D505" s="114"/>
    </row>
    <row r="506" spans="1:4" ht="15.75" outlineLevel="1">
      <c r="A506" s="40" t="s">
        <v>1140</v>
      </c>
      <c r="B506" s="41" t="s">
        <v>20</v>
      </c>
      <c r="C506" s="40">
        <v>5.63</v>
      </c>
      <c r="D506" s="114"/>
    </row>
    <row r="507" spans="1:4" ht="15.75" outlineLevel="1">
      <c r="A507" s="40" t="s">
        <v>1140</v>
      </c>
      <c r="B507" s="41" t="s">
        <v>24</v>
      </c>
      <c r="C507" s="40">
        <v>5.47</v>
      </c>
      <c r="D507" s="114"/>
    </row>
    <row r="508" spans="1:4" ht="15.75" outlineLevel="1">
      <c r="A508" s="40" t="s">
        <v>1140</v>
      </c>
      <c r="B508" s="41" t="s">
        <v>25</v>
      </c>
      <c r="C508" s="40">
        <v>5.48</v>
      </c>
      <c r="D508" s="114"/>
    </row>
    <row r="509" spans="1:4" ht="15.75">
      <c r="A509" s="46" t="s">
        <v>1140</v>
      </c>
      <c r="B509" s="41"/>
      <c r="C509" s="40"/>
      <c r="D509" s="114"/>
    </row>
    <row r="510" spans="1:4" ht="15.75" outlineLevel="1">
      <c r="A510" s="40" t="s">
        <v>1038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1038</v>
      </c>
      <c r="B511" s="41" t="s">
        <v>1</v>
      </c>
      <c r="C511" s="40">
        <v>5.2</v>
      </c>
      <c r="D511" s="114"/>
    </row>
    <row r="512" spans="1:4" ht="15.75" outlineLevel="1">
      <c r="A512" s="40" t="s">
        <v>1038</v>
      </c>
      <c r="B512" s="41" t="s">
        <v>2</v>
      </c>
      <c r="C512" s="40">
        <v>5.3</v>
      </c>
      <c r="D512" s="114"/>
    </row>
    <row r="513" spans="1:4" ht="15.75" outlineLevel="1">
      <c r="A513" s="40" t="s">
        <v>1038</v>
      </c>
      <c r="B513" s="41" t="s">
        <v>148</v>
      </c>
      <c r="C513" s="40">
        <v>5.6</v>
      </c>
      <c r="D513" s="114"/>
    </row>
    <row r="514" spans="1:4" ht="15.75" outlineLevel="1">
      <c r="A514" s="40" t="s">
        <v>1038</v>
      </c>
      <c r="B514" s="41" t="s">
        <v>1120</v>
      </c>
      <c r="C514" s="42">
        <v>5.0999999999999996</v>
      </c>
      <c r="D514" s="114"/>
    </row>
    <row r="515" spans="1:4" ht="15.75" outlineLevel="1">
      <c r="A515" s="40" t="s">
        <v>1038</v>
      </c>
      <c r="B515" s="41" t="s">
        <v>1119</v>
      </c>
      <c r="C515" s="40">
        <v>5.14</v>
      </c>
      <c r="D515" s="114"/>
    </row>
    <row r="516" spans="1:4" ht="15.75" outlineLevel="1">
      <c r="A516" s="40" t="s">
        <v>1038</v>
      </c>
      <c r="B516" s="41" t="s">
        <v>4</v>
      </c>
      <c r="C516" s="40">
        <v>5.19</v>
      </c>
      <c r="D516" s="114"/>
    </row>
    <row r="517" spans="1:4" ht="15.75" outlineLevel="1">
      <c r="A517" s="40" t="s">
        <v>1038</v>
      </c>
      <c r="B517" s="41" t="s">
        <v>150</v>
      </c>
      <c r="C517" s="40">
        <v>5.24</v>
      </c>
      <c r="D517" s="114"/>
    </row>
    <row r="518" spans="1:4" ht="15.75" outlineLevel="1">
      <c r="A518" s="40" t="s">
        <v>1038</v>
      </c>
      <c r="B518" s="41" t="s">
        <v>5</v>
      </c>
      <c r="C518" s="40">
        <v>5.26</v>
      </c>
      <c r="D518" s="114"/>
    </row>
    <row r="519" spans="1:4" ht="15.75" outlineLevel="1">
      <c r="A519" s="40" t="s">
        <v>1038</v>
      </c>
      <c r="B519" s="41" t="s">
        <v>6</v>
      </c>
      <c r="C519" s="40">
        <v>5.27</v>
      </c>
      <c r="D519" s="114"/>
    </row>
    <row r="520" spans="1:4" ht="15.75" outlineLevel="1">
      <c r="A520" s="40" t="s">
        <v>1038</v>
      </c>
      <c r="B520" s="41" t="s">
        <v>7</v>
      </c>
      <c r="C520" s="40">
        <v>5.28</v>
      </c>
      <c r="D520" s="114"/>
    </row>
    <row r="521" spans="1:4" ht="15.75" outlineLevel="1">
      <c r="A521" s="40" t="s">
        <v>1038</v>
      </c>
      <c r="B521" s="41" t="s">
        <v>151</v>
      </c>
      <c r="C521" s="40">
        <v>5.31</v>
      </c>
      <c r="D521" s="114"/>
    </row>
    <row r="522" spans="1:4" ht="15.75" outlineLevel="1">
      <c r="A522" s="40" t="s">
        <v>1038</v>
      </c>
      <c r="B522" s="41" t="s">
        <v>174</v>
      </c>
      <c r="C522" s="40">
        <v>5.33</v>
      </c>
      <c r="D522" s="114"/>
    </row>
    <row r="523" spans="1:4" ht="15.75" outlineLevel="1">
      <c r="A523" s="40" t="s">
        <v>1038</v>
      </c>
      <c r="B523" s="41" t="s">
        <v>1126</v>
      </c>
      <c r="C523" s="40">
        <v>5.101</v>
      </c>
      <c r="D523" s="114"/>
    </row>
    <row r="524" spans="1:4" ht="15.75" outlineLevel="1">
      <c r="A524" s="40" t="s">
        <v>1038</v>
      </c>
      <c r="B524" s="41" t="s">
        <v>126</v>
      </c>
      <c r="C524" s="40">
        <v>5.36</v>
      </c>
      <c r="D524" s="114"/>
    </row>
    <row r="525" spans="1:4" ht="15.75" outlineLevel="1">
      <c r="A525" s="40" t="s">
        <v>1038</v>
      </c>
      <c r="B525" s="41" t="s">
        <v>159</v>
      </c>
      <c r="C525" s="40">
        <v>5.37</v>
      </c>
      <c r="D525" s="114"/>
    </row>
    <row r="526" spans="1:4" ht="15.75" outlineLevel="1">
      <c r="A526" s="40" t="s">
        <v>1038</v>
      </c>
      <c r="B526" s="41" t="s">
        <v>11</v>
      </c>
      <c r="C526" s="40">
        <v>5.53</v>
      </c>
      <c r="D526" s="114"/>
    </row>
    <row r="527" spans="1:4" ht="15.75" outlineLevel="1">
      <c r="A527" s="40" t="s">
        <v>1038</v>
      </c>
      <c r="B527" s="41" t="s">
        <v>152</v>
      </c>
      <c r="C527" s="40">
        <v>5.109</v>
      </c>
      <c r="D527" s="114"/>
    </row>
    <row r="528" spans="1:4" ht="15.75" outlineLevel="1">
      <c r="A528" s="40" t="s">
        <v>1038</v>
      </c>
      <c r="B528" s="41" t="s">
        <v>153</v>
      </c>
      <c r="C528" s="40">
        <v>5.1109999999999998</v>
      </c>
      <c r="D528" s="114"/>
    </row>
    <row r="529" spans="1:4" ht="15.75" outlineLevel="1">
      <c r="A529" s="40" t="s">
        <v>1038</v>
      </c>
      <c r="B529" s="41" t="s">
        <v>135</v>
      </c>
      <c r="C529" s="40">
        <v>5.1120000000000001</v>
      </c>
      <c r="D529" s="114"/>
    </row>
    <row r="530" spans="1:4" ht="15.75" outlineLevel="1">
      <c r="A530" s="40" t="s">
        <v>1038</v>
      </c>
      <c r="B530" s="41" t="s">
        <v>1127</v>
      </c>
      <c r="C530" s="40">
        <v>5.1020000000000003</v>
      </c>
      <c r="D530" s="114"/>
    </row>
    <row r="531" spans="1:4" ht="15.75" outlineLevel="1">
      <c r="A531" s="40" t="s">
        <v>1038</v>
      </c>
      <c r="B531" s="41" t="s">
        <v>1128</v>
      </c>
      <c r="C531" s="43">
        <v>5.0999999999999996</v>
      </c>
      <c r="D531" s="114"/>
    </row>
    <row r="532" spans="1:4" ht="15.75" outlineLevel="1">
      <c r="A532" s="40" t="s">
        <v>1038</v>
      </c>
      <c r="B532" s="41" t="s">
        <v>17</v>
      </c>
      <c r="C532" s="40">
        <v>5.58</v>
      </c>
      <c r="D532" s="114"/>
    </row>
    <row r="533" spans="1:4" ht="15.75" outlineLevel="1">
      <c r="A533" s="40" t="s">
        <v>1038</v>
      </c>
      <c r="B533" s="41" t="s">
        <v>19</v>
      </c>
      <c r="C533" s="40">
        <v>5.55</v>
      </c>
      <c r="D533" s="114"/>
    </row>
    <row r="534" spans="1:4" ht="15.75" outlineLevel="1">
      <c r="A534" s="40" t="s">
        <v>1038</v>
      </c>
      <c r="B534" s="41" t="s">
        <v>18</v>
      </c>
      <c r="C534" s="40">
        <v>5.54</v>
      </c>
      <c r="D534" s="114"/>
    </row>
    <row r="535" spans="1:4" ht="15.75" outlineLevel="1">
      <c r="A535" s="40" t="s">
        <v>1038</v>
      </c>
      <c r="B535" s="41" t="s">
        <v>20</v>
      </c>
      <c r="C535" s="40">
        <v>5.63</v>
      </c>
      <c r="D535" s="114"/>
    </row>
    <row r="536" spans="1:4" ht="15.75" outlineLevel="1">
      <c r="A536" s="40" t="s">
        <v>1038</v>
      </c>
      <c r="B536" s="41" t="s">
        <v>24</v>
      </c>
      <c r="C536" s="40">
        <v>5.47</v>
      </c>
      <c r="D536" s="114"/>
    </row>
    <row r="537" spans="1:4" ht="15.75" outlineLevel="1">
      <c r="A537" s="40" t="s">
        <v>1038</v>
      </c>
      <c r="B537" s="41" t="s">
        <v>25</v>
      </c>
      <c r="C537" s="40">
        <v>5.48</v>
      </c>
      <c r="D537" s="114"/>
    </row>
    <row r="538" spans="1:4" ht="15.75">
      <c r="A538" s="46" t="s">
        <v>1038</v>
      </c>
      <c r="B538" s="41"/>
      <c r="C538" s="40"/>
      <c r="D538" s="114"/>
    </row>
    <row r="539" spans="1:4" ht="15.75" outlineLevel="1">
      <c r="A539" s="40" t="s">
        <v>1047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1047</v>
      </c>
      <c r="B540" s="41" t="s">
        <v>1</v>
      </c>
      <c r="C540" s="40">
        <v>5.2</v>
      </c>
      <c r="D540" s="114"/>
    </row>
    <row r="541" spans="1:4" ht="15.75" outlineLevel="1">
      <c r="A541" s="40" t="s">
        <v>1047</v>
      </c>
      <c r="B541" s="41" t="s">
        <v>5</v>
      </c>
      <c r="C541" s="40">
        <v>5.26</v>
      </c>
      <c r="D541" s="114"/>
    </row>
    <row r="542" spans="1:4" ht="15.75" outlineLevel="1">
      <c r="A542" s="40" t="s">
        <v>1047</v>
      </c>
      <c r="B542" s="41" t="s">
        <v>1141</v>
      </c>
      <c r="C542" s="40">
        <v>5.21</v>
      </c>
      <c r="D542" s="114"/>
    </row>
    <row r="543" spans="1:4" ht="15.75" outlineLevel="1">
      <c r="A543" s="40" t="s">
        <v>1047</v>
      </c>
      <c r="B543" s="41" t="s">
        <v>1142</v>
      </c>
      <c r="C543" s="40">
        <v>5.53</v>
      </c>
      <c r="D543" s="114"/>
    </row>
    <row r="544" spans="1:4" ht="15.75" outlineLevel="1">
      <c r="A544" s="40" t="s">
        <v>1047</v>
      </c>
      <c r="B544" s="41" t="s">
        <v>18</v>
      </c>
      <c r="C544" s="40">
        <v>5.54</v>
      </c>
      <c r="D544" s="114"/>
    </row>
    <row r="545" spans="1:4" ht="15.75" outlineLevel="1">
      <c r="A545" s="40" t="s">
        <v>1047</v>
      </c>
      <c r="B545" s="41" t="s">
        <v>1143</v>
      </c>
      <c r="C545" s="40">
        <v>5.58</v>
      </c>
      <c r="D545" s="114"/>
    </row>
    <row r="546" spans="1:4" ht="15.75" outlineLevel="1">
      <c r="A546" s="40" t="s">
        <v>1047</v>
      </c>
      <c r="B546" s="41" t="s">
        <v>1144</v>
      </c>
      <c r="C546" s="40">
        <v>5.1180000000000003</v>
      </c>
      <c r="D546" s="114"/>
    </row>
    <row r="547" spans="1:4" ht="15.75" outlineLevel="1">
      <c r="A547" s="40" t="s">
        <v>1047</v>
      </c>
      <c r="B547" s="41" t="s">
        <v>1145</v>
      </c>
      <c r="C547" s="40">
        <v>5.47</v>
      </c>
      <c r="D547" s="114"/>
    </row>
    <row r="548" spans="1:4" ht="15.75" outlineLevel="1">
      <c r="A548" s="40" t="s">
        <v>1047</v>
      </c>
      <c r="B548" s="41" t="s">
        <v>1146</v>
      </c>
      <c r="C548" s="40">
        <v>5.48</v>
      </c>
      <c r="D548" s="114"/>
    </row>
    <row r="549" spans="1:4" ht="15.75" outlineLevel="1">
      <c r="A549" s="40" t="s">
        <v>1047</v>
      </c>
      <c r="B549" s="41" t="s">
        <v>1147</v>
      </c>
      <c r="C549" s="40">
        <v>5.21</v>
      </c>
      <c r="D549" s="114"/>
    </row>
    <row r="550" spans="1:4" ht="15.75" outlineLevel="1">
      <c r="A550" s="40" t="s">
        <v>1047</v>
      </c>
      <c r="B550" s="41" t="s">
        <v>1148</v>
      </c>
      <c r="C550" s="40">
        <v>5.53</v>
      </c>
      <c r="D550" s="114"/>
    </row>
    <row r="551" spans="1:4" ht="15.75" outlineLevel="1">
      <c r="A551" s="40" t="s">
        <v>1047</v>
      </c>
      <c r="B551" s="41" t="s">
        <v>18</v>
      </c>
      <c r="C551" s="40">
        <v>5.54</v>
      </c>
      <c r="D551" s="114"/>
    </row>
    <row r="552" spans="1:4" ht="15.75" outlineLevel="1">
      <c r="A552" s="40" t="s">
        <v>1047</v>
      </c>
      <c r="B552" s="41" t="s">
        <v>1149</v>
      </c>
      <c r="C552" s="40">
        <v>5.58</v>
      </c>
      <c r="D552" s="114"/>
    </row>
    <row r="553" spans="1:4" ht="15.75" outlineLevel="1">
      <c r="A553" s="40" t="s">
        <v>1047</v>
      </c>
      <c r="B553" s="41" t="s">
        <v>1150</v>
      </c>
      <c r="C553" s="40">
        <v>5.1180000000000003</v>
      </c>
      <c r="D553" s="114"/>
    </row>
    <row r="554" spans="1:4" ht="15.75" outlineLevel="1">
      <c r="A554" s="40" t="s">
        <v>1047</v>
      </c>
      <c r="B554" s="41" t="s">
        <v>1151</v>
      </c>
      <c r="C554" s="40">
        <v>5.47</v>
      </c>
      <c r="D554" s="114"/>
    </row>
    <row r="555" spans="1:4" ht="15.75" outlineLevel="1">
      <c r="A555" s="40" t="s">
        <v>1047</v>
      </c>
      <c r="B555" s="41" t="s">
        <v>1152</v>
      </c>
      <c r="C555" s="40">
        <v>5.48</v>
      </c>
      <c r="D555" s="114"/>
    </row>
    <row r="556" spans="1:4" ht="15.75" outlineLevel="1">
      <c r="A556" s="40" t="s">
        <v>1047</v>
      </c>
      <c r="B556" s="41" t="s">
        <v>1153</v>
      </c>
      <c r="C556" s="40">
        <v>5.63</v>
      </c>
      <c r="D556" s="114"/>
    </row>
    <row r="557" spans="1:4" ht="15.75" outlineLevel="1">
      <c r="A557" s="40" t="s">
        <v>1047</v>
      </c>
      <c r="B557" s="41" t="s">
        <v>6</v>
      </c>
      <c r="C557" s="40">
        <v>5.27</v>
      </c>
      <c r="D557" s="114"/>
    </row>
    <row r="558" spans="1:4" ht="15.75" outlineLevel="1">
      <c r="A558" s="40" t="s">
        <v>1047</v>
      </c>
      <c r="B558" s="41" t="s">
        <v>7</v>
      </c>
      <c r="C558" s="40">
        <v>5.28</v>
      </c>
      <c r="D558" s="114"/>
    </row>
    <row r="559" spans="1:4" ht="15.75" outlineLevel="1">
      <c r="A559" s="40" t="s">
        <v>1047</v>
      </c>
      <c r="B559" s="41" t="s">
        <v>1154</v>
      </c>
      <c r="C559" s="40">
        <v>5.35</v>
      </c>
      <c r="D559" s="114"/>
    </row>
    <row r="560" spans="1:4" ht="15.75" outlineLevel="1">
      <c r="A560" s="40" t="s">
        <v>1047</v>
      </c>
      <c r="B560" s="41" t="s">
        <v>933</v>
      </c>
      <c r="C560" s="40">
        <v>5.1189999999999998</v>
      </c>
      <c r="D560" s="114"/>
    </row>
    <row r="561" spans="1:4" ht="15.75" outlineLevel="1">
      <c r="A561" s="40" t="s">
        <v>1047</v>
      </c>
      <c r="B561" s="41" t="s">
        <v>940</v>
      </c>
      <c r="C561" s="43">
        <v>5.12</v>
      </c>
      <c r="D561" s="114"/>
    </row>
    <row r="562" spans="1:4" ht="15.75" outlineLevel="1">
      <c r="A562" s="40" t="s">
        <v>1047</v>
      </c>
      <c r="B562" s="41" t="s">
        <v>327</v>
      </c>
      <c r="C562" s="40">
        <v>5.1210000000000004</v>
      </c>
      <c r="D562" s="114"/>
    </row>
    <row r="563" spans="1:4" ht="15.75" outlineLevel="1">
      <c r="A563" s="40" t="s">
        <v>1047</v>
      </c>
      <c r="B563" s="41" t="s">
        <v>126</v>
      </c>
      <c r="C563" s="40">
        <v>5.36</v>
      </c>
      <c r="D563" s="114"/>
    </row>
    <row r="564" spans="1:4" ht="15.75" outlineLevel="1">
      <c r="A564" s="40" t="s">
        <v>1047</v>
      </c>
      <c r="B564" s="41" t="s">
        <v>1155</v>
      </c>
      <c r="C564" s="40">
        <v>5.1219999999999999</v>
      </c>
      <c r="D564" s="114"/>
    </row>
    <row r="565" spans="1:4" ht="15.75" outlineLevel="1">
      <c r="A565" s="40" t="s">
        <v>1047</v>
      </c>
      <c r="B565" s="41" t="s">
        <v>1156</v>
      </c>
      <c r="C565" s="40">
        <v>5.1230000000000002</v>
      </c>
      <c r="D565" s="114"/>
    </row>
    <row r="566" spans="1:4" ht="15.75" outlineLevel="1">
      <c r="A566" s="40" t="s">
        <v>1047</v>
      </c>
      <c r="B566" s="41" t="s">
        <v>904</v>
      </c>
      <c r="C566" s="40">
        <v>5.1239999999999997</v>
      </c>
      <c r="D566" s="114"/>
    </row>
    <row r="567" spans="1:4" ht="15.75" outlineLevel="1">
      <c r="A567" s="40" t="s">
        <v>1047</v>
      </c>
      <c r="B567" s="41" t="s">
        <v>912</v>
      </c>
      <c r="C567" s="40">
        <v>5.125</v>
      </c>
      <c r="D567" s="114"/>
    </row>
    <row r="568" spans="1:4" ht="15.75" outlineLevel="1">
      <c r="A568" s="40" t="s">
        <v>1047</v>
      </c>
      <c r="B568" s="41" t="s">
        <v>1157</v>
      </c>
      <c r="C568" s="40">
        <v>5.1260000000000003</v>
      </c>
      <c r="D568" s="114"/>
    </row>
    <row r="569" spans="1:4" ht="15.75" outlineLevel="1">
      <c r="A569" s="40" t="s">
        <v>1047</v>
      </c>
      <c r="B569" s="41" t="s">
        <v>930</v>
      </c>
      <c r="C569" s="40">
        <v>5.1269999999999998</v>
      </c>
      <c r="D569" s="114"/>
    </row>
    <row r="570" spans="1:4" ht="15.75" outlineLevel="1">
      <c r="A570" s="40" t="s">
        <v>1047</v>
      </c>
      <c r="B570" s="41" t="s">
        <v>915</v>
      </c>
      <c r="C570" s="42">
        <v>5.72</v>
      </c>
      <c r="D570" s="114"/>
    </row>
    <row r="571" spans="1:4" ht="15.75" outlineLevel="1">
      <c r="A571" s="40" t="s">
        <v>1047</v>
      </c>
      <c r="B571" s="41" t="s">
        <v>926</v>
      </c>
      <c r="C571" s="40">
        <v>5.1280000000000001</v>
      </c>
      <c r="D571" s="114"/>
    </row>
    <row r="572" spans="1:4" ht="15.75" outlineLevel="1">
      <c r="A572" s="40" t="s">
        <v>1047</v>
      </c>
      <c r="B572" s="41" t="s">
        <v>1158</v>
      </c>
      <c r="C572" s="40">
        <v>5.1289999999999996</v>
      </c>
      <c r="D572" s="113" t="s">
        <v>1118</v>
      </c>
    </row>
    <row r="573" spans="1:4" ht="15.75" outlineLevel="1">
      <c r="A573" s="40" t="s">
        <v>1047</v>
      </c>
      <c r="B573" s="41" t="s">
        <v>1159</v>
      </c>
      <c r="C573" s="40">
        <v>5.1310000000000002</v>
      </c>
      <c r="D573" s="114"/>
    </row>
    <row r="574" spans="1:4" ht="15.75" outlineLevel="1">
      <c r="A574" s="40" t="s">
        <v>1047</v>
      </c>
      <c r="B574" s="41" t="s">
        <v>1160</v>
      </c>
      <c r="C574" s="40">
        <v>5.1319999999999997</v>
      </c>
      <c r="D574" s="113" t="s">
        <v>1118</v>
      </c>
    </row>
    <row r="575" spans="1:4" ht="15.75" outlineLevel="1">
      <c r="A575" s="40" t="s">
        <v>1047</v>
      </c>
      <c r="B575" s="41" t="s">
        <v>955</v>
      </c>
      <c r="C575" s="40">
        <v>5.133</v>
      </c>
      <c r="D575" s="113" t="s">
        <v>1118</v>
      </c>
    </row>
    <row r="576" spans="1:4" ht="15.75" outlineLevel="1">
      <c r="A576" s="40" t="s">
        <v>1047</v>
      </c>
      <c r="B576" s="41" t="s">
        <v>1161</v>
      </c>
      <c r="C576" s="40">
        <v>5.1340000000000003</v>
      </c>
      <c r="D576" s="113" t="s">
        <v>1118</v>
      </c>
    </row>
    <row r="577" spans="1:4" ht="15.75" outlineLevel="1">
      <c r="A577" s="40" t="s">
        <v>1047</v>
      </c>
      <c r="B577" s="41" t="s">
        <v>1162</v>
      </c>
      <c r="C577" s="43">
        <v>5.13</v>
      </c>
      <c r="D577" s="114"/>
    </row>
    <row r="578" spans="1:4" ht="15.75" outlineLevel="1">
      <c r="A578" s="40" t="s">
        <v>1047</v>
      </c>
      <c r="B578" s="41" t="s">
        <v>24</v>
      </c>
      <c r="C578" s="40">
        <v>5.47</v>
      </c>
      <c r="D578" s="114"/>
    </row>
    <row r="579" spans="1:4" ht="15.75" outlineLevel="1">
      <c r="A579" s="40" t="s">
        <v>1047</v>
      </c>
      <c r="B579" s="41" t="s">
        <v>25</v>
      </c>
      <c r="C579" s="40">
        <v>5.48</v>
      </c>
      <c r="D579" s="114"/>
    </row>
    <row r="580" spans="1:4" ht="15.75">
      <c r="A580" s="46" t="s">
        <v>1047</v>
      </c>
      <c r="B580" s="41"/>
      <c r="C580" s="40"/>
      <c r="D580" s="114"/>
    </row>
    <row r="581" spans="1:4" ht="15.75" outlineLevel="1">
      <c r="A581" s="40" t="s">
        <v>1040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1040</v>
      </c>
      <c r="B582" s="41" t="s">
        <v>1</v>
      </c>
      <c r="C582" s="40">
        <v>5.2</v>
      </c>
      <c r="D582" s="114"/>
    </row>
    <row r="583" spans="1:4" ht="15.75" outlineLevel="1">
      <c r="A583" s="40" t="s">
        <v>1040</v>
      </c>
      <c r="B583" s="41" t="s">
        <v>121</v>
      </c>
      <c r="C583" s="40">
        <v>5.9</v>
      </c>
      <c r="D583" s="113" t="s">
        <v>1118</v>
      </c>
    </row>
    <row r="584" spans="1:4" ht="15.75" outlineLevel="1">
      <c r="A584" s="40" t="s">
        <v>1040</v>
      </c>
      <c r="B584" s="41" t="s">
        <v>122</v>
      </c>
      <c r="C584" s="40">
        <v>5.13</v>
      </c>
      <c r="D584" s="113" t="s">
        <v>1118</v>
      </c>
    </row>
    <row r="585" spans="1:4" ht="15.75" outlineLevel="1">
      <c r="A585" s="40" t="s">
        <v>1040</v>
      </c>
      <c r="B585" s="41" t="s">
        <v>123</v>
      </c>
      <c r="C585" s="40">
        <v>5.16</v>
      </c>
      <c r="D585" s="113" t="s">
        <v>1118</v>
      </c>
    </row>
    <row r="586" spans="1:4" ht="15.75" outlineLevel="1">
      <c r="A586" s="40" t="s">
        <v>1040</v>
      </c>
      <c r="B586" s="41" t="s">
        <v>124</v>
      </c>
      <c r="C586" s="40">
        <v>5.22</v>
      </c>
      <c r="D586" s="113"/>
    </row>
    <row r="587" spans="1:4" ht="15.75" outlineLevel="1">
      <c r="A587" s="40" t="s">
        <v>1040</v>
      </c>
      <c r="B587" s="41" t="s">
        <v>5</v>
      </c>
      <c r="C587" s="40">
        <v>5.26</v>
      </c>
      <c r="D587" s="114"/>
    </row>
    <row r="588" spans="1:4" ht="15.75" outlineLevel="1">
      <c r="A588" s="40" t="s">
        <v>1040</v>
      </c>
      <c r="B588" s="41" t="s">
        <v>1163</v>
      </c>
      <c r="C588" s="40">
        <v>5.77</v>
      </c>
      <c r="D588" s="114"/>
    </row>
    <row r="589" spans="1:4" ht="15.75" outlineLevel="1">
      <c r="A589" s="40" t="s">
        <v>1040</v>
      </c>
      <c r="B589" s="41" t="s">
        <v>6</v>
      </c>
      <c r="C589" s="40">
        <v>5.27</v>
      </c>
      <c r="D589" s="114"/>
    </row>
    <row r="590" spans="1:4" ht="15.75" outlineLevel="1">
      <c r="A590" s="40" t="s">
        <v>1040</v>
      </c>
      <c r="B590" s="41" t="s">
        <v>7</v>
      </c>
      <c r="C590" s="40">
        <v>5.28</v>
      </c>
      <c r="D590" s="113" t="s">
        <v>1118</v>
      </c>
    </row>
    <row r="591" spans="1:4" ht="15.75" outlineLevel="1">
      <c r="A591" s="40" t="s">
        <v>1040</v>
      </c>
      <c r="B591" s="41" t="s">
        <v>151</v>
      </c>
      <c r="C591" s="40">
        <v>5.31</v>
      </c>
      <c r="D591" s="114"/>
    </row>
    <row r="592" spans="1:4" ht="15.75" outlineLevel="1">
      <c r="A592" s="40" t="s">
        <v>1040</v>
      </c>
      <c r="B592" s="41" t="s">
        <v>126</v>
      </c>
      <c r="C592" s="40">
        <v>5.36</v>
      </c>
      <c r="D592" s="114"/>
    </row>
    <row r="593" spans="1:4" ht="15.75" outlineLevel="1">
      <c r="A593" s="40" t="s">
        <v>1040</v>
      </c>
      <c r="B593" s="41" t="s">
        <v>1164</v>
      </c>
      <c r="C593" s="40">
        <v>5.78</v>
      </c>
      <c r="D593" s="114"/>
    </row>
    <row r="594" spans="1:4" ht="15.75" outlineLevel="1">
      <c r="A594" s="40" t="s">
        <v>1040</v>
      </c>
      <c r="B594" s="41" t="s">
        <v>1165</v>
      </c>
      <c r="C594" s="40">
        <v>5.79</v>
      </c>
      <c r="D594" s="113" t="s">
        <v>1118</v>
      </c>
    </row>
    <row r="595" spans="1:4" ht="15.75" outlineLevel="1">
      <c r="A595" s="40" t="s">
        <v>1040</v>
      </c>
      <c r="B595" s="41" t="s">
        <v>1166</v>
      </c>
      <c r="C595" s="40">
        <v>5.41</v>
      </c>
      <c r="D595" s="114"/>
    </row>
    <row r="596" spans="1:4" ht="15.75" outlineLevel="1">
      <c r="A596" s="40" t="s">
        <v>1040</v>
      </c>
      <c r="B596" s="41" t="s">
        <v>9</v>
      </c>
      <c r="C596" s="40">
        <v>5.49</v>
      </c>
      <c r="D596" s="114"/>
    </row>
    <row r="597" spans="1:4" ht="15.75" outlineLevel="1">
      <c r="A597" s="40" t="s">
        <v>1040</v>
      </c>
      <c r="B597" s="41" t="s">
        <v>10</v>
      </c>
      <c r="C597" s="40">
        <v>5.51</v>
      </c>
      <c r="D597" s="114"/>
    </row>
    <row r="598" spans="1:4" ht="15.75" outlineLevel="1">
      <c r="A598" s="40" t="s">
        <v>1040</v>
      </c>
      <c r="B598" s="41" t="s">
        <v>1167</v>
      </c>
      <c r="C598" s="40">
        <v>5.52</v>
      </c>
      <c r="D598" s="114"/>
    </row>
    <row r="599" spans="1:4" ht="15.75" outlineLevel="1">
      <c r="A599" s="40" t="s">
        <v>1040</v>
      </c>
      <c r="B599" s="41" t="s">
        <v>11</v>
      </c>
      <c r="C599" s="40">
        <v>5.53</v>
      </c>
      <c r="D599" s="114"/>
    </row>
    <row r="600" spans="1:4" ht="15.75" outlineLevel="1">
      <c r="A600" s="40" t="s">
        <v>1040</v>
      </c>
      <c r="B600" s="41" t="s">
        <v>12</v>
      </c>
      <c r="C600" s="40">
        <v>5.69</v>
      </c>
      <c r="D600" s="114"/>
    </row>
    <row r="601" spans="1:4" ht="15.75" outlineLevel="1">
      <c r="A601" s="40" t="s">
        <v>1040</v>
      </c>
      <c r="B601" s="41" t="s">
        <v>128</v>
      </c>
      <c r="C601" s="40">
        <v>5.71</v>
      </c>
      <c r="D601" s="114"/>
    </row>
    <row r="602" spans="1:4" ht="15.75" outlineLevel="1">
      <c r="A602" s="40" t="s">
        <v>1040</v>
      </c>
      <c r="B602" s="41" t="s">
        <v>14</v>
      </c>
      <c r="C602" s="42">
        <v>5.7</v>
      </c>
      <c r="D602" s="114"/>
    </row>
    <row r="603" spans="1:4" ht="15.75" outlineLevel="1">
      <c r="A603" s="40" t="s">
        <v>1040</v>
      </c>
      <c r="B603" s="41" t="s">
        <v>758</v>
      </c>
      <c r="C603" s="42">
        <v>5.8</v>
      </c>
      <c r="D603" s="113" t="s">
        <v>1118</v>
      </c>
    </row>
    <row r="604" spans="1:4" ht="15.75" outlineLevel="1">
      <c r="A604" s="40" t="s">
        <v>1040</v>
      </c>
      <c r="B604" s="41" t="s">
        <v>915</v>
      </c>
      <c r="C604" s="42">
        <v>5.72</v>
      </c>
      <c r="D604" s="113" t="s">
        <v>1118</v>
      </c>
    </row>
    <row r="605" spans="1:4" ht="15.75" outlineLevel="1">
      <c r="A605" s="40" t="s">
        <v>1040</v>
      </c>
      <c r="B605" s="41" t="s">
        <v>1168</v>
      </c>
      <c r="C605" s="40">
        <v>5.73</v>
      </c>
      <c r="D605" s="113" t="s">
        <v>1118</v>
      </c>
    </row>
    <row r="606" spans="1:4" ht="15.75" outlineLevel="1">
      <c r="A606" s="40" t="s">
        <v>1040</v>
      </c>
      <c r="B606" s="41" t="s">
        <v>15</v>
      </c>
      <c r="C606" s="40">
        <v>5.74</v>
      </c>
      <c r="D606" s="114"/>
    </row>
    <row r="607" spans="1:4" ht="15.75" outlineLevel="1">
      <c r="A607" s="40" t="s">
        <v>1040</v>
      </c>
      <c r="B607" s="41" t="s">
        <v>13</v>
      </c>
      <c r="C607" s="40">
        <v>5.75</v>
      </c>
      <c r="D607" s="114"/>
    </row>
    <row r="608" spans="1:4" ht="15.75" outlineLevel="1">
      <c r="A608" s="40" t="s">
        <v>1040</v>
      </c>
      <c r="B608" s="41" t="s">
        <v>413</v>
      </c>
      <c r="C608" s="40">
        <v>5.76</v>
      </c>
      <c r="D608" s="114"/>
    </row>
    <row r="609" spans="1:4" ht="15.75" outlineLevel="1">
      <c r="A609" s="40" t="s">
        <v>1040</v>
      </c>
      <c r="B609" s="41" t="s">
        <v>763</v>
      </c>
      <c r="C609" s="40">
        <v>5.81</v>
      </c>
      <c r="D609" s="113" t="s">
        <v>1118</v>
      </c>
    </row>
    <row r="610" spans="1:4" ht="15.75" outlineLevel="1">
      <c r="A610" s="40" t="s">
        <v>1040</v>
      </c>
      <c r="B610" s="41" t="s">
        <v>1169</v>
      </c>
      <c r="C610" s="40">
        <v>5.82</v>
      </c>
      <c r="D610" s="113" t="s">
        <v>1118</v>
      </c>
    </row>
    <row r="611" spans="1:4" ht="15.75" outlineLevel="1">
      <c r="A611" s="40" t="s">
        <v>1040</v>
      </c>
      <c r="B611" s="41" t="s">
        <v>1170</v>
      </c>
      <c r="C611" s="40">
        <v>5.83</v>
      </c>
      <c r="D611" s="113" t="s">
        <v>1118</v>
      </c>
    </row>
    <row r="612" spans="1:4" ht="15.75" outlineLevel="1">
      <c r="A612" s="40" t="s">
        <v>1040</v>
      </c>
      <c r="B612" s="41" t="s">
        <v>1171</v>
      </c>
      <c r="C612" s="40">
        <v>5.84</v>
      </c>
      <c r="D612" s="114"/>
    </row>
    <row r="613" spans="1:4" ht="15.75" outlineLevel="1">
      <c r="A613" s="40" t="s">
        <v>1040</v>
      </c>
      <c r="B613" s="41" t="s">
        <v>786</v>
      </c>
      <c r="C613" s="40">
        <v>5.85</v>
      </c>
      <c r="D613" s="113" t="s">
        <v>1118</v>
      </c>
    </row>
    <row r="614" spans="1:4" ht="15.75" outlineLevel="1">
      <c r="A614" s="40" t="s">
        <v>1040</v>
      </c>
      <c r="B614" s="41" t="s">
        <v>787</v>
      </c>
      <c r="C614" s="40">
        <v>5.86</v>
      </c>
      <c r="D614" s="113" t="s">
        <v>1118</v>
      </c>
    </row>
    <row r="615" spans="1:4" ht="15.75" outlineLevel="1">
      <c r="A615" s="40" t="s">
        <v>1040</v>
      </c>
      <c r="B615" s="41" t="s">
        <v>1172</v>
      </c>
      <c r="C615" s="40">
        <v>5.88</v>
      </c>
      <c r="D615" s="113" t="s">
        <v>1118</v>
      </c>
    </row>
    <row r="616" spans="1:4" ht="15.75" outlineLevel="1">
      <c r="A616" s="40" t="s">
        <v>1040</v>
      </c>
      <c r="B616" s="41" t="s">
        <v>793</v>
      </c>
      <c r="C616" s="40">
        <v>5.87</v>
      </c>
      <c r="D616" s="114"/>
    </row>
    <row r="617" spans="1:4" ht="15.75" outlineLevel="1">
      <c r="A617" s="40" t="s">
        <v>1040</v>
      </c>
      <c r="B617" s="41" t="s">
        <v>152</v>
      </c>
      <c r="C617" s="40">
        <v>5.109</v>
      </c>
      <c r="D617" s="114"/>
    </row>
    <row r="618" spans="1:4" ht="15.75" outlineLevel="1">
      <c r="A618" s="40" t="s">
        <v>1040</v>
      </c>
      <c r="B618" s="41" t="s">
        <v>165</v>
      </c>
      <c r="C618" s="43">
        <v>5.1100000000000003</v>
      </c>
      <c r="D618" s="113" t="s">
        <v>1118</v>
      </c>
    </row>
    <row r="619" spans="1:4" ht="15.75" outlineLevel="1">
      <c r="A619" s="40" t="s">
        <v>1040</v>
      </c>
      <c r="B619" s="41" t="s">
        <v>153</v>
      </c>
      <c r="C619" s="40">
        <v>5.1109999999999998</v>
      </c>
      <c r="D619" s="114"/>
    </row>
    <row r="620" spans="1:4" ht="15.75" outlineLevel="1">
      <c r="A620" s="40" t="s">
        <v>1040</v>
      </c>
      <c r="B620" s="41" t="s">
        <v>135</v>
      </c>
      <c r="C620" s="40">
        <v>5.1120000000000001</v>
      </c>
      <c r="D620" s="114"/>
    </row>
    <row r="621" spans="1:4" ht="15.75" outlineLevel="1">
      <c r="A621" s="40" t="s">
        <v>1040</v>
      </c>
      <c r="B621" s="41" t="s">
        <v>1134</v>
      </c>
      <c r="C621" s="40">
        <v>5.1130000000000004</v>
      </c>
      <c r="D621" s="114"/>
    </row>
    <row r="622" spans="1:4" ht="15.75" outlineLevel="1">
      <c r="A622" s="40" t="s">
        <v>1040</v>
      </c>
      <c r="B622" s="41" t="s">
        <v>1173</v>
      </c>
      <c r="C622" s="40">
        <v>5.99</v>
      </c>
      <c r="D622" s="113" t="s">
        <v>1118</v>
      </c>
    </row>
    <row r="623" spans="1:4" ht="15.75" outlineLevel="1">
      <c r="A623" s="40" t="s">
        <v>1040</v>
      </c>
      <c r="B623" s="41" t="s">
        <v>1174</v>
      </c>
      <c r="C623" s="40">
        <v>5.58</v>
      </c>
      <c r="D623" s="113"/>
    </row>
    <row r="624" spans="1:4" ht="15.75" outlineLevel="1">
      <c r="A624" s="40" t="s">
        <v>1040</v>
      </c>
      <c r="B624" s="41" t="s">
        <v>18</v>
      </c>
      <c r="C624" s="40">
        <v>5.54</v>
      </c>
      <c r="D624" s="114"/>
    </row>
    <row r="625" spans="1:4" ht="15.75" outlineLevel="1">
      <c r="A625" s="40" t="s">
        <v>1040</v>
      </c>
      <c r="B625" s="41" t="s">
        <v>1175</v>
      </c>
      <c r="C625" s="40">
        <v>5.56</v>
      </c>
      <c r="D625" s="114"/>
    </row>
    <row r="626" spans="1:4" ht="15.75" outlineLevel="1">
      <c r="A626" s="40" t="s">
        <v>1040</v>
      </c>
      <c r="B626" s="41" t="s">
        <v>20</v>
      </c>
      <c r="C626" s="40">
        <v>5.63</v>
      </c>
      <c r="D626" s="114"/>
    </row>
    <row r="627" spans="1:4" ht="15.75" outlineLevel="1">
      <c r="A627" s="40" t="s">
        <v>1040</v>
      </c>
      <c r="B627" s="41" t="s">
        <v>166</v>
      </c>
      <c r="C627" s="40">
        <v>5.64</v>
      </c>
      <c r="D627" s="114"/>
    </row>
    <row r="628" spans="1:4" ht="15.75" outlineLevel="1">
      <c r="A628" s="40" t="s">
        <v>1040</v>
      </c>
      <c r="B628" s="41" t="s">
        <v>21</v>
      </c>
      <c r="C628" s="40">
        <v>5.65</v>
      </c>
      <c r="D628" s="114"/>
    </row>
    <row r="629" spans="1:4" ht="15.75" outlineLevel="1">
      <c r="A629" s="40" t="s">
        <v>1040</v>
      </c>
      <c r="B629" s="41" t="s">
        <v>167</v>
      </c>
      <c r="C629" s="40">
        <v>5.66</v>
      </c>
      <c r="D629" s="114"/>
    </row>
    <row r="630" spans="1:4" ht="15.75" outlineLevel="1">
      <c r="A630" s="40" t="s">
        <v>1040</v>
      </c>
      <c r="B630" s="41" t="s">
        <v>836</v>
      </c>
      <c r="C630" s="40">
        <v>5.89</v>
      </c>
      <c r="D630" s="113" t="s">
        <v>1118</v>
      </c>
    </row>
    <row r="631" spans="1:4" ht="15.75" outlineLevel="1">
      <c r="A631" s="40" t="s">
        <v>1040</v>
      </c>
      <c r="B631" s="41" t="s">
        <v>22</v>
      </c>
      <c r="C631" s="40">
        <v>5.68</v>
      </c>
      <c r="D631" s="114"/>
    </row>
    <row r="632" spans="1:4" ht="15.75" outlineLevel="1">
      <c r="A632" s="40" t="s">
        <v>1040</v>
      </c>
      <c r="B632" s="41" t="s">
        <v>24</v>
      </c>
      <c r="C632" s="40">
        <v>5.47</v>
      </c>
      <c r="D632" s="114"/>
    </row>
    <row r="633" spans="1:4" ht="15.75" outlineLevel="1">
      <c r="A633" s="40" t="s">
        <v>1040</v>
      </c>
      <c r="B633" s="41" t="s">
        <v>25</v>
      </c>
      <c r="C633" s="40">
        <v>5.48</v>
      </c>
      <c r="D633" s="114"/>
    </row>
    <row r="634" spans="1:4" ht="15.75">
      <c r="A634" s="46" t="s">
        <v>1040</v>
      </c>
      <c r="B634" s="41"/>
      <c r="C634" s="40"/>
      <c r="D634" s="114"/>
    </row>
    <row r="635" spans="1:4" ht="15.75" outlineLevel="1">
      <c r="A635" s="40" t="s">
        <v>1059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1059</v>
      </c>
      <c r="B636" s="41" t="s">
        <v>1</v>
      </c>
      <c r="C636" s="40">
        <v>5.2</v>
      </c>
      <c r="D636" s="114"/>
    </row>
    <row r="637" spans="1:4" ht="15.75" outlineLevel="1">
      <c r="A637" s="40" t="s">
        <v>1059</v>
      </c>
      <c r="B637" s="41" t="s">
        <v>2</v>
      </c>
      <c r="C637" s="40">
        <v>5.3</v>
      </c>
      <c r="D637" s="114"/>
    </row>
    <row r="638" spans="1:4" ht="15.75" outlineLevel="1">
      <c r="A638" s="40" t="s">
        <v>1059</v>
      </c>
      <c r="B638" s="41" t="s">
        <v>148</v>
      </c>
      <c r="C638" s="40">
        <v>5.6</v>
      </c>
      <c r="D638" s="114"/>
    </row>
    <row r="639" spans="1:4" ht="15.75" outlineLevel="1">
      <c r="A639" s="40" t="s">
        <v>1059</v>
      </c>
      <c r="B639" s="41" t="s">
        <v>1120</v>
      </c>
      <c r="C639" s="42">
        <v>5.0999999999999996</v>
      </c>
      <c r="D639" s="114"/>
    </row>
    <row r="640" spans="1:4" ht="15.75" outlineLevel="1">
      <c r="A640" s="40" t="s">
        <v>1059</v>
      </c>
      <c r="B640" s="41" t="s">
        <v>1119</v>
      </c>
      <c r="C640" s="40">
        <v>5.14</v>
      </c>
      <c r="D640" s="114"/>
    </row>
    <row r="641" spans="1:4" ht="15.75" outlineLevel="1">
      <c r="A641" s="40" t="s">
        <v>1059</v>
      </c>
      <c r="B641" s="41" t="s">
        <v>4</v>
      </c>
      <c r="C641" s="40">
        <v>5.19</v>
      </c>
      <c r="D641" s="114"/>
    </row>
    <row r="642" spans="1:4" ht="15.75" outlineLevel="1">
      <c r="A642" s="40" t="s">
        <v>1059</v>
      </c>
      <c r="B642" s="41" t="s">
        <v>150</v>
      </c>
      <c r="C642" s="40">
        <v>5.24</v>
      </c>
      <c r="D642" s="114"/>
    </row>
    <row r="643" spans="1:4" ht="15.75" outlineLevel="1">
      <c r="A643" s="40" t="s">
        <v>1059</v>
      </c>
      <c r="B643" s="41" t="s">
        <v>5</v>
      </c>
      <c r="C643" s="40">
        <v>5.26</v>
      </c>
      <c r="D643" s="114"/>
    </row>
    <row r="644" spans="1:4" ht="15.75" outlineLevel="1">
      <c r="A644" s="40" t="s">
        <v>1059</v>
      </c>
      <c r="B644" s="41" t="s">
        <v>6</v>
      </c>
      <c r="C644" s="40">
        <v>5.27</v>
      </c>
      <c r="D644" s="114"/>
    </row>
    <row r="645" spans="1:4" ht="15.75" outlineLevel="1">
      <c r="A645" s="40" t="s">
        <v>1059</v>
      </c>
      <c r="B645" s="41" t="s">
        <v>7</v>
      </c>
      <c r="C645" s="40">
        <v>5.28</v>
      </c>
      <c r="D645" s="114"/>
    </row>
    <row r="646" spans="1:4" ht="15.75" outlineLevel="1">
      <c r="A646" s="40" t="s">
        <v>1059</v>
      </c>
      <c r="B646" s="41" t="s">
        <v>126</v>
      </c>
      <c r="C646" s="40">
        <v>5.36</v>
      </c>
      <c r="D646" s="114"/>
    </row>
    <row r="647" spans="1:4" ht="15.75" outlineLevel="1">
      <c r="A647" s="40" t="s">
        <v>1059</v>
      </c>
      <c r="B647" s="41" t="s">
        <v>174</v>
      </c>
      <c r="C647" s="40">
        <v>5.33</v>
      </c>
      <c r="D647" s="114"/>
    </row>
    <row r="648" spans="1:4" ht="15.75" outlineLevel="1">
      <c r="A648" s="40" t="s">
        <v>1059</v>
      </c>
      <c r="B648" s="41" t="s">
        <v>159</v>
      </c>
      <c r="C648" s="40">
        <v>5.37</v>
      </c>
      <c r="D648" s="114"/>
    </row>
    <row r="649" spans="1:4" ht="15.75" outlineLevel="1">
      <c r="A649" s="40" t="s">
        <v>1059</v>
      </c>
      <c r="B649" s="41" t="s">
        <v>9</v>
      </c>
      <c r="C649" s="40">
        <v>5.49</v>
      </c>
      <c r="D649" s="114"/>
    </row>
    <row r="650" spans="1:4" ht="15.75" outlineLevel="1">
      <c r="A650" s="40" t="s">
        <v>1059</v>
      </c>
      <c r="B650" s="41" t="s">
        <v>10</v>
      </c>
      <c r="C650" s="40">
        <v>5.51</v>
      </c>
      <c r="D650" s="114"/>
    </row>
    <row r="651" spans="1:4" ht="15.75" outlineLevel="1">
      <c r="A651" s="40" t="s">
        <v>1059</v>
      </c>
      <c r="B651" s="41" t="s">
        <v>1121</v>
      </c>
      <c r="C651" s="40">
        <v>5.52</v>
      </c>
      <c r="D651" s="114"/>
    </row>
    <row r="652" spans="1:4" ht="15.75" outlineLevel="1">
      <c r="A652" s="40" t="s">
        <v>1059</v>
      </c>
      <c r="B652" s="41" t="s">
        <v>11</v>
      </c>
      <c r="C652" s="40">
        <v>5.53</v>
      </c>
      <c r="D652" s="114"/>
    </row>
    <row r="653" spans="1:4" ht="15.75" outlineLevel="1">
      <c r="A653" s="40" t="s">
        <v>1059</v>
      </c>
      <c r="B653" s="41" t="s">
        <v>12</v>
      </c>
      <c r="C653" s="40">
        <v>5.69</v>
      </c>
      <c r="D653" s="114"/>
    </row>
    <row r="654" spans="1:4" ht="15.75" outlineLevel="1">
      <c r="A654" s="40" t="s">
        <v>1059</v>
      </c>
      <c r="B654" s="41" t="s">
        <v>14</v>
      </c>
      <c r="C654" s="42">
        <v>5.7</v>
      </c>
      <c r="D654" s="114"/>
    </row>
    <row r="655" spans="1:4" ht="15.75" outlineLevel="1">
      <c r="A655" s="40" t="s">
        <v>1059</v>
      </c>
      <c r="B655" s="41" t="s">
        <v>15</v>
      </c>
      <c r="C655" s="40">
        <v>5.74</v>
      </c>
      <c r="D655" s="114"/>
    </row>
    <row r="656" spans="1:4" ht="15.75" outlineLevel="1">
      <c r="A656" s="40" t="s">
        <v>1059</v>
      </c>
      <c r="B656" s="41" t="s">
        <v>152</v>
      </c>
      <c r="C656" s="40">
        <v>5.109</v>
      </c>
      <c r="D656" s="114"/>
    </row>
    <row r="657" spans="1:4" ht="15.75" outlineLevel="1">
      <c r="A657" s="40" t="s">
        <v>1059</v>
      </c>
      <c r="B657" s="41" t="s">
        <v>153</v>
      </c>
      <c r="C657" s="40">
        <v>5.1109999999999998</v>
      </c>
      <c r="D657" s="114"/>
    </row>
    <row r="658" spans="1:4" ht="15.75" outlineLevel="1">
      <c r="A658" s="40" t="s">
        <v>1059</v>
      </c>
      <c r="B658" s="41" t="s">
        <v>135</v>
      </c>
      <c r="C658" s="40">
        <v>5.1120000000000001</v>
      </c>
      <c r="D658" s="114"/>
    </row>
    <row r="659" spans="1:4" ht="15.75" outlineLevel="1">
      <c r="A659" s="40" t="s">
        <v>1059</v>
      </c>
      <c r="B659" s="41" t="s">
        <v>17</v>
      </c>
      <c r="C659" s="40">
        <v>5.58</v>
      </c>
      <c r="D659" s="114"/>
    </row>
    <row r="660" spans="1:4" ht="15.75" outlineLevel="1">
      <c r="A660" s="40" t="s">
        <v>1059</v>
      </c>
      <c r="B660" s="41" t="s">
        <v>18</v>
      </c>
      <c r="C660" s="40">
        <v>5.54</v>
      </c>
      <c r="D660" s="114"/>
    </row>
    <row r="661" spans="1:4" ht="15.75" outlineLevel="1">
      <c r="A661" s="40" t="s">
        <v>1059</v>
      </c>
      <c r="B661" s="41" t="s">
        <v>19</v>
      </c>
      <c r="C661" s="40">
        <v>5.55</v>
      </c>
      <c r="D661" s="114"/>
    </row>
    <row r="662" spans="1:4" ht="15.75" outlineLevel="1">
      <c r="A662" s="40" t="s">
        <v>1059</v>
      </c>
      <c r="B662" s="41" t="s">
        <v>20</v>
      </c>
      <c r="C662" s="40">
        <v>5.63</v>
      </c>
      <c r="D662" s="114"/>
    </row>
    <row r="663" spans="1:4" ht="15.75" outlineLevel="1">
      <c r="A663" s="40" t="s">
        <v>1059</v>
      </c>
      <c r="B663" s="41" t="s">
        <v>24</v>
      </c>
      <c r="C663" s="40">
        <v>5.47</v>
      </c>
      <c r="D663" s="114"/>
    </row>
    <row r="664" spans="1:4" ht="15.75" outlineLevel="1">
      <c r="A664" s="40" t="s">
        <v>1059</v>
      </c>
      <c r="B664" s="41" t="s">
        <v>25</v>
      </c>
      <c r="C664" s="40">
        <v>5.48</v>
      </c>
      <c r="D664" s="114"/>
    </row>
    <row r="665" spans="1:4" ht="15.75">
      <c r="A665" s="46" t="s">
        <v>1059</v>
      </c>
      <c r="B665" s="41"/>
      <c r="C665" s="40"/>
      <c r="D665" s="114"/>
    </row>
    <row r="666" spans="1:4" ht="15.75" outlineLevel="1">
      <c r="A666" s="40" t="s">
        <v>1064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1064</v>
      </c>
      <c r="B667" s="41" t="s">
        <v>1</v>
      </c>
      <c r="C667" s="40">
        <v>5.2</v>
      </c>
      <c r="D667" s="114"/>
    </row>
    <row r="668" spans="1:4" ht="15.75" outlineLevel="1">
      <c r="A668" s="40" t="s">
        <v>1064</v>
      </c>
      <c r="B668" s="41" t="s">
        <v>168</v>
      </c>
      <c r="C668" s="40">
        <v>5.4</v>
      </c>
      <c r="D668" s="114"/>
    </row>
    <row r="669" spans="1:4" ht="15.75" outlineLevel="1">
      <c r="A669" s="40" t="s">
        <v>1064</v>
      </c>
      <c r="B669" s="41" t="s">
        <v>169</v>
      </c>
      <c r="C669" s="40">
        <v>5.7</v>
      </c>
      <c r="D669" s="114"/>
    </row>
    <row r="670" spans="1:4" ht="15.75" outlineLevel="1">
      <c r="A670" s="40" t="s">
        <v>1064</v>
      </c>
      <c r="B670" s="41" t="s">
        <v>170</v>
      </c>
      <c r="C670" s="40">
        <v>5.1100000000000003</v>
      </c>
      <c r="D670" s="114"/>
    </row>
    <row r="671" spans="1:4" ht="15.75" outlineLevel="1">
      <c r="A671" s="40" t="s">
        <v>1064</v>
      </c>
      <c r="B671" s="41" t="s">
        <v>5</v>
      </c>
      <c r="C671" s="40">
        <v>5.26</v>
      </c>
      <c r="D671" s="114"/>
    </row>
    <row r="672" spans="1:4" ht="15.75" outlineLevel="1">
      <c r="A672" s="40" t="s">
        <v>1064</v>
      </c>
      <c r="B672" s="41" t="s">
        <v>171</v>
      </c>
      <c r="C672" s="40">
        <v>5.43</v>
      </c>
      <c r="D672" s="114"/>
    </row>
    <row r="673" spans="1:4" ht="15.75" outlineLevel="1">
      <c r="A673" s="40" t="s">
        <v>1064</v>
      </c>
      <c r="B673" s="41" t="s">
        <v>6</v>
      </c>
      <c r="C673" s="40">
        <v>5.27</v>
      </c>
      <c r="D673" s="114"/>
    </row>
    <row r="674" spans="1:4" ht="15.75" outlineLevel="1">
      <c r="A674" s="40" t="s">
        <v>1064</v>
      </c>
      <c r="B674" s="41" t="s">
        <v>7</v>
      </c>
      <c r="C674" s="40">
        <v>5.28</v>
      </c>
      <c r="D674" s="114"/>
    </row>
    <row r="675" spans="1:4" ht="15.75" outlineLevel="1">
      <c r="A675" s="40" t="s">
        <v>1064</v>
      </c>
      <c r="B675" s="41" t="s">
        <v>126</v>
      </c>
      <c r="C675" s="40">
        <v>5.36</v>
      </c>
      <c r="D675" s="114"/>
    </row>
    <row r="676" spans="1:4" ht="15.75" outlineLevel="1">
      <c r="A676" s="40" t="s">
        <v>1064</v>
      </c>
      <c r="B676" s="41" t="s">
        <v>172</v>
      </c>
      <c r="C676" s="42">
        <v>5.5</v>
      </c>
      <c r="D676" s="114"/>
    </row>
    <row r="677" spans="1:4" ht="15.75" outlineLevel="1">
      <c r="A677" s="40" t="s">
        <v>1064</v>
      </c>
      <c r="B677" s="41" t="s">
        <v>10</v>
      </c>
      <c r="C677" s="40">
        <v>5.51</v>
      </c>
      <c r="D677" s="114"/>
    </row>
    <row r="678" spans="1:4" ht="15.75" outlineLevel="1">
      <c r="A678" s="40" t="s">
        <v>1064</v>
      </c>
      <c r="B678" s="41" t="s">
        <v>11</v>
      </c>
      <c r="C678" s="40">
        <v>5.53</v>
      </c>
      <c r="D678" s="114"/>
    </row>
    <row r="679" spans="1:4" ht="15.75" outlineLevel="1">
      <c r="A679" s="40" t="s">
        <v>1064</v>
      </c>
      <c r="B679" s="41" t="s">
        <v>12</v>
      </c>
      <c r="C679" s="40">
        <v>5.69</v>
      </c>
      <c r="D679" s="114"/>
    </row>
    <row r="680" spans="1:4" ht="15.75" outlineLevel="1">
      <c r="A680" s="40" t="s">
        <v>1064</v>
      </c>
      <c r="B680" s="41" t="s">
        <v>14</v>
      </c>
      <c r="C680" s="42">
        <v>5.7</v>
      </c>
      <c r="D680" s="113" t="s">
        <v>1118</v>
      </c>
    </row>
    <row r="681" spans="1:4" ht="15.75" outlineLevel="1">
      <c r="A681" s="40" t="s">
        <v>1064</v>
      </c>
      <c r="B681" s="41" t="s">
        <v>15</v>
      </c>
      <c r="C681" s="40">
        <v>5.74</v>
      </c>
      <c r="D681" s="114"/>
    </row>
    <row r="682" spans="1:4" ht="15.75" outlineLevel="1">
      <c r="A682" s="40" t="s">
        <v>1064</v>
      </c>
      <c r="B682" s="41" t="s">
        <v>136</v>
      </c>
      <c r="C682" s="40">
        <v>5.59</v>
      </c>
      <c r="D682" s="114"/>
    </row>
    <row r="683" spans="1:4" ht="15.75" outlineLevel="1">
      <c r="A683" s="40" t="s">
        <v>1064</v>
      </c>
      <c r="B683" s="41" t="s">
        <v>18</v>
      </c>
      <c r="C683" s="40">
        <v>5.54</v>
      </c>
      <c r="D683" s="114"/>
    </row>
    <row r="684" spans="1:4" ht="15.75" outlineLevel="1">
      <c r="A684" s="40" t="s">
        <v>1064</v>
      </c>
      <c r="B684" s="41" t="s">
        <v>173</v>
      </c>
      <c r="C684" s="40">
        <v>5.57</v>
      </c>
      <c r="D684" s="114"/>
    </row>
    <row r="685" spans="1:4" ht="15.75" outlineLevel="1">
      <c r="A685" s="40" t="s">
        <v>1064</v>
      </c>
      <c r="B685" s="41" t="s">
        <v>20</v>
      </c>
      <c r="C685" s="40">
        <v>5.63</v>
      </c>
      <c r="D685" s="114"/>
    </row>
    <row r="686" spans="1:4" ht="15.75" outlineLevel="1">
      <c r="A686" s="40" t="s">
        <v>1064</v>
      </c>
      <c r="B686" s="41" t="s">
        <v>24</v>
      </c>
      <c r="C686" s="40">
        <v>5.47</v>
      </c>
      <c r="D686" s="114"/>
    </row>
    <row r="687" spans="1:4" ht="15.75" outlineLevel="1">
      <c r="A687" s="40" t="s">
        <v>1064</v>
      </c>
      <c r="B687" s="41" t="s">
        <v>25</v>
      </c>
      <c r="C687" s="40">
        <v>5.48</v>
      </c>
      <c r="D687" s="114"/>
    </row>
    <row r="688" spans="1:4" ht="15.75">
      <c r="A688" s="46" t="s">
        <v>1064</v>
      </c>
      <c r="B688" s="41"/>
      <c r="C688" s="40"/>
      <c r="D688" s="114"/>
    </row>
    <row r="689" spans="1:4" ht="15.75" outlineLevel="1">
      <c r="A689" s="40" t="s">
        <v>1067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1067</v>
      </c>
      <c r="B690" s="41" t="s">
        <v>1</v>
      </c>
      <c r="C690" s="40">
        <v>5.2</v>
      </c>
      <c r="D690" s="114"/>
    </row>
    <row r="691" spans="1:4" ht="15.75" outlineLevel="1">
      <c r="A691" s="40" t="s">
        <v>1067</v>
      </c>
      <c r="B691" s="41" t="s">
        <v>157</v>
      </c>
      <c r="C691" s="40">
        <v>5.17</v>
      </c>
      <c r="D691" s="114"/>
    </row>
    <row r="692" spans="1:4" ht="15.75" outlineLevel="1">
      <c r="A692" s="40" t="s">
        <v>1067</v>
      </c>
      <c r="B692" s="41" t="s">
        <v>5</v>
      </c>
      <c r="C692" s="40">
        <v>5.26</v>
      </c>
      <c r="D692" s="114"/>
    </row>
    <row r="693" spans="1:4" ht="15.75" outlineLevel="1">
      <c r="A693" s="40" t="s">
        <v>1067</v>
      </c>
      <c r="B693" s="41" t="s">
        <v>158</v>
      </c>
      <c r="C693" s="40">
        <v>5.1029999999999998</v>
      </c>
      <c r="D693" s="114"/>
    </row>
    <row r="694" spans="1:4" ht="15.75" outlineLevel="1">
      <c r="A694" s="40" t="s">
        <v>1067</v>
      </c>
      <c r="B694" s="41" t="s">
        <v>126</v>
      </c>
      <c r="C694" s="40">
        <v>5.36</v>
      </c>
      <c r="D694" s="114"/>
    </row>
    <row r="695" spans="1:4" ht="15.75" outlineLevel="1">
      <c r="A695" s="40" t="s">
        <v>1067</v>
      </c>
      <c r="B695" s="41" t="s">
        <v>159</v>
      </c>
      <c r="C695" s="40">
        <v>5.37</v>
      </c>
      <c r="D695" s="114"/>
    </row>
    <row r="696" spans="1:4" ht="15.75" outlineLevel="1">
      <c r="A696" s="40" t="s">
        <v>1067</v>
      </c>
      <c r="B696" s="41" t="s">
        <v>160</v>
      </c>
      <c r="C696" s="40">
        <v>5.1040000000000001</v>
      </c>
      <c r="D696" s="114"/>
    </row>
    <row r="697" spans="1:4" ht="15.75" outlineLevel="1">
      <c r="A697" s="40" t="s">
        <v>1067</v>
      </c>
      <c r="B697" s="41" t="s">
        <v>161</v>
      </c>
      <c r="C697" s="40">
        <v>5.1050000000000004</v>
      </c>
      <c r="D697" s="114"/>
    </row>
    <row r="698" spans="1:4" ht="15.75" outlineLevel="1">
      <c r="A698" s="40" t="s">
        <v>1067</v>
      </c>
      <c r="B698" s="41" t="s">
        <v>162</v>
      </c>
      <c r="C698" s="40">
        <v>5.1059999999999999</v>
      </c>
      <c r="D698" s="114"/>
    </row>
    <row r="699" spans="1:4" ht="15.75" outlineLevel="1">
      <c r="A699" s="40" t="s">
        <v>1067</v>
      </c>
      <c r="B699" s="41" t="s">
        <v>163</v>
      </c>
      <c r="C699" s="40">
        <v>5.1070000000000002</v>
      </c>
      <c r="D699" s="114"/>
    </row>
    <row r="700" spans="1:4" ht="15.75" outlineLevel="1">
      <c r="A700" s="40" t="s">
        <v>1067</v>
      </c>
      <c r="B700" s="41" t="s">
        <v>887</v>
      </c>
      <c r="C700" s="40">
        <v>5.1079999999999997</v>
      </c>
      <c r="D700" s="113" t="s">
        <v>1118</v>
      </c>
    </row>
    <row r="701" spans="1:4" ht="15.75" outlineLevel="1">
      <c r="A701" s="40" t="s">
        <v>1067</v>
      </c>
      <c r="B701" s="41" t="s">
        <v>152</v>
      </c>
      <c r="C701" s="40">
        <v>5.109</v>
      </c>
      <c r="D701" s="114"/>
    </row>
    <row r="702" spans="1:4" ht="15.75" outlineLevel="1">
      <c r="A702" s="40" t="s">
        <v>1067</v>
      </c>
      <c r="B702" s="41" t="s">
        <v>165</v>
      </c>
      <c r="C702" s="43">
        <v>5.1100000000000003</v>
      </c>
      <c r="D702" s="113" t="s">
        <v>1118</v>
      </c>
    </row>
    <row r="703" spans="1:4" ht="15.75" outlineLevel="1">
      <c r="A703" s="40" t="s">
        <v>1067</v>
      </c>
      <c r="B703" s="41" t="s">
        <v>153</v>
      </c>
      <c r="C703" s="40">
        <v>5.1109999999999998</v>
      </c>
      <c r="D703" s="114"/>
    </row>
    <row r="704" spans="1:4" ht="15.75" outlineLevel="1">
      <c r="A704" s="40" t="s">
        <v>1067</v>
      </c>
      <c r="B704" s="41" t="s">
        <v>135</v>
      </c>
      <c r="C704" s="40">
        <v>5.1120000000000001</v>
      </c>
      <c r="D704" s="114"/>
    </row>
    <row r="705" spans="1:4" ht="15.75" outlineLevel="1">
      <c r="A705" s="40" t="s">
        <v>1067</v>
      </c>
      <c r="B705" s="41" t="s">
        <v>11</v>
      </c>
      <c r="C705" s="40">
        <v>5.53</v>
      </c>
      <c r="D705" s="114"/>
    </row>
    <row r="706" spans="1:4" ht="15.75" outlineLevel="1">
      <c r="A706" s="40" t="s">
        <v>1067</v>
      </c>
      <c r="B706" s="41" t="s">
        <v>166</v>
      </c>
      <c r="C706" s="40">
        <v>5.64</v>
      </c>
      <c r="D706" s="114"/>
    </row>
    <row r="707" spans="1:4" ht="15.75" outlineLevel="1">
      <c r="A707" s="40" t="s">
        <v>1067</v>
      </c>
      <c r="B707" s="41" t="s">
        <v>20</v>
      </c>
      <c r="C707" s="40">
        <v>5.63</v>
      </c>
      <c r="D707" s="114"/>
    </row>
    <row r="708" spans="1:4" ht="15.75" outlineLevel="1">
      <c r="A708" s="40" t="s">
        <v>1067</v>
      </c>
      <c r="B708" s="41" t="s">
        <v>21</v>
      </c>
      <c r="C708" s="40">
        <v>5.65</v>
      </c>
      <c r="D708" s="114"/>
    </row>
    <row r="709" spans="1:4" ht="15.75" outlineLevel="1">
      <c r="A709" s="40" t="s">
        <v>1067</v>
      </c>
      <c r="B709" s="41" t="s">
        <v>167</v>
      </c>
      <c r="C709" s="40">
        <v>5.66</v>
      </c>
      <c r="D709" s="114"/>
    </row>
    <row r="710" spans="1:4" ht="15.75" outlineLevel="1">
      <c r="A710" s="40" t="s">
        <v>1067</v>
      </c>
      <c r="B710" s="41" t="s">
        <v>22</v>
      </c>
      <c r="C710" s="40">
        <v>5.68</v>
      </c>
      <c r="D710" s="114"/>
    </row>
    <row r="711" spans="1:4" ht="15.75" outlineLevel="1">
      <c r="A711" s="40" t="s">
        <v>1067</v>
      </c>
      <c r="B711" s="41" t="s">
        <v>24</v>
      </c>
      <c r="C711" s="40">
        <v>5.47</v>
      </c>
      <c r="D711" s="114"/>
    </row>
    <row r="712" spans="1:4" ht="15.75" outlineLevel="1">
      <c r="A712" s="40" t="s">
        <v>1067</v>
      </c>
      <c r="B712" s="41" t="s">
        <v>25</v>
      </c>
      <c r="C712" s="40">
        <v>5.48</v>
      </c>
      <c r="D712" s="114"/>
    </row>
    <row r="713" spans="1:4" ht="15.75">
      <c r="A713" s="46" t="s">
        <v>1067</v>
      </c>
      <c r="B713" s="41"/>
      <c r="C713" s="40"/>
      <c r="D713" s="114"/>
    </row>
    <row r="714" spans="1:4" ht="15.75" outlineLevel="1">
      <c r="A714" s="40" t="s">
        <v>1176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1176</v>
      </c>
      <c r="B715" s="41" t="s">
        <v>1</v>
      </c>
      <c r="C715" s="40">
        <v>5.2</v>
      </c>
      <c r="D715" s="114"/>
    </row>
    <row r="716" spans="1:4" ht="15.75" outlineLevel="1">
      <c r="A716" s="40" t="s">
        <v>1176</v>
      </c>
      <c r="B716" s="41" t="s">
        <v>2</v>
      </c>
      <c r="C716" s="40">
        <v>5.3</v>
      </c>
      <c r="D716" s="114"/>
    </row>
    <row r="717" spans="1:4" ht="15.75" outlineLevel="1">
      <c r="A717" s="40" t="s">
        <v>1176</v>
      </c>
      <c r="B717" s="41" t="s">
        <v>148</v>
      </c>
      <c r="C717" s="40">
        <v>5.6</v>
      </c>
      <c r="D717" s="114"/>
    </row>
    <row r="718" spans="1:4" ht="15.75" outlineLevel="1">
      <c r="A718" s="40" t="s">
        <v>1176</v>
      </c>
      <c r="B718" s="41" t="s">
        <v>1120</v>
      </c>
      <c r="C718" s="42">
        <v>5.0999999999999996</v>
      </c>
      <c r="D718" s="114"/>
    </row>
    <row r="719" spans="1:4" ht="15.75" outlineLevel="1">
      <c r="A719" s="40" t="s">
        <v>1176</v>
      </c>
      <c r="B719" s="41" t="s">
        <v>1119</v>
      </c>
      <c r="C719" s="40">
        <v>5.14</v>
      </c>
      <c r="D719" s="114"/>
    </row>
    <row r="720" spans="1:4" ht="15.75" outlineLevel="1">
      <c r="A720" s="40" t="s">
        <v>1176</v>
      </c>
      <c r="B720" s="41" t="s">
        <v>4</v>
      </c>
      <c r="C720" s="40">
        <v>5.19</v>
      </c>
      <c r="D720" s="114"/>
    </row>
    <row r="721" spans="1:4" ht="15.75" outlineLevel="1">
      <c r="A721" s="40" t="s">
        <v>1176</v>
      </c>
      <c r="B721" s="41" t="s">
        <v>150</v>
      </c>
      <c r="C721" s="40">
        <v>5.24</v>
      </c>
      <c r="D721" s="114"/>
    </row>
    <row r="722" spans="1:4" ht="15.75" outlineLevel="1">
      <c r="A722" s="40" t="s">
        <v>1176</v>
      </c>
      <c r="B722" s="41" t="s">
        <v>5</v>
      </c>
      <c r="C722" s="40">
        <v>5.26</v>
      </c>
      <c r="D722" s="114"/>
    </row>
    <row r="723" spans="1:4" ht="15.75" outlineLevel="1">
      <c r="A723" s="40" t="s">
        <v>1176</v>
      </c>
      <c r="B723" s="41" t="s">
        <v>6</v>
      </c>
      <c r="C723" s="40">
        <v>5.27</v>
      </c>
      <c r="D723" s="114"/>
    </row>
    <row r="724" spans="1:4" ht="15.75" outlineLevel="1">
      <c r="A724" s="40" t="s">
        <v>1176</v>
      </c>
      <c r="B724" s="41" t="s">
        <v>7</v>
      </c>
      <c r="C724" s="40">
        <v>5.28</v>
      </c>
      <c r="D724" s="114"/>
    </row>
    <row r="725" spans="1:4" ht="15.75" outlineLevel="1">
      <c r="A725" s="40" t="s">
        <v>1176</v>
      </c>
      <c r="B725" s="41" t="s">
        <v>151</v>
      </c>
      <c r="C725" s="40">
        <v>5.31</v>
      </c>
      <c r="D725" s="114"/>
    </row>
    <row r="726" spans="1:4" ht="15.75" outlineLevel="1">
      <c r="A726" s="40" t="s">
        <v>1176</v>
      </c>
      <c r="B726" s="41" t="s">
        <v>126</v>
      </c>
      <c r="C726" s="40">
        <v>5.36</v>
      </c>
      <c r="D726" s="114"/>
    </row>
    <row r="727" spans="1:4" ht="15.75" outlineLevel="1">
      <c r="A727" s="40" t="s">
        <v>1176</v>
      </c>
      <c r="B727" s="41" t="s">
        <v>11</v>
      </c>
      <c r="C727" s="40">
        <v>5.53</v>
      </c>
      <c r="D727" s="114"/>
    </row>
    <row r="728" spans="1:4" ht="15.75" outlineLevel="1">
      <c r="A728" s="40" t="s">
        <v>1176</v>
      </c>
      <c r="B728" s="41" t="s">
        <v>152</v>
      </c>
      <c r="C728" s="40">
        <v>5.109</v>
      </c>
      <c r="D728" s="114"/>
    </row>
    <row r="729" spans="1:4" ht="15.75" outlineLevel="1">
      <c r="A729" s="40" t="s">
        <v>1176</v>
      </c>
      <c r="B729" s="41" t="s">
        <v>153</v>
      </c>
      <c r="C729" s="40">
        <v>5.1109999999999998</v>
      </c>
      <c r="D729" s="114"/>
    </row>
    <row r="730" spans="1:4" ht="15.75" outlineLevel="1">
      <c r="A730" s="40" t="s">
        <v>1176</v>
      </c>
      <c r="B730" s="41" t="s">
        <v>135</v>
      </c>
      <c r="C730" s="40">
        <v>5.1120000000000001</v>
      </c>
      <c r="D730" s="114"/>
    </row>
    <row r="731" spans="1:4" ht="15.75" outlineLevel="1">
      <c r="A731" s="40" t="s">
        <v>1176</v>
      </c>
      <c r="B731" s="41" t="s">
        <v>1134</v>
      </c>
      <c r="C731" s="40">
        <v>5.1130000000000004</v>
      </c>
      <c r="D731" s="114"/>
    </row>
    <row r="732" spans="1:4" ht="15.75" outlineLevel="1">
      <c r="A732" s="40" t="s">
        <v>1176</v>
      </c>
      <c r="B732" s="41" t="s">
        <v>155</v>
      </c>
      <c r="C732" s="40">
        <v>5.117</v>
      </c>
      <c r="D732" s="114"/>
    </row>
    <row r="733" spans="1:4" ht="15.75" outlineLevel="1">
      <c r="A733" s="40" t="s">
        <v>1176</v>
      </c>
      <c r="B733" s="41" t="s">
        <v>156</v>
      </c>
      <c r="C733" s="40">
        <v>5.67</v>
      </c>
      <c r="D733" s="114"/>
    </row>
    <row r="734" spans="1:4" ht="15.75" outlineLevel="1">
      <c r="A734" s="40" t="s">
        <v>1176</v>
      </c>
      <c r="B734" s="41" t="s">
        <v>20</v>
      </c>
      <c r="C734" s="40">
        <v>5.63</v>
      </c>
      <c r="D734" s="114"/>
    </row>
    <row r="735" spans="1:4" ht="15.75" outlineLevel="1">
      <c r="A735" s="40" t="s">
        <v>1176</v>
      </c>
      <c r="B735" s="41" t="s">
        <v>24</v>
      </c>
      <c r="C735" s="40">
        <v>5.47</v>
      </c>
      <c r="D735" s="114"/>
    </row>
    <row r="736" spans="1:4" ht="15.75" outlineLevel="1">
      <c r="A736" s="40" t="s">
        <v>1176</v>
      </c>
      <c r="B736" s="41" t="s">
        <v>25</v>
      </c>
      <c r="C736" s="40">
        <v>5.48</v>
      </c>
      <c r="D736" s="114"/>
    </row>
    <row r="737" spans="1:4" ht="15.75">
      <c r="A737" s="46" t="s">
        <v>1177</v>
      </c>
      <c r="B737" s="41"/>
      <c r="C737" s="40"/>
      <c r="D737" s="114"/>
    </row>
    <row r="738" spans="1:4" ht="15.75" outlineLevel="1">
      <c r="A738" s="40" t="s">
        <v>1070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1070</v>
      </c>
      <c r="B739" s="41" t="s">
        <v>1</v>
      </c>
      <c r="C739" s="40">
        <v>5.2</v>
      </c>
      <c r="D739" s="114"/>
    </row>
    <row r="740" spans="1:4" ht="15.75" outlineLevel="1">
      <c r="A740" s="40" t="s">
        <v>1070</v>
      </c>
      <c r="B740" s="41" t="s">
        <v>132</v>
      </c>
      <c r="C740" s="40">
        <v>5.18</v>
      </c>
      <c r="D740" s="114"/>
    </row>
    <row r="741" spans="1:4" ht="15.75" outlineLevel="1">
      <c r="A741" s="40" t="s">
        <v>1070</v>
      </c>
      <c r="B741" s="41" t="s">
        <v>133</v>
      </c>
      <c r="C741" s="40">
        <v>5.23</v>
      </c>
      <c r="D741" s="114"/>
    </row>
    <row r="742" spans="1:4" ht="15.75" outlineLevel="1">
      <c r="A742" s="40" t="s">
        <v>1070</v>
      </c>
      <c r="B742" s="41" t="s">
        <v>5</v>
      </c>
      <c r="C742" s="40">
        <v>5.26</v>
      </c>
      <c r="D742" s="114"/>
    </row>
    <row r="743" spans="1:4" ht="15.75" outlineLevel="1">
      <c r="A743" s="40" t="s">
        <v>1070</v>
      </c>
      <c r="B743" s="41" t="s">
        <v>6</v>
      </c>
      <c r="C743" s="40">
        <v>5.27</v>
      </c>
      <c r="D743" s="114"/>
    </row>
    <row r="744" spans="1:4" ht="15.75" outlineLevel="1">
      <c r="A744" s="40" t="s">
        <v>1070</v>
      </c>
      <c r="B744" s="41" t="s">
        <v>7</v>
      </c>
      <c r="C744" s="40">
        <v>5.28</v>
      </c>
      <c r="D744" s="114"/>
    </row>
    <row r="745" spans="1:4" ht="15.75" outlineLevel="1">
      <c r="A745" s="40" t="s">
        <v>1070</v>
      </c>
      <c r="B745" s="41" t="s">
        <v>126</v>
      </c>
      <c r="C745" s="40">
        <v>5.36</v>
      </c>
      <c r="D745" s="114"/>
    </row>
    <row r="746" spans="1:4" ht="15.75" outlineLevel="1">
      <c r="A746" s="40" t="s">
        <v>1070</v>
      </c>
      <c r="B746" s="41" t="s">
        <v>134</v>
      </c>
      <c r="C746" s="40">
        <v>5.44</v>
      </c>
      <c r="D746" s="114"/>
    </row>
    <row r="747" spans="1:4" ht="15.75" outlineLevel="1">
      <c r="A747" s="40" t="s">
        <v>1070</v>
      </c>
      <c r="B747" s="41" t="s">
        <v>11</v>
      </c>
      <c r="C747" s="40">
        <v>5.53</v>
      </c>
      <c r="D747" s="114"/>
    </row>
    <row r="748" spans="1:4" ht="15.75" outlineLevel="1">
      <c r="A748" s="40" t="s">
        <v>1070</v>
      </c>
      <c r="B748" s="41" t="s">
        <v>135</v>
      </c>
      <c r="C748" s="40">
        <v>5.1120000000000001</v>
      </c>
      <c r="D748" s="114"/>
    </row>
    <row r="749" spans="1:4" ht="15.75" outlineLevel="1">
      <c r="A749" s="40" t="s">
        <v>1070</v>
      </c>
      <c r="B749" s="41" t="s">
        <v>136</v>
      </c>
      <c r="C749" s="40">
        <v>5.59</v>
      </c>
      <c r="D749" s="114"/>
    </row>
    <row r="750" spans="1:4" ht="15.75" outlineLevel="1">
      <c r="A750" s="40" t="s">
        <v>1070</v>
      </c>
      <c r="B750" s="41" t="s">
        <v>18</v>
      </c>
      <c r="C750" s="40">
        <v>5.54</v>
      </c>
      <c r="D750" s="114"/>
    </row>
    <row r="751" spans="1:4" ht="15.75" outlineLevel="1">
      <c r="A751" s="40" t="s">
        <v>1070</v>
      </c>
      <c r="B751" s="41" t="s">
        <v>20</v>
      </c>
      <c r="C751" s="40">
        <v>5.63</v>
      </c>
      <c r="D751" s="114"/>
    </row>
    <row r="752" spans="1:4" ht="15.75" outlineLevel="1">
      <c r="A752" s="40" t="s">
        <v>1070</v>
      </c>
      <c r="B752" s="41" t="s">
        <v>21</v>
      </c>
      <c r="C752" s="40">
        <v>5.65</v>
      </c>
      <c r="D752" s="114"/>
    </row>
    <row r="753" spans="1:4" ht="15.75" outlineLevel="1">
      <c r="A753" s="40" t="s">
        <v>1070</v>
      </c>
      <c r="B753" s="41" t="s">
        <v>22</v>
      </c>
      <c r="C753" s="40">
        <v>5.68</v>
      </c>
      <c r="D753" s="114"/>
    </row>
    <row r="754" spans="1:4" ht="15.75" outlineLevel="1">
      <c r="A754" s="40" t="s">
        <v>1070</v>
      </c>
      <c r="B754" s="41" t="s">
        <v>24</v>
      </c>
      <c r="C754" s="40">
        <v>5.47</v>
      </c>
      <c r="D754" s="114"/>
    </row>
    <row r="755" spans="1:4" ht="15.75" outlineLevel="1">
      <c r="A755" s="40" t="s">
        <v>1070</v>
      </c>
      <c r="B755" s="41" t="s">
        <v>25</v>
      </c>
      <c r="C755" s="40">
        <v>5.48</v>
      </c>
      <c r="D755" s="114"/>
    </row>
    <row r="756" spans="1:4" ht="15.75">
      <c r="A756" s="46" t="s">
        <v>1070</v>
      </c>
      <c r="B756" s="41"/>
      <c r="C756" s="40"/>
      <c r="D756" s="114"/>
    </row>
    <row r="757" spans="1:4" ht="15.75" outlineLevel="1">
      <c r="A757" s="40" t="s">
        <v>1178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1178</v>
      </c>
      <c r="B758" s="41" t="s">
        <v>1</v>
      </c>
      <c r="C758" s="40">
        <v>5.2</v>
      </c>
      <c r="D758" s="114"/>
    </row>
    <row r="759" spans="1:4" ht="15.75" outlineLevel="1">
      <c r="A759" s="40" t="s">
        <v>1178</v>
      </c>
      <c r="B759" s="41" t="s">
        <v>121</v>
      </c>
      <c r="C759" s="40">
        <v>5.9</v>
      </c>
      <c r="D759" s="113" t="s">
        <v>1118</v>
      </c>
    </row>
    <row r="760" spans="1:4" ht="15.75" outlineLevel="1">
      <c r="A760" s="40" t="s">
        <v>1178</v>
      </c>
      <c r="B760" s="41" t="s">
        <v>122</v>
      </c>
      <c r="C760" s="40">
        <v>5.13</v>
      </c>
      <c r="D760" s="114"/>
    </row>
    <row r="761" spans="1:4" ht="15.75" outlineLevel="1">
      <c r="A761" s="40" t="s">
        <v>1178</v>
      </c>
      <c r="B761" s="41" t="s">
        <v>123</v>
      </c>
      <c r="C761" s="40">
        <v>5.16</v>
      </c>
      <c r="D761" s="113" t="s">
        <v>1118</v>
      </c>
    </row>
    <row r="762" spans="1:4" ht="15.75" outlineLevel="1">
      <c r="A762" s="40" t="s">
        <v>1178</v>
      </c>
      <c r="B762" s="41" t="s">
        <v>124</v>
      </c>
      <c r="C762" s="40">
        <v>5.22</v>
      </c>
      <c r="D762" s="113"/>
    </row>
    <row r="763" spans="1:4" ht="15.75" outlineLevel="1">
      <c r="A763" s="40" t="s">
        <v>1178</v>
      </c>
      <c r="B763" s="41" t="s">
        <v>125</v>
      </c>
      <c r="C763" s="40">
        <v>5.42</v>
      </c>
      <c r="D763" s="114"/>
    </row>
    <row r="764" spans="1:4" ht="15.75" outlineLevel="1">
      <c r="A764" s="40" t="s">
        <v>1178</v>
      </c>
      <c r="B764" s="41" t="s">
        <v>6</v>
      </c>
      <c r="C764" s="40">
        <v>5.27</v>
      </c>
      <c r="D764" s="114"/>
    </row>
    <row r="765" spans="1:4" ht="15.75" outlineLevel="1">
      <c r="A765" s="40" t="s">
        <v>1178</v>
      </c>
      <c r="B765" s="41" t="s">
        <v>7</v>
      </c>
      <c r="C765" s="40">
        <v>5.28</v>
      </c>
      <c r="D765" s="113" t="s">
        <v>1118</v>
      </c>
    </row>
    <row r="766" spans="1:4" ht="15.75" outlineLevel="1">
      <c r="A766" s="40" t="s">
        <v>1178</v>
      </c>
      <c r="B766" s="41" t="s">
        <v>126</v>
      </c>
      <c r="C766" s="40">
        <v>5.36</v>
      </c>
      <c r="D766" s="114"/>
    </row>
    <row r="767" spans="1:4" ht="15.75" outlineLevel="1">
      <c r="A767" s="40" t="s">
        <v>1178</v>
      </c>
      <c r="B767" s="41" t="s">
        <v>9</v>
      </c>
      <c r="C767" s="40">
        <v>5.49</v>
      </c>
      <c r="D767" s="114"/>
    </row>
    <row r="768" spans="1:4" ht="15.75" outlineLevel="1">
      <c r="A768" s="40" t="s">
        <v>1178</v>
      </c>
      <c r="B768" s="41" t="s">
        <v>10</v>
      </c>
      <c r="C768" s="40">
        <v>5.51</v>
      </c>
      <c r="D768" s="114"/>
    </row>
    <row r="769" spans="1:4" ht="15.75" outlineLevel="1">
      <c r="A769" s="40" t="s">
        <v>1178</v>
      </c>
      <c r="B769" s="41" t="s">
        <v>1167</v>
      </c>
      <c r="C769" s="40">
        <v>5.52</v>
      </c>
      <c r="D769" s="114"/>
    </row>
    <row r="770" spans="1:4" ht="15.75" outlineLevel="1">
      <c r="A770" s="40" t="s">
        <v>1178</v>
      </c>
      <c r="B770" s="41" t="s">
        <v>11</v>
      </c>
      <c r="C770" s="40">
        <v>5.53</v>
      </c>
      <c r="D770" s="114"/>
    </row>
    <row r="771" spans="1:4" ht="15.75" outlineLevel="1">
      <c r="A771" s="40" t="s">
        <v>1178</v>
      </c>
      <c r="B771" s="41" t="s">
        <v>18</v>
      </c>
      <c r="C771" s="40">
        <v>5.54</v>
      </c>
      <c r="D771" s="114"/>
    </row>
    <row r="772" spans="1:4" ht="15.75" outlineLevel="1">
      <c r="A772" s="40" t="s">
        <v>1178</v>
      </c>
      <c r="B772" s="41" t="s">
        <v>14</v>
      </c>
      <c r="C772" s="42">
        <v>5.7</v>
      </c>
      <c r="D772" s="114"/>
    </row>
    <row r="773" spans="1:4" ht="15.75" outlineLevel="1">
      <c r="A773" s="40" t="s">
        <v>1178</v>
      </c>
      <c r="B773" s="41" t="s">
        <v>128</v>
      </c>
      <c r="C773" s="40">
        <v>5.71</v>
      </c>
      <c r="D773" s="114"/>
    </row>
    <row r="774" spans="1:4" ht="15.75" outlineLevel="1">
      <c r="A774" s="40" t="s">
        <v>1178</v>
      </c>
      <c r="B774" s="41" t="s">
        <v>129</v>
      </c>
      <c r="C774" s="42">
        <v>5.9</v>
      </c>
      <c r="D774" s="114"/>
    </row>
    <row r="775" spans="1:4" ht="15.75" outlineLevel="1">
      <c r="A775" s="40" t="s">
        <v>1178</v>
      </c>
      <c r="B775" s="41" t="s">
        <v>130</v>
      </c>
      <c r="C775" s="40">
        <v>5.91</v>
      </c>
      <c r="D775" s="114"/>
    </row>
    <row r="776" spans="1:4" ht="15.75" outlineLevel="1">
      <c r="A776" s="40" t="s">
        <v>1178</v>
      </c>
      <c r="B776" s="41" t="s">
        <v>131</v>
      </c>
      <c r="C776" s="40">
        <v>5.97</v>
      </c>
      <c r="D776" s="114"/>
    </row>
    <row r="777" spans="1:4" ht="15.75">
      <c r="A777" s="46" t="s">
        <v>1178</v>
      </c>
      <c r="B777" s="41"/>
      <c r="C777" s="40"/>
      <c r="D777" s="114"/>
    </row>
    <row r="778" spans="1:4" ht="15.75" outlineLevel="1">
      <c r="A778" s="40" t="s">
        <v>1105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1105</v>
      </c>
      <c r="B779" s="41" t="s">
        <v>1</v>
      </c>
      <c r="C779" s="40">
        <v>5.2</v>
      </c>
      <c r="D779" s="114"/>
    </row>
    <row r="780" spans="1:4" ht="15.75" outlineLevel="1">
      <c r="A780" s="40" t="s">
        <v>1105</v>
      </c>
      <c r="B780" s="41" t="s">
        <v>5</v>
      </c>
      <c r="C780" s="40">
        <v>5.26</v>
      </c>
      <c r="D780" s="114"/>
    </row>
    <row r="781" spans="1:4" ht="15.75" outlineLevel="1">
      <c r="A781" s="40" t="s">
        <v>1105</v>
      </c>
      <c r="B781" s="41" t="s">
        <v>191</v>
      </c>
      <c r="C781" s="40">
        <v>5.5</v>
      </c>
      <c r="D781" s="114"/>
    </row>
    <row r="782" spans="1:4" ht="15.75" outlineLevel="1">
      <c r="A782" s="40" t="s">
        <v>1105</v>
      </c>
      <c r="B782" s="41" t="s">
        <v>192</v>
      </c>
      <c r="C782" s="40">
        <v>5.8</v>
      </c>
      <c r="D782" s="113" t="s">
        <v>1118</v>
      </c>
    </row>
    <row r="783" spans="1:4" ht="15.75" outlineLevel="1">
      <c r="A783" s="40" t="s">
        <v>1105</v>
      </c>
      <c r="B783" s="41" t="s">
        <v>193</v>
      </c>
      <c r="C783" s="40">
        <v>5.12</v>
      </c>
      <c r="D783" s="40"/>
    </row>
    <row r="784" spans="1:4" ht="15.75" outlineLevel="1">
      <c r="A784" s="40" t="s">
        <v>1105</v>
      </c>
      <c r="B784" s="41" t="s">
        <v>194</v>
      </c>
      <c r="C784" s="40">
        <v>5.15</v>
      </c>
      <c r="D784" s="40"/>
    </row>
    <row r="785" spans="1:4" ht="15.75" outlineLevel="1">
      <c r="A785" s="40" t="s">
        <v>1105</v>
      </c>
      <c r="B785" s="41" t="s">
        <v>195</v>
      </c>
      <c r="C785" s="42">
        <v>5.2</v>
      </c>
      <c r="D785" s="113"/>
    </row>
    <row r="786" spans="1:4" ht="15.75" outlineLevel="1">
      <c r="A786" s="40" t="s">
        <v>1105</v>
      </c>
      <c r="B786" s="41" t="s">
        <v>196</v>
      </c>
      <c r="C786" s="40">
        <v>5.25</v>
      </c>
      <c r="D786" s="40"/>
    </row>
    <row r="787" spans="1:4" ht="15.75" outlineLevel="1">
      <c r="A787" s="40" t="s">
        <v>1105</v>
      </c>
      <c r="B787" s="41" t="s">
        <v>11</v>
      </c>
      <c r="C787" s="40">
        <v>5.53</v>
      </c>
      <c r="D787" s="40"/>
    </row>
    <row r="788" spans="1:4" ht="15.75" outlineLevel="1">
      <c r="A788" s="40" t="s">
        <v>1105</v>
      </c>
      <c r="B788" s="41" t="s">
        <v>197</v>
      </c>
      <c r="C788" s="42">
        <v>5.4</v>
      </c>
      <c r="D788" s="40"/>
    </row>
    <row r="789" spans="1:4" ht="31.5" outlineLevel="1">
      <c r="A789" s="40" t="s">
        <v>1105</v>
      </c>
      <c r="B789" s="41" t="s">
        <v>198</v>
      </c>
      <c r="C789" s="40">
        <v>5.92</v>
      </c>
      <c r="D789" s="40"/>
    </row>
    <row r="790" spans="1:4" ht="15.75" outlineLevel="1">
      <c r="A790" s="40" t="s">
        <v>1105</v>
      </c>
      <c r="B790" s="41" t="s">
        <v>199</v>
      </c>
      <c r="C790" s="40">
        <v>5.93</v>
      </c>
      <c r="D790" s="40"/>
    </row>
    <row r="791" spans="1:4" ht="31.5" outlineLevel="1">
      <c r="A791" s="40" t="s">
        <v>1105</v>
      </c>
      <c r="B791" s="41" t="s">
        <v>200</v>
      </c>
      <c r="C791" s="40">
        <v>5.94</v>
      </c>
      <c r="D791" s="40"/>
    </row>
    <row r="792" spans="1:4" ht="15.75" outlineLevel="1">
      <c r="A792" s="40" t="s">
        <v>1105</v>
      </c>
      <c r="B792" s="41" t="s">
        <v>201</v>
      </c>
      <c r="C792" s="40">
        <v>5.95</v>
      </c>
      <c r="D792" s="40"/>
    </row>
    <row r="793" spans="1:4" ht="15.75" outlineLevel="1">
      <c r="A793" s="40" t="s">
        <v>1105</v>
      </c>
      <c r="B793" s="41" t="s">
        <v>202</v>
      </c>
      <c r="C793" s="40">
        <v>5.98</v>
      </c>
      <c r="D793" s="40"/>
    </row>
    <row r="794" spans="1:4" ht="15.75" outlineLevel="1">
      <c r="A794" s="40" t="s">
        <v>1105</v>
      </c>
      <c r="B794" s="41" t="s">
        <v>203</v>
      </c>
      <c r="C794" s="40">
        <v>5.96</v>
      </c>
      <c r="D794" s="40"/>
    </row>
    <row r="795" spans="1:4" ht="31.5">
      <c r="A795" s="46" t="s">
        <v>1105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1196</v>
      </c>
    </row>
    <row r="3" spans="1:2">
      <c r="A3" t="s">
        <v>1197</v>
      </c>
      <c r="B3" t="s">
        <v>1198</v>
      </c>
    </row>
    <row r="4" spans="1:2">
      <c r="A4" t="s">
        <v>178</v>
      </c>
      <c r="B4" t="s">
        <v>1199</v>
      </c>
    </row>
    <row r="5" spans="1:2">
      <c r="A5" t="s">
        <v>1200</v>
      </c>
      <c r="B5" t="s">
        <v>1201</v>
      </c>
    </row>
    <row r="6" spans="1:2">
      <c r="A6" t="s">
        <v>1202</v>
      </c>
      <c r="B6" t="s">
        <v>1203</v>
      </c>
    </row>
    <row r="7" spans="1:2">
      <c r="A7" t="s">
        <v>1204</v>
      </c>
      <c r="B7" t="s">
        <v>1205</v>
      </c>
    </row>
    <row r="8" spans="1:2">
      <c r="A8" t="s">
        <v>1206</v>
      </c>
      <c r="B8" t="s">
        <v>1207</v>
      </c>
    </row>
    <row r="10" spans="1:2" ht="15">
      <c r="A10" s="26" t="s">
        <v>1208</v>
      </c>
    </row>
    <row r="11" spans="1:2">
      <c r="A11" t="s">
        <v>1209</v>
      </c>
    </row>
    <row r="12" spans="1:2">
      <c r="A12" t="s">
        <v>1210</v>
      </c>
      <c r="B12" t="s">
        <v>1211</v>
      </c>
    </row>
    <row r="14" spans="1:2">
      <c r="A14" s="39"/>
    </row>
    <row r="15" spans="1:2" ht="15">
      <c r="A15" s="26" t="s">
        <v>1212</v>
      </c>
    </row>
    <row r="16" spans="1:2">
      <c r="A16" s="37" t="s">
        <v>1213</v>
      </c>
    </row>
    <row r="17" spans="1:2">
      <c r="A17" s="37" t="s">
        <v>1214</v>
      </c>
    </row>
    <row r="18" spans="1:2">
      <c r="A18" s="37" t="s">
        <v>1215</v>
      </c>
    </row>
    <row r="19" spans="1:2">
      <c r="A19" s="37" t="s">
        <v>1216</v>
      </c>
    </row>
    <row r="21" spans="1:2" ht="15">
      <c r="A21" s="38" t="s">
        <v>1217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1218</v>
      </c>
      <c r="B34" s="26" t="s">
        <v>313</v>
      </c>
    </row>
    <row r="35" spans="1:2">
      <c r="A35" s="18" t="s">
        <v>1219</v>
      </c>
      <c r="B35" s="45">
        <v>512310509</v>
      </c>
    </row>
    <row r="36" spans="1:2">
      <c r="A36" t="s">
        <v>1220</v>
      </c>
      <c r="B36" s="45">
        <v>513910703</v>
      </c>
    </row>
    <row r="37" spans="1:2">
      <c r="A37" t="s">
        <v>1221</v>
      </c>
      <c r="B37" s="45">
        <v>512304882</v>
      </c>
    </row>
    <row r="38" spans="1:2">
      <c r="A38" t="s">
        <v>1222</v>
      </c>
      <c r="B38" s="45">
        <v>520030677</v>
      </c>
    </row>
    <row r="39" spans="1:2">
      <c r="A39" t="s">
        <v>1223</v>
      </c>
      <c r="B39" s="45">
        <v>513621110</v>
      </c>
    </row>
    <row r="40" spans="1:2">
      <c r="A40" t="s">
        <v>1224</v>
      </c>
      <c r="B40" s="18">
        <v>513173393</v>
      </c>
    </row>
    <row r="41" spans="1:2">
      <c r="A41" t="s">
        <v>1225</v>
      </c>
      <c r="B41" s="18">
        <v>511880460</v>
      </c>
    </row>
    <row r="42" spans="1:2">
      <c r="A42" t="s">
        <v>1226</v>
      </c>
      <c r="B42" s="18">
        <v>510773922</v>
      </c>
    </row>
    <row r="43" spans="1:2">
      <c r="A43" t="s">
        <v>1227</v>
      </c>
      <c r="B43">
        <v>520021916</v>
      </c>
    </row>
    <row r="44" spans="1:2">
      <c r="A44" t="s">
        <v>1228</v>
      </c>
      <c r="B44">
        <v>520044025</v>
      </c>
    </row>
    <row r="45" spans="1:2">
      <c r="A45" t="s">
        <v>1229</v>
      </c>
      <c r="B45">
        <v>570003152</v>
      </c>
    </row>
    <row r="46" spans="1:2">
      <c r="A46" t="s">
        <v>1230</v>
      </c>
      <c r="B46" s="18">
        <v>520023094</v>
      </c>
    </row>
    <row r="47" spans="1:2">
      <c r="A47" t="s">
        <v>1231</v>
      </c>
      <c r="B47" s="18">
        <v>512711409</v>
      </c>
    </row>
    <row r="48" spans="1:2">
      <c r="A48" t="s">
        <v>1232</v>
      </c>
      <c r="B48">
        <v>515859379</v>
      </c>
    </row>
    <row r="49" spans="1:2">
      <c r="A49" t="s">
        <v>1233</v>
      </c>
      <c r="B49" s="18">
        <v>520030990</v>
      </c>
    </row>
    <row r="50" spans="1:2">
      <c r="A50" t="s">
        <v>1234</v>
      </c>
      <c r="B50" s="18">
        <v>520028812</v>
      </c>
    </row>
    <row r="51" spans="1:2">
      <c r="A51" t="s">
        <v>1235</v>
      </c>
      <c r="B51" s="18">
        <v>520034968</v>
      </c>
    </row>
    <row r="52" spans="1:2">
      <c r="A52" t="s">
        <v>1236</v>
      </c>
      <c r="B52" s="18">
        <v>520031824</v>
      </c>
    </row>
    <row r="53" spans="1:2">
      <c r="A53" t="s">
        <v>1237</v>
      </c>
      <c r="B53" s="18">
        <v>520005497</v>
      </c>
    </row>
    <row r="54" spans="1:2">
      <c r="A54" t="s">
        <v>1238</v>
      </c>
      <c r="B54" s="18">
        <v>520022518</v>
      </c>
    </row>
    <row r="55" spans="1:2">
      <c r="A55" t="s">
        <v>1239</v>
      </c>
      <c r="B55" s="18">
        <v>520028556</v>
      </c>
    </row>
    <row r="56" spans="1:2">
      <c r="A56" t="s">
        <v>1240</v>
      </c>
      <c r="B56" s="18">
        <v>520032269</v>
      </c>
    </row>
    <row r="57" spans="1:2">
      <c r="A57" t="s">
        <v>1241</v>
      </c>
      <c r="B57" s="18">
        <v>520027954</v>
      </c>
    </row>
    <row r="58" spans="1:2">
      <c r="A58" t="s">
        <v>1242</v>
      </c>
      <c r="B58">
        <v>520029620</v>
      </c>
    </row>
    <row r="59" spans="1:2">
      <c r="A59" t="s">
        <v>1243</v>
      </c>
      <c r="B59" s="18">
        <v>520028861</v>
      </c>
    </row>
    <row r="60" spans="1:2">
      <c r="A60" t="s">
        <v>1244</v>
      </c>
      <c r="B60" s="18">
        <v>520030743</v>
      </c>
    </row>
    <row r="61" spans="1:2">
      <c r="A61" t="s">
        <v>1245</v>
      </c>
      <c r="B61">
        <v>520042177</v>
      </c>
    </row>
    <row r="62" spans="1:2">
      <c r="A62" t="s">
        <v>1246</v>
      </c>
      <c r="B62" s="18">
        <v>515447035</v>
      </c>
    </row>
    <row r="63" spans="1:2">
      <c r="A63" t="s">
        <v>1247</v>
      </c>
      <c r="B63" s="18">
        <v>520042607</v>
      </c>
    </row>
    <row r="64" spans="1:2">
      <c r="A64" t="s">
        <v>1248</v>
      </c>
      <c r="B64" s="18">
        <v>513026484</v>
      </c>
    </row>
    <row r="65" spans="1:2">
      <c r="A65" t="s">
        <v>1249</v>
      </c>
      <c r="B65">
        <v>520023185</v>
      </c>
    </row>
    <row r="66" spans="1:2">
      <c r="A66" t="s">
        <v>1250</v>
      </c>
      <c r="B66">
        <v>520004078</v>
      </c>
    </row>
    <row r="67" spans="1:2">
      <c r="A67" t="s">
        <v>1251</v>
      </c>
      <c r="B67" s="18">
        <v>512267592</v>
      </c>
    </row>
    <row r="68" spans="1:2">
      <c r="A68" t="s">
        <v>1252</v>
      </c>
      <c r="B68">
        <v>515764868</v>
      </c>
    </row>
    <row r="69" spans="1:2">
      <c r="A69" t="s">
        <v>1253</v>
      </c>
      <c r="B69" s="18">
        <v>513452003</v>
      </c>
    </row>
    <row r="70" spans="1:2">
      <c r="A70" t="s">
        <v>1254</v>
      </c>
      <c r="B70" s="18">
        <v>510142789</v>
      </c>
    </row>
    <row r="71" spans="1:2">
      <c r="A71" t="s">
        <v>1255</v>
      </c>
      <c r="B71" s="18">
        <v>510960586</v>
      </c>
    </row>
    <row r="72" spans="1:2">
      <c r="A72" t="s">
        <v>1256</v>
      </c>
      <c r="B72" s="18">
        <v>510930670</v>
      </c>
    </row>
    <row r="73" spans="1:2">
      <c r="A73" t="s">
        <v>1257</v>
      </c>
      <c r="B73" s="18">
        <v>510927536</v>
      </c>
    </row>
    <row r="74" spans="1:2">
      <c r="A74" t="s">
        <v>1258</v>
      </c>
      <c r="B74" s="18">
        <v>510930654</v>
      </c>
    </row>
    <row r="75" spans="1:2">
      <c r="A75" t="s">
        <v>1259</v>
      </c>
      <c r="B75" s="18">
        <v>520032566</v>
      </c>
    </row>
    <row r="76" spans="1:2">
      <c r="A76" t="s">
        <v>1260</v>
      </c>
      <c r="B76" s="18">
        <v>513611509</v>
      </c>
    </row>
    <row r="77" spans="1:2">
      <c r="A77" t="s">
        <v>1261</v>
      </c>
      <c r="B77">
        <v>510888985</v>
      </c>
    </row>
    <row r="78" spans="1:2">
      <c r="A78" t="s">
        <v>1262</v>
      </c>
      <c r="B78">
        <v>520024647</v>
      </c>
    </row>
    <row r="79" spans="1:2">
      <c r="A79" t="s">
        <v>1263</v>
      </c>
      <c r="B79" s="18">
        <v>512244146</v>
      </c>
    </row>
    <row r="80" spans="1:2">
      <c r="A80" t="s">
        <v>1264</v>
      </c>
      <c r="B80" s="18">
        <v>510694821</v>
      </c>
    </row>
    <row r="81" spans="1:2">
      <c r="A81" t="s">
        <v>1265</v>
      </c>
      <c r="B81">
        <v>515761625</v>
      </c>
    </row>
    <row r="82" spans="1:2">
      <c r="A82" t="s">
        <v>1266</v>
      </c>
      <c r="B82" s="18">
        <v>511423048</v>
      </c>
    </row>
    <row r="83" spans="1:2">
      <c r="A83" t="s">
        <v>1267</v>
      </c>
      <c r="B83" s="18">
        <v>520019688</v>
      </c>
    </row>
    <row r="84" spans="1:2">
      <c r="A84" t="s">
        <v>1268</v>
      </c>
      <c r="B84">
        <v>520004896</v>
      </c>
    </row>
    <row r="85" spans="1:2">
      <c r="A85" t="s">
        <v>1269</v>
      </c>
      <c r="B85" s="18">
        <v>512237744</v>
      </c>
    </row>
    <row r="86" spans="1:2">
      <c r="A86" t="s">
        <v>1270</v>
      </c>
      <c r="B86" s="18">
        <v>514956465</v>
      </c>
    </row>
    <row r="87" spans="1:2">
      <c r="A87" t="s">
        <v>1271</v>
      </c>
      <c r="B87" s="18">
        <v>512362914</v>
      </c>
    </row>
    <row r="88" spans="1:2">
      <c r="A88" t="s">
        <v>1272</v>
      </c>
      <c r="B88" s="18">
        <v>520042615</v>
      </c>
    </row>
    <row r="89" spans="1:2">
      <c r="A89" t="s">
        <v>1273</v>
      </c>
      <c r="B89" s="18">
        <v>512065202</v>
      </c>
    </row>
    <row r="90" spans="1:2">
      <c r="A90" t="s">
        <v>1274</v>
      </c>
      <c r="B90">
        <v>520042540</v>
      </c>
    </row>
    <row r="91" spans="1:2">
      <c r="A91" t="s">
        <v>1275</v>
      </c>
      <c r="B91" s="18">
        <v>520027715</v>
      </c>
    </row>
    <row r="92" spans="1:2">
      <c r="A92" t="s">
        <v>1276</v>
      </c>
      <c r="B92" s="18">
        <v>512245812</v>
      </c>
    </row>
    <row r="93" spans="1:2">
      <c r="A93" t="s">
        <v>1277</v>
      </c>
      <c r="B93" s="18">
        <v>520022351</v>
      </c>
    </row>
    <row r="94" spans="1:2">
      <c r="A94" t="s">
        <v>1278</v>
      </c>
      <c r="B94" s="18">
        <v>514767490</v>
      </c>
    </row>
    <row r="95" spans="1:2">
      <c r="A95" t="s">
        <v>1279</v>
      </c>
      <c r="B95" s="18">
        <v>520024985</v>
      </c>
    </row>
    <row r="96" spans="1:2">
      <c r="A96" t="s">
        <v>1280</v>
      </c>
      <c r="B96" s="18">
        <v>520042573</v>
      </c>
    </row>
    <row r="97" spans="1:2">
      <c r="A97" t="s">
        <v>1281</v>
      </c>
      <c r="B97" s="18">
        <v>570009449</v>
      </c>
    </row>
    <row r="98" spans="1:2">
      <c r="A98" t="s">
        <v>1282</v>
      </c>
      <c r="B98" s="18">
        <v>520031659</v>
      </c>
    </row>
    <row r="99" spans="1:2">
      <c r="A99" t="s">
        <v>1283</v>
      </c>
      <c r="B99" s="18">
        <v>520042581</v>
      </c>
    </row>
    <row r="100" spans="1:2">
      <c r="A100" t="s">
        <v>1284</v>
      </c>
      <c r="B100">
        <v>520031030</v>
      </c>
    </row>
    <row r="101" spans="1:2">
      <c r="A101" t="s">
        <v>1285</v>
      </c>
      <c r="B101" s="18">
        <v>520030941</v>
      </c>
    </row>
    <row r="102" spans="1:2">
      <c r="A102" t="s">
        <v>1286</v>
      </c>
      <c r="B102" s="18">
        <v>512008335</v>
      </c>
    </row>
    <row r="103" spans="1:2">
      <c r="A103" t="s">
        <v>1287</v>
      </c>
      <c r="B103" s="18">
        <v>520022963</v>
      </c>
    </row>
    <row r="104" spans="1:2">
      <c r="A104" t="s">
        <v>1288</v>
      </c>
      <c r="B104" s="18">
        <v>570011767</v>
      </c>
    </row>
    <row r="105" spans="1:2">
      <c r="A105" t="s">
        <v>1289</v>
      </c>
      <c r="B105" s="18">
        <v>570014928</v>
      </c>
    </row>
    <row r="106" spans="1:2">
      <c r="A106" t="s">
        <v>1290</v>
      </c>
      <c r="B106" s="18">
        <v>570005959</v>
      </c>
    </row>
    <row r="107" spans="1:2">
      <c r="A107" t="s">
        <v>1291</v>
      </c>
      <c r="B107" s="18">
        <v>510800402</v>
      </c>
    </row>
    <row r="108" spans="1:2">
      <c r="A108" t="s">
        <v>1292</v>
      </c>
      <c r="B108" s="18">
        <v>570007476</v>
      </c>
    </row>
    <row r="109" spans="1:2">
      <c r="A109" t="s">
        <v>1293</v>
      </c>
      <c r="B109" s="18">
        <v>570005850</v>
      </c>
    </row>
    <row r="110" spans="1:2">
      <c r="A110" t="s">
        <v>1294</v>
      </c>
      <c r="B110" s="18">
        <v>520020504</v>
      </c>
    </row>
    <row r="111" spans="1:2">
      <c r="A111" t="s">
        <v>1295</v>
      </c>
      <c r="B111" s="18">
        <v>520020447</v>
      </c>
    </row>
    <row r="112" spans="1:2">
      <c r="A112" t="s">
        <v>1296</v>
      </c>
      <c r="B112" s="18">
        <v>511033060</v>
      </c>
    </row>
    <row r="113" spans="1:2">
      <c r="A113" t="s">
        <v>1297</v>
      </c>
      <c r="B113">
        <v>520027848</v>
      </c>
    </row>
    <row r="114" spans="1:2">
      <c r="A114" t="s">
        <v>1298</v>
      </c>
      <c r="B114" s="18">
        <v>570009852</v>
      </c>
    </row>
    <row r="115" spans="1:2">
      <c r="A115" t="s">
        <v>1299</v>
      </c>
      <c r="B115" s="18">
        <v>520027251</v>
      </c>
    </row>
    <row r="116" spans="1:2">
      <c r="A116" t="s">
        <v>1300</v>
      </c>
      <c r="B116" s="18">
        <v>520028390</v>
      </c>
    </row>
    <row r="117" spans="1:2">
      <c r="A117" t="s">
        <v>1301</v>
      </c>
      <c r="B117" s="18">
        <v>510806870</v>
      </c>
    </row>
    <row r="118" spans="1:2">
      <c r="A118" t="s">
        <v>1302</v>
      </c>
      <c r="B118">
        <v>513879189</v>
      </c>
    </row>
    <row r="119" spans="1:2">
      <c r="A119" t="s">
        <v>1303</v>
      </c>
      <c r="B119">
        <v>510015951</v>
      </c>
    </row>
    <row r="120" spans="1:2">
      <c r="A120" t="s">
        <v>1304</v>
      </c>
      <c r="B120" s="18">
        <v>520030693</v>
      </c>
    </row>
    <row r="121" spans="1:2">
      <c r="A121" t="s">
        <v>1305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Rozental Sapir</cp:lastModifiedBy>
  <cp:lastPrinted>2022-08-08T09:16:18Z</cp:lastPrinted>
  <dcterms:created xsi:type="dcterms:W3CDTF">2021-05-03T04:41:48Z</dcterms:created>
  <dcterms:modified xsi:type="dcterms:W3CDTF">2024-11-25T09:24:16Z</dcterms:modified>
</cp:coreProperties>
</file>