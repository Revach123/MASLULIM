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שליחה שניה אותות\"/>
    </mc:Choice>
  </mc:AlternateContent>
  <xr:revisionPtr revIDLastSave="0" documentId="13_ncr:1_{B8336D06-80F7-43C3-8287-0ED4738FF4B3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9" i="2" l="1"/>
  <c r="B27" i="2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<sst xmlns="http://schemas.openxmlformats.org/spreadsheetml/2006/main" count="5048" uniqueCount="1360">
  <si>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</si>
  <si>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</si>
  <si>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</si>
  <si>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</si>
  <si>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</si>
  <si>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</si>
  <si>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</si>
  <si>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</si>
  <si>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</si>
  <si>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</si>
  <si>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</si>
  <si>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</si>
  <si>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</si>
  <si>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</si>
  <si>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</si>
  <si>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</si>
  <si>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</si>
  <si>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</si>
  <si>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</si>
  <si>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</si>
  <si>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</si>
  <si>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</si>
  <si>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</si>
  <si>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</si>
  <si>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</si>
  <si>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</si>
  <si>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</si>
  <si>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</si>
  <si>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</si>
  <si>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</si>
  <si>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</si>
  <si>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</si>
  <si>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</si>
  <si>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</si>
  <si>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</si>
  <si>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</si>
  <si>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</si>
  <si>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</si>
  <si>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</si>
  <si>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</si>
  <si>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</si>
  <si>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</si>
  <si>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</si>
  <si>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</si>
  <si>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</si>
  <si>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</si>
  <si>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</si>
  <si>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</si>
  <si>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</si>
  <si>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</si>
  <si>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</si>
  <si>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</si>
  <si>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</si>
  <si>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</si>
  <si>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</si>
  <si>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</si>
  <si>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</si>
  <si>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</si>
  <si>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</si>
  <si>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</si>
  <si>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</si>
  <si>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</si>
  <si>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</si>
  <si>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</si>
  <si>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</si>
  <si>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</si>
  <si>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</si>
  <si>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</si>
  <si>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</si>
  <si>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</si>
  <si>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</si>
  <si>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</si>
  <si>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</si>
  <si>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</si>
  <si>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</si>
  <si>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</si>
  <si>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</si>
  <si>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</si>
  <si>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</si>
  <si>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</si>
  <si>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</si>
  <si>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</si>
  <si>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</si>
  <si>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</si>
  <si>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</si>
  <si>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</si>
  <si>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</si>
  <si>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</si>
  <si>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</si>
  <si>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</si>
  <si>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</si>
  <si>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</si>
  <si>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</si>
  <si>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</si>
  <si>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</si>
  <si>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</si>
  <si>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</si>
  <si>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</si>
  <si>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</si>
  <si>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</si>
  <si>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</si>
  <si>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</si>
  <si>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</si>
  <si>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</si>
  <si>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</si>
  <si>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</si>
  <si>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</si>
  <si>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</si>
  <si>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</si>
  <si>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</si>
  <si>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</si>
  <si>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</si>
  <si>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</si>
  <si>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</si>
  <si>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</si>
  <si>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</si>
  <si>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</si>
  <si>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</si>
  <si>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</si>
  <si>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</si>
  <si>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</si>
  <si>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</si>
  <si>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</si>
  <si>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</si>
  <si>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</si>
  <si>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</si>
  <si>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</si>
  <si>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</si>
  <si>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</si>
  <si>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</si>
  <si>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</si>
  <si>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</si>
  <si>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</si>
  <si>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</si>
  <si>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</si>
  <si>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</si>
  <si>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</si>
  <si>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</si>
  <si>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</si>
  <si>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</si>
  <si>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</si>
  <si>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</si>
  <si>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</si>
  <si>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</si>
  <si>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</si>
  <si>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</si>
  <si>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</si>
  <si>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</si>
  <si>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</si>
  <si>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</si>
  <si>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</si>
  <si>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</si>
  <si>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</si>
  <si>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</si>
  <si>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</si>
  <si>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</si>
  <si>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</si>
  <si>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</si>
  <si>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</si>
  <si>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</si>
  <si>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</si>
  <si>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</si>
  <si>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</si>
  <si>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</si>
  <si>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</si>
  <si>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</si>
  <si>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</si>
  <si>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</si>
  <si>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</si>
  <si>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</si>
  <si>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</si>
  <si>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</si>
  <si>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</si>
  <si>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</si>
  <si>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</si>
  <si>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</si>
  <si>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</si>
  <si>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</si>
  <si>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</si>
  <si>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</si>
  <si>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</si>
  <si>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</si>
  <si>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</si>
  <si>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</si>
  <si>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</si>
  <si>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</si>
  <si>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</si>
  <si>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</si>
  <si>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</si>
  <si>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</si>
  <si>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</si>
  <si>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</si>
  <si>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</si>
  <si>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</si>
  <si>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</si>
  <si>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</si>
  <si>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</si>
  <si>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</si>
  <si>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</si>
  <si>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</si>
  <si>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</si>
  <si>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</si>
  <si>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</si>
  <si>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</si>
  <si>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</si>
  <si>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</si>
  <si>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</si>
  <si>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</si>
  <si>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</si>
  <si>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</si>
  <si>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</si>
  <si>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</si>
  <si>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</si>
  <si>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</si>
  <si>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</si>
  <si>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</si>
  <si>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</si>
  <si>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</si>
  <si>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</si>
  <si>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</si>
  <si>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</si>
  <si>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</si>
  <si>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</si>
  <si>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</si>
  <si>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</si>
  <si>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</si>
  <si>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</si>
  <si>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</si>
  <si>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</si>
  <si>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</si>
  <si>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</si>
  <si>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</si>
  <si>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</si>
  <si>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</si>
  <si>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</si>
  <si>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</si>
  <si>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</si>
  <si>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</si>
  <si>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</si>
  <si>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</si>
  <si>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</si>
  <si>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</si>
  <si>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</si>
  <si>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</si>
  <si>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</si>
  <si>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</si>
  <si>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</si>
  <si>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</si>
  <si>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</si>
  <si>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</si>
  <si>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</si>
  <si>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</si>
  <si>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</si>
  <si>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</si>
  <si>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</si>
  <si>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</si>
  <si>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</si>
  <si>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</si>
  <si>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</si>
  <si>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</si>
  <si>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</si>
  <si>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</si>
  <si>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</si>
  <si>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</si>
  <si>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</si>
  <si>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</si>
  <si>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</si>
  <si>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</si>
  <si>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</si>
  <si>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</si>
  <si>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</si>
  <si>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</si>
  <si>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</si>
  <si>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</si>
  <si>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</si>
  <si>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</si>
  <si>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</si>
  <si>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</si>
  <si>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</si>
  <si>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</si>
  <si>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</si>
  <si>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</si>
  <si>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</si>
  <si>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</si>
  <si>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</si>
  <si>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</si>
  <si>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</si>
  <si>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</si>
  <si>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</si>
  <si>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</si>
  <si>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</si>
  <si>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</si>
  <si>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</si>
  <si>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</si>
  <si>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</si>
  <si>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</si>
  <si>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</si>
  <si>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</si>
  <si>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</si>
  <si>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</si>
  <si>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</si>
  <si>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</si>
  <si>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</si>
  <si>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</si>
  <si>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</si>
  <si>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</si>
  <si>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</si>
  <si>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</si>
  <si>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</si>
  <si>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</si>
  <si>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</si>
  <si>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</si>
  <si>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</si>
  <si>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</si>
  <si>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</si>
  <si>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</si>
  <si>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</si>
  <si>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</si>
  <si>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</si>
  <si>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</si>
  <si>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</si>
  <si>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</si>
  <si>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</si>
  <si>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</si>
  <si>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</si>
  <si>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</si>
  <si>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</si>
  <si>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</si>
  <si>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</si>
  <si>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</si>
  <si>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</si>
  <si>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</si>
  <si>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</si>
  <si>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</si>
  <si>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</si>
  <si>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</si>
  <si>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</si>
  <si>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</si>
  <si>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</si>
  <si>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</si>
  <si>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</si>
  <si>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</si>
  <si>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</si>
  <si>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</si>
  <si>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</si>
  <si>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</si>
  <si>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</si>
  <si>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</si>
  <si>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</si>
  <si>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</si>
  <si>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</si>
  <si>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</si>
  <si>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</si>
  <si>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</si>
  <si>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</si>
  <si>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</si>
  <si>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</si>
  <si>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</si>
  <si>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</si>
  <si>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</si>
  <si>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</si>
  <si>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</si>
  <si>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</si>
  <si>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</si>
  <si>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</si>
  <si>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</si>
  <si>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</si>
  <si>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</si>
  <si>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</si>
  <si>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</si>
  <si>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</si>
  <si>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</si>
  <si>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</si>
  <si>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</si>
  <si>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</si>
  <si>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</si>
  <si>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</si>
  <si>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</si>
  <si>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</si>
  <si>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</si>
  <si>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</si>
  <si>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</si>
  <si>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</si>
  <si>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</si>
  <si>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</si>
  <si>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</si>
  <si>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</si>
  <si>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</si>
  <si>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</si>
  <si>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</si>
  <si>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</si>
  <si>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</si>
  <si>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</si>
  <si>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</si>
  <si>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</si>
  <si>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</si>
  <si>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</si>
  <si>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</si>
  <si>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</si>
  <si>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</si>
  <si>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</si>
  <si>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</si>
  <si>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</si>
  <si>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</si>
  <si>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</si>
  <si>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</si>
  <si>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</si>
  <si>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</si>
  <si>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</si>
  <si>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</si>
  <si>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</si>
  <si>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</si>
  <si>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</si>
  <si>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</si>
  <si>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</si>
  <si>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</si>
  <si>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</si>
  <si>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</si>
  <si>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</si>
  <si>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</si>
  <si>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</si>
  <si>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</si>
  <si>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</si>
  <si>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</si>
  <si>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</si>
  <si>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</si>
  <si>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</si>
  <si>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</si>
  <si>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</si>
  <si>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</si>
  <si>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</si>
  <si>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</si>
  <si>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</si>
  <si>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</si>
  <si>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</si>
  <si>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</si>
  <si>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</si>
  <si>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</si>
  <si>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</si>
  <si>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</si>
  <si>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</si>
  <si>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</si>
  <si>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</si>
  <si>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</si>
  <si>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</si>
  <si>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</si>
  <si>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</si>
  <si>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</si>
  <si>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</si>
  <si>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</si>
  <si>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</si>
  <si>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</si>
  <si>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</si>
  <si>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</si>
  <si>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</si>
  <si>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</si>
  <si>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</si>
  <si>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</si>
  <si>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</si>
  <si>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</si>
  <si>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</si>
  <si>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</si>
  <si>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</si>
  <si>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</si>
  <si>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</si>
  <si>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</si>
  <si>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</si>
  <si>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</si>
  <si>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</si>
  <si>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</si>
  <si>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</si>
  <si>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</si>
  <si>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</si>
  <si>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</si>
  <si>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</si>
  <si>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</si>
  <si>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</si>
  <si>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</si>
  <si>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</si>
  <si>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</si>
  <si>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</si>
  <si>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</si>
  <si>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</si>
  <si>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</si>
  <si>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</si>
  <si>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</si>
  <si>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</si>
  <si>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</si>
  <si>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</si>
  <si>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</si>
  <si>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</si>
  <si>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</si>
  <si>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</si>
  <si>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</si>
  <si>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</si>
  <si>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</si>
  <si>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</si>
  <si>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</si>
  <si>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</si>
  <si>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</si>
  <si>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</si>
  <si>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</si>
  <si>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</si>
  <si>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</si>
  <si>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</si>
  <si>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</si>
  <si>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</si>
  <si>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</si>
  <si>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</si>
  <si>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</si>
  <si>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</si>
  <si>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</si>
  <si>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</si>
  <si>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</si>
  <si>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</si>
  <si>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</si>
  <si>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</si>
  <si>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</si>
  <si>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</si>
  <si>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</si>
  <si>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</si>
  <si>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</si>
  <si>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</si>
  <si>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</si>
  <si>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</si>
  <si>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</si>
  <si>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</si>
  <si>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</si>
  <si>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</si>
  <si>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</si>
  <si>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</si>
  <si>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</si>
  <si>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</si>
  <si>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</si>
  <si>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</si>
  <si>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</si>
  <si>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</si>
  <si>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</si>
  <si>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</si>
  <si>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</si>
  <si>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</si>
  <si>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</si>
  <si>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</si>
  <si>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</si>
  <si>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</si>
  <si>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</si>
  <si>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</si>
  <si>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</si>
  <si>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</si>
  <si>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</si>
  <si>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</si>
  <si>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</si>
  <si>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</si>
  <si>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</si>
  <si>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</si>
  <si>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</si>
  <si>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</si>
  <si>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</si>
  <si>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</si>
  <si>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</si>
  <si>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</si>
  <si>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</si>
  <si>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</si>
  <si>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</si>
  <si>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</si>
  <si>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</si>
  <si>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</si>
  <si>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</si>
  <si>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</si>
  <si>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</si>
  <si>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</si>
  <si>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</si>
  <si>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</si>
  <si>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</si>
  <si>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</si>
  <si>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</si>
  <si>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</si>
  <si>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</si>
  <si>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</si>
  <si>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</si>
  <si>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</si>
  <si>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</si>
  <si>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</si>
  <si>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</si>
  <si>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</si>
  <si>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</si>
  <si>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</si>
  <si>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</si>
  <si>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</si>
  <si>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</si>
  <si>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</si>
  <si>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</si>
  <si>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</si>
  <si>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</si>
  <si>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</si>
  <si>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</si>
  <si>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</si>
  <si>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</si>
  <si>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</si>
  <si>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</si>
  <si>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</si>
  <si>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</si>
  <si>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</si>
  <si>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</si>
  <si>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</si>
  <si>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</si>
  <si>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</si>
  <si>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</si>
  <si>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</si>
  <si>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</si>
  <si>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</si>
  <si>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</si>
  <si>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</si>
  <si>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</si>
  <si>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</si>
  <si>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</si>
  <si>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</si>
  <si>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</si>
  <si>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</si>
  <si>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</si>
  <si>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</si>
  <si>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</si>
  <si>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</si>
  <si>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</si>
  <si>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</si>
  <si>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</si>
  <si>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</si>
  <si>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</si>
  <si>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</si>
  <si>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</si>
  <si>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</si>
  <si>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</si>
  <si>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</si>
  <si>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</si>
  <si>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</si>
  <si>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</si>
  <si>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</si>
  <si>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</si>
  <si>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</si>
  <si>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</si>
  <si>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</si>
  <si>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</si>
  <si>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</si>
  <si>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</si>
  <si>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</si>
  <si>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</si>
  <si>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</si>
  <si>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</si>
  <si>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</si>
  <si>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</si>
  <si>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</si>
  <si>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</si>
  <si>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</si>
  <si>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</si>
  <si>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</si>
  <si>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</si>
  <si>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</si>
  <si>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</si>
  <si>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</si>
  <si>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</si>
  <si>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</si>
  <si>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</si>
  <si>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</si>
  <si>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</si>
  <si>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</si>
  <si>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</si>
  <si>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</si>
  <si>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</si>
  <si>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</si>
  <si>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</si>
  <si>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</si>
  <si>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</si>
  <si>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</si>
  <si>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</si>
  <si>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</si>
  <si>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</si>
  <si>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</si>
  <si>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</si>
  <si>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</si>
  <si>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</si>
  <si>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</si>
  <si>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</si>
  <si>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</si>
  <si>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</si>
  <si>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</si>
  <si>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</si>
  <si>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</si>
  <si>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</si>
  <si>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</si>
  <si>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</si>
  <si>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</si>
  <si>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</si>
  <si>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</si>
  <si>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</si>
  <si>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</si>
  <si>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</si>
  <si>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</si>
  <si>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</si>
  <si>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</si>
  <si>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</si>
  <si>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</si>
  <si>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</si>
  <si>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</si>
  <si>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</si>
  <si>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</si>
  <si>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</si>
  <si>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</si>
  <si>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</si>
  <si>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</si>
  <si>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</si>
  <si>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</si>
  <si>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</si>
  <si>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</si>
  <si>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</si>
  <si>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</si>
  <si>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</si>
  <si>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</si>
  <si>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</si>
  <si>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</si>
  <si>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</si>
  <si>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</si>
  <si>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</si>
  <si>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</si>
  <si>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</si>
  <si>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</si>
  <si>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</si>
  <si>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</si>
  <si>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</si>
  <si>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</si>
  <si>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</si>
  <si>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</si>
  <si>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</si>
  <si>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</si>
  <si>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</si>
  <si>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</si>
  <si>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</si>
  <si>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</si>
  <si>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</si>
  <si>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</si>
  <si>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</si>
  <si>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</si>
  <si>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</si>
  <si>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</si>
  <si>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</si>
  <si>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</si>
  <si>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</si>
  <si>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</si>
  <si>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</si>
  <si>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</si>
  <si>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</si>
  <si>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</si>
  <si>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</si>
  <si>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</si>
  <si>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</si>
  <si>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</si>
  <si>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</si>
  <si>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</si>
  <si>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</si>
  <si>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</si>
  <si>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</si>
  <si>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</si>
  <si>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</si>
  <si>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</si>
  <si>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</si>
  <si>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</si>
  <si>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</si>
  <si>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</si>
  <si>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</si>
  <si>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</si>
  <si>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</si>
  <si>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</si>
  <si>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</si>
  <si>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</si>
  <si>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</si>
  <si>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</si>
  <si>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</si>
  <si>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</si>
  <si>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</si>
  <si>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</si>
  <si>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</si>
  <si>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</si>
  <si>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</si>
  <si>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</si>
  <si>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</si>
  <si>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</si>
  <si>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</si>
  <si>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</si>
  <si>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</si>
  <si>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</si>
  <si>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</si>
  <si>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</si>
  <si>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</si>
  <si>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</si>
  <si>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</si>
  <si>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</si>
  <si>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</si>
  <si>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</si>
  <si>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</si>
  <si>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</si>
  <si>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</si>
  <si>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</si>
  <si>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</si>
  <si>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</si>
  <si>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</si>
  <si>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</si>
  <si>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</si>
  <si>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</si>
  <si>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</si>
  <si>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</si>
  <si>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</si>
  <si>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</si>
  <si>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</si>
  <si>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</si>
  <si>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</si>
  <si>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</si>
  <si>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</si>
  <si>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</si>
  <si>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</si>
  <si>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</si>
  <si>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</si>
  <si>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</si>
  <si>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</si>
  <si>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</si>
  <si>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</si>
  <si>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</si>
  <si>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</si>
  <si>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</si>
  <si>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</si>
  <si>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</si>
  <si>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</si>
  <si>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</si>
  <si>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</si>
  <si>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</si>
  <si>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</si>
  <si>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</si>
  <si>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</si>
  <si>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</si>
  <si>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</si>
  <si>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</si>
  <si>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</si>
  <si>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</si>
  <si>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</si>
  <si>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</si>
  <si>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</si>
  <si>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</si>
  <si>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</si>
  <si>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</si>
  <si>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</si>
  <si>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</si>
  <si>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</si>
  <si>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</si>
  <si>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</si>
  <si>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</si>
  <si>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</si>
  <si>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</si>
  <si>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</si>
  <si>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</si>
  <si>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</si>
  <si>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</si>
  <si>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</si>
  <si>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</si>
  <si>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</si>
  <si>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</si>
  <si>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</si>
  <si>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</si>
  <si>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</si>
  <si>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</si>
  <si>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</si>
  <si>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</si>
  <si>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</si>
  <si>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</si>
  <si>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</si>
  <si>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</si>
  <si>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</si>
  <si>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</si>
  <si>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</si>
  <si>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</si>
  <si>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</si>
  <si>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</si>
  <si>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</si>
  <si>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</si>
  <si>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</si>
  <si>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</si>
  <si>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</si>
  <si>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</si>
  <si>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</si>
  <si>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</si>
  <si>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</si>
  <si>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</si>
  <si>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</si>
  <si>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</si>
  <si>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</si>
  <si>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</si>
  <si>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</si>
  <si>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</si>
  <si>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</si>
  <si>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</si>
  <si>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</si>
  <si>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</si>
  <si>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</si>
  <si>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</si>
  <si>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</si>
  <si>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</si>
  <si>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</si>
  <si>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</si>
  <si>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</si>
  <si>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</si>
  <si>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</si>
  <si>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</si>
  <si>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</si>
  <si>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</si>
  <si>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</si>
  <si>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</si>
  <si>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</si>
  <si>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</si>
  <si>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</si>
  <si>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</si>
  <si>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</si>
  <si>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</si>
  <si>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</si>
  <si>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</si>
  <si>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</si>
  <si>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</si>
  <si>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</si>
  <si>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</si>
  <si>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</si>
  <si>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</si>
  <si>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</si>
  <si>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</si>
  <si>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</si>
  <si>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</si>
  <si>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</si>
  <si>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</si>
  <si>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</si>
  <si>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</si>
  <si>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</si>
  <si>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</si>
  <si>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</si>
  <si>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</si>
  <si>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</si>
  <si>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</si>
  <si>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</si>
  <si>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</si>
  <si>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</si>
  <si>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</si>
  <si>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</si>
  <si>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</si>
  <si>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</si>
  <si>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</si>
  <si>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</si>
  <si>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</si>
  <si>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</si>
  <si>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</si>
  <si>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</si>
  <si>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</si>
  <si>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</si>
  <si>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</si>
  <si>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</si>
  <si>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</si>
  <si>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</si>
  <si>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</si>
  <si>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</si>
  <si>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</si>
  <si>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</si>
  <si>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</si>
  <si>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</si>
  <si>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</si>
  <si>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</si>
  <si>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</si>
  <si>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</si>
  <si>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</si>
  <si>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</si>
  <si>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</si>
  <si>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</si>
  <si>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</si>
  <si>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</si>
  <si>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</si>
  <si>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</si>
  <si>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</si>
  <si>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</si>
  <si>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</si>
  <si>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</si>
  <si>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</si>
  <si>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</si>
  <si>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</si>
  <si>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</si>
  <si>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</si>
  <si>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</si>
  <si>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</si>
  <si>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</si>
  <si>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</si>
  <si>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</si>
  <si>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</si>
  <si>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</si>
  <si>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</si>
  <si>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</si>
  <si>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</si>
  <si>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</si>
  <si>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</si>
  <si>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</si>
  <si>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</si>
  <si>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</si>
  <si>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</si>
  <si>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</si>
  <si>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</si>
  <si>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</si>
  <si>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</si>
  <si>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</si>
  <si>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</si>
  <si>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</si>
  <si>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</si>
  <si>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</si>
  <si>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</si>
  <si>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</si>
  <si>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</si>
  <si>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</si>
  <si>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</si>
  <si>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</si>
  <si>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</si>
  <si>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</si>
  <si>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</si>
  <si>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</si>
  <si>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</si>
  <si>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</si>
  <si>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</si>
  <si>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</si>
  <si>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</si>
  <si>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</si>
  <si>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</si>
  <si>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</si>
  <si>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</si>
  <si>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</si>
  <si>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</si>
  <si>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</si>
  <si>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</si>
  <si>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</si>
  <si>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</si>
  <si>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</si>
  <si>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</si>
  <si>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</si>
  <si>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</si>
  <si>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</si>
  <si>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</si>
  <si>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</si>
  <si>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</si>
  <si>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</si>
  <si>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</si>
  <si>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</si>
  <si>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</si>
  <si>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</si>
  <si>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</si>
  <si>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</si>
  <si>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</si>
  <si>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</si>
  <si>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</si>
  <si>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</si>
  <si>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</si>
  <si>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</si>
  <si>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</si>
  <si>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</si>
  <si>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</si>
  <si>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</si>
  <si>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</si>
  <si>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</si>
  <si>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</si>
  <si>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</si>
  <si>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</si>
  <si>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</si>
  <si>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</si>
  <si>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</si>
  <si>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</si>
  <si>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</si>
  <si>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</si>
  <si>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</si>
  <si>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</si>
  <si>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</si>
  <si>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</si>
  <si>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</si>
  <si>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</si>
  <si>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</si>
  <si>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</si>
  <si>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</si>
  <si>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</si>
  <si>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</si>
  <si>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</si>
  <si>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</si>
  <si>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</si>
  <si>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</si>
  <si>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</si>
  <si>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</si>
  <si>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</si>
  <si>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</si>
  <si>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</si>
  <si>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</si>
  <si>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</si>
  <si>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</si>
  <si>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</si>
  <si>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</si>
  <si>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</si>
  <si>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</si>
  <si>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</si>
  <si>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</si>
  <si>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</si>
  <si>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</si>
  <si>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</si>
  <si>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</si>
  <si>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</si>
  <si>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</si>
  <si>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</si>
  <si>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</si>
  <si>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</si>
  <si>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</si>
  <si>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</si>
  <si>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</si>
  <si>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</si>
  <si>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</si>
  <si>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</si>
  <si>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</si>
  <si>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</si>
  <si>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</si>
  <si>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</si>
  <si>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</si>
  <si>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</si>
  <si>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</si>
  <si>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</si>
  <si>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</si>
  <si>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</si>
  <si>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</si>
  <si>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</si>
  <si>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</si>
  <si>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</si>
  <si>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</si>
  <si>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</si>
  <si>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</si>
  <si>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</si>
  <si>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</si>
  <si>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</si>
  <si>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</si>
  <si>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</si>
  <si>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</si>
  <si>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</si>
  <si>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</si>
  <si>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</si>
  <si>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</si>
  <si>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</si>
  <si>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</si>
  <si>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</si>
  <si>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</si>
  <si>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</si>
  <si>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</si>
  <si>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</si>
  <si>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</si>
  <si>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</si>
  <si>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</si>
  <si>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</si>
  <si>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</si>
  <si>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</si>
  <si>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</si>
  <si>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</si>
  <si>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</si>
  <si>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</si>
  <si>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</si>
  <si>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</si>
  <si>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</si>
  <si>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</si>
  <si>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</si>
  <si>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</si>
  <si>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</si>
  <si>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</si>
  <si>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</si>
  <si>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</si>
  <si>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</si>
  <si>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</si>
  <si>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</si>
  <si>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</si>
  <si>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</si>
  <si>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</si>
  <si>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</si>
  <si>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</si>
  <si>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</si>
  <si>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</si>
  <si>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</si>
  <si>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</si>
  <si>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</si>
  <si>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</si>
  <si>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</si>
  <si>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</si>
  <si>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</si>
  <si>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</si>
  <si>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</si>
  <si>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</si>
  <si>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</si>
  <si>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</si>
  <si>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</si>
  <si>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</si>
  <si>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</si>
  <si>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</si>
  <si>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</si>
  <si>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</si>
  <si>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</si>
  <si>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</si>
  <si>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</si>
  <si>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</si>
  <si>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</si>
  <si>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</si>
  <si>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</si>
  <si>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</si>
  <si>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</si>
  <si>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</si>
  <si>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</si>
  <si>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</si>
  <si>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</si>
  <si>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</si>
  <si>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לאומי</t>
  </si>
  <si>
    <t>10-800</t>
  </si>
  <si>
    <t>EUR</t>
  </si>
  <si>
    <t>בנק מזרחי</t>
  </si>
  <si>
    <t>20-21</t>
  </si>
  <si>
    <t>USD</t>
  </si>
  <si>
    <t>ממשלת ישראל</t>
  </si>
  <si>
    <t>ממשל צמודה 1131</t>
  </si>
  <si>
    <t>IL0011722209</t>
  </si>
  <si>
    <t>ilRF</t>
  </si>
  <si>
    <t>ממשלתי שקלי 1152</t>
  </si>
  <si>
    <t>IL0011840761</t>
  </si>
  <si>
    <t>ממשל צמודה 0726</t>
  </si>
  <si>
    <t>IL0011695645</t>
  </si>
  <si>
    <t>ממשל שקלית 0330</t>
  </si>
  <si>
    <t>IL0011609851</t>
  </si>
  <si>
    <t>ממשלתי  צמוד 0841</t>
  </si>
  <si>
    <t>IL0011205833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</si>
  <si>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</si>
  <si>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</si>
  <si>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</si>
  <si>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</si>
  <si>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</si>
  <si>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</si>
  <si>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צמוד 0536</t>
  </si>
  <si>
    <t>IL0010977085</t>
  </si>
  <si>
    <t>ממשלתי צמוד  1151</t>
  </si>
  <si>
    <t>IL0011683013</t>
  </si>
  <si>
    <t>ממשל שקלית 425</t>
  </si>
  <si>
    <t>IL0011626681</t>
  </si>
  <si>
    <t>ממשלתי שקלי 142</t>
  </si>
  <si>
    <t>IL0011254005</t>
  </si>
  <si>
    <t>חברת החשמל לישראל בע"מ</t>
  </si>
  <si>
    <t>חשמל אגח 27</t>
  </si>
  <si>
    <t>IL0060002107</t>
  </si>
  <si>
    <t>AA</t>
  </si>
  <si>
    <t>מימון ישיר</t>
  </si>
  <si>
    <t>הפחתה בגין קניה בהנפקה מימון ישיר ו 12.9.23</t>
  </si>
  <si>
    <t>IL0011916595</t>
  </si>
  <si>
    <t>A1.il</t>
  </si>
  <si>
    <t>חשמל 31</t>
  </si>
  <si>
    <t>IL0060002859</t>
  </si>
  <si>
    <t>פועלים אגח 203</t>
  </si>
  <si>
    <t>IL0011998684</t>
  </si>
  <si>
    <t>מזרחי טפחות הנפקות</t>
  </si>
  <si>
    <t>מז טפ הנ אגח 66</t>
  </si>
  <si>
    <t>IL0011916678</t>
  </si>
  <si>
    <t>דיסקונט מנפיקים בע"מ</t>
  </si>
  <si>
    <t>דיסקונט מנפיקים אגח טו</t>
  </si>
  <si>
    <t>IL0074803045</t>
  </si>
  <si>
    <t>לאומי</t>
  </si>
  <si>
    <t>לאומי אגח 182</t>
  </si>
  <si>
    <t>IL0060405391</t>
  </si>
  <si>
    <t>לאומי 186</t>
  </si>
  <si>
    <t>IL0012018391</t>
  </si>
  <si>
    <t>מקורות חברת מים בע"מ</t>
  </si>
  <si>
    <t>מקורות סדרה 11</t>
  </si>
  <si>
    <t>IL0011584765</t>
  </si>
  <si>
    <t>מזרחי  טפחות הנפקות 64</t>
  </si>
  <si>
    <t>IL0023105559</t>
  </si>
  <si>
    <t>נתיבי הגז הטבעי לישראל בע"מ</t>
  </si>
  <si>
    <t>נתיבי גז אגח ד</t>
  </si>
  <si>
    <t>IL0011475030</t>
  </si>
  <si>
    <t>Aa1.il</t>
  </si>
  <si>
    <t>פועלים אגח 201</t>
  </si>
  <si>
    <t>IL0011913451</t>
  </si>
  <si>
    <t>פועלים 200</t>
  </si>
  <si>
    <t>IL0066204962</t>
  </si>
  <si>
    <t>מימון ישיר קבוצה ו</t>
  </si>
  <si>
    <t>מזרחי טפ הנ אגח 68</t>
  </si>
  <si>
    <t>IL0012021429</t>
  </si>
  <si>
    <t>מזרחי טפחות הנפקות 46</t>
  </si>
  <si>
    <t>IL0023102259</t>
  </si>
  <si>
    <t>מזרחי  טפחות הנפקות  52</t>
  </si>
  <si>
    <t>IL0023103810</t>
  </si>
  <si>
    <t>פועלים התח נד ז</t>
  </si>
  <si>
    <t>IL0011913295</t>
  </si>
  <si>
    <t>ilAA-</t>
  </si>
  <si>
    <t>מזרחי טפחות הנפקות אגח 62</t>
  </si>
  <si>
    <t>IL0023104982</t>
  </si>
  <si>
    <t>לאומי 183</t>
  </si>
  <si>
    <t>IL0060405474</t>
  </si>
  <si>
    <t>חשמל אגח 33</t>
  </si>
  <si>
    <t>IL0060003923</t>
  </si>
  <si>
    <t>מימון ישיר אגח ד</t>
  </si>
  <si>
    <t>IL0011756603</t>
  </si>
  <si>
    <t>קסם קרנות נאמנות בע"מ</t>
  </si>
  <si>
    <t>קסם ETF תא 35</t>
  </si>
  <si>
    <t>IL0011465700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</si>
  <si>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</si>
  <si>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</si>
  <si>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</si>
  <si>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</si>
  <si>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</si>
  <si>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</si>
  <si>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</si>
  <si>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(00) תל בונד 40</t>
  </si>
  <si>
    <t>IL0011450934</t>
  </si>
  <si>
    <t>הראל סל תא 35</t>
  </si>
  <si>
    <t>IL0011489072</t>
  </si>
  <si>
    <t>קסם ETF תלבונד 40</t>
  </si>
  <si>
    <t>IL0011462160</t>
  </si>
  <si>
    <t>מגדל קרנות נאמנות בע"מ</t>
  </si>
  <si>
    <t>MTF סל (4A) ת"א 35</t>
  </si>
  <si>
    <t>IL0011501843</t>
  </si>
  <si>
    <t>הראל סל תלבונד 40</t>
  </si>
  <si>
    <t>IL0011504995</t>
  </si>
  <si>
    <t>קסם ETF תלבונד 20</t>
  </si>
  <si>
    <t>IL0011459604</t>
  </si>
  <si>
    <t>AMUNDI INVT SOLUTIONS</t>
  </si>
  <si>
    <t>549300FMBJ5S1PXQ2305</t>
  </si>
  <si>
    <t>U127 Amundi MSCI EM</t>
  </si>
  <si>
    <t>LU2573966905</t>
  </si>
  <si>
    <t>ISHARES</t>
  </si>
  <si>
    <t>549300LRIF3NWCU26A80</t>
  </si>
  <si>
    <t>IWDA LN iShares MSCI World</t>
  </si>
  <si>
    <t>IE00B4L5Y983</t>
  </si>
  <si>
    <t>State Street</t>
  </si>
  <si>
    <t>549300ZFEEJ2IP5VME73</t>
  </si>
  <si>
    <t>SWRD LN  MSCI World SPDR</t>
  </si>
  <si>
    <t>IE00BFY0GT14</t>
  </si>
  <si>
    <t>DWS</t>
  </si>
  <si>
    <t>7LTWFZYICNSX8D621K86</t>
  </si>
  <si>
    <t>XDWD LN DB MSCI World</t>
  </si>
  <si>
    <t>IE00BJ0KDQ92</t>
  </si>
  <si>
    <t>ערד 8774 02.01.26 4.8%</t>
  </si>
  <si>
    <t>ערד 8822 1.1.30 4.8%</t>
  </si>
  <si>
    <t>ערד 8898 01.06.36 4.8%</t>
  </si>
  <si>
    <t>ערד 8859 01.02.33 4.8%</t>
  </si>
  <si>
    <t>ערד 8798 01.01.28 4.8%</t>
  </si>
  <si>
    <t>ערד 8835 01.02.31 4.8%</t>
  </si>
  <si>
    <t>ערד 8894 01.02.36 4.8%</t>
  </si>
  <si>
    <t>ערד 8807 01.10.28 4.8%</t>
  </si>
  <si>
    <t>ערד 8883 02.02.35 4.8%</t>
  </si>
  <si>
    <t>ערד 8847 1.2.32 4.8%</t>
  </si>
  <si>
    <t>ערד 8893 01.01.36 4.8%</t>
  </si>
  <si>
    <t>ערד 8871 1.02.34 4.8%</t>
  </si>
  <si>
    <t>ערד 8897 02.05.36 4.8%</t>
  </si>
  <si>
    <t>מקורות סדרה ו</t>
  </si>
  <si>
    <t>מקורות 8 4.1% 2048</t>
  </si>
  <si>
    <t>נתיבי גז ג</t>
  </si>
  <si>
    <t>קרן השקעות של ח.העובדים וחב"ע</t>
  </si>
  <si>
    <t>נתניה -בן צבי ג.8244 שטח חקל</t>
  </si>
  <si>
    <t>רפאל איתן פינת שדרות בן צבי נתניה_x000D_</t>
  </si>
  <si>
    <t>נתיב ס.מ.ישיר 30.06.24</t>
  </si>
  <si>
    <t>התח.ממש.אי העלאת ג.פרישה נשים</t>
  </si>
  <si>
    <t>520022351_pn_p_0324.xlsx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</si>
</sst>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B5" sqref="B5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1177</v>
      </c>
    </row>
    <row r="12" spans="1:8" ht="14.25" customHeight="1"/>
    <row r="13" spans="1:8" ht="14.25" customHeight="1">
      <c r="A13" s="3" t="s">
        <v>6</v>
      </c>
      <c r="D13" s="4">
        <v>520022351</v>
      </c>
    </row>
    <row r="14" spans="1:8" ht="14.25" customHeight="1"/>
    <row r="15" spans="1:8" ht="14.25" customHeight="1">
      <c r="A15" s="6" t="s">
        <v>7</v>
      </c>
      <c r="D15" s="133" t="s">
        <v>1359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C28" sqref="C28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182093.78566999998</v>
      </c>
      <c r="C3" s="114"/>
      <c r="D3" s="115"/>
      <c r="E3" s="112">
        <f>IFERROR(B3/$B$30,0)</f>
        <v>1.0825584561505279E-2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603437.75037000002</v>
      </c>
      <c r="C4" s="114"/>
      <c r="D4" s="115"/>
      <c r="E4" s="112">
        <f t="shared" ref="E4:E29" si="0">IFERROR(B4/$B$30,0)</f>
        <v>3.5874735484238945E-2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231648.74949000002</v>
      </c>
      <c r="C6" s="114"/>
      <c r="D6" s="115"/>
      <c r="E6" s="112">
        <f t="shared" si="0"/>
        <v>1.3771656824772676E-2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682613.73829000001</v>
      </c>
      <c r="C8" s="114"/>
      <c r="D8" s="115"/>
      <c r="E8" s="112">
        <f t="shared" si="0"/>
        <v>4.0581795361735312E-2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1243017.3192799999</v>
      </c>
      <c r="C15" s="114"/>
      <c r="D15" s="115"/>
      <c r="E15" s="112">
        <f t="shared" si="0"/>
        <v>7.389812371558703E-2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25292.884590000001</v>
      </c>
      <c r="C18" s="114"/>
      <c r="D18" s="115"/>
      <c r="E18" s="112">
        <f t="shared" si="0"/>
        <v>1.5036771294856394E-3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9.9999999999999995E-7</v>
      </c>
      <c r="C19" s="114"/>
      <c r="D19" s="115"/>
      <c r="E19" s="112">
        <f t="shared" si="0"/>
        <v>5.9450598611442889E-14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102000</v>
      </c>
      <c r="C27" s="114"/>
      <c r="D27" s="115"/>
      <c r="E27" s="112">
        <f t="shared" si="0"/>
        <v>6.0639610583671745E-3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13750584.26589</v>
      </c>
      <c r="C29" s="114"/>
      <c r="D29" s="115"/>
      <c r="E29" s="112">
        <f t="shared" si="0"/>
        <v>0.8174804658642485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16820688.493581001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8"/>
  <sheetViews>
    <sheetView rightToLeft="1" workbookViewId="0">
      <selection activeCell="K13" sqref="K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332</v>
      </c>
      <c r="B2" s="119">
        <v>332</v>
      </c>
      <c r="C2" s="118" t="s">
        <v>1209</v>
      </c>
      <c r="D2" s="118" t="s">
        <v>1210</v>
      </c>
      <c r="E2" s="118" t="s">
        <v>314</v>
      </c>
      <c r="F2" s="118" t="s">
        <v>935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92544.095050000004</v>
      </c>
      <c r="M2" s="120">
        <v>1</v>
      </c>
      <c r="N2" s="121"/>
      <c r="O2" s="120">
        <v>92544.095050000004</v>
      </c>
      <c r="P2" s="121">
        <v>0.50822199999999995</v>
      </c>
      <c r="Q2" s="121">
        <v>5.5009999999999998E-3</v>
      </c>
    </row>
    <row r="3" spans="1:26" ht="15" customHeight="1">
      <c r="A3" s="119">
        <v>332</v>
      </c>
      <c r="B3" s="119">
        <v>332</v>
      </c>
      <c r="C3" s="118" t="s">
        <v>1213</v>
      </c>
      <c r="D3" s="118" t="s">
        <v>1214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1215</v>
      </c>
      <c r="L3" s="120">
        <v>177.99299999999999</v>
      </c>
      <c r="M3" s="120">
        <v>4.1524000000000001</v>
      </c>
      <c r="N3" s="121"/>
      <c r="O3" s="120">
        <v>739.09812999999997</v>
      </c>
      <c r="P3" s="121">
        <v>4.058E-3</v>
      </c>
      <c r="Q3" s="121">
        <v>4.3000000000000002E-5</v>
      </c>
    </row>
    <row r="4" spans="1:26" ht="15" customHeight="1">
      <c r="A4" s="119">
        <v>332</v>
      </c>
      <c r="B4" s="119">
        <v>332</v>
      </c>
      <c r="C4" s="118" t="s">
        <v>1216</v>
      </c>
      <c r="D4" s="118" t="s">
        <v>1217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1212</v>
      </c>
      <c r="L4" s="120">
        <v>54221.085310000002</v>
      </c>
      <c r="M4" s="120">
        <v>1</v>
      </c>
      <c r="N4" s="121"/>
      <c r="O4" s="120">
        <v>54221.085310000002</v>
      </c>
      <c r="P4" s="121">
        <v>0.29776399999999997</v>
      </c>
      <c r="Q4" s="121">
        <v>3.2230000000000002E-3</v>
      </c>
    </row>
    <row r="5" spans="1:26" ht="15" customHeight="1">
      <c r="A5" s="119">
        <v>332</v>
      </c>
      <c r="B5" s="119">
        <v>332</v>
      </c>
      <c r="C5" s="118" t="s">
        <v>1216</v>
      </c>
      <c r="D5" s="118" t="s">
        <v>1217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1218</v>
      </c>
      <c r="L5" s="120">
        <v>164.03962999999999</v>
      </c>
      <c r="M5" s="120">
        <v>3.71</v>
      </c>
      <c r="N5" s="121"/>
      <c r="O5" s="120">
        <v>608.58703000000003</v>
      </c>
      <c r="P5" s="121">
        <v>3.3419999999999999E-3</v>
      </c>
      <c r="Q5" s="121">
        <v>3.6000000000000001E-5</v>
      </c>
    </row>
    <row r="6" spans="1:26" ht="15" customHeight="1">
      <c r="A6" s="119">
        <v>332</v>
      </c>
      <c r="B6" s="119">
        <v>332</v>
      </c>
      <c r="C6" s="118" t="s">
        <v>1213</v>
      </c>
      <c r="D6" s="118" t="s">
        <v>1214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2888.67526</v>
      </c>
      <c r="M6" s="120">
        <v>3.71</v>
      </c>
      <c r="N6" s="121"/>
      <c r="O6" s="120">
        <v>10716.985210000001</v>
      </c>
      <c r="P6" s="121">
        <v>5.8853999999999997E-2</v>
      </c>
      <c r="Q6" s="121">
        <v>6.3699999999999998E-4</v>
      </c>
    </row>
    <row r="7" spans="1:26" ht="15" customHeight="1">
      <c r="A7" s="119">
        <v>332</v>
      </c>
      <c r="B7" s="119">
        <v>332</v>
      </c>
      <c r="C7" s="118" t="s">
        <v>1213</v>
      </c>
      <c r="D7" s="118" t="s">
        <v>1214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1212</v>
      </c>
      <c r="L7" s="120">
        <v>23260.90209</v>
      </c>
      <c r="M7" s="120">
        <v>1</v>
      </c>
      <c r="N7" s="121"/>
      <c r="O7" s="120">
        <v>23260.90209</v>
      </c>
      <c r="P7" s="121">
        <v>0.12774099999999999</v>
      </c>
      <c r="Q7" s="121">
        <v>1.382E-3</v>
      </c>
    </row>
    <row r="8" spans="1:26" ht="15" customHeight="1">
      <c r="A8" s="119">
        <v>332</v>
      </c>
      <c r="B8" s="119">
        <v>332</v>
      </c>
      <c r="C8" s="118" t="s">
        <v>1216</v>
      </c>
      <c r="D8" s="118" t="s">
        <v>1217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1212</v>
      </c>
      <c r="L8" s="120">
        <v>3.0328499999999998</v>
      </c>
      <c r="M8" s="120">
        <v>1</v>
      </c>
      <c r="N8" s="121"/>
      <c r="O8" s="120">
        <v>3.0328499999999998</v>
      </c>
      <c r="P8" s="121">
        <v>1.5999999999999999E-5</v>
      </c>
      <c r="Q8" s="121">
        <v>0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R16" sqref="R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1219</v>
      </c>
      <c r="D2" s="118" t="s">
        <v>1220</v>
      </c>
      <c r="E2" s="119" t="s">
        <v>1221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1222</v>
      </c>
      <c r="K2" s="118" t="s">
        <v>412</v>
      </c>
      <c r="L2" s="118" t="s">
        <v>1212</v>
      </c>
      <c r="M2" s="120">
        <v>7.14</v>
      </c>
      <c r="N2" s="122">
        <v>48182</v>
      </c>
      <c r="O2" s="121">
        <v>1E-3</v>
      </c>
      <c r="P2" s="121">
        <v>1.9900000000000001E-2</v>
      </c>
      <c r="Q2" s="120"/>
      <c r="R2" s="120">
        <v>282587894</v>
      </c>
      <c r="S2" s="120">
        <v>1</v>
      </c>
      <c r="T2" s="120">
        <v>101.1</v>
      </c>
      <c r="U2" s="120">
        <v>285696.36083000002</v>
      </c>
      <c r="V2" s="120"/>
      <c r="W2" s="118"/>
      <c r="X2" s="121">
        <v>9.2029999999999994E-3</v>
      </c>
      <c r="Y2" s="121">
        <v>0.47344700000000001</v>
      </c>
      <c r="Z2" s="121">
        <v>1.6983999999999999E-2</v>
      </c>
    </row>
    <row r="3" spans="1:26" ht="15" customHeight="1">
      <c r="A3" s="119">
        <v>332</v>
      </c>
      <c r="B3" s="119">
        <v>332</v>
      </c>
      <c r="C3" s="118" t="s">
        <v>1219</v>
      </c>
      <c r="D3" s="118" t="s">
        <v>1223</v>
      </c>
      <c r="E3" s="119" t="s">
        <v>1224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1222</v>
      </c>
      <c r="K3" s="118" t="s">
        <v>412</v>
      </c>
      <c r="L3" s="118" t="s">
        <v>1212</v>
      </c>
      <c r="M3" s="120">
        <v>16.71</v>
      </c>
      <c r="N3" s="122">
        <v>55852</v>
      </c>
      <c r="O3" s="121">
        <v>2.8000000000000001E-2</v>
      </c>
      <c r="P3" s="121">
        <v>5.4399999999999997E-2</v>
      </c>
      <c r="Q3" s="118"/>
      <c r="R3" s="120">
        <v>33730623</v>
      </c>
      <c r="S3" s="120">
        <v>1</v>
      </c>
      <c r="T3" s="120">
        <v>64.7</v>
      </c>
      <c r="U3" s="120">
        <v>21823.713080000001</v>
      </c>
      <c r="V3" s="118"/>
      <c r="W3" s="118"/>
      <c r="X3" s="121">
        <v>1.8990000000000001E-3</v>
      </c>
      <c r="Y3" s="121">
        <v>3.6165000000000003E-2</v>
      </c>
      <c r="Z3" s="121">
        <v>1.297E-3</v>
      </c>
    </row>
    <row r="4" spans="1:26" ht="15" customHeight="1">
      <c r="A4" s="119">
        <v>332</v>
      </c>
      <c r="B4" s="119">
        <v>332</v>
      </c>
      <c r="C4" s="118" t="s">
        <v>1219</v>
      </c>
      <c r="D4" s="118" t="s">
        <v>1225</v>
      </c>
      <c r="E4" s="119" t="s">
        <v>1226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1222</v>
      </c>
      <c r="K4" s="118" t="s">
        <v>412</v>
      </c>
      <c r="L4" s="118" t="s">
        <v>1212</v>
      </c>
      <c r="M4" s="120">
        <v>1.83</v>
      </c>
      <c r="N4" s="122">
        <v>46234</v>
      </c>
      <c r="O4" s="121">
        <v>1E-3</v>
      </c>
      <c r="P4" s="121">
        <v>1.5699999999999999E-2</v>
      </c>
      <c r="Q4" s="118"/>
      <c r="R4" s="120">
        <v>1822295</v>
      </c>
      <c r="S4" s="120">
        <v>1</v>
      </c>
      <c r="T4" s="120">
        <v>112.44</v>
      </c>
      <c r="U4" s="120">
        <v>2048.9884999999999</v>
      </c>
      <c r="V4" s="118"/>
      <c r="W4" s="118"/>
      <c r="X4" s="121">
        <v>9.0000000000000006E-5</v>
      </c>
      <c r="Y4" s="121">
        <v>3.395E-3</v>
      </c>
      <c r="Z4" s="121">
        <v>1.21E-4</v>
      </c>
    </row>
    <row r="5" spans="1:26" ht="15" customHeight="1">
      <c r="A5" s="119">
        <v>332</v>
      </c>
      <c r="B5" s="119">
        <v>332</v>
      </c>
      <c r="C5" s="118" t="s">
        <v>1219</v>
      </c>
      <c r="D5" s="118" t="s">
        <v>1227</v>
      </c>
      <c r="E5" s="119" t="s">
        <v>1228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1222</v>
      </c>
      <c r="K5" s="118" t="s">
        <v>412</v>
      </c>
      <c r="L5" s="118" t="s">
        <v>1212</v>
      </c>
      <c r="M5" s="120">
        <v>5.33</v>
      </c>
      <c r="N5" s="122">
        <v>47573</v>
      </c>
      <c r="O5" s="121">
        <v>0.01</v>
      </c>
      <c r="P5" s="121">
        <v>4.6300000000000001E-2</v>
      </c>
      <c r="Q5" s="118"/>
      <c r="R5" s="120">
        <v>1136155</v>
      </c>
      <c r="S5" s="120">
        <v>1</v>
      </c>
      <c r="T5" s="120">
        <v>83.24</v>
      </c>
      <c r="U5" s="120">
        <v>945.73541999999998</v>
      </c>
      <c r="V5" s="118"/>
      <c r="W5" s="118"/>
      <c r="X5" s="121">
        <v>3.0000000000000001E-5</v>
      </c>
      <c r="Y5" s="121">
        <v>1.567E-3</v>
      </c>
      <c r="Z5" s="121">
        <v>5.5999999999999999E-5</v>
      </c>
    </row>
    <row r="6" spans="1:26" ht="15" customHeight="1">
      <c r="A6" s="119">
        <v>332</v>
      </c>
      <c r="B6" s="119">
        <v>332</v>
      </c>
      <c r="C6" s="118" t="s">
        <v>1219</v>
      </c>
      <c r="D6" s="118" t="s">
        <v>1229</v>
      </c>
      <c r="E6" s="119" t="s">
        <v>1230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1222</v>
      </c>
      <c r="K6" s="118" t="s">
        <v>412</v>
      </c>
      <c r="L6" s="118" t="s">
        <v>1212</v>
      </c>
      <c r="M6" s="120">
        <v>13.85</v>
      </c>
      <c r="N6" s="122">
        <v>51744</v>
      </c>
      <c r="O6" s="121">
        <v>2.75E-2</v>
      </c>
      <c r="P6" s="121">
        <v>2.24E-2</v>
      </c>
      <c r="Q6" s="118"/>
      <c r="R6" s="120">
        <v>13745931</v>
      </c>
      <c r="S6" s="120">
        <v>1</v>
      </c>
      <c r="T6" s="120">
        <v>132.61000000000001</v>
      </c>
      <c r="U6" s="120">
        <v>18228.4791</v>
      </c>
      <c r="V6" s="118"/>
      <c r="W6" s="118"/>
      <c r="X6" s="121">
        <v>7.1000000000000002E-4</v>
      </c>
      <c r="Y6" s="121">
        <v>3.0207000000000001E-2</v>
      </c>
      <c r="Z6" s="121">
        <v>1.083E-3</v>
      </c>
    </row>
    <row r="7" spans="1:26" ht="15" customHeight="1">
      <c r="A7" s="119">
        <v>332</v>
      </c>
      <c r="B7" s="119">
        <v>332</v>
      </c>
      <c r="C7" s="118" t="s">
        <v>1219</v>
      </c>
      <c r="D7" s="118" t="s">
        <v>1231</v>
      </c>
      <c r="E7" s="119" t="s">
        <v>1232</v>
      </c>
      <c r="F7" s="118" t="s">
        <v>947</v>
      </c>
      <c r="G7" s="118" t="s">
        <v>203</v>
      </c>
      <c r="H7" s="118" t="s">
        <v>203</v>
      </c>
      <c r="I7" s="118" t="s">
        <v>339</v>
      </c>
      <c r="J7" s="118" t="s">
        <v>1222</v>
      </c>
      <c r="K7" s="118" t="s">
        <v>412</v>
      </c>
      <c r="L7" s="118" t="s">
        <v>1212</v>
      </c>
      <c r="M7" s="120">
        <v>1</v>
      </c>
      <c r="N7" s="122">
        <v>46173</v>
      </c>
      <c r="O7" s="121">
        <v>0</v>
      </c>
      <c r="P7" s="121">
        <v>4.6199999999999998E-2</v>
      </c>
      <c r="Q7" s="118"/>
      <c r="R7" s="120">
        <v>416739</v>
      </c>
      <c r="S7" s="120">
        <v>1</v>
      </c>
      <c r="T7" s="120">
        <v>99.82</v>
      </c>
      <c r="U7" s="120">
        <v>415.98887000000002</v>
      </c>
      <c r="V7" s="118"/>
      <c r="W7" s="118"/>
      <c r="X7" s="121">
        <v>1.9000000000000001E-5</v>
      </c>
      <c r="Y7" s="121">
        <v>6.8900000000000005E-4</v>
      </c>
      <c r="Z7" s="121">
        <v>2.4000000000000001E-5</v>
      </c>
    </row>
    <row r="8" spans="1:26" ht="15" customHeight="1">
      <c r="A8" s="119">
        <v>332</v>
      </c>
      <c r="B8" s="119">
        <v>332</v>
      </c>
      <c r="C8" s="118" t="s">
        <v>1219</v>
      </c>
      <c r="D8" s="118" t="s">
        <v>1233</v>
      </c>
      <c r="E8" s="119" t="s">
        <v>1234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1222</v>
      </c>
      <c r="K8" s="118" t="s">
        <v>412</v>
      </c>
      <c r="L8" s="118" t="s">
        <v>1212</v>
      </c>
      <c r="M8" s="120">
        <v>18.41</v>
      </c>
      <c r="N8" s="122">
        <v>53113</v>
      </c>
      <c r="O8" s="121">
        <v>0.01</v>
      </c>
      <c r="P8" s="121">
        <v>2.2700000000000001E-2</v>
      </c>
      <c r="Q8" s="118"/>
      <c r="R8" s="120">
        <v>23107743</v>
      </c>
      <c r="S8" s="120">
        <v>1</v>
      </c>
      <c r="T8" s="120">
        <v>92.5</v>
      </c>
      <c r="U8" s="120">
        <v>21374.66228</v>
      </c>
      <c r="V8" s="118"/>
      <c r="W8" s="118"/>
      <c r="X8" s="121">
        <v>1.1919999999999999E-3</v>
      </c>
      <c r="Y8" s="121">
        <v>3.5421000000000001E-2</v>
      </c>
      <c r="Z8" s="121">
        <v>1.2700000000000001E-3</v>
      </c>
    </row>
    <row r="9" spans="1:26" ht="15" customHeight="1">
      <c r="A9" s="119">
        <v>332</v>
      </c>
      <c r="B9" s="119">
        <v>332</v>
      </c>
      <c r="C9" s="118" t="s">
        <v>1219</v>
      </c>
      <c r="D9" s="118" t="s">
        <v>1235</v>
      </c>
      <c r="E9" s="119" t="s">
        <v>1236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1222</v>
      </c>
      <c r="K9" s="118" t="s">
        <v>412</v>
      </c>
      <c r="L9" s="118" t="s">
        <v>1212</v>
      </c>
      <c r="M9" s="120">
        <v>14.32</v>
      </c>
      <c r="N9" s="122">
        <v>53782</v>
      </c>
      <c r="O9" s="121">
        <v>3.7499999999999999E-2</v>
      </c>
      <c r="P9" s="121">
        <v>5.33E-2</v>
      </c>
      <c r="Q9" s="118"/>
      <c r="R9" s="120">
        <v>47489322</v>
      </c>
      <c r="S9" s="120">
        <v>1</v>
      </c>
      <c r="T9" s="120">
        <v>81.36</v>
      </c>
      <c r="U9" s="120">
        <v>38637.312380000003</v>
      </c>
      <c r="V9" s="118"/>
      <c r="W9" s="118"/>
      <c r="X9" s="121">
        <v>1.8090000000000001E-3</v>
      </c>
      <c r="Y9" s="121">
        <v>6.4028000000000002E-2</v>
      </c>
      <c r="Z9" s="121">
        <v>2.297E-3</v>
      </c>
    </row>
    <row r="10" spans="1:26" ht="15" customHeight="1">
      <c r="A10" s="119">
        <v>332</v>
      </c>
      <c r="B10" s="119">
        <v>332</v>
      </c>
      <c r="C10" s="118" t="s">
        <v>1219</v>
      </c>
      <c r="D10" s="118" t="s">
        <v>1237</v>
      </c>
      <c r="E10" s="119" t="s">
        <v>1238</v>
      </c>
      <c r="F10" s="118" t="s">
        <v>944</v>
      </c>
      <c r="G10" s="118" t="s">
        <v>203</v>
      </c>
      <c r="H10" s="118" t="s">
        <v>203</v>
      </c>
      <c r="I10" s="118" t="s">
        <v>339</v>
      </c>
      <c r="J10" s="118" t="s">
        <v>1222</v>
      </c>
      <c r="K10" s="118" t="s">
        <v>412</v>
      </c>
      <c r="L10" s="118" t="s">
        <v>1212</v>
      </c>
      <c r="M10" s="120">
        <v>9.65</v>
      </c>
      <c r="N10" s="122">
        <v>49825</v>
      </c>
      <c r="O10" s="121">
        <v>0.04</v>
      </c>
      <c r="P10" s="121">
        <v>2.1700000000000001E-2</v>
      </c>
      <c r="Q10" s="118"/>
      <c r="R10" s="120">
        <v>110629877</v>
      </c>
      <c r="S10" s="120">
        <v>1</v>
      </c>
      <c r="T10" s="120">
        <v>164.63</v>
      </c>
      <c r="U10" s="120">
        <v>182129.96651</v>
      </c>
      <c r="V10" s="118"/>
      <c r="W10" s="118"/>
      <c r="X10" s="121">
        <v>6.9430000000000004E-3</v>
      </c>
      <c r="Y10" s="121">
        <v>0.30181999999999998</v>
      </c>
      <c r="Z10" s="121">
        <v>1.0827E-2</v>
      </c>
    </row>
    <row r="11" spans="1:26" ht="15" customHeight="1">
      <c r="A11" s="119">
        <v>332</v>
      </c>
      <c r="B11" s="119">
        <v>332</v>
      </c>
      <c r="C11" s="118" t="s">
        <v>1219</v>
      </c>
      <c r="D11" s="118" t="s">
        <v>1239</v>
      </c>
      <c r="E11" s="119" t="s">
        <v>1240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1222</v>
      </c>
      <c r="K11" s="118" t="s">
        <v>412</v>
      </c>
      <c r="L11" s="118" t="s">
        <v>1212</v>
      </c>
      <c r="M11" s="120">
        <v>24.74</v>
      </c>
      <c r="N11" s="122">
        <v>55487</v>
      </c>
      <c r="O11" s="121">
        <v>5.0000000000000001E-3</v>
      </c>
      <c r="P11" s="121">
        <v>2.3400000000000001E-2</v>
      </c>
      <c r="Q11" s="118"/>
      <c r="R11" s="120">
        <v>23396450</v>
      </c>
      <c r="S11" s="120">
        <v>1</v>
      </c>
      <c r="T11" s="120">
        <v>73.53</v>
      </c>
      <c r="U11" s="120">
        <v>17203.40969</v>
      </c>
      <c r="V11" s="118"/>
      <c r="W11" s="118"/>
      <c r="X11" s="121">
        <v>1.0059999999999999E-3</v>
      </c>
      <c r="Y11" s="121">
        <v>2.8509E-2</v>
      </c>
      <c r="Z11" s="121">
        <v>1.0219999999999999E-3</v>
      </c>
    </row>
    <row r="12" spans="1:26" ht="15" customHeight="1">
      <c r="A12" s="119">
        <v>332</v>
      </c>
      <c r="B12" s="119">
        <v>332</v>
      </c>
      <c r="C12" s="118" t="s">
        <v>1219</v>
      </c>
      <c r="D12" s="118" t="s">
        <v>1241</v>
      </c>
      <c r="E12" s="119" t="s">
        <v>1242</v>
      </c>
      <c r="F12" s="118" t="s">
        <v>946</v>
      </c>
      <c r="G12" s="118" t="s">
        <v>203</v>
      </c>
      <c r="H12" s="118" t="s">
        <v>203</v>
      </c>
      <c r="I12" s="118" t="s">
        <v>339</v>
      </c>
      <c r="J12" s="118" t="s">
        <v>1222</v>
      </c>
      <c r="K12" s="118" t="s">
        <v>412</v>
      </c>
      <c r="L12" s="118" t="s">
        <v>1212</v>
      </c>
      <c r="M12" s="120">
        <v>0.57999999999999996</v>
      </c>
      <c r="N12" s="122">
        <v>45777</v>
      </c>
      <c r="O12" s="121">
        <v>5.0000000000000001E-3</v>
      </c>
      <c r="P12" s="121">
        <v>3.9600000000000003E-2</v>
      </c>
      <c r="Q12" s="118"/>
      <c r="R12" s="120">
        <v>131265</v>
      </c>
      <c r="S12" s="120">
        <v>1</v>
      </c>
      <c r="T12" s="120">
        <v>98.27</v>
      </c>
      <c r="U12" s="120">
        <v>128.99412000000001</v>
      </c>
      <c r="V12" s="118"/>
      <c r="W12" s="118"/>
      <c r="X12" s="121">
        <v>7.9999999999999996E-6</v>
      </c>
      <c r="Y12" s="121">
        <v>2.13E-4</v>
      </c>
      <c r="Z12" s="121">
        <v>6.9999999999999999E-6</v>
      </c>
    </row>
    <row r="13" spans="1:26" ht="15" customHeight="1">
      <c r="A13" s="119">
        <v>332</v>
      </c>
      <c r="B13" s="119">
        <v>332</v>
      </c>
      <c r="C13" s="118" t="s">
        <v>1219</v>
      </c>
      <c r="D13" s="118" t="s">
        <v>1243</v>
      </c>
      <c r="E13" s="119" t="s">
        <v>1244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1222</v>
      </c>
      <c r="K13" s="118" t="s">
        <v>412</v>
      </c>
      <c r="L13" s="118" t="s">
        <v>1212</v>
      </c>
      <c r="M13" s="120">
        <v>11.32</v>
      </c>
      <c r="N13" s="122">
        <v>51897</v>
      </c>
      <c r="O13" s="121">
        <v>5.5E-2</v>
      </c>
      <c r="P13" s="121">
        <v>5.1700000000000003E-2</v>
      </c>
      <c r="Q13" s="118"/>
      <c r="R13" s="120">
        <v>13791820</v>
      </c>
      <c r="S13" s="120">
        <v>1</v>
      </c>
      <c r="T13" s="120">
        <v>107.34</v>
      </c>
      <c r="U13" s="120">
        <v>14804.139590000001</v>
      </c>
      <c r="V13" s="118"/>
      <c r="W13" s="118"/>
      <c r="X13" s="121">
        <v>6.2399999999999999E-4</v>
      </c>
      <c r="Y13" s="121">
        <v>2.4532999999999999E-2</v>
      </c>
      <c r="Z13" s="121">
        <v>8.8000000000000003E-4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3"/>
  <sheetViews>
    <sheetView rightToLeft="1" topLeftCell="R1" workbookViewId="0">
      <selection activeCell="V26" sqref="V2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332</v>
      </c>
      <c r="B2" s="119">
        <v>332</v>
      </c>
      <c r="C2" s="118" t="s">
        <v>1245</v>
      </c>
      <c r="D2" s="119">
        <v>520000472</v>
      </c>
      <c r="E2" s="118" t="s">
        <v>308</v>
      </c>
      <c r="F2" s="118" t="s">
        <v>1246</v>
      </c>
      <c r="G2" s="119" t="s">
        <v>1247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439</v>
      </c>
      <c r="O2" s="118" t="s">
        <v>338</v>
      </c>
      <c r="P2" s="118" t="s">
        <v>1248</v>
      </c>
      <c r="Q2" s="118" t="s">
        <v>311</v>
      </c>
      <c r="R2" s="118" t="s">
        <v>406</v>
      </c>
      <c r="S2" s="118" t="s">
        <v>1212</v>
      </c>
      <c r="T2" s="120">
        <v>3.44</v>
      </c>
      <c r="U2" s="122">
        <v>47220</v>
      </c>
      <c r="V2" s="121">
        <v>3.85E-2</v>
      </c>
      <c r="W2" s="121">
        <v>2.5700000000000001E-2</v>
      </c>
      <c r="X2" s="118" t="s">
        <v>411</v>
      </c>
      <c r="Y2" s="118"/>
      <c r="Z2" s="120">
        <v>5898080.2199999997</v>
      </c>
      <c r="AA2" s="120">
        <v>1</v>
      </c>
      <c r="AB2" s="120">
        <v>121.2</v>
      </c>
      <c r="AC2" s="120">
        <v>131.85556</v>
      </c>
      <c r="AD2" s="120">
        <v>7280.3287899999996</v>
      </c>
      <c r="AE2" s="120"/>
      <c r="AF2" s="120"/>
      <c r="AG2" s="118"/>
      <c r="AH2" s="121">
        <v>2.3080000000000002E-3</v>
      </c>
      <c r="AI2" s="121">
        <v>3.1427999999999998E-2</v>
      </c>
      <c r="AJ2" s="121">
        <v>4.3100000000000001E-4</v>
      </c>
    </row>
    <row r="3" spans="1:36" ht="15" customHeight="1">
      <c r="A3" s="119">
        <v>332</v>
      </c>
      <c r="B3" s="119">
        <v>332</v>
      </c>
      <c r="C3" s="118" t="s">
        <v>1249</v>
      </c>
      <c r="D3" s="119">
        <v>513893123</v>
      </c>
      <c r="E3" s="118" t="s">
        <v>308</v>
      </c>
      <c r="F3" s="118" t="s">
        <v>1250</v>
      </c>
      <c r="G3" s="119" t="s">
        <v>1251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442</v>
      </c>
      <c r="O3" s="118" t="s">
        <v>338</v>
      </c>
      <c r="P3" s="118" t="s">
        <v>1252</v>
      </c>
      <c r="Q3" s="118" t="s">
        <v>414</v>
      </c>
      <c r="R3" s="118" t="s">
        <v>406</v>
      </c>
      <c r="S3" s="118" t="s">
        <v>1212</v>
      </c>
      <c r="T3" s="120">
        <v>1.64</v>
      </c>
      <c r="U3" s="122">
        <v>46477</v>
      </c>
      <c r="V3" s="121">
        <v>3.5400000000000001E-2</v>
      </c>
      <c r="W3" s="121">
        <v>7.9600000000000004E-2</v>
      </c>
      <c r="X3" s="118" t="s">
        <v>411</v>
      </c>
      <c r="Y3" s="118"/>
      <c r="Z3" s="120">
        <v>-11165</v>
      </c>
      <c r="AA3" s="120">
        <v>1</v>
      </c>
      <c r="AB3" s="120">
        <v>100</v>
      </c>
      <c r="AC3" s="118"/>
      <c r="AD3" s="120">
        <v>-11.164999999999999</v>
      </c>
      <c r="AE3" s="118"/>
      <c r="AF3" s="118"/>
      <c r="AG3" s="118"/>
      <c r="AH3" s="121">
        <v>-9.0000000000000002E-6</v>
      </c>
      <c r="AI3" s="121">
        <v>-4.8000000000000001E-5</v>
      </c>
      <c r="AJ3" s="121">
        <v>0</v>
      </c>
    </row>
    <row r="4" spans="1:36" ht="15" customHeight="1">
      <c r="A4" s="119">
        <v>332</v>
      </c>
      <c r="B4" s="119">
        <v>332</v>
      </c>
      <c r="C4" s="118" t="s">
        <v>1245</v>
      </c>
      <c r="D4" s="119">
        <v>520000472</v>
      </c>
      <c r="E4" s="118" t="s">
        <v>308</v>
      </c>
      <c r="F4" s="118" t="s">
        <v>1253</v>
      </c>
      <c r="G4" s="119" t="s">
        <v>1254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439</v>
      </c>
      <c r="O4" s="118" t="s">
        <v>338</v>
      </c>
      <c r="P4" s="118" t="s">
        <v>1248</v>
      </c>
      <c r="Q4" s="118" t="s">
        <v>311</v>
      </c>
      <c r="R4" s="118" t="s">
        <v>406</v>
      </c>
      <c r="S4" s="118" t="s">
        <v>1212</v>
      </c>
      <c r="T4" s="120">
        <v>5.8</v>
      </c>
      <c r="U4" s="122">
        <v>48112</v>
      </c>
      <c r="V4" s="121">
        <v>2.3900000000000001E-2</v>
      </c>
      <c r="W4" s="121">
        <v>2.92E-2</v>
      </c>
      <c r="X4" s="118" t="s">
        <v>411</v>
      </c>
      <c r="Y4" s="118"/>
      <c r="Z4" s="120">
        <v>24671762</v>
      </c>
      <c r="AA4" s="120">
        <v>1</v>
      </c>
      <c r="AB4" s="120">
        <v>111.74</v>
      </c>
      <c r="AC4" s="118"/>
      <c r="AD4" s="120">
        <v>27568.226859999999</v>
      </c>
      <c r="AE4" s="118"/>
      <c r="AF4" s="118"/>
      <c r="AG4" s="118"/>
      <c r="AH4" s="121">
        <v>6.3429999999999997E-3</v>
      </c>
      <c r="AI4" s="121">
        <v>0.119008</v>
      </c>
      <c r="AJ4" s="121">
        <v>1.6379999999999999E-3</v>
      </c>
    </row>
    <row r="5" spans="1:36" ht="15" customHeight="1">
      <c r="A5" s="119">
        <v>332</v>
      </c>
      <c r="B5" s="119">
        <v>332</v>
      </c>
      <c r="C5" s="118" t="s">
        <v>1209</v>
      </c>
      <c r="D5" s="119">
        <v>520000118</v>
      </c>
      <c r="E5" s="118" t="s">
        <v>308</v>
      </c>
      <c r="F5" s="118" t="s">
        <v>1255</v>
      </c>
      <c r="G5" s="119" t="s">
        <v>1256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1212</v>
      </c>
      <c r="T5" s="120">
        <v>3.01</v>
      </c>
      <c r="U5" s="122">
        <v>47819</v>
      </c>
      <c r="V5" s="121">
        <v>1.7500000000000002E-2</v>
      </c>
      <c r="W5" s="121">
        <v>2.35E-2</v>
      </c>
      <c r="X5" s="118" t="s">
        <v>411</v>
      </c>
      <c r="Y5" s="118"/>
      <c r="Z5" s="120">
        <v>1977719.64</v>
      </c>
      <c r="AA5" s="120">
        <v>1</v>
      </c>
      <c r="AB5" s="120">
        <v>114.28</v>
      </c>
      <c r="AC5" s="118"/>
      <c r="AD5" s="120">
        <v>2260.1379999999999</v>
      </c>
      <c r="AE5" s="118"/>
      <c r="AF5" s="118"/>
      <c r="AG5" s="118"/>
      <c r="AH5" s="121">
        <v>7.6000000000000004E-4</v>
      </c>
      <c r="AI5" s="121">
        <v>9.7560000000000008E-3</v>
      </c>
      <c r="AJ5" s="121">
        <v>1.34E-4</v>
      </c>
    </row>
    <row r="6" spans="1:36" ht="15" customHeight="1">
      <c r="A6" s="119">
        <v>332</v>
      </c>
      <c r="B6" s="119">
        <v>332</v>
      </c>
      <c r="C6" s="118" t="s">
        <v>1257</v>
      </c>
      <c r="D6" s="119">
        <v>520032046</v>
      </c>
      <c r="E6" s="118" t="s">
        <v>308</v>
      </c>
      <c r="F6" s="118" t="s">
        <v>1258</v>
      </c>
      <c r="G6" s="119" t="s">
        <v>1259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1211</v>
      </c>
      <c r="Q6" s="118" t="s">
        <v>412</v>
      </c>
      <c r="R6" s="118" t="s">
        <v>406</v>
      </c>
      <c r="S6" s="118" t="s">
        <v>1212</v>
      </c>
      <c r="T6" s="120">
        <v>3.48</v>
      </c>
      <c r="U6" s="122">
        <v>48190</v>
      </c>
      <c r="V6" s="121">
        <v>1.6400000000000001E-2</v>
      </c>
      <c r="W6" s="121">
        <v>2.4500000000000001E-2</v>
      </c>
      <c r="X6" s="118" t="s">
        <v>411</v>
      </c>
      <c r="Y6" s="118"/>
      <c r="Z6" s="120">
        <v>4672058.4000000004</v>
      </c>
      <c r="AA6" s="120">
        <v>1</v>
      </c>
      <c r="AB6" s="120">
        <v>105.53</v>
      </c>
      <c r="AC6" s="118"/>
      <c r="AD6" s="120">
        <v>4930.4232300000003</v>
      </c>
      <c r="AE6" s="118"/>
      <c r="AF6" s="118"/>
      <c r="AG6" s="118"/>
      <c r="AH6" s="121">
        <v>4.3429999999999996E-3</v>
      </c>
      <c r="AI6" s="121">
        <v>2.1284000000000001E-2</v>
      </c>
      <c r="AJ6" s="121">
        <v>2.9300000000000002E-4</v>
      </c>
    </row>
    <row r="7" spans="1:36" ht="15" customHeight="1">
      <c r="A7" s="119">
        <v>332</v>
      </c>
      <c r="B7" s="119">
        <v>332</v>
      </c>
      <c r="C7" s="118" t="s">
        <v>1260</v>
      </c>
      <c r="D7" s="119">
        <v>520029935</v>
      </c>
      <c r="E7" s="118" t="s">
        <v>308</v>
      </c>
      <c r="F7" s="118" t="s">
        <v>1261</v>
      </c>
      <c r="G7" s="119" t="s">
        <v>1262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1212</v>
      </c>
      <c r="T7" s="120">
        <v>3.98</v>
      </c>
      <c r="U7" s="122">
        <v>48441</v>
      </c>
      <c r="V7" s="121">
        <v>2E-3</v>
      </c>
      <c r="W7" s="121">
        <v>2.52E-2</v>
      </c>
      <c r="X7" s="118" t="s">
        <v>411</v>
      </c>
      <c r="Y7" s="118"/>
      <c r="Z7" s="120">
        <v>6360112.0099999998</v>
      </c>
      <c r="AA7" s="120">
        <v>1</v>
      </c>
      <c r="AB7" s="120">
        <v>102.6</v>
      </c>
      <c r="AC7" s="118"/>
      <c r="AD7" s="120">
        <v>6525.4749199999997</v>
      </c>
      <c r="AE7" s="118"/>
      <c r="AF7" s="118"/>
      <c r="AG7" s="118"/>
      <c r="AH7" s="121">
        <v>1.7489999999999999E-3</v>
      </c>
      <c r="AI7" s="121">
        <v>2.8169E-2</v>
      </c>
      <c r="AJ7" s="121">
        <v>3.8699999999999997E-4</v>
      </c>
    </row>
    <row r="8" spans="1:36" ht="15" customHeight="1">
      <c r="A8" s="119">
        <v>332</v>
      </c>
      <c r="B8" s="119">
        <v>332</v>
      </c>
      <c r="C8" s="118" t="s">
        <v>1263</v>
      </c>
      <c r="D8" s="119">
        <v>520018078</v>
      </c>
      <c r="E8" s="118" t="s">
        <v>308</v>
      </c>
      <c r="F8" s="118" t="s">
        <v>1264</v>
      </c>
      <c r="G8" s="119" t="s">
        <v>1265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1212</v>
      </c>
      <c r="T8" s="120">
        <v>3.14</v>
      </c>
      <c r="U8" s="122">
        <v>46716</v>
      </c>
      <c r="V8" s="121">
        <v>1E-3</v>
      </c>
      <c r="W8" s="121">
        <v>2.3099999999999999E-2</v>
      </c>
      <c r="X8" s="118" t="s">
        <v>411</v>
      </c>
      <c r="Y8" s="118"/>
      <c r="Z8" s="120">
        <v>9628000</v>
      </c>
      <c r="AA8" s="120">
        <v>1</v>
      </c>
      <c r="AB8" s="120">
        <v>105.15</v>
      </c>
      <c r="AC8" s="118"/>
      <c r="AD8" s="120">
        <v>10123.842000000001</v>
      </c>
      <c r="AE8" s="118"/>
      <c r="AF8" s="118"/>
      <c r="AG8" s="118"/>
      <c r="AH8" s="121">
        <v>3.068E-3</v>
      </c>
      <c r="AI8" s="121">
        <v>4.3702999999999999E-2</v>
      </c>
      <c r="AJ8" s="121">
        <v>6.0099999999999997E-4</v>
      </c>
    </row>
    <row r="9" spans="1:36" ht="15" customHeight="1">
      <c r="A9" s="119">
        <v>332</v>
      </c>
      <c r="B9" s="119">
        <v>332</v>
      </c>
      <c r="C9" s="118" t="s">
        <v>1263</v>
      </c>
      <c r="D9" s="119">
        <v>520018078</v>
      </c>
      <c r="E9" s="118" t="s">
        <v>308</v>
      </c>
      <c r="F9" s="118" t="s">
        <v>1266</v>
      </c>
      <c r="G9" s="119" t="s">
        <v>1267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1212</v>
      </c>
      <c r="T9" s="120">
        <v>5.04</v>
      </c>
      <c r="U9" s="122">
        <v>48913</v>
      </c>
      <c r="V9" s="121">
        <v>2.0199999999999999E-2</v>
      </c>
      <c r="W9" s="121">
        <v>2.5899999999999999E-2</v>
      </c>
      <c r="X9" s="118" t="s">
        <v>411</v>
      </c>
      <c r="Y9" s="118"/>
      <c r="Z9" s="120">
        <v>25200000</v>
      </c>
      <c r="AA9" s="120">
        <v>1</v>
      </c>
      <c r="AB9" s="120">
        <v>101.35</v>
      </c>
      <c r="AC9" s="118"/>
      <c r="AD9" s="120">
        <v>25540.2</v>
      </c>
      <c r="AE9" s="118"/>
      <c r="AF9" s="118"/>
      <c r="AG9" s="118"/>
      <c r="AH9" s="121">
        <v>7.0619999999999997E-3</v>
      </c>
      <c r="AI9" s="121">
        <v>0.110253</v>
      </c>
      <c r="AJ9" s="121">
        <v>1.518E-3</v>
      </c>
    </row>
    <row r="10" spans="1:36" ht="15" customHeight="1">
      <c r="A10" s="119">
        <v>332</v>
      </c>
      <c r="B10" s="119">
        <v>332</v>
      </c>
      <c r="C10" s="118" t="s">
        <v>1268</v>
      </c>
      <c r="D10" s="119">
        <v>520010869</v>
      </c>
      <c r="E10" s="118" t="s">
        <v>308</v>
      </c>
      <c r="F10" s="118" t="s">
        <v>1269</v>
      </c>
      <c r="G10" s="119" t="s">
        <v>1270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476</v>
      </c>
      <c r="O10" s="118" t="s">
        <v>338</v>
      </c>
      <c r="P10" s="118" t="s">
        <v>1248</v>
      </c>
      <c r="Q10" s="118" t="s">
        <v>311</v>
      </c>
      <c r="R10" s="118" t="s">
        <v>406</v>
      </c>
      <c r="S10" s="118" t="s">
        <v>1212</v>
      </c>
      <c r="T10" s="120">
        <v>11.44</v>
      </c>
      <c r="U10" s="122">
        <v>56249</v>
      </c>
      <c r="V10" s="121">
        <v>2.07E-2</v>
      </c>
      <c r="W10" s="121">
        <v>3.2899999999999999E-2</v>
      </c>
      <c r="X10" s="118" t="s">
        <v>411</v>
      </c>
      <c r="Y10" s="118"/>
      <c r="Z10" s="120">
        <v>27561536.02</v>
      </c>
      <c r="AA10" s="120">
        <v>1</v>
      </c>
      <c r="AB10" s="120">
        <v>99.37</v>
      </c>
      <c r="AC10" s="118"/>
      <c r="AD10" s="120">
        <v>27387.89834</v>
      </c>
      <c r="AE10" s="118"/>
      <c r="AF10" s="118"/>
      <c r="AG10" s="118"/>
      <c r="AH10" s="121">
        <v>6.0520000000000001E-3</v>
      </c>
      <c r="AI10" s="121">
        <v>0.11823</v>
      </c>
      <c r="AJ10" s="121">
        <v>1.6280000000000001E-3</v>
      </c>
    </row>
    <row r="11" spans="1:36" ht="15" customHeight="1">
      <c r="A11" s="119">
        <v>332</v>
      </c>
      <c r="B11" s="119">
        <v>332</v>
      </c>
      <c r="C11" s="118" t="s">
        <v>1257</v>
      </c>
      <c r="D11" s="119">
        <v>520032046</v>
      </c>
      <c r="E11" s="118" t="s">
        <v>308</v>
      </c>
      <c r="F11" s="118" t="s">
        <v>1271</v>
      </c>
      <c r="G11" s="119" t="s">
        <v>1272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1211</v>
      </c>
      <c r="Q11" s="118" t="s">
        <v>412</v>
      </c>
      <c r="R11" s="118" t="s">
        <v>406</v>
      </c>
      <c r="S11" s="118" t="s">
        <v>1212</v>
      </c>
      <c r="T11" s="120">
        <v>3.43</v>
      </c>
      <c r="U11" s="122">
        <v>47950</v>
      </c>
      <c r="V11" s="121">
        <v>1E-3</v>
      </c>
      <c r="W11" s="121">
        <v>2.4799999999999999E-2</v>
      </c>
      <c r="X11" s="118" t="s">
        <v>411</v>
      </c>
      <c r="Y11" s="118"/>
      <c r="Z11" s="120">
        <v>2037836</v>
      </c>
      <c r="AA11" s="120">
        <v>1</v>
      </c>
      <c r="AB11" s="120">
        <v>102.63</v>
      </c>
      <c r="AC11" s="118"/>
      <c r="AD11" s="120">
        <v>2091.43109</v>
      </c>
      <c r="AE11" s="118"/>
      <c r="AF11" s="118"/>
      <c r="AG11" s="118"/>
      <c r="AH11" s="121">
        <v>7.8200000000000003E-4</v>
      </c>
      <c r="AI11" s="121">
        <v>9.0279999999999996E-3</v>
      </c>
      <c r="AJ11" s="121">
        <v>1.2400000000000001E-4</v>
      </c>
    </row>
    <row r="12" spans="1:36" ht="15" customHeight="1">
      <c r="A12" s="119">
        <v>332</v>
      </c>
      <c r="B12" s="119">
        <v>332</v>
      </c>
      <c r="C12" s="118" t="s">
        <v>1273</v>
      </c>
      <c r="D12" s="119">
        <v>513436394</v>
      </c>
      <c r="E12" s="118" t="s">
        <v>308</v>
      </c>
      <c r="F12" s="118" t="s">
        <v>1274</v>
      </c>
      <c r="G12" s="119" t="s">
        <v>1275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476</v>
      </c>
      <c r="O12" s="118" t="s">
        <v>338</v>
      </c>
      <c r="P12" s="118" t="s">
        <v>1276</v>
      </c>
      <c r="Q12" s="118" t="s">
        <v>414</v>
      </c>
      <c r="R12" s="118" t="s">
        <v>406</v>
      </c>
      <c r="S12" s="118" t="s">
        <v>1212</v>
      </c>
      <c r="T12" s="120">
        <v>5.47</v>
      </c>
      <c r="U12" s="122">
        <v>48760</v>
      </c>
      <c r="V12" s="121">
        <v>2.9499999999999998E-2</v>
      </c>
      <c r="W12" s="121">
        <v>2.7400000000000001E-2</v>
      </c>
      <c r="X12" s="118" t="s">
        <v>411</v>
      </c>
      <c r="Y12" s="118"/>
      <c r="Z12" s="120">
        <v>18307853.91</v>
      </c>
      <c r="AA12" s="120">
        <v>1</v>
      </c>
      <c r="AB12" s="120">
        <v>116.33</v>
      </c>
      <c r="AC12" s="118"/>
      <c r="AD12" s="120">
        <v>21297.526450000001</v>
      </c>
      <c r="AE12" s="118"/>
      <c r="AF12" s="118"/>
      <c r="AG12" s="118"/>
      <c r="AH12" s="121">
        <v>1.244E-2</v>
      </c>
      <c r="AI12" s="121">
        <v>9.1938000000000006E-2</v>
      </c>
      <c r="AJ12" s="121">
        <v>1.266E-3</v>
      </c>
    </row>
    <row r="13" spans="1:36" ht="15" customHeight="1">
      <c r="A13" s="119">
        <v>332</v>
      </c>
      <c r="B13" s="119">
        <v>332</v>
      </c>
      <c r="C13" s="118" t="s">
        <v>1209</v>
      </c>
      <c r="D13" s="119">
        <v>520000118</v>
      </c>
      <c r="E13" s="118" t="s">
        <v>308</v>
      </c>
      <c r="F13" s="118" t="s">
        <v>1277</v>
      </c>
      <c r="G13" s="119" t="s">
        <v>1278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447</v>
      </c>
      <c r="O13" s="118" t="s">
        <v>338</v>
      </c>
      <c r="P13" s="118" t="s">
        <v>1211</v>
      </c>
      <c r="Q13" s="118" t="s">
        <v>412</v>
      </c>
      <c r="R13" s="118" t="s">
        <v>406</v>
      </c>
      <c r="S13" s="118" t="s">
        <v>1212</v>
      </c>
      <c r="T13" s="120">
        <v>3.91</v>
      </c>
      <c r="U13" s="122">
        <v>48547</v>
      </c>
      <c r="V13" s="121">
        <v>1.3899999999999999E-2</v>
      </c>
      <c r="W13" s="121">
        <v>2.4799999999999999E-2</v>
      </c>
      <c r="X13" s="118" t="s">
        <v>411</v>
      </c>
      <c r="Y13" s="118"/>
      <c r="Z13" s="120">
        <v>1283400</v>
      </c>
      <c r="AA13" s="120">
        <v>1</v>
      </c>
      <c r="AB13" s="120">
        <v>103.84</v>
      </c>
      <c r="AC13" s="118"/>
      <c r="AD13" s="120">
        <v>1332.68256</v>
      </c>
      <c r="AE13" s="118"/>
      <c r="AF13" s="118"/>
      <c r="AG13" s="118"/>
      <c r="AH13" s="121">
        <v>7.1299999999999998E-4</v>
      </c>
      <c r="AI13" s="121">
        <v>5.7530000000000003E-3</v>
      </c>
      <c r="AJ13" s="121">
        <v>7.8999999999999996E-5</v>
      </c>
    </row>
    <row r="14" spans="1:36" ht="15" customHeight="1">
      <c r="A14" s="119">
        <v>332</v>
      </c>
      <c r="B14" s="119">
        <v>332</v>
      </c>
      <c r="C14" s="118" t="s">
        <v>1209</v>
      </c>
      <c r="D14" s="119">
        <v>520000118</v>
      </c>
      <c r="E14" s="118" t="s">
        <v>308</v>
      </c>
      <c r="F14" s="118" t="s">
        <v>1279</v>
      </c>
      <c r="G14" s="119" t="s">
        <v>1280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447</v>
      </c>
      <c r="O14" s="118" t="s">
        <v>338</v>
      </c>
      <c r="P14" s="118" t="s">
        <v>1211</v>
      </c>
      <c r="Q14" s="118" t="s">
        <v>412</v>
      </c>
      <c r="R14" s="118" t="s">
        <v>406</v>
      </c>
      <c r="S14" s="118" t="s">
        <v>1212</v>
      </c>
      <c r="T14" s="120">
        <v>3.56</v>
      </c>
      <c r="U14" s="122">
        <v>48191</v>
      </c>
      <c r="V14" s="121">
        <v>1E-3</v>
      </c>
      <c r="W14" s="121">
        <v>2.4E-2</v>
      </c>
      <c r="X14" s="118" t="s">
        <v>411</v>
      </c>
      <c r="Y14" s="118"/>
      <c r="Z14" s="120">
        <v>16793376.890000001</v>
      </c>
      <c r="AA14" s="120">
        <v>1</v>
      </c>
      <c r="AB14" s="120">
        <v>103.73</v>
      </c>
      <c r="AC14" s="118"/>
      <c r="AD14" s="120">
        <v>17419.769850000001</v>
      </c>
      <c r="AE14" s="118"/>
      <c r="AF14" s="118"/>
      <c r="AG14" s="118"/>
      <c r="AH14" s="121">
        <v>1.4930000000000001E-2</v>
      </c>
      <c r="AI14" s="121">
        <v>7.5199000000000002E-2</v>
      </c>
      <c r="AJ14" s="121">
        <v>1.0349999999999999E-3</v>
      </c>
    </row>
    <row r="15" spans="1:36" ht="15" customHeight="1">
      <c r="A15" s="119">
        <v>332</v>
      </c>
      <c r="B15" s="119">
        <v>332</v>
      </c>
      <c r="C15" s="118" t="s">
        <v>1249</v>
      </c>
      <c r="D15" s="119">
        <v>513893123</v>
      </c>
      <c r="E15" s="118" t="s">
        <v>308</v>
      </c>
      <c r="F15" s="118" t="s">
        <v>1281</v>
      </c>
      <c r="G15" s="119" t="s">
        <v>1251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442</v>
      </c>
      <c r="O15" s="118" t="s">
        <v>338</v>
      </c>
      <c r="P15" s="118" t="s">
        <v>1252</v>
      </c>
      <c r="Q15" s="118" t="s">
        <v>414</v>
      </c>
      <c r="R15" s="118" t="s">
        <v>406</v>
      </c>
      <c r="S15" s="118" t="s">
        <v>1212</v>
      </c>
      <c r="T15" s="120">
        <v>1.66</v>
      </c>
      <c r="U15" s="122">
        <v>46477</v>
      </c>
      <c r="V15" s="121">
        <v>3.5400000000000001E-2</v>
      </c>
      <c r="W15" s="121">
        <v>3.2199999999999999E-2</v>
      </c>
      <c r="X15" s="118" t="s">
        <v>411</v>
      </c>
      <c r="Y15" s="118"/>
      <c r="Z15" s="120">
        <v>3184006</v>
      </c>
      <c r="AA15" s="120">
        <v>1</v>
      </c>
      <c r="AB15" s="120">
        <v>107.7</v>
      </c>
      <c r="AC15" s="118"/>
      <c r="AD15" s="120">
        <v>3429.1744600000002</v>
      </c>
      <c r="AE15" s="118"/>
      <c r="AF15" s="118"/>
      <c r="AG15" s="118"/>
      <c r="AH15" s="121">
        <v>2.8500000000000001E-3</v>
      </c>
      <c r="AI15" s="121">
        <v>1.4803E-2</v>
      </c>
      <c r="AJ15" s="121">
        <v>2.03E-4</v>
      </c>
    </row>
    <row r="16" spans="1:36" ht="15" customHeight="1">
      <c r="A16" s="119">
        <v>332</v>
      </c>
      <c r="B16" s="119">
        <v>332</v>
      </c>
      <c r="C16" s="118" t="s">
        <v>1257</v>
      </c>
      <c r="D16" s="119">
        <v>520032046</v>
      </c>
      <c r="E16" s="118" t="s">
        <v>308</v>
      </c>
      <c r="F16" s="118" t="s">
        <v>1282</v>
      </c>
      <c r="G16" s="119" t="s">
        <v>1283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447</v>
      </c>
      <c r="O16" s="118" t="s">
        <v>338</v>
      </c>
      <c r="P16" s="118" t="s">
        <v>1211</v>
      </c>
      <c r="Q16" s="118" t="s">
        <v>412</v>
      </c>
      <c r="R16" s="118" t="s">
        <v>406</v>
      </c>
      <c r="S16" s="118" t="s">
        <v>1212</v>
      </c>
      <c r="T16" s="120">
        <v>4.38</v>
      </c>
      <c r="U16" s="122">
        <v>48938</v>
      </c>
      <c r="V16" s="121">
        <v>1.9900000000000001E-2</v>
      </c>
      <c r="W16" s="121">
        <v>2.5700000000000001E-2</v>
      </c>
      <c r="X16" s="118" t="s">
        <v>411</v>
      </c>
      <c r="Y16" s="118"/>
      <c r="Z16" s="120">
        <v>25200000</v>
      </c>
      <c r="AA16" s="120">
        <v>1</v>
      </c>
      <c r="AB16" s="120">
        <v>102.5</v>
      </c>
      <c r="AC16" s="118"/>
      <c r="AD16" s="120">
        <v>25830</v>
      </c>
      <c r="AE16" s="118"/>
      <c r="AF16" s="118"/>
      <c r="AG16" s="118"/>
      <c r="AH16" s="121">
        <v>9.3329999999999993E-3</v>
      </c>
      <c r="AI16" s="121">
        <v>0.11150500000000001</v>
      </c>
      <c r="AJ16" s="121">
        <v>1.5349999999999999E-3</v>
      </c>
    </row>
    <row r="17" spans="1:36" ht="15" customHeight="1">
      <c r="A17" s="119">
        <v>332</v>
      </c>
      <c r="B17" s="119">
        <v>332</v>
      </c>
      <c r="C17" s="118" t="s">
        <v>1257</v>
      </c>
      <c r="D17" s="119">
        <v>520032046</v>
      </c>
      <c r="E17" s="118" t="s">
        <v>308</v>
      </c>
      <c r="F17" s="118" t="s">
        <v>1284</v>
      </c>
      <c r="G17" s="119" t="s">
        <v>1285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1211</v>
      </c>
      <c r="Q17" s="118" t="s">
        <v>412</v>
      </c>
      <c r="R17" s="118" t="s">
        <v>406</v>
      </c>
      <c r="S17" s="118" t="s">
        <v>1212</v>
      </c>
      <c r="T17" s="120">
        <v>2.96</v>
      </c>
      <c r="U17" s="122">
        <v>46658</v>
      </c>
      <c r="V17" s="121">
        <v>1.2200000000000001E-2</v>
      </c>
      <c r="W17" s="121">
        <v>2.2599999999999999E-2</v>
      </c>
      <c r="X17" s="118" t="s">
        <v>411</v>
      </c>
      <c r="Y17" s="118"/>
      <c r="Z17" s="120">
        <v>7224635</v>
      </c>
      <c r="AA17" s="120">
        <v>1</v>
      </c>
      <c r="AB17" s="120">
        <v>113.04</v>
      </c>
      <c r="AC17" s="118"/>
      <c r="AD17" s="120">
        <v>8166.7273999999998</v>
      </c>
      <c r="AE17" s="118"/>
      <c r="AF17" s="118"/>
      <c r="AG17" s="118"/>
      <c r="AH17" s="121">
        <v>2.395E-3</v>
      </c>
      <c r="AI17" s="121">
        <v>3.5254000000000001E-2</v>
      </c>
      <c r="AJ17" s="121">
        <v>4.8500000000000003E-4</v>
      </c>
    </row>
    <row r="18" spans="1:36" ht="15" customHeight="1">
      <c r="A18" s="119">
        <v>332</v>
      </c>
      <c r="B18" s="119">
        <v>332</v>
      </c>
      <c r="C18" s="118" t="s">
        <v>1257</v>
      </c>
      <c r="D18" s="119">
        <v>520032046</v>
      </c>
      <c r="E18" s="118" t="s">
        <v>308</v>
      </c>
      <c r="F18" s="118" t="s">
        <v>1286</v>
      </c>
      <c r="G18" s="119" t="s">
        <v>1287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1211</v>
      </c>
      <c r="Q18" s="118" t="s">
        <v>412</v>
      </c>
      <c r="R18" s="118" t="s">
        <v>406</v>
      </c>
      <c r="S18" s="118" t="s">
        <v>1212</v>
      </c>
      <c r="T18" s="120">
        <v>5.72</v>
      </c>
      <c r="U18" s="122">
        <v>47665</v>
      </c>
      <c r="V18" s="121">
        <v>2E-3</v>
      </c>
      <c r="W18" s="121">
        <v>2.6200000000000001E-2</v>
      </c>
      <c r="X18" s="118" t="s">
        <v>411</v>
      </c>
      <c r="Y18" s="118"/>
      <c r="Z18" s="120">
        <v>16375500</v>
      </c>
      <c r="AA18" s="120">
        <v>1</v>
      </c>
      <c r="AB18" s="120">
        <v>100.79</v>
      </c>
      <c r="AC18" s="118"/>
      <c r="AD18" s="120">
        <v>16504.866450000001</v>
      </c>
      <c r="AE18" s="118"/>
      <c r="AF18" s="118"/>
      <c r="AG18" s="118"/>
      <c r="AH18" s="121">
        <v>1.7086E-2</v>
      </c>
      <c r="AI18" s="121">
        <v>7.1249000000000007E-2</v>
      </c>
      <c r="AJ18" s="121">
        <v>9.810000000000001E-4</v>
      </c>
    </row>
    <row r="19" spans="1:36" ht="15" customHeight="1">
      <c r="A19" s="119">
        <v>332</v>
      </c>
      <c r="B19" s="119">
        <v>332</v>
      </c>
      <c r="C19" s="118" t="s">
        <v>1209</v>
      </c>
      <c r="D19" s="119">
        <v>520000118</v>
      </c>
      <c r="E19" s="118" t="s">
        <v>308</v>
      </c>
      <c r="F19" s="118" t="s">
        <v>1288</v>
      </c>
      <c r="G19" s="119" t="s">
        <v>1289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1290</v>
      </c>
      <c r="Q19" s="118" t="s">
        <v>412</v>
      </c>
      <c r="R19" s="118" t="s">
        <v>406</v>
      </c>
      <c r="S19" s="118" t="s">
        <v>1212</v>
      </c>
      <c r="T19" s="120">
        <v>3.87</v>
      </c>
      <c r="U19" s="122">
        <v>47086</v>
      </c>
      <c r="V19" s="121">
        <v>3.09E-2</v>
      </c>
      <c r="W19" s="121">
        <v>3.0499999999999999E-2</v>
      </c>
      <c r="X19" s="118" t="s">
        <v>410</v>
      </c>
      <c r="Y19" s="118"/>
      <c r="Z19" s="120">
        <v>2350000</v>
      </c>
      <c r="AA19" s="120">
        <v>1</v>
      </c>
      <c r="AB19" s="120">
        <v>110.02</v>
      </c>
      <c r="AC19" s="118"/>
      <c r="AD19" s="120">
        <v>2585.4699999999998</v>
      </c>
      <c r="AE19" s="118"/>
      <c r="AF19" s="118"/>
      <c r="AG19" s="118"/>
      <c r="AH19" s="121">
        <v>2.4729999999999999E-3</v>
      </c>
      <c r="AI19" s="121">
        <v>1.1161000000000001E-2</v>
      </c>
      <c r="AJ19" s="121">
        <v>1.5300000000000001E-4</v>
      </c>
    </row>
    <row r="20" spans="1:36" ht="15" customHeight="1">
      <c r="A20" s="119">
        <v>332</v>
      </c>
      <c r="B20" s="119">
        <v>332</v>
      </c>
      <c r="C20" s="118" t="s">
        <v>1257</v>
      </c>
      <c r="D20" s="119">
        <v>520032046</v>
      </c>
      <c r="E20" s="118" t="s">
        <v>308</v>
      </c>
      <c r="F20" s="118" t="s">
        <v>1291</v>
      </c>
      <c r="G20" s="119" t="s">
        <v>1292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447</v>
      </c>
      <c r="O20" s="118" t="s">
        <v>338</v>
      </c>
      <c r="P20" s="118" t="s">
        <v>1211</v>
      </c>
      <c r="Q20" s="118" t="s">
        <v>412</v>
      </c>
      <c r="R20" s="118" t="s">
        <v>406</v>
      </c>
      <c r="S20" s="118" t="s">
        <v>1212</v>
      </c>
      <c r="T20" s="120">
        <v>4.05</v>
      </c>
      <c r="U20" s="122">
        <v>47048</v>
      </c>
      <c r="V20" s="121">
        <v>1E-3</v>
      </c>
      <c r="W20" s="121">
        <v>2.5000000000000001E-2</v>
      </c>
      <c r="X20" s="118" t="s">
        <v>411</v>
      </c>
      <c r="Y20" s="118"/>
      <c r="Z20" s="120">
        <v>10053628</v>
      </c>
      <c r="AA20" s="120">
        <v>1</v>
      </c>
      <c r="AB20" s="120">
        <v>102.41</v>
      </c>
      <c r="AC20" s="118"/>
      <c r="AD20" s="120">
        <v>10295.92043</v>
      </c>
      <c r="AE20" s="118"/>
      <c r="AF20" s="118"/>
      <c r="AG20" s="118"/>
      <c r="AH20" s="121">
        <v>2.9759999999999999E-3</v>
      </c>
      <c r="AI20" s="121">
        <v>4.4445999999999999E-2</v>
      </c>
      <c r="AJ20" s="121">
        <v>6.1200000000000002E-4</v>
      </c>
    </row>
    <row r="21" spans="1:36" ht="15" customHeight="1">
      <c r="A21" s="119">
        <v>332</v>
      </c>
      <c r="B21" s="119">
        <v>332</v>
      </c>
      <c r="C21" s="118" t="s">
        <v>1263</v>
      </c>
      <c r="D21" s="119">
        <v>520018078</v>
      </c>
      <c r="E21" s="118" t="s">
        <v>308</v>
      </c>
      <c r="F21" s="118" t="s">
        <v>1293</v>
      </c>
      <c r="G21" s="119" t="s">
        <v>1294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1211</v>
      </c>
      <c r="Q21" s="118" t="s">
        <v>412</v>
      </c>
      <c r="R21" s="118" t="s">
        <v>406</v>
      </c>
      <c r="S21" s="118" t="s">
        <v>1212</v>
      </c>
      <c r="T21" s="120">
        <v>5.14</v>
      </c>
      <c r="U21" s="122">
        <v>47447</v>
      </c>
      <c r="V21" s="121">
        <v>1E-3</v>
      </c>
      <c r="W21" s="121">
        <v>2.6200000000000001E-2</v>
      </c>
      <c r="X21" s="118" t="s">
        <v>411</v>
      </c>
      <c r="Y21" s="118"/>
      <c r="Z21" s="120">
        <v>4529614</v>
      </c>
      <c r="AA21" s="120">
        <v>1</v>
      </c>
      <c r="AB21" s="120">
        <v>99.1</v>
      </c>
      <c r="AC21" s="118"/>
      <c r="AD21" s="120">
        <v>4488.8474699999997</v>
      </c>
      <c r="AE21" s="118"/>
      <c r="AF21" s="118"/>
      <c r="AG21" s="118"/>
      <c r="AH21" s="121">
        <v>1.8209999999999999E-3</v>
      </c>
      <c r="AI21" s="121">
        <v>1.9376999999999998E-2</v>
      </c>
      <c r="AJ21" s="121">
        <v>2.6600000000000001E-4</v>
      </c>
    </row>
    <row r="22" spans="1:36" ht="15" customHeight="1">
      <c r="A22" s="119">
        <v>332</v>
      </c>
      <c r="B22" s="119">
        <v>332</v>
      </c>
      <c r="C22" s="118" t="s">
        <v>1245</v>
      </c>
      <c r="D22" s="119">
        <v>520000472</v>
      </c>
      <c r="E22" s="118" t="s">
        <v>308</v>
      </c>
      <c r="F22" s="118" t="s">
        <v>1295</v>
      </c>
      <c r="G22" s="119" t="s">
        <v>1296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439</v>
      </c>
      <c r="O22" s="118" t="s">
        <v>338</v>
      </c>
      <c r="P22" s="118" t="s">
        <v>1248</v>
      </c>
      <c r="Q22" s="118" t="s">
        <v>311</v>
      </c>
      <c r="R22" s="118" t="s">
        <v>406</v>
      </c>
      <c r="S22" s="118" t="s">
        <v>1212</v>
      </c>
      <c r="T22" s="120">
        <v>10.76</v>
      </c>
      <c r="U22" s="122">
        <v>49825</v>
      </c>
      <c r="V22" s="121">
        <v>1.2500000000000001E-2</v>
      </c>
      <c r="W22" s="121">
        <v>3.49E-2</v>
      </c>
      <c r="X22" s="118" t="s">
        <v>411</v>
      </c>
      <c r="Y22" s="118"/>
      <c r="Z22" s="120">
        <v>4957600</v>
      </c>
      <c r="AA22" s="120">
        <v>1</v>
      </c>
      <c r="AB22" s="120">
        <v>90</v>
      </c>
      <c r="AC22" s="118"/>
      <c r="AD22" s="120">
        <v>4461.84</v>
      </c>
      <c r="AE22" s="118"/>
      <c r="AF22" s="118"/>
      <c r="AG22" s="118"/>
      <c r="AH22" s="121">
        <v>1.155E-3</v>
      </c>
      <c r="AI22" s="121">
        <v>1.9261E-2</v>
      </c>
      <c r="AJ22" s="121">
        <v>2.6499999999999999E-4</v>
      </c>
    </row>
    <row r="23" spans="1:36" ht="15" customHeight="1">
      <c r="A23" s="119">
        <v>332</v>
      </c>
      <c r="B23" s="119">
        <v>332</v>
      </c>
      <c r="C23" s="118" t="s">
        <v>1249</v>
      </c>
      <c r="D23" s="119">
        <v>513893123</v>
      </c>
      <c r="E23" s="118" t="s">
        <v>308</v>
      </c>
      <c r="F23" s="118" t="s">
        <v>1297</v>
      </c>
      <c r="G23" s="119" t="s">
        <v>1298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442</v>
      </c>
      <c r="O23" s="118" t="s">
        <v>338</v>
      </c>
      <c r="P23" s="118" t="s">
        <v>1252</v>
      </c>
      <c r="Q23" s="118" t="s">
        <v>414</v>
      </c>
      <c r="R23" s="118" t="s">
        <v>406</v>
      </c>
      <c r="S23" s="118" t="s">
        <v>1212</v>
      </c>
      <c r="T23" s="120">
        <v>0.66</v>
      </c>
      <c r="U23" s="122">
        <v>46054</v>
      </c>
      <c r="V23" s="121">
        <v>0.01</v>
      </c>
      <c r="W23" s="121">
        <v>2.7099999999999999E-2</v>
      </c>
      <c r="X23" s="118" t="s">
        <v>411</v>
      </c>
      <c r="Y23" s="118"/>
      <c r="Z23" s="120">
        <v>1891023.86</v>
      </c>
      <c r="AA23" s="120">
        <v>1</v>
      </c>
      <c r="AB23" s="120">
        <v>113.12</v>
      </c>
      <c r="AC23" s="118"/>
      <c r="AD23" s="120">
        <v>2139.12619</v>
      </c>
      <c r="AE23" s="118"/>
      <c r="AF23" s="118"/>
      <c r="AG23" s="118"/>
      <c r="AH23" s="121">
        <v>6.2110000000000004E-3</v>
      </c>
      <c r="AI23" s="121">
        <v>9.2339999999999992E-3</v>
      </c>
      <c r="AJ23" s="121">
        <v>1.27E-4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4"/>
  <sheetViews>
    <sheetView rightToLeft="1" topLeftCell="E1" workbookViewId="0">
      <selection activeCell="S20" sqref="S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1.12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1299</v>
      </c>
      <c r="D2" s="119">
        <v>510938608</v>
      </c>
      <c r="E2" s="118" t="s">
        <v>308</v>
      </c>
      <c r="F2" s="118" t="s">
        <v>1300</v>
      </c>
      <c r="G2" s="119" t="s">
        <v>1301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573</v>
      </c>
      <c r="N2" s="118" t="s">
        <v>338</v>
      </c>
      <c r="O2" s="118" t="s">
        <v>1212</v>
      </c>
      <c r="P2" s="120">
        <v>217682.29</v>
      </c>
      <c r="Q2" s="120">
        <v>1</v>
      </c>
      <c r="R2" s="120">
        <v>20810</v>
      </c>
      <c r="S2" s="120"/>
      <c r="T2" s="120">
        <v>45299.684549999998</v>
      </c>
      <c r="U2" s="121">
        <v>6.8120000000000003E-3</v>
      </c>
      <c r="V2" s="121">
        <v>6.6362000000000004E-2</v>
      </c>
      <c r="W2" s="121">
        <v>2.6930000000000001E-3</v>
      </c>
    </row>
    <row r="3" spans="1:26" ht="15" customHeight="1">
      <c r="A3" s="119">
        <v>332</v>
      </c>
      <c r="B3" s="119">
        <v>332</v>
      </c>
      <c r="C3" s="118" t="s">
        <v>1302</v>
      </c>
      <c r="D3" s="119">
        <v>513765339</v>
      </c>
      <c r="E3" s="118" t="s">
        <v>308</v>
      </c>
      <c r="F3" s="118" t="s">
        <v>1303</v>
      </c>
      <c r="G3" s="119" t="s">
        <v>1304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574</v>
      </c>
      <c r="N3" s="118" t="s">
        <v>338</v>
      </c>
      <c r="O3" s="118" t="s">
        <v>1212</v>
      </c>
      <c r="P3" s="120">
        <v>3177180</v>
      </c>
      <c r="Q3" s="120">
        <v>1</v>
      </c>
      <c r="R3" s="120">
        <v>357.69</v>
      </c>
      <c r="S3" s="118"/>
      <c r="T3" s="120">
        <v>11364.45514</v>
      </c>
      <c r="U3" s="121">
        <v>3.3310000000000002E-3</v>
      </c>
      <c r="V3" s="121">
        <v>1.6648E-2</v>
      </c>
      <c r="W3" s="121">
        <v>6.7500000000000004E-4</v>
      </c>
    </row>
    <row r="4" spans="1:26" ht="15" customHeight="1">
      <c r="A4" s="119">
        <v>332</v>
      </c>
      <c r="B4" s="119">
        <v>332</v>
      </c>
      <c r="C4" s="118" t="s">
        <v>1305</v>
      </c>
      <c r="D4" s="119">
        <v>511776783</v>
      </c>
      <c r="E4" s="118" t="s">
        <v>308</v>
      </c>
      <c r="F4" s="118" t="s">
        <v>1306</v>
      </c>
      <c r="G4" s="119" t="s">
        <v>1307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1212</v>
      </c>
      <c r="P4" s="120">
        <v>4845640</v>
      </c>
      <c r="Q4" s="120">
        <v>1</v>
      </c>
      <c r="R4" s="120">
        <v>373.22</v>
      </c>
      <c r="S4" s="118"/>
      <c r="T4" s="120">
        <v>18084.89761</v>
      </c>
      <c r="U4" s="121">
        <v>1.9875E-2</v>
      </c>
      <c r="V4" s="121">
        <v>2.6492999999999999E-2</v>
      </c>
      <c r="W4" s="121">
        <v>1.075E-3</v>
      </c>
    </row>
    <row r="5" spans="1:26" ht="15" customHeight="1">
      <c r="A5" s="119">
        <v>332</v>
      </c>
      <c r="B5" s="119">
        <v>332</v>
      </c>
      <c r="C5" s="118" t="s">
        <v>1308</v>
      </c>
      <c r="D5" s="119">
        <v>513534974</v>
      </c>
      <c r="E5" s="118" t="s">
        <v>308</v>
      </c>
      <c r="F5" s="118" t="s">
        <v>1309</v>
      </c>
      <c r="G5" s="119" t="s">
        <v>1310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574</v>
      </c>
      <c r="N5" s="118" t="s">
        <v>338</v>
      </c>
      <c r="O5" s="118" t="s">
        <v>1212</v>
      </c>
      <c r="P5" s="120">
        <v>517738</v>
      </c>
      <c r="Q5" s="120">
        <v>1</v>
      </c>
      <c r="R5" s="120">
        <v>356.82</v>
      </c>
      <c r="S5" s="118"/>
      <c r="T5" s="120">
        <v>1847.39273</v>
      </c>
      <c r="U5" s="121">
        <v>9.01E-4</v>
      </c>
      <c r="V5" s="121">
        <v>2.7060000000000001E-3</v>
      </c>
      <c r="W5" s="121">
        <v>1.0900000000000001E-4</v>
      </c>
    </row>
    <row r="6" spans="1:26" ht="15" customHeight="1">
      <c r="A6" s="119">
        <v>332</v>
      </c>
      <c r="B6" s="119">
        <v>332</v>
      </c>
      <c r="C6" s="118" t="s">
        <v>1305</v>
      </c>
      <c r="D6" s="119">
        <v>511776783</v>
      </c>
      <c r="E6" s="118" t="s">
        <v>308</v>
      </c>
      <c r="F6" s="118" t="s">
        <v>1311</v>
      </c>
      <c r="G6" s="119" t="s">
        <v>1312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573</v>
      </c>
      <c r="N6" s="118" t="s">
        <v>338</v>
      </c>
      <c r="O6" s="118" t="s">
        <v>1212</v>
      </c>
      <c r="P6" s="120">
        <v>234781</v>
      </c>
      <c r="Q6" s="120">
        <v>1</v>
      </c>
      <c r="R6" s="120">
        <v>2094</v>
      </c>
      <c r="S6" s="118"/>
      <c r="T6" s="120">
        <v>4916.3141400000004</v>
      </c>
      <c r="U6" s="121">
        <v>2.7550000000000001E-3</v>
      </c>
      <c r="V6" s="121">
        <v>7.2020000000000001E-3</v>
      </c>
      <c r="W6" s="121">
        <v>2.92E-4</v>
      </c>
    </row>
    <row r="7" spans="1:26" ht="15" customHeight="1">
      <c r="A7" s="119">
        <v>332</v>
      </c>
      <c r="B7" s="119">
        <v>332</v>
      </c>
      <c r="C7" s="118" t="s">
        <v>1299</v>
      </c>
      <c r="D7" s="119">
        <v>510938608</v>
      </c>
      <c r="E7" s="118" t="s">
        <v>308</v>
      </c>
      <c r="F7" s="118" t="s">
        <v>1313</v>
      </c>
      <c r="G7" s="119" t="s">
        <v>1314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574</v>
      </c>
      <c r="N7" s="118" t="s">
        <v>338</v>
      </c>
      <c r="O7" s="118" t="s">
        <v>1212</v>
      </c>
      <c r="P7" s="120">
        <v>313071</v>
      </c>
      <c r="Q7" s="120">
        <v>1</v>
      </c>
      <c r="R7" s="120">
        <v>3548.42</v>
      </c>
      <c r="S7" s="118"/>
      <c r="T7" s="120">
        <v>11109.073979999999</v>
      </c>
      <c r="U7" s="121">
        <v>1.4227999999999999E-2</v>
      </c>
      <c r="V7" s="121">
        <v>1.6274E-2</v>
      </c>
      <c r="W7" s="121">
        <v>6.6E-4</v>
      </c>
    </row>
    <row r="8" spans="1:26" ht="15" customHeight="1">
      <c r="A8" s="119">
        <v>332</v>
      </c>
      <c r="B8" s="119">
        <v>332</v>
      </c>
      <c r="C8" s="118" t="s">
        <v>1315</v>
      </c>
      <c r="D8" s="119">
        <v>511303661</v>
      </c>
      <c r="E8" s="118" t="s">
        <v>308</v>
      </c>
      <c r="F8" s="118" t="s">
        <v>1316</v>
      </c>
      <c r="G8" s="119" t="s">
        <v>1317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573</v>
      </c>
      <c r="N8" s="118" t="s">
        <v>338</v>
      </c>
      <c r="O8" s="118" t="s">
        <v>1212</v>
      </c>
      <c r="P8" s="120">
        <v>2536010</v>
      </c>
      <c r="Q8" s="120">
        <v>1</v>
      </c>
      <c r="R8" s="120">
        <v>2849</v>
      </c>
      <c r="S8" s="118"/>
      <c r="T8" s="120">
        <v>72250.924899999998</v>
      </c>
      <c r="U8" s="121">
        <v>3.6228000000000003E-2</v>
      </c>
      <c r="V8" s="121">
        <v>0.10584399999999999</v>
      </c>
      <c r="W8" s="121">
        <v>4.2950000000000002E-3</v>
      </c>
    </row>
    <row r="9" spans="1:26" ht="15" customHeight="1">
      <c r="A9" s="119">
        <v>332</v>
      </c>
      <c r="B9" s="119">
        <v>332</v>
      </c>
      <c r="C9" s="118" t="s">
        <v>1305</v>
      </c>
      <c r="D9" s="119">
        <v>511776783</v>
      </c>
      <c r="E9" s="118" t="s">
        <v>308</v>
      </c>
      <c r="F9" s="118" t="s">
        <v>1318</v>
      </c>
      <c r="G9" s="119" t="s">
        <v>1319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1212</v>
      </c>
      <c r="P9" s="120">
        <v>2238580</v>
      </c>
      <c r="Q9" s="120">
        <v>1</v>
      </c>
      <c r="R9" s="120">
        <v>355.31</v>
      </c>
      <c r="S9" s="118"/>
      <c r="T9" s="120">
        <v>7953.8986000000004</v>
      </c>
      <c r="U9" s="121">
        <v>1.5448999999999999E-2</v>
      </c>
      <c r="V9" s="121">
        <v>1.1651999999999999E-2</v>
      </c>
      <c r="W9" s="121">
        <v>4.7199999999999998E-4</v>
      </c>
    </row>
    <row r="10" spans="1:26" ht="15" customHeight="1">
      <c r="A10" s="119">
        <v>332</v>
      </c>
      <c r="B10" s="119">
        <v>332</v>
      </c>
      <c r="C10" s="118" t="s">
        <v>1299</v>
      </c>
      <c r="D10" s="119">
        <v>510938608</v>
      </c>
      <c r="E10" s="118" t="s">
        <v>308</v>
      </c>
      <c r="F10" s="118" t="s">
        <v>1320</v>
      </c>
      <c r="G10" s="119" t="s">
        <v>1321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572</v>
      </c>
      <c r="N10" s="118" t="s">
        <v>338</v>
      </c>
      <c r="O10" s="118" t="s">
        <v>1212</v>
      </c>
      <c r="P10" s="120">
        <v>832723.37</v>
      </c>
      <c r="Q10" s="120">
        <v>1</v>
      </c>
      <c r="R10" s="120">
        <v>3695.59</v>
      </c>
      <c r="S10" s="118"/>
      <c r="T10" s="120">
        <v>30774.041590000001</v>
      </c>
      <c r="U10" s="121">
        <v>1.0551E-2</v>
      </c>
      <c r="V10" s="121">
        <v>4.5081999999999997E-2</v>
      </c>
      <c r="W10" s="121">
        <v>1.8289999999999999E-3</v>
      </c>
    </row>
    <row r="11" spans="1:26" ht="15" customHeight="1">
      <c r="A11" s="119">
        <v>332</v>
      </c>
      <c r="B11" s="119">
        <v>332</v>
      </c>
      <c r="C11" s="118" t="s">
        <v>1322</v>
      </c>
      <c r="D11" s="119" t="s">
        <v>1323</v>
      </c>
      <c r="E11" s="118" t="s">
        <v>312</v>
      </c>
      <c r="F11" s="118" t="s">
        <v>1324</v>
      </c>
      <c r="G11" s="119" t="s">
        <v>1325</v>
      </c>
      <c r="H11" s="118" t="s">
        <v>320</v>
      </c>
      <c r="I11" s="118" t="s">
        <v>966</v>
      </c>
      <c r="J11" s="118" t="s">
        <v>204</v>
      </c>
      <c r="K11" s="118" t="s">
        <v>295</v>
      </c>
      <c r="L11" s="118" t="s">
        <v>379</v>
      </c>
      <c r="M11" s="130" t="s">
        <v>734</v>
      </c>
      <c r="N11" s="118" t="s">
        <v>338</v>
      </c>
      <c r="O11" s="118" t="s">
        <v>1218</v>
      </c>
      <c r="P11" s="120">
        <v>263654</v>
      </c>
      <c r="Q11" s="120">
        <v>3.71</v>
      </c>
      <c r="R11" s="120">
        <v>5240</v>
      </c>
      <c r="S11" s="118"/>
      <c r="T11" s="120">
        <v>51255.392220000002</v>
      </c>
      <c r="U11" s="121">
        <v>5.8050000000000003E-3</v>
      </c>
      <c r="V11" s="121">
        <v>7.5086E-2</v>
      </c>
      <c r="W11" s="121">
        <v>3.0469999999999998E-3</v>
      </c>
      <c r="X11" s="132"/>
    </row>
    <row r="12" spans="1:26" ht="15" customHeight="1">
      <c r="A12" s="119">
        <v>332</v>
      </c>
      <c r="B12" s="119">
        <v>332</v>
      </c>
      <c r="C12" s="118" t="s">
        <v>1326</v>
      </c>
      <c r="D12" s="119" t="s">
        <v>1327</v>
      </c>
      <c r="E12" s="118" t="s">
        <v>312</v>
      </c>
      <c r="F12" s="118" t="s">
        <v>1328</v>
      </c>
      <c r="G12" s="119" t="s">
        <v>1329</v>
      </c>
      <c r="H12" s="118" t="s">
        <v>320</v>
      </c>
      <c r="I12" s="118" t="s">
        <v>966</v>
      </c>
      <c r="J12" s="118" t="s">
        <v>204</v>
      </c>
      <c r="K12" s="118" t="s">
        <v>288</v>
      </c>
      <c r="L12" s="118" t="s">
        <v>379</v>
      </c>
      <c r="M12" s="130" t="s">
        <v>734</v>
      </c>
      <c r="N12" s="118" t="s">
        <v>338</v>
      </c>
      <c r="O12" s="118" t="s">
        <v>1218</v>
      </c>
      <c r="P12" s="120">
        <v>855330</v>
      </c>
      <c r="Q12" s="120">
        <v>3.71</v>
      </c>
      <c r="R12" s="120">
        <v>10742</v>
      </c>
      <c r="S12" s="118"/>
      <c r="T12" s="120">
        <v>340873.12530999997</v>
      </c>
      <c r="U12" s="121">
        <v>1.08E-3</v>
      </c>
      <c r="V12" s="121">
        <v>0.49936399999999997</v>
      </c>
      <c r="W12" s="121">
        <v>2.0264999999999998E-2</v>
      </c>
      <c r="X12" s="132"/>
    </row>
    <row r="13" spans="1:26" ht="15" customHeight="1">
      <c r="A13" s="119">
        <v>332</v>
      </c>
      <c r="B13" s="119">
        <v>332</v>
      </c>
      <c r="C13" s="118" t="s">
        <v>1330</v>
      </c>
      <c r="D13" s="119" t="s">
        <v>1331</v>
      </c>
      <c r="E13" s="118" t="s">
        <v>312</v>
      </c>
      <c r="F13" s="118" t="s">
        <v>1332</v>
      </c>
      <c r="G13" s="119" t="s">
        <v>1333</v>
      </c>
      <c r="H13" s="118" t="s">
        <v>320</v>
      </c>
      <c r="I13" s="118" t="s">
        <v>966</v>
      </c>
      <c r="J13" s="118" t="s">
        <v>204</v>
      </c>
      <c r="K13" s="118" t="s">
        <v>288</v>
      </c>
      <c r="L13" s="118" t="s">
        <v>379</v>
      </c>
      <c r="M13" s="130" t="s">
        <v>734</v>
      </c>
      <c r="N13" s="118" t="s">
        <v>338</v>
      </c>
      <c r="O13" s="118" t="s">
        <v>1218</v>
      </c>
      <c r="P13" s="120">
        <v>99491</v>
      </c>
      <c r="Q13" s="120">
        <v>3.71</v>
      </c>
      <c r="R13" s="120">
        <v>3923</v>
      </c>
      <c r="S13" s="118"/>
      <c r="T13" s="120">
        <v>14480.248460000001</v>
      </c>
      <c r="U13" s="121">
        <v>4.3800000000000002E-4</v>
      </c>
      <c r="V13" s="121">
        <v>2.1212000000000002E-2</v>
      </c>
      <c r="W13" s="121">
        <v>8.5999999999999998E-4</v>
      </c>
      <c r="X13" s="132"/>
    </row>
    <row r="14" spans="1:26" ht="15" customHeight="1">
      <c r="A14" s="119">
        <v>332</v>
      </c>
      <c r="B14" s="119">
        <v>332</v>
      </c>
      <c r="C14" s="118" t="s">
        <v>1334</v>
      </c>
      <c r="D14" s="119" t="s">
        <v>1335</v>
      </c>
      <c r="E14" s="118" t="s">
        <v>312</v>
      </c>
      <c r="F14" s="118" t="s">
        <v>1336</v>
      </c>
      <c r="G14" s="119" t="s">
        <v>1337</v>
      </c>
      <c r="H14" s="118" t="s">
        <v>320</v>
      </c>
      <c r="I14" s="118" t="s">
        <v>966</v>
      </c>
      <c r="J14" s="118" t="s">
        <v>204</v>
      </c>
      <c r="K14" s="118" t="s">
        <v>288</v>
      </c>
      <c r="L14" s="118" t="s">
        <v>379</v>
      </c>
      <c r="M14" s="130" t="s">
        <v>734</v>
      </c>
      <c r="N14" s="118" t="s">
        <v>338</v>
      </c>
      <c r="O14" s="118" t="s">
        <v>1218</v>
      </c>
      <c r="P14" s="120">
        <v>165924</v>
      </c>
      <c r="Q14" s="120">
        <v>3.71</v>
      </c>
      <c r="R14" s="120">
        <v>11762</v>
      </c>
      <c r="S14" s="118"/>
      <c r="T14" s="120">
        <v>72404.289059999996</v>
      </c>
      <c r="U14" s="121">
        <v>1.47E-3</v>
      </c>
      <c r="V14" s="121">
        <v>0.106069</v>
      </c>
      <c r="W14" s="121">
        <v>4.3039999999999997E-3</v>
      </c>
      <c r="X14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P1" workbookViewId="0">
      <selection activeCell="AJ4" sqref="AJ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>
      <selection activeCell="C1" sqref="C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>
      <selection activeCell="A7" sqref="A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4"/>
  <sheetViews>
    <sheetView rightToLeft="1" workbookViewId="0">
      <selection activeCell="K16" sqref="K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984</v>
      </c>
      <c r="D2" s="118" t="s">
        <v>1338</v>
      </c>
      <c r="E2" s="119">
        <v>8287740</v>
      </c>
      <c r="F2" s="122">
        <v>40545</v>
      </c>
      <c r="G2" s="120">
        <v>1.22</v>
      </c>
      <c r="H2" s="118" t="s">
        <v>753</v>
      </c>
      <c r="I2" s="122">
        <v>46024</v>
      </c>
      <c r="J2" s="121">
        <v>4.8000000000000001E-2</v>
      </c>
      <c r="K2" s="121">
        <v>1.38E-2</v>
      </c>
      <c r="L2" s="120">
        <v>188571000</v>
      </c>
      <c r="M2" s="120">
        <v>128.75579999999999</v>
      </c>
      <c r="N2" s="120">
        <v>242796.16579</v>
      </c>
      <c r="O2" s="120"/>
      <c r="P2" s="118"/>
      <c r="Q2" s="121">
        <v>0.195328</v>
      </c>
      <c r="R2" s="121">
        <v>1.4434000000000001E-2</v>
      </c>
    </row>
    <row r="3" spans="1:26" ht="15" customHeight="1">
      <c r="A3" s="119">
        <v>332</v>
      </c>
      <c r="B3" s="119">
        <v>332</v>
      </c>
      <c r="C3" s="118" t="s">
        <v>984</v>
      </c>
      <c r="D3" s="118" t="s">
        <v>1339</v>
      </c>
      <c r="E3" s="119">
        <v>8288227</v>
      </c>
      <c r="F3" s="122">
        <v>42005</v>
      </c>
      <c r="G3" s="120">
        <v>4.71</v>
      </c>
      <c r="H3" s="118" t="s">
        <v>753</v>
      </c>
      <c r="I3" s="122">
        <v>47484</v>
      </c>
      <c r="J3" s="121">
        <v>4.8000000000000001E-2</v>
      </c>
      <c r="K3" s="121">
        <v>1.8499999999999999E-2</v>
      </c>
      <c r="L3" s="120">
        <v>9850000</v>
      </c>
      <c r="M3" s="120">
        <v>133.68049999999999</v>
      </c>
      <c r="N3" s="120">
        <v>13167.52643</v>
      </c>
      <c r="O3" s="118"/>
      <c r="P3" s="118"/>
      <c r="Q3" s="121">
        <v>1.0593E-2</v>
      </c>
      <c r="R3" s="121">
        <v>7.8200000000000003E-4</v>
      </c>
    </row>
    <row r="4" spans="1:26" ht="15" customHeight="1">
      <c r="A4" s="119">
        <v>332</v>
      </c>
      <c r="B4" s="119">
        <v>332</v>
      </c>
      <c r="C4" s="118" t="s">
        <v>984</v>
      </c>
      <c r="D4" s="118" t="s">
        <v>1340</v>
      </c>
      <c r="E4" s="119">
        <v>8288987</v>
      </c>
      <c r="F4" s="122">
        <v>44348</v>
      </c>
      <c r="G4" s="120">
        <v>9.3000000000000007</v>
      </c>
      <c r="H4" s="118" t="s">
        <v>753</v>
      </c>
      <c r="I4" s="122">
        <v>49827</v>
      </c>
      <c r="J4" s="121">
        <v>4.8000000000000001E-2</v>
      </c>
      <c r="K4" s="121">
        <v>2.1499999999999998E-2</v>
      </c>
      <c r="L4" s="120">
        <v>163872000</v>
      </c>
      <c r="M4" s="120">
        <v>147.1901</v>
      </c>
      <c r="N4" s="120">
        <v>241203.41284999999</v>
      </c>
      <c r="O4" s="118"/>
      <c r="P4" s="118"/>
      <c r="Q4" s="121">
        <v>0.194046</v>
      </c>
      <c r="R4" s="121">
        <v>1.4338999999999999E-2</v>
      </c>
    </row>
    <row r="5" spans="1:26" ht="15" customHeight="1">
      <c r="A5" s="119">
        <v>332</v>
      </c>
      <c r="B5" s="119">
        <v>332</v>
      </c>
      <c r="C5" s="118" t="s">
        <v>984</v>
      </c>
      <c r="D5" s="118" t="s">
        <v>1341</v>
      </c>
      <c r="E5" s="119">
        <v>8288599</v>
      </c>
      <c r="F5" s="122">
        <v>43132</v>
      </c>
      <c r="G5" s="120">
        <v>7.08</v>
      </c>
      <c r="H5" s="118" t="s">
        <v>753</v>
      </c>
      <c r="I5" s="122">
        <v>48611</v>
      </c>
      <c r="J5" s="121">
        <v>4.8000000000000001E-2</v>
      </c>
      <c r="K5" s="121">
        <v>2.0199999999999999E-2</v>
      </c>
      <c r="L5" s="120">
        <v>47201000</v>
      </c>
      <c r="M5" s="120">
        <v>141.91390000000001</v>
      </c>
      <c r="N5" s="120">
        <v>66984.776299999998</v>
      </c>
      <c r="O5" s="118"/>
      <c r="P5" s="118"/>
      <c r="Q5" s="121">
        <v>5.3887999999999998E-2</v>
      </c>
      <c r="R5" s="121">
        <v>3.9820000000000003E-3</v>
      </c>
    </row>
    <row r="6" spans="1:26" ht="15" customHeight="1">
      <c r="A6" s="119">
        <v>332</v>
      </c>
      <c r="B6" s="119">
        <v>332</v>
      </c>
      <c r="C6" s="118" t="s">
        <v>984</v>
      </c>
      <c r="D6" s="118" t="s">
        <v>1342</v>
      </c>
      <c r="E6" s="119">
        <v>8287989</v>
      </c>
      <c r="F6" s="122">
        <v>41275</v>
      </c>
      <c r="G6" s="120">
        <v>3.03</v>
      </c>
      <c r="H6" s="118" t="s">
        <v>753</v>
      </c>
      <c r="I6" s="122">
        <v>46754</v>
      </c>
      <c r="J6" s="121">
        <v>4.8000000000000001E-2</v>
      </c>
      <c r="K6" s="121">
        <v>1.6799999999999999E-2</v>
      </c>
      <c r="L6" s="120">
        <v>57618000</v>
      </c>
      <c r="M6" s="120">
        <v>130.38050000000001</v>
      </c>
      <c r="N6" s="120">
        <v>75122.625369999994</v>
      </c>
      <c r="O6" s="118"/>
      <c r="P6" s="118"/>
      <c r="Q6" s="121">
        <v>6.0435000000000003E-2</v>
      </c>
      <c r="R6" s="121">
        <v>4.4660000000000004E-3</v>
      </c>
    </row>
    <row r="7" spans="1:26" ht="15" customHeight="1">
      <c r="A7" s="119">
        <v>332</v>
      </c>
      <c r="B7" s="119">
        <v>332</v>
      </c>
      <c r="C7" s="118" t="s">
        <v>984</v>
      </c>
      <c r="D7" s="118" t="s">
        <v>1343</v>
      </c>
      <c r="E7" s="119">
        <v>8288359</v>
      </c>
      <c r="F7" s="122">
        <v>42401</v>
      </c>
      <c r="G7" s="120">
        <v>5.58</v>
      </c>
      <c r="H7" s="118" t="s">
        <v>753</v>
      </c>
      <c r="I7" s="122">
        <v>47880</v>
      </c>
      <c r="J7" s="121">
        <v>4.8000000000000001E-2</v>
      </c>
      <c r="K7" s="121">
        <v>1.9199999999999998E-2</v>
      </c>
      <c r="L7" s="120">
        <v>17243000</v>
      </c>
      <c r="M7" s="120">
        <v>137.41329999999999</v>
      </c>
      <c r="N7" s="120">
        <v>23694.1702</v>
      </c>
      <c r="O7" s="118"/>
      <c r="P7" s="118"/>
      <c r="Q7" s="121">
        <v>1.9061000000000002E-2</v>
      </c>
      <c r="R7" s="121">
        <v>1.408E-3</v>
      </c>
    </row>
    <row r="8" spans="1:26" ht="15" customHeight="1">
      <c r="A8" s="119">
        <v>332</v>
      </c>
      <c r="B8" s="119">
        <v>332</v>
      </c>
      <c r="C8" s="118" t="s">
        <v>984</v>
      </c>
      <c r="D8" s="118" t="s">
        <v>1344</v>
      </c>
      <c r="E8" s="119">
        <v>8288946</v>
      </c>
      <c r="F8" s="122">
        <v>44228</v>
      </c>
      <c r="G8" s="120">
        <v>9.15</v>
      </c>
      <c r="H8" s="118" t="s">
        <v>753</v>
      </c>
      <c r="I8" s="122">
        <v>49706</v>
      </c>
      <c r="J8" s="121">
        <v>4.8000000000000001E-2</v>
      </c>
      <c r="K8" s="121">
        <v>2.1399999999999999E-2</v>
      </c>
      <c r="L8" s="120">
        <v>74862000</v>
      </c>
      <c r="M8" s="120">
        <v>147.2687</v>
      </c>
      <c r="N8" s="120">
        <v>110248.31409</v>
      </c>
      <c r="O8" s="118"/>
      <c r="P8" s="118"/>
      <c r="Q8" s="121">
        <v>8.8693999999999995E-2</v>
      </c>
      <c r="R8" s="121">
        <v>6.5539999999999999E-3</v>
      </c>
    </row>
    <row r="9" spans="1:26" ht="15" customHeight="1">
      <c r="A9" s="119">
        <v>332</v>
      </c>
      <c r="B9" s="119">
        <v>332</v>
      </c>
      <c r="C9" s="118" t="s">
        <v>984</v>
      </c>
      <c r="D9" s="118" t="s">
        <v>1345</v>
      </c>
      <c r="E9" s="119">
        <v>8288078</v>
      </c>
      <c r="F9" s="122">
        <v>41548</v>
      </c>
      <c r="G9" s="120">
        <v>3.63</v>
      </c>
      <c r="H9" s="118" t="s">
        <v>753</v>
      </c>
      <c r="I9" s="122">
        <v>47027</v>
      </c>
      <c r="J9" s="121">
        <v>4.8000000000000001E-2</v>
      </c>
      <c r="K9" s="121">
        <v>1.7500000000000002E-2</v>
      </c>
      <c r="L9" s="120">
        <v>126456000</v>
      </c>
      <c r="M9" s="120">
        <v>131.3879</v>
      </c>
      <c r="N9" s="120">
        <v>166147.92663</v>
      </c>
      <c r="O9" s="118"/>
      <c r="P9" s="118"/>
      <c r="Q9" s="121">
        <v>0.13366500000000001</v>
      </c>
      <c r="R9" s="121">
        <v>9.8770000000000004E-3</v>
      </c>
    </row>
    <row r="10" spans="1:26" ht="15" customHeight="1">
      <c r="A10" s="119">
        <v>332</v>
      </c>
      <c r="B10" s="119">
        <v>332</v>
      </c>
      <c r="C10" s="118" t="s">
        <v>984</v>
      </c>
      <c r="D10" s="118" t="s">
        <v>1346</v>
      </c>
      <c r="E10" s="119">
        <v>8288839</v>
      </c>
      <c r="F10" s="122">
        <v>43863</v>
      </c>
      <c r="G10" s="120">
        <v>8.48</v>
      </c>
      <c r="H10" s="118" t="s">
        <v>753</v>
      </c>
      <c r="I10" s="122">
        <v>49342</v>
      </c>
      <c r="J10" s="121">
        <v>4.8000000000000001E-2</v>
      </c>
      <c r="K10" s="121">
        <v>2.1100000000000001E-2</v>
      </c>
      <c r="L10" s="120">
        <v>28080000</v>
      </c>
      <c r="M10" s="120">
        <v>144.1968</v>
      </c>
      <c r="N10" s="120">
        <v>40490.451059999999</v>
      </c>
      <c r="O10" s="118"/>
      <c r="P10" s="118"/>
      <c r="Q10" s="121">
        <v>3.2573999999999999E-2</v>
      </c>
      <c r="R10" s="121">
        <v>2.4069999999999999E-3</v>
      </c>
    </row>
    <row r="11" spans="1:26" ht="15" customHeight="1">
      <c r="A11" s="119">
        <v>332</v>
      </c>
      <c r="B11" s="119">
        <v>332</v>
      </c>
      <c r="C11" s="118" t="s">
        <v>984</v>
      </c>
      <c r="D11" s="118" t="s">
        <v>1347</v>
      </c>
      <c r="E11" s="119">
        <v>8288474</v>
      </c>
      <c r="F11" s="122">
        <v>42767</v>
      </c>
      <c r="G11" s="120">
        <v>6.34</v>
      </c>
      <c r="H11" s="118" t="s">
        <v>753</v>
      </c>
      <c r="I11" s="122">
        <v>48245</v>
      </c>
      <c r="J11" s="121">
        <v>4.8000000000000001E-2</v>
      </c>
      <c r="K11" s="121">
        <v>1.9699999999999999E-2</v>
      </c>
      <c r="L11" s="120">
        <v>71372000</v>
      </c>
      <c r="M11" s="120">
        <v>140.14619999999999</v>
      </c>
      <c r="N11" s="120">
        <v>100025.15982</v>
      </c>
      <c r="O11" s="118"/>
      <c r="P11" s="118"/>
      <c r="Q11" s="121">
        <v>8.0468999999999999E-2</v>
      </c>
      <c r="R11" s="121">
        <v>5.9459999999999999E-3</v>
      </c>
    </row>
    <row r="12" spans="1:26" ht="15" customHeight="1">
      <c r="A12" s="119">
        <v>332</v>
      </c>
      <c r="B12" s="119">
        <v>332</v>
      </c>
      <c r="C12" s="118" t="s">
        <v>984</v>
      </c>
      <c r="D12" s="118" t="s">
        <v>1348</v>
      </c>
      <c r="E12" s="119">
        <v>8288938</v>
      </c>
      <c r="F12" s="122">
        <v>44197</v>
      </c>
      <c r="G12" s="120">
        <v>9.06</v>
      </c>
      <c r="H12" s="118" t="s">
        <v>753</v>
      </c>
      <c r="I12" s="122">
        <v>49675</v>
      </c>
      <c r="J12" s="121">
        <v>4.8000000000000001E-2</v>
      </c>
      <c r="K12" s="121">
        <v>2.1399999999999999E-2</v>
      </c>
      <c r="L12" s="120">
        <v>8142000</v>
      </c>
      <c r="M12" s="120">
        <v>147.37430000000001</v>
      </c>
      <c r="N12" s="120">
        <v>11999.21722</v>
      </c>
      <c r="O12" s="118"/>
      <c r="P12" s="118"/>
      <c r="Q12" s="121">
        <v>9.6530000000000001E-3</v>
      </c>
      <c r="R12" s="121">
        <v>7.1299999999999998E-4</v>
      </c>
    </row>
    <row r="13" spans="1:26" ht="15" customHeight="1">
      <c r="A13" s="119">
        <v>332</v>
      </c>
      <c r="B13" s="119">
        <v>332</v>
      </c>
      <c r="C13" s="118" t="s">
        <v>984</v>
      </c>
      <c r="D13" s="118" t="s">
        <v>1349</v>
      </c>
      <c r="E13" s="119">
        <v>8288714</v>
      </c>
      <c r="F13" s="122">
        <v>43497</v>
      </c>
      <c r="G13" s="120">
        <v>7.79</v>
      </c>
      <c r="H13" s="118" t="s">
        <v>753</v>
      </c>
      <c r="I13" s="122">
        <v>48976</v>
      </c>
      <c r="J13" s="121">
        <v>4.8000000000000001E-2</v>
      </c>
      <c r="K13" s="121">
        <v>2.07E-2</v>
      </c>
      <c r="L13" s="120">
        <v>51977000</v>
      </c>
      <c r="M13" s="120">
        <v>142.9872</v>
      </c>
      <c r="N13" s="120">
        <v>74320.453330000004</v>
      </c>
      <c r="O13" s="118"/>
      <c r="P13" s="118"/>
      <c r="Q13" s="121">
        <v>5.9790000000000003E-2</v>
      </c>
      <c r="R13" s="121">
        <v>4.4180000000000001E-3</v>
      </c>
    </row>
    <row r="14" spans="1:26" ht="15" customHeight="1">
      <c r="A14" s="119">
        <v>332</v>
      </c>
      <c r="B14" s="119">
        <v>332</v>
      </c>
      <c r="C14" s="118" t="s">
        <v>984</v>
      </c>
      <c r="D14" s="118" t="s">
        <v>1350</v>
      </c>
      <c r="E14" s="119">
        <v>8288979</v>
      </c>
      <c r="F14" s="122">
        <v>44318</v>
      </c>
      <c r="G14" s="120">
        <v>9.2200000000000006</v>
      </c>
      <c r="H14" s="118" t="s">
        <v>753</v>
      </c>
      <c r="I14" s="122">
        <v>49797</v>
      </c>
      <c r="J14" s="121">
        <v>4.8000000000000001E-2</v>
      </c>
      <c r="K14" s="121">
        <v>2.1499999999999998E-2</v>
      </c>
      <c r="L14" s="120">
        <v>51909000</v>
      </c>
      <c r="M14" s="120">
        <v>147.98419999999999</v>
      </c>
      <c r="N14" s="120">
        <v>76817.120190000001</v>
      </c>
      <c r="O14" s="118"/>
      <c r="P14" s="118"/>
      <c r="Q14" s="121">
        <v>6.1797999999999999E-2</v>
      </c>
      <c r="R14" s="121">
        <v>4.5659999999999997E-3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P1" workbookViewId="0">
      <selection activeCell="W11" sqref="W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332</v>
      </c>
      <c r="B2" s="119">
        <v>332</v>
      </c>
      <c r="C2" s="118" t="s">
        <v>1268</v>
      </c>
      <c r="D2" s="119">
        <v>520010869</v>
      </c>
      <c r="E2" s="118" t="s">
        <v>308</v>
      </c>
      <c r="F2" s="118" t="s">
        <v>1351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1248</v>
      </c>
      <c r="Q2" s="118" t="s">
        <v>311</v>
      </c>
      <c r="R2" s="118" t="s">
        <v>406</v>
      </c>
      <c r="S2" s="118" t="s">
        <v>1212</v>
      </c>
      <c r="T2" s="120">
        <v>5.32</v>
      </c>
      <c r="U2" s="122">
        <v>50034</v>
      </c>
      <c r="V2" s="121">
        <v>3.0700000000000002E-2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45565</v>
      </c>
      <c r="AC2" s="122"/>
      <c r="AD2" s="120">
        <v>2137200.38</v>
      </c>
      <c r="AE2" s="120">
        <v>1</v>
      </c>
      <c r="AF2" s="120">
        <v>158.33000000000001</v>
      </c>
      <c r="AG2" s="120">
        <v>3383.8293600000002</v>
      </c>
      <c r="AH2" s="120"/>
      <c r="AI2" s="120"/>
      <c r="AJ2" s="118"/>
      <c r="AK2" s="121">
        <v>0.13378499999999999</v>
      </c>
      <c r="AL2" s="121">
        <v>2.0100000000000001E-4</v>
      </c>
    </row>
    <row r="3" spans="1:38" ht="15" customHeight="1">
      <c r="A3" s="119">
        <v>332</v>
      </c>
      <c r="B3" s="119">
        <v>332</v>
      </c>
      <c r="C3" s="118" t="s">
        <v>1268</v>
      </c>
      <c r="D3" s="119">
        <v>520010869</v>
      </c>
      <c r="E3" s="118" t="s">
        <v>308</v>
      </c>
      <c r="F3" s="118" t="s">
        <v>1352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1248</v>
      </c>
      <c r="Q3" s="118" t="s">
        <v>311</v>
      </c>
      <c r="R3" s="118" t="s">
        <v>406</v>
      </c>
      <c r="S3" s="118" t="s">
        <v>1212</v>
      </c>
      <c r="T3" s="120">
        <v>9.51</v>
      </c>
      <c r="U3" s="122">
        <v>54253</v>
      </c>
      <c r="V3" s="121">
        <v>3.3700000000000001E-2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45565</v>
      </c>
      <c r="AC3" s="118"/>
      <c r="AD3" s="120">
        <v>13846155.32</v>
      </c>
      <c r="AE3" s="120">
        <v>1</v>
      </c>
      <c r="AF3" s="120">
        <v>128.75</v>
      </c>
      <c r="AG3" s="120">
        <v>17826.92497</v>
      </c>
      <c r="AH3" s="118"/>
      <c r="AI3" s="118"/>
      <c r="AJ3" s="118"/>
      <c r="AK3" s="121">
        <v>0.70481899999999997</v>
      </c>
      <c r="AL3" s="121">
        <v>1.059E-3</v>
      </c>
    </row>
    <row r="4" spans="1:38" ht="15" customHeight="1">
      <c r="A4" s="119">
        <v>332</v>
      </c>
      <c r="B4" s="119">
        <v>332</v>
      </c>
      <c r="C4" s="118" t="s">
        <v>1273</v>
      </c>
      <c r="D4" s="119">
        <v>513436394</v>
      </c>
      <c r="E4" s="118" t="s">
        <v>308</v>
      </c>
      <c r="F4" s="118" t="s">
        <v>1353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1276</v>
      </c>
      <c r="Q4" s="118" t="s">
        <v>414</v>
      </c>
      <c r="R4" s="118" t="s">
        <v>406</v>
      </c>
      <c r="S4" s="118" t="s">
        <v>1212</v>
      </c>
      <c r="T4" s="120">
        <v>3.74</v>
      </c>
      <c r="U4" s="122">
        <v>48213</v>
      </c>
      <c r="V4" s="121">
        <v>2.8000000000000001E-2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45565</v>
      </c>
      <c r="AC4" s="118"/>
      <c r="AD4" s="120">
        <v>3146635.52</v>
      </c>
      <c r="AE4" s="120">
        <v>1</v>
      </c>
      <c r="AF4" s="120">
        <v>129.72999999999999</v>
      </c>
      <c r="AG4" s="120">
        <v>4082.1302599999999</v>
      </c>
      <c r="AH4" s="118"/>
      <c r="AI4" s="118"/>
      <c r="AJ4" s="118"/>
      <c r="AK4" s="121">
        <v>0.16139400000000001</v>
      </c>
      <c r="AL4" s="121">
        <v>2.42E-4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G1" workbookViewId="0">
      <selection activeCell="P23" sqref="P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25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9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313</v>
      </c>
      <c r="D2" s="119">
        <v>510905847</v>
      </c>
      <c r="E2" s="118" t="s">
        <v>308</v>
      </c>
      <c r="F2" s="118" t="s">
        <v>1354</v>
      </c>
      <c r="G2" s="119">
        <v>31000359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313</v>
      </c>
      <c r="N2" s="118" t="s">
        <v>338</v>
      </c>
      <c r="O2" s="122">
        <v>24473</v>
      </c>
      <c r="P2" s="118" t="s">
        <v>1212</v>
      </c>
      <c r="Q2" s="118" t="s">
        <v>313</v>
      </c>
      <c r="R2" s="118" t="s">
        <v>890</v>
      </c>
      <c r="S2" s="122">
        <v>45291</v>
      </c>
      <c r="T2" s="122"/>
      <c r="U2" s="120">
        <v>9405.1200000000008</v>
      </c>
      <c r="V2" s="120">
        <v>1</v>
      </c>
      <c r="W2" s="120">
        <v>9.9999999999999995E-7</v>
      </c>
      <c r="X2" s="120">
        <v>9.9999999999999995E-7</v>
      </c>
      <c r="Y2" s="121">
        <v>1</v>
      </c>
      <c r="Z2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332</v>
      </c>
      <c r="B2" s="119">
        <v>332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5" sqref="A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332</v>
      </c>
      <c r="B2" s="119">
        <v>332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topLeftCell="H1" workbookViewId="0">
      <selection activeCell="N8" sqref="N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27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1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 t="s">
        <v>1355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1356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45291</v>
      </c>
      <c r="Q2" s="118" t="s">
        <v>1212</v>
      </c>
      <c r="R2" s="120">
        <v>102000</v>
      </c>
      <c r="S2" s="120">
        <v>102000</v>
      </c>
      <c r="T2" s="120"/>
      <c r="U2" s="120"/>
      <c r="V2" s="118"/>
      <c r="W2" s="121">
        <v>1</v>
      </c>
      <c r="X2" s="121">
        <v>6.0629999999999998E-3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D1" workbookViewId="0">
      <selection activeCell="H4" sqref="H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1357</v>
      </c>
      <c r="D2" s="119">
        <v>7893837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1212</v>
      </c>
      <c r="K2" s="122">
        <v>45565</v>
      </c>
      <c r="L2" s="120">
        <v>13677584.26589</v>
      </c>
      <c r="M2" s="120">
        <v>1</v>
      </c>
      <c r="N2" s="120">
        <v>13677584.26589</v>
      </c>
      <c r="O2" s="120"/>
      <c r="P2" s="118"/>
      <c r="Q2" s="121">
        <v>0.99469099999999999</v>
      </c>
      <c r="R2" s="121">
        <v>0.81313999999999997</v>
      </c>
    </row>
    <row r="3" spans="1:26" ht="15" customHeight="1">
      <c r="A3" s="119">
        <v>332</v>
      </c>
      <c r="B3" s="119">
        <v>332</v>
      </c>
      <c r="C3" s="118" t="s">
        <v>1358</v>
      </c>
      <c r="D3" s="119">
        <v>7900000</v>
      </c>
      <c r="E3" s="118" t="s">
        <v>1033</v>
      </c>
      <c r="F3" s="118" t="s">
        <v>203</v>
      </c>
      <c r="G3" s="118" t="s">
        <v>203</v>
      </c>
      <c r="H3" s="118" t="s">
        <v>338</v>
      </c>
      <c r="I3" s="122">
        <v>39658</v>
      </c>
      <c r="J3" s="118" t="s">
        <v>1212</v>
      </c>
      <c r="K3" s="122">
        <v>45565</v>
      </c>
      <c r="L3" s="120">
        <v>73000</v>
      </c>
      <c r="M3" s="120">
        <v>1</v>
      </c>
      <c r="N3" s="120">
        <v>73000</v>
      </c>
      <c r="O3" s="118"/>
      <c r="P3" s="118"/>
      <c r="Q3" s="121">
        <v>5.3080000000000002E-3</v>
      </c>
      <c r="R3" s="121">
        <v>4.339E-3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H22" sqref="H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2024-11-05T05:36:30Z</dcterms:modified>
</cp:coreProperties>
</file>