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8"/>
  <workbookPr codeName="ThisWorkbook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4אקסל\אקסל רשימות ניע 092024\Heb University\"/>
    </mc:Choice>
  </mc:AlternateContent>
  <xr:revisionPtr revIDLastSave="0" documentId="13_ncr:1_{25DED596-4367-4005-AB77-712EBA85C0EA}" xr6:coauthVersionLast="36" xr6:coauthVersionMax="36" xr10:uidLastSave="{00000000-0000-0000-0000-000000000000}"/>
  <bookViews>
    <workbookView xWindow="-120" yWindow="-120" windowWidth="29040" windowHeight="15720" tabRatio="840" firstSheet="1" activeTab="1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externalReferences>
    <externalReference r:id="rId35"/>
    <externalReference r:id="rId36"/>
  </externalReferences>
  <definedNames>
    <definedName name="_xlnm._FilterDatabase" localSheetId="31" hidden="1">'אפשרויות בחירה'!$A$1:$D$1040</definedName>
    <definedName name="_xlnm._FilterDatabase" localSheetId="23" hidden="1">הלוואות!$E$1:$E$802</definedName>
    <definedName name="_xlnm._FilterDatabase" localSheetId="22" hidden="1">'לא סחיר נגזרים אחרים'!$D$1:$D$50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19" hidden="1">'קרנות השקעה'!$A$1:$AA$252</definedName>
    <definedName name="_xlnm._FilterDatabase" localSheetId="7" hidden="1">'קרנות סל'!$F$1:$F$339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2" i="2" l="1"/>
  <c r="C30" i="2"/>
  <c r="B29" i="2"/>
  <c r="D29" i="2" s="1"/>
  <c r="B28" i="2"/>
  <c r="D28" i="2" s="1"/>
  <c r="B27" i="2"/>
  <c r="D27" i="2" s="1"/>
  <c r="D26" i="2"/>
  <c r="B26" i="2"/>
  <c r="B25" i="2"/>
  <c r="D25" i="2" s="1"/>
  <c r="B24" i="2"/>
  <c r="D24" i="2" s="1"/>
  <c r="B23" i="2"/>
  <c r="D23" i="2" s="1"/>
  <c r="D22" i="2"/>
  <c r="B22" i="2"/>
  <c r="B21" i="2"/>
  <c r="D21" i="2" s="1"/>
  <c r="B20" i="2"/>
  <c r="D20" i="2" s="1"/>
  <c r="D19" i="2"/>
  <c r="B19" i="2"/>
  <c r="D18" i="2"/>
  <c r="B18" i="2"/>
  <c r="B17" i="2"/>
  <c r="D17" i="2" s="1"/>
  <c r="B16" i="2"/>
  <c r="D16" i="2" s="1"/>
  <c r="D15" i="2"/>
  <c r="B15" i="2"/>
  <c r="D14" i="2"/>
  <c r="B14" i="2"/>
  <c r="B13" i="2"/>
  <c r="D13" i="2" s="1"/>
  <c r="B12" i="2"/>
  <c r="D12" i="2" s="1"/>
  <c r="D11" i="2"/>
  <c r="B11" i="2"/>
  <c r="D10" i="2"/>
  <c r="B10" i="2"/>
  <c r="B9" i="2"/>
  <c r="D9" i="2" s="1"/>
  <c r="B8" i="2"/>
  <c r="D8" i="2" s="1"/>
  <c r="B7" i="2"/>
  <c r="D7" i="2" s="1"/>
  <c r="D6" i="2"/>
  <c r="B6" i="2"/>
  <c r="B5" i="2"/>
  <c r="D5" i="2" s="1"/>
  <c r="B4" i="2"/>
  <c r="D4" i="2" s="1"/>
  <c r="D3" i="2"/>
  <c r="B3" i="2"/>
  <c r="D13" i="38"/>
  <c r="D15" i="38" s="1"/>
  <c r="B30" i="2" l="1"/>
  <c r="E16" i="2" s="1"/>
  <c r="D30" i="2"/>
  <c r="E22" i="2" l="1"/>
  <c r="E27" i="2"/>
  <c r="E9" i="2"/>
  <c r="E25" i="2"/>
  <c r="E19" i="2"/>
  <c r="E26" i="2"/>
  <c r="E10" i="2"/>
  <c r="E13" i="2"/>
  <c r="E29" i="2"/>
  <c r="E6" i="2"/>
  <c r="E12" i="2"/>
  <c r="E15" i="2"/>
  <c r="E18" i="2"/>
  <c r="E17" i="2"/>
  <c r="E7" i="2"/>
  <c r="E14" i="2"/>
  <c r="E20" i="2"/>
  <c r="E3" i="2"/>
  <c r="E23" i="2"/>
  <c r="E5" i="2"/>
  <c r="E21" i="2"/>
  <c r="E11" i="2"/>
  <c r="E4" i="2"/>
  <c r="E24" i="2"/>
  <c r="E8" i="2"/>
  <c r="E28" i="2"/>
  <c r="E30" i="2" l="1"/>
</calcChain>
</file>

<file path=xl/sharedStrings.xml><?xml version="1.0" encoding="utf-8"?>
<sst xmlns="http://schemas.openxmlformats.org/spreadsheetml/2006/main" count="43429" uniqueCount="3320">
  <si>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</si>
  <si>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</si>
  <si>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</si>
  <si>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</si>
  <si>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</si>
  <si>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</si>
  <si>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</si>
  <si>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</si>
  <si>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</si>
  <si>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</si>
  <si>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</si>
  <si>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</si>
  <si>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</si>
  <si>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</si>
  <si>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</si>
  <si>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</si>
  <si>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</si>
  <si>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</si>
  <si>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</si>
  <si>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</si>
  <si>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</si>
  <si>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</si>
  <si>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</si>
  <si>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</si>
  <si>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</si>
  <si>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</si>
  <si>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בנק ישראל- מק"מ</t>
  </si>
  <si>
    <t>מלווה קצר מועד 1014</t>
  </si>
  <si>
    <t>IL0082410106</t>
  </si>
  <si>
    <t>מק"מ קצר משנים עשר חודשים</t>
  </si>
  <si>
    <t>ישראל</t>
  </si>
  <si>
    <t>TASE</t>
  </si>
  <si>
    <t>RF</t>
  </si>
  <si>
    <t>פנימי</t>
  </si>
  <si>
    <t>ILS</t>
  </si>
  <si>
    <t>02/10/2024</t>
  </si>
  <si>
    <t>שווי הוגן</t>
  </si>
  <si>
    <t>מלווה קצר מועד 1214</t>
  </si>
  <si>
    <t>IL0082412185</t>
  </si>
  <si>
    <t>04/12/2024</t>
  </si>
  <si>
    <t>גליל</t>
  </si>
  <si>
    <t>ממשל צמודה 0527</t>
  </si>
  <si>
    <t>IL0011408478</t>
  </si>
  <si>
    <t>צמוד למדד המחירים לצרכן בריבית קבועה</t>
  </si>
  <si>
    <t>31/05/2027</t>
  </si>
  <si>
    <t>ממשל צמודה 0545</t>
  </si>
  <si>
    <t>IL0011348658</t>
  </si>
  <si>
    <t>31/05/2045</t>
  </si>
  <si>
    <t>ממשל צמודה 1025</t>
  </si>
  <si>
    <t>IL0011359127</t>
  </si>
  <si>
    <t>31/10/2025</t>
  </si>
  <si>
    <t>ממשל צמודה 1131</t>
  </si>
  <si>
    <t>IL0011722209</t>
  </si>
  <si>
    <t>30/11/2031</t>
  </si>
  <si>
    <t>שחר</t>
  </si>
  <si>
    <t>ממשל שיקלית 0928</t>
  </si>
  <si>
    <t>IL0011508798</t>
  </si>
  <si>
    <t>לא צמוד למדד המחירים לצרכן ריבית קבועה</t>
  </si>
  <si>
    <t>28/09/2028</t>
  </si>
  <si>
    <t>ממשל שקלית 0229</t>
  </si>
  <si>
    <t>IL0011948028</t>
  </si>
  <si>
    <t>28/02/2029</t>
  </si>
  <si>
    <t>ממשל שקלית 0327</t>
  </si>
  <si>
    <t>IL0011393449</t>
  </si>
  <si>
    <t>31/03/2027</t>
  </si>
  <si>
    <t>ממשל שקלית 0347</t>
  </si>
  <si>
    <t>IL0011401937</t>
  </si>
  <si>
    <t>31/03/2047</t>
  </si>
  <si>
    <t>ממשלתי צמוד 841</t>
  </si>
  <si>
    <t>IL0011205833</t>
  </si>
  <si>
    <t>30/08/2041</t>
  </si>
  <si>
    <t>ממשלתי צמודה 0536</t>
  </si>
  <si>
    <t>IL0010977085</t>
  </si>
  <si>
    <t>30/05/2036</t>
  </si>
  <si>
    <t>ממשלתית צמודה 0.5% 0529</t>
  </si>
  <si>
    <t>IL0011570236</t>
  </si>
  <si>
    <t>31/05/2029</t>
  </si>
  <si>
    <t>ממשלתית צמודה 0726</t>
  </si>
  <si>
    <t>IL0011695645</t>
  </si>
  <si>
    <t>31/07/2026</t>
  </si>
  <si>
    <t>ממשלתית צמודה 1.10% 1028</t>
  </si>
  <si>
    <t>IL0011973265</t>
  </si>
  <si>
    <t>31/10/2028</t>
  </si>
  <si>
    <t>ממשלתית צמודה 1.6% 1033</t>
  </si>
  <si>
    <t>IL0012043795</t>
  </si>
  <si>
    <t>TASE </t>
  </si>
  <si>
    <t>31/10/2033</t>
  </si>
  <si>
    <t>ממשלתית שקלית 0537</t>
  </si>
  <si>
    <t>IL0011661803</t>
  </si>
  <si>
    <t>31/05/2037</t>
  </si>
  <si>
    <t>ממשלתית שקלית 1.3% 04/32</t>
  </si>
  <si>
    <t>IL0011806606</t>
  </si>
  <si>
    <t>30/04/2032</t>
  </si>
  <si>
    <t>Treasury Bill</t>
  </si>
  <si>
    <t>B 31/10/24</t>
  </si>
  <si>
    <t>US912797HE00</t>
  </si>
  <si>
    <t>צמוד מט"ח בריבית קבועה</t>
  </si>
  <si>
    <t>חו"ל</t>
  </si>
  <si>
    <t>ארה"ב</t>
  </si>
  <si>
    <t>FOREIGN_GOV_SEC</t>
  </si>
  <si>
    <t>AAA</t>
  </si>
  <si>
    <t>מידרוג Moodys</t>
  </si>
  <si>
    <t>USD</t>
  </si>
  <si>
    <t>31/10/2024</t>
  </si>
  <si>
    <t>מלווה קצר מועד 1114</t>
  </si>
  <si>
    <t>IL0082411195</t>
  </si>
  <si>
    <t>06/11/2024</t>
  </si>
  <si>
    <t>מלווה קצר מועד 515</t>
  </si>
  <si>
    <t>IL0082505160</t>
  </si>
  <si>
    <t>07/05/2025</t>
  </si>
  <si>
    <t>מלווה קצר מועד 615</t>
  </si>
  <si>
    <t>IL0082506150</t>
  </si>
  <si>
    <t>04/06/2025</t>
  </si>
  <si>
    <t>ממשל שקלית  0927</t>
  </si>
  <si>
    <t>IL0012035791</t>
  </si>
  <si>
    <t>30/09/2027</t>
  </si>
  <si>
    <t>גילון חדש</t>
  </si>
  <si>
    <t>ממשלתית משתנה 05/26 0.0866%</t>
  </si>
  <si>
    <t>IL0011417958</t>
  </si>
  <si>
    <t>לא צמוד למדד המחירים לצרכן ריבית משתנה</t>
  </si>
  <si>
    <t>31/05/2026</t>
  </si>
  <si>
    <t>מקמ 815</t>
  </si>
  <si>
    <t>IL0082508131</t>
  </si>
  <si>
    <t>06/08/2025</t>
  </si>
  <si>
    <t>מלווה קצר מועד 715</t>
  </si>
  <si>
    <t>IL0082507141</t>
  </si>
  <si>
    <t>02/07/2025</t>
  </si>
  <si>
    <t>ממשלתי שקלי  1026</t>
  </si>
  <si>
    <t>IL0010994569</t>
  </si>
  <si>
    <t>30/10/2026</t>
  </si>
  <si>
    <t>ממשלתי שקלית 0142</t>
  </si>
  <si>
    <t>IL0011254005</t>
  </si>
  <si>
    <t>31/01/2042</t>
  </si>
  <si>
    <t>ממשלתית שקלית 0.5% 04/25</t>
  </si>
  <si>
    <t>IL0011626681</t>
  </si>
  <si>
    <t>30/04/2025</t>
  </si>
  <si>
    <t>מספר מזהה לווה</t>
  </si>
  <si>
    <t>סוג מספר מזהה לווה</t>
  </si>
  <si>
    <t>שם הלוואה</t>
  </si>
  <si>
    <t>מספר הלוואה</t>
  </si>
  <si>
    <t>תאריך העמדת מסגרת אשראי</t>
  </si>
  <si>
    <t>בעל עניין/צד קשור</t>
  </si>
  <si>
    <t>דירוג הלוואה/המנפיק</t>
  </si>
  <si>
    <t>סוג הריבית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</si>
  <si>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</si>
  <si>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</si>
  <si>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</si>
  <si>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שם הנכס האחר</t>
  </si>
  <si>
    <t>מספר הנכס האחר</t>
  </si>
  <si>
    <t>תאריך עסקה</t>
  </si>
  <si>
    <t>תאריך שערוך אחרון</t>
  </si>
  <si>
    <t>שווי מטבעי</t>
  </si>
  <si>
    <t>זכאים</t>
  </si>
  <si>
    <t>28080000</t>
  </si>
  <si>
    <t>חייבים וזכאים</t>
  </si>
  <si>
    <t>לא</t>
  </si>
  <si>
    <t>NA</t>
  </si>
  <si>
    <t>30/09/2024</t>
  </si>
  <si>
    <t>זכאים מס עמיתים</t>
  </si>
  <si>
    <t>28200000</t>
  </si>
  <si>
    <t>חייבים וזכאים מס</t>
  </si>
  <si>
    <t>חייבים</t>
  </si>
  <si>
    <t>27960000</t>
  </si>
  <si>
    <t>אפסק אגח א חש 12/11</t>
  </si>
  <si>
    <t>11253761</t>
  </si>
  <si>
    <t xml:space="preserve">חייבים בגין תקבולים </t>
  </si>
  <si>
    <t>28/06/2018</t>
  </si>
  <si>
    <t>זכאים נדלן</t>
  </si>
  <si>
    <t>299918782</t>
  </si>
  <si>
    <t>21/06/2020</t>
  </si>
  <si>
    <t>חייבים נדלן</t>
  </si>
  <si>
    <t>299918781</t>
  </si>
  <si>
    <t>30/07/2019</t>
  </si>
  <si>
    <t>מספר מנפיק</t>
  </si>
  <si>
    <t>סוג מספר מזהה מנפיק</t>
  </si>
  <si>
    <t>סוג מספר נייר ערך</t>
  </si>
  <si>
    <t>ענף מסחר</t>
  </si>
  <si>
    <t>סוג גורם משערך</t>
  </si>
  <si>
    <t>תלות/אי-תלות המשערך</t>
  </si>
  <si>
    <t>תאריך אחרון בו נבחנה בפועל ירידת ערך</t>
  </si>
  <si>
    <t>שיעור אחזקה באמצעי שליטה</t>
  </si>
  <si>
    <t>שווי מאזני (באלפי ש"ח)</t>
  </si>
  <si>
    <t>שם הנכס</t>
  </si>
  <si>
    <t>מדינת מיקום נדל"ן</t>
  </si>
  <si>
    <t>תאריך רכישה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</si>
  <si>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</si>
  <si>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</si>
  <si>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</si>
  <si>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</si>
  <si>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</si>
  <si>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שם גורם משערך</t>
  </si>
  <si>
    <t>שווי הוגן (במטבע הפעילות)</t>
  </si>
  <si>
    <t>עלות מופחתת (במטבע הפעילות)</t>
  </si>
  <si>
    <t>נדל"ן מניב</t>
  </si>
  <si>
    <t>אחר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</si>
  <si>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</si>
  <si>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</si>
  <si>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</si>
  <si>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</si>
  <si>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</si>
  <si>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שער פיקדון</t>
  </si>
  <si>
    <t>גמול פועלים סהר</t>
  </si>
  <si>
    <t>33-414</t>
  </si>
  <si>
    <t>סימול בנק</t>
  </si>
  <si>
    <t>צמוד למט"ח</t>
  </si>
  <si>
    <t>04/03/2025</t>
  </si>
  <si>
    <t>S&amp;P מעלות</t>
  </si>
  <si>
    <t>01/08/2025</t>
  </si>
  <si>
    <t>צמוד למדד המחירים לצרכן</t>
  </si>
  <si>
    <t>02/11/2034</t>
  </si>
  <si>
    <t>נכס בסיס</t>
  </si>
  <si>
    <t>דירוג נייר הערך/המנפיק</t>
  </si>
  <si>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</si>
  <si>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</si>
  <si>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</si>
  <si>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</si>
  <si>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</si>
  <si>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</si>
  <si>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</si>
  <si>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</si>
  <si>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</si>
  <si>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</si>
  <si>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</si>
  <si>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</si>
  <si>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</si>
  <si>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</si>
  <si>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</si>
  <si>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</si>
  <si>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</si>
  <si>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</si>
  <si>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</si>
  <si>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</si>
  <si>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</si>
  <si>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</si>
  <si>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</si>
  <si>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</si>
  <si>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</si>
  <si>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</si>
  <si>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</si>
  <si>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</si>
  <si>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</si>
  <si>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</si>
  <si>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</si>
  <si>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</si>
  <si>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</si>
  <si>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</si>
  <si>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</si>
  <si>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</si>
  <si>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</si>
  <si>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</si>
  <si>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</si>
  <si>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</si>
  <si>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</si>
  <si>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</si>
  <si>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</si>
  <si>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</si>
  <si>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</si>
  <si>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</si>
  <si>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</si>
  <si>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</si>
  <si>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</si>
  <si>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</si>
  <si>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</si>
  <si>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</si>
  <si>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</si>
  <si>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</si>
  <si>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</si>
  <si>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</si>
  <si>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</si>
  <si>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</si>
  <si>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</si>
  <si>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</si>
  <si>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</si>
  <si>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</si>
  <si>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</si>
  <si>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</si>
  <si>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</si>
  <si>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</si>
  <si>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</si>
  <si>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</si>
  <si>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</si>
  <si>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</si>
  <si>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</si>
  <si>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</si>
  <si>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</si>
  <si>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</si>
  <si>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</si>
  <si>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</si>
  <si>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</si>
  <si>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</si>
  <si>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</si>
  <si>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</si>
  <si>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</si>
  <si>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</si>
  <si>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</si>
  <si>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</si>
  <si>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</si>
  <si>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</si>
  <si>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</si>
  <si>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</si>
  <si>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</si>
  <si>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</si>
  <si>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</si>
  <si>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</si>
  <si>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</si>
  <si>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</si>
  <si>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</si>
  <si>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</si>
  <si>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</si>
  <si>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</si>
  <si>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</si>
  <si>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</si>
  <si>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</si>
  <si>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</si>
  <si>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</si>
  <si>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</si>
  <si>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</si>
  <si>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</si>
  <si>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</si>
  <si>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</si>
  <si>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</si>
  <si>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</si>
  <si>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</si>
  <si>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</si>
  <si>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</si>
  <si>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</si>
  <si>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</si>
  <si>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</si>
  <si>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</si>
  <si>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</si>
  <si>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</si>
  <si>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</si>
  <si>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</si>
  <si>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</si>
  <si>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</si>
  <si>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</si>
  <si>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</si>
  <si>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</si>
  <si>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</si>
  <si>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</si>
  <si>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</si>
  <si>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</si>
  <si>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</si>
  <si>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</si>
  <si>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</si>
  <si>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</si>
  <si>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</si>
  <si>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</si>
  <si>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</si>
  <si>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</si>
  <si>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LEI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</si>
  <si>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</si>
  <si>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</si>
  <si>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</si>
  <si>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</si>
  <si>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</si>
  <si>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</si>
  <si>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</si>
  <si>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</si>
  <si>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טיקר</t>
  </si>
  <si>
    <t>סוג מספר קרן השקעה</t>
  </si>
  <si>
    <t>סטאטוס סחירות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</si>
  <si>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</si>
  <si>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</si>
  <si>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</si>
  <si>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</si>
  <si>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</si>
  <si>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</si>
  <si>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</si>
  <si>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</si>
  <si>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</si>
  <si>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</si>
  <si>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</si>
  <si>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</si>
  <si>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</si>
  <si>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</si>
  <si>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</si>
  <si>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</si>
  <si>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</si>
  <si>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</si>
  <si>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</si>
  <si>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</si>
  <si>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</si>
  <si>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</si>
  <si>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</si>
  <si>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</si>
  <si>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</si>
  <si>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</si>
  <si>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</si>
  <si>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</si>
  <si>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</si>
  <si>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</si>
  <si>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</si>
  <si>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</si>
  <si>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</si>
  <si>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</si>
  <si>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</si>
  <si>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</si>
  <si>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</si>
  <si>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</si>
  <si>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</si>
  <si>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</si>
  <si>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</si>
  <si>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</si>
  <si>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</si>
  <si>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</si>
  <si>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</si>
  <si>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</si>
  <si>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</si>
  <si>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</si>
  <si>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</si>
  <si>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</si>
  <si>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</si>
  <si>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</si>
  <si>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</si>
  <si>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</si>
  <si>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</si>
  <si>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</si>
  <si>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</si>
  <si>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</si>
  <si>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</si>
  <si>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</si>
  <si>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</si>
  <si>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</si>
  <si>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</si>
  <si>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</si>
  <si>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</si>
  <si>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</si>
  <si>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</si>
  <si>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</si>
  <si>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</si>
  <si>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</si>
  <si>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</si>
  <si>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</si>
  <si>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</si>
  <si>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</si>
  <si>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</si>
  <si>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</si>
  <si>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</si>
  <si>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</si>
  <si>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</si>
  <si>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</si>
  <si>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</si>
  <si>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</si>
  <si>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</si>
  <si>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נחיתות חוזית</t>
  </si>
  <si>
    <t>החוב נחות</t>
  </si>
  <si>
    <t>החוב לא נחות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</si>
  <si>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</si>
  <si>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</si>
  <si>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</si>
  <si>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</si>
  <si>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</si>
  <si>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</si>
  <si>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</si>
  <si>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</si>
  <si>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</si>
  <si>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</si>
  <si>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</si>
  <si>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</si>
  <si>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</si>
  <si>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</si>
  <si>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</si>
  <si>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</si>
  <si>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</si>
  <si>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</si>
  <si>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</si>
  <si>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</si>
  <si>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</si>
  <si>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</si>
  <si>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</si>
  <si>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</si>
  <si>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</si>
  <si>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</si>
  <si>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</si>
  <si>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</si>
  <si>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</si>
  <si>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</si>
  <si>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</si>
  <si>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</si>
  <si>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</si>
  <si>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</si>
  <si>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</si>
  <si>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</si>
  <si>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</si>
  <si>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</si>
  <si>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</si>
  <si>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</si>
  <si>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</si>
  <si>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</si>
  <si>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</si>
  <si>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</si>
  <si>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</si>
  <si>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</si>
  <si>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</si>
  <si>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</si>
  <si>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</si>
  <si>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</si>
  <si>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</si>
  <si>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</si>
  <si>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</si>
  <si>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</si>
  <si>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</si>
  <si>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</si>
  <si>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</si>
  <si>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</si>
  <si>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קרנות סל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</si>
  <si>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</si>
  <si>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</si>
  <si>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</si>
  <si>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</si>
  <si>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</si>
  <si>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</si>
  <si>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</si>
  <si>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</si>
  <si>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</si>
  <si>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</si>
  <si>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</si>
  <si>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</si>
  <si>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</si>
  <si>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</si>
  <si>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</si>
  <si>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</si>
  <si>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</si>
  <si>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</si>
  <si>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</si>
  <si>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</si>
  <si>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</si>
  <si>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</si>
  <si>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</si>
  <si>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</si>
  <si>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</si>
  <si>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</si>
  <si>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</si>
  <si>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</si>
  <si>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</si>
  <si>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</si>
  <si>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</si>
  <si>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</si>
  <si>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</si>
  <si>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</si>
  <si>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</si>
  <si>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</si>
  <si>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</si>
  <si>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</si>
  <si>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</si>
  <si>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</si>
  <si>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</si>
  <si>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</si>
  <si>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</si>
  <si>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</si>
  <si>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</si>
  <si>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</si>
  <si>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</si>
  <si>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</si>
  <si>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</si>
  <si>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</si>
  <si>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</si>
  <si>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</si>
  <si>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</si>
  <si>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</si>
  <si>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</si>
  <si>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</si>
  <si>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</si>
  <si>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</si>
  <si>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</si>
  <si>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</si>
  <si>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</si>
  <si>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</si>
  <si>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</si>
  <si>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</si>
  <si>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</si>
  <si>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</si>
  <si>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</si>
  <si>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</si>
  <si>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</si>
  <si>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</si>
  <si>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</si>
  <si>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</si>
  <si>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</si>
  <si>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</si>
  <si>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</si>
  <si>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</si>
  <si>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</si>
  <si>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</si>
  <si>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</si>
  <si>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</si>
  <si>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</si>
  <si>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</si>
  <si>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</si>
  <si>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</si>
  <si>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</si>
  <si>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</si>
  <si>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</si>
  <si>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</si>
  <si>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</si>
  <si>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</si>
  <si>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</si>
  <si>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</si>
  <si>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</si>
  <si>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</si>
  <si>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</si>
  <si>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</si>
  <si>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</si>
  <si>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</si>
  <si>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</si>
  <si>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</si>
  <si>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</si>
  <si>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</si>
  <si>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</si>
  <si>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</si>
  <si>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</si>
  <si>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</si>
  <si>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</si>
  <si>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</si>
  <si>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</si>
  <si>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</si>
  <si>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</si>
  <si>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</si>
  <si>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</si>
  <si>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</si>
  <si>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</si>
  <si>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</si>
  <si>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</si>
  <si>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</si>
  <si>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</si>
  <si>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</si>
  <si>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</si>
  <si>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</si>
  <si>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</si>
  <si>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</si>
  <si>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</si>
  <si>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</si>
  <si>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</si>
  <si>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</si>
  <si>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</si>
  <si>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</si>
  <si>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</si>
  <si>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</si>
  <si>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</si>
  <si>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</si>
  <si>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</si>
  <si>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</si>
  <si>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</si>
  <si>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</si>
  <si>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</si>
  <si>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</si>
  <si>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</si>
  <si>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</si>
  <si>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</si>
  <si>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</si>
  <si>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</si>
  <si>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</si>
  <si>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</si>
  <si>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</si>
  <si>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</si>
  <si>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</si>
  <si>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</si>
  <si>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</si>
  <si>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</si>
  <si>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</si>
  <si>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</si>
  <si>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</si>
  <si>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</si>
  <si>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</si>
  <si>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</si>
  <si>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</si>
  <si>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</si>
  <si>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</si>
  <si>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</si>
  <si>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</si>
  <si>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</si>
  <si>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</si>
  <si>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</si>
  <si>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</si>
  <si>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</si>
  <si>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</si>
  <si>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</si>
  <si>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</si>
  <si>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</si>
  <si>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</si>
  <si>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</si>
  <si>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</si>
  <si>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</si>
  <si>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</si>
  <si>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</si>
  <si>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</si>
  <si>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</si>
  <si>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</si>
  <si>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</si>
  <si>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</si>
  <si>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</si>
  <si>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</si>
  <si>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</si>
  <si>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</si>
  <si>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</si>
  <si>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</si>
  <si>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</si>
  <si>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</si>
  <si>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</si>
  <si>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</si>
  <si>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</si>
  <si>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</si>
  <si>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</si>
  <si>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</si>
  <si>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</si>
  <si>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</si>
  <si>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</si>
  <si>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</si>
  <si>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</si>
  <si>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</si>
  <si>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</si>
  <si>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</si>
  <si>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</si>
  <si>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</si>
  <si>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</si>
  <si>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</si>
  <si>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</si>
  <si>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</si>
  <si>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</si>
  <si>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</si>
  <si>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</si>
  <si>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</si>
  <si>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</si>
  <si>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</si>
  <si>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</si>
  <si>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</si>
  <si>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</si>
  <si>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</si>
  <si>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</si>
  <si>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</si>
  <si>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</si>
  <si>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</si>
  <si>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</si>
  <si>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</si>
  <si>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</si>
  <si>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</si>
  <si>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</si>
  <si>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</si>
  <si>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</si>
  <si>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</si>
  <si>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</si>
  <si>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</si>
  <si>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</si>
  <si>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</si>
  <si>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</si>
  <si>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</si>
  <si>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</si>
  <si>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</si>
  <si>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</si>
  <si>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</si>
  <si>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</si>
  <si>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</si>
  <si>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</si>
  <si>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</si>
  <si>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</si>
  <si>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</si>
  <si>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</si>
  <si>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</si>
  <si>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</si>
  <si>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</si>
  <si>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</si>
  <si>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</si>
  <si>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</si>
  <si>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</si>
  <si>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</si>
  <si>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</si>
  <si>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</si>
  <si>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</si>
  <si>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</si>
  <si>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</si>
  <si>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</si>
  <si>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</si>
  <si>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</si>
  <si>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</si>
  <si>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</si>
  <si>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</si>
  <si>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</si>
  <si>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</si>
  <si>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</si>
  <si>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</si>
  <si>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</si>
  <si>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</si>
  <si>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</si>
  <si>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</si>
  <si>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</si>
  <si>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</si>
  <si>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</si>
  <si>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סוג הצמדה</t>
  </si>
  <si>
    <t>לא צמוד</t>
  </si>
  <si>
    <t>צמוד למדד אחר</t>
  </si>
  <si>
    <t>סוג בטוחה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</si>
  <si>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</si>
  <si>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</si>
  <si>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</si>
  <si>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</si>
  <si>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</si>
  <si>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</si>
  <si>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</si>
  <si>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</si>
  <si>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</si>
  <si>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</si>
  <si>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</si>
  <si>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</si>
  <si>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</si>
  <si>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</si>
  <si>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</si>
  <si>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</si>
  <si>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</si>
  <si>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</si>
  <si>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</si>
  <si>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</si>
  <si>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</si>
  <si>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</si>
  <si>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זכות חזרה</t>
  </si>
  <si>
    <t>מבנה לוח סילוקין</t>
  </si>
  <si>
    <t>בולט (Bullet)</t>
  </si>
  <si>
    <t>בלון</t>
  </si>
  <si>
    <t>קרן שווה</t>
  </si>
  <si>
    <t>שפיצר</t>
  </si>
  <si>
    <t xml:space="preserve">אחר </t>
  </si>
  <si>
    <t>זכות פירעון מוקדם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</si>
  <si>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</si>
  <si>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</si>
  <si>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</si>
  <si>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</si>
  <si>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</si>
  <si>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</si>
  <si>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</si>
  <si>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</si>
  <si>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</si>
  <si>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</si>
  <si>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</si>
  <si>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</si>
  <si>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</si>
  <si>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</si>
  <si>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</si>
  <si>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</si>
  <si>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</si>
  <si>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</si>
  <si>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</si>
  <si>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</si>
  <si>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</si>
  <si>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</si>
  <si>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</si>
  <si>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</si>
  <si>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</si>
  <si>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</si>
  <si>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</si>
  <si>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</si>
  <si>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</si>
  <si>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</si>
  <si>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</si>
  <si>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</si>
  <si>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</si>
  <si>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</si>
  <si>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</si>
  <si>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</si>
  <si>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</si>
  <si>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</si>
  <si>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</si>
  <si>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</si>
  <si>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</si>
  <si>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</si>
  <si>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האם סווג כחוב בעייתי</t>
  </si>
  <si>
    <t>אסטרטגיית קרן ההשקעה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</si>
  <si>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</si>
  <si>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</si>
  <si>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</si>
  <si>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</si>
  <si>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</si>
  <si>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</si>
  <si>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</si>
  <si>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</si>
  <si>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</si>
  <si>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</si>
  <si>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</si>
  <si>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</si>
  <si>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</si>
  <si>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</si>
  <si>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</si>
  <si>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</si>
  <si>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</si>
  <si>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</si>
  <si>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</si>
  <si>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</si>
  <si>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</si>
  <si>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</si>
  <si>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</si>
  <si>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</si>
  <si>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</si>
  <si>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</si>
  <si>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</si>
  <si>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</si>
  <si>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</si>
  <si>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</si>
  <si>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</si>
  <si>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</si>
  <si>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</si>
  <si>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</si>
  <si>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</si>
  <si>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</si>
  <si>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</si>
  <si>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</si>
  <si>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</si>
  <si>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</si>
  <si>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</si>
  <si>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</si>
  <si>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</si>
  <si>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</si>
  <si>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</si>
  <si>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</si>
  <si>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</si>
  <si>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</si>
  <si>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</si>
  <si>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</si>
  <si>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</si>
  <si>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</si>
  <si>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</si>
  <si>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</si>
  <si>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</si>
  <si>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</si>
  <si>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</si>
  <si>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</si>
  <si>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</si>
  <si>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</si>
  <si>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</si>
  <si>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</si>
  <si>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</si>
  <si>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</si>
  <si>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</si>
  <si>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עלות מופחתת</t>
  </si>
  <si>
    <t>תדירות Reset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</si>
  <si>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</si>
  <si>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</si>
  <si>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</si>
  <si>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</si>
  <si>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</si>
  <si>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</si>
  <si>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</si>
  <si>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סוג הסליקה</t>
  </si>
  <si>
    <t>Delivery</t>
  </si>
  <si>
    <t>No-delivery</t>
  </si>
  <si>
    <t>ריבית עוגן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</si>
  <si>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</si>
  <si>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</si>
  <si>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</si>
  <si>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</si>
  <si>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</si>
  <si>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</si>
  <si>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</si>
  <si>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</si>
  <si>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</si>
  <si>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</si>
  <si>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תקופת ריבית עוגן</t>
  </si>
  <si>
    <t>נספח התחשבנות בטחונות (CSA)</t>
  </si>
  <si>
    <t>קיים חוזה</t>
  </si>
  <si>
    <t>לא קיים חוזה</t>
  </si>
  <si>
    <t>גורם מצטט</t>
  </si>
  <si>
    <t>הצד הנגדי</t>
  </si>
  <si>
    <t>גורם אחר</t>
  </si>
  <si>
    <t>פקטור מוביל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</si>
  <si>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</si>
  <si>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</si>
  <si>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</si>
  <si>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</si>
  <si>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</si>
  <si>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</si>
  <si>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פקטור נוסף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</si>
  <si>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</si>
  <si>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</si>
  <si>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</si>
  <si>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</si>
  <si>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</si>
  <si>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</si>
  <si>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</si>
  <si>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</si>
  <si>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</si>
  <si>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</si>
  <si>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</si>
  <si>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</si>
  <si>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</si>
  <si>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</si>
  <si>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האם קיים קנס בגין יציאה מוקדמת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</si>
  <si>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</si>
  <si>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</si>
  <si>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</si>
  <si>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</si>
  <si>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</si>
  <si>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</si>
  <si>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</si>
  <si>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</si>
  <si>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</si>
  <si>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</si>
  <si>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</si>
  <si>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משתנה</t>
  </si>
  <si>
    <t>צמוד מט"ח בריבית משתנה</t>
  </si>
  <si>
    <t>נקוב במט"ח</t>
  </si>
  <si>
    <t>ניירות ערך מסחריים</t>
  </si>
  <si>
    <t>איגרות חוב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</si>
  <si>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</si>
  <si>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</si>
  <si>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</si>
  <si>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</si>
  <si>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</si>
  <si>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</si>
  <si>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</si>
  <si>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</si>
  <si>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</si>
  <si>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</si>
  <si>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</si>
  <si>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</si>
  <si>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</si>
  <si>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</si>
  <si>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</si>
  <si>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</si>
  <si>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</si>
  <si>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</si>
  <si>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</si>
  <si>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קרנות נאמנות</t>
  </si>
  <si>
    <t>אג"ח קונצרני</t>
  </si>
  <si>
    <t>אג"ח ממשלתי</t>
  </si>
  <si>
    <t>אופציות</t>
  </si>
  <si>
    <t>מניה</t>
  </si>
  <si>
    <t>מדד</t>
  </si>
  <si>
    <t>קרן סל</t>
  </si>
  <si>
    <t>סחורה</t>
  </si>
  <si>
    <t>מוצרים מובנים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</si>
  <si>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</si>
  <si>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</si>
  <si>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</si>
  <si>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</si>
  <si>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</si>
  <si>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</si>
  <si>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</si>
  <si>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</si>
  <si>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</si>
  <si>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</si>
  <si>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</si>
  <si>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</si>
  <si>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</si>
  <si>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</si>
  <si>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</si>
  <si>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</si>
  <si>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</si>
  <si>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</si>
  <si>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</si>
  <si>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</si>
  <si>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</si>
  <si>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</si>
  <si>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</si>
  <si>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</si>
  <si>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</si>
  <si>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</si>
  <si>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</si>
  <si>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</si>
  <si>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</si>
  <si>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</si>
  <si>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</si>
  <si>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</si>
  <si>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</si>
  <si>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</si>
  <si>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</si>
  <si>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</si>
  <si>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</si>
  <si>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</si>
  <si>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</si>
  <si>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</si>
  <si>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</si>
  <si>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</si>
  <si>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</si>
  <si>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</si>
  <si>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</si>
  <si>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</si>
  <si>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לא סחיר נגזרים אחרים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</si>
  <si>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</si>
  <si>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</si>
  <si>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</si>
  <si>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</si>
  <si>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</si>
  <si>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</si>
  <si>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</si>
  <si>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</si>
  <si>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</si>
  <si>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</si>
  <si>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</si>
  <si>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</si>
  <si>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</si>
  <si>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</si>
  <si>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</si>
  <si>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</si>
  <si>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</si>
  <si>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</si>
  <si>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</si>
  <si>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</si>
  <si>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לא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</si>
  <si>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</si>
  <si>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</si>
  <si>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</si>
  <si>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</si>
  <si>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</si>
  <si>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</si>
  <si>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</si>
  <si>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</si>
  <si>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</si>
  <si>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</si>
  <si>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</si>
  <si>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</si>
  <si>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</si>
  <si>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</si>
  <si>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</si>
  <si>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</si>
  <si>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</si>
  <si>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</si>
  <si>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</si>
  <si>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</si>
  <si>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</si>
  <si>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</si>
  <si>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</si>
  <si>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</si>
  <si>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</si>
  <si>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</si>
  <si>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</si>
  <si>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</si>
  <si>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</si>
  <si>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</si>
  <si>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</si>
  <si>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</si>
  <si>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</si>
  <si>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</si>
  <si>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</si>
  <si>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</si>
  <si>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</si>
  <si>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</si>
  <si>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</si>
  <si>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</si>
  <si>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</si>
  <si>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</si>
  <si>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</si>
  <si>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</si>
  <si>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</si>
  <si>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</si>
  <si>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</si>
  <si>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</si>
  <si>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</si>
  <si>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</si>
  <si>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</si>
  <si>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</si>
  <si>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</si>
  <si>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>כתבי אופציה</t>
  </si>
  <si>
    <t>נכס בסיס (כתב אופציה)</t>
  </si>
  <si>
    <t>תאריך פקיעה</t>
  </si>
  <si>
    <t>שער מימוש</t>
  </si>
  <si>
    <t>יחס המרה</t>
  </si>
  <si>
    <t>חוזים עתידיים</t>
  </si>
  <si>
    <t>מספר קרן</t>
  </si>
  <si>
    <t>חודש הנפקת שכבה</t>
  </si>
  <si>
    <t>חודש הבדיקה</t>
  </si>
  <si>
    <t>שווי הנכסים באפיק (באלפי ש"ח)</t>
  </si>
  <si>
    <t xml:space="preserve">תאריך אחרון בו נבחנה בפועל ירידת ערך </t>
  </si>
  <si>
    <t>לא סחיר מניות, מב"כ ויה"ש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</si>
  <si>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</si>
  <si>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</si>
  <si>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</si>
  <si>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</si>
  <si>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לא סחיר כתבי אופציה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</si>
  <si>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</si>
  <si>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</si>
  <si>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</si>
  <si>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</si>
  <si>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</si>
  <si>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</si>
  <si>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</si>
  <si>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</si>
  <si>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</si>
  <si>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</si>
  <si>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אפיק ההשקעה (רגל 2)</t>
  </si>
  <si>
    <t>שיעור מסך נכסי אפיק ההשקעה (רגל 2)</t>
  </si>
  <si>
    <t>שווי הוגן (נטו באלפי ש"ח)</t>
  </si>
  <si>
    <t>סוג הנכס</t>
  </si>
  <si>
    <t>מועד ההתקשרות בעסקה</t>
  </si>
  <si>
    <t>מועד סיום חוזי</t>
  </si>
  <si>
    <t>נספח התחשבנות בטחונות - CSA</t>
  </si>
  <si>
    <t>שיעור ריבית עוגן</t>
  </si>
  <si>
    <t>שער נכס הבסיס במועד ההתקשרות בעסקה</t>
  </si>
  <si>
    <t>שער הנגזר במועד ההתקשרות בעסקה</t>
  </si>
  <si>
    <t>שיעור הקנס בגין יציאה מוקדמת</t>
  </si>
  <si>
    <t>צד נגדי - Counterparty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</si>
  <si>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</si>
  <si>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</si>
  <si>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</si>
  <si>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</si>
  <si>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 xml:space="preserve">דירוג הלוואה/המנפיק </t>
  </si>
  <si>
    <t>שיעור תוספת/הפחתה לריבית העוגן</t>
  </si>
  <si>
    <t>שווי הבטוחות העומדות כנגד ההלוואה</t>
  </si>
  <si>
    <t>שיעור הבטוחות מהחוב</t>
  </si>
  <si>
    <t>מועד עדכון אחרון לשווי הבטוחות</t>
  </si>
  <si>
    <t>יעוד הלוואה</t>
  </si>
  <si>
    <t>שיעור ריבית בגין אי-ניצול מסגרת האשראי</t>
  </si>
  <si>
    <t>ערך נקוב</t>
  </si>
  <si>
    <t>שער הלוואה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</si>
  <si>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</si>
  <si>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</si>
  <si>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</si>
  <si>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</si>
  <si>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שיעור מסך נכסי השקעה</t>
  </si>
  <si>
    <t>סך הכל נכסים</t>
  </si>
  <si>
    <t>יתרות התחייבויות להשקעה</t>
  </si>
  <si>
    <t>CAD</t>
  </si>
  <si>
    <t>EUR</t>
  </si>
  <si>
    <t>JPY</t>
  </si>
  <si>
    <t>GBP</t>
  </si>
  <si>
    <t>בנק לאומי לישראל בע"מ</t>
  </si>
  <si>
    <t>10-800</t>
  </si>
  <si>
    <t>AUD</t>
  </si>
  <si>
    <t>NOK</t>
  </si>
  <si>
    <t>HKD</t>
  </si>
  <si>
    <t>בנק הפועלים בע"מ</t>
  </si>
  <si>
    <t>12-509</t>
  </si>
  <si>
    <t>DKK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</si>
  <si>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</si>
  <si>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</si>
  <si>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</si>
  <si>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</si>
  <si>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</si>
  <si>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</si>
  <si>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</si>
  <si>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</si>
  <si>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</si>
  <si>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</si>
  <si>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</si>
  <si>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</si>
  <si>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</si>
  <si>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</si>
  <si>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</si>
  <si>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</si>
  <si>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</si>
  <si>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</si>
  <si>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</si>
  <si>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</si>
  <si>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</si>
  <si>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</si>
  <si>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</si>
  <si>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</si>
  <si>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</si>
  <si>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</si>
  <si>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</si>
  <si>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</si>
  <si>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</si>
  <si>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</si>
  <si>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</si>
  <si>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</si>
  <si>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</si>
  <si>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</si>
  <si>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</si>
  <si>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</si>
  <si>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</si>
  <si>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</si>
  <si>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</si>
  <si>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</si>
  <si>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</si>
  <si>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</si>
  <si>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</si>
  <si>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</si>
  <si>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</si>
  <si>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</si>
  <si>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</si>
  <si>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</si>
  <si>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</si>
  <si>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</si>
  <si>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</si>
  <si>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</si>
  <si>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</si>
  <si>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</si>
  <si>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</si>
  <si>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</si>
  <si>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</si>
  <si>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</si>
  <si>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</si>
  <si>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</si>
  <si>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</si>
  <si>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</si>
  <si>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</si>
  <si>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</si>
  <si>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</si>
  <si>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</si>
  <si>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</si>
  <si>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</si>
  <si>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</si>
  <si>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</si>
  <si>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</si>
  <si>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</si>
  <si>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</si>
  <si>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</si>
  <si>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</si>
  <si>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</si>
  <si>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</si>
  <si>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</si>
  <si>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</si>
  <si>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</si>
  <si>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</si>
  <si>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</si>
  <si>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</si>
  <si>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</si>
  <si>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</si>
  <si>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</si>
  <si>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</si>
  <si>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</si>
  <si>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</si>
  <si>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</si>
  <si>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</si>
  <si>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</si>
  <si>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</si>
  <si>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</si>
  <si>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</si>
  <si>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</si>
  <si>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</si>
  <si>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</si>
  <si>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</si>
  <si>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</si>
  <si>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</si>
  <si>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</si>
  <si>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</si>
  <si>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</si>
  <si>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</si>
  <si>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</si>
  <si>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</si>
  <si>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</si>
  <si>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</si>
  <si>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</si>
  <si>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שיעור מנכסי ההשקעה (רגל 2)</t>
  </si>
  <si>
    <t>שיעור מסך אפיק ההשקעה (רגל 2)</t>
  </si>
  <si>
    <t>שווי הוגן (נטו  באלפי ש"ח)</t>
  </si>
  <si>
    <t>514984558</t>
  </si>
  <si>
    <t>אבנון 2021 משיכה 1</t>
  </si>
  <si>
    <t>50007509</t>
  </si>
  <si>
    <t>14/04/2022</t>
  </si>
  <si>
    <t>BBB+</t>
  </si>
  <si>
    <t>31/12/2027</t>
  </si>
  <si>
    <t>הון עצמי ושימושים שוטפים</t>
  </si>
  <si>
    <t>מרווח הוגן</t>
  </si>
  <si>
    <t>513846667</t>
  </si>
  <si>
    <t>ח.פ</t>
  </si>
  <si>
    <t>אשדוד הלוואה 3.55% 19/34</t>
  </si>
  <si>
    <t>50003508</t>
  </si>
  <si>
    <t>06/03/2019</t>
  </si>
  <si>
    <t>A+</t>
  </si>
  <si>
    <t>30/09/2035</t>
  </si>
  <si>
    <t xml:space="preserve">מימון מחדש. </t>
  </si>
  <si>
    <t>513326439</t>
  </si>
  <si>
    <t>דוראד 2030/2014 5.5%</t>
  </si>
  <si>
    <t>28472</t>
  </si>
  <si>
    <t>22/05/2019</t>
  </si>
  <si>
    <t>AA-</t>
  </si>
  <si>
    <t>other</t>
  </si>
  <si>
    <t>20/12/2030</t>
  </si>
  <si>
    <t>דוראד אנרגיה 18 2014/2030 5.5%</t>
  </si>
  <si>
    <t>29207</t>
  </si>
  <si>
    <t>קבועה</t>
  </si>
  <si>
    <t>דוראד אנרגיה 19 14/2030 5.5% (מיטב)</t>
  </si>
  <si>
    <t>29215</t>
  </si>
  <si>
    <t>דוראד אנרגיה משיכה 11 12/31 %5.5301</t>
  </si>
  <si>
    <t>97386</t>
  </si>
  <si>
    <t>30/01/2012</t>
  </si>
  <si>
    <t>18/05/2031</t>
  </si>
  <si>
    <t xml:space="preserve">25/12/2023 </t>
  </si>
  <si>
    <t xml:space="preserve">חוב בכיר שנמכר ע"י בנקים שונים </t>
  </si>
  <si>
    <t>דוראד אנרגיה משיכה 12 13/12 %5.5301</t>
  </si>
  <si>
    <t>97378</t>
  </si>
  <si>
    <t>13/02/2012</t>
  </si>
  <si>
    <t>דוראד אנרגיה משיכה 17 12/31 %5.5301</t>
  </si>
  <si>
    <t>97394</t>
  </si>
  <si>
    <t>28/05/2012</t>
  </si>
  <si>
    <t>דוראד אנרגיה משיכה 27 14/31(ד"ש</t>
  </si>
  <si>
    <t>973031</t>
  </si>
  <si>
    <t>25/04/2013</t>
  </si>
  <si>
    <t>דוראד אנרגיה משיכה 5 2012/2202 %5.6</t>
  </si>
  <si>
    <t>97261</t>
  </si>
  <si>
    <t>17/11/2011</t>
  </si>
  <si>
    <t>דוראד אנרגיה משיכה 6 5.681% 17/31</t>
  </si>
  <si>
    <t>29199</t>
  </si>
  <si>
    <t>26/05/2031</t>
  </si>
  <si>
    <t>דוראד אנרגיה משיכה 9 2014/31(ד"ש</t>
  </si>
  <si>
    <t>97287</t>
  </si>
  <si>
    <t>09/01/2012</t>
  </si>
  <si>
    <t>דוראד הלוו 7 14/2031 %5.5 (טכנאים</t>
  </si>
  <si>
    <t>97345</t>
  </si>
  <si>
    <t>14/12/2011</t>
  </si>
  <si>
    <t>דוראד הלוואה 28 14/2030 %5.5</t>
  </si>
  <si>
    <t>28415</t>
  </si>
  <si>
    <t>28/05/2013</t>
  </si>
  <si>
    <t>דוראד הלוואה 5.5% 14/2030</t>
  </si>
  <si>
    <t>24836</t>
  </si>
  <si>
    <t>דוראד הלוואה משיכה 14 %5.5 1302/14</t>
  </si>
  <si>
    <t>97329</t>
  </si>
  <si>
    <t>19/04/2012</t>
  </si>
  <si>
    <t>דוראד הלוואה משיכה 23 14/2030 %5.5</t>
  </si>
  <si>
    <t>24869</t>
  </si>
  <si>
    <t>26/11/2012</t>
  </si>
  <si>
    <t>דוראד מ 15</t>
  </si>
  <si>
    <t>78022</t>
  </si>
  <si>
    <t>דוראד מ 2</t>
  </si>
  <si>
    <t>78006</t>
  </si>
  <si>
    <t>דוראד משיכה 2 11/31 %5.6(מיטב ד</t>
  </si>
  <si>
    <t>97279</t>
  </si>
  <si>
    <t>24/11/2011</t>
  </si>
  <si>
    <t>דוראד משיכה 20</t>
  </si>
  <si>
    <t>28704</t>
  </si>
  <si>
    <t>דוראד משיכה 22 2030/2014 5.5%</t>
  </si>
  <si>
    <t>28548</t>
  </si>
  <si>
    <t>דוראד משיכה 24 2030/2014 5.5%</t>
  </si>
  <si>
    <t>28589</t>
  </si>
  <si>
    <t>דוראד משיכה 3 %5.662 2011/2031(מיטב</t>
  </si>
  <si>
    <t>97360</t>
  </si>
  <si>
    <t>25/10/2011</t>
  </si>
  <si>
    <t>דוראד משיכה 3 5.662% 2011/2030</t>
  </si>
  <si>
    <t>33266</t>
  </si>
  <si>
    <t>דוראד משיכה 33 %5.5 2015/2031</t>
  </si>
  <si>
    <t>28118</t>
  </si>
  <si>
    <t>14/07/2016</t>
  </si>
  <si>
    <t>דוראד משיכה 4 14/2030 %5.53</t>
  </si>
  <si>
    <t>24752</t>
  </si>
  <si>
    <t>25/01/2012</t>
  </si>
  <si>
    <t>הלוואה 12 דוראד אנרגיה 26.12.2012</t>
  </si>
  <si>
    <t>34819</t>
  </si>
  <si>
    <t>26/05/2019</t>
  </si>
  <si>
    <t>הלוואה 13 דוראד אנרגיה 24.01.2013</t>
  </si>
  <si>
    <t>34801</t>
  </si>
  <si>
    <t>24/01/2013</t>
  </si>
  <si>
    <t>הלוואה 14 דוראד אנרגיה 25.02.2013</t>
  </si>
  <si>
    <t>34843</t>
  </si>
  <si>
    <t>25/02/2013</t>
  </si>
  <si>
    <t>הלוואה 17 דוראד אנרגיה 25.06.2013</t>
  </si>
  <si>
    <t>28423</t>
  </si>
  <si>
    <t>הלוואה 18 דוראד אנרגיה 25.07.2013</t>
  </si>
  <si>
    <t>28456</t>
  </si>
  <si>
    <t>25/07/2013</t>
  </si>
  <si>
    <t>הלוואה 21 דוראד אנרגיה 24.10.2013</t>
  </si>
  <si>
    <t>28522</t>
  </si>
  <si>
    <t>24/10/2013</t>
  </si>
  <si>
    <t>הלוואה 23 דוראד אנרגיה 22.12.2013</t>
  </si>
  <si>
    <t>28563</t>
  </si>
  <si>
    <t>22/12/2013</t>
  </si>
  <si>
    <t>הלוואה 25 דוראד אנרגיה 26.02.2014</t>
  </si>
  <si>
    <t>28605</t>
  </si>
  <si>
    <t>26/02/2014</t>
  </si>
  <si>
    <t>הלוואה 26 דוראד אנרגיה 27.03.2014</t>
  </si>
  <si>
    <t>28639</t>
  </si>
  <si>
    <t>27/03/2014</t>
  </si>
  <si>
    <t>18/11/2030</t>
  </si>
  <si>
    <t>הלוואה 28 דוראד אנרגיה 28.05.2014</t>
  </si>
  <si>
    <t>28654</t>
  </si>
  <si>
    <t>28/05/2014</t>
  </si>
  <si>
    <t>הלוואה 29 דוראד אנרגיה 25.06.2014</t>
  </si>
  <si>
    <t>28670</t>
  </si>
  <si>
    <t>25/06/2014</t>
  </si>
  <si>
    <t>הלוואה 30 דוראד אנרגיה 16.07.2014</t>
  </si>
  <si>
    <t>28902</t>
  </si>
  <si>
    <t>16/07/2014</t>
  </si>
  <si>
    <t>הלוואה 31 דוראד אנרגיה 29.09.2014</t>
  </si>
  <si>
    <t>28928</t>
  </si>
  <si>
    <t>הלוואה 32 דוראד אנרגיה 29.01.2015</t>
  </si>
  <si>
    <t>28944</t>
  </si>
  <si>
    <t>29/01/2015</t>
  </si>
  <si>
    <t>הלוואה 33 דוראד אנרגיה 19.02.2015</t>
  </si>
  <si>
    <t>28969</t>
  </si>
  <si>
    <t>19/02/2015</t>
  </si>
  <si>
    <t>הלוואה 5 דוראד אנרגיה 25.03.2012</t>
  </si>
  <si>
    <t>33233</t>
  </si>
  <si>
    <t>הלוואה 6 דוראד אנרגיה 24.05.2012</t>
  </si>
  <si>
    <t>24760</t>
  </si>
  <si>
    <t>24/05/2012</t>
  </si>
  <si>
    <t>הלוואה 8 דוראד אנרגיה 25.07.2012</t>
  </si>
  <si>
    <t>24810</t>
  </si>
  <si>
    <t>25/07/2012</t>
  </si>
  <si>
    <t>הלוואה 9 דוראד אנרגיה 27.09.2012</t>
  </si>
  <si>
    <t>34330</t>
  </si>
  <si>
    <t>514038306</t>
  </si>
  <si>
    <t>ויה מאריס מתקן התפלה 2015/2028</t>
  </si>
  <si>
    <t>44446</t>
  </si>
  <si>
    <t>31/08/2023</t>
  </si>
  <si>
    <t>30/06/2028</t>
  </si>
  <si>
    <t>רכישת חוב ארוך מבנק הפועלים, שנועד במקור להקמת המתקן.</t>
  </si>
  <si>
    <t>512764408</t>
  </si>
  <si>
    <t>מניף ירושליים 2022</t>
  </si>
  <si>
    <t>50007848</t>
  </si>
  <si>
    <t>520000522</t>
  </si>
  <si>
    <t>10/01/2023</t>
  </si>
  <si>
    <t>28/08/2024</t>
  </si>
  <si>
    <t xml:space="preserve">30/12/2023 </t>
  </si>
  <si>
    <t xml:space="preserve">ממיון רכישה של חיפה כיימיקליים </t>
  </si>
  <si>
    <t xml:space="preserve">28/12/2023 </t>
  </si>
  <si>
    <t>516705795</t>
  </si>
  <si>
    <t>נמל חיפה</t>
  </si>
  <si>
    <t>50007798</t>
  </si>
  <si>
    <t>10/01/2024</t>
  </si>
  <si>
    <t xml:space="preserve">11/11/2023 </t>
  </si>
  <si>
    <t>520025271</t>
  </si>
  <si>
    <t>סינרג'י אנרגיה מתחדשת משיכה 1</t>
  </si>
  <si>
    <t>50007038</t>
  </si>
  <si>
    <t>20/10/2021</t>
  </si>
  <si>
    <t>N/R</t>
  </si>
  <si>
    <t>20/10/2032</t>
  </si>
  <si>
    <t>השקעה בפרויקטים של החברה ,הגדלת האחזקה של החברה במניות חברות בנות, שימושים שוטפים של החברה.</t>
  </si>
  <si>
    <t>516432044</t>
  </si>
  <si>
    <t>עוגן- חוב רגיל א</t>
  </si>
  <si>
    <t>50007319</t>
  </si>
  <si>
    <t>31/01/2022</t>
  </si>
  <si>
    <t>15/07/2025</t>
  </si>
  <si>
    <t>עוגן- חוב רגיל ב</t>
  </si>
  <si>
    <t>50007327</t>
  </si>
  <si>
    <t>15/01/2026</t>
  </si>
  <si>
    <t>514566009</t>
  </si>
  <si>
    <t>רמת הנגב הלוואה 3.55% 19/35</t>
  </si>
  <si>
    <t>50003409</t>
  </si>
  <si>
    <t>510960586</t>
  </si>
  <si>
    <t>הלוואות עמיתים 4- השתלמות</t>
  </si>
  <si>
    <t>893300109</t>
  </si>
  <si>
    <t>10/01/2019</t>
  </si>
  <si>
    <t>AA+</t>
  </si>
  <si>
    <t>10/11/2016</t>
  </si>
  <si>
    <t>הלוואות עמיתים 2-גמל</t>
  </si>
  <si>
    <t>893100109</t>
  </si>
  <si>
    <t>שווי הוגן (בש"ח)</t>
  </si>
  <si>
    <t>CIFC Senior Secured Corporate</t>
  </si>
  <si>
    <t>3912000TN89ESDWHS93</t>
  </si>
  <si>
    <t>Cifc Sen.sec.corp.loan isr Fd</t>
  </si>
  <si>
    <t>KYG2139S1277</t>
  </si>
  <si>
    <t>NYSE </t>
  </si>
  <si>
    <t>Comgest</t>
  </si>
  <si>
    <t>635400C9QFZKPI23YO22</t>
  </si>
  <si>
    <t>COMGEST GROWTH PLC - EURO</t>
  </si>
  <si>
    <t>IE0004766675</t>
  </si>
  <si>
    <t>ISE </t>
  </si>
  <si>
    <t>Investec</t>
  </si>
  <si>
    <t>2138009JJ8B595FIUW06</t>
  </si>
  <si>
    <t>IGS-EMERG MKT CORP DEBT-IUSD</t>
  </si>
  <si>
    <t>LU0611395327</t>
  </si>
  <si>
    <t>Invesco investment management limited</t>
  </si>
  <si>
    <t>549300FEA3DT84FOZ304</t>
  </si>
  <si>
    <t>IUSSENG LX Equity</t>
  </si>
  <si>
    <t>LU0564079282</t>
  </si>
  <si>
    <t>KBI Global Investors</t>
  </si>
  <si>
    <t>213800G9XQZIV76VNB36</t>
  </si>
  <si>
    <t>KBI FUND ICAV -KBI ENERGY SOL</t>
  </si>
  <si>
    <t>IE00BNGJJ156</t>
  </si>
  <si>
    <t>Kotak</t>
  </si>
  <si>
    <t>213800SJ3IH3EXMXSJ47</t>
  </si>
  <si>
    <t>KOTAK FDS-INDIA MIDCAP (S) USD A</t>
  </si>
  <si>
    <t>LU2126068639</t>
  </si>
  <si>
    <t>Lombard Odier Funds-Asia Value</t>
  </si>
  <si>
    <t>SB6NR8324Y8KG313SQ11</t>
  </si>
  <si>
    <t>LOMBARD ODIER-ASIA INV.GR.BD(I</t>
  </si>
  <si>
    <t>LU2083909536</t>
  </si>
  <si>
    <t>LUXEMBOURG LIFE</t>
  </si>
  <si>
    <t>213800KGUD27KPVIHO77</t>
  </si>
  <si>
    <t>lu24283023721</t>
  </si>
  <si>
    <t>M&amp;G Investments</t>
  </si>
  <si>
    <t>213800KHFEP1L58PDC25</t>
  </si>
  <si>
    <t>MGLEUCA LX Equity</t>
  </si>
  <si>
    <t>LU1670632501</t>
  </si>
  <si>
    <t>PRINCIPAL FINANCIAL</t>
  </si>
  <si>
    <t>Q46JYT8ZSTNVO1V2GB46</t>
  </si>
  <si>
    <t>PRINCIPAL GLOBAL INVEST</t>
  </si>
  <si>
    <t>IE00BKDW9G15</t>
  </si>
  <si>
    <t>Ubam Global</t>
  </si>
  <si>
    <t>5493007WR9BT7NBDHF50</t>
  </si>
  <si>
    <t>UBAM GLOB HIGH YLD SOL-IC</t>
  </si>
  <si>
    <t>LU0569863243</t>
  </si>
  <si>
    <t>INVESCO GLOBAL INVESTMENT GRAD</t>
  </si>
  <si>
    <t>LU1218206339</t>
  </si>
  <si>
    <t>מגדל קרנות נאמנות בע"מ</t>
  </si>
  <si>
    <t>511303661</t>
  </si>
  <si>
    <t>מחקה תל-דיב FTM</t>
  </si>
  <si>
    <t>IL0051370133</t>
  </si>
  <si>
    <t>מניות בישראל</t>
  </si>
  <si>
    <t>MTF סל Nasdaq 100 (4D)</t>
  </si>
  <si>
    <t>IL0011813875</t>
  </si>
  <si>
    <t>מניות בחו"ל חשופות מט"ח</t>
  </si>
  <si>
    <t>הראל קרנות נאמנות בע"מ</t>
  </si>
  <si>
    <t>511776783</t>
  </si>
  <si>
    <t>הראל סל תא 90</t>
  </si>
  <si>
    <t>IL0011489312</t>
  </si>
  <si>
    <t>הראל קרן סל תא 125</t>
  </si>
  <si>
    <t>IL0011488991</t>
  </si>
  <si>
    <t>מור ניהול קרנות נאמנות בע"מ</t>
  </si>
  <si>
    <t>514884485</t>
  </si>
  <si>
    <t>מור סל )4D(י NASDAQ 100</t>
  </si>
  <si>
    <t>IL0011658361</t>
  </si>
  <si>
    <t>מור סל )4D(י S&amp;P 500</t>
  </si>
  <si>
    <t>IL0011658106</t>
  </si>
  <si>
    <t>סל mtf Trave l&amp; Vacation</t>
  </si>
  <si>
    <t>IL0011675845</t>
  </si>
  <si>
    <t>State Street Corp</t>
  </si>
  <si>
    <t>07F5H7W3ET8ZLWNMFP29</t>
  </si>
  <si>
    <t>.UTILITIES SELECT S</t>
  </si>
  <si>
    <t>US81369Y8865</t>
  </si>
  <si>
    <t>AINVESCO AEROSPACE &amp; DEFENSE ET</t>
  </si>
  <si>
    <t>US46137V1008</t>
  </si>
  <si>
    <t>CREDIT AGRICOLE SA</t>
  </si>
  <si>
    <t>969500TJ5KRTCJQWXH05</t>
  </si>
  <si>
    <t>AMUNDI ETF ICAV - AMUNDI MSCI</t>
  </si>
  <si>
    <t>IE000BI8OT95</t>
  </si>
  <si>
    <t>Amundi Asset Management</t>
  </si>
  <si>
    <t>213800VZW861M5FHMD50</t>
  </si>
  <si>
    <t>AMUNDI INDEX MSCI EMERGING MAR</t>
  </si>
  <si>
    <t>LU1437017350</t>
  </si>
  <si>
    <t>שווקים מתעוררים</t>
  </si>
  <si>
    <t>AMUNDI MSCI EUROPE QUALITY FAC</t>
  </si>
  <si>
    <t>LU1681041890</t>
  </si>
  <si>
    <t>AMUNDI</t>
  </si>
  <si>
    <t>2138007M6OEXDENVTF82</t>
  </si>
  <si>
    <t>AMUNDI STOXX EUROPE 600 UTILIT</t>
  </si>
  <si>
    <t>LU1834988864</t>
  </si>
  <si>
    <t>COMMUNICATION SERVICES SELECT</t>
  </si>
  <si>
    <t>US81369Y8527</t>
  </si>
  <si>
    <t>Consumer discretionary etf</t>
  </si>
  <si>
    <t>us81369y4070</t>
  </si>
  <si>
    <t>Financial sel sector spdr</t>
  </si>
  <si>
    <t>US81369Y6059</t>
  </si>
  <si>
    <t>First trust</t>
  </si>
  <si>
    <t>549300ZLB3EUU3H8NE60</t>
  </si>
  <si>
    <t>First Trust Nas</t>
  </si>
  <si>
    <t>US3373451026</t>
  </si>
  <si>
    <t>FIRSTTRUST RTUST NASDAQ CLEAN EDGE</t>
  </si>
  <si>
    <t>US33737A1088</t>
  </si>
  <si>
    <t>Global X Management Co LLc</t>
  </si>
  <si>
    <t>5493003RA4QUTSYF1N15</t>
  </si>
  <si>
    <t>GLOBAL X US INFRASTRUCTURE</t>
  </si>
  <si>
    <t>US37954Y6730</t>
  </si>
  <si>
    <t>Health spdr xlv</t>
  </si>
  <si>
    <t>US81369Y2090</t>
  </si>
  <si>
    <t>HORIZON</t>
  </si>
  <si>
    <t>549300UV6MMK38353F61</t>
  </si>
  <si>
    <t>HORIZON S&amp;P/TSX 60 INDEX ETF</t>
  </si>
  <si>
    <t>CA44056G1054</t>
  </si>
  <si>
    <t>TSX </t>
  </si>
  <si>
    <t xml:space="preserve">BlackRock  Asset Managment </t>
  </si>
  <si>
    <t>5493004330BCAPB3GT42</t>
  </si>
  <si>
    <t>IEML LN Equity</t>
  </si>
  <si>
    <t>IE00B5M4WH52</t>
  </si>
  <si>
    <t>Industrail select</t>
  </si>
  <si>
    <t>US81369Y7040</t>
  </si>
  <si>
    <t>INVESCO US HIGH YIELD FALLEN A</t>
  </si>
  <si>
    <t>IE0009D6K2A2</t>
  </si>
  <si>
    <t>ISF LN_ISHARES FTSE 100</t>
  </si>
  <si>
    <t>IE0005042456</t>
  </si>
  <si>
    <t>Ishares ftse china25</t>
  </si>
  <si>
    <t>US4642871846</t>
  </si>
  <si>
    <t>ISHARES JP MORGAN USE EM CORP</t>
  </si>
  <si>
    <t>IE00BFM6TD65</t>
  </si>
  <si>
    <t>ISHARES MSCI EMERGING MARKETS</t>
  </si>
  <si>
    <t>US46434G7640</t>
  </si>
  <si>
    <t>Ishares U.S. BR</t>
  </si>
  <si>
    <t>US4642887941</t>
  </si>
  <si>
    <t>ISHARES USD SHORT DURATION COR</t>
  </si>
  <si>
    <t>IE00BYXYYP94</t>
  </si>
  <si>
    <t>LYXOR ETF</t>
  </si>
  <si>
    <t>LYXOR CORE STOXX EUROPE 600 DR</t>
  </si>
  <si>
    <t>LU0908500753</t>
  </si>
  <si>
    <t>LYXOR STOXX EUROPE 600 HEALTHC</t>
  </si>
  <si>
    <t>LU1834986900</t>
  </si>
  <si>
    <t>MATERIALS SEL SECTO</t>
  </si>
  <si>
    <t>549300N81BAQ1XPGBT65</t>
  </si>
  <si>
    <t>Materiales sel sector</t>
  </si>
  <si>
    <t>US81369Y1001</t>
  </si>
  <si>
    <t>MCHI</t>
  </si>
  <si>
    <t>US46429B6719</t>
  </si>
  <si>
    <t>2138005O9XJIJN4JPN90</t>
  </si>
  <si>
    <t>NASD LN Equity</t>
  </si>
  <si>
    <t>LU1829221024 Equity</t>
  </si>
  <si>
    <t>NERGY S.SECTOR SPDR</t>
  </si>
  <si>
    <t>US81369Y5069</t>
  </si>
  <si>
    <t>Powershares  QQQ NAS1</t>
  </si>
  <si>
    <t>US46090E1038</t>
  </si>
  <si>
    <t>Real Estate Select Sector SPDR</t>
  </si>
  <si>
    <t>US81369Y8600</t>
  </si>
  <si>
    <t>Guggenheim Capital LLC</t>
  </si>
  <si>
    <t>549300BDOTSNHM6LG979</t>
  </si>
  <si>
    <t>RSP US</t>
  </si>
  <si>
    <t>US46137V3574</t>
  </si>
  <si>
    <t>Source Markets plc</t>
  </si>
  <si>
    <t>635400JERNI7MZMIHY13</t>
  </si>
  <si>
    <t>SDJE50 GR Equity</t>
  </si>
  <si>
    <t>IE00B60SWX25</t>
  </si>
  <si>
    <t>SPDR BLOOMBERG SASB U.S. HIGH</t>
  </si>
  <si>
    <t>IE0004TYCC17</t>
  </si>
  <si>
    <t>VanEck Enviromental Services</t>
  </si>
  <si>
    <t>724500XJ1KZW847HI811</t>
  </si>
  <si>
    <t>VANECK DEFENSE UCITS ETF</t>
  </si>
  <si>
    <t>IE000YYE6WK5</t>
  </si>
  <si>
    <t>LSE </t>
  </si>
  <si>
    <t>Vanguard Group</t>
  </si>
  <si>
    <t>549300Y88GQ3VLJIBX57</t>
  </si>
  <si>
    <t>VANGUARD FTSE 250 UCITS ETF</t>
  </si>
  <si>
    <t>IE00BKX55Q28</t>
  </si>
  <si>
    <t>VANGUARD S&amp;P MID-CAP 400 ETF</t>
  </si>
  <si>
    <t>US9219328856</t>
  </si>
  <si>
    <t>WisdomTree Europe ltd</t>
  </si>
  <si>
    <t>549300SEVJBU47TE8855</t>
  </si>
  <si>
    <t>WISDOMTREE INDI</t>
  </si>
  <si>
    <t>US97717W4226</t>
  </si>
  <si>
    <t>קסם קרנות נאמנות בע"מ</t>
  </si>
  <si>
    <t>510938608</t>
  </si>
  <si>
    <t>FTSE 100 (4D) ETF קסם</t>
  </si>
  <si>
    <t>IL0011464976</t>
  </si>
  <si>
    <t>MTF סל תא 125</t>
  </si>
  <si>
    <t>IL0011502833</t>
  </si>
  <si>
    <t>MTF סל תא 90</t>
  </si>
  <si>
    <t>IL0011502593</t>
  </si>
  <si>
    <t>הראל סל 4DMSCI AC World</t>
  </si>
  <si>
    <t>IL0011493355</t>
  </si>
  <si>
    <t>הראל סל NDX 100</t>
  </si>
  <si>
    <t>IL0011490385</t>
  </si>
  <si>
    <t>קסם MSCI AC World (4D) ETF</t>
  </si>
  <si>
    <t>IL0011466799</t>
  </si>
  <si>
    <t>קסם S&amp;P 500 (4D) ETF</t>
  </si>
  <si>
    <t>IL0011464711</t>
  </si>
  <si>
    <t>קסםXOTS006.</t>
  </si>
  <si>
    <t>IL0011462087</t>
  </si>
  <si>
    <t>AMUNDI MSCI EMERGING MARKETS I</t>
  </si>
  <si>
    <t>LU2573967036</t>
  </si>
  <si>
    <t>Franklin FTSE South Korea ETF</t>
  </si>
  <si>
    <t>549300UHXVPT5S43XV04</t>
  </si>
  <si>
    <t>FRANKLIN FTSE SOUTH KOREA ETF</t>
  </si>
  <si>
    <t>US35473P7107</t>
  </si>
  <si>
    <t>invesco</t>
  </si>
  <si>
    <t>INVESCO S&amp;P EQUAL WEIGHT I</t>
  </si>
  <si>
    <t>US46137V3244</t>
  </si>
  <si>
    <t>IVV US iShares S&amp;P 500 Index F</t>
  </si>
  <si>
    <t>US4642872000</t>
  </si>
  <si>
    <t>Lyxor S&amp;P 500 Ucits Etf - c-eu</t>
  </si>
  <si>
    <t>LU1135865084</t>
  </si>
  <si>
    <t>SOURCE S&amp;P 500 UCITS EFT</t>
  </si>
  <si>
    <t>IE00B3YCGJ38</t>
  </si>
  <si>
    <t>spdr Amex tech sel indx</t>
  </si>
  <si>
    <t>US81369Y8030</t>
  </si>
  <si>
    <t>VANGUARD S&amp;P 50</t>
  </si>
  <si>
    <t>us9229083632</t>
  </si>
  <si>
    <t>VANGUARD S&amp;P 500 VALUE ETF</t>
  </si>
  <si>
    <t>US9219327031</t>
  </si>
  <si>
    <t>VANGUARD TOTAL WORLD STOCK ETF</t>
  </si>
  <si>
    <t>US9220427424</t>
  </si>
  <si>
    <t>Wisdomtree em ex-state-owned D E</t>
  </si>
  <si>
    <t>US97717X5784</t>
  </si>
  <si>
    <t>MTF סל תלבונד 60</t>
  </si>
  <si>
    <t>IL0011499964</t>
  </si>
  <si>
    <t xml:space="preserve">אג"ח בישראל - חברות והמרה  </t>
  </si>
  <si>
    <t>STX600.MTF</t>
  </si>
  <si>
    <t>IL0011502262</t>
  </si>
  <si>
    <t>הראל סל בונד שק- בנקוביט</t>
  </si>
  <si>
    <t>IL0011507477</t>
  </si>
  <si>
    <t>הראל סל תל בונד שקלי</t>
  </si>
  <si>
    <t>IL0011505232</t>
  </si>
  <si>
    <t>פסגות קרנות נאמנות בע"מ</t>
  </si>
  <si>
    <t>513765339</t>
  </si>
  <si>
    <t>פסגות קרן סל SP500</t>
  </si>
  <si>
    <t>IL0011481624</t>
  </si>
  <si>
    <t>קסם תל דיב</t>
  </si>
  <si>
    <t>IL0011459117</t>
  </si>
  <si>
    <t>AMUNDI S&amp;P 500 UCITS ETF</t>
  </si>
  <si>
    <t>LU1681049018</t>
  </si>
  <si>
    <t>MTF סל (S&amp;P 500 (4D</t>
  </si>
  <si>
    <t>IL0011503336</t>
  </si>
  <si>
    <t>הראל סל תל בונד 60</t>
  </si>
  <si>
    <t>IL0011504730</t>
  </si>
  <si>
    <t>מור סל (A4) ת"א -125</t>
  </si>
  <si>
    <t>IL0011961534</t>
  </si>
  <si>
    <t>פסגות ETF תל בונד צמודות A</t>
  </si>
  <si>
    <t>IL0011484776</t>
  </si>
  <si>
    <t>קסם iBox $ IG30 ETF</t>
  </si>
  <si>
    <t>IL0011469199</t>
  </si>
  <si>
    <t>קסם תא 90</t>
  </si>
  <si>
    <t>IL0011463317</t>
  </si>
  <si>
    <t>Ishares Msci  Asia ex Japn</t>
  </si>
  <si>
    <t>US4642881829</t>
  </si>
  <si>
    <t>ISHARES MSCI ACWI US ETF</t>
  </si>
  <si>
    <t>US4642882405</t>
  </si>
  <si>
    <t>ISHARES STOXX ERUOPE 600 INDUS</t>
  </si>
  <si>
    <t>DE000A0H08J9</t>
  </si>
  <si>
    <t>SPDR S&amp;P 500 ETF TRUST</t>
  </si>
  <si>
    <t>US78462F1030</t>
  </si>
  <si>
    <t>VANGUARD FTSE ALL-WORLD EX-US</t>
  </si>
  <si>
    <t>US9220427754</t>
  </si>
  <si>
    <t xml:space="preserve">אורמת טכנולגיות אינק </t>
  </si>
  <si>
    <t>880326081</t>
  </si>
  <si>
    <t>אורמת טכנולוגיות</t>
  </si>
  <si>
    <t>US6866881021</t>
  </si>
  <si>
    <t>איי.סי.אל גרופ בע"מ (דואלי)</t>
  </si>
  <si>
    <t>520027830</t>
  </si>
  <si>
    <t>איי.סי.אל</t>
  </si>
  <si>
    <t>IL0002810146</t>
  </si>
  <si>
    <t>איי.די.איי. חברה לביטוח בע"מ</t>
  </si>
  <si>
    <t>513910703</t>
  </si>
  <si>
    <t>איידיאיי ביטוח</t>
  </si>
  <si>
    <t>IL0011295016</t>
  </si>
  <si>
    <t>אינרום תעשיות בנייה בע"מ</t>
  </si>
  <si>
    <t>515001659</t>
  </si>
  <si>
    <t>אינרום</t>
  </si>
  <si>
    <t>IL0011323560</t>
  </si>
  <si>
    <t>אל על נתיבי אויר לישראל בע"מ</t>
  </si>
  <si>
    <t>520017146</t>
  </si>
  <si>
    <t>אל על</t>
  </si>
  <si>
    <t>IL0010878242</t>
  </si>
  <si>
    <t>אלביט מערכות בע"מ</t>
  </si>
  <si>
    <t>520043027</t>
  </si>
  <si>
    <t>אלביט מערכות</t>
  </si>
  <si>
    <t>IL0010811243</t>
  </si>
  <si>
    <t>אלקטרה בע"מ</t>
  </si>
  <si>
    <t>520028911</t>
  </si>
  <si>
    <t>אלקטרה</t>
  </si>
  <si>
    <t>IL0007390375</t>
  </si>
  <si>
    <t>אנלייט אנרגיה מתחדשת בע"מ</t>
  </si>
  <si>
    <t>520041146</t>
  </si>
  <si>
    <t>אנלייט אנרגיה</t>
  </si>
  <si>
    <t>IL0007200111</t>
  </si>
  <si>
    <t>Energean plc</t>
  </si>
  <si>
    <t>10758801</t>
  </si>
  <si>
    <t>אנרג'יאן</t>
  </si>
  <si>
    <t>GB00BG12Y042</t>
  </si>
  <si>
    <t>אנרג'יקס אנרגיות מתחדשות בע"מ</t>
  </si>
  <si>
    <t>513901371</t>
  </si>
  <si>
    <t>אנרג'יקס</t>
  </si>
  <si>
    <t>IL0011233553</t>
  </si>
  <si>
    <t>אפריקה ישראל תעשיות בע"מ</t>
  </si>
  <si>
    <t>520026618</t>
  </si>
  <si>
    <t>אפריקה תעשיות</t>
  </si>
  <si>
    <t>IL0008000114</t>
  </si>
  <si>
    <t>קבוצת אשטרום</t>
  </si>
  <si>
    <t>510381601</t>
  </si>
  <si>
    <t>אשטרום קבוצה</t>
  </si>
  <si>
    <t>IL0011323156</t>
  </si>
  <si>
    <t>בוליגו קפיטל בע"מ</t>
  </si>
  <si>
    <t>514766195</t>
  </si>
  <si>
    <t>בוליגו</t>
  </si>
  <si>
    <t>IL0011805954</t>
  </si>
  <si>
    <t>בתי זקוק לנפט בע"מ</t>
  </si>
  <si>
    <t>520036658</t>
  </si>
  <si>
    <t>בזן</t>
  </si>
  <si>
    <t>IL0025902482</t>
  </si>
  <si>
    <t>בזק החברה הישראלית לתקשורת בע"מ</t>
  </si>
  <si>
    <t>520031931</t>
  </si>
  <si>
    <t>בזק</t>
  </si>
  <si>
    <t>IL0002300114</t>
  </si>
  <si>
    <t>ביג מרכזי קניות (2004) בע"מ</t>
  </si>
  <si>
    <t>513623314</t>
  </si>
  <si>
    <t>ביג</t>
  </si>
  <si>
    <t>IL0010972607</t>
  </si>
  <si>
    <t>הבנק הבינלאומי הראשון לישראל בע"מ</t>
  </si>
  <si>
    <t>520029083</t>
  </si>
  <si>
    <t>בינלאומי 5</t>
  </si>
  <si>
    <t>IL0005930388</t>
  </si>
  <si>
    <t>בית-הזהב בע"מ</t>
  </si>
  <si>
    <t>520034562</t>
  </si>
  <si>
    <t>בית הזהב</t>
  </si>
  <si>
    <t>IL0002350101</t>
  </si>
  <si>
    <t>בנק דיסקונט לישראל בע"מ</t>
  </si>
  <si>
    <t>520007030</t>
  </si>
  <si>
    <t>דיסקונט</t>
  </si>
  <si>
    <t>IL0006912120</t>
  </si>
  <si>
    <t>דלתא-גליל תעשיות בע"מ</t>
  </si>
  <si>
    <t>520025602</t>
  </si>
  <si>
    <t>דלתא גליל</t>
  </si>
  <si>
    <t>IL0006270347</t>
  </si>
  <si>
    <t>הפניקס אחזקות בע"מ</t>
  </si>
  <si>
    <t>520017450</t>
  </si>
  <si>
    <t>הפניקס</t>
  </si>
  <si>
    <t>IL0007670123</t>
  </si>
  <si>
    <t>החברה לישראל בע"מ</t>
  </si>
  <si>
    <t>520028010</t>
  </si>
  <si>
    <t>חברה לישראל</t>
  </si>
  <si>
    <t>IL0005760173</t>
  </si>
  <si>
    <t>חילן בע"מ</t>
  </si>
  <si>
    <t>520039942</t>
  </si>
  <si>
    <t>חילן</t>
  </si>
  <si>
    <t>IL0010846983</t>
  </si>
  <si>
    <t>חלל-תקשורת בע"מ</t>
  </si>
  <si>
    <t>511396046</t>
  </si>
  <si>
    <t>חלל תקשורת</t>
  </si>
  <si>
    <t>IL0010923451</t>
  </si>
  <si>
    <t>טאואר סמיקונדקטור בע"מ</t>
  </si>
  <si>
    <t>520041997</t>
  </si>
  <si>
    <t>טאואר</t>
  </si>
  <si>
    <t>IL0010823792</t>
  </si>
  <si>
    <t>טבע תעשיות פרמצבטיות בע"מ</t>
  </si>
  <si>
    <t>520013954</t>
  </si>
  <si>
    <t>טבע</t>
  </si>
  <si>
    <t>IL0006290147</t>
  </si>
  <si>
    <t>טיב טעם הולדינגס 1 בע"מ</t>
  </si>
  <si>
    <t>520041187</t>
  </si>
  <si>
    <t>טיב טעם</t>
  </si>
  <si>
    <t>IL0001030100</t>
  </si>
  <si>
    <t>ישראכרט בע"מ</t>
  </si>
  <si>
    <t>510706153</t>
  </si>
  <si>
    <t>ישראכרט</t>
  </si>
  <si>
    <t>IL0011574030</t>
  </si>
  <si>
    <t>כלל החזקות עסקי ביטוח בע"מ</t>
  </si>
  <si>
    <t>520036120</t>
  </si>
  <si>
    <t>כלל ביטוח</t>
  </si>
  <si>
    <t>IL0002240146</t>
  </si>
  <si>
    <t>520018078</t>
  </si>
  <si>
    <t>לאומי</t>
  </si>
  <si>
    <t>IL0006046119</t>
  </si>
  <si>
    <t>מבנה נדל"ן (כ.ד)  בע"מ</t>
  </si>
  <si>
    <t>520024126</t>
  </si>
  <si>
    <t>מבנה</t>
  </si>
  <si>
    <t>IL0002260193</t>
  </si>
  <si>
    <t>מגדלי הים התיכון</t>
  </si>
  <si>
    <t>512719485</t>
  </si>
  <si>
    <t>מגדלי תיכון</t>
  </si>
  <si>
    <t>IL0011315236</t>
  </si>
  <si>
    <t>מהדרין בע"מ</t>
  </si>
  <si>
    <t>520018482</t>
  </si>
  <si>
    <t>מהדרין</t>
  </si>
  <si>
    <t>IL0006860147</t>
  </si>
  <si>
    <t>מטריקס אי.טי בע"מ</t>
  </si>
  <si>
    <t>520039413</t>
  </si>
  <si>
    <t>מטריקס</t>
  </si>
  <si>
    <t>IL0004450156</t>
  </si>
  <si>
    <t>מליסרון בע"מ</t>
  </si>
  <si>
    <t>520037789</t>
  </si>
  <si>
    <t>מליסרון</t>
  </si>
  <si>
    <t>IL0003230146</t>
  </si>
  <si>
    <t>מנורה מבטחים החזקות בע"מ</t>
  </si>
  <si>
    <t>520007469</t>
  </si>
  <si>
    <t>מנורה מבטחים החזקות</t>
  </si>
  <si>
    <t>IL0005660183</t>
  </si>
  <si>
    <t xml:space="preserve">מניף - שירותים פיננסים בע"מ </t>
  </si>
  <si>
    <t>מניף</t>
  </si>
  <si>
    <t>IL0011708935</t>
  </si>
  <si>
    <t>מקס סטוק בע"מ</t>
  </si>
  <si>
    <t>513618967</t>
  </si>
  <si>
    <t>מקס סטוק</t>
  </si>
  <si>
    <t>IL0011685588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</si>
  <si>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</si>
  <si>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</si>
  <si>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</si>
  <si>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</si>
  <si>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</si>
  <si>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</si>
  <si>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</si>
  <si>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</si>
  <si>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סיפיה ווז'ן בע"מ</t>
  </si>
  <si>
    <t>513476010</t>
  </si>
  <si>
    <t>סיפיה וויזן</t>
  </si>
  <si>
    <t>IL0011819328</t>
  </si>
  <si>
    <t>סלקום ישראל בע"מ</t>
  </si>
  <si>
    <t>511930125</t>
  </si>
  <si>
    <t>סלקום</t>
  </si>
  <si>
    <t>IL0011015349</t>
  </si>
  <si>
    <t>קבוצת עזריאלי בע"מ (לשעבר קנית מימון)</t>
  </si>
  <si>
    <t>510960719</t>
  </si>
  <si>
    <t>עזריאלי קבוצה</t>
  </si>
  <si>
    <t>IL0011194789</t>
  </si>
  <si>
    <t>520000118</t>
  </si>
  <si>
    <t>פועלים</t>
  </si>
  <si>
    <t>IL0006625771</t>
  </si>
  <si>
    <t>פלסאנמור בע"מ</t>
  </si>
  <si>
    <t>515139129</t>
  </si>
  <si>
    <t>פלסאנמור</t>
  </si>
  <si>
    <t>IL0011767006</t>
  </si>
  <si>
    <t>חברת פרטנר תקשורת בע"מ</t>
  </si>
  <si>
    <t>520044314</t>
  </si>
  <si>
    <t>פרטנר</t>
  </si>
  <si>
    <t>IL0010834849</t>
  </si>
  <si>
    <t>פרידנזון שירותים לוגיסטיים בע"מ</t>
  </si>
  <si>
    <t>510712466</t>
  </si>
  <si>
    <t>פרידנזון</t>
  </si>
  <si>
    <t>IL0011022196</t>
  </si>
  <si>
    <t>קבוצת אקרשטיין בע"מ</t>
  </si>
  <si>
    <t>512714494</t>
  </si>
  <si>
    <t>קבוצת אקרשטיין</t>
  </si>
  <si>
    <t>IL0011762056</t>
  </si>
  <si>
    <t>ריט אזורים - ה.פ ליווינג בע"מ</t>
  </si>
  <si>
    <t>516117181</t>
  </si>
  <si>
    <t>ריט אזורים ליווינג</t>
  </si>
  <si>
    <t>IL0011627754</t>
  </si>
  <si>
    <t>שטראוס גרופ בע"מ</t>
  </si>
  <si>
    <t>520003781</t>
  </si>
  <si>
    <t>שטראוס</t>
  </si>
  <si>
    <t>IL0007460160</t>
  </si>
  <si>
    <t>שפיר הנדסה ותעשיה בע"מ</t>
  </si>
  <si>
    <t>514892801</t>
  </si>
  <si>
    <t>שפיר הנדסה</t>
  </si>
  <si>
    <t>IL0011338758</t>
  </si>
  <si>
    <t>תאת טכנולוגיות בע"מ</t>
  </si>
  <si>
    <t>520035791</t>
  </si>
  <si>
    <t>תאת טכנולוגיות</t>
  </si>
  <si>
    <t>IL0010827264</t>
  </si>
  <si>
    <t>amazon.com</t>
  </si>
  <si>
    <t>ZXTILKJKG63JELOEG630</t>
  </si>
  <si>
    <t>AMAZON.COM INC</t>
  </si>
  <si>
    <t>US0231351067</t>
  </si>
  <si>
    <t>APPLE COMPUTER INC</t>
  </si>
  <si>
    <t>HWUPKR0MPOU8FGXBT394</t>
  </si>
  <si>
    <t>APPLE INC</t>
  </si>
  <si>
    <t>US0378331005</t>
  </si>
  <si>
    <t>BERKSHIRE HATHAWAY FIN</t>
  </si>
  <si>
    <t>5493000C01ZX7D35SD85</t>
  </si>
  <si>
    <t>BERKSHIRE HATHAWAY INC</t>
  </si>
  <si>
    <t>US0846702076</t>
  </si>
  <si>
    <t>Diversified Financial Services Financial Services</t>
  </si>
  <si>
    <t>BIOGEN IDEC INC</t>
  </si>
  <si>
    <t>W8J5WZB5IY3K0NDQT671</t>
  </si>
  <si>
    <t>Biogen Inc</t>
  </si>
  <si>
    <t>US09062X1037</t>
  </si>
  <si>
    <t>גאמידה סל בע"מ</t>
  </si>
  <si>
    <t>512601204</t>
  </si>
  <si>
    <t>CONTRA GAMILDA CELL LTD</t>
  </si>
  <si>
    <t>USM47CVR0280</t>
  </si>
  <si>
    <t>DANAHER CORP</t>
  </si>
  <si>
    <t>S4BKK9OTCEWQ3YHPFM11</t>
  </si>
  <si>
    <t>US2358511028</t>
  </si>
  <si>
    <t>Deere&amp;Company</t>
  </si>
  <si>
    <t>PWFTNG3EI0Y73OXWDH08</t>
  </si>
  <si>
    <t>DEERE &amp; CO</t>
  </si>
  <si>
    <t>US2441991054</t>
  </si>
  <si>
    <t>Food &amp; Staples Retailing Consumer Staples Distribution &amp; Retail</t>
  </si>
  <si>
    <t>FLEX LTD</t>
  </si>
  <si>
    <t>549300EAQH74YHD07T53</t>
  </si>
  <si>
    <t>SG9999000020</t>
  </si>
  <si>
    <t>ALPHABET INC</t>
  </si>
  <si>
    <t>5493006MHB84DD0ZWV18</t>
  </si>
  <si>
    <t>Google Us Class c</t>
  </si>
  <si>
    <t>US02079K1079</t>
  </si>
  <si>
    <t>Lvmh Moet Hennessy Louis Vui</t>
  </si>
  <si>
    <t>IOG4E947OATN0KJYSD45</t>
  </si>
  <si>
    <t>LVMH MOET HENNESSY LOUIS VUITT</t>
  </si>
  <si>
    <t>FR0000121014</t>
  </si>
  <si>
    <t>ConsumerStaplesDistrib&amp;Retai</t>
  </si>
  <si>
    <t>MASTERCARD INC</t>
  </si>
  <si>
    <t>AR5L2ODV9HN37376R084</t>
  </si>
  <si>
    <t>MASTERCARD UNC</t>
  </si>
  <si>
    <t>US57636Q1040</t>
  </si>
  <si>
    <t>MERCK &amp;CO INC</t>
  </si>
  <si>
    <t>4YV9Y5M8S0BRK1RP0397</t>
  </si>
  <si>
    <t>MERCK &amp; CO INC</t>
  </si>
  <si>
    <t>US58933Y1055</t>
  </si>
  <si>
    <t>MICROSOFT CORP</t>
  </si>
  <si>
    <t>INR2EJN1ERAN0W5ZP974</t>
  </si>
  <si>
    <t>Microsoft crop</t>
  </si>
  <si>
    <t>US5949181045</t>
  </si>
  <si>
    <t>MODERNA INC</t>
  </si>
  <si>
    <t>549300EI6OKH5K5Q2G38</t>
  </si>
  <si>
    <t>US60770K1079</t>
  </si>
  <si>
    <t>Netflix Inc</t>
  </si>
  <si>
    <t>549300Y7VHGU0I7CE873</t>
  </si>
  <si>
    <t>NETFLIX INC</t>
  </si>
  <si>
    <t>US64110L1061</t>
  </si>
  <si>
    <t>NIKE INC</t>
  </si>
  <si>
    <t>787RXPR0UX0O0XUXPZ81</t>
  </si>
  <si>
    <t>US6541061031</t>
  </si>
  <si>
    <t>Northrop Grumman Corp</t>
  </si>
  <si>
    <t>RIMU48P07456QXSO0R61</t>
  </si>
  <si>
    <t>NORTHROP GRUMMAN CORP</t>
  </si>
  <si>
    <t>US6668071029</t>
  </si>
  <si>
    <t>Novo Nordsik</t>
  </si>
  <si>
    <t>549300DAQ1CVT6CXN342</t>
  </si>
  <si>
    <t>NOVO NORDISK A/S</t>
  </si>
  <si>
    <t>US6701002056</t>
  </si>
  <si>
    <t>NVIDIA CORP</t>
  </si>
  <si>
    <t>549300S4KLFTLO7GSQ80</t>
  </si>
  <si>
    <t>Nvidia corp</t>
  </si>
  <si>
    <t>US67066G1040</t>
  </si>
  <si>
    <t>Pluristem Therapeutics Inc</t>
  </si>
  <si>
    <t>529900OZKMF7JGZMYM81</t>
  </si>
  <si>
    <t>PLURISTEM THERAPEUTICS INC</t>
  </si>
  <si>
    <t>US72942G1040</t>
  </si>
  <si>
    <t>Prologis Inc</t>
  </si>
  <si>
    <t>529900DFH19P073LZ636</t>
  </si>
  <si>
    <t xml:space="preserve">PROLOGIS INC
</t>
  </si>
  <si>
    <t>US74340W1036</t>
  </si>
  <si>
    <t>max sp 500</t>
  </si>
  <si>
    <t>988400E5HRVX81AYLM04</t>
  </si>
  <si>
    <t>RHEINMETALL AG</t>
  </si>
  <si>
    <t>DE0007030009</t>
  </si>
  <si>
    <t>FWB </t>
  </si>
  <si>
    <t>Industrial Conglomerates </t>
  </si>
  <si>
    <t>SCHLUMBERGER LIMITED</t>
  </si>
  <si>
    <t>529900EZ29I5KXPV2J32</t>
  </si>
  <si>
    <t>Schlumberger Ltd</t>
  </si>
  <si>
    <t>AN8068571086</t>
  </si>
  <si>
    <t>TAIWAN Semiconductor</t>
  </si>
  <si>
    <t>549300KB6NK5SBD14S87</t>
  </si>
  <si>
    <t>TAIWAN SEMICON ADR</t>
  </si>
  <si>
    <t>US8740391003</t>
  </si>
  <si>
    <t>TESLA MOTORS INC</t>
  </si>
  <si>
    <t>54930043XZGB27CTOV49</t>
  </si>
  <si>
    <t>US88160R1014</t>
  </si>
  <si>
    <t>Vbare Iberian Properties SOCIM</t>
  </si>
  <si>
    <t>959800X1MGWGZZW5ZS47</t>
  </si>
  <si>
    <t>VBARE IBERIAN PROPERTIES SOCIM</t>
  </si>
  <si>
    <t>ES0105196002</t>
  </si>
  <si>
    <t>VISA  Inc - CLASS  A</t>
  </si>
  <si>
    <t>549300JZ4OKEHW3DPJ59</t>
  </si>
  <si>
    <t>VISA inc-class a</t>
  </si>
  <si>
    <t>US92826C8394</t>
  </si>
  <si>
    <t>Walt Disney Company</t>
  </si>
  <si>
    <t>549300GZKULIZ0WOW665</t>
  </si>
  <si>
    <t>WALT DISNEY CO</t>
  </si>
  <si>
    <t>US2546871060</t>
  </si>
  <si>
    <t>קבוצת דלק בע"מ</t>
  </si>
  <si>
    <t>520044322</t>
  </si>
  <si>
    <t>דלק קבוצה</t>
  </si>
  <si>
    <t>IL0010841281</t>
  </si>
  <si>
    <t>הראל השקעות בביטוח ושרותים פיננסים בע"מ</t>
  </si>
  <si>
    <t>520033986</t>
  </si>
  <si>
    <t>הראל השקעות</t>
  </si>
  <si>
    <t>IL0005850180</t>
  </si>
  <si>
    <t>יוחננוף</t>
  </si>
  <si>
    <t>511344186</t>
  </si>
  <si>
    <t>מ. יוחננוף</t>
  </si>
  <si>
    <t>IL0011612640</t>
  </si>
  <si>
    <t>בנק מזרחי טפחות בע"מ</t>
  </si>
  <si>
    <t>מזרחי טפחות</t>
  </si>
  <si>
    <t>IL0006954379</t>
  </si>
  <si>
    <t>נקסט ויז'ן</t>
  </si>
  <si>
    <t>514259019</t>
  </si>
  <si>
    <t>IL0011765935</t>
  </si>
  <si>
    <t>פתאל החזקות 1998 בע"מ</t>
  </si>
  <si>
    <t>512607888</t>
  </si>
  <si>
    <t>פתאל החזקות</t>
  </si>
  <si>
    <t>IL0011434292</t>
  </si>
  <si>
    <t>רשת חנויות רמי לוי שיווק השיקמה 2006 בע"מ</t>
  </si>
  <si>
    <t>513770669</t>
  </si>
  <si>
    <t>רמי לוי</t>
  </si>
  <si>
    <t>IL0011042491</t>
  </si>
  <si>
    <t>מניבים קרן הריט החדשה בע"מ</t>
  </si>
  <si>
    <t>515327120</t>
  </si>
  <si>
    <t>מניבים ריט</t>
  </si>
  <si>
    <t>IL0011405730</t>
  </si>
  <si>
    <t>י.ס.פ. מטעי הדר ישראל בע"מ</t>
  </si>
  <si>
    <t>520022369</t>
  </si>
  <si>
    <t>1 מטעי הדר</t>
  </si>
  <si>
    <t>IL0007160190</t>
  </si>
  <si>
    <t>5 מטעי הדר</t>
  </si>
  <si>
    <t>IL0007160356</t>
  </si>
  <si>
    <t>מולטי ריטייל גרופ בע"מ</t>
  </si>
  <si>
    <t>515546224</t>
  </si>
  <si>
    <t>מולטי ריטייל (אייס )</t>
  </si>
  <si>
    <t>IL0011716698</t>
  </si>
  <si>
    <t>אלומיי קפיטל בע"מ</t>
  </si>
  <si>
    <t>520039868</t>
  </si>
  <si>
    <t>ELLOMAY CAPITAL LTD RESTRICTED</t>
  </si>
  <si>
    <t>IL0010826357</t>
  </si>
  <si>
    <t>מג'יק תעשיות תכנה בע"מ</t>
  </si>
  <si>
    <t>520036740</t>
  </si>
  <si>
    <t>מ.אופנהיימר מג'יק</t>
  </si>
  <si>
    <t>IL0010823123</t>
  </si>
  <si>
    <t>פי אס טי אי - חסום ניתן למכור (אופנהיימר)</t>
  </si>
  <si>
    <t>US72940R1023</t>
  </si>
  <si>
    <t>דנאל (אדיר יהושע) בע"מ</t>
  </si>
  <si>
    <t>520037565</t>
  </si>
  <si>
    <t>דנאל כא</t>
  </si>
  <si>
    <t>IL0003140139</t>
  </si>
  <si>
    <t>סאמיט אחזקות נדל"ן בע"מ</t>
  </si>
  <si>
    <t>520043720</t>
  </si>
  <si>
    <t>סאמיט</t>
  </si>
  <si>
    <t>IL0010816861</t>
  </si>
  <si>
    <t>פז בית זיקוק לנפט-אשדוד בע"מ</t>
  </si>
  <si>
    <t>513775163</t>
  </si>
  <si>
    <t>פז בית זיקוק אשדוד</t>
  </si>
  <si>
    <t>IL0011989105</t>
  </si>
  <si>
    <t>רבל אי.סי.אס. בע"מ</t>
  </si>
  <si>
    <t>513506329</t>
  </si>
  <si>
    <t>רבל</t>
  </si>
  <si>
    <t>IL0011038788</t>
  </si>
  <si>
    <t>תדיראן גרופ בע"מ</t>
  </si>
  <si>
    <t>520036732</t>
  </si>
  <si>
    <t>תדיראן גרופ</t>
  </si>
  <si>
    <t>IL0002580129</t>
  </si>
  <si>
    <t>CHECK CAP LTD</t>
  </si>
  <si>
    <t>549300VKJF3TJ17U4U73</t>
  </si>
  <si>
    <t>IL0011336851</t>
  </si>
  <si>
    <t>SAFRAN SA</t>
  </si>
  <si>
    <t>969500UIC89GT3UL7L24</t>
  </si>
  <si>
    <t>FR0000073272</t>
  </si>
  <si>
    <t>אדגר השקעות ופיתוח בע"מ</t>
  </si>
  <si>
    <t>520035171</t>
  </si>
  <si>
    <t>אדגר אגח ט</t>
  </si>
  <si>
    <t>IL0018201900</t>
  </si>
  <si>
    <t>A</t>
  </si>
  <si>
    <t>01/07/2025</t>
  </si>
  <si>
    <t>אדמה פתרונות לחקלאות בע"מ</t>
  </si>
  <si>
    <t>520043605</t>
  </si>
  <si>
    <t>אדמה אגח ב</t>
  </si>
  <si>
    <t>IL0011109159</t>
  </si>
  <si>
    <t>30/11/2036</t>
  </si>
  <si>
    <t>או.פי.סי. אנרגיה בע"מ</t>
  </si>
  <si>
    <t>514401702</t>
  </si>
  <si>
    <t>או פי סי אגח ב'</t>
  </si>
  <si>
    <t>IL0011660573</t>
  </si>
  <si>
    <t>A-</t>
  </si>
  <si>
    <t>01/10/2028</t>
  </si>
  <si>
    <t>או.פי.סי  אגח ג</t>
  </si>
  <si>
    <t>IL0011803553</t>
  </si>
  <si>
    <t>01/09/2030</t>
  </si>
  <si>
    <t>אזורים-חברה להשקעות בפתוח ובבנין בע"מ</t>
  </si>
  <si>
    <t>520025990</t>
  </si>
  <si>
    <t>אזורים סדרה 14</t>
  </si>
  <si>
    <t>IL0071504448</t>
  </si>
  <si>
    <t>31/12/2028</t>
  </si>
  <si>
    <t>איי.די.איי. הנפקות (2010) בע"מ</t>
  </si>
  <si>
    <t>514486042</t>
  </si>
  <si>
    <t>איידיאיי הנפקות אגח ו</t>
  </si>
  <si>
    <t>IL0011830374</t>
  </si>
  <si>
    <t>15/12/2028</t>
  </si>
  <si>
    <t>איירפורט סיטי בע"מ</t>
  </si>
  <si>
    <t>511659401</t>
  </si>
  <si>
    <t>איירפורט אגח ה</t>
  </si>
  <si>
    <t>IL0011334872</t>
  </si>
  <si>
    <t>AA</t>
  </si>
  <si>
    <t>אלוני-חץ נכסים והשקעות בע"מ</t>
  </si>
  <si>
    <t>520038506</t>
  </si>
  <si>
    <t>אלוני חץ אגח יב</t>
  </si>
  <si>
    <t>IL0039004952</t>
  </si>
  <si>
    <t>28/02/2031</t>
  </si>
  <si>
    <t>אלוני חץ אגח יג</t>
  </si>
  <si>
    <t>IL0011894065</t>
  </si>
  <si>
    <t>01/03/2037</t>
  </si>
  <si>
    <t>אלקטרה אגח ה</t>
  </si>
  <si>
    <t>IL0073902228</t>
  </si>
  <si>
    <t>10/01/2031</t>
  </si>
  <si>
    <t>אלקטרה אגח ו</t>
  </si>
  <si>
    <t>IL0073902632</t>
  </si>
  <si>
    <t>10/12/2035</t>
  </si>
  <si>
    <t>אפי נכסים בע"מ</t>
  </si>
  <si>
    <t>510560188</t>
  </si>
  <si>
    <t>אפי נכסים אגח 8</t>
  </si>
  <si>
    <t>IL0011422313</t>
  </si>
  <si>
    <t>15/10/2026</t>
  </si>
  <si>
    <t>אפי נכסים אגח יד</t>
  </si>
  <si>
    <t>IL0011845307</t>
  </si>
  <si>
    <t>30/03/2031</t>
  </si>
  <si>
    <t>אפי נכסים אגחטז</t>
  </si>
  <si>
    <t>IL0012109471</t>
  </si>
  <si>
    <t>30/09/2034</t>
  </si>
  <si>
    <t>אקויטל בע"מ</t>
  </si>
  <si>
    <t>520030859</t>
  </si>
  <si>
    <t>אקויטל אגח 4</t>
  </si>
  <si>
    <t>IL0011976078</t>
  </si>
  <si>
    <t>25/07/2036</t>
  </si>
  <si>
    <t>אשטרום נכסים בע"מ</t>
  </si>
  <si>
    <t>520036617</t>
  </si>
  <si>
    <t>אשטרום נכ אגח 14</t>
  </si>
  <si>
    <t>IL0012018961</t>
  </si>
  <si>
    <t>01/01/2034</t>
  </si>
  <si>
    <t>אשטרום נכסים אגח 10</t>
  </si>
  <si>
    <t>IL0025102042</t>
  </si>
  <si>
    <t>02/01/2028</t>
  </si>
  <si>
    <t>בזן אגח י</t>
  </si>
  <si>
    <t>IL0025905113</t>
  </si>
  <si>
    <t>25/09/2031</t>
  </si>
  <si>
    <t>בי קומיוניקיישנס בע"מ לשעבר סמייל 012</t>
  </si>
  <si>
    <t>512832742</t>
  </si>
  <si>
    <t>בי קומיוניקיישנס אגח ז</t>
  </si>
  <si>
    <t>IL0012109885</t>
  </si>
  <si>
    <t>30/11/2029</t>
  </si>
  <si>
    <t>ביג אגח טו</t>
  </si>
  <si>
    <t>IL0011622219</t>
  </si>
  <si>
    <t>31/01/2030</t>
  </si>
  <si>
    <t>ביג אגח יח</t>
  </si>
  <si>
    <t>IL0011742264</t>
  </si>
  <si>
    <t>בתי זיקוק אגח יג</t>
  </si>
  <si>
    <t>IL0011953465</t>
  </si>
  <si>
    <t>26/09/2032</t>
  </si>
  <si>
    <t>חברת גב-ים לקרקעות בע"מ</t>
  </si>
  <si>
    <t>520001736</t>
  </si>
  <si>
    <t>גב ים אגח ח</t>
  </si>
  <si>
    <t>IL0075901517</t>
  </si>
  <si>
    <t>30/06/2034</t>
  </si>
  <si>
    <t>גב ים אגח ט</t>
  </si>
  <si>
    <t>IL0075902192</t>
  </si>
  <si>
    <t>30/06/2033</t>
  </si>
  <si>
    <t>גב ים אגח י</t>
  </si>
  <si>
    <t>IL0075902846</t>
  </si>
  <si>
    <t>01/07/2035</t>
  </si>
  <si>
    <t>גב ים אגח יא</t>
  </si>
  <si>
    <t>IL0012083395</t>
  </si>
  <si>
    <t>31/03/2030</t>
  </si>
  <si>
    <t>גב ים סד' ו'</t>
  </si>
  <si>
    <t>IL0075901285</t>
  </si>
  <si>
    <t>31/03/2026</t>
  </si>
  <si>
    <t>ג'נריישן קפיטל בע"מ</t>
  </si>
  <si>
    <t>515846558</t>
  </si>
  <si>
    <t>ג'נריישן קפיטל אגח ג</t>
  </si>
  <si>
    <t>IL0011845554</t>
  </si>
  <si>
    <t>30/09/2033</t>
  </si>
  <si>
    <t>דיסקונט מנפיקים בע"מ</t>
  </si>
  <si>
    <t>520029935</t>
  </si>
  <si>
    <t>דיסק מנ אגח טז</t>
  </si>
  <si>
    <t>IL0012031576</t>
  </si>
  <si>
    <t>20/03/2035</t>
  </si>
  <si>
    <t>חברת השקעות דיסקונט בע"מ</t>
  </si>
  <si>
    <t>520023896</t>
  </si>
  <si>
    <t>דיסקונט השקעות אגח ו</t>
  </si>
  <si>
    <t>IL0063902071</t>
  </si>
  <si>
    <t>BBB</t>
  </si>
  <si>
    <t>31/12/2025</t>
  </si>
  <si>
    <t>דיסקונט מנ נד ט</t>
  </si>
  <si>
    <t>IL0011912461</t>
  </si>
  <si>
    <t>30/11/2028</t>
  </si>
  <si>
    <t>דליה חברות אנרגיה בע"מ</t>
  </si>
  <si>
    <t>516269248</t>
  </si>
  <si>
    <t>דליה אגח א</t>
  </si>
  <si>
    <t>IL0011849515</t>
  </si>
  <si>
    <t>30/09/2031</t>
  </si>
  <si>
    <t>דליה אנרגיה אגח ב</t>
  </si>
  <si>
    <t>IL0011935983</t>
  </si>
  <si>
    <t>01/10/2034</t>
  </si>
  <si>
    <t>חברת הכשרת הישוב בישראל בע"מ</t>
  </si>
  <si>
    <t>520020116</t>
  </si>
  <si>
    <t>הכשרת הישוב אגח 24</t>
  </si>
  <si>
    <t>IL0011915191</t>
  </si>
  <si>
    <t>הכשרת ישוב אגח 21</t>
  </si>
  <si>
    <t>IL0061202243</t>
  </si>
  <si>
    <t>הראל ביטוח מימון והנפקות בע"מ</t>
  </si>
  <si>
    <t>513834200</t>
  </si>
  <si>
    <t>הראל הנפ אגח טו</t>
  </si>
  <si>
    <t>IL0011431306</t>
  </si>
  <si>
    <t>31/12/2031</t>
  </si>
  <si>
    <t>הראל הנפק אגח כ 31/12/2036</t>
  </si>
  <si>
    <t>IL0012079849</t>
  </si>
  <si>
    <t>31/12/2036</t>
  </si>
  <si>
    <t>הראל הנפקות אגח יט</t>
  </si>
  <si>
    <t>IL0011927725</t>
  </si>
  <si>
    <t>31/12/2029</t>
  </si>
  <si>
    <t>חברת החשמל לישראל בע"מ</t>
  </si>
  <si>
    <t>520000472</t>
  </si>
  <si>
    <t>חשמל אגח 34</t>
  </si>
  <si>
    <t>IL0011967812</t>
  </si>
  <si>
    <t>12/06/2033</t>
  </si>
  <si>
    <t>חשמל אגח 35</t>
  </si>
  <si>
    <t>IL0011967994</t>
  </si>
  <si>
    <t>12/06/2037</t>
  </si>
  <si>
    <t>ירושלים מימון והנפקות (2005) בע"מ</t>
  </si>
  <si>
    <t>513682146</t>
  </si>
  <si>
    <t>ירושלים הנפ אגח יט</t>
  </si>
  <si>
    <t>IL0012014333</t>
  </si>
  <si>
    <t>31/01/2031</t>
  </si>
  <si>
    <t>ישראמקו נגב 2 שותפות מוגבלת</t>
  </si>
  <si>
    <t>550010003</t>
  </si>
  <si>
    <t>ישראמקו אגח ג</t>
  </si>
  <si>
    <t>IL0023202323</t>
  </si>
  <si>
    <t>10/10/2030</t>
  </si>
  <si>
    <t>כלל ביטוח אגח א</t>
  </si>
  <si>
    <t>IL0011934812</t>
  </si>
  <si>
    <t>28/02/2028</t>
  </si>
  <si>
    <t>כללביט מימון בע"מ</t>
  </si>
  <si>
    <t>513754069</t>
  </si>
  <si>
    <t>כלל מימון אגח יג</t>
  </si>
  <si>
    <t>IL0011979205</t>
  </si>
  <si>
    <t>31/07/2034</t>
  </si>
  <si>
    <t>לאומי   אגח 179</t>
  </si>
  <si>
    <t>IL0060403727</t>
  </si>
  <si>
    <t>30/06/2026</t>
  </si>
  <si>
    <t>לאומי אגח 186</t>
  </si>
  <si>
    <t>IL0012018391</t>
  </si>
  <si>
    <t>30/11/2033</t>
  </si>
  <si>
    <t>לאומי אגח סד 183</t>
  </si>
  <si>
    <t>IL0060405474</t>
  </si>
  <si>
    <t>25/11/2029</t>
  </si>
  <si>
    <t>מבנה אגח כה</t>
  </si>
  <si>
    <t>IL0022606367</t>
  </si>
  <si>
    <t>מגדל ביטוח גיוס הון בע"מ</t>
  </si>
  <si>
    <t>513230029</t>
  </si>
  <si>
    <t>מגדל ביטוח הון אגח יד</t>
  </si>
  <si>
    <t>IL0012075219</t>
  </si>
  <si>
    <t>מגדל הון אגח יג 31/12/2032</t>
  </si>
  <si>
    <t>IL0012075136</t>
  </si>
  <si>
    <t>31/12/2032</t>
  </si>
  <si>
    <t>מגדלי תיכון אגח ו</t>
  </si>
  <si>
    <t>IL0011991242</t>
  </si>
  <si>
    <t>30/06/2032</t>
  </si>
  <si>
    <t>מגוריט ישראל בעמ</t>
  </si>
  <si>
    <t>515434074</t>
  </si>
  <si>
    <t>מגוריט אגח ו</t>
  </si>
  <si>
    <t>IL0012035049</t>
  </si>
  <si>
    <t>31/12/2026</t>
  </si>
  <si>
    <t>מזרחי טפחות חברה להנפקות בע"מ</t>
  </si>
  <si>
    <t>520032046</t>
  </si>
  <si>
    <t>מזרחי טפ הנפק התח 69</t>
  </si>
  <si>
    <t>IL0012021593</t>
  </si>
  <si>
    <t>25/06/2029</t>
  </si>
  <si>
    <t>מזרחי טפחות הנפקות אגח 42</t>
  </si>
  <si>
    <t>IL0023101830</t>
  </si>
  <si>
    <t>09/06/2030</t>
  </si>
  <si>
    <t>מליסרון  אגח כא</t>
  </si>
  <si>
    <t>IL0011946386</t>
  </si>
  <si>
    <t>01/01/2037</t>
  </si>
  <si>
    <t>מניף אגח א</t>
  </si>
  <si>
    <t>IL0011858839</t>
  </si>
  <si>
    <t>30/09/2026</t>
  </si>
  <si>
    <t>מניף אגח ב</t>
  </si>
  <si>
    <t>IL0011988602</t>
  </si>
  <si>
    <t>31/07/2028</t>
  </si>
  <si>
    <t>קבוצת מנרב  בע"מ</t>
  </si>
  <si>
    <t>520034505</t>
  </si>
  <si>
    <t>מנרב אגח ד</t>
  </si>
  <si>
    <t>IL0015501690</t>
  </si>
  <si>
    <t>15/04/2032</t>
  </si>
  <si>
    <t>מקורות חברת מים בע"מ</t>
  </si>
  <si>
    <t>520010869</t>
  </si>
  <si>
    <t>מקורות אגח 11</t>
  </si>
  <si>
    <t>IL0011584765</t>
  </si>
  <si>
    <t>31/12/2053</t>
  </si>
  <si>
    <t>נאוויטס פטרוליום, שותפות מוגבלת</t>
  </si>
  <si>
    <t>550263107</t>
  </si>
  <si>
    <t>נאוויטס פטרו אגח ו</t>
  </si>
  <si>
    <t>IL0012048257</t>
  </si>
  <si>
    <t>30/09/2029</t>
  </si>
  <si>
    <t>ע.י נופר אנרגי' בע"מ</t>
  </si>
  <si>
    <t>514599943</t>
  </si>
  <si>
    <t>נופר אנרג אגח א</t>
  </si>
  <si>
    <t>IL0011793408</t>
  </si>
  <si>
    <t>נופר אנרג אגח ג</t>
  </si>
  <si>
    <t>IL0011980435</t>
  </si>
  <si>
    <t>30/06/2030</t>
  </si>
  <si>
    <t>נמקו ריאליטי לטד</t>
  </si>
  <si>
    <t>1905761</t>
  </si>
  <si>
    <t>נמקו אגח ד 15/04/2029 6.25%</t>
  </si>
  <si>
    <t>IL0012064734</t>
  </si>
  <si>
    <t>15/04/2029</t>
  </si>
  <si>
    <t>SILVERSTEIN PROPERTIES LTD</t>
  </si>
  <si>
    <t>1970336</t>
  </si>
  <si>
    <t>סילברסטין אגח ב</t>
  </si>
  <si>
    <t>IL0011605974</t>
  </si>
  <si>
    <t>סילברסטין אגח ג</t>
  </si>
  <si>
    <t>IL0012116484</t>
  </si>
  <si>
    <t>31/12/2030</t>
  </si>
  <si>
    <t>סלקום אגח יג</t>
  </si>
  <si>
    <t>IL0011891905</t>
  </si>
  <si>
    <t>06/01/2030</t>
  </si>
  <si>
    <t>עזריאלי אגח ה</t>
  </si>
  <si>
    <t>IL0011566036</t>
  </si>
  <si>
    <t>עזריאלי אגח ז</t>
  </si>
  <si>
    <t>IL0011786725</t>
  </si>
  <si>
    <t>02/07/2036</t>
  </si>
  <si>
    <t>עזריאלי אגח ח</t>
  </si>
  <si>
    <t>IL0011786808</t>
  </si>
  <si>
    <t>02/01/2041</t>
  </si>
  <si>
    <t>פועלים התח נד יא</t>
  </si>
  <si>
    <t>IL0012014663</t>
  </si>
  <si>
    <t>07/12/2029</t>
  </si>
  <si>
    <t>פז חברת הנפט בע"מ</t>
  </si>
  <si>
    <t>510216054</t>
  </si>
  <si>
    <t>פז נפט אגח ט</t>
  </si>
  <si>
    <t>IL0012059478</t>
  </si>
  <si>
    <t>31/05/2035</t>
  </si>
  <si>
    <t>הפניקס גיוסי הון (2009) בע"מ</t>
  </si>
  <si>
    <t>514290345</t>
  </si>
  <si>
    <t>פניקס הון אגח טו</t>
  </si>
  <si>
    <t>IL0012019530</t>
  </si>
  <si>
    <t>פתאל נכסים(אירופה)בע"מ</t>
  </si>
  <si>
    <t>515328250</t>
  </si>
  <si>
    <t>פתאל אירופה אגח ג</t>
  </si>
  <si>
    <t>IL0011418527</t>
  </si>
  <si>
    <t>30/08/2027</t>
  </si>
  <si>
    <t>רימון שירותי ייעוץ וניהול בע"מ</t>
  </si>
  <si>
    <t>512467994</t>
  </si>
  <si>
    <t>רימון אגח א</t>
  </si>
  <si>
    <t>IL0012110362</t>
  </si>
  <si>
    <t>Chamoss International Limited</t>
  </si>
  <si>
    <t>633896</t>
  </si>
  <si>
    <t>שמוס אגח א</t>
  </si>
  <si>
    <t>IL0011559510</t>
  </si>
  <si>
    <t>10/07/2028</t>
  </si>
  <si>
    <t>תדיראן גרופ אגח 4</t>
  </si>
  <si>
    <t>IL0012087842</t>
  </si>
  <si>
    <t>AAPL</t>
  </si>
  <si>
    <t>AAPL 3.2 05/25</t>
  </si>
  <si>
    <t>US037833BG48</t>
  </si>
  <si>
    <t>13/05/2025</t>
  </si>
  <si>
    <t>Bank of America</t>
  </si>
  <si>
    <t>9DJT3UXIJIZJI4WXO774</t>
  </si>
  <si>
    <t>BAC 4 01/22/25</t>
  </si>
  <si>
    <t>US06051GFM69</t>
  </si>
  <si>
    <t>22/01/2025</t>
  </si>
  <si>
    <t>MOTOROLA INC</t>
  </si>
  <si>
    <t>6S552MUG6KGJVEBSEC55</t>
  </si>
  <si>
    <t>MSI 7 1/2 05/15/25</t>
  </si>
  <si>
    <t>US620076AH21</t>
  </si>
  <si>
    <t>15/05/2025</t>
  </si>
  <si>
    <t>TEVA 4.375% 09/05/30</t>
  </si>
  <si>
    <t>XS2406607171</t>
  </si>
  <si>
    <t>BB-</t>
  </si>
  <si>
    <t>09/05/2030</t>
  </si>
  <si>
    <t>אשטרום קב אגח ג</t>
  </si>
  <si>
    <t>IL0011401028</t>
  </si>
  <si>
    <t>15/01/2029</t>
  </si>
  <si>
    <t>ביג אגח כ</t>
  </si>
  <si>
    <t>IL0011861882</t>
  </si>
  <si>
    <t>01/05/2033</t>
  </si>
  <si>
    <t>הראל הנפק אגח יח</t>
  </si>
  <si>
    <t>IL0011826661</t>
  </si>
  <si>
    <t>מז  הנפק    46 1.22% 9/2027</t>
  </si>
  <si>
    <t>IL0023102259</t>
  </si>
  <si>
    <t>28/09/2027</t>
  </si>
  <si>
    <t>מליסרון אגח יא</t>
  </si>
  <si>
    <t>IL0032302080</t>
  </si>
  <si>
    <t>10/07/2025</t>
  </si>
  <si>
    <t>אייסיאל   אגח ז</t>
  </si>
  <si>
    <t>IL0028103724</t>
  </si>
  <si>
    <t>31/12/2034</t>
  </si>
  <si>
    <t>אלוני חץ  אגח ט</t>
  </si>
  <si>
    <t>IL0039003541</t>
  </si>
  <si>
    <t>28/02/2027</t>
  </si>
  <si>
    <t>אפי נכסים אגח י</t>
  </si>
  <si>
    <t>IL0011608788</t>
  </si>
  <si>
    <t>30/03/2029</t>
  </si>
  <si>
    <t>ארזים השקעות בע"מ</t>
  </si>
  <si>
    <t>520034281</t>
  </si>
  <si>
    <t>ארזים 2</t>
  </si>
  <si>
    <t>IL0013800474</t>
  </si>
  <si>
    <t>D</t>
  </si>
  <si>
    <t>30/04/2027</t>
  </si>
  <si>
    <t>הראל הנפקות אגח י</t>
  </si>
  <si>
    <t>IL0011340481</t>
  </si>
  <si>
    <t>מגדל הון אגח ז</t>
  </si>
  <si>
    <t>IL0011560419</t>
  </si>
  <si>
    <t>מזרחי הנפקות 40</t>
  </si>
  <si>
    <t>IL0023101673</t>
  </si>
  <si>
    <t>08/06/2025</t>
  </si>
  <si>
    <t>חברת נמלי ישראל - פיתוח נכסים בע"מ</t>
  </si>
  <si>
    <t>513569780</t>
  </si>
  <si>
    <t>נמלי ישראל אגח א</t>
  </si>
  <si>
    <t>IL0011455644</t>
  </si>
  <si>
    <t>פרטנר אגח ז</t>
  </si>
  <si>
    <t>IL0011563975</t>
  </si>
  <si>
    <t>25/06/2027</t>
  </si>
  <si>
    <t>Bayer AG</t>
  </si>
  <si>
    <t>529900XWNEXYNJ3X6T40</t>
  </si>
  <si>
    <t>BAYNGY 4 1/2 03/25/2082</t>
  </si>
  <si>
    <t>XS2451802768</t>
  </si>
  <si>
    <t>BB+</t>
  </si>
  <si>
    <t>25/03/2082</t>
  </si>
  <si>
    <t>CITIGROUP INC</t>
  </si>
  <si>
    <t>6SHGI4ZSSLCXXQSBB395</t>
  </si>
  <si>
    <t>C 3.875% 03/26/25</t>
  </si>
  <si>
    <t>US172967JL61</t>
  </si>
  <si>
    <t>26/03/2025</t>
  </si>
  <si>
    <t>GOODYEAR TIRE &amp; RUBBER CO</t>
  </si>
  <si>
    <t>5493002BI0S2ZQUY3437</t>
  </si>
  <si>
    <t>GT 5 05/31/26</t>
  </si>
  <si>
    <t>US382550BF73</t>
  </si>
  <si>
    <t>B</t>
  </si>
  <si>
    <t>HEWLETT-PACKARD CO</t>
  </si>
  <si>
    <t>549300BX44RGX6ANDV88</t>
  </si>
  <si>
    <t>HPE 4.9 10/15/25</t>
  </si>
  <si>
    <t>US42824CAW91</t>
  </si>
  <si>
    <t>15/10/2025</t>
  </si>
  <si>
    <t>Sydney Airport</t>
  </si>
  <si>
    <t>549300MJAANHLHOVTO40</t>
  </si>
  <si>
    <t>SYDAU 3 5/8 04/28/26</t>
  </si>
  <si>
    <t>USQ8809VAH26</t>
  </si>
  <si>
    <t>28/04/2026</t>
  </si>
  <si>
    <t>WALGREENS BOOTS ALLIANCE</t>
  </si>
  <si>
    <t>549300RPTUOIXG4LIH86</t>
  </si>
  <si>
    <t>WBA 3.45 06/01/26</t>
  </si>
  <si>
    <t>US931427AQ19</t>
  </si>
  <si>
    <t>BB</t>
  </si>
  <si>
    <t>01/06/2026</t>
  </si>
  <si>
    <t>אזורים אגח 13</t>
  </si>
  <si>
    <t>IL0071504109</t>
  </si>
  <si>
    <t>אמות השקעות בע"מ</t>
  </si>
  <si>
    <t>520026683</t>
  </si>
  <si>
    <t>אמות אגח ד</t>
  </si>
  <si>
    <t>IL0011331498</t>
  </si>
  <si>
    <t>02/07/2028</t>
  </si>
  <si>
    <t>אמות אגח ה</t>
  </si>
  <si>
    <t>IL0011381147</t>
  </si>
  <si>
    <t>04/01/2026</t>
  </si>
  <si>
    <t>ביג מרכזי קניות יב</t>
  </si>
  <si>
    <t>IL0011562316</t>
  </si>
  <si>
    <t>25/02/2028</t>
  </si>
  <si>
    <t>מניבים ריט אגח ב</t>
  </si>
  <si>
    <t>IL0011559288</t>
  </si>
  <si>
    <t>רבוע כחול נדל"ן בע"מ</t>
  </si>
  <si>
    <t>513765859</t>
  </si>
  <si>
    <t>רבוע נדלן אגח ו</t>
  </si>
  <si>
    <t>IL0011406076</t>
  </si>
  <si>
    <t>30/11/2026</t>
  </si>
  <si>
    <t>הראל הנפ אג יז</t>
  </si>
  <si>
    <t>IL0011614547</t>
  </si>
  <si>
    <t>לאומי   אגח 180</t>
  </si>
  <si>
    <t>IL0060404220</t>
  </si>
  <si>
    <t>28/02/2025</t>
  </si>
  <si>
    <t>מזרחי טפחות הנפק 49</t>
  </si>
  <si>
    <t>IL0023102820</t>
  </si>
  <si>
    <t>23/06/2026</t>
  </si>
  <si>
    <t>מליסרון אגח יד</t>
  </si>
  <si>
    <t>IL0032302320</t>
  </si>
  <si>
    <t>27/04/2026</t>
  </si>
  <si>
    <t>מליסרון טז'</t>
  </si>
  <si>
    <t>IL0032302650</t>
  </si>
  <si>
    <t>01/04/2027</t>
  </si>
  <si>
    <t>פועלים אגח 203</t>
  </si>
  <si>
    <t>IL0011998684</t>
  </si>
  <si>
    <t>02/12/2030</t>
  </si>
  <si>
    <t>קיסטון ריט בע"מ</t>
  </si>
  <si>
    <t>515983476</t>
  </si>
  <si>
    <t>קיסטון ריט אגח א</t>
  </si>
  <si>
    <t>IL0011821878</t>
  </si>
  <si>
    <t>אשטרום קב אגח ב</t>
  </si>
  <si>
    <t>IL0011323313</t>
  </si>
  <si>
    <t>11/05/2025</t>
  </si>
  <si>
    <t>חוזים עתידיים בחול</t>
  </si>
  <si>
    <t>10527</t>
  </si>
  <si>
    <t>ESZ4_S&amp;P 500 EMINI FUT DEC24</t>
  </si>
  <si>
    <t>ESZ4</t>
  </si>
  <si>
    <t>CME </t>
  </si>
  <si>
    <t>NQZ4_NASDAQ 100 E-MINI DEC24</t>
  </si>
  <si>
    <t>NQZ4</t>
  </si>
  <si>
    <t>סיפיה אופציה 1</t>
  </si>
  <si>
    <t>IL0011820052</t>
  </si>
  <si>
    <t>18/11/2024</t>
  </si>
  <si>
    <t>ריט אזורים אפ 1</t>
  </si>
  <si>
    <t>IL0012010117</t>
  </si>
  <si>
    <t>31/12/2024</t>
  </si>
  <si>
    <t>NAV
(במטבע הדיווח של קרן ההשקעה)</t>
  </si>
  <si>
    <t>JTLV III FUND, LIMITED PARTNERSHIP</t>
  </si>
  <si>
    <t>540316908</t>
  </si>
  <si>
    <t>3 JTLV</t>
  </si>
  <si>
    <t>06/06/2022</t>
  </si>
  <si>
    <t>FIMI OPPORTUNITY FUND , L.P</t>
  </si>
  <si>
    <t>530278548</t>
  </si>
  <si>
    <t>FIMI ISRAEL OPPORTUNITY FOUND 7</t>
  </si>
  <si>
    <t>24/05/2021</t>
  </si>
  <si>
    <t>Firstime Ventures General Partner L.P.</t>
  </si>
  <si>
    <t>27986</t>
  </si>
  <si>
    <t>FIRST TIME</t>
  </si>
  <si>
    <t>02/07/2015</t>
  </si>
  <si>
    <t>FIRSTIME III</t>
  </si>
  <si>
    <t>18/11/2021</t>
  </si>
  <si>
    <t>FIRSTIME VENTURES II L.P</t>
  </si>
  <si>
    <t>12/02/2017</t>
  </si>
  <si>
    <t>ION ISRAEL FEEDER FUND LTD</t>
  </si>
  <si>
    <t>27177</t>
  </si>
  <si>
    <t>ION ISR. FEEDER 2013( USA ) 07  ׁ</t>
  </si>
  <si>
    <t>18/02/2021</t>
  </si>
  <si>
    <t>ISRAEL INFRASTRUCTURE FUND III, L.P.</t>
  </si>
  <si>
    <t>530274141</t>
  </si>
  <si>
    <t>ISRAEL INFR III</t>
  </si>
  <si>
    <t>13/10/2016</t>
  </si>
  <si>
    <t>ISRAEL INFRASTRUCTURE FUND IV, LP</t>
  </si>
  <si>
    <t>540294725</t>
  </si>
  <si>
    <t>Israel Infrastructure Fund IV</t>
  </si>
  <si>
    <t>13/10/2020</t>
  </si>
  <si>
    <t>Israel secondary fund</t>
  </si>
  <si>
    <t>12962</t>
  </si>
  <si>
    <t>ISRAEL SECONDARY FUND II L.P</t>
  </si>
  <si>
    <t>06/04/2017</t>
  </si>
  <si>
    <t>JVP VII OPPORTUNITY LP</t>
  </si>
  <si>
    <t>500452859</t>
  </si>
  <si>
    <t>28/02/2016</t>
  </si>
  <si>
    <t xml:space="preserve">Klirmark Opportunity Fund </t>
  </si>
  <si>
    <t>CO-101523</t>
  </si>
  <si>
    <t>KLIRMARK III</t>
  </si>
  <si>
    <t>06/11/2019</t>
  </si>
  <si>
    <t>Klirmark IV</t>
  </si>
  <si>
    <t>17/04/2023</t>
  </si>
  <si>
    <t>NEXTIME VENTURES I L.P</t>
  </si>
  <si>
    <t>01/07/2019</t>
  </si>
  <si>
    <t>QUMRA CAPITAL MANAGEMENT LTD</t>
  </si>
  <si>
    <t>514915941</t>
  </si>
  <si>
    <t>QUMRA CAPITAL I</t>
  </si>
  <si>
    <t>30/12/2014</t>
  </si>
  <si>
    <t>QUMRA CAPITAL II LP</t>
  </si>
  <si>
    <t>13/08/2017</t>
  </si>
  <si>
    <t>Qumra Capital III</t>
  </si>
  <si>
    <t>17/02/2021</t>
  </si>
  <si>
    <t>Qumra Opportunity Fund</t>
  </si>
  <si>
    <t>05/05/2021</t>
  </si>
  <si>
    <t>RAFARMA INVESTMENTS 2020, LP</t>
  </si>
  <si>
    <t>540300902</t>
  </si>
  <si>
    <t>RACAH NANO VENTURE FUND</t>
  </si>
  <si>
    <t>09/07/2019</t>
  </si>
  <si>
    <t>RACAH NANO VENTURE FUND, LP</t>
  </si>
  <si>
    <t>540286820</t>
  </si>
  <si>
    <t>RAFARMA INVESTMENTS2020 LP</t>
  </si>
  <si>
    <t>21/12/2020</t>
  </si>
  <si>
    <t>SKY IV</t>
  </si>
  <si>
    <t>89839</t>
  </si>
  <si>
    <t>20/03/2022</t>
  </si>
  <si>
    <t>TERRA VENTURE PARTNERS</t>
  </si>
  <si>
    <t>222100FKDNQA51J4LR95</t>
  </si>
  <si>
    <t>TERRA VENTURES 3</t>
  </si>
  <si>
    <t>13/06/2019</t>
  </si>
  <si>
    <t>Vintage Fund of Funds IV (Israel), L.P.</t>
  </si>
  <si>
    <t>500450531</t>
  </si>
  <si>
    <t>Vintage FOF IV</t>
  </si>
  <si>
    <t>22/05/2016</t>
  </si>
  <si>
    <t>Vintage Fund of Funds V (Access), L.P.</t>
  </si>
  <si>
    <t>500458815</t>
  </si>
  <si>
    <t>Vintage FOF V Access</t>
  </si>
  <si>
    <t>17/09/2018</t>
  </si>
  <si>
    <t>Vintage Fund of Funds V (Israel), L.P.</t>
  </si>
  <si>
    <t>500461652</t>
  </si>
  <si>
    <t>VINTAGE FOF V ISRAEL</t>
  </si>
  <si>
    <t>23/01/2020</t>
  </si>
  <si>
    <t>Vintage Fund of Funds VI (Access), L.P.</t>
  </si>
  <si>
    <t>500466123</t>
  </si>
  <si>
    <t>VINTAGE FOF VI ACCESS</t>
  </si>
  <si>
    <t>Vintage Fund of Funds VI (Israel), L.P.</t>
  </si>
  <si>
    <t>500469325</t>
  </si>
  <si>
    <t>Vintage FOF VI Israel</t>
  </si>
  <si>
    <t>23/12/2021</t>
  </si>
  <si>
    <t>Vintage Fund of Funds VII (Access) L.P.</t>
  </si>
  <si>
    <t>500472543</t>
  </si>
  <si>
    <t>Vintage FOF VII Access</t>
  </si>
  <si>
    <t>15/08/2022</t>
  </si>
  <si>
    <t>וינטג'</t>
  </si>
  <si>
    <t>Vintage Growth Fund III, L.P</t>
  </si>
  <si>
    <t>06/01/2020</t>
  </si>
  <si>
    <t>Vintage Secondary Fund IV</t>
  </si>
  <si>
    <t>29/05/2018</t>
  </si>
  <si>
    <t>Vintage Secondary Fund V L.P.</t>
  </si>
  <si>
    <t>500471925</t>
  </si>
  <si>
    <t>Vintage Secondary Fund V</t>
  </si>
  <si>
    <t>אלפא לונג ביאס ג'י פי בע"מ</t>
  </si>
  <si>
    <t>514517267</t>
  </si>
  <si>
    <t>אלפא קרן השקעות 1 - השתלמות</t>
  </si>
  <si>
    <t>03/09/2020</t>
  </si>
  <si>
    <t>קרן ארבל פאנד בע"מ</t>
  </si>
  <si>
    <t>540307832</t>
  </si>
  <si>
    <t>ארבל פאנד 2</t>
  </si>
  <si>
    <t>20/09/2021</t>
  </si>
  <si>
    <t>גיזה חוב</t>
  </si>
  <si>
    <t>513540757</t>
  </si>
  <si>
    <t>14/02/2022</t>
  </si>
  <si>
    <t>פימי 6</t>
  </si>
  <si>
    <t>12/07/2016</t>
  </si>
  <si>
    <t>12/12/2017</t>
  </si>
  <si>
    <t>רגנאר 1 השקעות שותפות מוגבלת</t>
  </si>
  <si>
    <t>540304573</t>
  </si>
  <si>
    <t>קרן רגנאר 1</t>
  </si>
  <si>
    <t>08/12/2021</t>
  </si>
  <si>
    <t>ARCLIGHT</t>
  </si>
  <si>
    <t>89940</t>
  </si>
  <si>
    <t>ARCLIGHT 3C SPV</t>
  </si>
  <si>
    <t>25/07/2022</t>
  </si>
  <si>
    <t>ARDIAN Infrastructure Fund VI</t>
  </si>
  <si>
    <t>98450046FF9E70CFBA37</t>
  </si>
  <si>
    <t>04/09/2023</t>
  </si>
  <si>
    <t>ASF IX</t>
  </si>
  <si>
    <t>SL35491</t>
  </si>
  <si>
    <t>האי ג'רזי</t>
  </si>
  <si>
    <t>06/10/2022</t>
  </si>
  <si>
    <t>ASF VIII INFRASTRUCTURE L.P</t>
  </si>
  <si>
    <t>984500641D7574IF1B24</t>
  </si>
  <si>
    <t>07/12/2021</t>
  </si>
  <si>
    <t>Axiom Asia Co-investment Fund II, L.P.</t>
  </si>
  <si>
    <t>1840974</t>
  </si>
  <si>
    <t>Axiom Asia Co-investment II</t>
  </si>
  <si>
    <t>22/11/2021</t>
  </si>
  <si>
    <t>Blue Atlantic Partners III Cayman Feeder I, LP</t>
  </si>
  <si>
    <t>1683231</t>
  </si>
  <si>
    <t>BLUE ATLANTIC PARTNERS 3</t>
  </si>
  <si>
    <t>03/12/2019</t>
  </si>
  <si>
    <t>COLCHIS INCOME FUND, LTD.</t>
  </si>
  <si>
    <t>618052</t>
  </si>
  <si>
    <t>COLCHIS INCOME FUND</t>
  </si>
  <si>
    <t>18/07/2019</t>
  </si>
  <si>
    <t>DOVER STREET IX CAYMAN FUND L.P.</t>
  </si>
  <si>
    <t>1665355</t>
  </si>
  <si>
    <t>DOVER IX (9)</t>
  </si>
  <si>
    <t>06/12/2016</t>
  </si>
  <si>
    <t>Dover Street X Feeder Fund L.P.</t>
  </si>
  <si>
    <t>1661612</t>
  </si>
  <si>
    <t>DOVER STREET X LP</t>
  </si>
  <si>
    <t>03/06/2020</t>
  </si>
  <si>
    <t>HarbourVest Dover Street XI Investment L.P.</t>
  </si>
  <si>
    <t>5493000HZUGEZTOJVX02</t>
  </si>
  <si>
    <t>DOVER XI  ׁ(11ׂ)</t>
  </si>
  <si>
    <t>21/06/2023</t>
  </si>
  <si>
    <t>ECP CAPITAL LP</t>
  </si>
  <si>
    <t>254900IUTAAOKV09RE87</t>
  </si>
  <si>
    <t>ECP Terra Gen Growth Fund</t>
  </si>
  <si>
    <t>25/03/2021</t>
  </si>
  <si>
    <t>ECP V</t>
  </si>
  <si>
    <t>30/08/2023</t>
  </si>
  <si>
    <t>EQT INFRASTRUCTURE V</t>
  </si>
  <si>
    <t>RCS B243992</t>
  </si>
  <si>
    <t>EQT Infrastructure V</t>
  </si>
  <si>
    <t>11/08/2021</t>
  </si>
  <si>
    <t>FRG-X (F-3), LP</t>
  </si>
  <si>
    <t>86-2068644</t>
  </si>
  <si>
    <t>Faropoint FRG-X</t>
  </si>
  <si>
    <t>12/10/2021</t>
  </si>
  <si>
    <t>Faropoint Industrial Value Fund III, LP</t>
  </si>
  <si>
    <t>2549003W8AQ5VTFC8J25</t>
  </si>
  <si>
    <t>Faropoint Industrial Value Fund III</t>
  </si>
  <si>
    <t>25/10/2022</t>
  </si>
  <si>
    <t>FORTISSIMO CAPITA FUND</t>
  </si>
  <si>
    <t>530278498</t>
  </si>
  <si>
    <t>Fortissimo VI</t>
  </si>
  <si>
    <t>25/10/2023</t>
  </si>
  <si>
    <t>GOLDEN TREE</t>
  </si>
  <si>
    <t>549300WMN0QTKIC7M266</t>
  </si>
  <si>
    <t>GoldenTree Master Fund</t>
  </si>
  <si>
    <t>27/05/2024</t>
  </si>
  <si>
    <t>HARBOURVEST PARTNERS, LLC</t>
  </si>
  <si>
    <t>5493001MCDH7I6NIXC24</t>
  </si>
  <si>
    <t>HARBOURVEST 2017 GLOBAL FUND</t>
  </si>
  <si>
    <t>29/10/2017</t>
  </si>
  <si>
    <t>Harbourvest 2018 Global Fund L.P</t>
  </si>
  <si>
    <t>Harbourvest 2019 Global Fund L.P</t>
  </si>
  <si>
    <t>09/12/2019</t>
  </si>
  <si>
    <t>HARBOURVEST 2021 GLOBAL</t>
  </si>
  <si>
    <t>Harbourvest Access COI VI</t>
  </si>
  <si>
    <t>02/05/2022</t>
  </si>
  <si>
    <t>HARBOURVEST COF II</t>
  </si>
  <si>
    <t>02/12/2020</t>
  </si>
  <si>
    <t>HarbourVest Direct Lending</t>
  </si>
  <si>
    <t>30/08/2021</t>
  </si>
  <si>
    <t xml:space="preserve">harbourvest </t>
  </si>
  <si>
    <t>28346</t>
  </si>
  <si>
    <t>Harbourvest Direct Lending II</t>
  </si>
  <si>
    <t>25/07/2024</t>
  </si>
  <si>
    <t>KREOS CAPITAL VII (EXPERT FUND) L.P.</t>
  </si>
  <si>
    <t>213800QMGP7NR5KCTN63</t>
  </si>
  <si>
    <t>Kreos Capital VII</t>
  </si>
  <si>
    <t>LCN CAPITAL MANAGEMENT, L.P.</t>
  </si>
  <si>
    <t>801-78069</t>
  </si>
  <si>
    <t>LCN NA FUND 3</t>
  </si>
  <si>
    <t>22/12/2020</t>
  </si>
  <si>
    <t>Carlisle Management Company S.C.A.</t>
  </si>
  <si>
    <t>213800BMFRCLOWO3JI85</t>
  </si>
  <si>
    <t>LUXEMBOURG LIFE FUND II - ABSO</t>
  </si>
  <si>
    <t>18/05/2021</t>
  </si>
  <si>
    <t>Macquarie Infrastructure Partners V, L.P.</t>
  </si>
  <si>
    <t>1798259</t>
  </si>
  <si>
    <t>MIP V</t>
  </si>
  <si>
    <t>24/08/2021</t>
  </si>
  <si>
    <t>MIRA Infrastructure Global Solution GP LLC</t>
  </si>
  <si>
    <t>5990281</t>
  </si>
  <si>
    <t>MIRA INFRASTRUCTURE GLOBAL</t>
  </si>
  <si>
    <t>23/04/2018</t>
  </si>
  <si>
    <t>MONARCH CAPITAL PARTNERS OFFSHORE V LP</t>
  </si>
  <si>
    <t>1633461</t>
  </si>
  <si>
    <t>MONARCH V</t>
  </si>
  <si>
    <t>25/11/2020</t>
  </si>
  <si>
    <t>MONARCH CAPITAL PARTNERS OFFSHORE VI LP</t>
  </si>
  <si>
    <t>1962850</t>
  </si>
  <si>
    <t>MONARCH VI</t>
  </si>
  <si>
    <t>22/03/2023</t>
  </si>
  <si>
    <t>MONETA CAPITAL II, L.P.</t>
  </si>
  <si>
    <t>1999686</t>
  </si>
  <si>
    <t>Moneta Capital II</t>
  </si>
  <si>
    <t>02/11/2022</t>
  </si>
  <si>
    <t>ONE EQUITY PARTNERS VIII-A, L.P.</t>
  </si>
  <si>
    <t>1852026</t>
  </si>
  <si>
    <t>ONE EQUITY VIII</t>
  </si>
  <si>
    <t>27/04/2022</t>
  </si>
  <si>
    <t>Pagaya Auto Loans Fund, LP</t>
  </si>
  <si>
    <t>1787921</t>
  </si>
  <si>
    <t>Pagaya Auto Loans SPV I</t>
  </si>
  <si>
    <t>20/08/2023</t>
  </si>
  <si>
    <t>Pagaya Opportunity Offshore Feeder Fund I, LP</t>
  </si>
  <si>
    <t>1762395</t>
  </si>
  <si>
    <t>Pagaya Opportunity SPV I</t>
  </si>
  <si>
    <t>PANTHEON GLOBAL SECONDARY FUND</t>
  </si>
  <si>
    <t>Pantheon CO III</t>
  </si>
  <si>
    <t>03/09/2024</t>
  </si>
  <si>
    <t>PANTHEON PRIVATE DEBT GP S.À R.L.</t>
  </si>
  <si>
    <t>5493000INET6WNGZYT52</t>
  </si>
  <si>
    <t>Pantheon Debt PSD II EUR</t>
  </si>
  <si>
    <t>07/03/2024</t>
  </si>
  <si>
    <t>Pantheon Private Debt PSD II USD Feeder (Luxembourg) SCSp</t>
  </si>
  <si>
    <t>B238099</t>
  </si>
  <si>
    <t>Pantheon Debt PSD II USD</t>
  </si>
  <si>
    <t>15/12/2021</t>
  </si>
  <si>
    <t xml:space="preserve">Pantheon Access Feeder LP </t>
  </si>
  <si>
    <t>B 201.101</t>
  </si>
  <si>
    <t>Pantheon Debt PSD III USD</t>
  </si>
  <si>
    <t>PGCO IV Co-mingled Fund SCSp</t>
  </si>
  <si>
    <t>B238127</t>
  </si>
  <si>
    <t>PANTHEON GCO IV</t>
  </si>
  <si>
    <t>09/10/2018</t>
  </si>
  <si>
    <t>PANTHEON GLOBAL CO-INVESTMENT OPPORTUNITIES FUND V FEEDER (LUXEMBOURG) SCSP</t>
  </si>
  <si>
    <t>B245806</t>
  </si>
  <si>
    <t>Pantheon GCO V</t>
  </si>
  <si>
    <t>PGIF IV FEEDER (LUXEMBOURG) SCSP</t>
  </si>
  <si>
    <t>Pantheon Global Infrastructure Fund IV</t>
  </si>
  <si>
    <t>21/06/2022</t>
  </si>
  <si>
    <t>PANTHEON GLOBAL SECONDARY FUND VII FEEDER (LUX) SCSP</t>
  </si>
  <si>
    <t>B252073</t>
  </si>
  <si>
    <t>Pantheon Global Secondary Fund VII</t>
  </si>
  <si>
    <t>06/09/2022</t>
  </si>
  <si>
    <t>PANTHEON GLOBAL SECONDARY FUND VI FEEDER (LUXEMBOURG) SCSP</t>
  </si>
  <si>
    <t>B220010</t>
  </si>
  <si>
    <t>PANTHEON GSF VI</t>
  </si>
  <si>
    <t>12/12/2018</t>
  </si>
  <si>
    <t>PONTIFAX (ISRAEL) V L.P.</t>
  </si>
  <si>
    <t>540279270</t>
  </si>
  <si>
    <t>PONTIFAX (ISRAEL) VL.P</t>
  </si>
  <si>
    <t>29/03/2018</t>
  </si>
  <si>
    <t>PRIMAVERA CAPITAL FUND IV L.P.</t>
  </si>
  <si>
    <t>1861591</t>
  </si>
  <si>
    <t>Primavera Capital Fund IV</t>
  </si>
  <si>
    <t>26/05/2021</t>
  </si>
  <si>
    <t>SCHRODER ADVEQ ASIA V S.C.S.</t>
  </si>
  <si>
    <t>875500GMXE50PC37SF90 </t>
  </si>
  <si>
    <t>SCHRODERS CAPITAL PRIVATE EQUITY ASIA V L.P</t>
  </si>
  <si>
    <t>08/07/2021</t>
  </si>
  <si>
    <t>Schroders Capital Private Equity Secondaries IV S.C.S.</t>
  </si>
  <si>
    <t>875500IALY0CK2QA6W30 </t>
  </si>
  <si>
    <t>Schroders Secondary IV</t>
  </si>
  <si>
    <t>07/02/2022</t>
  </si>
  <si>
    <t>Tikehau Special Opp II</t>
  </si>
  <si>
    <t>Vintage Fund of Funds VII (Breakout), L.P.</t>
  </si>
  <si>
    <t>500472568</t>
  </si>
  <si>
    <t>Vintage FOF VII Breakout</t>
  </si>
  <si>
    <t>14/11/2022</t>
  </si>
  <si>
    <t>די פרטנרס 2 (ישראל) , שותפות מוגבלת</t>
  </si>
  <si>
    <t>550218457</t>
  </si>
  <si>
    <t>(2) די פרטנרס</t>
  </si>
  <si>
    <t>DELTA FUND I (ISRAEL) L.P.</t>
  </si>
  <si>
    <t>550019020</t>
  </si>
  <si>
    <t>1 דלתא קרן הון סיכון</t>
  </si>
  <si>
    <t>FIMI V</t>
  </si>
  <si>
    <t>IIF FUND II LP</t>
  </si>
  <si>
    <t>28266</t>
  </si>
  <si>
    <t>ISRAEL INFRASTRUCTURE FUND II L.P</t>
  </si>
  <si>
    <t>JVP IV ANNEX LP</t>
  </si>
  <si>
    <t>500438064</t>
  </si>
  <si>
    <t>JVP IV ANNEX</t>
  </si>
  <si>
    <t>JVP VII LP</t>
  </si>
  <si>
    <t>500446158</t>
  </si>
  <si>
    <t>JVP VII</t>
  </si>
  <si>
    <t>JVP VIII L.P</t>
  </si>
  <si>
    <t>27916</t>
  </si>
  <si>
    <t>18/03/2019</t>
  </si>
  <si>
    <t>TENE GROWTH CAPITAL 3</t>
  </si>
  <si>
    <t>550249536</t>
  </si>
  <si>
    <t>TENE GRW CAPIII</t>
  </si>
  <si>
    <t>TERRA VENTURII</t>
  </si>
  <si>
    <t>10/03/2015</t>
  </si>
  <si>
    <t>Vintage Growth Fund I (Israel), L.P.</t>
  </si>
  <si>
    <t>500442751</t>
  </si>
  <si>
    <t>Vintage Secondary Fund III (Israel), L.P.</t>
  </si>
  <si>
    <t>500442769</t>
  </si>
  <si>
    <t>Vintage Secondary Fund III</t>
  </si>
  <si>
    <t>28/05/2018</t>
  </si>
  <si>
    <t>אורגרין</t>
  </si>
  <si>
    <t>530223684</t>
  </si>
  <si>
    <t>אוורגרין 5 קרן הון ס</t>
  </si>
  <si>
    <t>אלפא קרן השקעות 1</t>
  </si>
  <si>
    <t>27/02/2022</t>
  </si>
  <si>
    <t>מנוף אוריגו 2 שותפות מוגבלת</t>
  </si>
  <si>
    <t>550234843</t>
  </si>
  <si>
    <t>מנוף אוריגו 1 בע"מ</t>
  </si>
  <si>
    <t>פימי 2 קרן הון סיכון</t>
  </si>
  <si>
    <t>פימי 4</t>
  </si>
  <si>
    <t>פלנוס טכנולוגיות בע"מ</t>
  </si>
  <si>
    <t>512912775</t>
  </si>
  <si>
    <t>פלאנוס 2 L.P קרן השקעה</t>
  </si>
  <si>
    <t>פלנוס</t>
  </si>
  <si>
    <t>פלנוס מזנין קרן השקעה</t>
  </si>
  <si>
    <t>AVIV VENTURES I PARTNERS , L.P</t>
  </si>
  <si>
    <t>550205660</t>
  </si>
  <si>
    <t>קרן אביב 2 קרן הון סיכון</t>
  </si>
  <si>
    <t>JVP V LP</t>
  </si>
  <si>
    <t>500438023</t>
  </si>
  <si>
    <t>קרן הון סיכון PVJ 5</t>
  </si>
  <si>
    <t>קרן תשתיות ישראל I</t>
  </si>
  <si>
    <t>550224729</t>
  </si>
  <si>
    <t>קרן תשתיות ישראל</t>
  </si>
  <si>
    <t>10/08/2021</t>
  </si>
  <si>
    <t>26/10/2017</t>
  </si>
  <si>
    <t>ICG STRATEGIC SECONDARIES FUND II (OFFSHORE) LP</t>
  </si>
  <si>
    <t>1660341</t>
  </si>
  <si>
    <t>ICG STRATEGIC SECONDARIES II</t>
  </si>
  <si>
    <t>06/06/2017</t>
  </si>
  <si>
    <t>LLCP Partners VI GP, L.P.</t>
  </si>
  <si>
    <t>820734071</t>
  </si>
  <si>
    <t>LEVINE LEICHTMAN CAPITAL PARTN</t>
  </si>
  <si>
    <t>31/07/2018</t>
  </si>
  <si>
    <t>11/04/2019</t>
  </si>
  <si>
    <t>21/02/2019</t>
  </si>
  <si>
    <t>11/10/2018</t>
  </si>
  <si>
    <t>14/05/2019</t>
  </si>
  <si>
    <t>10/12/2018</t>
  </si>
  <si>
    <t>05/04/2019</t>
  </si>
  <si>
    <t>16/04/2019</t>
  </si>
  <si>
    <t>19/07/2018</t>
  </si>
  <si>
    <t>ATERA NETWORKS LTD</t>
  </si>
  <si>
    <t>27702</t>
  </si>
  <si>
    <t>60353513</t>
  </si>
  <si>
    <t>24/12/2019</t>
  </si>
  <si>
    <t>CIVAN ADVANCED TECHNOGIES</t>
  </si>
  <si>
    <t>514154244</t>
  </si>
  <si>
    <t>62021290</t>
  </si>
  <si>
    <t>07/08/2023</t>
  </si>
  <si>
    <t>GEMMACERT LTD</t>
  </si>
  <si>
    <t>27994</t>
  </si>
  <si>
    <t>62013677</t>
  </si>
  <si>
    <t>24/07/2019</t>
  </si>
  <si>
    <t>IMM- VX L.P. (Velox</t>
  </si>
  <si>
    <t>89500</t>
  </si>
  <si>
    <t>IMM- VX (VELOX) CLASS B</t>
  </si>
  <si>
    <t>62021647</t>
  </si>
  <si>
    <t>השקעות בהייטק</t>
  </si>
  <si>
    <t>08/05/2024</t>
  </si>
  <si>
    <t>62018924</t>
  </si>
  <si>
    <t>12/08/2021</t>
  </si>
  <si>
    <t>וואן זירו הבנק הדיגיטלי בעמ</t>
  </si>
  <si>
    <t>515981728</t>
  </si>
  <si>
    <t>ONE ZERO DIGITAL BANK LTD</t>
  </si>
  <si>
    <t>62020045</t>
  </si>
  <si>
    <t>03/01/2022</t>
  </si>
  <si>
    <t>89735</t>
  </si>
  <si>
    <t>ONE ZERO SAFE</t>
  </si>
  <si>
    <t>62021506</t>
  </si>
  <si>
    <t>05/12/2023</t>
  </si>
  <si>
    <t xml:space="preserve">QUANTUM </t>
  </si>
  <si>
    <t>28588</t>
  </si>
  <si>
    <t>Quantum Machines</t>
  </si>
  <si>
    <t>62020714</t>
  </si>
  <si>
    <t>01/08/2022</t>
  </si>
  <si>
    <t>RESONAI</t>
  </si>
  <si>
    <t>89849</t>
  </si>
  <si>
    <t>62020383</t>
  </si>
  <si>
    <t>03/04/2022</t>
  </si>
  <si>
    <t>silentium</t>
  </si>
  <si>
    <t>89338</t>
  </si>
  <si>
    <t>Silentium LTD</t>
  </si>
  <si>
    <t>62018429</t>
  </si>
  <si>
    <t>08/06/2021</t>
  </si>
  <si>
    <t>TIPA CORP LTD</t>
  </si>
  <si>
    <t>514420660</t>
  </si>
  <si>
    <t>62020102</t>
  </si>
  <si>
    <t>12/01/2022</t>
  </si>
  <si>
    <t>TWINE</t>
  </si>
  <si>
    <t>13286</t>
  </si>
  <si>
    <t>TWINE SOLUTIONS LTD</t>
  </si>
  <si>
    <t>62018296</t>
  </si>
  <si>
    <t>19/05/2021</t>
  </si>
  <si>
    <t>UVEYE LTD</t>
  </si>
  <si>
    <t>514234202</t>
  </si>
  <si>
    <t>62018304</t>
  </si>
  <si>
    <t>ויולה ג'נריישן ניהול בע"מ(אוניברסי</t>
  </si>
  <si>
    <t>56200</t>
  </si>
  <si>
    <t>30/08/2018</t>
  </si>
  <si>
    <t>קרופס גארד בע"מ</t>
  </si>
  <si>
    <t>516186301</t>
  </si>
  <si>
    <t>62016738</t>
  </si>
  <si>
    <t>15/06/2020</t>
  </si>
  <si>
    <t>Straffan Asset Management Ltd</t>
  </si>
  <si>
    <t>28068</t>
  </si>
  <si>
    <t>BRIGHTON SPC - KIJANI COMMODIT</t>
  </si>
  <si>
    <t>KYG1367R1083</t>
  </si>
  <si>
    <t>27/09/2018</t>
  </si>
  <si>
    <t>EMERALD SIDEPOC</t>
  </si>
  <si>
    <t>27703</t>
  </si>
  <si>
    <t>XXX133661328</t>
  </si>
  <si>
    <t>Silk Technologies INC</t>
  </si>
  <si>
    <t>28307</t>
  </si>
  <si>
    <t>SILK</t>
  </si>
  <si>
    <t>62018056</t>
  </si>
  <si>
    <t>INTEGRA HOLDING</t>
  </si>
  <si>
    <t>27771</t>
  </si>
  <si>
    <t>60314101</t>
  </si>
  <si>
    <t>אספרו</t>
  </si>
  <si>
    <t>513868380</t>
  </si>
  <si>
    <t>אספרו מ"ר</t>
  </si>
  <si>
    <t>62406</t>
  </si>
  <si>
    <t>15/03/2018</t>
  </si>
  <si>
    <t xml:space="preserve">גת אנרגיה בע"מ </t>
  </si>
  <si>
    <t>514293380</t>
  </si>
  <si>
    <t>גת אנרגיה ג'</t>
  </si>
  <si>
    <t>50000298</t>
  </si>
  <si>
    <t>31/12/2018</t>
  </si>
  <si>
    <t>גת אנרגיה מניה לא סחירה</t>
  </si>
  <si>
    <t>26211</t>
  </si>
  <si>
    <t>חפציבה גלובל בע"מ</t>
  </si>
  <si>
    <t>511963183</t>
  </si>
  <si>
    <t>חפציבה גלובל</t>
  </si>
  <si>
    <t>1085489</t>
  </si>
  <si>
    <t>ENLIVEX THERAPEUTICS LTD</t>
  </si>
  <si>
    <t>28078</t>
  </si>
  <si>
    <t>IL009A4Z4OU8</t>
  </si>
  <si>
    <t>07/07/2020</t>
  </si>
  <si>
    <t>מור תעשיות פלסטיק בע"מ</t>
  </si>
  <si>
    <t>520042284</t>
  </si>
  <si>
    <t>MOR KEREN B</t>
  </si>
  <si>
    <t>XS0025555XXX</t>
  </si>
  <si>
    <t>08/12/2019</t>
  </si>
  <si>
    <t>Supercom Ltd</t>
  </si>
  <si>
    <t>549300U7DFKGC1TTZX50</t>
  </si>
  <si>
    <t>מ.אופנהימר אס.פי.סי.בי</t>
  </si>
  <si>
    <t>IL0010830961</t>
  </si>
  <si>
    <t>24/11/2022</t>
  </si>
  <si>
    <t>מור קרן נדל"ן בינלאומי מניה A</t>
  </si>
  <si>
    <t>10000495</t>
  </si>
  <si>
    <t>מור קרן נדל"ן בינלאומי מניה רגילה</t>
  </si>
  <si>
    <t>9840879</t>
  </si>
  <si>
    <t>דוראה השקעות ופיתוח בע"מ</t>
  </si>
  <si>
    <t>520038282</t>
  </si>
  <si>
    <t>5.15% 2015 'דוראה סדרה ד</t>
  </si>
  <si>
    <t>IL0037201170</t>
  </si>
  <si>
    <t>28/02/2015</t>
  </si>
  <si>
    <t>31/03/2020</t>
  </si>
  <si>
    <t>אולימפיה החזקות נדל"ן בע"מ</t>
  </si>
  <si>
    <t>520035155</t>
  </si>
  <si>
    <t>אולימפיה אג"ח ב'</t>
  </si>
  <si>
    <t>IL0017900544</t>
  </si>
  <si>
    <t>31/12/2021</t>
  </si>
  <si>
    <t>30/06/2021</t>
  </si>
  <si>
    <t>ב.ס.ר אירופה בע"מ</t>
  </si>
  <si>
    <t>520033838</t>
  </si>
  <si>
    <t>בסר אירופה אגח ח</t>
  </si>
  <si>
    <t>IL0011701419</t>
  </si>
  <si>
    <t>R/S</t>
  </si>
  <si>
    <t>30/11/2023</t>
  </si>
  <si>
    <t>30/12/2021</t>
  </si>
  <si>
    <t>גב-ים נגב בע"מ</t>
  </si>
  <si>
    <t>514189596</t>
  </si>
  <si>
    <t>גב-ים נגב אגח א רמ</t>
  </si>
  <si>
    <t>IL0011511412</t>
  </si>
  <si>
    <t>29/07/2018</t>
  </si>
  <si>
    <t>20/10/2027</t>
  </si>
  <si>
    <t>אי תלות</t>
  </si>
  <si>
    <t>31/03/2024</t>
  </si>
  <si>
    <t>דוראה אגח ב</t>
  </si>
  <si>
    <t>IL0037200750</t>
  </si>
  <si>
    <t>03/12/2012</t>
  </si>
  <si>
    <t>30/04/2014</t>
  </si>
  <si>
    <t>חבס השקעות (1960) בע"מ</t>
  </si>
  <si>
    <t>520039017</t>
  </si>
  <si>
    <t>חבס אגח 12</t>
  </si>
  <si>
    <t>IL0041500906</t>
  </si>
  <si>
    <t>25/05/2015</t>
  </si>
  <si>
    <t>29/05/2014</t>
  </si>
  <si>
    <t>עוגן- אגח חברתיות 1 בעמ</t>
  </si>
  <si>
    <t>עוגן חלצ אגחב-רמ</t>
  </si>
  <si>
    <t>IL0011968497</t>
  </si>
  <si>
    <t>19/06/2023</t>
  </si>
  <si>
    <t>15/06/2027</t>
  </si>
  <si>
    <t>קמור בע"מ</t>
  </si>
  <si>
    <t>520034117</t>
  </si>
  <si>
    <t>קמור אגח ו</t>
  </si>
  <si>
    <t>IL0013201186</t>
  </si>
  <si>
    <t>C</t>
  </si>
  <si>
    <t>27/09/2026</t>
  </si>
  <si>
    <t>09/01/2024</t>
  </si>
  <si>
    <t>א.פ.ס.ק. תעשיות בע"מ(פירוק)</t>
  </si>
  <si>
    <t>520042441</t>
  </si>
  <si>
    <t>אפסק אגח א</t>
  </si>
  <si>
    <t>IL0010910326</t>
  </si>
  <si>
    <t>29/12/2013</t>
  </si>
  <si>
    <t>05/08/2012</t>
  </si>
  <si>
    <t>29/06/2021</t>
  </si>
  <si>
    <t>גמול חברה להשקעות בע"מ</t>
  </si>
  <si>
    <t>520018136</t>
  </si>
  <si>
    <t>גמול השקע ב</t>
  </si>
  <si>
    <t>IL0011167553</t>
  </si>
  <si>
    <t>07/09/2017</t>
  </si>
  <si>
    <t>30/09/2021</t>
  </si>
  <si>
    <t>וי.אי.די. התפלת מי אשקלון</t>
  </si>
  <si>
    <t>513102384</t>
  </si>
  <si>
    <t>התפלת מי אשקלון VID</t>
  </si>
  <si>
    <t>IL0010876832</t>
  </si>
  <si>
    <t>22/10/2025</t>
  </si>
  <si>
    <t>וורלד גרופ קפיטל בע"מ</t>
  </si>
  <si>
    <t>520033614</t>
  </si>
  <si>
    <t>וורלד קפיטל אגח ב</t>
  </si>
  <si>
    <t>IL0013501072</t>
  </si>
  <si>
    <t>30/09/2011</t>
  </si>
  <si>
    <t>03/11/2021</t>
  </si>
  <si>
    <t>חפציבה ג'רוזלם גולד בע"מ</t>
  </si>
  <si>
    <t>510404460</t>
  </si>
  <si>
    <t>חפציבה גרוזלם אגח 1</t>
  </si>
  <si>
    <t>IL0010999444</t>
  </si>
  <si>
    <t>26/08/2009</t>
  </si>
  <si>
    <t>23/01/2023</t>
  </si>
  <si>
    <t>חפציבה גרוזלם אגח 2</t>
  </si>
  <si>
    <t>IL0010999519</t>
  </si>
  <si>
    <t>30/11/2016</t>
  </si>
  <si>
    <t>חפציבה גרוזלם אגח 3</t>
  </si>
  <si>
    <t>IL0010999691</t>
  </si>
  <si>
    <t>25/02/2019</t>
  </si>
  <si>
    <t>חפציבה חופים בע"מ</t>
  </si>
  <si>
    <t>513718734</t>
  </si>
  <si>
    <t>חפציבה חופים אג"ח א' חש 2/09</t>
  </si>
  <si>
    <t>11113562</t>
  </si>
  <si>
    <t>18/05/2020</t>
  </si>
  <si>
    <t>28/02/2012</t>
  </si>
  <si>
    <t>20/05/2020</t>
  </si>
  <si>
    <t>חפציבה חופים אגח 1</t>
  </si>
  <si>
    <t>IL0010959422</t>
  </si>
  <si>
    <t>31/08/2006</t>
  </si>
  <si>
    <t>נתיבים אגרות חוב בע"מ</t>
  </si>
  <si>
    <t>513502229</t>
  </si>
  <si>
    <t>נתיבים אגח א רמ</t>
  </si>
  <si>
    <t>IL0010902810</t>
  </si>
  <si>
    <t>02/07/2027</t>
  </si>
  <si>
    <t>SYBIL EUROPE LIMITED</t>
  </si>
  <si>
    <t>513948265</t>
  </si>
  <si>
    <t>סיביל יורופ אגח א (חברה מחוקה)</t>
  </si>
  <si>
    <t>IL0011052466</t>
  </si>
  <si>
    <t>31/12/2014</t>
  </si>
  <si>
    <t>01/06/2015</t>
  </si>
  <si>
    <t>אמפל-אמריקן ישראל קורפוריישן</t>
  </si>
  <si>
    <t>130435685</t>
  </si>
  <si>
    <t>אמפל אמריקן ישראל ב'12/16 %6.6(חש)</t>
  </si>
  <si>
    <t>11256240</t>
  </si>
  <si>
    <t>29/06/2023</t>
  </si>
  <si>
    <t>31/12/2012</t>
  </si>
  <si>
    <t>31/05/2021</t>
  </si>
  <si>
    <t>אולימפיה אגח ג (מחוקה)</t>
  </si>
  <si>
    <t>IL0017900627</t>
  </si>
  <si>
    <t>01/01/2018</t>
  </si>
  <si>
    <t>31/08/2015</t>
  </si>
  <si>
    <t>10/11/2021</t>
  </si>
  <si>
    <t>דוראה אגח א</t>
  </si>
  <si>
    <t>IL0037200347</t>
  </si>
  <si>
    <t>01/05/2019</t>
  </si>
  <si>
    <t>31/05/2012</t>
  </si>
  <si>
    <t>31/08/2020</t>
  </si>
  <si>
    <t>קרדיטו הנפקות בע"מ</t>
  </si>
  <si>
    <t>516804499</t>
  </si>
  <si>
    <t>קרדיטו אגח א</t>
  </si>
  <si>
    <t>IL0012103276</t>
  </si>
  <si>
    <t>USD ILS</t>
  </si>
  <si>
    <t>4/09/2024</t>
  </si>
  <si>
    <t>4/11/2024</t>
  </si>
  <si>
    <t>POALILIT</t>
  </si>
  <si>
    <t>46.320%</t>
  </si>
  <si>
    <t>0.030%</t>
  </si>
  <si>
    <t>EUR ILS</t>
  </si>
  <si>
    <t>40.490%</t>
  </si>
  <si>
    <t>9/09/2024</t>
  </si>
  <si>
    <t>13.190%</t>
  </si>
  <si>
    <t>0.010%</t>
  </si>
  <si>
    <t>48.720%</t>
  </si>
  <si>
    <t>0.020%</t>
  </si>
  <si>
    <t>51.280%</t>
  </si>
  <si>
    <t>60.200%</t>
  </si>
  <si>
    <t>39.800%</t>
  </si>
  <si>
    <t>45.790%</t>
  </si>
  <si>
    <t>54.210%</t>
  </si>
  <si>
    <t>100.000%</t>
  </si>
  <si>
    <t>2.440%</t>
  </si>
  <si>
    <t>97.560%</t>
  </si>
  <si>
    <t>0.040%</t>
  </si>
  <si>
    <t>פונטיפקס 5  ג'י.פי ש.מ</t>
  </si>
  <si>
    <t>232962336</t>
  </si>
  <si>
    <t>אביב קרן הון סיכון</t>
  </si>
  <si>
    <t>513592659</t>
  </si>
  <si>
    <t>Qumra Capital GP II, L.P.</t>
  </si>
  <si>
    <t>12840</t>
  </si>
  <si>
    <t>Qumra Opportunity Fund GP, L.P.</t>
  </si>
  <si>
    <t>873792462</t>
  </si>
  <si>
    <t>Moneta Capital</t>
  </si>
  <si>
    <t>540296522</t>
  </si>
  <si>
    <t>פימי אופורטיוניטי 7 שותפות מוגבלת</t>
  </si>
  <si>
    <t>תשתיות ישראל  ג'י. פי. 4 שותפות מוגבלת</t>
  </si>
  <si>
    <t>550243026</t>
  </si>
  <si>
    <t>דיפרטנר</t>
  </si>
  <si>
    <t>513653105</t>
  </si>
  <si>
    <t>TENNET HOLDINGS</t>
  </si>
  <si>
    <t>724500LTUWK3JQG63903</t>
  </si>
  <si>
    <t>Dover Street XI L.P</t>
  </si>
  <si>
    <t>DOVER STREET IX LP</t>
  </si>
  <si>
    <t>27949</t>
  </si>
  <si>
    <t>ICG Fund</t>
  </si>
  <si>
    <t>12787</t>
  </si>
  <si>
    <t>MIRA Infrastructure גלובלי Solution GP LLC</t>
  </si>
  <si>
    <t>514956846</t>
  </si>
  <si>
    <t>Macquarie Infrastructure</t>
  </si>
  <si>
    <t>10708</t>
  </si>
  <si>
    <t>Pantheon Private Debt</t>
  </si>
  <si>
    <t>11542</t>
  </si>
  <si>
    <t xml:space="preserve">Pantheon PGIF IV GP (Lux) </t>
  </si>
  <si>
    <t>B 283012</t>
  </si>
  <si>
    <t>Faropoint Industrial Value Fund III GP, LP</t>
  </si>
  <si>
    <t>89964</t>
  </si>
  <si>
    <t>5144444</t>
  </si>
  <si>
    <t>LCN חו"לrth American Fund GP III, L.P.</t>
  </si>
  <si>
    <t>Primavera Capital GP IV Ltd.</t>
  </si>
  <si>
    <t>320581761</t>
  </si>
  <si>
    <t>ECP Terra-Gen Growth Fund, LLC</t>
  </si>
  <si>
    <t>853783073</t>
  </si>
  <si>
    <t>ECP Fund V</t>
  </si>
  <si>
    <t>Schroders Capital Private Equity אסיה Management V</t>
  </si>
  <si>
    <t>832664347</t>
  </si>
  <si>
    <t>SCHRODER INT</t>
  </si>
  <si>
    <t>W98SM5I2EG2S17ELT606</t>
  </si>
  <si>
    <t>2020 2423 842</t>
  </si>
  <si>
    <t>AXIOM ASIA PRIVATE CAPITAL FUN</t>
  </si>
  <si>
    <t>89700</t>
  </si>
  <si>
    <t>89957</t>
  </si>
  <si>
    <t>JTLV 3</t>
  </si>
  <si>
    <t>One Equity Partners VIII-A</t>
  </si>
  <si>
    <t>89429</t>
  </si>
  <si>
    <t>Kreos capital V</t>
  </si>
  <si>
    <t>12948</t>
  </si>
  <si>
    <t>קרן מנוף אוריגו 1</t>
  </si>
  <si>
    <t>550234835</t>
  </si>
  <si>
    <t>Tikehau Special Opp. III (€)</t>
  </si>
  <si>
    <t>ארלוזורוב י-ם</t>
  </si>
  <si>
    <t>דניאל רובינזון</t>
  </si>
  <si>
    <t>בית השנהב</t>
  </si>
  <si>
    <t>בן יהודה 191</t>
  </si>
  <si>
    <t>ישראליס 16</t>
  </si>
  <si>
    <t>ישראליס 18</t>
  </si>
  <si>
    <t>לבונטין 15</t>
  </si>
  <si>
    <t>מזא"ה 1</t>
  </si>
  <si>
    <t>מזא"ה 59</t>
  </si>
  <si>
    <t>מרחביה 21</t>
  </si>
  <si>
    <t>מרמורק 24</t>
  </si>
  <si>
    <t>נחלת בנימין 115</t>
  </si>
  <si>
    <t>פינס 36</t>
  </si>
  <si>
    <t>צייטלין 19</t>
  </si>
  <si>
    <t>שד' חן 13</t>
  </si>
  <si>
    <t>שינקין 26</t>
  </si>
  <si>
    <t>Ori Tsur &lt;ori@gemel.huji.ac.il&gt;</t>
  </si>
  <si>
    <t>אורי צור</t>
  </si>
  <si>
    <t>02-5680908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</si>
</sst>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43" formatCode="_ * #,##0.00_ ;_ * \-#,##0.00_ ;_ * &quot;-&quot;??_ ;_ @_ "/>
    <numFmt numFmtId="164" formatCode="#,##0.00%"/>
    <numFmt numFmtId="165" formatCode="0.000"/>
    <numFmt numFmtId="166" formatCode="0.000000"/>
    <numFmt numFmtId="167" formatCode="0.000%"/>
    <numFmt numFmtId="168" formatCode="##########0"/>
    <numFmt numFmtId="169" formatCode="###,###,###,##0.0000"/>
    <numFmt numFmtId="170" formatCode="###,###,###,##0.000"/>
    <numFmt numFmtId="171" formatCode="_ * #,##0_ ;_ * \-#,##0_ ;_ * &quot;-&quot;??_ ;_ @_ "/>
  </numFmts>
  <fonts count="3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0"/>
      <color theme="1"/>
      <name val="Arial"/>
      <family val="2"/>
      <scheme val="minor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1"/>
      <name val="Arial"/>
      <family val="2"/>
      <scheme val="minor"/>
    </font>
    <font>
      <b/>
      <u/>
      <sz val="11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  <charset val="177"/>
      <scheme val="minor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</borders>
  <cellStyleXfs count="6">
    <xf numFmtId="0" fontId="0" fillId="0" borderId="0"/>
    <xf numFmtId="43" fontId="9" fillId="0" borderId="0"/>
    <xf numFmtId="0" fontId="9" fillId="0" borderId="0"/>
    <xf numFmtId="0" fontId="9" fillId="0" borderId="0"/>
    <xf numFmtId="9" fontId="9" fillId="0" borderId="0"/>
    <xf numFmtId="0" fontId="30" fillId="0" borderId="0"/>
  </cellStyleXfs>
  <cellXfs count="210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/>
    <xf numFmtId="0" fontId="4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/>
    <xf numFmtId="0" fontId="4" fillId="0" borderId="1" xfId="0" applyNumberFormat="1" applyFont="1" applyFill="1" applyBorder="1" applyProtection="1">
      <protection locked="0"/>
    </xf>
    <xf numFmtId="0" fontId="3" fillId="0" borderId="2" xfId="0" applyNumberFormat="1" applyFont="1" applyFill="1" applyBorder="1" applyProtection="1">
      <protection locked="0"/>
    </xf>
    <xf numFmtId="0" fontId="3" fillId="0" borderId="1" xfId="0" applyNumberFormat="1" applyFont="1" applyFill="1" applyBorder="1" applyProtection="1">
      <protection locked="0"/>
    </xf>
    <xf numFmtId="0" fontId="3" fillId="0" borderId="0" xfId="0" applyNumberFormat="1" applyFont="1" applyFill="1" applyBorder="1" applyAlignment="1">
      <alignment horizontal="right" readingOrder="1"/>
    </xf>
    <xf numFmtId="0" fontId="8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/>
    </xf>
    <xf numFmtId="0" fontId="10" fillId="4" borderId="0" xfId="0" applyNumberFormat="1" applyFont="1" applyFill="1" applyBorder="1"/>
    <xf numFmtId="0" fontId="11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Protection="1">
      <protection locked="0"/>
    </xf>
    <xf numFmtId="0" fontId="5" fillId="4" borderId="0" xfId="0" applyNumberFormat="1" applyFont="1" applyFill="1" applyBorder="1"/>
    <xf numFmtId="0" fontId="3" fillId="0" borderId="0" xfId="0" applyNumberFormat="1" applyFont="1" applyFill="1" applyBorder="1" applyProtection="1">
      <protection locked="0"/>
    </xf>
    <xf numFmtId="0" fontId="7" fillId="3" borderId="3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Protection="1">
      <protection locked="0"/>
    </xf>
    <xf numFmtId="0" fontId="3" fillId="2" borderId="4" xfId="0" applyNumberFormat="1" applyFont="1" applyFill="1" applyBorder="1" applyAlignment="1">
      <alignment horizontal="right"/>
    </xf>
    <xf numFmtId="0" fontId="3" fillId="0" borderId="4" xfId="0" applyNumberFormat="1" applyFont="1" applyFill="1" applyBorder="1" applyAlignment="1">
      <alignment horizontal="right"/>
    </xf>
    <xf numFmtId="0" fontId="13" fillId="0" borderId="0" xfId="0" applyNumberFormat="1" applyFont="1" applyFill="1" applyBorder="1"/>
    <xf numFmtId="0" fontId="13" fillId="0" borderId="0" xfId="0" applyNumberFormat="1" applyFont="1" applyFill="1" applyBorder="1" applyAlignment="1">
      <alignment horizontal="right" vertical="top"/>
    </xf>
    <xf numFmtId="0" fontId="0" fillId="0" borderId="0" xfId="0" applyNumberFormat="1" applyFont="1" applyFill="1" applyBorder="1" applyAlignment="1">
      <alignment horizontal="right" vertical="top" wrapText="1"/>
    </xf>
    <xf numFmtId="0" fontId="2" fillId="0" borderId="0" xfId="0" applyNumberFormat="1" applyFont="1" applyFill="1" applyBorder="1" applyProtection="1">
      <protection locked="0"/>
    </xf>
    <xf numFmtId="0" fontId="0" fillId="0" borderId="0" xfId="0" applyNumberFormat="1" applyFont="1" applyFill="1" applyBorder="1" applyAlignment="1">
      <alignment horizontal="right" vertical="top"/>
    </xf>
    <xf numFmtId="0" fontId="7" fillId="3" borderId="9" xfId="0" applyNumberFormat="1" applyFont="1" applyFill="1" applyBorder="1" applyAlignment="1">
      <alignment horizontal="center" vertical="center" wrapText="1"/>
    </xf>
    <xf numFmtId="0" fontId="13" fillId="0" borderId="0" xfId="0" applyNumberFormat="1" applyFont="1" applyFill="1" applyBorder="1" applyProtection="1">
      <protection locked="0"/>
    </xf>
    <xf numFmtId="0" fontId="12" fillId="5" borderId="0" xfId="2" applyNumberFormat="1" applyFont="1" applyFill="1" applyBorder="1" applyAlignment="1" applyProtection="1">
      <alignment horizontal="left" vertical="center" wrapText="1" indent="1"/>
      <protection locked="0"/>
    </xf>
    <xf numFmtId="0" fontId="14" fillId="3" borderId="8" xfId="0" applyNumberFormat="1" applyFont="1" applyFill="1" applyBorder="1" applyAlignment="1">
      <alignment vertical="center"/>
    </xf>
    <xf numFmtId="0" fontId="14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3" fillId="0" borderId="0" xfId="0" applyNumberFormat="1" applyFont="1" applyFill="1" applyBorder="1" applyAlignment="1">
      <alignment horizontal="right"/>
    </xf>
    <xf numFmtId="0" fontId="16" fillId="0" borderId="0" xfId="0" applyNumberFormat="1" applyFont="1" applyFill="1" applyBorder="1"/>
    <xf numFmtId="0" fontId="17" fillId="0" borderId="1" xfId="0" applyNumberFormat="1" applyFont="1" applyFill="1" applyBorder="1" applyAlignment="1">
      <alignment vertical="center" wrapText="1" readingOrder="2"/>
    </xf>
    <xf numFmtId="0" fontId="17" fillId="0" borderId="1" xfId="0" applyNumberFormat="1" applyFont="1" applyFill="1" applyBorder="1" applyAlignment="1">
      <alignment horizontal="right" vertical="center" wrapText="1" readingOrder="2"/>
    </xf>
    <xf numFmtId="2" fontId="17" fillId="0" borderId="1" xfId="0" applyNumberFormat="1" applyFont="1" applyFill="1" applyBorder="1" applyAlignment="1">
      <alignment vertical="center" wrapText="1" readingOrder="2"/>
    </xf>
    <xf numFmtId="165" fontId="17" fillId="0" borderId="1" xfId="0" applyNumberFormat="1" applyFont="1" applyFill="1" applyBorder="1" applyAlignment="1">
      <alignment vertical="center" wrapText="1" readingOrder="2"/>
    </xf>
    <xf numFmtId="0" fontId="2" fillId="6" borderId="0" xfId="0" applyNumberFormat="1" applyFont="1" applyFill="1" applyBorder="1"/>
    <xf numFmtId="1" fontId="0" fillId="0" borderId="0" xfId="0" applyNumberFormat="1" applyFont="1" applyFill="1" applyBorder="1" applyAlignment="1">
      <alignment horizontal="right"/>
    </xf>
    <xf numFmtId="0" fontId="18" fillId="0" borderId="1" xfId="0" applyNumberFormat="1" applyFont="1" applyFill="1" applyBorder="1" applyAlignment="1">
      <alignment vertical="center" wrapText="1" readingOrder="2"/>
    </xf>
    <xf numFmtId="0" fontId="6" fillId="3" borderId="11" xfId="0" applyNumberFormat="1" applyFont="1" applyFill="1" applyBorder="1" applyAlignment="1">
      <alignment horizontal="center" vertical="center" wrapText="1"/>
    </xf>
    <xf numFmtId="0" fontId="7" fillId="3" borderId="11" xfId="0" applyNumberFormat="1" applyFont="1" applyFill="1" applyBorder="1" applyAlignment="1">
      <alignment horizontal="center" vertical="center" wrapText="1"/>
    </xf>
    <xf numFmtId="0" fontId="7" fillId="3" borderId="11" xfId="0" applyNumberFormat="1" applyFont="1" applyFill="1" applyBorder="1" applyAlignment="1">
      <alignment horizontal="right" vertical="center" wrapText="1"/>
    </xf>
    <xf numFmtId="0" fontId="8" fillId="0" borderId="11" xfId="0" applyNumberFormat="1" applyFont="1" applyFill="1" applyBorder="1"/>
    <xf numFmtId="0" fontId="8" fillId="0" borderId="11" xfId="0" applyNumberFormat="1" applyFont="1" applyFill="1" applyBorder="1" applyAlignment="1">
      <alignment horizontal="center" vertical="center" wrapText="1"/>
    </xf>
    <xf numFmtId="0" fontId="15" fillId="0" borderId="11" xfId="0" applyNumberFormat="1" applyFont="1" applyFill="1" applyBorder="1" applyAlignment="1">
      <alignment horizontal="center" vertical="center" wrapText="1"/>
    </xf>
    <xf numFmtId="0" fontId="19" fillId="3" borderId="4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/>
    <xf numFmtId="0" fontId="0" fillId="0" borderId="4" xfId="0" applyNumberFormat="1" applyFont="1" applyFill="1" applyBorder="1" applyAlignment="1">
      <alignment horizontal="right"/>
    </xf>
    <xf numFmtId="0" fontId="0" fillId="0" borderId="5" xfId="0" applyNumberFormat="1" applyFont="1" applyFill="1" applyBorder="1" applyAlignment="1">
      <alignment horizontal="right"/>
    </xf>
    <xf numFmtId="0" fontId="0" fillId="2" borderId="5" xfId="0" applyNumberFormat="1" applyFont="1" applyFill="1" applyBorder="1" applyAlignment="1">
      <alignment horizontal="right"/>
    </xf>
    <xf numFmtId="0" fontId="0" fillId="2" borderId="7" xfId="0" applyNumberFormat="1" applyFont="1" applyFill="1" applyBorder="1" applyAlignment="1">
      <alignment horizontal="right"/>
    </xf>
    <xf numFmtId="0" fontId="20" fillId="0" borderId="0" xfId="0" applyNumberFormat="1" applyFont="1" applyFill="1" applyBorder="1"/>
    <xf numFmtId="0" fontId="0" fillId="0" borderId="7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center"/>
    </xf>
    <xf numFmtId="0" fontId="2" fillId="2" borderId="6" xfId="0" applyNumberFormat="1" applyFont="1" applyFill="1" applyBorder="1" applyAlignment="1">
      <alignment horizontal="center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7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0" fillId="0" borderId="7" xfId="0" applyNumberFormat="1" applyFont="1" applyFill="1" applyBorder="1" applyAlignment="1">
      <alignment horizontal="right" vertical="top"/>
    </xf>
    <xf numFmtId="0" fontId="2" fillId="0" borderId="5" xfId="0" applyNumberFormat="1" applyFont="1" applyFill="1" applyBorder="1" applyAlignment="1">
      <alignment horizontal="right" vertical="top"/>
    </xf>
    <xf numFmtId="0" fontId="2" fillId="0" borderId="6" xfId="0" applyNumberFormat="1" applyFont="1" applyFill="1" applyBorder="1" applyAlignment="1">
      <alignment horizontal="right" vertical="top"/>
    </xf>
    <xf numFmtId="0" fontId="2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2" borderId="7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center"/>
    </xf>
    <xf numFmtId="0" fontId="2" fillId="0" borderId="5" xfId="0" applyNumberFormat="1" applyFont="1" applyFill="1" applyBorder="1" applyAlignment="1">
      <alignment horizontal="center"/>
    </xf>
    <xf numFmtId="0" fontId="2" fillId="0" borderId="6" xfId="0" applyNumberFormat="1" applyFont="1" applyFill="1" applyBorder="1" applyAlignment="1">
      <alignment horizontal="center"/>
    </xf>
    <xf numFmtId="0" fontId="2" fillId="0" borderId="7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6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vertical="center" wrapText="1"/>
    </xf>
    <xf numFmtId="0" fontId="0" fillId="2" borderId="7" xfId="0" applyNumberFormat="1" applyFont="1" applyFill="1" applyBorder="1" applyAlignment="1">
      <alignment vertical="center" wrapText="1"/>
    </xf>
    <xf numFmtId="0" fontId="2" fillId="0" borderId="10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 wrapText="1"/>
    </xf>
    <xf numFmtId="0" fontId="0" fillId="2" borderId="6" xfId="0" applyNumberFormat="1" applyFont="1" applyFill="1" applyBorder="1" applyAlignment="1">
      <alignment horizontal="right" vertical="top" wrapText="1"/>
    </xf>
    <xf numFmtId="0" fontId="2" fillId="2" borderId="5" xfId="0" applyNumberFormat="1" applyFont="1" applyFill="1" applyBorder="1" applyAlignment="1">
      <alignment horizontal="right" vertical="top"/>
    </xf>
    <xf numFmtId="0" fontId="2" fillId="2" borderId="10" xfId="0" applyNumberFormat="1" applyFont="1" applyFill="1" applyBorder="1" applyAlignment="1">
      <alignment horizontal="right" vertical="top"/>
    </xf>
    <xf numFmtId="0" fontId="2" fillId="2" borderId="6" xfId="0" applyNumberFormat="1" applyFont="1" applyFill="1" applyBorder="1" applyAlignment="1">
      <alignment horizontal="right" vertical="top"/>
    </xf>
    <xf numFmtId="0" fontId="3" fillId="0" borderId="5" xfId="0" applyNumberFormat="1" applyFont="1" applyFill="1" applyBorder="1" applyAlignment="1">
      <alignment horizontal="right" vertical="top"/>
    </xf>
    <xf numFmtId="0" fontId="3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2" borderId="6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0" fillId="0" borderId="6" xfId="0" applyNumberFormat="1" applyFont="1" applyFill="1" applyBorder="1" applyAlignment="1">
      <alignment vertical="top" wrapText="1"/>
    </xf>
    <xf numFmtId="0" fontId="12" fillId="5" borderId="12" xfId="2" applyNumberFormat="1" applyFont="1" applyFill="1" applyBorder="1" applyAlignment="1" applyProtection="1">
      <alignment horizontal="right" vertical="center" wrapText="1"/>
      <protection locked="0"/>
    </xf>
    <xf numFmtId="0" fontId="12" fillId="5" borderId="12" xfId="2" applyNumberFormat="1" applyFont="1" applyFill="1" applyBorder="1" applyAlignment="1">
      <alignment horizontal="right" vertical="center" wrapText="1"/>
    </xf>
    <xf numFmtId="0" fontId="12" fillId="5" borderId="12" xfId="2" applyNumberFormat="1" applyFont="1" applyFill="1" applyBorder="1" applyAlignment="1" applyProtection="1">
      <alignment horizontal="left" vertical="center" wrapText="1" indent="1"/>
      <protection locked="0"/>
    </xf>
    <xf numFmtId="0" fontId="12" fillId="5" borderId="12" xfId="2" applyNumberFormat="1" applyFont="1" applyFill="1" applyBorder="1" applyAlignment="1" applyProtection="1">
      <alignment vertical="center" wrapText="1"/>
      <protection locked="0"/>
    </xf>
    <xf numFmtId="0" fontId="7" fillId="3" borderId="13" xfId="0" applyNumberFormat="1" applyFont="1" applyFill="1" applyBorder="1" applyAlignment="1">
      <alignment horizontal="right" vertical="center"/>
    </xf>
    <xf numFmtId="0" fontId="7" fillId="3" borderId="3" xfId="0" applyNumberFormat="1" applyFont="1" applyFill="1" applyBorder="1" applyAlignment="1">
      <alignment horizontal="center" vertical="center" wrapText="1" readingOrder="2"/>
    </xf>
    <xf numFmtId="0" fontId="18" fillId="0" borderId="15" xfId="0" applyNumberFormat="1" applyFont="1" applyFill="1" applyBorder="1"/>
    <xf numFmtId="0" fontId="18" fillId="0" borderId="16" xfId="0" applyNumberFormat="1" applyFont="1" applyFill="1" applyBorder="1"/>
    <xf numFmtId="0" fontId="18" fillId="0" borderId="17" xfId="0" applyNumberFormat="1" applyFont="1" applyFill="1" applyBorder="1" applyAlignment="1">
      <alignment horizontal="right"/>
    </xf>
    <xf numFmtId="0" fontId="21" fillId="0" borderId="1" xfId="0" applyNumberFormat="1" applyFont="1" applyFill="1" applyBorder="1" applyAlignment="1">
      <alignment horizontal="center" vertical="center" wrapText="1" readingOrder="2"/>
    </xf>
    <xf numFmtId="0" fontId="22" fillId="0" borderId="1" xfId="0" applyNumberFormat="1" applyFont="1" applyFill="1" applyBorder="1" applyAlignment="1">
      <alignment vertical="center" wrapText="1" readingOrder="2"/>
    </xf>
    <xf numFmtId="0" fontId="2" fillId="2" borderId="5" xfId="0" applyNumberFormat="1" applyFont="1" applyFill="1" applyBorder="1" applyAlignment="1">
      <alignment horizontal="right"/>
    </xf>
    <xf numFmtId="0" fontId="3" fillId="0" borderId="18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right"/>
    </xf>
    <xf numFmtId="0" fontId="2" fillId="2" borderId="6" xfId="0" applyNumberFormat="1" applyFont="1" applyFill="1" applyBorder="1" applyAlignment="1">
      <alignment horizontal="right"/>
    </xf>
    <xf numFmtId="0" fontId="0" fillId="0" borderId="19" xfId="0" applyNumberFormat="1" applyFont="1" applyFill="1" applyBorder="1" applyAlignment="1">
      <alignment horizontal="right" vertical="top"/>
    </xf>
    <xf numFmtId="0" fontId="0" fillId="0" borderId="2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horizontal="right" vertical="top" wrapText="1"/>
    </xf>
    <xf numFmtId="0" fontId="0" fillId="0" borderId="7" xfId="0" applyNumberFormat="1" applyFont="1" applyFill="1" applyBorder="1" applyAlignment="1">
      <alignment vertical="top" wrapText="1"/>
    </xf>
    <xf numFmtId="0" fontId="13" fillId="2" borderId="4" xfId="0" applyNumberFormat="1" applyFont="1" applyFill="1" applyBorder="1" applyAlignment="1">
      <alignment horizontal="right"/>
    </xf>
    <xf numFmtId="0" fontId="18" fillId="0" borderId="0" xfId="0" applyNumberFormat="1" applyFont="1" applyFill="1" applyBorder="1"/>
    <xf numFmtId="0" fontId="2" fillId="2" borderId="4" xfId="0" applyNumberFormat="1" applyFont="1" applyFill="1" applyBorder="1" applyAlignment="1">
      <alignment horizontal="right"/>
    </xf>
    <xf numFmtId="17" fontId="0" fillId="0" borderId="0" xfId="0" applyNumberFormat="1" applyFont="1" applyFill="1" applyBorder="1"/>
    <xf numFmtId="0" fontId="23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 readingOrder="1"/>
    </xf>
    <xf numFmtId="0" fontId="0" fillId="0" borderId="4" xfId="0" applyNumberFormat="1" applyFont="1" applyFill="1" applyBorder="1" applyAlignment="1">
      <alignment readingOrder="1"/>
    </xf>
    <xf numFmtId="0" fontId="2" fillId="0" borderId="0" xfId="0" applyNumberFormat="1" applyFont="1" applyFill="1" applyBorder="1" applyAlignment="1">
      <alignment horizontal="right"/>
    </xf>
    <xf numFmtId="0" fontId="24" fillId="2" borderId="4" xfId="0" applyNumberFormat="1" applyFont="1" applyFill="1" applyBorder="1" applyAlignment="1">
      <alignment horizontal="right"/>
    </xf>
    <xf numFmtId="0" fontId="3" fillId="6" borderId="4" xfId="0" applyNumberFormat="1" applyFont="1" applyFill="1" applyBorder="1" applyAlignment="1">
      <alignment horizontal="right"/>
    </xf>
    <xf numFmtId="0" fontId="25" fillId="0" borderId="0" xfId="0" applyNumberFormat="1" applyFont="1" applyFill="1" applyBorder="1" applyProtection="1">
      <protection locked="0"/>
    </xf>
    <xf numFmtId="0" fontId="25" fillId="0" borderId="0" xfId="0" applyNumberFormat="1" applyFont="1" applyFill="1" applyBorder="1"/>
    <xf numFmtId="43" fontId="7" fillId="3" borderId="11" xfId="1" applyNumberFormat="1" applyFont="1" applyFill="1" applyBorder="1" applyAlignment="1">
      <alignment horizontal="center" vertical="center" wrapText="1"/>
    </xf>
    <xf numFmtId="43" fontId="8" fillId="0" borderId="11" xfId="1" applyNumberFormat="1" applyFont="1" applyFill="1" applyBorder="1" applyAlignment="1">
      <alignment horizontal="center" vertical="center" wrapText="1"/>
    </xf>
    <xf numFmtId="43" fontId="15" fillId="0" borderId="11" xfId="1" applyNumberFormat="1" applyFont="1" applyFill="1" applyBorder="1" applyAlignment="1">
      <alignment horizontal="center" vertical="center" wrapText="1"/>
    </xf>
    <xf numFmtId="43" fontId="8" fillId="0" borderId="0" xfId="1" applyNumberFormat="1" applyFont="1" applyFill="1" applyBorder="1" applyAlignment="1">
      <alignment horizontal="center" vertical="center" wrapText="1"/>
    </xf>
    <xf numFmtId="43" fontId="7" fillId="3" borderId="14" xfId="1" applyNumberFormat="1" applyFont="1" applyFill="1" applyBorder="1" applyAlignment="1">
      <alignment horizontal="center" vertical="center"/>
    </xf>
    <xf numFmtId="9" fontId="7" fillId="3" borderId="11" xfId="4" applyNumberFormat="1" applyFont="1" applyFill="1" applyBorder="1" applyAlignment="1">
      <alignment horizontal="center" vertical="center" wrapText="1"/>
    </xf>
    <xf numFmtId="9" fontId="8" fillId="0" borderId="11" xfId="4" applyNumberFormat="1" applyFont="1" applyFill="1" applyBorder="1" applyAlignment="1">
      <alignment horizontal="center" vertical="center" wrapText="1"/>
    </xf>
    <xf numFmtId="9" fontId="15" fillId="0" borderId="11" xfId="4" applyNumberFormat="1" applyFont="1" applyFill="1" applyBorder="1" applyAlignment="1">
      <alignment horizontal="center" vertical="center" wrapText="1"/>
    </xf>
    <xf numFmtId="9" fontId="8" fillId="0" borderId="0" xfId="4" applyNumberFormat="1" applyFont="1" applyFill="1" applyBorder="1" applyAlignment="1">
      <alignment horizontal="center" vertical="center" wrapText="1"/>
    </xf>
    <xf numFmtId="10" fontId="7" fillId="3" borderId="3" xfId="4" applyNumberFormat="1" applyFont="1" applyFill="1" applyBorder="1" applyAlignment="1">
      <alignment horizontal="center" vertical="center" wrapText="1"/>
    </xf>
    <xf numFmtId="10" fontId="0" fillId="0" borderId="0" xfId="4" applyNumberFormat="1" applyFont="1" applyFill="1" applyBorder="1"/>
    <xf numFmtId="10" fontId="4" fillId="0" borderId="0" xfId="4" applyNumberFormat="1" applyFont="1" applyFill="1" applyBorder="1"/>
    <xf numFmtId="10" fontId="3" fillId="0" borderId="0" xfId="4" applyNumberFormat="1" applyFont="1" applyFill="1" applyBorder="1"/>
    <xf numFmtId="10" fontId="3" fillId="0" borderId="0" xfId="4" applyNumberFormat="1" applyFont="1" applyFill="1" applyBorder="1" applyProtection="1">
      <protection locked="0"/>
    </xf>
    <xf numFmtId="10" fontId="4" fillId="0" borderId="0" xfId="4" applyNumberFormat="1" applyFont="1" applyFill="1" applyBorder="1" applyProtection="1">
      <protection locked="0"/>
    </xf>
    <xf numFmtId="10" fontId="4" fillId="0" borderId="0" xfId="0" applyNumberFormat="1" applyFont="1" applyFill="1" applyBorder="1"/>
    <xf numFmtId="10" fontId="3" fillId="0" borderId="0" xfId="0" applyNumberFormat="1" applyFont="1" applyFill="1" applyBorder="1"/>
    <xf numFmtId="4" fontId="0" fillId="0" borderId="0" xfId="0" applyNumberFormat="1" applyFont="1" applyFill="1" applyBorder="1" applyAlignment="1">
      <alignment horizontal="center"/>
    </xf>
    <xf numFmtId="4" fontId="4" fillId="0" borderId="0" xfId="0" applyNumberFormat="1" applyFont="1" applyFill="1" applyBorder="1"/>
    <xf numFmtId="4" fontId="3" fillId="0" borderId="0" xfId="0" applyNumberFormat="1" applyFont="1" applyFill="1" applyBorder="1"/>
    <xf numFmtId="4" fontId="4" fillId="0" borderId="0" xfId="0" applyNumberFormat="1" applyFont="1" applyFill="1" applyBorder="1" applyProtection="1">
      <protection locked="0"/>
    </xf>
    <xf numFmtId="4" fontId="3" fillId="0" borderId="0" xfId="0" applyNumberFormat="1" applyFont="1" applyFill="1" applyBorder="1" applyProtection="1">
      <protection locked="0"/>
    </xf>
    <xf numFmtId="4" fontId="25" fillId="0" borderId="0" xfId="0" applyNumberFormat="1" applyFont="1" applyFill="1" applyBorder="1"/>
    <xf numFmtId="4" fontId="2" fillId="0" borderId="0" xfId="0" applyNumberFormat="1" applyFont="1" applyFill="1" applyBorder="1" applyProtection="1">
      <protection locked="0"/>
    </xf>
    <xf numFmtId="166" fontId="7" fillId="3" borderId="3" xfId="0" applyNumberFormat="1" applyFont="1" applyFill="1" applyBorder="1" applyAlignment="1">
      <alignment horizontal="center" vertical="center" wrapText="1"/>
    </xf>
    <xf numFmtId="166" fontId="4" fillId="0" borderId="0" xfId="0" applyNumberFormat="1" applyFont="1" applyFill="1" applyBorder="1"/>
    <xf numFmtId="167" fontId="7" fillId="3" borderId="3" xfId="4" applyNumberFormat="1" applyFont="1" applyFill="1" applyBorder="1" applyAlignment="1">
      <alignment horizontal="center" vertical="center" wrapText="1"/>
    </xf>
    <xf numFmtId="167" fontId="26" fillId="0" borderId="0" xfId="4" applyNumberFormat="1" applyFont="1" applyFill="1" applyBorder="1" applyAlignment="1">
      <alignment horizontal="center"/>
    </xf>
    <xf numFmtId="167" fontId="0" fillId="0" borderId="0" xfId="4" applyNumberFormat="1" applyFont="1" applyFill="1" applyBorder="1"/>
    <xf numFmtId="167" fontId="4" fillId="0" borderId="0" xfId="4" applyNumberFormat="1" applyFont="1" applyFill="1" applyBorder="1"/>
    <xf numFmtId="167" fontId="7" fillId="3" borderId="3" xfId="0" applyNumberFormat="1" applyFont="1" applyFill="1" applyBorder="1" applyAlignment="1">
      <alignment horizontal="center" vertical="center" wrapText="1"/>
    </xf>
    <xf numFmtId="167" fontId="4" fillId="0" borderId="0" xfId="0" applyNumberFormat="1" applyFont="1" applyFill="1" applyBorder="1"/>
    <xf numFmtId="167" fontId="3" fillId="0" borderId="0" xfId="4" applyNumberFormat="1" applyFont="1" applyFill="1" applyBorder="1"/>
    <xf numFmtId="167" fontId="3" fillId="0" borderId="0" xfId="0" applyNumberFormat="1" applyFont="1" applyFill="1" applyBorder="1"/>
    <xf numFmtId="166" fontId="3" fillId="0" borderId="0" xfId="0" applyNumberFormat="1" applyFont="1" applyFill="1" applyBorder="1"/>
    <xf numFmtId="165" fontId="7" fillId="3" borderId="3" xfId="0" applyNumberFormat="1" applyFont="1" applyFill="1" applyBorder="1" applyAlignment="1">
      <alignment horizontal="center" vertical="center" wrapText="1"/>
    </xf>
    <xf numFmtId="165" fontId="3" fillId="0" borderId="0" xfId="0" applyNumberFormat="1" applyFont="1" applyFill="1" applyBorder="1"/>
    <xf numFmtId="167" fontId="0" fillId="0" borderId="0" xfId="0" applyNumberFormat="1" applyFont="1" applyFill="1" applyBorder="1"/>
    <xf numFmtId="167" fontId="4" fillId="0" borderId="0" xfId="4" applyNumberFormat="1" applyFont="1" applyFill="1" applyBorder="1" applyProtection="1">
      <protection locked="0"/>
    </xf>
    <xf numFmtId="167" fontId="4" fillId="0" borderId="0" xfId="0" applyNumberFormat="1" applyFont="1" applyFill="1" applyBorder="1" applyProtection="1">
      <protection locked="0"/>
    </xf>
    <xf numFmtId="166" fontId="4" fillId="0" borderId="0" xfId="0" applyNumberFormat="1" applyFont="1" applyFill="1" applyBorder="1" applyProtection="1">
      <protection locked="0"/>
    </xf>
    <xf numFmtId="165" fontId="4" fillId="0" borderId="0" xfId="0" applyNumberFormat="1" applyFont="1" applyFill="1" applyBorder="1" applyProtection="1">
      <protection locked="0"/>
    </xf>
    <xf numFmtId="165" fontId="4" fillId="0" borderId="0" xfId="0" applyNumberFormat="1" applyFont="1" applyFill="1" applyBorder="1"/>
    <xf numFmtId="166" fontId="3" fillId="0" borderId="0" xfId="0" applyNumberFormat="1" applyFont="1" applyFill="1" applyBorder="1" applyProtection="1">
      <protection locked="0"/>
    </xf>
    <xf numFmtId="165" fontId="3" fillId="0" borderId="0" xfId="0" applyNumberFormat="1" applyFont="1" applyFill="1" applyBorder="1" applyProtection="1">
      <protection locked="0"/>
    </xf>
    <xf numFmtId="167" fontId="3" fillId="0" borderId="0" xfId="0" applyNumberFormat="1" applyFont="1" applyFill="1" applyBorder="1" applyProtection="1">
      <protection locked="0"/>
    </xf>
    <xf numFmtId="167" fontId="2" fillId="0" borderId="0" xfId="0" applyNumberFormat="1" applyFont="1" applyFill="1" applyBorder="1" applyProtection="1">
      <protection locked="0"/>
    </xf>
    <xf numFmtId="2" fontId="7" fillId="3" borderId="3" xfId="0" applyNumberFormat="1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Protection="1">
      <protection locked="0"/>
    </xf>
    <xf numFmtId="2" fontId="4" fillId="0" borderId="0" xfId="0" applyNumberFormat="1" applyFont="1" applyFill="1" applyBorder="1"/>
    <xf numFmtId="168" fontId="28" fillId="0" borderId="0" xfId="0" applyNumberFormat="1" applyFont="1" applyAlignment="1">
      <alignment horizontal="right"/>
    </xf>
    <xf numFmtId="0" fontId="28" fillId="0" borderId="0" xfId="0" applyFont="1" applyAlignment="1">
      <alignment horizontal="right"/>
    </xf>
    <xf numFmtId="169" fontId="28" fillId="0" borderId="0" xfId="0" applyNumberFormat="1" applyFont="1" applyAlignment="1">
      <alignment horizontal="right"/>
    </xf>
    <xf numFmtId="170" fontId="28" fillId="0" borderId="0" xfId="0" applyNumberFormat="1" applyFont="1" applyAlignment="1">
      <alignment horizontal="right"/>
    </xf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0" fontId="2" fillId="0" borderId="0" xfId="0" applyFont="1"/>
    <xf numFmtId="164" fontId="0" fillId="0" borderId="0" xfId="0" applyNumberFormat="1" applyAlignment="1">
      <alignment horizontal="center"/>
    </xf>
    <xf numFmtId="4" fontId="2" fillId="0" borderId="0" xfId="0" applyNumberFormat="1" applyFont="1" applyAlignment="1">
      <alignment horizontal="center"/>
    </xf>
    <xf numFmtId="0" fontId="3" fillId="0" borderId="0" xfId="0" applyFont="1" applyProtection="1">
      <protection locked="0"/>
    </xf>
    <xf numFmtId="14" fontId="2" fillId="0" borderId="0" xfId="0" applyNumberFormat="1" applyFont="1" applyAlignment="1">
      <alignment horizontal="center"/>
    </xf>
    <xf numFmtId="10" fontId="0" fillId="0" borderId="0" xfId="4" applyNumberFormat="1" applyFont="1"/>
    <xf numFmtId="0" fontId="2" fillId="0" borderId="0" xfId="0" applyFont="1" applyProtection="1">
      <protection locked="0"/>
    </xf>
    <xf numFmtId="14" fontId="0" fillId="0" borderId="0" xfId="0" applyNumberFormat="1"/>
    <xf numFmtId="171" fontId="0" fillId="0" borderId="0" xfId="1" applyNumberFormat="1" applyFont="1"/>
    <xf numFmtId="9" fontId="0" fillId="0" borderId="0" xfId="4" applyFont="1"/>
    <xf numFmtId="0" fontId="29" fillId="0" borderId="0" xfId="0" applyFont="1"/>
    <xf numFmtId="0" fontId="0" fillId="0" borderId="0" xfId="0" applyProtection="1">
      <protection locked="0"/>
    </xf>
    <xf numFmtId="14" fontId="2" fillId="0" borderId="0" xfId="0" applyNumberFormat="1" applyFont="1" applyProtection="1">
      <protection locked="0"/>
    </xf>
    <xf numFmtId="10" fontId="2" fillId="0" borderId="0" xfId="4" applyNumberFormat="1" applyFont="1"/>
    <xf numFmtId="17" fontId="29" fillId="0" borderId="0" xfId="0" applyNumberFormat="1" applyFont="1"/>
    <xf numFmtId="171" fontId="9" fillId="0" borderId="0" xfId="1" applyNumberFormat="1"/>
    <xf numFmtId="3" fontId="2" fillId="0" borderId="0" xfId="0" applyNumberFormat="1" applyFont="1" applyProtection="1">
      <protection locked="0"/>
    </xf>
    <xf numFmtId="10" fontId="2" fillId="0" borderId="0" xfId="4" applyNumberFormat="1" applyFont="1" applyProtection="1">
      <protection locked="0"/>
    </xf>
    <xf numFmtId="0" fontId="30" fillId="0" borderId="0" xfId="5" applyAlignment="1">
      <alignment horizontal="right"/>
    </xf>
  </cellXfs>
  <cellStyles count="6">
    <cellStyle name="Comma" xfId="1" builtinId="3"/>
    <cellStyle name="Normal" xfId="0" builtinId="0"/>
    <cellStyle name="Normal 2" xfId="5" xr:uid="{BB613DFE-665B-47AD-AC23-B71F50FABFD2}"/>
    <cellStyle name="Normal 3" xfId="2" xr:uid="{00000000-0005-0000-0000-000002000000}"/>
    <cellStyle name="Normal 9" xfId="3" xr:uid="{00000000-0005-0000-0000-000003000000}"/>
    <cellStyle name="Percent" xfId="4" builtinId="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1" defaultTableStyle="TableStyleMedium2" defaultPivotStyle="PivotStyleLight16">
    <tableStyle name="Invisible" pivot="0" table="0" count="0" xr9:uid="{CA87097F-178A-465C-8EC9-938A0A88FC84}"/>
  </tableStyles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\&#1511;&#1493;&#1489;&#1509;%20&#1491;&#1497;&#1493;&#1493;&#1495;%20&#1504;&#1499;&#1505;%20&#1489;&#1493;&#1491;&#1491;%20&#1504;&#1490;&#1494;&#1512;&#1497;&#1501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U_510960586_gm_0324_63864514365180164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אפשרויות בחירה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אפשרויות בחירה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29"/>
  <sheetViews>
    <sheetView showGridLines="0" rightToLeft="1" workbookViewId="0">
      <selection activeCell="A30" sqref="A30"/>
    </sheetView>
  </sheetViews>
  <sheetFormatPr defaultRowHeight="14.25"/>
  <cols>
    <col min="1" max="1" width="29.5" bestFit="1" customWidth="1"/>
    <col min="2" max="2" width="11" customWidth="1"/>
    <col min="3" max="3" width="4.625" customWidth="1"/>
    <col min="4" max="4" width="67.5" customWidth="1"/>
    <col min="10" max="10" width="34.75" customWidth="1"/>
    <col min="11" max="11" width="25.875" customWidth="1"/>
    <col min="12" max="12" width="21.5" customWidth="1"/>
  </cols>
  <sheetData>
    <row r="1" spans="1:8" ht="18">
      <c r="A1" s="31" t="s">
        <v>212</v>
      </c>
      <c r="B1" s="32"/>
      <c r="C1" s="32"/>
      <c r="D1" s="32"/>
    </row>
    <row r="3" spans="1:8">
      <c r="A3" t="s">
        <v>213</v>
      </c>
      <c r="D3" s="100" t="s">
        <v>214</v>
      </c>
    </row>
    <row r="5" spans="1:8">
      <c r="A5" t="s">
        <v>215</v>
      </c>
      <c r="D5" s="100" t="s">
        <v>1233</v>
      </c>
    </row>
    <row r="7" spans="1:8">
      <c r="A7" t="s">
        <v>216</v>
      </c>
      <c r="D7" s="100" t="s">
        <v>1239</v>
      </c>
    </row>
    <row r="8" spans="1:8">
      <c r="D8" s="30"/>
      <c r="E8" s="30"/>
      <c r="F8" s="30"/>
      <c r="G8" s="30"/>
      <c r="H8" s="30"/>
    </row>
    <row r="9" spans="1:8">
      <c r="A9" t="s">
        <v>217</v>
      </c>
      <c r="D9" s="100">
        <v>2024</v>
      </c>
    </row>
    <row r="11" spans="1:8">
      <c r="A11" t="s">
        <v>218</v>
      </c>
      <c r="D11" s="100" t="s">
        <v>1279</v>
      </c>
    </row>
    <row r="13" spans="1:8">
      <c r="A13" t="s">
        <v>219</v>
      </c>
      <c r="D13" s="101">
        <f>IFERROR(VLOOKUP(D11,'File Name Info'!A35:B121,2,0),"תא מחושב")</f>
        <v>510960586</v>
      </c>
    </row>
    <row r="15" spans="1:8" ht="15">
      <c r="A15" s="17" t="s">
        <v>220</v>
      </c>
      <c r="D15" s="101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510960586_gm_0324.xlxs</v>
      </c>
    </row>
    <row r="16" spans="1:8" ht="15">
      <c r="A16" s="17"/>
      <c r="D16" s="30"/>
      <c r="E16" s="30"/>
      <c r="F16" s="30"/>
      <c r="G16" s="30"/>
      <c r="H16" s="30"/>
    </row>
    <row r="17" spans="1:8" ht="15">
      <c r="A17" s="17" t="s">
        <v>221</v>
      </c>
      <c r="B17" s="15" t="s">
        <v>222</v>
      </c>
      <c r="C17" s="15"/>
      <c r="D17" s="102" t="s">
        <v>3318</v>
      </c>
    </row>
    <row r="18" spans="1:8">
      <c r="A18" s="13"/>
      <c r="D18" s="16"/>
      <c r="E18" s="16"/>
      <c r="F18" s="16"/>
      <c r="G18" s="16"/>
      <c r="H18" s="16"/>
    </row>
    <row r="19" spans="1:8">
      <c r="A19" s="13"/>
      <c r="B19" s="15" t="s">
        <v>223</v>
      </c>
      <c r="C19" s="15"/>
      <c r="D19" s="102" t="s">
        <v>3319</v>
      </c>
    </row>
    <row r="20" spans="1:8">
      <c r="A20" s="13"/>
      <c r="D20" s="16"/>
      <c r="E20" s="16"/>
      <c r="F20" s="16"/>
      <c r="G20" s="16"/>
      <c r="H20" s="16"/>
    </row>
    <row r="21" spans="1:8">
      <c r="A21" s="13"/>
      <c r="B21" s="15" t="s">
        <v>224</v>
      </c>
      <c r="C21" s="15"/>
      <c r="D21" s="103" t="s">
        <v>3317</v>
      </c>
    </row>
    <row r="22" spans="1:8">
      <c r="A22" s="13"/>
      <c r="B22" s="14"/>
      <c r="C22" s="14"/>
    </row>
    <row r="23" spans="1:8" ht="15">
      <c r="A23" s="17" t="s">
        <v>225</v>
      </c>
      <c r="D23" t="s">
        <v>226</v>
      </c>
    </row>
    <row r="25" spans="1:8">
      <c r="D25" s="1"/>
    </row>
    <row r="28" spans="1:8" ht="14.1" customHeight="1">
      <c r="A28" s="24"/>
      <c r="D28" s="25"/>
      <c r="E28" s="27"/>
      <c r="F28" s="27"/>
      <c r="G28" s="27"/>
      <c r="H28" s="27"/>
    </row>
    <row r="29" spans="1:8">
      <c r="D29" s="15"/>
      <c r="E29" s="15"/>
      <c r="F29" s="15"/>
      <c r="G29" s="15"/>
      <c r="H29" s="15"/>
    </row>
  </sheetData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5">
    <cfRule type="containsText" dxfId="6" priority="7" operator="containsText" text="Please fill in data">
      <formula>NOT(ISERROR(SEARCH("Please fill in data",D5)))</formula>
    </cfRule>
  </conditionalFormatting>
  <conditionalFormatting sqref="D7:D9">
    <cfRule type="containsText" dxfId="5" priority="5" operator="containsText" text="Please fill in data">
      <formula>NOT(ISERROR(SEARCH("Please fill in data",D7)))</formula>
    </cfRule>
  </conditionalFormatting>
  <conditionalFormatting sqref="D11">
    <cfRule type="containsText" dxfId="4" priority="4" operator="containsText" text="Please fill in data">
      <formula>NOT(ISERROR(SEARCH("Please fill in data",D11)))</formula>
    </cfRule>
  </conditionalFormatting>
  <conditionalFormatting sqref="D13">
    <cfRule type="containsText" dxfId="3" priority="3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20" operator="containsText" text="Please fill in data">
      <formula>NOT(ISERROR(SEARCH("Please fill in data",D19)))</formula>
    </cfRule>
  </conditionalFormatting>
  <conditionalFormatting sqref="D21">
    <cfRule type="containsText" dxfId="0" priority="19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E32"/>
  <sheetViews>
    <sheetView showGridLines="0" rightToLeft="1" tabSelected="1" workbookViewId="0">
      <selection activeCell="A20" sqref="A20"/>
    </sheetView>
  </sheetViews>
  <sheetFormatPr defaultColWidth="9" defaultRowHeight="12.75"/>
  <cols>
    <col min="1" max="1" width="42.75" style="9" customWidth="1"/>
    <col min="2" max="2" width="13" style="136" customWidth="1"/>
    <col min="3" max="3" width="13" style="10" customWidth="1"/>
    <col min="4" max="4" width="13" style="136" customWidth="1"/>
    <col min="5" max="5" width="13" style="141" customWidth="1"/>
    <col min="6" max="6" width="11.125" style="9" customWidth="1"/>
    <col min="7" max="8" width="8.625" style="9" customWidth="1"/>
    <col min="9" max="10" width="9" style="9" customWidth="1"/>
    <col min="11" max="12" width="8.625" style="9" customWidth="1"/>
    <col min="13" max="13" width="9" style="9" customWidth="1"/>
    <col min="14" max="16384" width="9" style="9"/>
  </cols>
  <sheetData>
    <row r="1" spans="1:5" ht="18.75" customHeight="1">
      <c r="A1" s="43"/>
      <c r="B1" s="133"/>
      <c r="C1" s="104" t="s">
        <v>1204</v>
      </c>
      <c r="D1" s="137"/>
      <c r="E1" s="138"/>
    </row>
    <row r="2" spans="1:5" ht="39.75" customHeight="1">
      <c r="A2" s="43"/>
      <c r="B2" s="133" t="s">
        <v>36</v>
      </c>
      <c r="C2" s="44" t="s">
        <v>931</v>
      </c>
      <c r="D2" s="133" t="s">
        <v>22</v>
      </c>
      <c r="E2" s="138" t="s">
        <v>1205</v>
      </c>
    </row>
    <row r="3" spans="1:5">
      <c r="A3" s="46" t="s">
        <v>984</v>
      </c>
      <c r="B3" s="134">
        <f>SUM('מזומנים ושווי מזומנים'!O:O)</f>
        <v>87477.56700000001</v>
      </c>
      <c r="C3" s="47"/>
      <c r="D3" s="134">
        <f>B3+C3</f>
        <v>87477.56700000001</v>
      </c>
      <c r="E3" s="139">
        <f>SUM('מזומנים ושווי מזומנים'!O:O)/B30</f>
        <v>2.7906730302217027E-2</v>
      </c>
    </row>
    <row r="4" spans="1:5">
      <c r="A4" s="46" t="s">
        <v>994</v>
      </c>
      <c r="B4" s="134">
        <f>SUM('איגרות חוב ממשלתיות'!U:U)</f>
        <v>370760.82900000014</v>
      </c>
      <c r="C4" s="47"/>
      <c r="D4" s="134">
        <f t="shared" ref="D4:D29" si="0">B4+C4</f>
        <v>370760.82900000014</v>
      </c>
      <c r="E4" s="139">
        <f>SUM('איגרות חוב ממשלתיות'!U:U)/B30</f>
        <v>0.11827858062775577</v>
      </c>
    </row>
    <row r="5" spans="1:5">
      <c r="A5" s="46" t="s">
        <v>998</v>
      </c>
      <c r="B5" s="134">
        <f>SUM('ניירות ערך מסחריים'!AD:AD)</f>
        <v>0</v>
      </c>
      <c r="C5" s="47"/>
      <c r="D5" s="134">
        <f t="shared" si="0"/>
        <v>0</v>
      </c>
      <c r="E5" s="139">
        <f>SUM('ניירות ערך מסחריים'!AD:AD)/B30</f>
        <v>0</v>
      </c>
    </row>
    <row r="6" spans="1:5">
      <c r="A6" s="46" t="s">
        <v>999</v>
      </c>
      <c r="B6" s="134">
        <f>SUM('איגרות חוב'!AD:AD)</f>
        <v>234855.20199999987</v>
      </c>
      <c r="C6" s="47"/>
      <c r="D6" s="134">
        <f t="shared" si="0"/>
        <v>234855.20199999987</v>
      </c>
      <c r="E6" s="139">
        <f>SUM('איגרות חוב'!AD:AD)/B30</f>
        <v>7.4922531650733912E-2</v>
      </c>
    </row>
    <row r="7" spans="1:5">
      <c r="A7" s="46" t="s">
        <v>1006</v>
      </c>
      <c r="B7" s="134">
        <f>SUM('מניות מבכ ויהש'!U:U)</f>
        <v>409812.75699999998</v>
      </c>
      <c r="C7" s="47"/>
      <c r="D7" s="134">
        <f t="shared" si="0"/>
        <v>409812.75699999998</v>
      </c>
      <c r="E7" s="139">
        <f>SUM('מניות מבכ ויהש'!U:U)/B30</f>
        <v>0.13073676459253836</v>
      </c>
    </row>
    <row r="8" spans="1:5">
      <c r="A8" s="46" t="s">
        <v>506</v>
      </c>
      <c r="B8" s="134">
        <f>SUM('קרנות סל'!T:T)</f>
        <v>606034.19800000032</v>
      </c>
      <c r="C8" s="47"/>
      <c r="D8" s="134">
        <f t="shared" si="0"/>
        <v>606034.19800000032</v>
      </c>
      <c r="E8" s="139">
        <f>SUM('קרנות סל'!T:T)/B30</f>
        <v>0.19333451417900546</v>
      </c>
    </row>
    <row r="9" spans="1:5">
      <c r="A9" s="46" t="s">
        <v>1019</v>
      </c>
      <c r="B9" s="134">
        <f>SUM('קרנות נאמנות'!T:T)</f>
        <v>156877.09199999998</v>
      </c>
      <c r="C9" s="47"/>
      <c r="D9" s="134">
        <f t="shared" si="0"/>
        <v>156877.09199999998</v>
      </c>
      <c r="E9" s="139">
        <f>SUM('קרנות נאמנות'!T:T)/B30</f>
        <v>5.0046278688113115E-2</v>
      </c>
    </row>
    <row r="10" spans="1:5">
      <c r="A10" s="46" t="s">
        <v>1149</v>
      </c>
      <c r="B10" s="134">
        <f>SUM('כתבי אופציה'!W:W)</f>
        <v>26.815000000000001</v>
      </c>
      <c r="C10" s="47"/>
      <c r="D10" s="134">
        <f t="shared" si="0"/>
        <v>26.815000000000001</v>
      </c>
      <c r="E10" s="139">
        <f>SUM('כתבי אופציה'!W:W)/B30</f>
        <v>8.5544099900943694E-6</v>
      </c>
    </row>
    <row r="11" spans="1:5">
      <c r="A11" s="46" t="s">
        <v>1022</v>
      </c>
      <c r="B11" s="134">
        <f>SUM(אופציות!V:V)</f>
        <v>0</v>
      </c>
      <c r="C11" s="47"/>
      <c r="D11" s="134">
        <f t="shared" si="0"/>
        <v>0</v>
      </c>
      <c r="E11" s="139">
        <f>SUM(אופציות!V:V)/B30</f>
        <v>0</v>
      </c>
    </row>
    <row r="12" spans="1:5">
      <c r="A12" s="46" t="s">
        <v>1154</v>
      </c>
      <c r="B12" s="134">
        <f>SUM('חוזים עתידיים'!R:R)</f>
        <v>6938.2290000000012</v>
      </c>
      <c r="C12" s="47"/>
      <c r="D12" s="134">
        <f t="shared" si="0"/>
        <v>6938.2290000000012</v>
      </c>
      <c r="E12" s="139">
        <f>SUM('חוזים עתידיים'!R:R)/B30</f>
        <v>2.2134050147739129E-3</v>
      </c>
    </row>
    <row r="13" spans="1:5">
      <c r="A13" s="46" t="s">
        <v>1027</v>
      </c>
      <c r="B13" s="134">
        <f>SUM('מוצרים מובנים'!Z:Z)</f>
        <v>6456.8710000000001</v>
      </c>
      <c r="C13" s="47"/>
      <c r="D13" s="134">
        <f t="shared" si="0"/>
        <v>6456.8710000000001</v>
      </c>
      <c r="E13" s="139">
        <f>SUM('מוצרים מובנים'!Z:Z)/B30</f>
        <v>2.0598441837460608E-3</v>
      </c>
    </row>
    <row r="14" spans="1:5">
      <c r="A14" s="46" t="s">
        <v>1034</v>
      </c>
      <c r="B14" s="134">
        <f>SUM('לא סחיר איגרות חוב ממשלתיות'!U:U)</f>
        <v>0</v>
      </c>
      <c r="C14" s="47"/>
      <c r="D14" s="134">
        <f t="shared" si="0"/>
        <v>0</v>
      </c>
      <c r="E14" s="139">
        <f>SUM('לא סחיר איגרות חוב ממשלתיות'!U:U)/B30</f>
        <v>0</v>
      </c>
    </row>
    <row r="15" spans="1:5">
      <c r="A15" s="46" t="s">
        <v>1035</v>
      </c>
      <c r="B15" s="134">
        <f>SUM('לא סחיר איגרות חוב מיועדות'!N:N)</f>
        <v>0</v>
      </c>
      <c r="C15" s="47"/>
      <c r="D15" s="134">
        <f t="shared" si="0"/>
        <v>0</v>
      </c>
      <c r="E15" s="139">
        <f>SUM('לא סחיר איגרות חוב מיועדות'!N:N)/B30</f>
        <v>0</v>
      </c>
    </row>
    <row r="16" spans="1:5">
      <c r="A16" s="46" t="s">
        <v>1041</v>
      </c>
      <c r="B16" s="134">
        <f>SUM('אפיק השקעה מובטח תשואה'!F:F)</f>
        <v>0</v>
      </c>
      <c r="C16" s="47"/>
      <c r="D16" s="134">
        <f t="shared" si="0"/>
        <v>0</v>
      </c>
      <c r="E16" s="139">
        <f>SUM('אפיק השקעה מובטח תשואה'!F:F)/B30</f>
        <v>0</v>
      </c>
    </row>
    <row r="17" spans="1:5">
      <c r="A17" s="46" t="s">
        <v>1045</v>
      </c>
      <c r="B17" s="134">
        <f>SUM('לא סחיר ניירות ערך מסחריים'!AI:AI)</f>
        <v>0</v>
      </c>
      <c r="C17" s="47"/>
      <c r="D17" s="134">
        <f t="shared" si="0"/>
        <v>0</v>
      </c>
      <c r="E17" s="139">
        <f>SUM('לא סחיר ניירות ערך מסחריים'!AI:AI)/B30</f>
        <v>0</v>
      </c>
    </row>
    <row r="18" spans="1:5">
      <c r="A18" s="46" t="s">
        <v>1047</v>
      </c>
      <c r="B18" s="134">
        <f>SUM('לא סחיר איגרות חוב'!AG:AG)</f>
        <v>8387.2999999999993</v>
      </c>
      <c r="C18" s="47"/>
      <c r="D18" s="134">
        <f t="shared" si="0"/>
        <v>8387.2999999999993</v>
      </c>
      <c r="E18" s="139">
        <f>SUM('לא סחיר איגרות חוב'!AG:AG)/B30</f>
        <v>2.6756816300547641E-3</v>
      </c>
    </row>
    <row r="19" spans="1:5">
      <c r="A19" s="46" t="s">
        <v>1050</v>
      </c>
      <c r="B19" s="134">
        <f>SUM('לא סחיר מניות מבכ ויהש'!X:X)</f>
        <v>83131.73000000001</v>
      </c>
      <c r="C19" s="47"/>
      <c r="D19" s="134">
        <f t="shared" si="0"/>
        <v>83131.73000000001</v>
      </c>
      <c r="E19" s="139">
        <f>SUM('לא סחיר מניות מבכ ויהש'!X:X)/B30</f>
        <v>2.6520339422182654E-2</v>
      </c>
    </row>
    <row r="20" spans="1:5">
      <c r="A20" s="46" t="s">
        <v>808</v>
      </c>
      <c r="B20" s="134">
        <f>SUM('קרנות השקעה'!W:W)</f>
        <v>562017.0290000001</v>
      </c>
      <c r="C20" s="47"/>
      <c r="D20" s="134">
        <f t="shared" si="0"/>
        <v>562017.0290000001</v>
      </c>
      <c r="E20" s="139">
        <f>SUM('קרנות השקעה'!W:W)/B30</f>
        <v>0.17929233964127381</v>
      </c>
    </row>
    <row r="21" spans="1:5">
      <c r="A21" s="46" t="s">
        <v>1165</v>
      </c>
      <c r="B21" s="134">
        <f>SUM('לא סחיר כתבי אופציה'!Z:Z)</f>
        <v>0</v>
      </c>
      <c r="C21" s="47"/>
      <c r="D21" s="134">
        <f t="shared" si="0"/>
        <v>0</v>
      </c>
      <c r="E21" s="139">
        <f>SUM('לא סחיר כתבי אופציה'!Z:Z)/B30</f>
        <v>0</v>
      </c>
    </row>
    <row r="22" spans="1:5">
      <c r="A22" s="46" t="s">
        <v>1065</v>
      </c>
      <c r="B22" s="134">
        <f>SUM('לא סחיר אופציות'!Z:Z)</f>
        <v>0</v>
      </c>
      <c r="C22" s="47"/>
      <c r="D22" s="134">
        <f t="shared" si="0"/>
        <v>0</v>
      </c>
      <c r="E22" s="139">
        <f>SUM('לא סחיר אופציות'!Z:Z)/B30</f>
        <v>0</v>
      </c>
    </row>
    <row r="23" spans="1:5">
      <c r="A23" s="46" t="s">
        <v>1074</v>
      </c>
      <c r="B23" s="134">
        <f>SUM('לא סחיר נגזרים אחרים'!R:R)</f>
        <v>-1847.5350000000005</v>
      </c>
      <c r="C23" s="47"/>
      <c r="D23" s="134">
        <f t="shared" si="0"/>
        <v>-1847.5350000000005</v>
      </c>
      <c r="E23" s="139">
        <f>SUM('לא סחיר נגזרים אחרים'!R:R)/B30</f>
        <v>-5.8939294652429622E-4</v>
      </c>
    </row>
    <row r="24" spans="1:5">
      <c r="A24" s="46" t="s">
        <v>1067</v>
      </c>
      <c r="B24" s="134">
        <f>SUM(הלוואות!AT:AT)</f>
        <v>61046.763999999996</v>
      </c>
      <c r="C24" s="47"/>
      <c r="D24" s="134">
        <f t="shared" si="0"/>
        <v>61046.763999999996</v>
      </c>
      <c r="E24" s="139">
        <f>SUM(הלוואות!AT:AT)/B30</f>
        <v>1.9474885244248862E-2</v>
      </c>
    </row>
    <row r="25" spans="1:5">
      <c r="A25" s="46" t="s">
        <v>1086</v>
      </c>
      <c r="B25" s="134">
        <f>SUM('לא סחיר מוצרים מובנים'!AB:AB)</f>
        <v>0</v>
      </c>
      <c r="C25" s="47"/>
      <c r="D25" s="134">
        <f t="shared" si="0"/>
        <v>0</v>
      </c>
      <c r="E25" s="139">
        <f>SUM('לא סחיר מוצרים מובנים'!AB:AB)/B30</f>
        <v>0</v>
      </c>
    </row>
    <row r="26" spans="1:5">
      <c r="A26" s="46" t="s">
        <v>1091</v>
      </c>
      <c r="B26" s="134">
        <f>SUM('פיקדונות מעל 3 חודשים'!T:T)</f>
        <v>102416.524</v>
      </c>
      <c r="C26" s="47"/>
      <c r="D26" s="134">
        <f t="shared" si="0"/>
        <v>102416.524</v>
      </c>
      <c r="E26" s="139">
        <f>SUM('פיקדונות מעל 3 חודשים'!T:T)/B30</f>
        <v>3.2672494352278189E-2</v>
      </c>
    </row>
    <row r="27" spans="1:5">
      <c r="A27" s="46" t="s">
        <v>1094</v>
      </c>
      <c r="B27" s="134">
        <f>SUM('זכויות מקרקעין'!S:S)</f>
        <v>438800.81299999985</v>
      </c>
      <c r="C27" s="47"/>
      <c r="D27" s="134">
        <f t="shared" si="0"/>
        <v>438800.81299999985</v>
      </c>
      <c r="E27" s="139">
        <f>SUM('זכויות מקרקעין'!S:S)/B30</f>
        <v>0.1399844138873291</v>
      </c>
    </row>
    <row r="28" spans="1:5">
      <c r="A28" s="46" t="s">
        <v>1127</v>
      </c>
      <c r="B28" s="134">
        <f>SUM('השקעה בחברות מוחזקות'!U:U)</f>
        <v>0</v>
      </c>
      <c r="C28" s="47"/>
      <c r="D28" s="134">
        <f t="shared" si="0"/>
        <v>0</v>
      </c>
      <c r="E28" s="139">
        <f>SUM('השקעה בחברות מוחזקות'!U:U)/B30</f>
        <v>0</v>
      </c>
    </row>
    <row r="29" spans="1:5">
      <c r="A29" s="46" t="s">
        <v>1096</v>
      </c>
      <c r="B29" s="134">
        <f>SUM('נכסים אחרים'!N:N)</f>
        <v>1448.3140000000003</v>
      </c>
      <c r="C29" s="47"/>
      <c r="D29" s="134">
        <f t="shared" si="0"/>
        <v>1448.3140000000003</v>
      </c>
      <c r="E29" s="139">
        <f>SUM('נכסים אחרים'!N:N)/B30</f>
        <v>4.6203512028318247E-4</v>
      </c>
    </row>
    <row r="30" spans="1:5">
      <c r="A30" s="45" t="s">
        <v>1206</v>
      </c>
      <c r="B30" s="135">
        <f>IF(SUM(B3:B29)=0,0.0001,SUM(B3:B29))</f>
        <v>3134640.4990000003</v>
      </c>
      <c r="C30" s="48">
        <f t="shared" ref="C30:E30" si="1">SUM(C3:C29)</f>
        <v>0</v>
      </c>
      <c r="D30" s="135">
        <f t="shared" si="1"/>
        <v>3134640.4990000003</v>
      </c>
      <c r="E30" s="140">
        <f t="shared" si="1"/>
        <v>1</v>
      </c>
    </row>
    <row r="31" spans="1:5">
      <c r="A31" s="46" t="s">
        <v>1203</v>
      </c>
      <c r="B31" s="134"/>
      <c r="C31" s="47"/>
      <c r="D31" s="134"/>
      <c r="E31" s="139"/>
    </row>
    <row r="32" spans="1:5">
      <c r="A32" s="46" t="s">
        <v>1207</v>
      </c>
      <c r="B32" s="134">
        <f>SUM('יתרות התחייבות להשקעה'!O:O)</f>
        <v>210226.27301696004</v>
      </c>
      <c r="C32" s="47"/>
      <c r="D32" s="134"/>
      <c r="E32" s="139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Q7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13" width="11.625" style="2" customWidth="1"/>
    <col min="14" max="14" width="11.625" style="144" customWidth="1"/>
    <col min="15" max="18" width="11.625" style="2" customWidth="1"/>
    <col min="19" max="19" width="9" style="2" customWidth="1"/>
    <col min="20" max="16384" width="9" style="2"/>
  </cols>
  <sheetData>
    <row r="1" spans="1:17" s="3" customFormat="1" ht="66.75" customHeight="1">
      <c r="A1" s="19" t="s">
        <v>0</v>
      </c>
      <c r="B1" s="19" t="s">
        <v>1</v>
      </c>
      <c r="C1" s="19" t="s">
        <v>195</v>
      </c>
      <c r="D1" s="19" t="s">
        <v>196</v>
      </c>
      <c r="E1" s="19" t="s">
        <v>197</v>
      </c>
      <c r="F1" s="19" t="s">
        <v>5</v>
      </c>
      <c r="G1" s="19" t="s">
        <v>6</v>
      </c>
      <c r="H1" s="19" t="s">
        <v>141</v>
      </c>
      <c r="I1" s="19" t="s">
        <v>199</v>
      </c>
      <c r="J1" s="19" t="s">
        <v>10</v>
      </c>
      <c r="K1" s="19" t="s">
        <v>11</v>
      </c>
      <c r="L1" s="19" t="s">
        <v>151</v>
      </c>
      <c r="M1" s="157" t="s">
        <v>18</v>
      </c>
      <c r="N1" s="159" t="s">
        <v>14</v>
      </c>
      <c r="O1" s="19" t="s">
        <v>20</v>
      </c>
      <c r="P1" s="163" t="s">
        <v>24</v>
      </c>
      <c r="Q1" s="163" t="s">
        <v>25</v>
      </c>
    </row>
    <row r="2" spans="1:17">
      <c r="A2" s="2">
        <v>1182</v>
      </c>
      <c r="B2" s="2">
        <v>1182</v>
      </c>
      <c r="C2" s="2" t="s">
        <v>201</v>
      </c>
      <c r="D2" s="2" t="s">
        <v>202</v>
      </c>
      <c r="E2" s="4" t="s">
        <v>203</v>
      </c>
      <c r="F2" s="2" t="s">
        <v>987</v>
      </c>
      <c r="G2" s="2" t="s">
        <v>30</v>
      </c>
      <c r="H2" s="2" t="s">
        <v>155</v>
      </c>
      <c r="I2" s="2" t="s">
        <v>100</v>
      </c>
      <c r="J2" s="2" t="s">
        <v>206</v>
      </c>
      <c r="K2" s="2" t="s">
        <v>102</v>
      </c>
      <c r="L2" s="150">
        <v>426.77300000000002</v>
      </c>
      <c r="M2" s="158">
        <v>3.71</v>
      </c>
      <c r="N2" s="160">
        <v>3.3300000000000003E-2</v>
      </c>
      <c r="O2" s="151">
        <v>1583.328</v>
      </c>
      <c r="P2" s="164">
        <v>5.2473525640866402E-2</v>
      </c>
      <c r="Q2" s="164">
        <v>3.8436662731462E-3</v>
      </c>
    </row>
    <row r="3" spans="1:17">
      <c r="A3" s="2">
        <v>1182</v>
      </c>
      <c r="B3" s="2">
        <v>1182</v>
      </c>
      <c r="C3" s="2" t="s">
        <v>201</v>
      </c>
      <c r="D3" s="2" t="s">
        <v>202</v>
      </c>
      <c r="E3" s="18" t="s">
        <v>203</v>
      </c>
      <c r="F3" s="2" t="s">
        <v>987</v>
      </c>
      <c r="G3" s="2" t="s">
        <v>30</v>
      </c>
      <c r="H3" s="2" t="s">
        <v>155</v>
      </c>
      <c r="I3" s="2" t="s">
        <v>100</v>
      </c>
      <c r="J3" s="2" t="s">
        <v>206</v>
      </c>
      <c r="K3" s="2" t="s">
        <v>1208</v>
      </c>
      <c r="L3" s="151">
        <v>0.47299999999999998</v>
      </c>
      <c r="M3" s="158">
        <v>2.7435</v>
      </c>
      <c r="N3" s="161">
        <v>0</v>
      </c>
      <c r="O3" s="151">
        <v>1.298</v>
      </c>
      <c r="P3" s="164">
        <v>4.3010276164378498E-5</v>
      </c>
      <c r="Q3" s="164">
        <v>3.1504867620897298E-6</v>
      </c>
    </row>
    <row r="4" spans="1:17">
      <c r="A4" s="2">
        <v>1182</v>
      </c>
      <c r="B4" s="2">
        <v>1182</v>
      </c>
      <c r="C4" s="2" t="s">
        <v>201</v>
      </c>
      <c r="D4" s="2" t="s">
        <v>202</v>
      </c>
      <c r="E4" s="18" t="s">
        <v>203</v>
      </c>
      <c r="F4" s="2" t="s">
        <v>987</v>
      </c>
      <c r="G4" s="2" t="s">
        <v>30</v>
      </c>
      <c r="H4" s="2" t="s">
        <v>155</v>
      </c>
      <c r="I4" s="2" t="s">
        <v>100</v>
      </c>
      <c r="J4" s="2" t="s">
        <v>206</v>
      </c>
      <c r="K4" s="2" t="s">
        <v>1209</v>
      </c>
      <c r="L4" s="151">
        <v>2.7349999999999999</v>
      </c>
      <c r="M4" s="158">
        <v>4.1524000000000001</v>
      </c>
      <c r="N4" s="161">
        <v>0</v>
      </c>
      <c r="O4" s="151">
        <v>11.356</v>
      </c>
      <c r="P4" s="164">
        <v>3.7633817420073E-4</v>
      </c>
      <c r="Q4" s="164">
        <v>2.7566631550029101E-5</v>
      </c>
    </row>
    <row r="5" spans="1:17">
      <c r="A5" s="2">
        <v>1182</v>
      </c>
      <c r="B5" s="2">
        <v>1182</v>
      </c>
      <c r="C5" s="2" t="s">
        <v>201</v>
      </c>
      <c r="D5" s="2" t="s">
        <v>202</v>
      </c>
      <c r="E5" s="18" t="s">
        <v>203</v>
      </c>
      <c r="F5" s="2" t="s">
        <v>987</v>
      </c>
      <c r="G5" s="2" t="s">
        <v>30</v>
      </c>
      <c r="H5" s="2" t="s">
        <v>155</v>
      </c>
      <c r="I5" s="2" t="s">
        <v>100</v>
      </c>
      <c r="J5" s="2" t="s">
        <v>206</v>
      </c>
      <c r="K5" s="2" t="s">
        <v>1210</v>
      </c>
      <c r="L5" s="151">
        <v>2544.1170000000002</v>
      </c>
      <c r="M5" s="158">
        <v>2.6029E-2</v>
      </c>
      <c r="N5" s="161">
        <v>0</v>
      </c>
      <c r="O5" s="151">
        <v>66.221000000000004</v>
      </c>
      <c r="P5" s="164">
        <v>2.19464375704092E-3</v>
      </c>
      <c r="Q5" s="164">
        <v>1.60756840473084E-4</v>
      </c>
    </row>
    <row r="6" spans="1:17">
      <c r="A6" s="2">
        <v>1182</v>
      </c>
      <c r="B6" s="2">
        <v>1182</v>
      </c>
      <c r="C6" s="2" t="s">
        <v>201</v>
      </c>
      <c r="D6" s="2" t="s">
        <v>202</v>
      </c>
      <c r="E6" s="18" t="s">
        <v>203</v>
      </c>
      <c r="F6" s="2" t="s">
        <v>987</v>
      </c>
      <c r="G6" s="2" t="s">
        <v>30</v>
      </c>
      <c r="H6" s="2" t="s">
        <v>155</v>
      </c>
      <c r="I6" s="2" t="s">
        <v>100</v>
      </c>
      <c r="J6" s="2" t="s">
        <v>206</v>
      </c>
      <c r="K6" s="2" t="s">
        <v>1211</v>
      </c>
      <c r="L6" s="151">
        <v>11.608000000000001</v>
      </c>
      <c r="M6" s="158">
        <v>4.9748000000000001</v>
      </c>
      <c r="N6" s="161">
        <v>0</v>
      </c>
      <c r="O6" s="151">
        <v>57.744999999999997</v>
      </c>
      <c r="P6" s="164">
        <v>1.9137533480276499E-3</v>
      </c>
      <c r="Q6" s="164">
        <v>1.4018172228941601E-4</v>
      </c>
    </row>
    <row r="7" spans="1:17">
      <c r="A7" s="2">
        <v>1182</v>
      </c>
      <c r="B7" s="2">
        <v>1182</v>
      </c>
      <c r="C7" s="2" t="s">
        <v>201</v>
      </c>
      <c r="D7" s="2" t="s">
        <v>202</v>
      </c>
      <c r="E7" s="18" t="s">
        <v>203</v>
      </c>
      <c r="F7" s="2" t="s">
        <v>985</v>
      </c>
      <c r="G7" s="2" t="s">
        <v>30</v>
      </c>
      <c r="H7" s="2" t="s">
        <v>155</v>
      </c>
      <c r="I7" s="2" t="s">
        <v>100</v>
      </c>
      <c r="J7" s="2" t="s">
        <v>206</v>
      </c>
      <c r="K7" s="2" t="s">
        <v>34</v>
      </c>
      <c r="L7" s="151">
        <v>26889.399000000001</v>
      </c>
      <c r="M7" s="158">
        <v>1</v>
      </c>
      <c r="N7" s="161">
        <v>4.0300000000000002E-2</v>
      </c>
      <c r="O7" s="151">
        <v>26889.399000000001</v>
      </c>
      <c r="P7" s="164">
        <v>0.89114934598270201</v>
      </c>
      <c r="Q7" s="164">
        <v>6.5276358766760606E-2</v>
      </c>
    </row>
    <row r="8" spans="1:17">
      <c r="A8" s="2">
        <v>1182</v>
      </c>
      <c r="B8" s="2">
        <v>1182</v>
      </c>
      <c r="C8" s="2" t="s">
        <v>1212</v>
      </c>
      <c r="D8" s="2" t="s">
        <v>1213</v>
      </c>
      <c r="E8" s="18" t="s">
        <v>203</v>
      </c>
      <c r="F8" s="2" t="s">
        <v>985</v>
      </c>
      <c r="G8" s="2" t="s">
        <v>30</v>
      </c>
      <c r="H8" s="2" t="s">
        <v>155</v>
      </c>
      <c r="I8" s="2" t="s">
        <v>100</v>
      </c>
      <c r="J8" s="2" t="s">
        <v>206</v>
      </c>
      <c r="K8" s="2" t="s">
        <v>34</v>
      </c>
      <c r="L8" s="151">
        <v>608.25900000000001</v>
      </c>
      <c r="M8" s="158">
        <v>1</v>
      </c>
      <c r="N8" s="161">
        <v>4.0300000000000002E-2</v>
      </c>
      <c r="O8" s="151">
        <v>608.25900000000001</v>
      </c>
      <c r="P8" s="164">
        <v>2.0158493820920002E-2</v>
      </c>
      <c r="Q8" s="164">
        <v>1.47660218882935E-3</v>
      </c>
    </row>
    <row r="9" spans="1:17">
      <c r="A9" s="2">
        <v>1182</v>
      </c>
      <c r="B9" s="2">
        <v>1182</v>
      </c>
      <c r="C9" s="2" t="s">
        <v>1212</v>
      </c>
      <c r="D9" s="2" t="s">
        <v>1213</v>
      </c>
      <c r="E9" s="18" t="s">
        <v>203</v>
      </c>
      <c r="F9" s="2" t="s">
        <v>985</v>
      </c>
      <c r="G9" s="2" t="s">
        <v>30</v>
      </c>
      <c r="H9" s="2" t="s">
        <v>155</v>
      </c>
      <c r="I9" s="2" t="s">
        <v>100</v>
      </c>
      <c r="J9" s="2" t="s">
        <v>206</v>
      </c>
      <c r="K9" s="2" t="s">
        <v>34</v>
      </c>
      <c r="L9" s="151">
        <v>956.226</v>
      </c>
      <c r="M9" s="158">
        <v>1</v>
      </c>
      <c r="N9" s="161">
        <v>4.0300000000000002E-2</v>
      </c>
      <c r="O9" s="151">
        <v>956.226</v>
      </c>
      <c r="P9" s="164">
        <v>3.1690557587184101E-2</v>
      </c>
      <c r="Q9" s="164">
        <v>2.3213215785941599E-3</v>
      </c>
    </row>
    <row r="10" spans="1:17">
      <c r="A10" s="2">
        <v>1182</v>
      </c>
      <c r="B10" s="2">
        <v>1182</v>
      </c>
      <c r="C10" s="2" t="s">
        <v>1212</v>
      </c>
      <c r="D10" s="2" t="s">
        <v>1213</v>
      </c>
      <c r="E10" s="18" t="s">
        <v>203</v>
      </c>
      <c r="F10" s="2" t="s">
        <v>985</v>
      </c>
      <c r="G10" s="2" t="s">
        <v>30</v>
      </c>
      <c r="H10" s="2" t="s">
        <v>155</v>
      </c>
      <c r="I10" s="2" t="s">
        <v>100</v>
      </c>
      <c r="J10" s="2" t="s">
        <v>206</v>
      </c>
      <c r="K10" s="2" t="s">
        <v>34</v>
      </c>
      <c r="L10" s="151">
        <v>0.01</v>
      </c>
      <c r="M10" s="158">
        <v>1</v>
      </c>
      <c r="N10" s="161">
        <v>4.0300000000000002E-2</v>
      </c>
      <c r="O10" s="151">
        <v>0.01</v>
      </c>
      <c r="P10" s="164">
        <v>3.3141289358768198E-7</v>
      </c>
      <c r="Q10" s="164">
        <v>2.4275871422992399E-8</v>
      </c>
    </row>
    <row r="11" spans="1:17">
      <c r="A11" s="2">
        <v>1182</v>
      </c>
      <c r="B11" s="2">
        <v>14769</v>
      </c>
      <c r="C11" s="2" t="s">
        <v>201</v>
      </c>
      <c r="D11" s="2" t="s">
        <v>202</v>
      </c>
      <c r="E11" s="18" t="s">
        <v>203</v>
      </c>
      <c r="F11" s="2" t="s">
        <v>987</v>
      </c>
      <c r="G11" s="2" t="s">
        <v>30</v>
      </c>
      <c r="H11" s="2" t="s">
        <v>155</v>
      </c>
      <c r="I11" s="2" t="s">
        <v>100</v>
      </c>
      <c r="J11" s="2" t="s">
        <v>206</v>
      </c>
      <c r="K11" s="2" t="s">
        <v>102</v>
      </c>
      <c r="L11" s="151">
        <v>1.429</v>
      </c>
      <c r="M11" s="158">
        <v>3.71</v>
      </c>
      <c r="N11" s="161">
        <v>3.3300000000000003E-2</v>
      </c>
      <c r="O11" s="151">
        <v>5.3019999999999996</v>
      </c>
      <c r="P11" s="164">
        <v>2.8597388537318501E-3</v>
      </c>
      <c r="Q11" s="164">
        <v>3.0890013579263199E-4</v>
      </c>
    </row>
    <row r="12" spans="1:17">
      <c r="A12" s="2">
        <v>1182</v>
      </c>
      <c r="B12" s="2">
        <v>14769</v>
      </c>
      <c r="C12" s="2" t="s">
        <v>201</v>
      </c>
      <c r="D12" s="2" t="s">
        <v>202</v>
      </c>
      <c r="E12" s="18" t="s">
        <v>203</v>
      </c>
      <c r="F12" s="2" t="s">
        <v>987</v>
      </c>
      <c r="G12" s="2" t="s">
        <v>30</v>
      </c>
      <c r="H12" s="2" t="s">
        <v>155</v>
      </c>
      <c r="I12" s="2" t="s">
        <v>100</v>
      </c>
      <c r="J12" s="2" t="s">
        <v>206</v>
      </c>
      <c r="K12" s="2" t="s">
        <v>1208</v>
      </c>
      <c r="L12" s="151">
        <v>0.08</v>
      </c>
      <c r="M12" s="158">
        <v>2.7435</v>
      </c>
      <c r="N12" s="161">
        <v>0</v>
      </c>
      <c r="O12" s="151">
        <v>0.221</v>
      </c>
      <c r="P12" s="164">
        <v>1.1901373316629601E-4</v>
      </c>
      <c r="Q12" s="164">
        <v>1.2855494930343701E-5</v>
      </c>
    </row>
    <row r="13" spans="1:17">
      <c r="A13" s="2">
        <v>1182</v>
      </c>
      <c r="B13" s="2">
        <v>14769</v>
      </c>
      <c r="C13" s="2" t="s">
        <v>201</v>
      </c>
      <c r="D13" s="2" t="s">
        <v>202</v>
      </c>
      <c r="E13" s="18" t="s">
        <v>203</v>
      </c>
      <c r="F13" s="2" t="s">
        <v>987</v>
      </c>
      <c r="G13" s="2" t="s">
        <v>30</v>
      </c>
      <c r="H13" s="2" t="s">
        <v>155</v>
      </c>
      <c r="I13" s="2" t="s">
        <v>100</v>
      </c>
      <c r="J13" s="2" t="s">
        <v>206</v>
      </c>
      <c r="K13" s="2" t="s">
        <v>1209</v>
      </c>
      <c r="L13" s="151">
        <v>31.218</v>
      </c>
      <c r="M13" s="158">
        <v>4.1524000000000001</v>
      </c>
      <c r="N13" s="161">
        <v>0</v>
      </c>
      <c r="O13" s="151">
        <v>129.63</v>
      </c>
      <c r="P13" s="164">
        <v>6.9916659222935995E-2</v>
      </c>
      <c r="Q13" s="164">
        <v>7.5521810321765902E-3</v>
      </c>
    </row>
    <row r="14" spans="1:17">
      <c r="A14" s="2">
        <v>1182</v>
      </c>
      <c r="B14" s="2">
        <v>14769</v>
      </c>
      <c r="C14" s="2" t="s">
        <v>201</v>
      </c>
      <c r="D14" s="2" t="s">
        <v>202</v>
      </c>
      <c r="E14" s="18" t="s">
        <v>203</v>
      </c>
      <c r="F14" s="2" t="s">
        <v>987</v>
      </c>
      <c r="G14" s="2" t="s">
        <v>30</v>
      </c>
      <c r="H14" s="2" t="s">
        <v>155</v>
      </c>
      <c r="I14" s="2" t="s">
        <v>100</v>
      </c>
      <c r="J14" s="2" t="s">
        <v>206</v>
      </c>
      <c r="K14" s="2" t="s">
        <v>1210</v>
      </c>
      <c r="L14" s="151">
        <v>72.320999999999998</v>
      </c>
      <c r="M14" s="158">
        <v>2.6029E-2</v>
      </c>
      <c r="N14" s="161">
        <v>0</v>
      </c>
      <c r="O14" s="151">
        <v>1.8819999999999999</v>
      </c>
      <c r="P14" s="164">
        <v>1.01530927362288E-3</v>
      </c>
      <c r="Q14" s="164">
        <v>1.0967056382940399E-4</v>
      </c>
    </row>
    <row r="15" spans="1:17">
      <c r="A15" s="2">
        <v>1182</v>
      </c>
      <c r="B15" s="2">
        <v>14769</v>
      </c>
      <c r="C15" s="2" t="s">
        <v>201</v>
      </c>
      <c r="D15" s="2" t="s">
        <v>202</v>
      </c>
      <c r="E15" s="18" t="s">
        <v>203</v>
      </c>
      <c r="F15" s="2" t="s">
        <v>987</v>
      </c>
      <c r="G15" s="2" t="s">
        <v>30</v>
      </c>
      <c r="H15" s="2" t="s">
        <v>155</v>
      </c>
      <c r="I15" s="2" t="s">
        <v>100</v>
      </c>
      <c r="J15" s="2" t="s">
        <v>206</v>
      </c>
      <c r="K15" s="2" t="s">
        <v>1211</v>
      </c>
      <c r="L15" s="151">
        <v>4.6500000000000004</v>
      </c>
      <c r="M15" s="158">
        <v>4.9748000000000001</v>
      </c>
      <c r="N15" s="161">
        <v>0</v>
      </c>
      <c r="O15" s="151">
        <v>23.135000000000002</v>
      </c>
      <c r="P15" s="164">
        <v>1.24778026567264E-2</v>
      </c>
      <c r="Q15" s="164">
        <v>1.34781360543694E-3</v>
      </c>
    </row>
    <row r="16" spans="1:17">
      <c r="A16" s="2">
        <v>1182</v>
      </c>
      <c r="B16" s="2">
        <v>14769</v>
      </c>
      <c r="C16" s="2" t="s">
        <v>201</v>
      </c>
      <c r="D16" s="2" t="s">
        <v>202</v>
      </c>
      <c r="E16" s="18" t="s">
        <v>203</v>
      </c>
      <c r="F16" s="2" t="s">
        <v>985</v>
      </c>
      <c r="G16" s="2" t="s">
        <v>30</v>
      </c>
      <c r="H16" s="2" t="s">
        <v>155</v>
      </c>
      <c r="I16" s="2" t="s">
        <v>100</v>
      </c>
      <c r="J16" s="2" t="s">
        <v>206</v>
      </c>
      <c r="K16" s="2" t="s">
        <v>34</v>
      </c>
      <c r="L16" s="151">
        <v>1555.7719999999999</v>
      </c>
      <c r="M16" s="158">
        <v>1</v>
      </c>
      <c r="N16" s="161">
        <v>4.0300000000000002E-2</v>
      </c>
      <c r="O16" s="151">
        <v>1555.7719999999999</v>
      </c>
      <c r="P16" s="164">
        <v>0.83911199424606397</v>
      </c>
      <c r="Q16" s="164">
        <v>9.0638279306373207E-2</v>
      </c>
    </row>
    <row r="17" spans="1:17">
      <c r="A17" s="2">
        <v>1182</v>
      </c>
      <c r="B17" s="2">
        <v>14769</v>
      </c>
      <c r="C17" s="2" t="s">
        <v>1212</v>
      </c>
      <c r="D17" s="2" t="s">
        <v>1213</v>
      </c>
      <c r="E17" s="18" t="s">
        <v>203</v>
      </c>
      <c r="F17" s="2" t="s">
        <v>985</v>
      </c>
      <c r="G17" s="2" t="s">
        <v>30</v>
      </c>
      <c r="H17" s="2" t="s">
        <v>155</v>
      </c>
      <c r="I17" s="2" t="s">
        <v>100</v>
      </c>
      <c r="J17" s="2" t="s">
        <v>206</v>
      </c>
      <c r="K17" s="2" t="s">
        <v>34</v>
      </c>
      <c r="L17" s="151">
        <v>138.12700000000001</v>
      </c>
      <c r="M17" s="158">
        <v>1</v>
      </c>
      <c r="N17" s="161">
        <v>4.0300000000000002E-2</v>
      </c>
      <c r="O17" s="151">
        <v>138.12700000000001</v>
      </c>
      <c r="P17" s="164">
        <v>7.4499482013753004E-2</v>
      </c>
      <c r="Q17" s="164">
        <v>8.0472033593200609E-3</v>
      </c>
    </row>
    <row r="18" spans="1:17">
      <c r="A18" s="2">
        <v>12904</v>
      </c>
      <c r="B18" s="2">
        <v>12905</v>
      </c>
      <c r="C18" s="2" t="s">
        <v>1212</v>
      </c>
      <c r="D18" s="2" t="s">
        <v>1213</v>
      </c>
      <c r="E18" s="18" t="s">
        <v>203</v>
      </c>
      <c r="F18" s="2" t="s">
        <v>985</v>
      </c>
      <c r="G18" s="2" t="s">
        <v>30</v>
      </c>
      <c r="H18" s="2" t="s">
        <v>155</v>
      </c>
      <c r="I18" s="2" t="s">
        <v>100</v>
      </c>
      <c r="J18" s="2" t="s">
        <v>206</v>
      </c>
      <c r="K18" s="2" t="s">
        <v>34</v>
      </c>
      <c r="L18" s="151">
        <v>270.23399999999998</v>
      </c>
      <c r="M18" s="158">
        <v>1</v>
      </c>
      <c r="N18" s="161">
        <v>4.0300000000000002E-2</v>
      </c>
      <c r="O18" s="151">
        <v>270.23399999999998</v>
      </c>
      <c r="P18" s="164">
        <v>0.1091718118363</v>
      </c>
      <c r="Q18" s="164">
        <v>7.98452907095888E-3</v>
      </c>
    </row>
    <row r="19" spans="1:17">
      <c r="A19" s="2">
        <v>12904</v>
      </c>
      <c r="B19" s="2">
        <v>12905</v>
      </c>
      <c r="C19" s="2" t="s">
        <v>1212</v>
      </c>
      <c r="D19" s="2" t="s">
        <v>1213</v>
      </c>
      <c r="E19" s="18" t="s">
        <v>203</v>
      </c>
      <c r="F19" s="2" t="s">
        <v>985</v>
      </c>
      <c r="G19" s="2" t="s">
        <v>30</v>
      </c>
      <c r="H19" s="2" t="s">
        <v>155</v>
      </c>
      <c r="I19" s="2" t="s">
        <v>100</v>
      </c>
      <c r="J19" s="2" t="s">
        <v>206</v>
      </c>
      <c r="K19" s="2" t="s">
        <v>34</v>
      </c>
      <c r="L19" s="151">
        <v>0</v>
      </c>
      <c r="M19" s="158">
        <v>1</v>
      </c>
      <c r="N19" s="161">
        <v>0</v>
      </c>
      <c r="O19" s="151">
        <v>0</v>
      </c>
      <c r="P19" s="164">
        <v>4.0398959034980906E-9</v>
      </c>
      <c r="Q19" s="164">
        <v>2.9546698678497798E-10</v>
      </c>
    </row>
    <row r="20" spans="1:17">
      <c r="A20" s="2">
        <v>12904</v>
      </c>
      <c r="B20" s="2">
        <v>12905</v>
      </c>
      <c r="C20" s="2" t="s">
        <v>201</v>
      </c>
      <c r="D20" s="2" t="s">
        <v>202</v>
      </c>
      <c r="E20" s="18" t="s">
        <v>203</v>
      </c>
      <c r="F20" s="2" t="s">
        <v>987</v>
      </c>
      <c r="G20" s="2" t="s">
        <v>30</v>
      </c>
      <c r="H20" s="2" t="s">
        <v>155</v>
      </c>
      <c r="I20" s="2" t="s">
        <v>100</v>
      </c>
      <c r="J20" s="2" t="s">
        <v>206</v>
      </c>
      <c r="K20" s="2" t="s">
        <v>102</v>
      </c>
      <c r="L20" s="151">
        <v>26.716000000000001</v>
      </c>
      <c r="M20" s="158">
        <v>3.71</v>
      </c>
      <c r="N20" s="161">
        <v>3.3300000000000003E-2</v>
      </c>
      <c r="O20" s="151">
        <v>99.116</v>
      </c>
      <c r="P20" s="164">
        <v>4.0041812805212303E-2</v>
      </c>
      <c r="Q20" s="164">
        <v>2.92854916502178E-3</v>
      </c>
    </row>
    <row r="21" spans="1:17">
      <c r="A21" s="2">
        <v>12904</v>
      </c>
      <c r="B21" s="2">
        <v>12905</v>
      </c>
      <c r="C21" s="2" t="s">
        <v>201</v>
      </c>
      <c r="D21" s="2" t="s">
        <v>202</v>
      </c>
      <c r="E21" s="4" t="s">
        <v>203</v>
      </c>
      <c r="F21" s="2" t="s">
        <v>987</v>
      </c>
      <c r="G21" s="2" t="s">
        <v>30</v>
      </c>
      <c r="H21" s="2" t="s">
        <v>155</v>
      </c>
      <c r="I21" s="2" t="s">
        <v>100</v>
      </c>
      <c r="J21" s="2" t="s">
        <v>206</v>
      </c>
      <c r="K21" s="2" t="s">
        <v>1208</v>
      </c>
      <c r="L21" s="151">
        <v>4.7E-2</v>
      </c>
      <c r="M21" s="158">
        <v>2.7435</v>
      </c>
      <c r="N21" s="162">
        <v>0</v>
      </c>
      <c r="O21" s="151">
        <v>0.128</v>
      </c>
      <c r="P21" s="164">
        <v>5.1715398282878502E-5</v>
      </c>
      <c r="Q21" s="164">
        <v>3.7823234226892398E-6</v>
      </c>
    </row>
    <row r="22" spans="1:17">
      <c r="A22" s="2">
        <v>12904</v>
      </c>
      <c r="B22" s="2">
        <v>12905</v>
      </c>
      <c r="C22" s="2" t="s">
        <v>201</v>
      </c>
      <c r="D22" s="2" t="s">
        <v>202</v>
      </c>
      <c r="E22" s="4" t="s">
        <v>203</v>
      </c>
      <c r="F22" s="2" t="s">
        <v>987</v>
      </c>
      <c r="G22" s="2" t="s">
        <v>30</v>
      </c>
      <c r="H22" s="2" t="s">
        <v>155</v>
      </c>
      <c r="I22" s="2" t="s">
        <v>100</v>
      </c>
      <c r="J22" s="2" t="s">
        <v>206</v>
      </c>
      <c r="K22" s="2" t="s">
        <v>1210</v>
      </c>
      <c r="L22" s="151">
        <v>251.41399999999999</v>
      </c>
      <c r="M22" s="158">
        <v>2.6029E-2</v>
      </c>
      <c r="N22" s="162">
        <v>0</v>
      </c>
      <c r="O22" s="151">
        <v>6.5439999999999996</v>
      </c>
      <c r="P22" s="164">
        <v>2.64373167841731E-3</v>
      </c>
      <c r="Q22" s="164">
        <v>1.9335533675844999E-4</v>
      </c>
    </row>
    <row r="23" spans="1:17">
      <c r="A23" s="2">
        <v>12904</v>
      </c>
      <c r="B23" s="2">
        <v>12905</v>
      </c>
      <c r="C23" s="2" t="s">
        <v>201</v>
      </c>
      <c r="D23" s="2" t="s">
        <v>202</v>
      </c>
      <c r="E23" s="4" t="s">
        <v>203</v>
      </c>
      <c r="F23" s="2" t="s">
        <v>987</v>
      </c>
      <c r="G23" s="2" t="s">
        <v>30</v>
      </c>
      <c r="H23" s="2" t="s">
        <v>155</v>
      </c>
      <c r="I23" s="2" t="s">
        <v>100</v>
      </c>
      <c r="J23" s="2" t="s">
        <v>206</v>
      </c>
      <c r="K23" s="2" t="s">
        <v>1211</v>
      </c>
      <c r="L23" s="151">
        <v>0.59799999999999998</v>
      </c>
      <c r="M23" s="158">
        <v>4.9748000000000001</v>
      </c>
      <c r="N23" s="162">
        <v>0</v>
      </c>
      <c r="O23" s="151">
        <v>2.9729999999999999</v>
      </c>
      <c r="P23" s="164">
        <v>1.20089632293058E-3</v>
      </c>
      <c r="Q23" s="164">
        <v>8.7830287327507603E-5</v>
      </c>
    </row>
    <row r="24" spans="1:17">
      <c r="A24" s="2">
        <v>12904</v>
      </c>
      <c r="B24" s="2">
        <v>12905</v>
      </c>
      <c r="C24" s="2" t="s">
        <v>201</v>
      </c>
      <c r="D24" s="2" t="s">
        <v>202</v>
      </c>
      <c r="E24" s="4" t="s">
        <v>203</v>
      </c>
      <c r="F24" s="2" t="s">
        <v>985</v>
      </c>
      <c r="G24" s="2" t="s">
        <v>30</v>
      </c>
      <c r="H24" s="2" t="s">
        <v>155</v>
      </c>
      <c r="I24" s="2" t="s">
        <v>100</v>
      </c>
      <c r="J24" s="2" t="s">
        <v>206</v>
      </c>
      <c r="K24" s="2" t="s">
        <v>34</v>
      </c>
      <c r="L24" s="151">
        <v>2096.3159999999998</v>
      </c>
      <c r="M24" s="158">
        <v>1</v>
      </c>
      <c r="N24" s="162">
        <v>4.0300000000000002E-2</v>
      </c>
      <c r="O24" s="151">
        <v>2096.3159999999998</v>
      </c>
      <c r="P24" s="164">
        <v>0.84689002791896095</v>
      </c>
      <c r="Q24" s="164">
        <v>6.19392307783952E-2</v>
      </c>
    </row>
    <row r="25" spans="1:17">
      <c r="A25" s="2">
        <v>12904</v>
      </c>
      <c r="B25" s="2">
        <v>13680</v>
      </c>
      <c r="C25" s="2" t="s">
        <v>1212</v>
      </c>
      <c r="D25" s="2" t="s">
        <v>1213</v>
      </c>
      <c r="E25" s="4" t="s">
        <v>203</v>
      </c>
      <c r="F25" s="2" t="s">
        <v>985</v>
      </c>
      <c r="G25" s="2" t="s">
        <v>30</v>
      </c>
      <c r="H25" s="2" t="s">
        <v>155</v>
      </c>
      <c r="I25" s="2" t="s">
        <v>100</v>
      </c>
      <c r="J25" s="2" t="s">
        <v>206</v>
      </c>
      <c r="K25" s="2" t="s">
        <v>34</v>
      </c>
      <c r="L25" s="151">
        <v>115.101</v>
      </c>
      <c r="M25" s="158">
        <v>1</v>
      </c>
      <c r="N25" s="162">
        <v>4.0300000000000002E-2</v>
      </c>
      <c r="O25" s="151">
        <v>115.101</v>
      </c>
      <c r="P25" s="164">
        <v>3.57485477082213E-2</v>
      </c>
      <c r="Q25" s="164">
        <v>3.1379255883739999E-3</v>
      </c>
    </row>
    <row r="26" spans="1:17">
      <c r="A26" s="2">
        <v>12904</v>
      </c>
      <c r="B26" s="2">
        <v>13680</v>
      </c>
      <c r="C26" s="2" t="s">
        <v>1212</v>
      </c>
      <c r="D26" s="2" t="s">
        <v>1213</v>
      </c>
      <c r="E26" s="4" t="s">
        <v>203</v>
      </c>
      <c r="F26" s="2" t="s">
        <v>985</v>
      </c>
      <c r="G26" s="2" t="s">
        <v>30</v>
      </c>
      <c r="H26" s="2" t="s">
        <v>155</v>
      </c>
      <c r="I26" s="2" t="s">
        <v>100</v>
      </c>
      <c r="J26" s="2" t="s">
        <v>206</v>
      </c>
      <c r="K26" s="2" t="s">
        <v>34</v>
      </c>
      <c r="L26" s="151">
        <v>0</v>
      </c>
      <c r="M26" s="158">
        <v>1</v>
      </c>
      <c r="N26" s="162">
        <v>0</v>
      </c>
      <c r="O26" s="151">
        <v>0</v>
      </c>
      <c r="P26" s="164">
        <v>3.1058443251287604E-9</v>
      </c>
      <c r="Q26" s="164">
        <v>2.7262389680480301E-10</v>
      </c>
    </row>
    <row r="27" spans="1:17">
      <c r="A27" s="2">
        <v>12904</v>
      </c>
      <c r="B27" s="2">
        <v>13680</v>
      </c>
      <c r="C27" s="2" t="s">
        <v>201</v>
      </c>
      <c r="D27" s="2" t="s">
        <v>202</v>
      </c>
      <c r="E27" s="4" t="s">
        <v>203</v>
      </c>
      <c r="F27" s="2" t="s">
        <v>987</v>
      </c>
      <c r="G27" s="2" t="s">
        <v>30</v>
      </c>
      <c r="H27" s="2" t="s">
        <v>155</v>
      </c>
      <c r="I27" s="2" t="s">
        <v>100</v>
      </c>
      <c r="J27" s="2" t="s">
        <v>206</v>
      </c>
      <c r="K27" s="2" t="s">
        <v>102</v>
      </c>
      <c r="L27" s="151">
        <v>4.1369999999999996</v>
      </c>
      <c r="M27" s="158">
        <v>3.71</v>
      </c>
      <c r="N27" s="162">
        <v>3.3300000000000003E-2</v>
      </c>
      <c r="O27" s="151">
        <v>15.349</v>
      </c>
      <c r="P27" s="164">
        <v>4.7670616297795596E-3</v>
      </c>
      <c r="Q27" s="164">
        <v>4.1844174458592002E-4</v>
      </c>
    </row>
    <row r="28" spans="1:17">
      <c r="A28" s="2">
        <v>12904</v>
      </c>
      <c r="B28" s="2">
        <v>13680</v>
      </c>
      <c r="C28" s="2" t="s">
        <v>201</v>
      </c>
      <c r="D28" s="2" t="s">
        <v>202</v>
      </c>
      <c r="E28" s="4" t="s">
        <v>203</v>
      </c>
      <c r="F28" s="2" t="s">
        <v>987</v>
      </c>
      <c r="G28" s="2" t="s">
        <v>30</v>
      </c>
      <c r="H28" s="2" t="s">
        <v>155</v>
      </c>
      <c r="I28" s="2" t="s">
        <v>100</v>
      </c>
      <c r="J28" s="2" t="s">
        <v>206</v>
      </c>
      <c r="K28" s="2" t="s">
        <v>1208</v>
      </c>
      <c r="L28" s="151">
        <v>8.0000000000000002E-3</v>
      </c>
      <c r="M28" s="158">
        <v>2.7435</v>
      </c>
      <c r="N28" s="162">
        <v>0</v>
      </c>
      <c r="O28" s="151">
        <v>2.1999999999999999E-2</v>
      </c>
      <c r="P28" s="164">
        <v>6.9104368477584997E-6</v>
      </c>
      <c r="Q28" s="164">
        <v>6.06582308976906E-7</v>
      </c>
    </row>
    <row r="29" spans="1:17">
      <c r="A29" s="2">
        <v>12904</v>
      </c>
      <c r="B29" s="2">
        <v>13680</v>
      </c>
      <c r="C29" s="2" t="s">
        <v>201</v>
      </c>
      <c r="D29" s="2" t="s">
        <v>202</v>
      </c>
      <c r="E29" s="4" t="s">
        <v>203</v>
      </c>
      <c r="F29" s="2" t="s">
        <v>987</v>
      </c>
      <c r="G29" s="2" t="s">
        <v>30</v>
      </c>
      <c r="H29" s="2" t="s">
        <v>155</v>
      </c>
      <c r="I29" s="2" t="s">
        <v>100</v>
      </c>
      <c r="J29" s="2" t="s">
        <v>206</v>
      </c>
      <c r="K29" s="2" t="s">
        <v>1209</v>
      </c>
      <c r="L29" s="151">
        <v>216.84200000000001</v>
      </c>
      <c r="M29" s="158">
        <v>4.1524000000000001</v>
      </c>
      <c r="N29" s="162">
        <v>0</v>
      </c>
      <c r="O29" s="151">
        <v>900.41499999999996</v>
      </c>
      <c r="P29" s="164">
        <v>0.27965480798261599</v>
      </c>
      <c r="Q29" s="164">
        <v>2.4547458124533999E-2</v>
      </c>
    </row>
    <row r="30" spans="1:17">
      <c r="A30" s="2">
        <v>12904</v>
      </c>
      <c r="B30" s="2">
        <v>13680</v>
      </c>
      <c r="C30" s="2" t="s">
        <v>201</v>
      </c>
      <c r="D30" s="2" t="s">
        <v>202</v>
      </c>
      <c r="E30" s="4" t="s">
        <v>203</v>
      </c>
      <c r="F30" s="2" t="s">
        <v>987</v>
      </c>
      <c r="G30" s="2" t="s">
        <v>30</v>
      </c>
      <c r="H30" s="2" t="s">
        <v>155</v>
      </c>
      <c r="I30" s="2" t="s">
        <v>100</v>
      </c>
      <c r="J30" s="2" t="s">
        <v>206</v>
      </c>
      <c r="K30" s="2" t="s">
        <v>1210</v>
      </c>
      <c r="L30" s="151">
        <v>730.35299999999995</v>
      </c>
      <c r="M30" s="158">
        <v>2.6029E-2</v>
      </c>
      <c r="N30" s="162">
        <v>0</v>
      </c>
      <c r="O30" s="151">
        <v>19.010000000000002</v>
      </c>
      <c r="P30" s="164">
        <v>5.9043235076397197E-3</v>
      </c>
      <c r="Q30" s="164">
        <v>5.1826798581806302E-4</v>
      </c>
    </row>
    <row r="31" spans="1:17">
      <c r="A31" s="2">
        <v>12904</v>
      </c>
      <c r="B31" s="2">
        <v>13680</v>
      </c>
      <c r="C31" s="2" t="s">
        <v>201</v>
      </c>
      <c r="D31" s="2" t="s">
        <v>202</v>
      </c>
      <c r="E31" s="4" t="s">
        <v>203</v>
      </c>
      <c r="F31" s="2" t="s">
        <v>987</v>
      </c>
      <c r="G31" s="2" t="s">
        <v>30</v>
      </c>
      <c r="H31" s="2" t="s">
        <v>155</v>
      </c>
      <c r="I31" s="2" t="s">
        <v>100</v>
      </c>
      <c r="J31" s="2" t="s">
        <v>206</v>
      </c>
      <c r="K31" s="2" t="s">
        <v>1211</v>
      </c>
      <c r="L31" s="151">
        <v>1.165</v>
      </c>
      <c r="M31" s="158">
        <v>4.9748000000000001</v>
      </c>
      <c r="N31" s="162">
        <v>0</v>
      </c>
      <c r="O31" s="151">
        <v>5.7939999999999996</v>
      </c>
      <c r="P31" s="164">
        <v>1.7994026924895001E-3</v>
      </c>
      <c r="Q31" s="164">
        <v>1.5794744442872399E-4</v>
      </c>
    </row>
    <row r="32" spans="1:17">
      <c r="A32" s="2">
        <v>12904</v>
      </c>
      <c r="B32" s="2">
        <v>13680</v>
      </c>
      <c r="C32" s="2" t="s">
        <v>201</v>
      </c>
      <c r="D32" s="2" t="s">
        <v>202</v>
      </c>
      <c r="E32" s="4" t="s">
        <v>203</v>
      </c>
      <c r="F32" s="2" t="s">
        <v>985</v>
      </c>
      <c r="G32" s="2" t="s">
        <v>30</v>
      </c>
      <c r="H32" s="2" t="s">
        <v>155</v>
      </c>
      <c r="I32" s="2" t="s">
        <v>100</v>
      </c>
      <c r="J32" s="2" t="s">
        <v>206</v>
      </c>
      <c r="K32" s="2" t="s">
        <v>34</v>
      </c>
      <c r="L32" s="151">
        <v>2164.0459999999998</v>
      </c>
      <c r="M32" s="158">
        <v>1</v>
      </c>
      <c r="N32" s="162">
        <v>4.0300000000000002E-2</v>
      </c>
      <c r="O32" s="151">
        <v>2164.0459999999998</v>
      </c>
      <c r="P32" s="164">
        <v>0.67211894293656205</v>
      </c>
      <c r="Q32" s="164">
        <v>5.8997060431254598E-2</v>
      </c>
    </row>
    <row r="33" spans="1:17">
      <c r="A33" s="2">
        <v>424</v>
      </c>
      <c r="B33" s="2">
        <v>7228</v>
      </c>
      <c r="C33" s="2" t="s">
        <v>201</v>
      </c>
      <c r="D33" s="2" t="s">
        <v>202</v>
      </c>
      <c r="E33" s="4" t="s">
        <v>203</v>
      </c>
      <c r="F33" s="2" t="s">
        <v>987</v>
      </c>
      <c r="G33" s="2" t="s">
        <v>30</v>
      </c>
      <c r="H33" s="2" t="s">
        <v>155</v>
      </c>
      <c r="I33" s="2" t="s">
        <v>100</v>
      </c>
      <c r="J33" s="2" t="s">
        <v>206</v>
      </c>
      <c r="K33" s="2" t="s">
        <v>1214</v>
      </c>
      <c r="L33" s="151">
        <v>0.61199999999999999</v>
      </c>
      <c r="M33" s="158">
        <v>2.5661</v>
      </c>
      <c r="N33" s="162">
        <v>0</v>
      </c>
      <c r="O33" s="151">
        <v>1.57</v>
      </c>
      <c r="P33" s="164">
        <v>3.84715788331886E-5</v>
      </c>
      <c r="Q33" s="164">
        <v>6.5055871905404804E-7</v>
      </c>
    </row>
    <row r="34" spans="1:17">
      <c r="A34" s="2">
        <v>424</v>
      </c>
      <c r="B34" s="2">
        <v>7228</v>
      </c>
      <c r="C34" s="2" t="s">
        <v>201</v>
      </c>
      <c r="D34" s="2" t="s">
        <v>202</v>
      </c>
      <c r="E34" s="4" t="s">
        <v>203</v>
      </c>
      <c r="F34" s="2" t="s">
        <v>987</v>
      </c>
      <c r="G34" s="2" t="s">
        <v>30</v>
      </c>
      <c r="H34" s="2" t="s">
        <v>155</v>
      </c>
      <c r="I34" s="2" t="s">
        <v>100</v>
      </c>
      <c r="J34" s="2" t="s">
        <v>206</v>
      </c>
      <c r="K34" s="2" t="s">
        <v>102</v>
      </c>
      <c r="L34" s="151">
        <v>1888.383</v>
      </c>
      <c r="M34" s="158">
        <v>3.71</v>
      </c>
      <c r="N34" s="162">
        <v>3.3300000000000003E-2</v>
      </c>
      <c r="O34" s="151">
        <v>7005.9009999999998</v>
      </c>
      <c r="P34" s="164">
        <v>0.17162439019551501</v>
      </c>
      <c r="Q34" s="164">
        <v>2.9021877144201499E-3</v>
      </c>
    </row>
    <row r="35" spans="1:17">
      <c r="A35" s="2">
        <v>424</v>
      </c>
      <c r="B35" s="2">
        <v>7228</v>
      </c>
      <c r="C35" s="2" t="s">
        <v>201</v>
      </c>
      <c r="D35" s="2" t="s">
        <v>202</v>
      </c>
      <c r="E35" s="4" t="s">
        <v>203</v>
      </c>
      <c r="F35" s="2" t="s">
        <v>987</v>
      </c>
      <c r="G35" s="2" t="s">
        <v>30</v>
      </c>
      <c r="H35" s="2" t="s">
        <v>155</v>
      </c>
      <c r="I35" s="2" t="s">
        <v>100</v>
      </c>
      <c r="J35" s="2" t="s">
        <v>206</v>
      </c>
      <c r="K35" s="2" t="s">
        <v>1208</v>
      </c>
      <c r="L35" s="151">
        <v>1E-3</v>
      </c>
      <c r="M35" s="158">
        <v>2.7435</v>
      </c>
      <c r="N35" s="162">
        <v>0</v>
      </c>
      <c r="O35" s="151">
        <v>2E-3</v>
      </c>
      <c r="P35" s="164">
        <v>4.7717570530268399E-8</v>
      </c>
      <c r="Q35" s="164">
        <v>8.0690947712710797E-10</v>
      </c>
    </row>
    <row r="36" spans="1:17">
      <c r="A36" s="2">
        <v>424</v>
      </c>
      <c r="B36" s="2">
        <v>7228</v>
      </c>
      <c r="C36" s="2" t="s">
        <v>201</v>
      </c>
      <c r="D36" s="2" t="s">
        <v>202</v>
      </c>
      <c r="E36" s="4" t="s">
        <v>203</v>
      </c>
      <c r="F36" s="2" t="s">
        <v>987</v>
      </c>
      <c r="G36" s="2" t="s">
        <v>30</v>
      </c>
      <c r="H36" s="2" t="s">
        <v>155</v>
      </c>
      <c r="I36" s="2" t="s">
        <v>100</v>
      </c>
      <c r="J36" s="2" t="s">
        <v>206</v>
      </c>
      <c r="K36" s="2" t="s">
        <v>1209</v>
      </c>
      <c r="L36" s="151">
        <v>531.53200000000004</v>
      </c>
      <c r="M36" s="158">
        <v>4.1524000000000001</v>
      </c>
      <c r="N36" s="162">
        <v>0</v>
      </c>
      <c r="O36" s="151">
        <v>2207.1329999999998</v>
      </c>
      <c r="P36" s="164">
        <v>5.4068406215869197E-2</v>
      </c>
      <c r="Q36" s="164">
        <v>9.1430282187289198E-4</v>
      </c>
    </row>
    <row r="37" spans="1:17">
      <c r="A37" s="2">
        <v>424</v>
      </c>
      <c r="B37" s="2">
        <v>7228</v>
      </c>
      <c r="C37" s="2" t="s">
        <v>201</v>
      </c>
      <c r="D37" s="2" t="s">
        <v>202</v>
      </c>
      <c r="E37" s="4" t="s">
        <v>203</v>
      </c>
      <c r="F37" s="2" t="s">
        <v>987</v>
      </c>
      <c r="G37" s="2" t="s">
        <v>30</v>
      </c>
      <c r="H37" s="2" t="s">
        <v>155</v>
      </c>
      <c r="I37" s="2" t="s">
        <v>100</v>
      </c>
      <c r="J37" s="2" t="s">
        <v>206</v>
      </c>
      <c r="K37" s="2" t="s">
        <v>1210</v>
      </c>
      <c r="L37" s="151">
        <v>8117.7979999999998</v>
      </c>
      <c r="M37" s="158">
        <v>2.6029E-2</v>
      </c>
      <c r="N37" s="162">
        <v>0</v>
      </c>
      <c r="O37" s="151">
        <v>211.298</v>
      </c>
      <c r="P37" s="164">
        <v>5.1761963293451996E-3</v>
      </c>
      <c r="Q37" s="164">
        <v>8.7530061300371501E-5</v>
      </c>
    </row>
    <row r="38" spans="1:17">
      <c r="A38" s="2">
        <v>424</v>
      </c>
      <c r="B38" s="2">
        <v>7228</v>
      </c>
      <c r="C38" s="2" t="s">
        <v>201</v>
      </c>
      <c r="D38" s="2" t="s">
        <v>202</v>
      </c>
      <c r="E38" s="4" t="s">
        <v>203</v>
      </c>
      <c r="F38" s="2" t="s">
        <v>987</v>
      </c>
      <c r="G38" s="2" t="s">
        <v>97</v>
      </c>
      <c r="H38" s="2" t="s">
        <v>155</v>
      </c>
      <c r="I38" s="2" t="s">
        <v>100</v>
      </c>
      <c r="J38" s="2" t="s">
        <v>206</v>
      </c>
      <c r="K38" s="2" t="s">
        <v>1215</v>
      </c>
      <c r="L38" s="151">
        <v>0</v>
      </c>
      <c r="M38" s="158">
        <v>0.35239999999999999</v>
      </c>
      <c r="N38" s="162">
        <v>0</v>
      </c>
      <c r="O38" s="151">
        <v>0</v>
      </c>
      <c r="P38" s="164">
        <v>9.496063186663081E-10</v>
      </c>
      <c r="Q38" s="164">
        <v>1.6057949504901597E-11</v>
      </c>
    </row>
    <row r="39" spans="1:17">
      <c r="A39" s="2">
        <v>424</v>
      </c>
      <c r="B39" s="2">
        <v>7228</v>
      </c>
      <c r="C39" s="2" t="s">
        <v>201</v>
      </c>
      <c r="D39" s="2" t="s">
        <v>202</v>
      </c>
      <c r="E39" s="4" t="s">
        <v>203</v>
      </c>
      <c r="F39" s="2" t="s">
        <v>987</v>
      </c>
      <c r="G39" s="2" t="s">
        <v>30</v>
      </c>
      <c r="H39" s="2" t="s">
        <v>155</v>
      </c>
      <c r="I39" s="2" t="s">
        <v>100</v>
      </c>
      <c r="J39" s="2" t="s">
        <v>206</v>
      </c>
      <c r="K39" s="2" t="s">
        <v>1211</v>
      </c>
      <c r="L39" s="151">
        <v>77.995999999999995</v>
      </c>
      <c r="M39" s="158">
        <v>4.9748000000000001</v>
      </c>
      <c r="N39" s="162">
        <v>0</v>
      </c>
      <c r="O39" s="151">
        <v>388.01299999999998</v>
      </c>
      <c r="P39" s="164">
        <v>9.5052008168243496E-3</v>
      </c>
      <c r="Q39" s="164">
        <v>1.60734013401347E-4</v>
      </c>
    </row>
    <row r="40" spans="1:17">
      <c r="A40" s="2">
        <v>424</v>
      </c>
      <c r="B40" s="2">
        <v>7228</v>
      </c>
      <c r="C40" s="2" t="s">
        <v>201</v>
      </c>
      <c r="D40" s="2" t="s">
        <v>202</v>
      </c>
      <c r="E40" s="4" t="s">
        <v>203</v>
      </c>
      <c r="F40" s="2" t="s">
        <v>985</v>
      </c>
      <c r="G40" s="2" t="s">
        <v>30</v>
      </c>
      <c r="H40" s="2" t="s">
        <v>155</v>
      </c>
      <c r="I40" s="2" t="s">
        <v>100</v>
      </c>
      <c r="J40" s="2" t="s">
        <v>206</v>
      </c>
      <c r="K40" s="2" t="s">
        <v>34</v>
      </c>
      <c r="L40" s="151">
        <v>27363.564999999999</v>
      </c>
      <c r="M40" s="158">
        <v>1</v>
      </c>
      <c r="N40" s="162">
        <v>4.0300000000000002E-2</v>
      </c>
      <c r="O40" s="151">
        <v>27363.564999999999</v>
      </c>
      <c r="P40" s="164">
        <v>0.67032850035689495</v>
      </c>
      <c r="Q40" s="164">
        <v>1.13353302298422E-2</v>
      </c>
    </row>
    <row r="41" spans="1:17">
      <c r="A41" s="2">
        <v>424</v>
      </c>
      <c r="B41" s="2">
        <v>7228</v>
      </c>
      <c r="C41" s="2" t="s">
        <v>1212</v>
      </c>
      <c r="D41" s="2" t="s">
        <v>1213</v>
      </c>
      <c r="E41" s="4" t="s">
        <v>203</v>
      </c>
      <c r="F41" s="2" t="s">
        <v>985</v>
      </c>
      <c r="G41" s="2" t="s">
        <v>30</v>
      </c>
      <c r="H41" s="2" t="s">
        <v>155</v>
      </c>
      <c r="I41" s="2" t="s">
        <v>100</v>
      </c>
      <c r="J41" s="2" t="s">
        <v>206</v>
      </c>
      <c r="K41" s="2" t="s">
        <v>34</v>
      </c>
      <c r="L41" s="151">
        <v>1.2999999999999999E-2</v>
      </c>
      <c r="M41" s="158">
        <v>1</v>
      </c>
      <c r="N41" s="162">
        <v>4.0300000000000002E-2</v>
      </c>
      <c r="O41" s="151">
        <v>1.2999999999999999E-2</v>
      </c>
      <c r="P41" s="164">
        <v>3.1772763267727798E-7</v>
      </c>
      <c r="Q41" s="164">
        <v>5.3728099545602502E-9</v>
      </c>
    </row>
    <row r="42" spans="1:17">
      <c r="A42" s="2">
        <v>424</v>
      </c>
      <c r="B42" s="2">
        <v>7228</v>
      </c>
      <c r="C42" s="2" t="s">
        <v>1212</v>
      </c>
      <c r="D42" s="2" t="s">
        <v>1213</v>
      </c>
      <c r="E42" s="4" t="s">
        <v>203</v>
      </c>
      <c r="F42" s="2" t="s">
        <v>985</v>
      </c>
      <c r="G42" s="2" t="s">
        <v>30</v>
      </c>
      <c r="H42" s="2" t="s">
        <v>155</v>
      </c>
      <c r="I42" s="2" t="s">
        <v>100</v>
      </c>
      <c r="J42" s="2" t="s">
        <v>206</v>
      </c>
      <c r="K42" s="2" t="s">
        <v>34</v>
      </c>
      <c r="L42" s="151">
        <v>1396.713</v>
      </c>
      <c r="M42" s="158">
        <v>1</v>
      </c>
      <c r="N42" s="162">
        <v>4.0300000000000002E-2</v>
      </c>
      <c r="O42" s="151">
        <v>1396.713</v>
      </c>
      <c r="P42" s="164">
        <v>3.4215432730170803E-2</v>
      </c>
      <c r="Q42" s="164">
        <v>5.7858681041749599E-4</v>
      </c>
    </row>
    <row r="43" spans="1:17">
      <c r="A43" s="2">
        <v>424</v>
      </c>
      <c r="B43" s="2">
        <v>7228</v>
      </c>
      <c r="C43" s="2" t="s">
        <v>1212</v>
      </c>
      <c r="D43" s="2" t="s">
        <v>1213</v>
      </c>
      <c r="E43" s="4" t="s">
        <v>203</v>
      </c>
      <c r="F43" s="2" t="s">
        <v>985</v>
      </c>
      <c r="G43" s="2" t="s">
        <v>30</v>
      </c>
      <c r="H43" s="2" t="s">
        <v>155</v>
      </c>
      <c r="I43" s="2" t="s">
        <v>100</v>
      </c>
      <c r="J43" s="2" t="s">
        <v>206</v>
      </c>
      <c r="K43" s="2" t="s">
        <v>34</v>
      </c>
      <c r="L43" s="151">
        <v>2234.1080000000002</v>
      </c>
      <c r="M43" s="158">
        <v>1</v>
      </c>
      <c r="N43" s="162">
        <v>4.0300000000000002E-2</v>
      </c>
      <c r="O43" s="151">
        <v>2234.1080000000002</v>
      </c>
      <c r="P43" s="164">
        <v>5.47292106300502E-2</v>
      </c>
      <c r="Q43" s="164">
        <v>9.2547709873578904E-4</v>
      </c>
    </row>
    <row r="44" spans="1:17">
      <c r="A44" s="2">
        <v>424</v>
      </c>
      <c r="B44" s="2">
        <v>7228</v>
      </c>
      <c r="C44" s="2" t="s">
        <v>1212</v>
      </c>
      <c r="D44" s="2" t="s">
        <v>1213</v>
      </c>
      <c r="E44" s="4" t="s">
        <v>203</v>
      </c>
      <c r="F44" s="2" t="s">
        <v>985</v>
      </c>
      <c r="G44" s="2" t="s">
        <v>30</v>
      </c>
      <c r="H44" s="2" t="s">
        <v>155</v>
      </c>
      <c r="I44" s="2" t="s">
        <v>100</v>
      </c>
      <c r="J44" s="2" t="s">
        <v>206</v>
      </c>
      <c r="K44" s="2" t="s">
        <v>34</v>
      </c>
      <c r="L44" s="151">
        <v>12.811</v>
      </c>
      <c r="M44" s="158">
        <v>1</v>
      </c>
      <c r="N44" s="162">
        <v>4.0300000000000002E-2</v>
      </c>
      <c r="O44" s="151">
        <v>12.811</v>
      </c>
      <c r="P44" s="164">
        <v>3.1382450671625498E-4</v>
      </c>
      <c r="Q44" s="164">
        <v>5.3068076561747399E-6</v>
      </c>
    </row>
    <row r="45" spans="1:17">
      <c r="A45" s="2">
        <v>424</v>
      </c>
      <c r="B45" s="2">
        <v>7228</v>
      </c>
      <c r="C45" s="2" t="s">
        <v>1212</v>
      </c>
      <c r="D45" s="2" t="s">
        <v>1213</v>
      </c>
      <c r="E45" s="4" t="s">
        <v>203</v>
      </c>
      <c r="F45" s="2" t="s">
        <v>985</v>
      </c>
      <c r="G45" s="2" t="s">
        <v>30</v>
      </c>
      <c r="H45" s="2" t="s">
        <v>155</v>
      </c>
      <c r="I45" s="2" t="s">
        <v>100</v>
      </c>
      <c r="J45" s="2" t="s">
        <v>206</v>
      </c>
      <c r="K45" s="2" t="s">
        <v>34</v>
      </c>
      <c r="L45" s="151">
        <v>0</v>
      </c>
      <c r="M45" s="158">
        <v>1</v>
      </c>
      <c r="N45" s="162">
        <v>0</v>
      </c>
      <c r="O45" s="151">
        <v>0</v>
      </c>
      <c r="P45" s="164">
        <v>2.4497118941964399E-10</v>
      </c>
      <c r="Q45" s="164">
        <v>4.1424903273402097E-12</v>
      </c>
    </row>
    <row r="46" spans="1:17">
      <c r="A46" s="2">
        <v>424</v>
      </c>
      <c r="B46" s="2">
        <v>7229</v>
      </c>
      <c r="C46" s="2" t="s">
        <v>201</v>
      </c>
      <c r="D46" s="2" t="s">
        <v>202</v>
      </c>
      <c r="E46" s="4" t="s">
        <v>203</v>
      </c>
      <c r="F46" s="2" t="s">
        <v>987</v>
      </c>
      <c r="G46" s="2" t="s">
        <v>30</v>
      </c>
      <c r="H46" s="2" t="s">
        <v>155</v>
      </c>
      <c r="I46" s="2" t="s">
        <v>100</v>
      </c>
      <c r="J46" s="2" t="s">
        <v>206</v>
      </c>
      <c r="K46" s="2" t="s">
        <v>102</v>
      </c>
      <c r="L46" s="151">
        <v>527.08199999999999</v>
      </c>
      <c r="M46" s="158">
        <v>3.71</v>
      </c>
      <c r="N46" s="162">
        <v>3.3300000000000003E-2</v>
      </c>
      <c r="O46" s="151">
        <v>1955.4739999999999</v>
      </c>
      <c r="P46" s="164">
        <v>0.44633943227898798</v>
      </c>
      <c r="Q46" s="164">
        <v>1.34242093852778E-2</v>
      </c>
    </row>
    <row r="47" spans="1:17">
      <c r="A47" s="2">
        <v>424</v>
      </c>
      <c r="B47" s="2">
        <v>7229</v>
      </c>
      <c r="C47" s="2" t="s">
        <v>201</v>
      </c>
      <c r="D47" s="2" t="s">
        <v>202</v>
      </c>
      <c r="E47" s="4" t="s">
        <v>203</v>
      </c>
      <c r="F47" s="2" t="s">
        <v>987</v>
      </c>
      <c r="G47" s="2" t="s">
        <v>30</v>
      </c>
      <c r="H47" s="2" t="s">
        <v>155</v>
      </c>
      <c r="I47" s="2" t="s">
        <v>100</v>
      </c>
      <c r="J47" s="2" t="s">
        <v>206</v>
      </c>
      <c r="K47" s="2" t="s">
        <v>1216</v>
      </c>
      <c r="L47" s="151">
        <v>0</v>
      </c>
      <c r="M47" s="158">
        <v>0.47660000000000002</v>
      </c>
      <c r="N47" s="162">
        <v>0</v>
      </c>
      <c r="O47" s="151">
        <v>0</v>
      </c>
      <c r="P47" s="164">
        <v>4.35138180290949E-9</v>
      </c>
      <c r="Q47" s="164">
        <v>1.3087317904959901E-10</v>
      </c>
    </row>
    <row r="48" spans="1:17">
      <c r="A48" s="2">
        <v>424</v>
      </c>
      <c r="B48" s="2">
        <v>7229</v>
      </c>
      <c r="C48" s="2" t="s">
        <v>201</v>
      </c>
      <c r="D48" s="2" t="s">
        <v>202</v>
      </c>
      <c r="E48" s="4" t="s">
        <v>203</v>
      </c>
      <c r="F48" s="2" t="s">
        <v>987</v>
      </c>
      <c r="G48" s="2" t="s">
        <v>30</v>
      </c>
      <c r="H48" s="2" t="s">
        <v>155</v>
      </c>
      <c r="I48" s="2" t="s">
        <v>100</v>
      </c>
      <c r="J48" s="2" t="s">
        <v>206</v>
      </c>
      <c r="K48" s="2" t="s">
        <v>1208</v>
      </c>
      <c r="L48" s="151">
        <v>0</v>
      </c>
      <c r="M48" s="158">
        <v>2.7435</v>
      </c>
      <c r="N48" s="162">
        <v>0</v>
      </c>
      <c r="O48" s="151">
        <v>0</v>
      </c>
      <c r="P48" s="164">
        <v>5.6358657042876399E-8</v>
      </c>
      <c r="Q48" s="164">
        <v>1.6950561794498402E-9</v>
      </c>
    </row>
    <row r="49" spans="1:17">
      <c r="A49" s="2">
        <v>424</v>
      </c>
      <c r="B49" s="2">
        <v>7229</v>
      </c>
      <c r="C49" s="2" t="s">
        <v>201</v>
      </c>
      <c r="D49" s="2" t="s">
        <v>202</v>
      </c>
      <c r="E49" s="4" t="s">
        <v>203</v>
      </c>
      <c r="F49" s="2" t="s">
        <v>987</v>
      </c>
      <c r="G49" s="2" t="s">
        <v>30</v>
      </c>
      <c r="H49" s="2" t="s">
        <v>155</v>
      </c>
      <c r="I49" s="2" t="s">
        <v>100</v>
      </c>
      <c r="J49" s="2" t="s">
        <v>206</v>
      </c>
      <c r="K49" s="2" t="s">
        <v>1209</v>
      </c>
      <c r="L49" s="151">
        <v>0.73</v>
      </c>
      <c r="M49" s="158">
        <v>4.1524000000000001</v>
      </c>
      <c r="N49" s="162">
        <v>0</v>
      </c>
      <c r="O49" s="151">
        <v>3.0310000000000001</v>
      </c>
      <c r="P49" s="164">
        <v>6.9188705375750103E-4</v>
      </c>
      <c r="Q49" s="164">
        <v>2.0809357204178302E-5</v>
      </c>
    </row>
    <row r="50" spans="1:17">
      <c r="A50" s="2">
        <v>424</v>
      </c>
      <c r="B50" s="2">
        <v>7229</v>
      </c>
      <c r="C50" s="2" t="s">
        <v>201</v>
      </c>
      <c r="D50" s="2" t="s">
        <v>202</v>
      </c>
      <c r="E50" s="4" t="s">
        <v>203</v>
      </c>
      <c r="F50" s="2" t="s">
        <v>987</v>
      </c>
      <c r="G50" s="2" t="s">
        <v>30</v>
      </c>
      <c r="H50" s="2" t="s">
        <v>155</v>
      </c>
      <c r="I50" s="2" t="s">
        <v>100</v>
      </c>
      <c r="J50" s="2" t="s">
        <v>206</v>
      </c>
      <c r="K50" s="2" t="s">
        <v>1210</v>
      </c>
      <c r="L50" s="151">
        <v>497.49200000000002</v>
      </c>
      <c r="M50" s="158">
        <v>2.6029E-2</v>
      </c>
      <c r="N50" s="162">
        <v>0</v>
      </c>
      <c r="O50" s="151">
        <v>12.949</v>
      </c>
      <c r="P50" s="164">
        <v>2.9556780207391099E-3</v>
      </c>
      <c r="Q50" s="164">
        <v>8.8895664950042696E-5</v>
      </c>
    </row>
    <row r="51" spans="1:17">
      <c r="A51" s="2">
        <v>424</v>
      </c>
      <c r="B51" s="2">
        <v>7229</v>
      </c>
      <c r="C51" s="2" t="s">
        <v>201</v>
      </c>
      <c r="D51" s="2" t="s">
        <v>202</v>
      </c>
      <c r="E51" s="4" t="s">
        <v>203</v>
      </c>
      <c r="F51" s="2" t="s">
        <v>987</v>
      </c>
      <c r="G51" s="2" t="s">
        <v>97</v>
      </c>
      <c r="H51" s="2" t="s">
        <v>155</v>
      </c>
      <c r="I51" s="2" t="s">
        <v>100</v>
      </c>
      <c r="J51" s="2" t="s">
        <v>206</v>
      </c>
      <c r="K51" s="2" t="s">
        <v>1215</v>
      </c>
      <c r="L51" s="151">
        <v>14.944000000000001</v>
      </c>
      <c r="M51" s="158">
        <v>0.35239999999999999</v>
      </c>
      <c r="N51" s="162">
        <v>0</v>
      </c>
      <c r="O51" s="151">
        <v>5.266</v>
      </c>
      <c r="P51" s="164">
        <v>1.20207191641848E-3</v>
      </c>
      <c r="Q51" s="164">
        <v>3.61537967187208E-5</v>
      </c>
    </row>
    <row r="52" spans="1:17">
      <c r="A52" s="2">
        <v>424</v>
      </c>
      <c r="B52" s="2">
        <v>7229</v>
      </c>
      <c r="C52" s="2" t="s">
        <v>201</v>
      </c>
      <c r="D52" s="2" t="s">
        <v>202</v>
      </c>
      <c r="E52" s="4" t="s">
        <v>203</v>
      </c>
      <c r="F52" s="2" t="s">
        <v>987</v>
      </c>
      <c r="G52" s="2" t="s">
        <v>30</v>
      </c>
      <c r="H52" s="2" t="s">
        <v>155</v>
      </c>
      <c r="I52" s="2" t="s">
        <v>100</v>
      </c>
      <c r="J52" s="2" t="s">
        <v>206</v>
      </c>
      <c r="K52" s="2" t="s">
        <v>1211</v>
      </c>
      <c r="L52" s="151">
        <v>2.6360000000000001</v>
      </c>
      <c r="M52" s="158">
        <v>4.9748000000000001</v>
      </c>
      <c r="N52" s="162">
        <v>0</v>
      </c>
      <c r="O52" s="151">
        <v>13.112</v>
      </c>
      <c r="P52" s="164">
        <v>2.99279193842222E-3</v>
      </c>
      <c r="Q52" s="164">
        <v>9.0011911837623598E-5</v>
      </c>
    </row>
    <row r="53" spans="1:17">
      <c r="A53" s="2">
        <v>424</v>
      </c>
      <c r="B53" s="2">
        <v>7229</v>
      </c>
      <c r="C53" s="2" t="s">
        <v>201</v>
      </c>
      <c r="D53" s="2" t="s">
        <v>202</v>
      </c>
      <c r="E53" s="4" t="s">
        <v>203</v>
      </c>
      <c r="F53" s="2" t="s">
        <v>985</v>
      </c>
      <c r="G53" s="2" t="s">
        <v>30</v>
      </c>
      <c r="H53" s="2" t="s">
        <v>155</v>
      </c>
      <c r="I53" s="2" t="s">
        <v>100</v>
      </c>
      <c r="J53" s="2" t="s">
        <v>206</v>
      </c>
      <c r="K53" s="2" t="s">
        <v>34</v>
      </c>
      <c r="L53" s="151">
        <v>2019.9970000000001</v>
      </c>
      <c r="M53" s="158">
        <v>1</v>
      </c>
      <c r="N53" s="162">
        <v>4.0300000000000002E-2</v>
      </c>
      <c r="O53" s="151">
        <v>2019.9970000000001</v>
      </c>
      <c r="P53" s="164">
        <v>0.46106686020089899</v>
      </c>
      <c r="Q53" s="164">
        <v>1.3867154959503299E-2</v>
      </c>
    </row>
    <row r="54" spans="1:17">
      <c r="A54" s="2">
        <v>424</v>
      </c>
      <c r="B54" s="2">
        <v>7229</v>
      </c>
      <c r="C54" s="2" t="s">
        <v>1212</v>
      </c>
      <c r="D54" s="2" t="s">
        <v>1213</v>
      </c>
      <c r="E54" s="4" t="s">
        <v>203</v>
      </c>
      <c r="F54" s="2" t="s">
        <v>985</v>
      </c>
      <c r="G54" s="2" t="s">
        <v>30</v>
      </c>
      <c r="H54" s="2" t="s">
        <v>155</v>
      </c>
      <c r="I54" s="2" t="s">
        <v>100</v>
      </c>
      <c r="J54" s="2" t="s">
        <v>206</v>
      </c>
      <c r="K54" s="2" t="s">
        <v>34</v>
      </c>
      <c r="L54" s="151">
        <v>371.30700000000002</v>
      </c>
      <c r="M54" s="158">
        <v>1</v>
      </c>
      <c r="N54" s="162">
        <v>4.0300000000000002E-2</v>
      </c>
      <c r="O54" s="151">
        <v>371.30700000000002</v>
      </c>
      <c r="P54" s="164">
        <v>8.4751217880737098E-2</v>
      </c>
      <c r="Q54" s="164">
        <v>2.5489974943042298E-3</v>
      </c>
    </row>
    <row r="55" spans="1:17">
      <c r="A55" s="2">
        <v>424</v>
      </c>
      <c r="B55" s="2">
        <v>9817</v>
      </c>
      <c r="C55" s="2" t="s">
        <v>201</v>
      </c>
      <c r="D55" s="2" t="s">
        <v>202</v>
      </c>
      <c r="E55" s="4" t="s">
        <v>203</v>
      </c>
      <c r="F55" s="2" t="s">
        <v>987</v>
      </c>
      <c r="G55" s="2" t="s">
        <v>30</v>
      </c>
      <c r="H55" s="2" t="s">
        <v>155</v>
      </c>
      <c r="I55" s="2" t="s">
        <v>100</v>
      </c>
      <c r="J55" s="2" t="s">
        <v>206</v>
      </c>
      <c r="K55" s="2" t="s">
        <v>102</v>
      </c>
      <c r="L55" s="151">
        <v>1.157</v>
      </c>
      <c r="M55" s="158">
        <v>3.71</v>
      </c>
      <c r="N55" s="162">
        <v>3.3300000000000003E-2</v>
      </c>
      <c r="O55" s="151">
        <v>4.2939999999999996</v>
      </c>
      <c r="P55" s="164">
        <v>5.6857094154003703E-2</v>
      </c>
      <c r="Q55" s="164">
        <v>2.7977791586692499E-3</v>
      </c>
    </row>
    <row r="56" spans="1:17">
      <c r="A56" s="2">
        <v>424</v>
      </c>
      <c r="B56" s="2">
        <v>9817</v>
      </c>
      <c r="C56" s="2" t="s">
        <v>201</v>
      </c>
      <c r="D56" s="2" t="s">
        <v>202</v>
      </c>
      <c r="E56" s="4" t="s">
        <v>203</v>
      </c>
      <c r="F56" s="2" t="s">
        <v>987</v>
      </c>
      <c r="G56" s="2" t="s">
        <v>30</v>
      </c>
      <c r="H56" s="2" t="s">
        <v>155</v>
      </c>
      <c r="I56" s="2" t="s">
        <v>100</v>
      </c>
      <c r="J56" s="2" t="s">
        <v>206</v>
      </c>
      <c r="K56" s="2" t="s">
        <v>1211</v>
      </c>
      <c r="L56" s="151">
        <v>0.16600000000000001</v>
      </c>
      <c r="M56" s="158">
        <v>4.9748000000000001</v>
      </c>
      <c r="N56" s="162">
        <v>0</v>
      </c>
      <c r="O56" s="151">
        <v>0.82499999999999996</v>
      </c>
      <c r="P56" s="164">
        <v>1.09258667296657E-2</v>
      </c>
      <c r="Q56" s="164">
        <v>5.37631454464755E-4</v>
      </c>
    </row>
    <row r="57" spans="1:17">
      <c r="A57" s="2">
        <v>424</v>
      </c>
      <c r="B57" s="2">
        <v>9817</v>
      </c>
      <c r="C57" s="2" t="s">
        <v>201</v>
      </c>
      <c r="D57" s="2" t="s">
        <v>202</v>
      </c>
      <c r="E57" s="4" t="s">
        <v>203</v>
      </c>
      <c r="F57" s="2" t="s">
        <v>985</v>
      </c>
      <c r="G57" s="2" t="s">
        <v>30</v>
      </c>
      <c r="H57" s="2" t="s">
        <v>155</v>
      </c>
      <c r="I57" s="2" t="s">
        <v>100</v>
      </c>
      <c r="J57" s="2" t="s">
        <v>206</v>
      </c>
      <c r="K57" s="2" t="s">
        <v>34</v>
      </c>
      <c r="L57" s="151">
        <v>66.870999999999995</v>
      </c>
      <c r="M57" s="158">
        <v>1</v>
      </c>
      <c r="N57" s="162">
        <v>4.0300000000000002E-2</v>
      </c>
      <c r="O57" s="151">
        <v>66.870999999999995</v>
      </c>
      <c r="P57" s="164">
        <v>0.88552295242036705</v>
      </c>
      <c r="Q57" s="164">
        <v>4.3574116786453898E-2</v>
      </c>
    </row>
    <row r="58" spans="1:17">
      <c r="A58" s="2">
        <v>424</v>
      </c>
      <c r="B58" s="2">
        <v>9817</v>
      </c>
      <c r="C58" s="2" t="s">
        <v>1212</v>
      </c>
      <c r="D58" s="2" t="s">
        <v>1213</v>
      </c>
      <c r="E58" s="4" t="s">
        <v>203</v>
      </c>
      <c r="F58" s="2" t="s">
        <v>985</v>
      </c>
      <c r="G58" s="2" t="s">
        <v>30</v>
      </c>
      <c r="H58" s="2" t="s">
        <v>155</v>
      </c>
      <c r="I58" s="2" t="s">
        <v>100</v>
      </c>
      <c r="J58" s="2" t="s">
        <v>206</v>
      </c>
      <c r="K58" s="2" t="s">
        <v>34</v>
      </c>
      <c r="L58" s="151">
        <v>0.01</v>
      </c>
      <c r="M58" s="158">
        <v>1</v>
      </c>
      <c r="N58" s="162">
        <v>4.0300000000000002E-2</v>
      </c>
      <c r="O58" s="151">
        <v>0.01</v>
      </c>
      <c r="P58" s="164">
        <v>1.3374765340636E-4</v>
      </c>
      <c r="Q58" s="164">
        <v>6.5813493072241497E-6</v>
      </c>
    </row>
    <row r="59" spans="1:17">
      <c r="A59" s="2">
        <v>424</v>
      </c>
      <c r="B59" s="2">
        <v>9817</v>
      </c>
      <c r="C59" s="2" t="s">
        <v>1212</v>
      </c>
      <c r="D59" s="2" t="s">
        <v>1213</v>
      </c>
      <c r="E59" s="4" t="s">
        <v>203</v>
      </c>
      <c r="F59" s="2" t="s">
        <v>985</v>
      </c>
      <c r="G59" s="2" t="s">
        <v>30</v>
      </c>
      <c r="H59" s="2" t="s">
        <v>155</v>
      </c>
      <c r="I59" s="2" t="s">
        <v>100</v>
      </c>
      <c r="J59" s="2" t="s">
        <v>206</v>
      </c>
      <c r="K59" s="2" t="s">
        <v>34</v>
      </c>
      <c r="L59" s="151">
        <v>3.516</v>
      </c>
      <c r="M59" s="158">
        <v>1</v>
      </c>
      <c r="N59" s="162">
        <v>4.0300000000000002E-2</v>
      </c>
      <c r="O59" s="151">
        <v>3.516</v>
      </c>
      <c r="P59" s="164">
        <v>4.6560339042557297E-2</v>
      </c>
      <c r="Q59" s="164">
        <v>2.2911045337808199E-3</v>
      </c>
    </row>
    <row r="60" spans="1:17">
      <c r="A60" s="2">
        <v>424</v>
      </c>
      <c r="B60" s="2">
        <v>15416</v>
      </c>
      <c r="C60" s="2" t="s">
        <v>1212</v>
      </c>
      <c r="D60" s="2" t="s">
        <v>1213</v>
      </c>
      <c r="E60" s="4" t="s">
        <v>203</v>
      </c>
      <c r="F60" s="2" t="s">
        <v>985</v>
      </c>
      <c r="G60" s="2" t="s">
        <v>30</v>
      </c>
      <c r="H60" s="2" t="s">
        <v>155</v>
      </c>
      <c r="I60" s="2" t="s">
        <v>100</v>
      </c>
      <c r="J60" s="2" t="s">
        <v>206</v>
      </c>
      <c r="K60" s="2" t="s">
        <v>34</v>
      </c>
      <c r="L60" s="151">
        <v>0</v>
      </c>
      <c r="M60" s="158">
        <v>1</v>
      </c>
      <c r="N60" s="162">
        <v>0</v>
      </c>
      <c r="O60" s="151">
        <v>0</v>
      </c>
      <c r="P60" s="164">
        <v>0.66666666666666696</v>
      </c>
      <c r="Q60" s="164">
        <v>0.66666666666666696</v>
      </c>
    </row>
    <row r="61" spans="1:17">
      <c r="A61" s="2">
        <v>424</v>
      </c>
      <c r="B61" s="2">
        <v>15416</v>
      </c>
      <c r="C61" s="2" t="s">
        <v>1217</v>
      </c>
      <c r="D61" s="2" t="s">
        <v>1218</v>
      </c>
      <c r="E61" s="4" t="s">
        <v>203</v>
      </c>
      <c r="F61" s="2" t="s">
        <v>985</v>
      </c>
      <c r="G61" s="2" t="s">
        <v>30</v>
      </c>
      <c r="H61" s="2" t="s">
        <v>155</v>
      </c>
      <c r="I61" s="2" t="s">
        <v>100</v>
      </c>
      <c r="J61" s="2" t="s">
        <v>206</v>
      </c>
      <c r="K61" s="2" t="s">
        <v>34</v>
      </c>
      <c r="L61" s="151">
        <v>0</v>
      </c>
      <c r="M61" s="158">
        <v>1</v>
      </c>
      <c r="N61" s="162">
        <v>0</v>
      </c>
      <c r="O61" s="151">
        <v>0</v>
      </c>
      <c r="P61" s="164">
        <v>0.33333333333333298</v>
      </c>
      <c r="Q61" s="164">
        <v>0.33333333333333298</v>
      </c>
    </row>
    <row r="62" spans="1:17">
      <c r="A62" s="2">
        <v>969</v>
      </c>
      <c r="B62" s="2">
        <v>969</v>
      </c>
      <c r="C62" s="2" t="s">
        <v>201</v>
      </c>
      <c r="D62" s="2" t="s">
        <v>202</v>
      </c>
      <c r="E62" s="4" t="s">
        <v>203</v>
      </c>
      <c r="F62" s="2" t="s">
        <v>987</v>
      </c>
      <c r="G62" s="2" t="s">
        <v>30</v>
      </c>
      <c r="H62" s="2" t="s">
        <v>155</v>
      </c>
      <c r="I62" s="2" t="s">
        <v>100</v>
      </c>
      <c r="J62" s="2" t="s">
        <v>206</v>
      </c>
      <c r="K62" s="2" t="s">
        <v>102</v>
      </c>
      <c r="L62" s="151">
        <v>119.523</v>
      </c>
      <c r="M62" s="158">
        <v>3.71</v>
      </c>
      <c r="N62" s="162">
        <v>3.3300000000000003E-2</v>
      </c>
      <c r="O62" s="151">
        <v>443.42899999999997</v>
      </c>
      <c r="P62" s="164">
        <v>9.9049894285733894E-2</v>
      </c>
      <c r="Q62" s="164">
        <v>5.8610286128067497E-3</v>
      </c>
    </row>
    <row r="63" spans="1:17">
      <c r="A63" s="2">
        <v>969</v>
      </c>
      <c r="B63" s="2">
        <v>969</v>
      </c>
      <c r="C63" s="2" t="s">
        <v>201</v>
      </c>
      <c r="D63" s="2" t="s">
        <v>202</v>
      </c>
      <c r="E63" s="4" t="s">
        <v>203</v>
      </c>
      <c r="F63" s="2" t="s">
        <v>987</v>
      </c>
      <c r="G63" s="2" t="s">
        <v>30</v>
      </c>
      <c r="H63" s="2" t="s">
        <v>155</v>
      </c>
      <c r="I63" s="2" t="s">
        <v>100</v>
      </c>
      <c r="J63" s="2" t="s">
        <v>206</v>
      </c>
      <c r="K63" s="2" t="s">
        <v>1216</v>
      </c>
      <c r="L63" s="151">
        <v>0</v>
      </c>
      <c r="M63" s="158">
        <v>0.47660000000000002</v>
      </c>
      <c r="N63" s="162">
        <v>0</v>
      </c>
      <c r="O63" s="151">
        <v>0</v>
      </c>
      <c r="P63" s="164">
        <v>-3.1937792521005502E-9</v>
      </c>
      <c r="Q63" s="164">
        <v>-1.88983862269966E-10</v>
      </c>
    </row>
    <row r="64" spans="1:17">
      <c r="A64" s="2">
        <v>969</v>
      </c>
      <c r="B64" s="2">
        <v>969</v>
      </c>
      <c r="C64" s="2" t="s">
        <v>201</v>
      </c>
      <c r="D64" s="2" t="s">
        <v>202</v>
      </c>
      <c r="E64" s="4" t="s">
        <v>203</v>
      </c>
      <c r="F64" s="2" t="s">
        <v>987</v>
      </c>
      <c r="G64" s="2" t="s">
        <v>30</v>
      </c>
      <c r="H64" s="2" t="s">
        <v>155</v>
      </c>
      <c r="I64" s="2" t="s">
        <v>100</v>
      </c>
      <c r="J64" s="2" t="s">
        <v>206</v>
      </c>
      <c r="K64" s="2" t="s">
        <v>1208</v>
      </c>
      <c r="L64" s="151">
        <v>0.41799999999999998</v>
      </c>
      <c r="M64" s="158">
        <v>2.7435</v>
      </c>
      <c r="N64" s="162">
        <v>0</v>
      </c>
      <c r="O64" s="151">
        <v>1.1479999999999999</v>
      </c>
      <c r="P64" s="164">
        <v>2.5634970019644998E-4</v>
      </c>
      <c r="Q64" s="164">
        <v>1.51688493821263E-5</v>
      </c>
    </row>
    <row r="65" spans="1:17">
      <c r="A65" s="2">
        <v>969</v>
      </c>
      <c r="B65" s="2">
        <v>969</v>
      </c>
      <c r="C65" s="2" t="s">
        <v>201</v>
      </c>
      <c r="D65" s="2" t="s">
        <v>202</v>
      </c>
      <c r="E65" s="4" t="s">
        <v>203</v>
      </c>
      <c r="F65" s="2" t="s">
        <v>987</v>
      </c>
      <c r="G65" s="2" t="s">
        <v>30</v>
      </c>
      <c r="H65" s="2" t="s">
        <v>155</v>
      </c>
      <c r="I65" s="2" t="s">
        <v>100</v>
      </c>
      <c r="J65" s="2" t="s">
        <v>206</v>
      </c>
      <c r="K65" s="2" t="s">
        <v>1210</v>
      </c>
      <c r="L65" s="151">
        <v>456.89699999999999</v>
      </c>
      <c r="M65" s="158">
        <v>2.6029E-2</v>
      </c>
      <c r="N65" s="162">
        <v>0</v>
      </c>
      <c r="O65" s="151">
        <v>11.893000000000001</v>
      </c>
      <c r="P65" s="164">
        <v>2.6564712296318202E-3</v>
      </c>
      <c r="Q65" s="164">
        <v>1.5719001012818399E-4</v>
      </c>
    </row>
    <row r="66" spans="1:17">
      <c r="A66" s="2">
        <v>969</v>
      </c>
      <c r="B66" s="2">
        <v>969</v>
      </c>
      <c r="C66" s="2" t="s">
        <v>201</v>
      </c>
      <c r="D66" s="2" t="s">
        <v>202</v>
      </c>
      <c r="E66" s="4" t="s">
        <v>203</v>
      </c>
      <c r="F66" s="2" t="s">
        <v>987</v>
      </c>
      <c r="G66" s="2" t="s">
        <v>30</v>
      </c>
      <c r="H66" s="2" t="s">
        <v>155</v>
      </c>
      <c r="I66" s="2" t="s">
        <v>100</v>
      </c>
      <c r="J66" s="2" t="s">
        <v>206</v>
      </c>
      <c r="K66" s="2" t="s">
        <v>1219</v>
      </c>
      <c r="L66" s="151">
        <v>0</v>
      </c>
      <c r="M66" s="158">
        <v>0.55689999999999995</v>
      </c>
      <c r="N66" s="162">
        <v>0</v>
      </c>
      <c r="O66" s="151">
        <v>0</v>
      </c>
      <c r="P66" s="164">
        <v>-1.2439611592494001E-9</v>
      </c>
      <c r="Q66" s="164">
        <v>-7.3608275911417194E-11</v>
      </c>
    </row>
    <row r="67" spans="1:17">
      <c r="A67" s="2">
        <v>969</v>
      </c>
      <c r="B67" s="2">
        <v>969</v>
      </c>
      <c r="C67" s="2" t="s">
        <v>201</v>
      </c>
      <c r="D67" s="2" t="s">
        <v>202</v>
      </c>
      <c r="E67" s="4" t="s">
        <v>203</v>
      </c>
      <c r="F67" s="2" t="s">
        <v>987</v>
      </c>
      <c r="G67" s="2" t="s">
        <v>97</v>
      </c>
      <c r="H67" s="2" t="s">
        <v>155</v>
      </c>
      <c r="I67" s="2" t="s">
        <v>100</v>
      </c>
      <c r="J67" s="2" t="s">
        <v>206</v>
      </c>
      <c r="K67" s="2" t="s">
        <v>1215</v>
      </c>
      <c r="L67" s="151">
        <v>6.75</v>
      </c>
      <c r="M67" s="158">
        <v>0.35239999999999999</v>
      </c>
      <c r="N67" s="162">
        <v>0</v>
      </c>
      <c r="O67" s="151">
        <v>2.379</v>
      </c>
      <c r="P67" s="164">
        <v>5.3133604049318604E-4</v>
      </c>
      <c r="Q67" s="164">
        <v>3.1440475114111699E-5</v>
      </c>
    </row>
    <row r="68" spans="1:17">
      <c r="A68" s="2">
        <v>969</v>
      </c>
      <c r="B68" s="2">
        <v>969</v>
      </c>
      <c r="C68" s="2" t="s">
        <v>201</v>
      </c>
      <c r="D68" s="2" t="s">
        <v>202</v>
      </c>
      <c r="E68" s="4" t="s">
        <v>203</v>
      </c>
      <c r="F68" s="2" t="s">
        <v>987</v>
      </c>
      <c r="G68" s="2" t="s">
        <v>30</v>
      </c>
      <c r="H68" s="2" t="s">
        <v>155</v>
      </c>
      <c r="I68" s="2" t="s">
        <v>100</v>
      </c>
      <c r="J68" s="2" t="s">
        <v>206</v>
      </c>
      <c r="K68" s="2" t="s">
        <v>1211</v>
      </c>
      <c r="L68" s="151">
        <v>2.7839999999999998</v>
      </c>
      <c r="M68" s="158">
        <v>4.9748000000000001</v>
      </c>
      <c r="N68" s="162">
        <v>0</v>
      </c>
      <c r="O68" s="151">
        <v>13.852</v>
      </c>
      <c r="P68" s="164">
        <v>3.0940734148618199E-3</v>
      </c>
      <c r="Q68" s="164">
        <v>1.8308401988109701E-4</v>
      </c>
    </row>
    <row r="69" spans="1:17">
      <c r="A69" s="2">
        <v>969</v>
      </c>
      <c r="B69" s="2">
        <v>969</v>
      </c>
      <c r="C69" s="2" t="s">
        <v>201</v>
      </c>
      <c r="D69" s="2" t="s">
        <v>202</v>
      </c>
      <c r="E69" s="4" t="s">
        <v>203</v>
      </c>
      <c r="F69" s="2" t="s">
        <v>985</v>
      </c>
      <c r="G69" s="2" t="s">
        <v>30</v>
      </c>
      <c r="H69" s="2" t="s">
        <v>155</v>
      </c>
      <c r="I69" s="2" t="s">
        <v>100</v>
      </c>
      <c r="J69" s="2" t="s">
        <v>206</v>
      </c>
      <c r="K69" s="2" t="s">
        <v>34</v>
      </c>
      <c r="L69" s="151">
        <v>3963.4169999999999</v>
      </c>
      <c r="M69" s="158">
        <v>1</v>
      </c>
      <c r="N69" s="162">
        <v>4.0300000000000002E-2</v>
      </c>
      <c r="O69" s="151">
        <v>3963.4169999999999</v>
      </c>
      <c r="P69" s="164">
        <v>0.88531811268740701</v>
      </c>
      <c r="Q69" s="164">
        <v>5.2386474789446802E-2</v>
      </c>
    </row>
    <row r="70" spans="1:17">
      <c r="A70" s="2">
        <v>969</v>
      </c>
      <c r="B70" s="2">
        <v>969</v>
      </c>
      <c r="C70" s="2" t="s">
        <v>1212</v>
      </c>
      <c r="D70" s="2" t="s">
        <v>1213</v>
      </c>
      <c r="E70" s="4" t="s">
        <v>203</v>
      </c>
      <c r="F70" s="2" t="s">
        <v>985</v>
      </c>
      <c r="G70" s="2" t="s">
        <v>30</v>
      </c>
      <c r="H70" s="2" t="s">
        <v>155</v>
      </c>
      <c r="I70" s="2" t="s">
        <v>100</v>
      </c>
      <c r="J70" s="2" t="s">
        <v>206</v>
      </c>
      <c r="K70" s="2" t="s">
        <v>34</v>
      </c>
      <c r="L70" s="151">
        <v>4.0000000000000001E-3</v>
      </c>
      <c r="M70" s="158">
        <v>1</v>
      </c>
      <c r="N70" s="162">
        <v>4.0300000000000002E-2</v>
      </c>
      <c r="O70" s="151">
        <v>4.0000000000000001E-3</v>
      </c>
      <c r="P70" s="164">
        <v>9.2029448305037496E-7</v>
      </c>
      <c r="Q70" s="164">
        <v>5.4456113620944297E-8</v>
      </c>
    </row>
    <row r="71" spans="1:17">
      <c r="A71" s="2">
        <v>969</v>
      </c>
      <c r="B71" s="2">
        <v>969</v>
      </c>
      <c r="C71" s="2" t="s">
        <v>1212</v>
      </c>
      <c r="D71" s="2" t="s">
        <v>1213</v>
      </c>
      <c r="E71" s="4" t="s">
        <v>203</v>
      </c>
      <c r="F71" s="2" t="s">
        <v>985</v>
      </c>
      <c r="G71" s="2" t="s">
        <v>30</v>
      </c>
      <c r="H71" s="2" t="s">
        <v>155</v>
      </c>
      <c r="I71" s="2" t="s">
        <v>100</v>
      </c>
      <c r="J71" s="2" t="s">
        <v>206</v>
      </c>
      <c r="K71" s="2" t="s">
        <v>34</v>
      </c>
      <c r="L71" s="151">
        <v>40.707000000000001</v>
      </c>
      <c r="M71" s="158">
        <v>1</v>
      </c>
      <c r="N71" s="162">
        <v>4.0300000000000002E-2</v>
      </c>
      <c r="O71" s="151">
        <v>40.707000000000001</v>
      </c>
      <c r="P71" s="164">
        <v>9.0928445512087203E-3</v>
      </c>
      <c r="Q71" s="164">
        <v>5.3804622882988899E-4</v>
      </c>
    </row>
    <row r="72" spans="1:17">
      <c r="A72" s="2">
        <v>969</v>
      </c>
      <c r="B72" s="2">
        <v>969</v>
      </c>
      <c r="C72" s="2" t="s">
        <v>1212</v>
      </c>
      <c r="D72" s="2" t="s">
        <v>1213</v>
      </c>
      <c r="E72" s="4" t="s">
        <v>203</v>
      </c>
      <c r="F72" s="2" t="s">
        <v>985</v>
      </c>
      <c r="G72" s="2" t="s">
        <v>30</v>
      </c>
      <c r="H72" s="2" t="s">
        <v>155</v>
      </c>
      <c r="I72" s="2" t="s">
        <v>100</v>
      </c>
      <c r="J72" s="2" t="s">
        <v>206</v>
      </c>
      <c r="K72" s="2" t="s">
        <v>34</v>
      </c>
      <c r="L72" s="151">
        <v>0</v>
      </c>
      <c r="M72" s="158">
        <v>1</v>
      </c>
      <c r="N72" s="162">
        <v>0</v>
      </c>
      <c r="O72" s="151">
        <v>0</v>
      </c>
      <c r="P72" s="164">
        <v>2.2337244734232401E-9</v>
      </c>
      <c r="Q72" s="164">
        <v>1.3217503306054401E-10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Z844"/>
  <sheetViews>
    <sheetView rightToLeft="1" topLeftCell="C1" zoomScale="70" zoomScaleNormal="70" workbookViewId="0">
      <selection activeCell="C2" sqref="C2"/>
    </sheetView>
  </sheetViews>
  <sheetFormatPr defaultColWidth="9" defaultRowHeight="14.25"/>
  <cols>
    <col min="1" max="14" width="11.625" style="4" customWidth="1"/>
    <col min="15" max="15" width="11.625" style="145" customWidth="1"/>
    <col min="16" max="30" width="11.625" style="4" customWidth="1"/>
    <col min="31" max="31" width="9" style="4" customWidth="1"/>
    <col min="32" max="16384" width="9" style="4"/>
  </cols>
  <sheetData>
    <row r="1" spans="1:26" ht="66.75" customHeight="1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59" t="s">
        <v>14</v>
      </c>
      <c r="P1" s="163" t="s">
        <v>15</v>
      </c>
      <c r="Q1" s="19" t="s">
        <v>16</v>
      </c>
      <c r="R1" s="19" t="s">
        <v>17</v>
      </c>
      <c r="S1" s="157" t="s">
        <v>18</v>
      </c>
      <c r="T1" s="168" t="s">
        <v>19</v>
      </c>
      <c r="U1" s="19" t="s">
        <v>20</v>
      </c>
      <c r="V1" s="19" t="s">
        <v>21</v>
      </c>
      <c r="W1" s="19" t="s">
        <v>22</v>
      </c>
      <c r="X1" s="163" t="s">
        <v>23</v>
      </c>
      <c r="Y1" s="163" t="s">
        <v>24</v>
      </c>
      <c r="Z1" s="163" t="s">
        <v>25</v>
      </c>
    </row>
    <row r="2" spans="1:26">
      <c r="A2" s="18">
        <v>1182</v>
      </c>
      <c r="B2" s="18">
        <v>1182</v>
      </c>
      <c r="C2" s="18" t="s">
        <v>26</v>
      </c>
      <c r="D2" s="18" t="s">
        <v>27</v>
      </c>
      <c r="E2" s="18" t="s">
        <v>28</v>
      </c>
      <c r="F2" s="18" t="s">
        <v>29</v>
      </c>
      <c r="G2" s="18" t="s">
        <v>30</v>
      </c>
      <c r="H2" s="18" t="s">
        <v>30</v>
      </c>
      <c r="I2" s="18" t="s">
        <v>31</v>
      </c>
      <c r="J2" s="18" t="s">
        <v>32</v>
      </c>
      <c r="K2" s="18" t="s">
        <v>33</v>
      </c>
      <c r="L2" s="4" t="s">
        <v>34</v>
      </c>
      <c r="M2" s="152">
        <v>0.03</v>
      </c>
      <c r="N2" s="4" t="s">
        <v>35</v>
      </c>
      <c r="O2" s="161">
        <v>0</v>
      </c>
      <c r="P2" s="166">
        <v>0.11574</v>
      </c>
      <c r="Q2" s="152">
        <v>307.125</v>
      </c>
      <c r="R2" s="152">
        <v>0</v>
      </c>
      <c r="S2" s="167">
        <v>1</v>
      </c>
      <c r="T2" s="169">
        <v>0</v>
      </c>
      <c r="U2" s="152">
        <v>307.125</v>
      </c>
      <c r="W2" s="18" t="s">
        <v>36</v>
      </c>
      <c r="X2" s="170">
        <v>0</v>
      </c>
      <c r="Y2" s="166">
        <v>5.9169697597081204E-3</v>
      </c>
      <c r="Z2" s="166">
        <v>7.4557270107865304E-4</v>
      </c>
    </row>
    <row r="3" spans="1:26">
      <c r="A3" s="18">
        <v>1182</v>
      </c>
      <c r="B3" s="18">
        <v>1182</v>
      </c>
      <c r="C3" s="18" t="s">
        <v>26</v>
      </c>
      <c r="D3" s="18" t="s">
        <v>37</v>
      </c>
      <c r="E3" s="18" t="s">
        <v>38</v>
      </c>
      <c r="F3" s="18" t="s">
        <v>29</v>
      </c>
      <c r="G3" s="18" t="s">
        <v>30</v>
      </c>
      <c r="H3" s="18" t="s">
        <v>30</v>
      </c>
      <c r="I3" s="18" t="s">
        <v>31</v>
      </c>
      <c r="J3" s="18" t="s">
        <v>32</v>
      </c>
      <c r="K3" s="18" t="s">
        <v>33</v>
      </c>
      <c r="L3" s="4" t="s">
        <v>34</v>
      </c>
      <c r="M3" s="152">
        <v>0.18</v>
      </c>
      <c r="N3" s="4" t="s">
        <v>39</v>
      </c>
      <c r="O3" s="161">
        <v>0</v>
      </c>
      <c r="P3" s="166">
        <v>4.3360000000000003E-2</v>
      </c>
      <c r="R3" s="152">
        <v>5000000</v>
      </c>
      <c r="S3" s="167">
        <v>1</v>
      </c>
      <c r="T3" s="169">
        <v>99.27</v>
      </c>
      <c r="U3" s="152">
        <v>4963.5</v>
      </c>
      <c r="W3" s="18" t="s">
        <v>36</v>
      </c>
      <c r="X3" s="170">
        <v>1.25E-4</v>
      </c>
      <c r="Y3" s="166">
        <v>9.56251669590924E-2</v>
      </c>
      <c r="Z3" s="166">
        <v>1.2049328780802299E-2</v>
      </c>
    </row>
    <row r="4" spans="1:26">
      <c r="A4" s="18">
        <v>1182</v>
      </c>
      <c r="B4" s="18">
        <v>1182</v>
      </c>
      <c r="C4" s="18" t="s">
        <v>40</v>
      </c>
      <c r="D4" s="18" t="s">
        <v>41</v>
      </c>
      <c r="E4" s="18" t="s">
        <v>42</v>
      </c>
      <c r="F4" s="18" t="s">
        <v>43</v>
      </c>
      <c r="G4" s="18" t="s">
        <v>30</v>
      </c>
      <c r="H4" s="18" t="s">
        <v>30</v>
      </c>
      <c r="I4" s="18" t="s">
        <v>31</v>
      </c>
      <c r="J4" s="18" t="s">
        <v>32</v>
      </c>
      <c r="K4" s="18" t="s">
        <v>33</v>
      </c>
      <c r="L4" s="4" t="s">
        <v>34</v>
      </c>
      <c r="M4" s="152">
        <v>2.64</v>
      </c>
      <c r="N4" s="4" t="s">
        <v>44</v>
      </c>
      <c r="O4" s="161">
        <v>7.4999999999999997E-3</v>
      </c>
      <c r="P4" s="166">
        <v>1.6299999999999999E-2</v>
      </c>
      <c r="R4" s="152">
        <v>1171463</v>
      </c>
      <c r="S4" s="167">
        <v>1</v>
      </c>
      <c r="T4" s="169">
        <v>114.25</v>
      </c>
      <c r="U4" s="152">
        <v>1338.396</v>
      </c>
      <c r="W4" s="18" t="s">
        <v>36</v>
      </c>
      <c r="X4" s="170">
        <v>5.3000000000000001E-5</v>
      </c>
      <c r="Y4" s="166">
        <v>2.5785108616580801E-2</v>
      </c>
      <c r="Z4" s="166">
        <v>3.2490740800775902E-3</v>
      </c>
    </row>
    <row r="5" spans="1:26">
      <c r="A5" s="18">
        <v>1182</v>
      </c>
      <c r="B5" s="18">
        <v>1182</v>
      </c>
      <c r="C5" s="18" t="s">
        <v>40</v>
      </c>
      <c r="D5" s="18" t="s">
        <v>45</v>
      </c>
      <c r="E5" s="18" t="s">
        <v>46</v>
      </c>
      <c r="F5" s="18" t="s">
        <v>43</v>
      </c>
      <c r="G5" s="18" t="s">
        <v>30</v>
      </c>
      <c r="H5" s="18" t="s">
        <v>30</v>
      </c>
      <c r="I5" s="18" t="s">
        <v>31</v>
      </c>
      <c r="J5" s="18" t="s">
        <v>32</v>
      </c>
      <c r="K5" s="18" t="s">
        <v>33</v>
      </c>
      <c r="L5" s="4" t="s">
        <v>34</v>
      </c>
      <c r="M5" s="152">
        <v>18.399999999999999</v>
      </c>
      <c r="N5" s="4" t="s">
        <v>47</v>
      </c>
      <c r="O5" s="161">
        <v>0.01</v>
      </c>
      <c r="P5" s="166">
        <v>2.2749999999999999E-2</v>
      </c>
      <c r="R5" s="152">
        <v>8270758</v>
      </c>
      <c r="S5" s="167">
        <v>1</v>
      </c>
      <c r="T5" s="169">
        <v>92.5</v>
      </c>
      <c r="U5" s="152">
        <v>7650.451</v>
      </c>
      <c r="W5" s="18" t="s">
        <v>36</v>
      </c>
      <c r="X5" s="170">
        <v>4.2700000000000002E-4</v>
      </c>
      <c r="Y5" s="166">
        <v>0.14739108865339601</v>
      </c>
      <c r="Z5" s="166">
        <v>1.8572136844528402E-2</v>
      </c>
    </row>
    <row r="6" spans="1:26">
      <c r="A6" s="18">
        <v>1182</v>
      </c>
      <c r="B6" s="18">
        <v>1182</v>
      </c>
      <c r="C6" s="18" t="s">
        <v>40</v>
      </c>
      <c r="D6" s="18" t="s">
        <v>48</v>
      </c>
      <c r="E6" s="18" t="s">
        <v>49</v>
      </c>
      <c r="F6" s="18" t="s">
        <v>43</v>
      </c>
      <c r="G6" s="18" t="s">
        <v>30</v>
      </c>
      <c r="H6" s="18" t="s">
        <v>30</v>
      </c>
      <c r="I6" s="18" t="s">
        <v>31</v>
      </c>
      <c r="J6" s="18" t="s">
        <v>32</v>
      </c>
      <c r="K6" s="18" t="s">
        <v>33</v>
      </c>
      <c r="L6" s="4" t="s">
        <v>34</v>
      </c>
      <c r="M6" s="152">
        <v>1.0720000000000001</v>
      </c>
      <c r="N6" s="4" t="s">
        <v>50</v>
      </c>
      <c r="O6" s="161">
        <v>7.4999999999999997E-3</v>
      </c>
      <c r="P6" s="166">
        <v>1.303E-2</v>
      </c>
      <c r="R6" s="152">
        <v>1346811</v>
      </c>
      <c r="S6" s="167">
        <v>1</v>
      </c>
      <c r="T6" s="169">
        <v>116.02</v>
      </c>
      <c r="U6" s="152">
        <v>1562.57</v>
      </c>
      <c r="W6" s="18" t="s">
        <v>36</v>
      </c>
      <c r="X6" s="170">
        <v>6.2000000000000003E-5</v>
      </c>
      <c r="Y6" s="166">
        <v>3.01039647064902E-2</v>
      </c>
      <c r="Z6" s="166">
        <v>3.79327513759367E-3</v>
      </c>
    </row>
    <row r="7" spans="1:26">
      <c r="A7" s="18">
        <v>1182</v>
      </c>
      <c r="B7" s="18">
        <v>1182</v>
      </c>
      <c r="C7" s="18" t="s">
        <v>40</v>
      </c>
      <c r="D7" s="18" t="s">
        <v>51</v>
      </c>
      <c r="E7" s="18" t="s">
        <v>52</v>
      </c>
      <c r="F7" s="18" t="s">
        <v>43</v>
      </c>
      <c r="G7" s="18" t="s">
        <v>30</v>
      </c>
      <c r="H7" s="18" t="s">
        <v>30</v>
      </c>
      <c r="I7" s="18" t="s">
        <v>31</v>
      </c>
      <c r="J7" s="18" t="s">
        <v>32</v>
      </c>
      <c r="K7" s="18" t="s">
        <v>33</v>
      </c>
      <c r="L7" s="4" t="s">
        <v>34</v>
      </c>
      <c r="M7" s="152">
        <v>7.1340000000000003</v>
      </c>
      <c r="N7" s="4" t="s">
        <v>53</v>
      </c>
      <c r="O7" s="161">
        <v>1E-3</v>
      </c>
      <c r="P7" s="166">
        <v>1.9910000000000001E-2</v>
      </c>
      <c r="R7" s="152">
        <v>202224</v>
      </c>
      <c r="S7" s="167">
        <v>1</v>
      </c>
      <c r="T7" s="169">
        <v>101.1</v>
      </c>
      <c r="U7" s="152">
        <v>204.44800000000001</v>
      </c>
      <c r="W7" s="18" t="s">
        <v>36</v>
      </c>
      <c r="X7" s="170">
        <v>6.9999999999999999E-6</v>
      </c>
      <c r="Y7" s="166">
        <v>3.93883721255767E-3</v>
      </c>
      <c r="Z7" s="166">
        <v>4.9631646246922796E-4</v>
      </c>
    </row>
    <row r="8" spans="1:26">
      <c r="A8" s="18">
        <v>1182</v>
      </c>
      <c r="B8" s="18">
        <v>1182</v>
      </c>
      <c r="C8" s="18" t="s">
        <v>54</v>
      </c>
      <c r="D8" s="18" t="s">
        <v>55</v>
      </c>
      <c r="E8" s="18" t="s">
        <v>56</v>
      </c>
      <c r="F8" s="18" t="s">
        <v>57</v>
      </c>
      <c r="G8" s="18" t="s">
        <v>30</v>
      </c>
      <c r="H8" s="18" t="s">
        <v>30</v>
      </c>
      <c r="I8" s="18" t="s">
        <v>31</v>
      </c>
      <c r="J8" s="18" t="s">
        <v>32</v>
      </c>
      <c r="K8" s="18" t="s">
        <v>33</v>
      </c>
      <c r="L8" s="4" t="s">
        <v>34</v>
      </c>
      <c r="M8" s="152">
        <v>3.86</v>
      </c>
      <c r="N8" s="4" t="s">
        <v>58</v>
      </c>
      <c r="O8" s="161">
        <v>2.2499999999999999E-2</v>
      </c>
      <c r="P8" s="166">
        <v>4.5159999999999999E-2</v>
      </c>
      <c r="R8" s="152">
        <v>266042</v>
      </c>
      <c r="S8" s="167">
        <v>1</v>
      </c>
      <c r="T8" s="169">
        <v>91.9</v>
      </c>
      <c r="U8" s="152">
        <v>244.49299999999999</v>
      </c>
      <c r="W8" s="18" t="s">
        <v>36</v>
      </c>
      <c r="X8" s="170">
        <v>7.9999999999999996E-6</v>
      </c>
      <c r="Y8" s="166">
        <v>4.71031439589247E-3</v>
      </c>
      <c r="Z8" s="166">
        <v>5.9352708729213603E-4</v>
      </c>
    </row>
    <row r="9" spans="1:26">
      <c r="A9" s="18">
        <v>1182</v>
      </c>
      <c r="B9" s="18">
        <v>1182</v>
      </c>
      <c r="C9" s="18" t="s">
        <v>54</v>
      </c>
      <c r="D9" s="18" t="s">
        <v>59</v>
      </c>
      <c r="E9" s="18" t="s">
        <v>60</v>
      </c>
      <c r="F9" s="18" t="s">
        <v>57</v>
      </c>
      <c r="G9" s="18" t="s">
        <v>30</v>
      </c>
      <c r="H9" s="18" t="s">
        <v>30</v>
      </c>
      <c r="I9" s="18" t="s">
        <v>31</v>
      </c>
      <c r="J9" s="18" t="s">
        <v>32</v>
      </c>
      <c r="K9" s="18" t="s">
        <v>33</v>
      </c>
      <c r="L9" s="4" t="s">
        <v>34</v>
      </c>
      <c r="M9" s="152">
        <v>4.0549999999999997</v>
      </c>
      <c r="N9" s="4" t="s">
        <v>61</v>
      </c>
      <c r="O9" s="161">
        <v>3.7499999999999999E-2</v>
      </c>
      <c r="P9" s="166">
        <v>4.5620000000000001E-2</v>
      </c>
      <c r="R9" s="152">
        <v>3744894</v>
      </c>
      <c r="S9" s="167">
        <v>1</v>
      </c>
      <c r="T9" s="169">
        <v>99.02</v>
      </c>
      <c r="U9" s="152">
        <v>3708.194</v>
      </c>
      <c r="W9" s="18" t="s">
        <v>36</v>
      </c>
      <c r="X9" s="170">
        <v>1.16E-4</v>
      </c>
      <c r="Y9" s="166">
        <v>7.1440853042603197E-2</v>
      </c>
      <c r="Z9" s="166">
        <v>9.0019641697415605E-3</v>
      </c>
    </row>
    <row r="10" spans="1:26">
      <c r="A10" s="18">
        <v>1182</v>
      </c>
      <c r="B10" s="18">
        <v>1182</v>
      </c>
      <c r="C10" s="18" t="s">
        <v>54</v>
      </c>
      <c r="D10" s="18" t="s">
        <v>62</v>
      </c>
      <c r="E10" s="18" t="s">
        <v>63</v>
      </c>
      <c r="F10" s="18" t="s">
        <v>57</v>
      </c>
      <c r="G10" s="18" t="s">
        <v>30</v>
      </c>
      <c r="H10" s="18" t="s">
        <v>30</v>
      </c>
      <c r="I10" s="18" t="s">
        <v>31</v>
      </c>
      <c r="J10" s="18" t="s">
        <v>32</v>
      </c>
      <c r="K10" s="18" t="s">
        <v>33</v>
      </c>
      <c r="L10" s="4" t="s">
        <v>34</v>
      </c>
      <c r="M10" s="152">
        <v>2.44</v>
      </c>
      <c r="N10" s="4" t="s">
        <v>64</v>
      </c>
      <c r="O10" s="161">
        <v>0.02</v>
      </c>
      <c r="P10" s="166">
        <v>4.4049999999999999E-2</v>
      </c>
      <c r="R10" s="152">
        <v>528276</v>
      </c>
      <c r="S10" s="167">
        <v>1</v>
      </c>
      <c r="T10" s="169">
        <v>95.44</v>
      </c>
      <c r="U10" s="152">
        <v>504.18700000000001</v>
      </c>
      <c r="W10" s="18" t="s">
        <v>36</v>
      </c>
      <c r="X10" s="170">
        <v>2.0000000000000002E-5</v>
      </c>
      <c r="Y10" s="166">
        <v>9.7134943448251299E-3</v>
      </c>
      <c r="Z10" s="166">
        <v>1.22395694243682E-3</v>
      </c>
    </row>
    <row r="11" spans="1:26">
      <c r="A11" s="18">
        <v>1182</v>
      </c>
      <c r="B11" s="18">
        <v>1182</v>
      </c>
      <c r="C11" s="18" t="s">
        <v>54</v>
      </c>
      <c r="D11" s="18" t="s">
        <v>65</v>
      </c>
      <c r="E11" s="18" t="s">
        <v>66</v>
      </c>
      <c r="F11" s="18" t="s">
        <v>57</v>
      </c>
      <c r="G11" s="18" t="s">
        <v>30</v>
      </c>
      <c r="H11" s="18" t="s">
        <v>30</v>
      </c>
      <c r="I11" s="18" t="s">
        <v>31</v>
      </c>
      <c r="J11" s="18" t="s">
        <v>32</v>
      </c>
      <c r="K11" s="18" t="s">
        <v>33</v>
      </c>
      <c r="L11" s="4" t="s">
        <v>34</v>
      </c>
      <c r="M11" s="152">
        <v>14.32</v>
      </c>
      <c r="N11" s="4" t="s">
        <v>67</v>
      </c>
      <c r="O11" s="161">
        <v>3.7499999999999999E-2</v>
      </c>
      <c r="P11" s="166">
        <v>5.3379999999999997E-2</v>
      </c>
      <c r="R11" s="152">
        <v>1302268</v>
      </c>
      <c r="S11" s="167">
        <v>1</v>
      </c>
      <c r="T11" s="169">
        <v>81.36</v>
      </c>
      <c r="U11" s="152">
        <v>1059.5250000000001</v>
      </c>
      <c r="W11" s="18" t="s">
        <v>36</v>
      </c>
      <c r="X11" s="170">
        <v>5.0000000000000002E-5</v>
      </c>
      <c r="Y11" s="166">
        <v>2.0412466693134498E-2</v>
      </c>
      <c r="Z11" s="166">
        <v>2.5720898612179299E-3</v>
      </c>
    </row>
    <row r="12" spans="1:26">
      <c r="A12" s="18">
        <v>1182</v>
      </c>
      <c r="B12" s="18">
        <v>1182</v>
      </c>
      <c r="C12" s="18" t="s">
        <v>40</v>
      </c>
      <c r="D12" s="18" t="s">
        <v>68</v>
      </c>
      <c r="E12" s="18" t="s">
        <v>69</v>
      </c>
      <c r="F12" s="18" t="s">
        <v>43</v>
      </c>
      <c r="G12" s="18" t="s">
        <v>30</v>
      </c>
      <c r="H12" s="18" t="s">
        <v>30</v>
      </c>
      <c r="I12" s="18" t="s">
        <v>31</v>
      </c>
      <c r="J12" s="18" t="s">
        <v>32</v>
      </c>
      <c r="K12" s="18" t="s">
        <v>33</v>
      </c>
      <c r="L12" s="4" t="s">
        <v>34</v>
      </c>
      <c r="M12" s="152">
        <v>13.85</v>
      </c>
      <c r="N12" s="4" t="s">
        <v>70</v>
      </c>
      <c r="O12" s="161">
        <v>2.75E-2</v>
      </c>
      <c r="P12" s="166">
        <v>2.24E-2</v>
      </c>
      <c r="R12" s="152">
        <v>68189</v>
      </c>
      <c r="S12" s="167">
        <v>1</v>
      </c>
      <c r="T12" s="169">
        <v>132.61000000000001</v>
      </c>
      <c r="U12" s="152">
        <v>90.424999999999997</v>
      </c>
      <c r="W12" s="18" t="s">
        <v>36</v>
      </c>
      <c r="X12" s="170">
        <v>3.9999999999999998E-6</v>
      </c>
      <c r="Y12" s="166">
        <v>1.74210680334657E-3</v>
      </c>
      <c r="Z12" s="166">
        <v>2.1951561824488201E-4</v>
      </c>
    </row>
    <row r="13" spans="1:26">
      <c r="A13" s="18">
        <v>1182</v>
      </c>
      <c r="B13" s="18">
        <v>1182</v>
      </c>
      <c r="C13" s="18" t="s">
        <v>40</v>
      </c>
      <c r="D13" s="18" t="s">
        <v>71</v>
      </c>
      <c r="E13" s="18" t="s">
        <v>72</v>
      </c>
      <c r="F13" s="18" t="s">
        <v>43</v>
      </c>
      <c r="G13" s="18" t="s">
        <v>30</v>
      </c>
      <c r="H13" s="18" t="s">
        <v>30</v>
      </c>
      <c r="I13" s="18" t="s">
        <v>31</v>
      </c>
      <c r="J13" s="18" t="s">
        <v>32</v>
      </c>
      <c r="K13" s="18" t="s">
        <v>33</v>
      </c>
      <c r="L13" s="4" t="s">
        <v>34</v>
      </c>
      <c r="M13" s="152">
        <v>9.6419999999999995</v>
      </c>
      <c r="N13" s="4" t="s">
        <v>73</v>
      </c>
      <c r="O13" s="161">
        <v>0.04</v>
      </c>
      <c r="P13" s="166">
        <v>2.1739999999999999E-2</v>
      </c>
      <c r="R13" s="152">
        <v>2733038</v>
      </c>
      <c r="S13" s="167">
        <v>1</v>
      </c>
      <c r="T13" s="169">
        <v>164.63</v>
      </c>
      <c r="U13" s="152">
        <v>4499.3999999999996</v>
      </c>
      <c r="W13" s="18" t="s">
        <v>36</v>
      </c>
      <c r="X13" s="170">
        <v>1.7200000000000001E-4</v>
      </c>
      <c r="Y13" s="166">
        <v>8.6683977061739095E-2</v>
      </c>
      <c r="Z13" s="166">
        <v>1.0922686703294699E-2</v>
      </c>
    </row>
    <row r="14" spans="1:26">
      <c r="A14" s="18">
        <v>1182</v>
      </c>
      <c r="B14" s="18">
        <v>1182</v>
      </c>
      <c r="C14" s="18" t="s">
        <v>40</v>
      </c>
      <c r="D14" s="18" t="s">
        <v>74</v>
      </c>
      <c r="E14" s="18" t="s">
        <v>75</v>
      </c>
      <c r="F14" s="18" t="s">
        <v>43</v>
      </c>
      <c r="G14" s="18" t="s">
        <v>30</v>
      </c>
      <c r="H14" s="18" t="s">
        <v>30</v>
      </c>
      <c r="I14" s="18" t="s">
        <v>31</v>
      </c>
      <c r="J14" s="18" t="s">
        <v>32</v>
      </c>
      <c r="K14" s="18" t="s">
        <v>33</v>
      </c>
      <c r="L14" s="4" t="s">
        <v>34</v>
      </c>
      <c r="M14" s="152">
        <v>4.6100000000000003</v>
      </c>
      <c r="N14" s="4" t="s">
        <v>76</v>
      </c>
      <c r="O14" s="161">
        <v>5.0000000000000001E-3</v>
      </c>
      <c r="P14" s="166">
        <v>1.8280000000000001E-2</v>
      </c>
      <c r="R14" s="152">
        <v>3395355</v>
      </c>
      <c r="S14" s="167">
        <v>1</v>
      </c>
      <c r="T14" s="169">
        <v>108.85</v>
      </c>
      <c r="U14" s="152">
        <v>3695.8440000000001</v>
      </c>
      <c r="W14" s="18" t="s">
        <v>36</v>
      </c>
      <c r="X14" s="170">
        <v>1.26E-4</v>
      </c>
      <c r="Y14" s="166">
        <v>7.1202919646556603E-2</v>
      </c>
      <c r="Z14" s="166">
        <v>8.9719831740678394E-3</v>
      </c>
    </row>
    <row r="15" spans="1:26">
      <c r="A15" s="18">
        <v>1182</v>
      </c>
      <c r="B15" s="18">
        <v>1182</v>
      </c>
      <c r="C15" s="18" t="s">
        <v>40</v>
      </c>
      <c r="D15" s="18" t="s">
        <v>77</v>
      </c>
      <c r="E15" s="18" t="s">
        <v>78</v>
      </c>
      <c r="F15" s="18" t="s">
        <v>43</v>
      </c>
      <c r="G15" s="18" t="s">
        <v>30</v>
      </c>
      <c r="H15" s="18" t="s">
        <v>30</v>
      </c>
      <c r="I15" s="18" t="s">
        <v>31</v>
      </c>
      <c r="J15" s="18" t="s">
        <v>32</v>
      </c>
      <c r="K15" s="18" t="s">
        <v>33</v>
      </c>
      <c r="L15" s="4" t="s">
        <v>34</v>
      </c>
      <c r="M15" s="152">
        <v>1.83</v>
      </c>
      <c r="N15" s="4" t="s">
        <v>79</v>
      </c>
      <c r="O15" s="161">
        <v>1E-3</v>
      </c>
      <c r="P15" s="166">
        <v>1.5679999999999999E-2</v>
      </c>
      <c r="R15" s="152">
        <v>5857939</v>
      </c>
      <c r="S15" s="167">
        <v>1</v>
      </c>
      <c r="T15" s="169">
        <v>112.44</v>
      </c>
      <c r="U15" s="152">
        <v>6586.6670000000004</v>
      </c>
      <c r="W15" s="18" t="s">
        <v>36</v>
      </c>
      <c r="X15" s="170">
        <v>2.9E-4</v>
      </c>
      <c r="Y15" s="166">
        <v>0.12689656380339101</v>
      </c>
      <c r="Z15" s="166">
        <v>1.5989707176931801E-2</v>
      </c>
    </row>
    <row r="16" spans="1:26">
      <c r="A16" s="18">
        <v>1182</v>
      </c>
      <c r="B16" s="18">
        <v>1182</v>
      </c>
      <c r="C16" s="18" t="s">
        <v>40</v>
      </c>
      <c r="D16" s="18" t="s">
        <v>80</v>
      </c>
      <c r="E16" s="18" t="s">
        <v>81</v>
      </c>
      <c r="F16" s="18" t="s">
        <v>43</v>
      </c>
      <c r="G16" s="18" t="s">
        <v>30</v>
      </c>
      <c r="H16" s="18" t="s">
        <v>30</v>
      </c>
      <c r="I16" s="18" t="s">
        <v>31</v>
      </c>
      <c r="J16" s="18" t="s">
        <v>32</v>
      </c>
      <c r="K16" s="18" t="s">
        <v>33</v>
      </c>
      <c r="L16" s="4" t="s">
        <v>34</v>
      </c>
      <c r="M16" s="152">
        <v>3.972</v>
      </c>
      <c r="N16" s="4" t="s">
        <v>82</v>
      </c>
      <c r="O16" s="161">
        <v>1.0999999999999999E-2</v>
      </c>
      <c r="P16" s="166">
        <v>1.806E-2</v>
      </c>
      <c r="R16" s="152">
        <v>4462520</v>
      </c>
      <c r="S16" s="167">
        <v>1</v>
      </c>
      <c r="T16" s="169">
        <v>102.6</v>
      </c>
      <c r="U16" s="152">
        <v>4578.5460000000003</v>
      </c>
      <c r="W16" s="18" t="s">
        <v>36</v>
      </c>
      <c r="X16" s="170">
        <v>2.1900000000000001E-4</v>
      </c>
      <c r="Y16" s="166">
        <v>8.8208759903254594E-2</v>
      </c>
      <c r="Z16" s="166">
        <v>1.11148182347838E-2</v>
      </c>
    </row>
    <row r="17" spans="1:26">
      <c r="A17" s="18">
        <v>1182</v>
      </c>
      <c r="B17" s="18">
        <v>1182</v>
      </c>
      <c r="C17" s="18" t="s">
        <v>40</v>
      </c>
      <c r="D17" s="18" t="s">
        <v>83</v>
      </c>
      <c r="E17" s="18" t="s">
        <v>84</v>
      </c>
      <c r="F17" s="18" t="s">
        <v>43</v>
      </c>
      <c r="G17" s="18" t="s">
        <v>30</v>
      </c>
      <c r="H17" s="18" t="s">
        <v>30</v>
      </c>
      <c r="I17" s="18" t="s">
        <v>85</v>
      </c>
      <c r="J17" s="18" t="s">
        <v>32</v>
      </c>
      <c r="K17" s="18" t="s">
        <v>33</v>
      </c>
      <c r="L17" s="4" t="s">
        <v>34</v>
      </c>
      <c r="M17" s="152">
        <v>8.4309999999999992</v>
      </c>
      <c r="N17" s="4" t="s">
        <v>86</v>
      </c>
      <c r="O17" s="161">
        <v>1.6E-2</v>
      </c>
      <c r="P17" s="166">
        <v>2.128E-2</v>
      </c>
      <c r="R17" s="152">
        <v>4832498</v>
      </c>
      <c r="S17" s="167">
        <v>1</v>
      </c>
      <c r="T17" s="169">
        <v>100.1</v>
      </c>
      <c r="U17" s="152">
        <v>4837.33</v>
      </c>
      <c r="W17" s="18" t="s">
        <v>36</v>
      </c>
      <c r="X17" s="170">
        <v>5.0100000000000003E-4</v>
      </c>
      <c r="Y17" s="166">
        <v>9.3194426615807305E-2</v>
      </c>
      <c r="Z17" s="166">
        <v>1.1743041319996801E-2</v>
      </c>
    </row>
    <row r="18" spans="1:26">
      <c r="A18" s="18">
        <v>1182</v>
      </c>
      <c r="B18" s="18">
        <v>1182</v>
      </c>
      <c r="C18" s="18" t="s">
        <v>54</v>
      </c>
      <c r="D18" s="18" t="s">
        <v>87</v>
      </c>
      <c r="E18" s="18" t="s">
        <v>88</v>
      </c>
      <c r="F18" s="18" t="s">
        <v>57</v>
      </c>
      <c r="G18" s="18" t="s">
        <v>30</v>
      </c>
      <c r="H18" s="18" t="s">
        <v>30</v>
      </c>
      <c r="I18" s="18" t="s">
        <v>31</v>
      </c>
      <c r="J18" s="18" t="s">
        <v>32</v>
      </c>
      <c r="K18" s="18" t="s">
        <v>33</v>
      </c>
      <c r="L18" s="4" t="s">
        <v>34</v>
      </c>
      <c r="M18" s="152">
        <v>11.205</v>
      </c>
      <c r="N18" s="4" t="s">
        <v>89</v>
      </c>
      <c r="O18" s="161">
        <v>1.4999999999999999E-2</v>
      </c>
      <c r="P18" s="166">
        <v>5.042E-2</v>
      </c>
      <c r="R18" s="152">
        <v>1638924</v>
      </c>
      <c r="S18" s="167">
        <v>1</v>
      </c>
      <c r="T18" s="169">
        <v>67.92</v>
      </c>
      <c r="U18" s="152">
        <v>1113.1569999999999</v>
      </c>
      <c r="W18" s="18" t="s">
        <v>36</v>
      </c>
      <c r="X18" s="170">
        <v>5.1E-5</v>
      </c>
      <c r="Y18" s="166">
        <v>2.1445722023917101E-2</v>
      </c>
      <c r="Z18" s="166">
        <v>2.7022860594681499E-3</v>
      </c>
    </row>
    <row r="19" spans="1:26">
      <c r="A19" s="18">
        <v>1182</v>
      </c>
      <c r="B19" s="18">
        <v>1182</v>
      </c>
      <c r="C19" s="18" t="s">
        <v>54</v>
      </c>
      <c r="D19" s="18" t="s">
        <v>90</v>
      </c>
      <c r="E19" s="18" t="s">
        <v>91</v>
      </c>
      <c r="F19" s="18" t="s">
        <v>57</v>
      </c>
      <c r="G19" s="18" t="s">
        <v>30</v>
      </c>
      <c r="H19" s="18" t="s">
        <v>30</v>
      </c>
      <c r="I19" s="18" t="s">
        <v>31</v>
      </c>
      <c r="J19" s="18" t="s">
        <v>32</v>
      </c>
      <c r="K19" s="18" t="s">
        <v>33</v>
      </c>
      <c r="L19" s="4" t="s">
        <v>34</v>
      </c>
      <c r="M19" s="152">
        <v>7.1239999999999997</v>
      </c>
      <c r="N19" s="4" t="s">
        <v>92</v>
      </c>
      <c r="O19" s="161">
        <v>1.2999999999999999E-2</v>
      </c>
      <c r="P19" s="166">
        <v>4.7539999999999999E-2</v>
      </c>
      <c r="R19" s="152">
        <v>3708519</v>
      </c>
      <c r="S19" s="167">
        <v>1</v>
      </c>
      <c r="T19" s="169">
        <v>78.98</v>
      </c>
      <c r="U19" s="152">
        <v>2928.9879999999998</v>
      </c>
      <c r="W19" s="18" t="s">
        <v>36</v>
      </c>
      <c r="X19" s="170">
        <v>1.2400000000000001E-4</v>
      </c>
      <c r="Y19" s="166">
        <v>5.6428930351889603E-2</v>
      </c>
      <c r="Z19" s="166">
        <v>7.1103743520759396E-3</v>
      </c>
    </row>
    <row r="20" spans="1:26">
      <c r="A20" s="4">
        <v>1182</v>
      </c>
      <c r="B20" s="4">
        <v>1182</v>
      </c>
      <c r="C20" s="4" t="s">
        <v>93</v>
      </c>
      <c r="D20" s="4" t="s">
        <v>94</v>
      </c>
      <c r="E20" s="4" t="s">
        <v>95</v>
      </c>
      <c r="F20" s="18" t="s">
        <v>96</v>
      </c>
      <c r="G20" s="18" t="s">
        <v>97</v>
      </c>
      <c r="H20" s="18" t="s">
        <v>98</v>
      </c>
      <c r="I20" s="18" t="s">
        <v>99</v>
      </c>
      <c r="J20" s="4" t="s">
        <v>100</v>
      </c>
      <c r="K20" s="18" t="s">
        <v>101</v>
      </c>
      <c r="L20" s="4" t="s">
        <v>102</v>
      </c>
      <c r="M20" s="152">
        <v>4.2000000000000003E-2</v>
      </c>
      <c r="N20" s="4" t="s">
        <v>103</v>
      </c>
      <c r="O20" s="161">
        <v>0</v>
      </c>
      <c r="P20" s="166">
        <v>5.1490000000000001E-2</v>
      </c>
      <c r="R20" s="152">
        <v>550000</v>
      </c>
      <c r="S20" s="167">
        <v>3.71</v>
      </c>
      <c r="T20" s="169">
        <v>99.61</v>
      </c>
      <c r="U20" s="152">
        <v>2032.5440000000001</v>
      </c>
      <c r="W20" s="18" t="s">
        <v>36</v>
      </c>
      <c r="X20" s="170">
        <v>1.9999999999999999E-6</v>
      </c>
      <c r="Y20" s="166">
        <v>3.9158329405818301E-2</v>
      </c>
      <c r="Z20" s="166">
        <v>4.9341779002541001E-3</v>
      </c>
    </row>
    <row r="21" spans="1:26">
      <c r="A21" s="4">
        <v>12904</v>
      </c>
      <c r="B21" s="4">
        <v>12905</v>
      </c>
      <c r="C21" s="4" t="s">
        <v>26</v>
      </c>
      <c r="D21" s="4" t="s">
        <v>104</v>
      </c>
      <c r="E21" s="4" t="s">
        <v>105</v>
      </c>
      <c r="F21" s="4" t="s">
        <v>29</v>
      </c>
      <c r="G21" s="4" t="s">
        <v>30</v>
      </c>
      <c r="H21" s="4" t="s">
        <v>30</v>
      </c>
      <c r="I21" s="4" t="s">
        <v>31</v>
      </c>
      <c r="J21" s="4" t="s">
        <v>32</v>
      </c>
      <c r="K21" s="4" t="s">
        <v>33</v>
      </c>
      <c r="L21" s="18" t="s">
        <v>34</v>
      </c>
      <c r="M21" s="152">
        <v>0.1</v>
      </c>
      <c r="N21" s="4" t="s">
        <v>106</v>
      </c>
      <c r="O21" s="165">
        <v>0</v>
      </c>
      <c r="P21" s="166">
        <v>4.487E-2</v>
      </c>
      <c r="R21" s="152">
        <v>370000</v>
      </c>
      <c r="S21" s="167">
        <v>1</v>
      </c>
      <c r="T21" s="169">
        <v>99.58</v>
      </c>
      <c r="U21" s="152">
        <v>368.44600000000003</v>
      </c>
      <c r="W21" s="4" t="s">
        <v>36</v>
      </c>
      <c r="X21" s="166">
        <v>9.0000000000000002E-6</v>
      </c>
      <c r="Y21" s="166">
        <v>5.23862841484787E-2</v>
      </c>
      <c r="Z21" s="166">
        <v>1.08863629412978E-2</v>
      </c>
    </row>
    <row r="22" spans="1:26">
      <c r="A22" s="4">
        <v>12904</v>
      </c>
      <c r="B22" s="4">
        <v>12905</v>
      </c>
      <c r="C22" s="4" t="s">
        <v>26</v>
      </c>
      <c r="D22" s="4" t="s">
        <v>107</v>
      </c>
      <c r="E22" s="4" t="s">
        <v>108</v>
      </c>
      <c r="F22" s="4" t="s">
        <v>29</v>
      </c>
      <c r="G22" s="4" t="s">
        <v>30</v>
      </c>
      <c r="H22" s="4" t="s">
        <v>30</v>
      </c>
      <c r="I22" s="4" t="s">
        <v>85</v>
      </c>
      <c r="J22" s="4" t="s">
        <v>32</v>
      </c>
      <c r="K22" s="4" t="s">
        <v>33</v>
      </c>
      <c r="L22" s="18" t="s">
        <v>34</v>
      </c>
      <c r="M22" s="152">
        <v>0.55600000000000005</v>
      </c>
      <c r="N22" s="4" t="s">
        <v>109</v>
      </c>
      <c r="O22" s="165">
        <v>0</v>
      </c>
      <c r="P22" s="166">
        <v>4.3150000000000001E-2</v>
      </c>
      <c r="R22" s="152">
        <v>155860</v>
      </c>
      <c r="S22" s="167">
        <v>1</v>
      </c>
      <c r="T22" s="169">
        <v>97.52</v>
      </c>
      <c r="U22" s="152">
        <v>151.995</v>
      </c>
      <c r="W22" s="4" t="s">
        <v>36</v>
      </c>
      <c r="X22" s="166">
        <v>1.1E-5</v>
      </c>
      <c r="Y22" s="166">
        <v>2.1610863129052301E-2</v>
      </c>
      <c r="Z22" s="166">
        <v>4.4909407743211E-3</v>
      </c>
    </row>
    <row r="23" spans="1:26">
      <c r="A23" s="4">
        <v>12904</v>
      </c>
      <c r="B23" s="4">
        <v>12905</v>
      </c>
      <c r="C23" s="4" t="s">
        <v>26</v>
      </c>
      <c r="D23" s="4" t="s">
        <v>110</v>
      </c>
      <c r="E23" s="4" t="s">
        <v>111</v>
      </c>
      <c r="F23" s="4" t="s">
        <v>29</v>
      </c>
      <c r="G23" s="4" t="s">
        <v>30</v>
      </c>
      <c r="H23" s="4" t="s">
        <v>30</v>
      </c>
      <c r="I23" s="4" t="s">
        <v>85</v>
      </c>
      <c r="J23" s="4" t="s">
        <v>32</v>
      </c>
      <c r="K23" s="4" t="s">
        <v>33</v>
      </c>
      <c r="L23" s="18" t="s">
        <v>34</v>
      </c>
      <c r="M23" s="152">
        <v>0.63300000000000001</v>
      </c>
      <c r="N23" s="4" t="s">
        <v>112</v>
      </c>
      <c r="O23" s="165">
        <v>0</v>
      </c>
      <c r="P23" s="166">
        <v>4.2900000000000001E-2</v>
      </c>
      <c r="R23" s="152">
        <v>227649</v>
      </c>
      <c r="S23" s="167">
        <v>1</v>
      </c>
      <c r="T23" s="169">
        <v>97.22</v>
      </c>
      <c r="U23" s="152">
        <v>221.32</v>
      </c>
      <c r="W23" s="4" t="s">
        <v>36</v>
      </c>
      <c r="X23" s="166">
        <v>1.9000000000000001E-5</v>
      </c>
      <c r="Y23" s="166">
        <v>3.1467708026559599E-2</v>
      </c>
      <c r="Z23" s="166">
        <v>6.5392859233339203E-3</v>
      </c>
    </row>
    <row r="24" spans="1:26">
      <c r="A24" s="4">
        <v>12904</v>
      </c>
      <c r="B24" s="4">
        <v>12905</v>
      </c>
      <c r="C24" s="4" t="s">
        <v>40</v>
      </c>
      <c r="D24" s="4" t="s">
        <v>45</v>
      </c>
      <c r="E24" s="4" t="s">
        <v>46</v>
      </c>
      <c r="F24" s="4" t="s">
        <v>43</v>
      </c>
      <c r="G24" s="4" t="s">
        <v>30</v>
      </c>
      <c r="H24" s="4" t="s">
        <v>30</v>
      </c>
      <c r="I24" s="4" t="s">
        <v>31</v>
      </c>
      <c r="J24" s="4" t="s">
        <v>32</v>
      </c>
      <c r="K24" s="4" t="s">
        <v>33</v>
      </c>
      <c r="L24" s="18" t="s">
        <v>34</v>
      </c>
      <c r="M24" s="152">
        <v>18.399999999999999</v>
      </c>
      <c r="N24" s="4" t="s">
        <v>47</v>
      </c>
      <c r="O24" s="165">
        <v>0.01</v>
      </c>
      <c r="P24" s="166">
        <v>2.2749999999999999E-2</v>
      </c>
      <c r="R24" s="152">
        <v>609170</v>
      </c>
      <c r="S24" s="167">
        <v>1</v>
      </c>
      <c r="T24" s="169">
        <v>92.5</v>
      </c>
      <c r="U24" s="152">
        <v>563.48199999999997</v>
      </c>
      <c r="W24" s="4" t="s">
        <v>36</v>
      </c>
      <c r="X24" s="166">
        <v>3.1000000000000001E-5</v>
      </c>
      <c r="Y24" s="166">
        <v>8.0116872651960103E-2</v>
      </c>
      <c r="Z24" s="166">
        <v>1.6649040251432001E-2</v>
      </c>
    </row>
    <row r="25" spans="1:26">
      <c r="A25" s="4">
        <v>12904</v>
      </c>
      <c r="B25" s="4">
        <v>12905</v>
      </c>
      <c r="C25" s="4" t="s">
        <v>40</v>
      </c>
      <c r="D25" s="4" t="s">
        <v>48</v>
      </c>
      <c r="E25" s="4" t="s">
        <v>49</v>
      </c>
      <c r="F25" s="4" t="s">
        <v>43</v>
      </c>
      <c r="G25" s="4" t="s">
        <v>30</v>
      </c>
      <c r="H25" s="4" t="s">
        <v>30</v>
      </c>
      <c r="I25" s="4" t="s">
        <v>31</v>
      </c>
      <c r="J25" s="4" t="s">
        <v>32</v>
      </c>
      <c r="K25" s="4" t="s">
        <v>33</v>
      </c>
      <c r="L25" s="18" t="s">
        <v>34</v>
      </c>
      <c r="M25" s="152">
        <v>1.0720000000000001</v>
      </c>
      <c r="N25" s="4" t="s">
        <v>50</v>
      </c>
      <c r="O25" s="165">
        <v>7.4999999999999997E-3</v>
      </c>
      <c r="P25" s="166">
        <v>1.303E-2</v>
      </c>
      <c r="R25" s="152">
        <v>509082</v>
      </c>
      <c r="S25" s="167">
        <v>1</v>
      </c>
      <c r="T25" s="169">
        <v>116.02</v>
      </c>
      <c r="U25" s="152">
        <v>590.63699999999994</v>
      </c>
      <c r="W25" s="4" t="s">
        <v>36</v>
      </c>
      <c r="X25" s="166">
        <v>2.3E-5</v>
      </c>
      <c r="Y25" s="166">
        <v>8.39777725333897E-2</v>
      </c>
      <c r="Z25" s="166">
        <v>1.7451371588201901E-2</v>
      </c>
    </row>
    <row r="26" spans="1:26">
      <c r="A26" s="4">
        <v>12904</v>
      </c>
      <c r="B26" s="4">
        <v>12905</v>
      </c>
      <c r="C26" s="4" t="s">
        <v>40</v>
      </c>
      <c r="D26" s="4" t="s">
        <v>51</v>
      </c>
      <c r="E26" s="4" t="s">
        <v>52</v>
      </c>
      <c r="F26" s="4" t="s">
        <v>43</v>
      </c>
      <c r="G26" s="4" t="s">
        <v>30</v>
      </c>
      <c r="H26" s="4" t="s">
        <v>30</v>
      </c>
      <c r="I26" s="4" t="s">
        <v>31</v>
      </c>
      <c r="J26" s="4" t="s">
        <v>32</v>
      </c>
      <c r="K26" s="4" t="s">
        <v>33</v>
      </c>
      <c r="L26" s="18" t="s">
        <v>34</v>
      </c>
      <c r="M26" s="152">
        <v>7.1340000000000003</v>
      </c>
      <c r="N26" s="4" t="s">
        <v>53</v>
      </c>
      <c r="O26" s="165">
        <v>1E-3</v>
      </c>
      <c r="P26" s="166">
        <v>1.9910000000000001E-2</v>
      </c>
      <c r="R26" s="152">
        <v>141557</v>
      </c>
      <c r="S26" s="167">
        <v>1</v>
      </c>
      <c r="T26" s="169">
        <v>101.1</v>
      </c>
      <c r="U26" s="152">
        <v>143.114</v>
      </c>
      <c r="W26" s="4" t="s">
        <v>36</v>
      </c>
      <c r="X26" s="166">
        <v>5.0000000000000004E-6</v>
      </c>
      <c r="Y26" s="166">
        <v>2.0348212011213201E-2</v>
      </c>
      <c r="Z26" s="166">
        <v>4.2285499871052602E-3</v>
      </c>
    </row>
    <row r="27" spans="1:26">
      <c r="A27" s="4">
        <v>12904</v>
      </c>
      <c r="B27" s="4">
        <v>12905</v>
      </c>
      <c r="C27" s="4" t="s">
        <v>54</v>
      </c>
      <c r="D27" s="4" t="s">
        <v>113</v>
      </c>
      <c r="E27" s="4" t="s">
        <v>114</v>
      </c>
      <c r="F27" s="4" t="s">
        <v>57</v>
      </c>
      <c r="G27" s="4" t="s">
        <v>30</v>
      </c>
      <c r="H27" s="4" t="s">
        <v>30</v>
      </c>
      <c r="I27" s="4" t="s">
        <v>31</v>
      </c>
      <c r="J27" s="4" t="s">
        <v>32</v>
      </c>
      <c r="K27" s="4" t="s">
        <v>33</v>
      </c>
      <c r="L27" s="4" t="s">
        <v>34</v>
      </c>
      <c r="M27" s="152">
        <v>2.89</v>
      </c>
      <c r="N27" s="4" t="s">
        <v>115</v>
      </c>
      <c r="O27" s="165">
        <v>3.7499999999999999E-2</v>
      </c>
      <c r="P27" s="166">
        <v>4.453E-2</v>
      </c>
      <c r="R27" s="152">
        <v>81000</v>
      </c>
      <c r="S27" s="167">
        <v>1</v>
      </c>
      <c r="T27" s="169">
        <v>98.09</v>
      </c>
      <c r="U27" s="152">
        <v>79.453000000000003</v>
      </c>
      <c r="W27" s="4" t="s">
        <v>36</v>
      </c>
      <c r="X27" s="166">
        <v>5.0000000000000004E-6</v>
      </c>
      <c r="Y27" s="166">
        <v>1.1296749580184499E-2</v>
      </c>
      <c r="Z27" s="166">
        <v>2.3475708954328201E-3</v>
      </c>
    </row>
    <row r="28" spans="1:26">
      <c r="A28" s="4">
        <v>12904</v>
      </c>
      <c r="B28" s="4">
        <v>12905</v>
      </c>
      <c r="C28" s="4" t="s">
        <v>54</v>
      </c>
      <c r="D28" s="4" t="s">
        <v>59</v>
      </c>
      <c r="E28" s="4" t="s">
        <v>60</v>
      </c>
      <c r="F28" s="4" t="s">
        <v>57</v>
      </c>
      <c r="G28" s="4" t="s">
        <v>30</v>
      </c>
      <c r="H28" s="4" t="s">
        <v>30</v>
      </c>
      <c r="I28" s="4" t="s">
        <v>31</v>
      </c>
      <c r="J28" s="4" t="s">
        <v>32</v>
      </c>
      <c r="K28" s="4" t="s">
        <v>33</v>
      </c>
      <c r="L28" s="4" t="s">
        <v>34</v>
      </c>
      <c r="M28" s="152">
        <v>4.0549999999999997</v>
      </c>
      <c r="N28" s="4" t="s">
        <v>61</v>
      </c>
      <c r="O28" s="165">
        <v>3.7499999999999999E-2</v>
      </c>
      <c r="P28" s="166">
        <v>4.5620000000000001E-2</v>
      </c>
      <c r="R28" s="152">
        <v>554808</v>
      </c>
      <c r="S28" s="167">
        <v>1</v>
      </c>
      <c r="T28" s="169">
        <v>99.02</v>
      </c>
      <c r="U28" s="152">
        <v>549.37099999999998</v>
      </c>
      <c r="W28" s="4" t="s">
        <v>36</v>
      </c>
      <c r="X28" s="166">
        <v>1.7E-5</v>
      </c>
      <c r="Y28" s="166">
        <v>7.8110494092479804E-2</v>
      </c>
      <c r="Z28" s="166">
        <v>1.6232095901375899E-2</v>
      </c>
    </row>
    <row r="29" spans="1:26">
      <c r="A29" s="4">
        <v>12904</v>
      </c>
      <c r="B29" s="4">
        <v>12905</v>
      </c>
      <c r="C29" s="4" t="s">
        <v>54</v>
      </c>
      <c r="D29" s="4" t="s">
        <v>62</v>
      </c>
      <c r="E29" s="4" t="s">
        <v>63</v>
      </c>
      <c r="F29" s="4" t="s">
        <v>57</v>
      </c>
      <c r="G29" s="4" t="s">
        <v>30</v>
      </c>
      <c r="H29" s="4" t="s">
        <v>30</v>
      </c>
      <c r="I29" s="4" t="s">
        <v>31</v>
      </c>
      <c r="J29" s="4" t="s">
        <v>32</v>
      </c>
      <c r="K29" s="4" t="s">
        <v>33</v>
      </c>
      <c r="L29" s="4" t="s">
        <v>34</v>
      </c>
      <c r="M29" s="152">
        <v>2.44</v>
      </c>
      <c r="N29" s="4" t="s">
        <v>64</v>
      </c>
      <c r="O29" s="165">
        <v>0.02</v>
      </c>
      <c r="P29" s="166">
        <v>4.4049999999999999E-2</v>
      </c>
      <c r="R29" s="152">
        <v>32343</v>
      </c>
      <c r="S29" s="167">
        <v>1</v>
      </c>
      <c r="T29" s="169">
        <v>95.44</v>
      </c>
      <c r="U29" s="152">
        <v>30.867999999999999</v>
      </c>
      <c r="W29" s="4" t="s">
        <v>36</v>
      </c>
      <c r="X29" s="166">
        <v>9.9999999999999995E-7</v>
      </c>
      <c r="Y29" s="166">
        <v>4.3888878125741002E-3</v>
      </c>
      <c r="Z29" s="166">
        <v>9.1205219864229998E-4</v>
      </c>
    </row>
    <row r="30" spans="1:26">
      <c r="A30" s="4">
        <v>12904</v>
      </c>
      <c r="B30" s="4">
        <v>12905</v>
      </c>
      <c r="C30" s="4" t="s">
        <v>54</v>
      </c>
      <c r="D30" s="4" t="s">
        <v>65</v>
      </c>
      <c r="E30" s="4" t="s">
        <v>66</v>
      </c>
      <c r="F30" s="4" t="s">
        <v>57</v>
      </c>
      <c r="G30" s="4" t="s">
        <v>30</v>
      </c>
      <c r="H30" s="4" t="s">
        <v>30</v>
      </c>
      <c r="I30" s="4" t="s">
        <v>31</v>
      </c>
      <c r="J30" s="4" t="s">
        <v>32</v>
      </c>
      <c r="K30" s="4" t="s">
        <v>33</v>
      </c>
      <c r="L30" s="4" t="s">
        <v>34</v>
      </c>
      <c r="M30" s="152">
        <v>14.32</v>
      </c>
      <c r="N30" s="4" t="s">
        <v>67</v>
      </c>
      <c r="O30" s="165">
        <v>3.7499999999999999E-2</v>
      </c>
      <c r="P30" s="166">
        <v>5.3379999999999997E-2</v>
      </c>
      <c r="R30" s="152">
        <v>400167</v>
      </c>
      <c r="S30" s="167">
        <v>1</v>
      </c>
      <c r="T30" s="169">
        <v>81.36</v>
      </c>
      <c r="U30" s="152">
        <v>325.57600000000002</v>
      </c>
      <c r="W30" s="4" t="s">
        <v>36</v>
      </c>
      <c r="X30" s="166">
        <v>1.5E-5</v>
      </c>
      <c r="Y30" s="166">
        <v>4.6290935715333298E-2</v>
      </c>
      <c r="Z30" s="166">
        <v>9.6196921633358093E-3</v>
      </c>
    </row>
    <row r="31" spans="1:26">
      <c r="A31" s="4">
        <v>12904</v>
      </c>
      <c r="B31" s="4">
        <v>12905</v>
      </c>
      <c r="C31" s="4" t="s">
        <v>40</v>
      </c>
      <c r="D31" s="4" t="s">
        <v>68</v>
      </c>
      <c r="E31" s="4" t="s">
        <v>69</v>
      </c>
      <c r="F31" s="4" t="s">
        <v>43</v>
      </c>
      <c r="G31" s="4" t="s">
        <v>30</v>
      </c>
      <c r="H31" s="4" t="s">
        <v>30</v>
      </c>
      <c r="I31" s="4" t="s">
        <v>31</v>
      </c>
      <c r="J31" s="4" t="s">
        <v>32</v>
      </c>
      <c r="K31" s="4" t="s">
        <v>33</v>
      </c>
      <c r="L31" s="4" t="s">
        <v>34</v>
      </c>
      <c r="M31" s="152">
        <v>13.85</v>
      </c>
      <c r="N31" s="4" t="s">
        <v>70</v>
      </c>
      <c r="O31" s="165">
        <v>2.75E-2</v>
      </c>
      <c r="P31" s="166">
        <v>2.24E-2</v>
      </c>
      <c r="R31" s="152">
        <v>44168</v>
      </c>
      <c r="S31" s="167">
        <v>1</v>
      </c>
      <c r="T31" s="169">
        <v>132.61000000000001</v>
      </c>
      <c r="U31" s="152">
        <v>58.570999999999998</v>
      </c>
      <c r="W31" s="4" t="s">
        <v>36</v>
      </c>
      <c r="X31" s="166">
        <v>1.9999999999999999E-6</v>
      </c>
      <c r="Y31" s="166">
        <v>8.3277515018370506E-3</v>
      </c>
      <c r="Z31" s="166">
        <v>1.7305851485282099E-3</v>
      </c>
    </row>
    <row r="32" spans="1:26">
      <c r="A32" s="4">
        <v>12904</v>
      </c>
      <c r="B32" s="4">
        <v>12905</v>
      </c>
      <c r="C32" s="4" t="s">
        <v>40</v>
      </c>
      <c r="D32" s="4" t="s">
        <v>71</v>
      </c>
      <c r="E32" s="4" t="s">
        <v>72</v>
      </c>
      <c r="F32" s="4" t="s">
        <v>43</v>
      </c>
      <c r="G32" s="4" t="s">
        <v>30</v>
      </c>
      <c r="H32" s="4" t="s">
        <v>30</v>
      </c>
      <c r="I32" s="4" t="s">
        <v>31</v>
      </c>
      <c r="J32" s="4" t="s">
        <v>32</v>
      </c>
      <c r="K32" s="4" t="s">
        <v>33</v>
      </c>
      <c r="L32" s="4" t="s">
        <v>34</v>
      </c>
      <c r="M32" s="152">
        <v>9.6419999999999995</v>
      </c>
      <c r="N32" s="4" t="s">
        <v>73</v>
      </c>
      <c r="O32" s="165">
        <v>0.04</v>
      </c>
      <c r="P32" s="166">
        <v>2.1739999999999999E-2</v>
      </c>
      <c r="R32" s="152">
        <v>232156</v>
      </c>
      <c r="S32" s="167">
        <v>1</v>
      </c>
      <c r="T32" s="169">
        <v>164.63</v>
      </c>
      <c r="U32" s="152">
        <v>382.19799999999998</v>
      </c>
      <c r="W32" s="4" t="s">
        <v>36</v>
      </c>
      <c r="X32" s="166">
        <v>1.5E-5</v>
      </c>
      <c r="Y32" s="166">
        <v>5.4341627206975197E-2</v>
      </c>
      <c r="Z32" s="166">
        <v>1.1292701633868699E-2</v>
      </c>
    </row>
    <row r="33" spans="1:26">
      <c r="A33" s="4">
        <v>12904</v>
      </c>
      <c r="B33" s="4">
        <v>12905</v>
      </c>
      <c r="C33" s="4" t="s">
        <v>116</v>
      </c>
      <c r="D33" s="4" t="s">
        <v>117</v>
      </c>
      <c r="E33" s="4" t="s">
        <v>118</v>
      </c>
      <c r="F33" s="4" t="s">
        <v>119</v>
      </c>
      <c r="G33" s="4" t="s">
        <v>30</v>
      </c>
      <c r="H33" s="4" t="s">
        <v>30</v>
      </c>
      <c r="I33" s="4" t="s">
        <v>31</v>
      </c>
      <c r="J33" s="4" t="s">
        <v>32</v>
      </c>
      <c r="K33" s="4" t="s">
        <v>33</v>
      </c>
      <c r="L33" s="4" t="s">
        <v>34</v>
      </c>
      <c r="M33" s="152">
        <v>1.6040000000000001</v>
      </c>
      <c r="N33" s="4" t="s">
        <v>120</v>
      </c>
      <c r="O33" s="165">
        <v>4.1700000000000001E-2</v>
      </c>
      <c r="P33" s="166">
        <v>4.718E-2</v>
      </c>
      <c r="R33" s="152">
        <v>330309</v>
      </c>
      <c r="S33" s="167">
        <v>1</v>
      </c>
      <c r="T33" s="169">
        <v>99.82</v>
      </c>
      <c r="U33" s="152">
        <v>329.714</v>
      </c>
      <c r="W33" s="4" t="s">
        <v>36</v>
      </c>
      <c r="X33" s="166">
        <v>1.5999999999999999E-5</v>
      </c>
      <c r="Y33" s="166">
        <v>4.6879365065068998E-2</v>
      </c>
      <c r="Z33" s="166">
        <v>9.7419733209071005E-3</v>
      </c>
    </row>
    <row r="34" spans="1:26">
      <c r="A34" s="4">
        <v>12904</v>
      </c>
      <c r="B34" s="4">
        <v>12905</v>
      </c>
      <c r="C34" s="4" t="s">
        <v>40</v>
      </c>
      <c r="D34" s="4" t="s">
        <v>74</v>
      </c>
      <c r="E34" s="4" t="s">
        <v>75</v>
      </c>
      <c r="F34" s="4" t="s">
        <v>43</v>
      </c>
      <c r="G34" s="4" t="s">
        <v>30</v>
      </c>
      <c r="H34" s="4" t="s">
        <v>30</v>
      </c>
      <c r="I34" s="4" t="s">
        <v>31</v>
      </c>
      <c r="J34" s="4" t="s">
        <v>32</v>
      </c>
      <c r="K34" s="4" t="s">
        <v>33</v>
      </c>
      <c r="L34" s="4" t="s">
        <v>34</v>
      </c>
      <c r="M34" s="152">
        <v>4.6100000000000003</v>
      </c>
      <c r="N34" s="4" t="s">
        <v>76</v>
      </c>
      <c r="O34" s="165">
        <v>5.0000000000000001E-3</v>
      </c>
      <c r="P34" s="166">
        <v>1.8280000000000001E-2</v>
      </c>
      <c r="R34" s="152">
        <v>1030677</v>
      </c>
      <c r="S34" s="167">
        <v>1</v>
      </c>
      <c r="T34" s="169">
        <v>108.85</v>
      </c>
      <c r="U34" s="152">
        <v>1121.8920000000001</v>
      </c>
      <c r="W34" s="4" t="s">
        <v>36</v>
      </c>
      <c r="X34" s="166">
        <v>3.8000000000000002E-5</v>
      </c>
      <c r="Y34" s="166">
        <v>0.15951251639827199</v>
      </c>
      <c r="Z34" s="166">
        <v>3.3148202347574499E-2</v>
      </c>
    </row>
    <row r="35" spans="1:26">
      <c r="A35" s="4">
        <v>12904</v>
      </c>
      <c r="B35" s="4">
        <v>12905</v>
      </c>
      <c r="C35" s="4" t="s">
        <v>40</v>
      </c>
      <c r="D35" s="4" t="s">
        <v>77</v>
      </c>
      <c r="E35" s="4" t="s">
        <v>78</v>
      </c>
      <c r="F35" s="4" t="s">
        <v>43</v>
      </c>
      <c r="G35" s="4" t="s">
        <v>30</v>
      </c>
      <c r="H35" s="4" t="s">
        <v>30</v>
      </c>
      <c r="I35" s="4" t="s">
        <v>31</v>
      </c>
      <c r="J35" s="4" t="s">
        <v>32</v>
      </c>
      <c r="K35" s="4" t="s">
        <v>33</v>
      </c>
      <c r="L35" s="4" t="s">
        <v>34</v>
      </c>
      <c r="M35" s="152">
        <v>1.83</v>
      </c>
      <c r="N35" s="4" t="s">
        <v>79</v>
      </c>
      <c r="O35" s="165">
        <v>1E-3</v>
      </c>
      <c r="P35" s="166">
        <v>1.5679999999999999E-2</v>
      </c>
      <c r="R35" s="152">
        <v>279189</v>
      </c>
      <c r="S35" s="167">
        <v>1</v>
      </c>
      <c r="T35" s="169">
        <v>112.44</v>
      </c>
      <c r="U35" s="152">
        <v>313.92</v>
      </c>
      <c r="W35" s="4" t="s">
        <v>36</v>
      </c>
      <c r="X35" s="166">
        <v>1.4E-5</v>
      </c>
      <c r="Y35" s="166">
        <v>4.4633699826296697E-2</v>
      </c>
      <c r="Z35" s="166">
        <v>9.2753029465655994E-3</v>
      </c>
    </row>
    <row r="36" spans="1:26">
      <c r="A36" s="4">
        <v>12904</v>
      </c>
      <c r="B36" s="4">
        <v>12905</v>
      </c>
      <c r="C36" s="4" t="s">
        <v>40</v>
      </c>
      <c r="D36" s="4" t="s">
        <v>80</v>
      </c>
      <c r="E36" s="4" t="s">
        <v>81</v>
      </c>
      <c r="F36" s="4" t="s">
        <v>43</v>
      </c>
      <c r="G36" s="4" t="s">
        <v>30</v>
      </c>
      <c r="H36" s="4" t="s">
        <v>30</v>
      </c>
      <c r="I36" s="4" t="s">
        <v>31</v>
      </c>
      <c r="J36" s="4" t="s">
        <v>32</v>
      </c>
      <c r="K36" s="4" t="s">
        <v>33</v>
      </c>
      <c r="L36" s="4" t="s">
        <v>34</v>
      </c>
      <c r="M36" s="152">
        <v>3.972</v>
      </c>
      <c r="N36" s="4" t="s">
        <v>82</v>
      </c>
      <c r="O36" s="165">
        <v>1.0999999999999999E-2</v>
      </c>
      <c r="P36" s="166">
        <v>1.806E-2</v>
      </c>
      <c r="R36" s="152">
        <v>941644</v>
      </c>
      <c r="S36" s="167">
        <v>1</v>
      </c>
      <c r="T36" s="169">
        <v>102.6</v>
      </c>
      <c r="U36" s="152">
        <v>966.12699999999995</v>
      </c>
      <c r="W36" s="4" t="s">
        <v>36</v>
      </c>
      <c r="X36" s="166">
        <v>4.6E-5</v>
      </c>
      <c r="Y36" s="166">
        <v>0.137365557326253</v>
      </c>
      <c r="Z36" s="166">
        <v>2.8545855790206201E-2</v>
      </c>
    </row>
    <row r="37" spans="1:26">
      <c r="A37" s="4">
        <v>12904</v>
      </c>
      <c r="B37" s="4">
        <v>12905</v>
      </c>
      <c r="C37" s="4" t="s">
        <v>40</v>
      </c>
      <c r="D37" s="4" t="s">
        <v>83</v>
      </c>
      <c r="E37" s="4" t="s">
        <v>84</v>
      </c>
      <c r="F37" s="4" t="s">
        <v>43</v>
      </c>
      <c r="G37" s="4" t="s">
        <v>30</v>
      </c>
      <c r="H37" s="4" t="s">
        <v>30</v>
      </c>
      <c r="I37" s="4" t="s">
        <v>85</v>
      </c>
      <c r="J37" s="4" t="s">
        <v>32</v>
      </c>
      <c r="K37" s="4" t="s">
        <v>33</v>
      </c>
      <c r="L37" s="4" t="s">
        <v>34</v>
      </c>
      <c r="M37" s="152">
        <v>8.4309999999999992</v>
      </c>
      <c r="N37" s="4" t="s">
        <v>86</v>
      </c>
      <c r="O37" s="165">
        <v>1.6E-2</v>
      </c>
      <c r="P37" s="166">
        <v>2.128E-2</v>
      </c>
      <c r="R37" s="152">
        <v>408174</v>
      </c>
      <c r="S37" s="167">
        <v>1</v>
      </c>
      <c r="T37" s="169">
        <v>100.1</v>
      </c>
      <c r="U37" s="152">
        <v>408.58199999999999</v>
      </c>
      <c r="W37" s="4" t="s">
        <v>36</v>
      </c>
      <c r="X37" s="166">
        <v>4.1999999999999998E-5</v>
      </c>
      <c r="Y37" s="166">
        <v>5.8092914199549303E-2</v>
      </c>
      <c r="Z37" s="166">
        <v>1.20722543805836E-2</v>
      </c>
    </row>
    <row r="38" spans="1:26">
      <c r="A38" s="4">
        <v>12904</v>
      </c>
      <c r="B38" s="4">
        <v>12905</v>
      </c>
      <c r="C38" s="4" t="s">
        <v>54</v>
      </c>
      <c r="D38" s="4" t="s">
        <v>87</v>
      </c>
      <c r="E38" s="4" t="s">
        <v>88</v>
      </c>
      <c r="F38" s="4" t="s">
        <v>57</v>
      </c>
      <c r="G38" s="4" t="s">
        <v>30</v>
      </c>
      <c r="H38" s="4" t="s">
        <v>30</v>
      </c>
      <c r="I38" s="4" t="s">
        <v>31</v>
      </c>
      <c r="J38" s="4" t="s">
        <v>32</v>
      </c>
      <c r="K38" s="4" t="s">
        <v>33</v>
      </c>
      <c r="L38" s="4" t="s">
        <v>34</v>
      </c>
      <c r="M38" s="152">
        <v>11.205</v>
      </c>
      <c r="N38" s="4" t="s">
        <v>89</v>
      </c>
      <c r="O38" s="165">
        <v>1.4999999999999999E-2</v>
      </c>
      <c r="P38" s="166">
        <v>5.042E-2</v>
      </c>
      <c r="R38" s="152">
        <v>161681</v>
      </c>
      <c r="S38" s="167">
        <v>1</v>
      </c>
      <c r="T38" s="169">
        <v>67.92</v>
      </c>
      <c r="U38" s="152">
        <v>109.81399999999999</v>
      </c>
      <c r="W38" s="4" t="s">
        <v>36</v>
      </c>
      <c r="X38" s="166">
        <v>5.0000000000000004E-6</v>
      </c>
      <c r="Y38" s="166">
        <v>1.56135051964005E-2</v>
      </c>
      <c r="Z38" s="166">
        <v>3.24463334471475E-3</v>
      </c>
    </row>
    <row r="39" spans="1:26">
      <c r="A39" s="4">
        <v>12904</v>
      </c>
      <c r="B39" s="4">
        <v>12905</v>
      </c>
      <c r="C39" s="4" t="s">
        <v>54</v>
      </c>
      <c r="D39" s="4" t="s">
        <v>90</v>
      </c>
      <c r="E39" s="4" t="s">
        <v>91</v>
      </c>
      <c r="F39" s="4" t="s">
        <v>57</v>
      </c>
      <c r="G39" s="4" t="s">
        <v>30</v>
      </c>
      <c r="H39" s="4" t="s">
        <v>30</v>
      </c>
      <c r="I39" s="4" t="s">
        <v>31</v>
      </c>
      <c r="J39" s="4" t="s">
        <v>32</v>
      </c>
      <c r="K39" s="4" t="s">
        <v>33</v>
      </c>
      <c r="L39" s="4" t="s">
        <v>34</v>
      </c>
      <c r="M39" s="152">
        <v>7.1239999999999997</v>
      </c>
      <c r="N39" s="4" t="s">
        <v>92</v>
      </c>
      <c r="O39" s="165">
        <v>1.2999999999999999E-2</v>
      </c>
      <c r="P39" s="166">
        <v>4.7539999999999999E-2</v>
      </c>
      <c r="R39" s="152">
        <v>123403</v>
      </c>
      <c r="S39" s="167">
        <v>1</v>
      </c>
      <c r="T39" s="169">
        <v>78.98</v>
      </c>
      <c r="U39" s="152">
        <v>97.463999999999999</v>
      </c>
      <c r="W39" s="4" t="s">
        <v>36</v>
      </c>
      <c r="X39" s="166">
        <v>3.9999999999999998E-6</v>
      </c>
      <c r="Y39" s="166">
        <v>1.3857554504778101E-2</v>
      </c>
      <c r="Z39" s="166">
        <v>2.8797302627964999E-3</v>
      </c>
    </row>
    <row r="40" spans="1:26">
      <c r="A40" s="4">
        <v>12904</v>
      </c>
      <c r="B40" s="4">
        <v>12905</v>
      </c>
      <c r="C40" s="4" t="s">
        <v>26</v>
      </c>
      <c r="D40" s="4" t="s">
        <v>121</v>
      </c>
      <c r="E40" s="4" t="s">
        <v>122</v>
      </c>
      <c r="F40" s="4" t="s">
        <v>29</v>
      </c>
      <c r="G40" s="4" t="s">
        <v>30</v>
      </c>
      <c r="H40" s="4" t="s">
        <v>30</v>
      </c>
      <c r="I40" s="4" t="s">
        <v>85</v>
      </c>
      <c r="J40" s="4" t="s">
        <v>32</v>
      </c>
      <c r="K40" s="4" t="s">
        <v>33</v>
      </c>
      <c r="L40" s="4" t="s">
        <v>34</v>
      </c>
      <c r="M40" s="152">
        <v>0.85</v>
      </c>
      <c r="N40" s="4" t="s">
        <v>123</v>
      </c>
      <c r="O40" s="165">
        <v>0</v>
      </c>
      <c r="P40" s="166">
        <v>4.3380000000000002E-2</v>
      </c>
      <c r="R40" s="152">
        <v>228761</v>
      </c>
      <c r="S40" s="167">
        <v>1</v>
      </c>
      <c r="T40" s="169">
        <v>96.48</v>
      </c>
      <c r="U40" s="152">
        <v>220.709</v>
      </c>
      <c r="W40" s="4" t="s">
        <v>36</v>
      </c>
      <c r="X40" s="166">
        <v>1.9000000000000001E-5</v>
      </c>
      <c r="Y40" s="166">
        <v>3.1380729073344098E-2</v>
      </c>
      <c r="Z40" s="166">
        <v>6.5212108781508397E-3</v>
      </c>
    </row>
    <row r="41" spans="1:26">
      <c r="A41" s="4">
        <v>424</v>
      </c>
      <c r="B41" s="4">
        <v>7228</v>
      </c>
      <c r="C41" s="4" t="s">
        <v>26</v>
      </c>
      <c r="D41" s="4" t="s">
        <v>107</v>
      </c>
      <c r="E41" s="4" t="s">
        <v>108</v>
      </c>
      <c r="F41" s="4" t="s">
        <v>29</v>
      </c>
      <c r="G41" s="4" t="s">
        <v>30</v>
      </c>
      <c r="H41" s="4" t="s">
        <v>30</v>
      </c>
      <c r="I41" s="4" t="s">
        <v>85</v>
      </c>
      <c r="J41" s="4" t="s">
        <v>32</v>
      </c>
      <c r="K41" s="4" t="s">
        <v>33</v>
      </c>
      <c r="L41" s="4" t="s">
        <v>34</v>
      </c>
      <c r="M41" s="152">
        <v>0.55600000000000005</v>
      </c>
      <c r="N41" s="4" t="s">
        <v>109</v>
      </c>
      <c r="O41" s="165">
        <v>0</v>
      </c>
      <c r="P41" s="166">
        <v>4.3150000000000001E-2</v>
      </c>
      <c r="R41" s="152">
        <v>15250387</v>
      </c>
      <c r="S41" s="167">
        <v>1</v>
      </c>
      <c r="T41" s="169">
        <v>97.52</v>
      </c>
      <c r="U41" s="152">
        <v>14872.177</v>
      </c>
      <c r="W41" s="4" t="s">
        <v>36</v>
      </c>
      <c r="X41" s="166">
        <v>1.0889999999999999E-3</v>
      </c>
      <c r="Y41" s="166">
        <v>5.5426681729738803E-2</v>
      </c>
      <c r="Z41" s="166">
        <v>6.16078510359296E-3</v>
      </c>
    </row>
    <row r="42" spans="1:26">
      <c r="A42" s="4">
        <v>424</v>
      </c>
      <c r="B42" s="4">
        <v>7228</v>
      </c>
      <c r="C42" s="4" t="s">
        <v>26</v>
      </c>
      <c r="D42" s="4" t="s">
        <v>110</v>
      </c>
      <c r="E42" s="4" t="s">
        <v>111</v>
      </c>
      <c r="F42" s="4" t="s">
        <v>29</v>
      </c>
      <c r="G42" s="4" t="s">
        <v>30</v>
      </c>
      <c r="H42" s="4" t="s">
        <v>30</v>
      </c>
      <c r="I42" s="4" t="s">
        <v>85</v>
      </c>
      <c r="J42" s="4" t="s">
        <v>32</v>
      </c>
      <c r="K42" s="4" t="s">
        <v>33</v>
      </c>
      <c r="L42" s="4" t="s">
        <v>34</v>
      </c>
      <c r="M42" s="152">
        <v>0.63300000000000001</v>
      </c>
      <c r="N42" s="4" t="s">
        <v>112</v>
      </c>
      <c r="O42" s="165">
        <v>0</v>
      </c>
      <c r="P42" s="166">
        <v>4.2900000000000001E-2</v>
      </c>
      <c r="R42" s="152">
        <v>1178973</v>
      </c>
      <c r="S42" s="167">
        <v>1</v>
      </c>
      <c r="T42" s="169">
        <v>97.22</v>
      </c>
      <c r="U42" s="152">
        <v>1146.1980000000001</v>
      </c>
      <c r="W42" s="4" t="s">
        <v>36</v>
      </c>
      <c r="X42" s="166">
        <v>9.7999999999999997E-5</v>
      </c>
      <c r="Y42" s="166">
        <v>4.2717300310215599E-3</v>
      </c>
      <c r="Z42" s="166">
        <v>4.74811226658154E-4</v>
      </c>
    </row>
    <row r="43" spans="1:26">
      <c r="A43" s="4">
        <v>424</v>
      </c>
      <c r="B43" s="4">
        <v>7228</v>
      </c>
      <c r="C43" s="4" t="s">
        <v>26</v>
      </c>
      <c r="D43" s="4" t="s">
        <v>124</v>
      </c>
      <c r="E43" s="4" t="s">
        <v>125</v>
      </c>
      <c r="F43" s="4" t="s">
        <v>29</v>
      </c>
      <c r="G43" s="4" t="s">
        <v>30</v>
      </c>
      <c r="H43" s="4" t="s">
        <v>30</v>
      </c>
      <c r="I43" s="4" t="s">
        <v>85</v>
      </c>
      <c r="J43" s="4" t="s">
        <v>32</v>
      </c>
      <c r="K43" s="4" t="s">
        <v>33</v>
      </c>
      <c r="L43" s="4" t="s">
        <v>34</v>
      </c>
      <c r="M43" s="152">
        <v>0.748</v>
      </c>
      <c r="N43" s="4" t="s">
        <v>126</v>
      </c>
      <c r="O43" s="165">
        <v>0</v>
      </c>
      <c r="P43" s="166">
        <v>4.2999999999999997E-2</v>
      </c>
      <c r="R43" s="152">
        <v>14666000</v>
      </c>
      <c r="S43" s="167">
        <v>1</v>
      </c>
      <c r="T43" s="169">
        <v>96.9</v>
      </c>
      <c r="U43" s="152">
        <v>14211.353999999999</v>
      </c>
      <c r="W43" s="4" t="s">
        <v>36</v>
      </c>
      <c r="X43" s="166">
        <v>1.222E-3</v>
      </c>
      <c r="Y43" s="166">
        <v>5.2963878374631103E-2</v>
      </c>
      <c r="Z43" s="166">
        <v>5.8870396483407597E-3</v>
      </c>
    </row>
    <row r="44" spans="1:26">
      <c r="A44" s="4">
        <v>424</v>
      </c>
      <c r="B44" s="4">
        <v>7228</v>
      </c>
      <c r="C44" s="4" t="s">
        <v>40</v>
      </c>
      <c r="D44" s="4" t="s">
        <v>45</v>
      </c>
      <c r="E44" s="4" t="s">
        <v>46</v>
      </c>
      <c r="F44" s="4" t="s">
        <v>43</v>
      </c>
      <c r="G44" s="4" t="s">
        <v>30</v>
      </c>
      <c r="H44" s="4" t="s">
        <v>30</v>
      </c>
      <c r="I44" s="4" t="s">
        <v>31</v>
      </c>
      <c r="J44" s="4" t="s">
        <v>32</v>
      </c>
      <c r="K44" s="4" t="s">
        <v>33</v>
      </c>
      <c r="L44" s="4" t="s">
        <v>34</v>
      </c>
      <c r="M44" s="152">
        <v>18.399999999999999</v>
      </c>
      <c r="N44" s="4" t="s">
        <v>47</v>
      </c>
      <c r="O44" s="165">
        <v>0.01</v>
      </c>
      <c r="P44" s="166">
        <v>2.2749999999999999E-2</v>
      </c>
      <c r="R44" s="152">
        <v>47140437</v>
      </c>
      <c r="S44" s="167">
        <v>1</v>
      </c>
      <c r="T44" s="169">
        <v>92.5</v>
      </c>
      <c r="U44" s="152">
        <v>43604.904000000002</v>
      </c>
      <c r="W44" s="4" t="s">
        <v>36</v>
      </c>
      <c r="X44" s="166">
        <v>2.4320000000000001E-3</v>
      </c>
      <c r="Y44" s="166">
        <v>0.162509838535465</v>
      </c>
      <c r="Z44" s="166">
        <v>1.80632893976659E-2</v>
      </c>
    </row>
    <row r="45" spans="1:26">
      <c r="A45" s="4">
        <v>424</v>
      </c>
      <c r="B45" s="4">
        <v>7228</v>
      </c>
      <c r="C45" s="4" t="s">
        <v>40</v>
      </c>
      <c r="D45" s="4" t="s">
        <v>48</v>
      </c>
      <c r="E45" s="4" t="s">
        <v>49</v>
      </c>
      <c r="F45" s="4" t="s">
        <v>43</v>
      </c>
      <c r="G45" s="4" t="s">
        <v>30</v>
      </c>
      <c r="H45" s="4" t="s">
        <v>30</v>
      </c>
      <c r="I45" s="4" t="s">
        <v>31</v>
      </c>
      <c r="J45" s="4" t="s">
        <v>32</v>
      </c>
      <c r="K45" s="4" t="s">
        <v>33</v>
      </c>
      <c r="L45" s="4" t="s">
        <v>34</v>
      </c>
      <c r="M45" s="152">
        <v>1.0720000000000001</v>
      </c>
      <c r="N45" s="4" t="s">
        <v>50</v>
      </c>
      <c r="O45" s="165">
        <v>7.4999999999999997E-3</v>
      </c>
      <c r="P45" s="166">
        <v>1.303E-2</v>
      </c>
      <c r="R45" s="152">
        <v>3645174</v>
      </c>
      <c r="S45" s="167">
        <v>1</v>
      </c>
      <c r="T45" s="169">
        <v>116.02</v>
      </c>
      <c r="U45" s="152">
        <v>4229.1310000000003</v>
      </c>
      <c r="W45" s="4" t="s">
        <v>36</v>
      </c>
      <c r="X45" s="166">
        <v>1.6799999999999999E-4</v>
      </c>
      <c r="Y45" s="166">
        <v>1.57614238082666E-2</v>
      </c>
      <c r="Z45" s="166">
        <v>1.75191337419148E-3</v>
      </c>
    </row>
    <row r="46" spans="1:26">
      <c r="A46" s="4">
        <v>424</v>
      </c>
      <c r="B46" s="4">
        <v>7228</v>
      </c>
      <c r="C46" s="4" t="s">
        <v>40</v>
      </c>
      <c r="D46" s="4" t="s">
        <v>51</v>
      </c>
      <c r="E46" s="4" t="s">
        <v>52</v>
      </c>
      <c r="F46" s="4" t="s">
        <v>43</v>
      </c>
      <c r="G46" s="4" t="s">
        <v>30</v>
      </c>
      <c r="H46" s="4" t="s">
        <v>30</v>
      </c>
      <c r="I46" s="4" t="s">
        <v>31</v>
      </c>
      <c r="J46" s="4" t="s">
        <v>32</v>
      </c>
      <c r="K46" s="4" t="s">
        <v>33</v>
      </c>
      <c r="L46" s="4" t="s">
        <v>34</v>
      </c>
      <c r="M46" s="152">
        <v>7.1340000000000003</v>
      </c>
      <c r="N46" s="4" t="s">
        <v>53</v>
      </c>
      <c r="O46" s="165">
        <v>1E-3</v>
      </c>
      <c r="P46" s="166">
        <v>1.9910000000000001E-2</v>
      </c>
      <c r="R46" s="152">
        <v>15265700</v>
      </c>
      <c r="S46" s="167">
        <v>1</v>
      </c>
      <c r="T46" s="169">
        <v>101.1</v>
      </c>
      <c r="U46" s="152">
        <v>15433.623</v>
      </c>
      <c r="W46" s="4" t="s">
        <v>36</v>
      </c>
      <c r="X46" s="166">
        <v>4.9700000000000005E-4</v>
      </c>
      <c r="Y46" s="166">
        <v>5.7519115741029699E-2</v>
      </c>
      <c r="Z46" s="166">
        <v>6.3933632750568202E-3</v>
      </c>
    </row>
    <row r="47" spans="1:26">
      <c r="A47" s="4">
        <v>424</v>
      </c>
      <c r="B47" s="4">
        <v>7228</v>
      </c>
      <c r="C47" s="4" t="s">
        <v>54</v>
      </c>
      <c r="D47" s="4" t="s">
        <v>62</v>
      </c>
      <c r="E47" s="4" t="s">
        <v>63</v>
      </c>
      <c r="F47" s="4" t="s">
        <v>57</v>
      </c>
      <c r="G47" s="4" t="s">
        <v>30</v>
      </c>
      <c r="H47" s="4" t="s">
        <v>30</v>
      </c>
      <c r="I47" s="4" t="s">
        <v>31</v>
      </c>
      <c r="J47" s="4" t="s">
        <v>32</v>
      </c>
      <c r="K47" s="4" t="s">
        <v>33</v>
      </c>
      <c r="L47" s="4" t="s">
        <v>34</v>
      </c>
      <c r="M47" s="152">
        <v>2.44</v>
      </c>
      <c r="N47" s="4" t="s">
        <v>64</v>
      </c>
      <c r="O47" s="165">
        <v>0.02</v>
      </c>
      <c r="P47" s="166">
        <v>4.4049999999999999E-2</v>
      </c>
      <c r="R47" s="152">
        <v>4286562</v>
      </c>
      <c r="S47" s="167">
        <v>1</v>
      </c>
      <c r="T47" s="169">
        <v>95.44</v>
      </c>
      <c r="U47" s="152">
        <v>4091.0949999999998</v>
      </c>
      <c r="W47" s="4" t="s">
        <v>36</v>
      </c>
      <c r="X47" s="166">
        <v>1.66E-4</v>
      </c>
      <c r="Y47" s="166">
        <v>1.5246981108602901E-2</v>
      </c>
      <c r="Z47" s="166">
        <v>1.69473205245561E-3</v>
      </c>
    </row>
    <row r="48" spans="1:26">
      <c r="A48" s="4">
        <v>424</v>
      </c>
      <c r="B48" s="4">
        <v>7228</v>
      </c>
      <c r="C48" s="4" t="s">
        <v>54</v>
      </c>
      <c r="D48" s="4" t="s">
        <v>65</v>
      </c>
      <c r="E48" s="4" t="s">
        <v>66</v>
      </c>
      <c r="F48" s="4" t="s">
        <v>57</v>
      </c>
      <c r="G48" s="4" t="s">
        <v>30</v>
      </c>
      <c r="H48" s="4" t="s">
        <v>30</v>
      </c>
      <c r="I48" s="4" t="s">
        <v>31</v>
      </c>
      <c r="J48" s="4" t="s">
        <v>32</v>
      </c>
      <c r="K48" s="4" t="s">
        <v>33</v>
      </c>
      <c r="L48" s="4" t="s">
        <v>34</v>
      </c>
      <c r="M48" s="152">
        <v>14.32</v>
      </c>
      <c r="N48" s="4" t="s">
        <v>67</v>
      </c>
      <c r="O48" s="165">
        <v>3.7499999999999999E-2</v>
      </c>
      <c r="P48" s="166">
        <v>5.3379999999999997E-2</v>
      </c>
      <c r="R48" s="152">
        <v>17785914</v>
      </c>
      <c r="S48" s="167">
        <v>1</v>
      </c>
      <c r="T48" s="169">
        <v>81.36</v>
      </c>
      <c r="U48" s="152">
        <v>14470.62</v>
      </c>
      <c r="W48" s="4" t="s">
        <v>36</v>
      </c>
      <c r="X48" s="166">
        <v>6.78E-4</v>
      </c>
      <c r="Y48" s="166">
        <v>5.3930127847779598E-2</v>
      </c>
      <c r="Z48" s="166">
        <v>5.9944401849551304E-3</v>
      </c>
    </row>
    <row r="49" spans="1:26">
      <c r="A49" s="4">
        <v>424</v>
      </c>
      <c r="B49" s="4">
        <v>7228</v>
      </c>
      <c r="C49" s="4" t="s">
        <v>40</v>
      </c>
      <c r="D49" s="4" t="s">
        <v>68</v>
      </c>
      <c r="E49" s="4" t="s">
        <v>69</v>
      </c>
      <c r="F49" s="4" t="s">
        <v>43</v>
      </c>
      <c r="G49" s="4" t="s">
        <v>30</v>
      </c>
      <c r="H49" s="4" t="s">
        <v>30</v>
      </c>
      <c r="I49" s="4" t="s">
        <v>31</v>
      </c>
      <c r="J49" s="4" t="s">
        <v>32</v>
      </c>
      <c r="K49" s="4" t="s">
        <v>33</v>
      </c>
      <c r="L49" s="4" t="s">
        <v>34</v>
      </c>
      <c r="M49" s="152">
        <v>13.85</v>
      </c>
      <c r="N49" s="4" t="s">
        <v>70</v>
      </c>
      <c r="O49" s="165">
        <v>2.75E-2</v>
      </c>
      <c r="P49" s="166">
        <v>2.24E-2</v>
      </c>
      <c r="R49" s="152">
        <v>1271754</v>
      </c>
      <c r="S49" s="167">
        <v>1</v>
      </c>
      <c r="T49" s="169">
        <v>132.61000000000001</v>
      </c>
      <c r="U49" s="152">
        <v>1686.473</v>
      </c>
      <c r="W49" s="4" t="s">
        <v>36</v>
      </c>
      <c r="X49" s="166">
        <v>6.6000000000000005E-5</v>
      </c>
      <c r="Y49" s="166">
        <v>6.2852666792371304E-3</v>
      </c>
      <c r="Z49" s="166">
        <v>6.9861980044851198E-4</v>
      </c>
    </row>
    <row r="50" spans="1:26">
      <c r="A50" s="4">
        <v>424</v>
      </c>
      <c r="B50" s="4">
        <v>7228</v>
      </c>
      <c r="C50" s="4" t="s">
        <v>40</v>
      </c>
      <c r="D50" s="4" t="s">
        <v>71</v>
      </c>
      <c r="E50" s="4" t="s">
        <v>72</v>
      </c>
      <c r="F50" s="4" t="s">
        <v>43</v>
      </c>
      <c r="G50" s="4" t="s">
        <v>30</v>
      </c>
      <c r="H50" s="4" t="s">
        <v>30</v>
      </c>
      <c r="I50" s="4" t="s">
        <v>31</v>
      </c>
      <c r="J50" s="4" t="s">
        <v>32</v>
      </c>
      <c r="K50" s="4" t="s">
        <v>33</v>
      </c>
      <c r="L50" s="4" t="s">
        <v>34</v>
      </c>
      <c r="M50" s="152">
        <v>9.6419999999999995</v>
      </c>
      <c r="N50" s="4" t="s">
        <v>73</v>
      </c>
      <c r="O50" s="165">
        <v>0.04</v>
      </c>
      <c r="P50" s="166">
        <v>2.1739999999999999E-2</v>
      </c>
      <c r="R50" s="152">
        <v>2823111</v>
      </c>
      <c r="S50" s="167">
        <v>1</v>
      </c>
      <c r="T50" s="169">
        <v>164.63</v>
      </c>
      <c r="U50" s="152">
        <v>4647.6880000000001</v>
      </c>
      <c r="W50" s="4" t="s">
        <v>36</v>
      </c>
      <c r="X50" s="166">
        <v>1.7699999999999999E-4</v>
      </c>
      <c r="Y50" s="166">
        <v>1.73213307367589E-2</v>
      </c>
      <c r="Z50" s="166">
        <v>1.9253001090298899E-3</v>
      </c>
    </row>
    <row r="51" spans="1:26">
      <c r="A51" s="4">
        <v>424</v>
      </c>
      <c r="B51" s="4">
        <v>7228</v>
      </c>
      <c r="C51" s="4" t="s">
        <v>40</v>
      </c>
      <c r="D51" s="4" t="s">
        <v>74</v>
      </c>
      <c r="E51" s="4" t="s">
        <v>75</v>
      </c>
      <c r="F51" s="4" t="s">
        <v>43</v>
      </c>
      <c r="G51" s="4" t="s">
        <v>30</v>
      </c>
      <c r="H51" s="4" t="s">
        <v>30</v>
      </c>
      <c r="I51" s="4" t="s">
        <v>31</v>
      </c>
      <c r="J51" s="4" t="s">
        <v>32</v>
      </c>
      <c r="K51" s="4" t="s">
        <v>33</v>
      </c>
      <c r="L51" s="4" t="s">
        <v>34</v>
      </c>
      <c r="M51" s="152">
        <v>4.6100000000000003</v>
      </c>
      <c r="N51" s="4" t="s">
        <v>76</v>
      </c>
      <c r="O51" s="165">
        <v>5.0000000000000001E-3</v>
      </c>
      <c r="P51" s="166">
        <v>1.8280000000000001E-2</v>
      </c>
      <c r="R51" s="152">
        <v>16051533</v>
      </c>
      <c r="S51" s="167">
        <v>1</v>
      </c>
      <c r="T51" s="169">
        <v>108.85</v>
      </c>
      <c r="U51" s="152">
        <v>17472.094000000001</v>
      </c>
      <c r="W51" s="4" t="s">
        <v>36</v>
      </c>
      <c r="X51" s="166">
        <v>5.9500000000000004E-4</v>
      </c>
      <c r="Y51" s="166">
        <v>6.5116233408479093E-2</v>
      </c>
      <c r="Z51" s="166">
        <v>7.2377979028428298E-3</v>
      </c>
    </row>
    <row r="52" spans="1:26">
      <c r="A52" s="4">
        <v>424</v>
      </c>
      <c r="B52" s="4">
        <v>7228</v>
      </c>
      <c r="C52" s="4" t="s">
        <v>40</v>
      </c>
      <c r="D52" s="4" t="s">
        <v>77</v>
      </c>
      <c r="E52" s="4" t="s">
        <v>78</v>
      </c>
      <c r="F52" s="4" t="s">
        <v>43</v>
      </c>
      <c r="G52" s="4" t="s">
        <v>30</v>
      </c>
      <c r="H52" s="4" t="s">
        <v>30</v>
      </c>
      <c r="I52" s="4" t="s">
        <v>31</v>
      </c>
      <c r="J52" s="4" t="s">
        <v>32</v>
      </c>
      <c r="K52" s="4" t="s">
        <v>33</v>
      </c>
      <c r="L52" s="4" t="s">
        <v>34</v>
      </c>
      <c r="M52" s="152">
        <v>1.83</v>
      </c>
      <c r="N52" s="4" t="s">
        <v>79</v>
      </c>
      <c r="O52" s="165">
        <v>1E-3</v>
      </c>
      <c r="P52" s="166">
        <v>1.5679999999999999E-2</v>
      </c>
      <c r="R52" s="152">
        <v>26880802</v>
      </c>
      <c r="S52" s="167">
        <v>1</v>
      </c>
      <c r="T52" s="169">
        <v>112.44</v>
      </c>
      <c r="U52" s="152">
        <v>30224.774000000001</v>
      </c>
      <c r="W52" s="4" t="s">
        <v>36</v>
      </c>
      <c r="X52" s="166">
        <v>1.3309999999999999E-3</v>
      </c>
      <c r="Y52" s="166">
        <v>0.112643822804742</v>
      </c>
      <c r="Z52" s="166">
        <v>1.252058329833E-2</v>
      </c>
    </row>
    <row r="53" spans="1:26">
      <c r="A53" s="4">
        <v>424</v>
      </c>
      <c r="B53" s="4">
        <v>7228</v>
      </c>
      <c r="C53" s="4" t="s">
        <v>40</v>
      </c>
      <c r="D53" s="4" t="s">
        <v>80</v>
      </c>
      <c r="E53" s="4" t="s">
        <v>81</v>
      </c>
      <c r="F53" s="4" t="s">
        <v>43</v>
      </c>
      <c r="G53" s="4" t="s">
        <v>30</v>
      </c>
      <c r="H53" s="4" t="s">
        <v>30</v>
      </c>
      <c r="I53" s="4" t="s">
        <v>31</v>
      </c>
      <c r="J53" s="4" t="s">
        <v>32</v>
      </c>
      <c r="K53" s="4" t="s">
        <v>33</v>
      </c>
      <c r="L53" s="4" t="s">
        <v>34</v>
      </c>
      <c r="M53" s="152">
        <v>3.972</v>
      </c>
      <c r="N53" s="4" t="s">
        <v>82</v>
      </c>
      <c r="O53" s="165">
        <v>1.0999999999999999E-2</v>
      </c>
      <c r="P53" s="166">
        <v>1.806E-2</v>
      </c>
      <c r="R53" s="152">
        <v>36655169</v>
      </c>
      <c r="S53" s="167">
        <v>1</v>
      </c>
      <c r="T53" s="169">
        <v>102.6</v>
      </c>
      <c r="U53" s="152">
        <v>37608.203000000001</v>
      </c>
      <c r="W53" s="4" t="s">
        <v>36</v>
      </c>
      <c r="X53" s="166">
        <v>1.797E-3</v>
      </c>
      <c r="Y53" s="166">
        <v>0.140160910103865</v>
      </c>
      <c r="Z53" s="166">
        <v>1.5579161878828801E-2</v>
      </c>
    </row>
    <row r="54" spans="1:26">
      <c r="A54" s="4">
        <v>424</v>
      </c>
      <c r="B54" s="4">
        <v>7228</v>
      </c>
      <c r="C54" s="4" t="s">
        <v>40</v>
      </c>
      <c r="D54" s="4" t="s">
        <v>83</v>
      </c>
      <c r="E54" s="4" t="s">
        <v>84</v>
      </c>
      <c r="F54" s="4" t="s">
        <v>43</v>
      </c>
      <c r="G54" s="4" t="s">
        <v>30</v>
      </c>
      <c r="H54" s="4" t="s">
        <v>30</v>
      </c>
      <c r="I54" s="4" t="s">
        <v>85</v>
      </c>
      <c r="J54" s="4" t="s">
        <v>32</v>
      </c>
      <c r="K54" s="4" t="s">
        <v>33</v>
      </c>
      <c r="L54" s="4" t="s">
        <v>34</v>
      </c>
      <c r="M54" s="152">
        <v>8.4309999999999992</v>
      </c>
      <c r="N54" s="4" t="s">
        <v>86</v>
      </c>
      <c r="O54" s="165">
        <v>1.6E-2</v>
      </c>
      <c r="P54" s="166">
        <v>2.128E-2</v>
      </c>
      <c r="R54" s="152">
        <v>23719500</v>
      </c>
      <c r="S54" s="167">
        <v>1</v>
      </c>
      <c r="T54" s="169">
        <v>100.1</v>
      </c>
      <c r="U54" s="152">
        <v>23743.219000000001</v>
      </c>
      <c r="W54" s="4" t="s">
        <v>36</v>
      </c>
      <c r="X54" s="166">
        <v>2.4610000000000001E-3</v>
      </c>
      <c r="Y54" s="166">
        <v>8.8487908317544398E-2</v>
      </c>
      <c r="Z54" s="166">
        <v>9.8356057118665404E-3</v>
      </c>
    </row>
    <row r="55" spans="1:26">
      <c r="A55" s="4">
        <v>424</v>
      </c>
      <c r="B55" s="4">
        <v>7228</v>
      </c>
      <c r="C55" s="4" t="s">
        <v>54</v>
      </c>
      <c r="D55" s="4" t="s">
        <v>90</v>
      </c>
      <c r="E55" s="4" t="s">
        <v>91</v>
      </c>
      <c r="F55" s="4" t="s">
        <v>57</v>
      </c>
      <c r="G55" s="4" t="s">
        <v>30</v>
      </c>
      <c r="H55" s="4" t="s">
        <v>30</v>
      </c>
      <c r="I55" s="4" t="s">
        <v>31</v>
      </c>
      <c r="J55" s="4" t="s">
        <v>32</v>
      </c>
      <c r="K55" s="4" t="s">
        <v>33</v>
      </c>
      <c r="L55" s="4" t="s">
        <v>34</v>
      </c>
      <c r="M55" s="152">
        <v>7.1239999999999997</v>
      </c>
      <c r="N55" s="4" t="s">
        <v>92</v>
      </c>
      <c r="O55" s="165">
        <v>1.2999999999999999E-2</v>
      </c>
      <c r="P55" s="166">
        <v>4.7539999999999999E-2</v>
      </c>
      <c r="R55" s="152">
        <v>11784318</v>
      </c>
      <c r="S55" s="167">
        <v>1</v>
      </c>
      <c r="T55" s="169">
        <v>78.98</v>
      </c>
      <c r="U55" s="152">
        <v>9307.2540000000008</v>
      </c>
      <c r="W55" s="4" t="s">
        <v>36</v>
      </c>
      <c r="X55" s="166">
        <v>3.9300000000000001E-4</v>
      </c>
      <c r="Y55" s="166">
        <v>3.4686933260133002E-2</v>
      </c>
      <c r="Z55" s="166">
        <v>3.8555211145482001E-3</v>
      </c>
    </row>
    <row r="56" spans="1:26">
      <c r="A56" s="4">
        <v>424</v>
      </c>
      <c r="B56" s="4">
        <v>7228</v>
      </c>
      <c r="C56" s="4" t="s">
        <v>26</v>
      </c>
      <c r="D56" s="4" t="s">
        <v>121</v>
      </c>
      <c r="E56" s="4" t="s">
        <v>122</v>
      </c>
      <c r="F56" s="4" t="s">
        <v>29</v>
      </c>
      <c r="G56" s="4" t="s">
        <v>30</v>
      </c>
      <c r="H56" s="4" t="s">
        <v>30</v>
      </c>
      <c r="I56" s="4" t="s">
        <v>85</v>
      </c>
      <c r="J56" s="4" t="s">
        <v>32</v>
      </c>
      <c r="K56" s="4" t="s">
        <v>33</v>
      </c>
      <c r="L56" s="4" t="s">
        <v>34</v>
      </c>
      <c r="M56" s="152">
        <v>0.85</v>
      </c>
      <c r="N56" s="4" t="s">
        <v>123</v>
      </c>
      <c r="O56" s="165">
        <v>0</v>
      </c>
      <c r="P56" s="166">
        <v>4.3380000000000002E-2</v>
      </c>
      <c r="R56" s="152">
        <v>16637204</v>
      </c>
      <c r="S56" s="167">
        <v>1</v>
      </c>
      <c r="T56" s="169">
        <v>96.48</v>
      </c>
      <c r="U56" s="152">
        <v>16051.574000000001</v>
      </c>
      <c r="W56" s="4" t="s">
        <v>36</v>
      </c>
      <c r="X56" s="166">
        <v>1.3860000000000001E-3</v>
      </c>
      <c r="Y56" s="166">
        <v>5.9822141877533097E-2</v>
      </c>
      <c r="Z56" s="166">
        <v>6.6493491770117496E-3</v>
      </c>
    </row>
    <row r="57" spans="1:26">
      <c r="A57" s="4">
        <v>424</v>
      </c>
      <c r="B57" s="4">
        <v>7228</v>
      </c>
      <c r="C57" s="4" t="s">
        <v>93</v>
      </c>
      <c r="D57" s="4" t="s">
        <v>94</v>
      </c>
      <c r="E57" s="4" t="s">
        <v>95</v>
      </c>
      <c r="F57" s="4" t="s">
        <v>96</v>
      </c>
      <c r="G57" s="4" t="s">
        <v>97</v>
      </c>
      <c r="H57" s="4" t="s">
        <v>98</v>
      </c>
      <c r="I57" s="4" t="s">
        <v>99</v>
      </c>
      <c r="J57" s="4" t="s">
        <v>100</v>
      </c>
      <c r="K57" s="4" t="s">
        <v>101</v>
      </c>
      <c r="L57" s="4" t="s">
        <v>102</v>
      </c>
      <c r="M57" s="152">
        <v>4.2000000000000003E-2</v>
      </c>
      <c r="N57" s="4" t="s">
        <v>103</v>
      </c>
      <c r="O57" s="165">
        <v>0</v>
      </c>
      <c r="P57" s="166">
        <v>5.1490000000000001E-2</v>
      </c>
      <c r="R57" s="152">
        <v>4200000</v>
      </c>
      <c r="S57" s="167">
        <v>3.71</v>
      </c>
      <c r="T57" s="169">
        <v>99.61</v>
      </c>
      <c r="U57" s="152">
        <v>15521.245999999999</v>
      </c>
      <c r="W57" s="4" t="s">
        <v>36</v>
      </c>
      <c r="X57" s="166">
        <v>1.5999999999999999E-5</v>
      </c>
      <c r="Y57" s="166">
        <v>5.78456756351719E-2</v>
      </c>
      <c r="Z57" s="166">
        <v>6.4296610520204996E-3</v>
      </c>
    </row>
    <row r="58" spans="1:26">
      <c r="A58" s="4">
        <v>424</v>
      </c>
      <c r="B58" s="4">
        <v>7229</v>
      </c>
      <c r="C58" s="4" t="s">
        <v>26</v>
      </c>
      <c r="D58" s="4" t="s">
        <v>107</v>
      </c>
      <c r="E58" s="4" t="s">
        <v>108</v>
      </c>
      <c r="F58" s="4" t="s">
        <v>29</v>
      </c>
      <c r="G58" s="4" t="s">
        <v>30</v>
      </c>
      <c r="H58" s="4" t="s">
        <v>30</v>
      </c>
      <c r="I58" s="4" t="s">
        <v>85</v>
      </c>
      <c r="J58" s="4" t="s">
        <v>32</v>
      </c>
      <c r="K58" s="4" t="s">
        <v>33</v>
      </c>
      <c r="L58" s="4" t="s">
        <v>34</v>
      </c>
      <c r="M58" s="152">
        <v>0.55600000000000005</v>
      </c>
      <c r="N58" s="4" t="s">
        <v>109</v>
      </c>
      <c r="O58" s="165">
        <v>0</v>
      </c>
      <c r="P58" s="166">
        <v>4.3150000000000001E-2</v>
      </c>
      <c r="R58" s="152">
        <v>1237831</v>
      </c>
      <c r="S58" s="167">
        <v>1</v>
      </c>
      <c r="T58" s="169">
        <v>97.52</v>
      </c>
      <c r="U58" s="152">
        <v>1207.133</v>
      </c>
      <c r="W58" s="4" t="s">
        <v>36</v>
      </c>
      <c r="X58" s="166">
        <v>8.7999999999999998E-5</v>
      </c>
      <c r="Y58" s="166">
        <v>3.95682989621432E-2</v>
      </c>
      <c r="Z58" s="166">
        <v>8.2868918337893407E-3</v>
      </c>
    </row>
    <row r="59" spans="1:26">
      <c r="A59" s="4">
        <v>424</v>
      </c>
      <c r="B59" s="4">
        <v>7229</v>
      </c>
      <c r="C59" s="4" t="s">
        <v>26</v>
      </c>
      <c r="D59" s="4" t="s">
        <v>110</v>
      </c>
      <c r="E59" s="4" t="s">
        <v>111</v>
      </c>
      <c r="F59" s="4" t="s">
        <v>29</v>
      </c>
      <c r="G59" s="4" t="s">
        <v>30</v>
      </c>
      <c r="H59" s="4" t="s">
        <v>30</v>
      </c>
      <c r="I59" s="4" t="s">
        <v>85</v>
      </c>
      <c r="J59" s="4" t="s">
        <v>32</v>
      </c>
      <c r="K59" s="4" t="s">
        <v>33</v>
      </c>
      <c r="L59" s="4" t="s">
        <v>34</v>
      </c>
      <c r="M59" s="152">
        <v>0.63300000000000001</v>
      </c>
      <c r="N59" s="4" t="s">
        <v>112</v>
      </c>
      <c r="O59" s="165">
        <v>0</v>
      </c>
      <c r="P59" s="166">
        <v>4.2900000000000001E-2</v>
      </c>
      <c r="R59" s="152">
        <v>1034768</v>
      </c>
      <c r="S59" s="167">
        <v>1</v>
      </c>
      <c r="T59" s="169">
        <v>97.22</v>
      </c>
      <c r="U59" s="152">
        <v>1006.001</v>
      </c>
      <c r="W59" s="4" t="s">
        <v>36</v>
      </c>
      <c r="X59" s="166">
        <v>8.6000000000000003E-5</v>
      </c>
      <c r="Y59" s="166">
        <v>3.2975465834667303E-2</v>
      </c>
      <c r="Z59" s="166">
        <v>6.9061376331125196E-3</v>
      </c>
    </row>
    <row r="60" spans="1:26">
      <c r="A60" s="4">
        <v>424</v>
      </c>
      <c r="B60" s="4">
        <v>7229</v>
      </c>
      <c r="C60" s="4" t="s">
        <v>26</v>
      </c>
      <c r="D60" s="4" t="s">
        <v>124</v>
      </c>
      <c r="E60" s="4" t="s">
        <v>125</v>
      </c>
      <c r="F60" s="4" t="s">
        <v>29</v>
      </c>
      <c r="G60" s="4" t="s">
        <v>30</v>
      </c>
      <c r="H60" s="4" t="s">
        <v>30</v>
      </c>
      <c r="I60" s="4" t="s">
        <v>85</v>
      </c>
      <c r="J60" s="4" t="s">
        <v>32</v>
      </c>
      <c r="K60" s="4" t="s">
        <v>33</v>
      </c>
      <c r="L60" s="4" t="s">
        <v>34</v>
      </c>
      <c r="M60" s="152">
        <v>0.748</v>
      </c>
      <c r="N60" s="4" t="s">
        <v>126</v>
      </c>
      <c r="O60" s="165">
        <v>0</v>
      </c>
      <c r="P60" s="166">
        <v>4.2999999999999997E-2</v>
      </c>
      <c r="R60" s="152">
        <v>1300000</v>
      </c>
      <c r="S60" s="167">
        <v>1</v>
      </c>
      <c r="T60" s="169">
        <v>96.9</v>
      </c>
      <c r="U60" s="152">
        <v>1259.7</v>
      </c>
      <c r="W60" s="4" t="s">
        <v>36</v>
      </c>
      <c r="X60" s="166">
        <v>1.08E-4</v>
      </c>
      <c r="Y60" s="166">
        <v>4.12913861391025E-2</v>
      </c>
      <c r="Z60" s="166">
        <v>8.6477624658403297E-3</v>
      </c>
    </row>
    <row r="61" spans="1:26">
      <c r="A61" s="4">
        <v>424</v>
      </c>
      <c r="B61" s="4">
        <v>7229</v>
      </c>
      <c r="C61" s="4" t="s">
        <v>40</v>
      </c>
      <c r="D61" s="4" t="s">
        <v>41</v>
      </c>
      <c r="E61" s="4" t="s">
        <v>42</v>
      </c>
      <c r="F61" s="4" t="s">
        <v>43</v>
      </c>
      <c r="G61" s="4" t="s">
        <v>30</v>
      </c>
      <c r="H61" s="4" t="s">
        <v>30</v>
      </c>
      <c r="I61" s="4" t="s">
        <v>31</v>
      </c>
      <c r="J61" s="4" t="s">
        <v>32</v>
      </c>
      <c r="K61" s="4" t="s">
        <v>33</v>
      </c>
      <c r="L61" s="4" t="s">
        <v>34</v>
      </c>
      <c r="M61" s="152">
        <v>2.64</v>
      </c>
      <c r="N61" s="4" t="s">
        <v>44</v>
      </c>
      <c r="O61" s="165">
        <v>7.4999999999999997E-3</v>
      </c>
      <c r="P61" s="166">
        <v>1.6299999999999999E-2</v>
      </c>
      <c r="R61" s="152">
        <v>1629125</v>
      </c>
      <c r="S61" s="167">
        <v>1</v>
      </c>
      <c r="T61" s="169">
        <v>114.25</v>
      </c>
      <c r="U61" s="152">
        <v>1861.2750000000001</v>
      </c>
      <c r="W61" s="4" t="s">
        <v>36</v>
      </c>
      <c r="X61" s="166">
        <v>7.2999999999999999E-5</v>
      </c>
      <c r="Y61" s="166">
        <v>6.10102704132858E-2</v>
      </c>
      <c r="Z61" s="166">
        <v>1.2777539720594399E-2</v>
      </c>
    </row>
    <row r="62" spans="1:26">
      <c r="A62" s="4">
        <v>424</v>
      </c>
      <c r="B62" s="4">
        <v>7229</v>
      </c>
      <c r="C62" s="4" t="s">
        <v>40</v>
      </c>
      <c r="D62" s="4" t="s">
        <v>45</v>
      </c>
      <c r="E62" s="4" t="s">
        <v>46</v>
      </c>
      <c r="F62" s="4" t="s">
        <v>43</v>
      </c>
      <c r="G62" s="4" t="s">
        <v>30</v>
      </c>
      <c r="H62" s="4" t="s">
        <v>30</v>
      </c>
      <c r="I62" s="4" t="s">
        <v>31</v>
      </c>
      <c r="J62" s="4" t="s">
        <v>32</v>
      </c>
      <c r="K62" s="4" t="s">
        <v>33</v>
      </c>
      <c r="L62" s="4" t="s">
        <v>34</v>
      </c>
      <c r="M62" s="152">
        <v>18.399999999999999</v>
      </c>
      <c r="N62" s="4" t="s">
        <v>47</v>
      </c>
      <c r="O62" s="165">
        <v>0.01</v>
      </c>
      <c r="P62" s="166">
        <v>2.2749999999999999E-2</v>
      </c>
      <c r="R62" s="152">
        <v>3613800</v>
      </c>
      <c r="S62" s="167">
        <v>1</v>
      </c>
      <c r="T62" s="169">
        <v>92.5</v>
      </c>
      <c r="U62" s="152">
        <v>3342.7649999999999</v>
      </c>
      <c r="W62" s="4" t="s">
        <v>36</v>
      </c>
      <c r="X62" s="166">
        <v>1.8599999999999999E-4</v>
      </c>
      <c r="Y62" s="166">
        <v>0.109571644349668</v>
      </c>
      <c r="Z62" s="166">
        <v>2.2947874652000301E-2</v>
      </c>
    </row>
    <row r="63" spans="1:26">
      <c r="A63" s="4">
        <v>424</v>
      </c>
      <c r="B63" s="4">
        <v>7229</v>
      </c>
      <c r="C63" s="4" t="s">
        <v>40</v>
      </c>
      <c r="D63" s="4" t="s">
        <v>48</v>
      </c>
      <c r="E63" s="4" t="s">
        <v>49</v>
      </c>
      <c r="F63" s="4" t="s">
        <v>43</v>
      </c>
      <c r="G63" s="4" t="s">
        <v>30</v>
      </c>
      <c r="H63" s="4" t="s">
        <v>30</v>
      </c>
      <c r="I63" s="4" t="s">
        <v>31</v>
      </c>
      <c r="J63" s="4" t="s">
        <v>32</v>
      </c>
      <c r="K63" s="4" t="s">
        <v>33</v>
      </c>
      <c r="L63" s="4" t="s">
        <v>34</v>
      </c>
      <c r="M63" s="152">
        <v>1.0720000000000001</v>
      </c>
      <c r="N63" s="4" t="s">
        <v>50</v>
      </c>
      <c r="O63" s="165">
        <v>7.4999999999999997E-3</v>
      </c>
      <c r="P63" s="166">
        <v>1.303E-2</v>
      </c>
      <c r="R63" s="152">
        <v>4042176</v>
      </c>
      <c r="S63" s="167">
        <v>1</v>
      </c>
      <c r="T63" s="169">
        <v>116.02</v>
      </c>
      <c r="U63" s="152">
        <v>4689.7330000000002</v>
      </c>
      <c r="W63" s="4" t="s">
        <v>36</v>
      </c>
      <c r="X63" s="166">
        <v>1.8599999999999999E-4</v>
      </c>
      <c r="Y63" s="166">
        <v>0.15372355281220801</v>
      </c>
      <c r="Z63" s="166">
        <v>3.21947237529559E-2</v>
      </c>
    </row>
    <row r="64" spans="1:26">
      <c r="A64" s="4">
        <v>424</v>
      </c>
      <c r="B64" s="4">
        <v>7229</v>
      </c>
      <c r="C64" s="4" t="s">
        <v>40</v>
      </c>
      <c r="D64" s="4" t="s">
        <v>51</v>
      </c>
      <c r="E64" s="4" t="s">
        <v>52</v>
      </c>
      <c r="F64" s="4" t="s">
        <v>43</v>
      </c>
      <c r="G64" s="4" t="s">
        <v>30</v>
      </c>
      <c r="H64" s="4" t="s">
        <v>30</v>
      </c>
      <c r="I64" s="4" t="s">
        <v>31</v>
      </c>
      <c r="J64" s="4" t="s">
        <v>32</v>
      </c>
      <c r="K64" s="4" t="s">
        <v>33</v>
      </c>
      <c r="L64" s="4" t="s">
        <v>34</v>
      </c>
      <c r="M64" s="152">
        <v>7.1340000000000003</v>
      </c>
      <c r="N64" s="4" t="s">
        <v>53</v>
      </c>
      <c r="O64" s="165">
        <v>1E-3</v>
      </c>
      <c r="P64" s="166">
        <v>1.9910000000000001E-2</v>
      </c>
      <c r="R64" s="152">
        <v>1094300</v>
      </c>
      <c r="S64" s="167">
        <v>1</v>
      </c>
      <c r="T64" s="169">
        <v>101.1</v>
      </c>
      <c r="U64" s="152">
        <v>1106.337</v>
      </c>
      <c r="W64" s="4" t="s">
        <v>36</v>
      </c>
      <c r="X64" s="166">
        <v>3.6000000000000001E-5</v>
      </c>
      <c r="Y64" s="166">
        <v>3.6264349173924001E-2</v>
      </c>
      <c r="Z64" s="166">
        <v>7.5949370306415296E-3</v>
      </c>
    </row>
    <row r="65" spans="1:26">
      <c r="A65" s="4">
        <v>424</v>
      </c>
      <c r="B65" s="4">
        <v>7229</v>
      </c>
      <c r="C65" s="4" t="s">
        <v>54</v>
      </c>
      <c r="D65" s="4" t="s">
        <v>62</v>
      </c>
      <c r="E65" s="4" t="s">
        <v>63</v>
      </c>
      <c r="F65" s="4" t="s">
        <v>57</v>
      </c>
      <c r="G65" s="4" t="s">
        <v>30</v>
      </c>
      <c r="H65" s="4" t="s">
        <v>30</v>
      </c>
      <c r="I65" s="4" t="s">
        <v>31</v>
      </c>
      <c r="J65" s="4" t="s">
        <v>32</v>
      </c>
      <c r="K65" s="4" t="s">
        <v>33</v>
      </c>
      <c r="L65" s="4" t="s">
        <v>34</v>
      </c>
      <c r="M65" s="152">
        <v>2.44</v>
      </c>
      <c r="N65" s="4" t="s">
        <v>64</v>
      </c>
      <c r="O65" s="165">
        <v>0.02</v>
      </c>
      <c r="P65" s="166">
        <v>4.4049999999999999E-2</v>
      </c>
      <c r="R65" s="152">
        <v>321278</v>
      </c>
      <c r="S65" s="167">
        <v>1</v>
      </c>
      <c r="T65" s="169">
        <v>95.44</v>
      </c>
      <c r="U65" s="152">
        <v>306.62799999999999</v>
      </c>
      <c r="W65" s="4" t="s">
        <v>36</v>
      </c>
      <c r="X65" s="166">
        <v>1.2E-5</v>
      </c>
      <c r="Y65" s="166">
        <v>1.00508722073549E-2</v>
      </c>
      <c r="Z65" s="166">
        <v>2.1049803252163502E-3</v>
      </c>
    </row>
    <row r="66" spans="1:26">
      <c r="A66" s="4">
        <v>424</v>
      </c>
      <c r="B66" s="4">
        <v>7229</v>
      </c>
      <c r="C66" s="4" t="s">
        <v>54</v>
      </c>
      <c r="D66" s="4" t="s">
        <v>65</v>
      </c>
      <c r="E66" s="4" t="s">
        <v>66</v>
      </c>
      <c r="F66" s="4" t="s">
        <v>57</v>
      </c>
      <c r="G66" s="4" t="s">
        <v>30</v>
      </c>
      <c r="H66" s="4" t="s">
        <v>30</v>
      </c>
      <c r="I66" s="4" t="s">
        <v>31</v>
      </c>
      <c r="J66" s="4" t="s">
        <v>32</v>
      </c>
      <c r="K66" s="4" t="s">
        <v>33</v>
      </c>
      <c r="L66" s="4" t="s">
        <v>34</v>
      </c>
      <c r="M66" s="152">
        <v>14.32</v>
      </c>
      <c r="N66" s="4" t="s">
        <v>67</v>
      </c>
      <c r="O66" s="165">
        <v>3.7499999999999999E-2</v>
      </c>
      <c r="P66" s="166">
        <v>5.3379999999999997E-2</v>
      </c>
      <c r="R66" s="152">
        <v>512015</v>
      </c>
      <c r="S66" s="167">
        <v>1</v>
      </c>
      <c r="T66" s="169">
        <v>81.36</v>
      </c>
      <c r="U66" s="152">
        <v>416.57499999999999</v>
      </c>
      <c r="W66" s="4" t="s">
        <v>36</v>
      </c>
      <c r="X66" s="166">
        <v>2.0000000000000002E-5</v>
      </c>
      <c r="Y66" s="166">
        <v>1.36548192923844E-2</v>
      </c>
      <c r="Z66" s="166">
        <v>2.8597643430209401E-3</v>
      </c>
    </row>
    <row r="67" spans="1:26">
      <c r="A67" s="4">
        <v>424</v>
      </c>
      <c r="B67" s="4">
        <v>7229</v>
      </c>
      <c r="C67" s="4" t="s">
        <v>40</v>
      </c>
      <c r="D67" s="4" t="s">
        <v>68</v>
      </c>
      <c r="E67" s="4" t="s">
        <v>69</v>
      </c>
      <c r="F67" s="4" t="s">
        <v>43</v>
      </c>
      <c r="G67" s="4" t="s">
        <v>30</v>
      </c>
      <c r="H67" s="4" t="s">
        <v>30</v>
      </c>
      <c r="I67" s="4" t="s">
        <v>31</v>
      </c>
      <c r="J67" s="4" t="s">
        <v>32</v>
      </c>
      <c r="K67" s="4" t="s">
        <v>33</v>
      </c>
      <c r="L67" s="4" t="s">
        <v>34</v>
      </c>
      <c r="M67" s="152">
        <v>13.85</v>
      </c>
      <c r="N67" s="4" t="s">
        <v>70</v>
      </c>
      <c r="O67" s="165">
        <v>2.75E-2</v>
      </c>
      <c r="P67" s="166">
        <v>2.24E-2</v>
      </c>
      <c r="R67" s="152">
        <v>317439</v>
      </c>
      <c r="S67" s="167">
        <v>1</v>
      </c>
      <c r="T67" s="169">
        <v>132.61000000000001</v>
      </c>
      <c r="U67" s="152">
        <v>420.95600000000002</v>
      </c>
      <c r="W67" s="4" t="s">
        <v>36</v>
      </c>
      <c r="X67" s="166">
        <v>1.5999999999999999E-5</v>
      </c>
      <c r="Y67" s="166">
        <v>1.37984050774518E-2</v>
      </c>
      <c r="Z67" s="166">
        <v>2.8898358876901101E-3</v>
      </c>
    </row>
    <row r="68" spans="1:26">
      <c r="A68" s="4">
        <v>424</v>
      </c>
      <c r="B68" s="4">
        <v>7229</v>
      </c>
      <c r="C68" s="4" t="s">
        <v>40</v>
      </c>
      <c r="D68" s="4" t="s">
        <v>71</v>
      </c>
      <c r="E68" s="4" t="s">
        <v>72</v>
      </c>
      <c r="F68" s="4" t="s">
        <v>43</v>
      </c>
      <c r="G68" s="4" t="s">
        <v>30</v>
      </c>
      <c r="H68" s="4" t="s">
        <v>30</v>
      </c>
      <c r="I68" s="4" t="s">
        <v>31</v>
      </c>
      <c r="J68" s="4" t="s">
        <v>32</v>
      </c>
      <c r="K68" s="4" t="s">
        <v>33</v>
      </c>
      <c r="L68" s="4" t="s">
        <v>34</v>
      </c>
      <c r="M68" s="152">
        <v>9.6419999999999995</v>
      </c>
      <c r="N68" s="4" t="s">
        <v>73</v>
      </c>
      <c r="O68" s="165">
        <v>0.04</v>
      </c>
      <c r="P68" s="166">
        <v>2.1739999999999999E-2</v>
      </c>
      <c r="R68" s="152">
        <v>853528</v>
      </c>
      <c r="S68" s="167">
        <v>1</v>
      </c>
      <c r="T68" s="169">
        <v>164.63</v>
      </c>
      <c r="U68" s="152">
        <v>1405.163</v>
      </c>
      <c r="W68" s="4" t="s">
        <v>36</v>
      </c>
      <c r="X68" s="166">
        <v>5.3999999999999998E-5</v>
      </c>
      <c r="Y68" s="166">
        <v>4.6059485644549203E-2</v>
      </c>
      <c r="Z68" s="166">
        <v>9.6463579549257907E-3</v>
      </c>
    </row>
    <row r="69" spans="1:26">
      <c r="A69" s="4">
        <v>424</v>
      </c>
      <c r="B69" s="4">
        <v>7229</v>
      </c>
      <c r="C69" s="4" t="s">
        <v>40</v>
      </c>
      <c r="D69" s="4" t="s">
        <v>74</v>
      </c>
      <c r="E69" s="4" t="s">
        <v>75</v>
      </c>
      <c r="F69" s="4" t="s">
        <v>43</v>
      </c>
      <c r="G69" s="4" t="s">
        <v>30</v>
      </c>
      <c r="H69" s="4" t="s">
        <v>30</v>
      </c>
      <c r="I69" s="4" t="s">
        <v>31</v>
      </c>
      <c r="J69" s="4" t="s">
        <v>32</v>
      </c>
      <c r="K69" s="4" t="s">
        <v>33</v>
      </c>
      <c r="L69" s="4" t="s">
        <v>34</v>
      </c>
      <c r="M69" s="152">
        <v>4.6100000000000003</v>
      </c>
      <c r="N69" s="4" t="s">
        <v>76</v>
      </c>
      <c r="O69" s="165">
        <v>5.0000000000000001E-3</v>
      </c>
      <c r="P69" s="166">
        <v>1.8280000000000001E-2</v>
      </c>
      <c r="R69" s="152">
        <v>5560395</v>
      </c>
      <c r="S69" s="167">
        <v>1</v>
      </c>
      <c r="T69" s="169">
        <v>108.85</v>
      </c>
      <c r="U69" s="152">
        <v>6052.49</v>
      </c>
      <c r="W69" s="4" t="s">
        <v>36</v>
      </c>
      <c r="X69" s="166">
        <v>2.0599999999999999E-4</v>
      </c>
      <c r="Y69" s="166">
        <v>0.19839303003744699</v>
      </c>
      <c r="Z69" s="166">
        <v>4.1549968626930299E-2</v>
      </c>
    </row>
    <row r="70" spans="1:26">
      <c r="A70" s="4">
        <v>424</v>
      </c>
      <c r="B70" s="4">
        <v>7229</v>
      </c>
      <c r="C70" s="4" t="s">
        <v>40</v>
      </c>
      <c r="D70" s="4" t="s">
        <v>80</v>
      </c>
      <c r="E70" s="4" t="s">
        <v>81</v>
      </c>
      <c r="F70" s="4" t="s">
        <v>43</v>
      </c>
      <c r="G70" s="4" t="s">
        <v>30</v>
      </c>
      <c r="H70" s="4" t="s">
        <v>30</v>
      </c>
      <c r="I70" s="4" t="s">
        <v>31</v>
      </c>
      <c r="J70" s="4" t="s">
        <v>32</v>
      </c>
      <c r="K70" s="4" t="s">
        <v>33</v>
      </c>
      <c r="L70" s="4" t="s">
        <v>34</v>
      </c>
      <c r="M70" s="152">
        <v>3.972</v>
      </c>
      <c r="N70" s="4" t="s">
        <v>82</v>
      </c>
      <c r="O70" s="165">
        <v>1.0999999999999999E-2</v>
      </c>
      <c r="P70" s="166">
        <v>1.806E-2</v>
      </c>
      <c r="R70" s="152">
        <v>2386500</v>
      </c>
      <c r="S70" s="167">
        <v>1</v>
      </c>
      <c r="T70" s="169">
        <v>102.6</v>
      </c>
      <c r="U70" s="152">
        <v>2448.549</v>
      </c>
      <c r="W70" s="4" t="s">
        <v>36</v>
      </c>
      <c r="X70" s="166">
        <v>1.17E-4</v>
      </c>
      <c r="Y70" s="166">
        <v>8.0260365356444596E-2</v>
      </c>
      <c r="Z70" s="166">
        <v>1.6809137205660799E-2</v>
      </c>
    </row>
    <row r="71" spans="1:26">
      <c r="A71" s="4">
        <v>424</v>
      </c>
      <c r="B71" s="4">
        <v>7229</v>
      </c>
      <c r="C71" s="4" t="s">
        <v>40</v>
      </c>
      <c r="D71" s="4" t="s">
        <v>83</v>
      </c>
      <c r="E71" s="4" t="s">
        <v>84</v>
      </c>
      <c r="F71" s="4" t="s">
        <v>43</v>
      </c>
      <c r="G71" s="4" t="s">
        <v>30</v>
      </c>
      <c r="H71" s="4" t="s">
        <v>30</v>
      </c>
      <c r="I71" s="4" t="s">
        <v>85</v>
      </c>
      <c r="J71" s="4" t="s">
        <v>32</v>
      </c>
      <c r="K71" s="4" t="s">
        <v>33</v>
      </c>
      <c r="L71" s="4" t="s">
        <v>34</v>
      </c>
      <c r="M71" s="152">
        <v>8.4309999999999992</v>
      </c>
      <c r="N71" s="4" t="s">
        <v>86</v>
      </c>
      <c r="O71" s="165">
        <v>1.6E-2</v>
      </c>
      <c r="P71" s="166">
        <v>2.128E-2</v>
      </c>
      <c r="R71" s="152">
        <v>1381706</v>
      </c>
      <c r="S71" s="167">
        <v>1</v>
      </c>
      <c r="T71" s="169">
        <v>100.1</v>
      </c>
      <c r="U71" s="152">
        <v>1383.088</v>
      </c>
      <c r="W71" s="4" t="s">
        <v>36</v>
      </c>
      <c r="X71" s="166">
        <v>1.4300000000000001E-4</v>
      </c>
      <c r="Y71" s="166">
        <v>4.5335880394293399E-2</v>
      </c>
      <c r="Z71" s="166">
        <v>9.4948114240787605E-3</v>
      </c>
    </row>
    <row r="72" spans="1:26">
      <c r="A72" s="4">
        <v>424</v>
      </c>
      <c r="B72" s="4">
        <v>7229</v>
      </c>
      <c r="C72" s="4" t="s">
        <v>54</v>
      </c>
      <c r="D72" s="4" t="s">
        <v>90</v>
      </c>
      <c r="E72" s="4" t="s">
        <v>91</v>
      </c>
      <c r="F72" s="4" t="s">
        <v>57</v>
      </c>
      <c r="G72" s="4" t="s">
        <v>30</v>
      </c>
      <c r="H72" s="4" t="s">
        <v>30</v>
      </c>
      <c r="I72" s="4" t="s">
        <v>31</v>
      </c>
      <c r="J72" s="4" t="s">
        <v>32</v>
      </c>
      <c r="K72" s="4" t="s">
        <v>33</v>
      </c>
      <c r="L72" s="4" t="s">
        <v>34</v>
      </c>
      <c r="M72" s="152">
        <v>7.1239999999999997</v>
      </c>
      <c r="N72" s="4" t="s">
        <v>92</v>
      </c>
      <c r="O72" s="165">
        <v>1.2999999999999999E-2</v>
      </c>
      <c r="P72" s="166">
        <v>4.7539999999999999E-2</v>
      </c>
      <c r="R72" s="152">
        <v>4044912</v>
      </c>
      <c r="S72" s="167">
        <v>1</v>
      </c>
      <c r="T72" s="169">
        <v>78.98</v>
      </c>
      <c r="U72" s="152">
        <v>3194.6709999999998</v>
      </c>
      <c r="W72" s="4" t="s">
        <v>36</v>
      </c>
      <c r="X72" s="166">
        <v>1.35E-4</v>
      </c>
      <c r="Y72" s="166">
        <v>0.10471732507341899</v>
      </c>
      <c r="Z72" s="166">
        <v>2.19312219319165E-2</v>
      </c>
    </row>
    <row r="73" spans="1:26">
      <c r="A73" s="4">
        <v>424</v>
      </c>
      <c r="B73" s="4">
        <v>7229</v>
      </c>
      <c r="C73" s="4" t="s">
        <v>93</v>
      </c>
      <c r="D73" s="4" t="s">
        <v>94</v>
      </c>
      <c r="E73" s="4" t="s">
        <v>95</v>
      </c>
      <c r="F73" s="4" t="s">
        <v>96</v>
      </c>
      <c r="G73" s="4" t="s">
        <v>97</v>
      </c>
      <c r="H73" s="4" t="s">
        <v>98</v>
      </c>
      <c r="I73" s="4" t="s">
        <v>99</v>
      </c>
      <c r="J73" s="4" t="s">
        <v>100</v>
      </c>
      <c r="K73" s="4" t="s">
        <v>101</v>
      </c>
      <c r="L73" s="4" t="s">
        <v>102</v>
      </c>
      <c r="M73" s="152">
        <v>4.2000000000000003E-2</v>
      </c>
      <c r="N73" s="4" t="s">
        <v>103</v>
      </c>
      <c r="O73" s="165">
        <v>0</v>
      </c>
      <c r="P73" s="166">
        <v>5.1490000000000001E-2</v>
      </c>
      <c r="R73" s="152">
        <v>110000</v>
      </c>
      <c r="S73" s="167">
        <v>3.71</v>
      </c>
      <c r="T73" s="169">
        <v>99.61</v>
      </c>
      <c r="U73" s="152">
        <v>406.50900000000001</v>
      </c>
      <c r="W73" s="4" t="s">
        <v>36</v>
      </c>
      <c r="X73" s="166">
        <v>0</v>
      </c>
      <c r="Y73" s="166">
        <v>1.3324849231656199E-2</v>
      </c>
      <c r="Z73" s="166">
        <v>2.7906578544084301E-3</v>
      </c>
    </row>
    <row r="74" spans="1:26">
      <c r="A74" s="4">
        <v>424</v>
      </c>
      <c r="B74" s="4">
        <v>9817</v>
      </c>
      <c r="C74" s="4" t="s">
        <v>40</v>
      </c>
      <c r="D74" s="4" t="s">
        <v>41</v>
      </c>
      <c r="E74" s="4" t="s">
        <v>42</v>
      </c>
      <c r="F74" s="4" t="s">
        <v>43</v>
      </c>
      <c r="G74" s="4" t="s">
        <v>30</v>
      </c>
      <c r="H74" s="4" t="s">
        <v>30</v>
      </c>
      <c r="I74" s="4" t="s">
        <v>31</v>
      </c>
      <c r="J74" s="4" t="s">
        <v>32</v>
      </c>
      <c r="K74" s="4" t="s">
        <v>33</v>
      </c>
      <c r="L74" s="4" t="s">
        <v>34</v>
      </c>
      <c r="M74" s="152">
        <v>2.64</v>
      </c>
      <c r="N74" s="4" t="s">
        <v>44</v>
      </c>
      <c r="O74" s="165">
        <v>7.4999999999999997E-3</v>
      </c>
      <c r="P74" s="166">
        <v>1.6299999999999999E-2</v>
      </c>
      <c r="R74" s="152">
        <v>46564</v>
      </c>
      <c r="S74" s="167">
        <v>1</v>
      </c>
      <c r="T74" s="169">
        <v>114.25</v>
      </c>
      <c r="U74" s="152">
        <v>53.198999999999998</v>
      </c>
      <c r="W74" s="4" t="s">
        <v>36</v>
      </c>
      <c r="X74" s="166">
        <v>1.9999999999999999E-6</v>
      </c>
      <c r="Y74" s="166">
        <v>0.15508105496232999</v>
      </c>
      <c r="Z74" s="166">
        <v>3.4665706623194202E-2</v>
      </c>
    </row>
    <row r="75" spans="1:26">
      <c r="A75" s="4">
        <v>424</v>
      </c>
      <c r="B75" s="4">
        <v>9817</v>
      </c>
      <c r="C75" s="4" t="s">
        <v>40</v>
      </c>
      <c r="D75" s="4" t="s">
        <v>45</v>
      </c>
      <c r="E75" s="4" t="s">
        <v>46</v>
      </c>
      <c r="F75" s="4" t="s">
        <v>43</v>
      </c>
      <c r="G75" s="4" t="s">
        <v>30</v>
      </c>
      <c r="H75" s="4" t="s">
        <v>30</v>
      </c>
      <c r="I75" s="4" t="s">
        <v>31</v>
      </c>
      <c r="J75" s="4" t="s">
        <v>32</v>
      </c>
      <c r="K75" s="4" t="s">
        <v>33</v>
      </c>
      <c r="L75" s="4" t="s">
        <v>34</v>
      </c>
      <c r="M75" s="152">
        <v>18.399999999999999</v>
      </c>
      <c r="N75" s="4" t="s">
        <v>47</v>
      </c>
      <c r="O75" s="165">
        <v>0.01</v>
      </c>
      <c r="P75" s="166">
        <v>2.2749999999999999E-2</v>
      </c>
      <c r="R75" s="152">
        <v>8018</v>
      </c>
      <c r="S75" s="167">
        <v>1</v>
      </c>
      <c r="T75" s="169">
        <v>92.5</v>
      </c>
      <c r="U75" s="152">
        <v>7.4169999999999998</v>
      </c>
      <c r="W75" s="4" t="s">
        <v>36</v>
      </c>
      <c r="X75" s="166">
        <v>0</v>
      </c>
      <c r="Y75" s="166">
        <v>2.16202166733622E-2</v>
      </c>
      <c r="Z75" s="166">
        <v>4.8328281524182204E-3</v>
      </c>
    </row>
    <row r="76" spans="1:26">
      <c r="A76" s="4">
        <v>424</v>
      </c>
      <c r="B76" s="4">
        <v>9817</v>
      </c>
      <c r="C76" s="4" t="s">
        <v>54</v>
      </c>
      <c r="D76" s="4" t="s">
        <v>59</v>
      </c>
      <c r="E76" s="4" t="s">
        <v>60</v>
      </c>
      <c r="F76" s="4" t="s">
        <v>57</v>
      </c>
      <c r="G76" s="4" t="s">
        <v>30</v>
      </c>
      <c r="H76" s="4" t="s">
        <v>30</v>
      </c>
      <c r="I76" s="4" t="s">
        <v>31</v>
      </c>
      <c r="J76" s="4" t="s">
        <v>32</v>
      </c>
      <c r="K76" s="4" t="s">
        <v>33</v>
      </c>
      <c r="L76" s="4" t="s">
        <v>34</v>
      </c>
      <c r="M76" s="152">
        <v>4.0549999999999997</v>
      </c>
      <c r="N76" s="4" t="s">
        <v>61</v>
      </c>
      <c r="O76" s="165">
        <v>3.7499999999999999E-2</v>
      </c>
      <c r="P76" s="166">
        <v>4.5620000000000001E-2</v>
      </c>
      <c r="R76" s="152">
        <v>34455</v>
      </c>
      <c r="S76" s="167">
        <v>1</v>
      </c>
      <c r="T76" s="169">
        <v>99.02</v>
      </c>
      <c r="U76" s="152">
        <v>34.116999999999997</v>
      </c>
      <c r="W76" s="4" t="s">
        <v>36</v>
      </c>
      <c r="X76" s="166">
        <v>9.9999999999999995E-7</v>
      </c>
      <c r="Y76" s="166">
        <v>9.9455185931516796E-2</v>
      </c>
      <c r="Z76" s="166">
        <v>2.2231498866799999E-2</v>
      </c>
    </row>
    <row r="77" spans="1:26">
      <c r="A77" s="4">
        <v>424</v>
      </c>
      <c r="B77" s="4">
        <v>9817</v>
      </c>
      <c r="C77" s="4" t="s">
        <v>54</v>
      </c>
      <c r="D77" s="4" t="s">
        <v>62</v>
      </c>
      <c r="E77" s="4" t="s">
        <v>63</v>
      </c>
      <c r="F77" s="4" t="s">
        <v>57</v>
      </c>
      <c r="G77" s="4" t="s">
        <v>30</v>
      </c>
      <c r="H77" s="4" t="s">
        <v>30</v>
      </c>
      <c r="I77" s="4" t="s">
        <v>31</v>
      </c>
      <c r="J77" s="4" t="s">
        <v>32</v>
      </c>
      <c r="K77" s="4" t="s">
        <v>33</v>
      </c>
      <c r="L77" s="4" t="s">
        <v>34</v>
      </c>
      <c r="M77" s="152">
        <v>2.44</v>
      </c>
      <c r="N77" s="4" t="s">
        <v>64</v>
      </c>
      <c r="O77" s="165">
        <v>0.02</v>
      </c>
      <c r="P77" s="166">
        <v>4.4049999999999999E-2</v>
      </c>
      <c r="R77" s="152">
        <v>23827</v>
      </c>
      <c r="S77" s="167">
        <v>1</v>
      </c>
      <c r="T77" s="169">
        <v>95.44</v>
      </c>
      <c r="U77" s="152">
        <v>22.74</v>
      </c>
      <c r="W77" s="4" t="s">
        <v>36</v>
      </c>
      <c r="X77" s="166">
        <v>9.9999999999999995E-7</v>
      </c>
      <c r="Y77" s="166">
        <v>6.6290615724641996E-2</v>
      </c>
      <c r="Z77" s="166">
        <v>1.4818128733645399E-2</v>
      </c>
    </row>
    <row r="78" spans="1:26">
      <c r="A78" s="4">
        <v>424</v>
      </c>
      <c r="B78" s="4">
        <v>9817</v>
      </c>
      <c r="C78" s="4" t="s">
        <v>40</v>
      </c>
      <c r="D78" s="4" t="s">
        <v>71</v>
      </c>
      <c r="E78" s="4" t="s">
        <v>72</v>
      </c>
      <c r="F78" s="4" t="s">
        <v>43</v>
      </c>
      <c r="G78" s="4" t="s">
        <v>30</v>
      </c>
      <c r="H78" s="4" t="s">
        <v>30</v>
      </c>
      <c r="I78" s="4" t="s">
        <v>31</v>
      </c>
      <c r="J78" s="4" t="s">
        <v>32</v>
      </c>
      <c r="K78" s="4" t="s">
        <v>33</v>
      </c>
      <c r="L78" s="4" t="s">
        <v>34</v>
      </c>
      <c r="M78" s="152">
        <v>9.6419999999999995</v>
      </c>
      <c r="N78" s="4" t="s">
        <v>73</v>
      </c>
      <c r="O78" s="165">
        <v>0.04</v>
      </c>
      <c r="P78" s="166">
        <v>2.1739999999999999E-2</v>
      </c>
      <c r="R78" s="152">
        <v>6685</v>
      </c>
      <c r="S78" s="167">
        <v>1</v>
      </c>
      <c r="T78" s="169">
        <v>164.63</v>
      </c>
      <c r="U78" s="152">
        <v>11.006</v>
      </c>
      <c r="W78" s="4" t="s">
        <v>36</v>
      </c>
      <c r="X78" s="166">
        <v>0</v>
      </c>
      <c r="Y78" s="166">
        <v>3.2082089583847999E-2</v>
      </c>
      <c r="Z78" s="166">
        <v>7.1714001793633303E-3</v>
      </c>
    </row>
    <row r="79" spans="1:26">
      <c r="A79" s="4">
        <v>424</v>
      </c>
      <c r="B79" s="4">
        <v>9817</v>
      </c>
      <c r="C79" s="4" t="s">
        <v>54</v>
      </c>
      <c r="D79" s="4" t="s">
        <v>127</v>
      </c>
      <c r="E79" s="4" t="s">
        <v>128</v>
      </c>
      <c r="F79" s="4" t="s">
        <v>57</v>
      </c>
      <c r="G79" s="4" t="s">
        <v>30</v>
      </c>
      <c r="H79" s="4" t="s">
        <v>30</v>
      </c>
      <c r="I79" s="4" t="s">
        <v>31</v>
      </c>
      <c r="J79" s="4" t="s">
        <v>32</v>
      </c>
      <c r="K79" s="4" t="s">
        <v>33</v>
      </c>
      <c r="L79" s="4" t="s">
        <v>34</v>
      </c>
      <c r="M79" s="152">
        <v>1.9079999999999999</v>
      </c>
      <c r="N79" s="4" t="s">
        <v>129</v>
      </c>
      <c r="O79" s="165">
        <v>6.25E-2</v>
      </c>
      <c r="P79" s="166">
        <v>4.3290000000000002E-2</v>
      </c>
      <c r="R79" s="152">
        <v>50083</v>
      </c>
      <c r="S79" s="167">
        <v>1</v>
      </c>
      <c r="T79" s="169">
        <v>109.5</v>
      </c>
      <c r="U79" s="152">
        <v>54.841000000000001</v>
      </c>
      <c r="W79" s="4" t="s">
        <v>36</v>
      </c>
      <c r="X79" s="166">
        <v>3.0000000000000001E-6</v>
      </c>
      <c r="Y79" s="166">
        <v>0.15986622211631099</v>
      </c>
      <c r="Z79" s="166">
        <v>3.5735348564585101E-2</v>
      </c>
    </row>
    <row r="80" spans="1:26">
      <c r="A80" s="4">
        <v>424</v>
      </c>
      <c r="B80" s="4">
        <v>9817</v>
      </c>
      <c r="C80" s="4" t="s">
        <v>54</v>
      </c>
      <c r="D80" s="4" t="s">
        <v>130</v>
      </c>
      <c r="E80" s="4" t="s">
        <v>131</v>
      </c>
      <c r="F80" s="4" t="s">
        <v>57</v>
      </c>
      <c r="G80" s="4" t="s">
        <v>30</v>
      </c>
      <c r="H80" s="4" t="s">
        <v>30</v>
      </c>
      <c r="I80" s="4" t="s">
        <v>31</v>
      </c>
      <c r="J80" s="4" t="s">
        <v>32</v>
      </c>
      <c r="K80" s="4" t="s">
        <v>33</v>
      </c>
      <c r="L80" s="4" t="s">
        <v>34</v>
      </c>
      <c r="M80" s="152">
        <v>11.238</v>
      </c>
      <c r="N80" s="4" t="s">
        <v>132</v>
      </c>
      <c r="O80" s="165">
        <v>5.5E-2</v>
      </c>
      <c r="P80" s="166">
        <v>5.1729999999999998E-2</v>
      </c>
      <c r="R80" s="152">
        <v>14496</v>
      </c>
      <c r="S80" s="167">
        <v>1</v>
      </c>
      <c r="T80" s="169">
        <v>107.34</v>
      </c>
      <c r="U80" s="152">
        <v>15.56</v>
      </c>
      <c r="W80" s="4" t="s">
        <v>36</v>
      </c>
      <c r="X80" s="166">
        <v>9.9999999999999995E-7</v>
      </c>
      <c r="Y80" s="166">
        <v>4.5358849319693202E-2</v>
      </c>
      <c r="Z80" s="166">
        <v>1.0139191815944901E-2</v>
      </c>
    </row>
    <row r="81" spans="1:26">
      <c r="A81" s="4">
        <v>424</v>
      </c>
      <c r="B81" s="4">
        <v>9817</v>
      </c>
      <c r="C81" s="4" t="s">
        <v>116</v>
      </c>
      <c r="D81" s="4" t="s">
        <v>117</v>
      </c>
      <c r="E81" s="4" t="s">
        <v>118</v>
      </c>
      <c r="F81" s="4" t="s">
        <v>119</v>
      </c>
      <c r="G81" s="4" t="s">
        <v>30</v>
      </c>
      <c r="H81" s="4" t="s">
        <v>30</v>
      </c>
      <c r="I81" s="4" t="s">
        <v>31</v>
      </c>
      <c r="J81" s="4" t="s">
        <v>32</v>
      </c>
      <c r="K81" s="4" t="s">
        <v>33</v>
      </c>
      <c r="L81" s="4" t="s">
        <v>34</v>
      </c>
      <c r="M81" s="152">
        <v>1.6040000000000001</v>
      </c>
      <c r="N81" s="4" t="s">
        <v>120</v>
      </c>
      <c r="O81" s="165">
        <v>4.1700000000000001E-2</v>
      </c>
      <c r="P81" s="166">
        <v>4.718E-2</v>
      </c>
      <c r="R81" s="152">
        <v>16029</v>
      </c>
      <c r="S81" s="167">
        <v>1</v>
      </c>
      <c r="T81" s="169">
        <v>99.82</v>
      </c>
      <c r="U81" s="152">
        <v>16</v>
      </c>
      <c r="W81" s="4" t="s">
        <v>36</v>
      </c>
      <c r="X81" s="166">
        <v>9.9999999999999995E-7</v>
      </c>
      <c r="Y81" s="166">
        <v>4.6641901969463197E-2</v>
      </c>
      <c r="Z81" s="166">
        <v>1.0425996201882601E-2</v>
      </c>
    </row>
    <row r="82" spans="1:26">
      <c r="A82" s="4">
        <v>424</v>
      </c>
      <c r="B82" s="4">
        <v>9817</v>
      </c>
      <c r="C82" s="4" t="s">
        <v>40</v>
      </c>
      <c r="D82" s="4" t="s">
        <v>74</v>
      </c>
      <c r="E82" s="4" t="s">
        <v>75</v>
      </c>
      <c r="F82" s="4" t="s">
        <v>43</v>
      </c>
      <c r="G82" s="4" t="s">
        <v>30</v>
      </c>
      <c r="H82" s="4" t="s">
        <v>30</v>
      </c>
      <c r="I82" s="4" t="s">
        <v>31</v>
      </c>
      <c r="J82" s="4" t="s">
        <v>32</v>
      </c>
      <c r="K82" s="4" t="s">
        <v>33</v>
      </c>
      <c r="L82" s="4" t="s">
        <v>34</v>
      </c>
      <c r="M82" s="152">
        <v>4.6100000000000003</v>
      </c>
      <c r="N82" s="4" t="s">
        <v>76</v>
      </c>
      <c r="O82" s="165">
        <v>5.0000000000000001E-3</v>
      </c>
      <c r="P82" s="166">
        <v>1.8280000000000001E-2</v>
      </c>
      <c r="R82" s="152">
        <v>97754</v>
      </c>
      <c r="S82" s="167">
        <v>1</v>
      </c>
      <c r="T82" s="169">
        <v>108.85</v>
      </c>
      <c r="U82" s="152">
        <v>106.405</v>
      </c>
      <c r="W82" s="4" t="s">
        <v>36</v>
      </c>
      <c r="X82" s="166">
        <v>3.9999999999999998E-6</v>
      </c>
      <c r="Y82" s="166">
        <v>0.31018102595629099</v>
      </c>
      <c r="Z82" s="166">
        <v>6.9335641600413597E-2</v>
      </c>
    </row>
    <row r="83" spans="1:26">
      <c r="A83" s="4">
        <v>424</v>
      </c>
      <c r="B83" s="4">
        <v>9817</v>
      </c>
      <c r="C83" s="4" t="s">
        <v>40</v>
      </c>
      <c r="D83" s="4" t="s">
        <v>77</v>
      </c>
      <c r="E83" s="4" t="s">
        <v>78</v>
      </c>
      <c r="F83" s="4" t="s">
        <v>43</v>
      </c>
      <c r="G83" s="4" t="s">
        <v>30</v>
      </c>
      <c r="H83" s="4" t="s">
        <v>30</v>
      </c>
      <c r="I83" s="4" t="s">
        <v>31</v>
      </c>
      <c r="J83" s="4" t="s">
        <v>32</v>
      </c>
      <c r="K83" s="4" t="s">
        <v>33</v>
      </c>
      <c r="L83" s="4" t="s">
        <v>34</v>
      </c>
      <c r="M83" s="152">
        <v>1.83</v>
      </c>
      <c r="N83" s="4" t="s">
        <v>79</v>
      </c>
      <c r="O83" s="165">
        <v>1E-3</v>
      </c>
      <c r="P83" s="166">
        <v>1.5679999999999999E-2</v>
      </c>
      <c r="R83" s="152">
        <v>4610</v>
      </c>
      <c r="S83" s="167">
        <v>1</v>
      </c>
      <c r="T83" s="169">
        <v>112.44</v>
      </c>
      <c r="U83" s="152">
        <v>5.1829999999999998</v>
      </c>
      <c r="W83" s="4" t="s">
        <v>36</v>
      </c>
      <c r="X83" s="166">
        <v>0</v>
      </c>
      <c r="Y83" s="166">
        <v>1.51103324550715E-2</v>
      </c>
      <c r="Z83" s="166">
        <v>3.3776553299413301E-3</v>
      </c>
    </row>
    <row r="84" spans="1:26">
      <c r="A84" s="4">
        <v>424</v>
      </c>
      <c r="B84" s="4">
        <v>9817</v>
      </c>
      <c r="C84" s="4" t="s">
        <v>54</v>
      </c>
      <c r="D84" s="4" t="s">
        <v>133</v>
      </c>
      <c r="E84" s="4" t="s">
        <v>134</v>
      </c>
      <c r="F84" s="4" t="s">
        <v>57</v>
      </c>
      <c r="G84" s="4" t="s">
        <v>30</v>
      </c>
      <c r="H84" s="4" t="s">
        <v>30</v>
      </c>
      <c r="I84" s="4" t="s">
        <v>31</v>
      </c>
      <c r="J84" s="4" t="s">
        <v>32</v>
      </c>
      <c r="K84" s="4" t="s">
        <v>33</v>
      </c>
      <c r="L84" s="4" t="s">
        <v>34</v>
      </c>
      <c r="M84" s="152">
        <v>0.57999999999999996</v>
      </c>
      <c r="N84" s="4" t="s">
        <v>135</v>
      </c>
      <c r="O84" s="165">
        <v>5.0000000000000001E-3</v>
      </c>
      <c r="P84" s="166">
        <v>3.977E-2</v>
      </c>
      <c r="R84" s="152">
        <v>16865</v>
      </c>
      <c r="S84" s="167">
        <v>1</v>
      </c>
      <c r="T84" s="169">
        <v>98.27</v>
      </c>
      <c r="U84" s="152">
        <v>16.573</v>
      </c>
      <c r="W84" s="4" t="s">
        <v>36</v>
      </c>
      <c r="X84" s="166">
        <v>9.9999999999999995E-7</v>
      </c>
      <c r="Y84" s="166">
        <v>4.8312505307471498E-2</v>
      </c>
      <c r="Z84" s="166">
        <v>1.07994308887513E-2</v>
      </c>
    </row>
    <row r="85" spans="1:26">
      <c r="A85" s="4">
        <v>969</v>
      </c>
      <c r="B85" s="4">
        <v>969</v>
      </c>
      <c r="C85" s="4" t="s">
        <v>40</v>
      </c>
      <c r="D85" s="4" t="s">
        <v>45</v>
      </c>
      <c r="E85" s="4" t="s">
        <v>46</v>
      </c>
      <c r="F85" s="4" t="s">
        <v>43</v>
      </c>
      <c r="G85" s="4" t="s">
        <v>30</v>
      </c>
      <c r="H85" s="4" t="s">
        <v>30</v>
      </c>
      <c r="I85" s="4" t="s">
        <v>31</v>
      </c>
      <c r="J85" s="4" t="s">
        <v>32</v>
      </c>
      <c r="K85" s="4" t="s">
        <v>33</v>
      </c>
      <c r="L85" s="4" t="s">
        <v>34</v>
      </c>
      <c r="M85" s="152">
        <v>18.399999999999999</v>
      </c>
      <c r="N85" s="4" t="s">
        <v>47</v>
      </c>
      <c r="O85" s="165">
        <v>0.01</v>
      </c>
      <c r="P85" s="166">
        <v>2.2749999999999999E-2</v>
      </c>
      <c r="R85" s="152">
        <v>1820330</v>
      </c>
      <c r="S85" s="167">
        <v>1</v>
      </c>
      <c r="T85" s="169">
        <v>92.5</v>
      </c>
      <c r="U85" s="152">
        <v>1683.8050000000001</v>
      </c>
      <c r="W85" s="4" t="s">
        <v>36</v>
      </c>
      <c r="X85" s="166">
        <v>9.3999999999999994E-5</v>
      </c>
      <c r="Y85" s="166">
        <v>0.13311190827494901</v>
      </c>
      <c r="Z85" s="166">
        <v>2.2255701458626799E-2</v>
      </c>
    </row>
    <row r="86" spans="1:26">
      <c r="A86" s="4">
        <v>969</v>
      </c>
      <c r="B86" s="4">
        <v>969</v>
      </c>
      <c r="C86" s="4" t="s">
        <v>40</v>
      </c>
      <c r="D86" s="4" t="s">
        <v>48</v>
      </c>
      <c r="E86" s="4" t="s">
        <v>49</v>
      </c>
      <c r="F86" s="4" t="s">
        <v>43</v>
      </c>
      <c r="G86" s="4" t="s">
        <v>30</v>
      </c>
      <c r="H86" s="4" t="s">
        <v>30</v>
      </c>
      <c r="I86" s="4" t="s">
        <v>31</v>
      </c>
      <c r="J86" s="4" t="s">
        <v>32</v>
      </c>
      <c r="K86" s="4" t="s">
        <v>33</v>
      </c>
      <c r="L86" s="4" t="s">
        <v>34</v>
      </c>
      <c r="M86" s="152">
        <v>1.0720000000000001</v>
      </c>
      <c r="N86" s="4" t="s">
        <v>50</v>
      </c>
      <c r="O86" s="165">
        <v>7.4999999999999997E-3</v>
      </c>
      <c r="P86" s="166">
        <v>1.303E-2</v>
      </c>
      <c r="R86" s="152">
        <v>124684</v>
      </c>
      <c r="S86" s="167">
        <v>1</v>
      </c>
      <c r="T86" s="169">
        <v>116.02</v>
      </c>
      <c r="U86" s="152">
        <v>144.65799999999999</v>
      </c>
      <c r="W86" s="4" t="s">
        <v>36</v>
      </c>
      <c r="X86" s="166">
        <v>6.0000000000000002E-6</v>
      </c>
      <c r="Y86" s="166">
        <v>1.14358549385712E-2</v>
      </c>
      <c r="Z86" s="166">
        <v>1.91202257360247E-3</v>
      </c>
    </row>
    <row r="87" spans="1:26">
      <c r="A87" s="4">
        <v>969</v>
      </c>
      <c r="B87" s="4">
        <v>969</v>
      </c>
      <c r="C87" s="4" t="s">
        <v>54</v>
      </c>
      <c r="D87" s="4" t="s">
        <v>59</v>
      </c>
      <c r="E87" s="4" t="s">
        <v>60</v>
      </c>
      <c r="F87" s="4" t="s">
        <v>57</v>
      </c>
      <c r="G87" s="4" t="s">
        <v>30</v>
      </c>
      <c r="H87" s="4" t="s">
        <v>30</v>
      </c>
      <c r="I87" s="4" t="s">
        <v>31</v>
      </c>
      <c r="J87" s="4" t="s">
        <v>32</v>
      </c>
      <c r="K87" s="4" t="s">
        <v>33</v>
      </c>
      <c r="L87" s="4" t="s">
        <v>34</v>
      </c>
      <c r="M87" s="152">
        <v>4.0549999999999997</v>
      </c>
      <c r="N87" s="4" t="s">
        <v>61</v>
      </c>
      <c r="O87" s="165">
        <v>3.7499999999999999E-2</v>
      </c>
      <c r="P87" s="166">
        <v>4.5620000000000001E-2</v>
      </c>
      <c r="R87" s="152">
        <v>1705284</v>
      </c>
      <c r="S87" s="167">
        <v>1</v>
      </c>
      <c r="T87" s="169">
        <v>99.02</v>
      </c>
      <c r="U87" s="152">
        <v>1688.5719999999999</v>
      </c>
      <c r="W87" s="4" t="s">
        <v>36</v>
      </c>
      <c r="X87" s="166">
        <v>5.3000000000000001E-5</v>
      </c>
      <c r="Y87" s="166">
        <v>0.133488757110306</v>
      </c>
      <c r="Z87" s="166">
        <v>2.2318708858065701E-2</v>
      </c>
    </row>
    <row r="88" spans="1:26">
      <c r="A88" s="4">
        <v>969</v>
      </c>
      <c r="B88" s="4">
        <v>969</v>
      </c>
      <c r="C88" s="4" t="s">
        <v>54</v>
      </c>
      <c r="D88" s="4" t="s">
        <v>62</v>
      </c>
      <c r="E88" s="4" t="s">
        <v>63</v>
      </c>
      <c r="F88" s="4" t="s">
        <v>57</v>
      </c>
      <c r="G88" s="4" t="s">
        <v>30</v>
      </c>
      <c r="H88" s="4" t="s">
        <v>30</v>
      </c>
      <c r="I88" s="4" t="s">
        <v>31</v>
      </c>
      <c r="J88" s="4" t="s">
        <v>32</v>
      </c>
      <c r="K88" s="4" t="s">
        <v>33</v>
      </c>
      <c r="L88" s="4" t="s">
        <v>34</v>
      </c>
      <c r="M88" s="152">
        <v>2.44</v>
      </c>
      <c r="N88" s="4" t="s">
        <v>64</v>
      </c>
      <c r="O88" s="165">
        <v>0.02</v>
      </c>
      <c r="P88" s="166">
        <v>4.4049999999999999E-2</v>
      </c>
      <c r="R88" s="152">
        <v>146623</v>
      </c>
      <c r="S88" s="167">
        <v>1</v>
      </c>
      <c r="T88" s="169">
        <v>95.44</v>
      </c>
      <c r="U88" s="152">
        <v>139.93700000000001</v>
      </c>
      <c r="W88" s="4" t="s">
        <v>36</v>
      </c>
      <c r="X88" s="166">
        <v>6.0000000000000002E-6</v>
      </c>
      <c r="Y88" s="166">
        <v>1.10626094893615E-2</v>
      </c>
      <c r="Z88" s="166">
        <v>1.8496176438253099E-3</v>
      </c>
    </row>
    <row r="89" spans="1:26">
      <c r="A89" s="4">
        <v>969</v>
      </c>
      <c r="B89" s="4">
        <v>969</v>
      </c>
      <c r="C89" s="4" t="s">
        <v>54</v>
      </c>
      <c r="D89" s="4" t="s">
        <v>65</v>
      </c>
      <c r="E89" s="4" t="s">
        <v>66</v>
      </c>
      <c r="F89" s="4" t="s">
        <v>57</v>
      </c>
      <c r="G89" s="4" t="s">
        <v>30</v>
      </c>
      <c r="H89" s="4" t="s">
        <v>30</v>
      </c>
      <c r="I89" s="4" t="s">
        <v>31</v>
      </c>
      <c r="J89" s="4" t="s">
        <v>32</v>
      </c>
      <c r="K89" s="4" t="s">
        <v>33</v>
      </c>
      <c r="L89" s="4" t="s">
        <v>34</v>
      </c>
      <c r="M89" s="152">
        <v>14.32</v>
      </c>
      <c r="N89" s="4" t="s">
        <v>67</v>
      </c>
      <c r="O89" s="165">
        <v>3.7499999999999999E-2</v>
      </c>
      <c r="P89" s="166">
        <v>5.3379999999999997E-2</v>
      </c>
      <c r="R89" s="152">
        <v>253360</v>
      </c>
      <c r="S89" s="167">
        <v>1</v>
      </c>
      <c r="T89" s="169">
        <v>81.36</v>
      </c>
      <c r="U89" s="152">
        <v>206.13399999999999</v>
      </c>
      <c r="W89" s="4" t="s">
        <v>36</v>
      </c>
      <c r="X89" s="166">
        <v>1.0000000000000001E-5</v>
      </c>
      <c r="Y89" s="166">
        <v>1.6295738259711499E-2</v>
      </c>
      <c r="Z89" s="166">
        <v>2.7245728083692198E-3</v>
      </c>
    </row>
    <row r="90" spans="1:26">
      <c r="A90" s="4">
        <v>969</v>
      </c>
      <c r="B90" s="4">
        <v>969</v>
      </c>
      <c r="C90" s="4" t="s">
        <v>40</v>
      </c>
      <c r="D90" s="4" t="s">
        <v>68</v>
      </c>
      <c r="E90" s="4" t="s">
        <v>69</v>
      </c>
      <c r="F90" s="4" t="s">
        <v>43</v>
      </c>
      <c r="G90" s="4" t="s">
        <v>30</v>
      </c>
      <c r="H90" s="4" t="s">
        <v>30</v>
      </c>
      <c r="I90" s="4" t="s">
        <v>31</v>
      </c>
      <c r="J90" s="4" t="s">
        <v>32</v>
      </c>
      <c r="K90" s="4" t="s">
        <v>33</v>
      </c>
      <c r="L90" s="4" t="s">
        <v>34</v>
      </c>
      <c r="M90" s="152">
        <v>13.85</v>
      </c>
      <c r="N90" s="4" t="s">
        <v>70</v>
      </c>
      <c r="O90" s="165">
        <v>2.75E-2</v>
      </c>
      <c r="P90" s="166">
        <v>2.24E-2</v>
      </c>
      <c r="R90" s="152">
        <v>506322</v>
      </c>
      <c r="S90" s="167">
        <v>1</v>
      </c>
      <c r="T90" s="169">
        <v>132.61000000000001</v>
      </c>
      <c r="U90" s="152">
        <v>671.43399999999997</v>
      </c>
      <c r="W90" s="4" t="s">
        <v>36</v>
      </c>
      <c r="X90" s="166">
        <v>2.5999999999999998E-5</v>
      </c>
      <c r="Y90" s="166">
        <v>5.3079658906508599E-2</v>
      </c>
      <c r="Z90" s="166">
        <v>8.8746758833095594E-3</v>
      </c>
    </row>
    <row r="91" spans="1:26">
      <c r="A91" s="4">
        <v>969</v>
      </c>
      <c r="B91" s="4">
        <v>969</v>
      </c>
      <c r="C91" s="4" t="s">
        <v>40</v>
      </c>
      <c r="D91" s="4" t="s">
        <v>74</v>
      </c>
      <c r="E91" s="4" t="s">
        <v>75</v>
      </c>
      <c r="F91" s="4" t="s">
        <v>43</v>
      </c>
      <c r="G91" s="4" t="s">
        <v>30</v>
      </c>
      <c r="H91" s="4" t="s">
        <v>30</v>
      </c>
      <c r="I91" s="4" t="s">
        <v>31</v>
      </c>
      <c r="J91" s="4" t="s">
        <v>32</v>
      </c>
      <c r="K91" s="4" t="s">
        <v>33</v>
      </c>
      <c r="L91" s="4" t="s">
        <v>34</v>
      </c>
      <c r="M91" s="152">
        <v>4.6100000000000003</v>
      </c>
      <c r="N91" s="4" t="s">
        <v>76</v>
      </c>
      <c r="O91" s="165">
        <v>5.0000000000000001E-3</v>
      </c>
      <c r="P91" s="166">
        <v>1.8280000000000001E-2</v>
      </c>
      <c r="R91" s="152">
        <v>2249360</v>
      </c>
      <c r="S91" s="167">
        <v>1</v>
      </c>
      <c r="T91" s="169">
        <v>108.85</v>
      </c>
      <c r="U91" s="152">
        <v>2448.4279999999999</v>
      </c>
      <c r="W91" s="4" t="s">
        <v>36</v>
      </c>
      <c r="X91" s="166">
        <v>8.2999999999999998E-5</v>
      </c>
      <c r="Y91" s="166">
        <v>0.19355859074207199</v>
      </c>
      <c r="Z91" s="166">
        <v>3.2362109942937499E-2</v>
      </c>
    </row>
    <row r="92" spans="1:26">
      <c r="A92" s="4">
        <v>969</v>
      </c>
      <c r="B92" s="4">
        <v>969</v>
      </c>
      <c r="C92" s="4" t="s">
        <v>40</v>
      </c>
      <c r="D92" s="4" t="s">
        <v>77</v>
      </c>
      <c r="E92" s="4" t="s">
        <v>78</v>
      </c>
      <c r="F92" s="4" t="s">
        <v>43</v>
      </c>
      <c r="G92" s="4" t="s">
        <v>30</v>
      </c>
      <c r="H92" s="4" t="s">
        <v>30</v>
      </c>
      <c r="I92" s="4" t="s">
        <v>31</v>
      </c>
      <c r="J92" s="4" t="s">
        <v>32</v>
      </c>
      <c r="K92" s="4" t="s">
        <v>33</v>
      </c>
      <c r="L92" s="4" t="s">
        <v>34</v>
      </c>
      <c r="M92" s="152">
        <v>1.83</v>
      </c>
      <c r="N92" s="4" t="s">
        <v>79</v>
      </c>
      <c r="O92" s="165">
        <v>1E-3</v>
      </c>
      <c r="P92" s="166">
        <v>1.5679999999999999E-2</v>
      </c>
      <c r="R92" s="152">
        <v>3177286</v>
      </c>
      <c r="S92" s="167">
        <v>1</v>
      </c>
      <c r="T92" s="169">
        <v>112.44</v>
      </c>
      <c r="U92" s="152">
        <v>3572.54</v>
      </c>
      <c r="W92" s="4" t="s">
        <v>36</v>
      </c>
      <c r="X92" s="166">
        <v>1.5699999999999999E-4</v>
      </c>
      <c r="Y92" s="166">
        <v>0.28242438794993102</v>
      </c>
      <c r="Z92" s="166">
        <v>4.7220064262515002E-2</v>
      </c>
    </row>
    <row r="93" spans="1:26">
      <c r="A93" s="4">
        <v>969</v>
      </c>
      <c r="B93" s="4">
        <v>969</v>
      </c>
      <c r="C93" s="4" t="s">
        <v>40</v>
      </c>
      <c r="D93" s="4" t="s">
        <v>80</v>
      </c>
      <c r="E93" s="4" t="s">
        <v>81</v>
      </c>
      <c r="F93" s="4" t="s">
        <v>43</v>
      </c>
      <c r="G93" s="4" t="s">
        <v>30</v>
      </c>
      <c r="H93" s="4" t="s">
        <v>30</v>
      </c>
      <c r="I93" s="4" t="s">
        <v>31</v>
      </c>
      <c r="J93" s="4" t="s">
        <v>32</v>
      </c>
      <c r="K93" s="4" t="s">
        <v>33</v>
      </c>
      <c r="L93" s="4" t="s">
        <v>34</v>
      </c>
      <c r="M93" s="152">
        <v>3.972</v>
      </c>
      <c r="N93" s="4" t="s">
        <v>82</v>
      </c>
      <c r="O93" s="165">
        <v>1.0999999999999999E-2</v>
      </c>
      <c r="P93" s="166">
        <v>1.806E-2</v>
      </c>
      <c r="R93" s="152">
        <v>700000</v>
      </c>
      <c r="S93" s="167">
        <v>1</v>
      </c>
      <c r="T93" s="169">
        <v>102.6</v>
      </c>
      <c r="U93" s="152">
        <v>718.2</v>
      </c>
      <c r="W93" s="4" t="s">
        <v>36</v>
      </c>
      <c r="X93" s="166">
        <v>3.4E-5</v>
      </c>
      <c r="Y93" s="166">
        <v>5.6776739782149997E-2</v>
      </c>
      <c r="Z93" s="166">
        <v>9.4928108744083001E-3</v>
      </c>
    </row>
    <row r="94" spans="1:26">
      <c r="A94" s="4">
        <v>969</v>
      </c>
      <c r="B94" s="4">
        <v>969</v>
      </c>
      <c r="C94" s="4" t="s">
        <v>40</v>
      </c>
      <c r="D94" s="4" t="s">
        <v>83</v>
      </c>
      <c r="E94" s="4" t="s">
        <v>84</v>
      </c>
      <c r="F94" s="4" t="s">
        <v>43</v>
      </c>
      <c r="G94" s="4" t="s">
        <v>30</v>
      </c>
      <c r="H94" s="4" t="s">
        <v>30</v>
      </c>
      <c r="I94" s="4" t="s">
        <v>85</v>
      </c>
      <c r="J94" s="4" t="s">
        <v>32</v>
      </c>
      <c r="K94" s="4" t="s">
        <v>33</v>
      </c>
      <c r="L94" s="4" t="s">
        <v>34</v>
      </c>
      <c r="M94" s="152">
        <v>8.4309999999999992</v>
      </c>
      <c r="N94" s="4" t="s">
        <v>86</v>
      </c>
      <c r="O94" s="165">
        <v>1.6E-2</v>
      </c>
      <c r="P94" s="166">
        <v>2.128E-2</v>
      </c>
      <c r="R94" s="152">
        <v>873353</v>
      </c>
      <c r="S94" s="167">
        <v>1</v>
      </c>
      <c r="T94" s="169">
        <v>100.1</v>
      </c>
      <c r="U94" s="152">
        <v>874.226</v>
      </c>
      <c r="W94" s="4" t="s">
        <v>36</v>
      </c>
      <c r="X94" s="166">
        <v>9.1000000000000003E-5</v>
      </c>
      <c r="Y94" s="166">
        <v>6.9111281196016394E-2</v>
      </c>
      <c r="Z94" s="166">
        <v>1.15550897110174E-2</v>
      </c>
    </row>
    <row r="95" spans="1:26">
      <c r="A95" s="4">
        <v>969</v>
      </c>
      <c r="B95" s="4">
        <v>969</v>
      </c>
      <c r="C95" s="4" t="s">
        <v>26</v>
      </c>
      <c r="D95" s="4" t="s">
        <v>121</v>
      </c>
      <c r="E95" s="4" t="s">
        <v>122</v>
      </c>
      <c r="F95" s="4" t="s">
        <v>29</v>
      </c>
      <c r="G95" s="4" t="s">
        <v>30</v>
      </c>
      <c r="H95" s="4" t="s">
        <v>30</v>
      </c>
      <c r="I95" s="4" t="s">
        <v>85</v>
      </c>
      <c r="J95" s="4" t="s">
        <v>32</v>
      </c>
      <c r="K95" s="4" t="s">
        <v>33</v>
      </c>
      <c r="L95" s="4" t="s">
        <v>34</v>
      </c>
      <c r="M95" s="152">
        <v>0.85</v>
      </c>
      <c r="N95" s="4" t="s">
        <v>123</v>
      </c>
      <c r="O95" s="165">
        <v>0</v>
      </c>
      <c r="P95" s="166">
        <v>4.3380000000000002E-2</v>
      </c>
      <c r="R95" s="152">
        <v>519912</v>
      </c>
      <c r="S95" s="167">
        <v>1</v>
      </c>
      <c r="T95" s="169">
        <v>96.48</v>
      </c>
      <c r="U95" s="152">
        <v>501.61099999999999</v>
      </c>
      <c r="W95" s="4" t="s">
        <v>36</v>
      </c>
      <c r="X95" s="166">
        <v>4.3000000000000002E-5</v>
      </c>
      <c r="Y95" s="166">
        <v>3.9654473350423103E-2</v>
      </c>
      <c r="Z95" s="166">
        <v>6.6300463408816004E-3</v>
      </c>
    </row>
    <row r="96" spans="1:26">
      <c r="X96" s="149"/>
    </row>
    <row r="97" spans="24:24">
      <c r="X97" s="149"/>
    </row>
    <row r="98" spans="24:24">
      <c r="X98" s="149"/>
    </row>
    <row r="99" spans="24:24">
      <c r="X99" s="149"/>
    </row>
    <row r="100" spans="24:24">
      <c r="X100" s="149"/>
    </row>
    <row r="101" spans="24:24">
      <c r="X101" s="149"/>
    </row>
    <row r="102" spans="24:24">
      <c r="X102" s="149"/>
    </row>
    <row r="103" spans="24:24">
      <c r="X103" s="149"/>
    </row>
    <row r="104" spans="24:24">
      <c r="X104" s="149"/>
    </row>
    <row r="105" spans="24:24">
      <c r="X105" s="149"/>
    </row>
    <row r="106" spans="24:24">
      <c r="X106" s="149"/>
    </row>
    <row r="107" spans="24:24">
      <c r="X107" s="149"/>
    </row>
    <row r="108" spans="24:24">
      <c r="X108" s="149"/>
    </row>
    <row r="109" spans="24:24">
      <c r="X109" s="149"/>
    </row>
    <row r="110" spans="24:24">
      <c r="X110" s="149"/>
    </row>
    <row r="111" spans="24:24">
      <c r="X111" s="149"/>
    </row>
    <row r="112" spans="24:24">
      <c r="X112" s="149"/>
    </row>
    <row r="113" spans="24:24">
      <c r="X113" s="149"/>
    </row>
    <row r="114" spans="24:24">
      <c r="X114" s="149"/>
    </row>
    <row r="115" spans="24:24">
      <c r="X115" s="149"/>
    </row>
    <row r="116" spans="24:24">
      <c r="X116" s="149"/>
    </row>
    <row r="117" spans="24:24">
      <c r="X117" s="149"/>
    </row>
    <row r="118" spans="24:24">
      <c r="X118" s="149"/>
    </row>
    <row r="119" spans="24:24">
      <c r="X119" s="149"/>
    </row>
    <row r="120" spans="24:24">
      <c r="X120" s="149"/>
    </row>
    <row r="121" spans="24:24">
      <c r="X121" s="149"/>
    </row>
    <row r="122" spans="24:24">
      <c r="X122" s="149"/>
    </row>
    <row r="123" spans="24:24">
      <c r="X123" s="149"/>
    </row>
    <row r="124" spans="24:24">
      <c r="X124" s="149"/>
    </row>
    <row r="125" spans="24:24">
      <c r="X125" s="149"/>
    </row>
    <row r="126" spans="24:24">
      <c r="X126" s="149"/>
    </row>
    <row r="127" spans="24:24">
      <c r="X127" s="149"/>
    </row>
    <row r="128" spans="24:24">
      <c r="X128" s="149"/>
    </row>
    <row r="129" spans="24:24">
      <c r="X129" s="149"/>
    </row>
    <row r="130" spans="24:24">
      <c r="X130" s="149"/>
    </row>
    <row r="131" spans="24:24">
      <c r="X131" s="149"/>
    </row>
    <row r="132" spans="24:24">
      <c r="X132" s="149"/>
    </row>
    <row r="133" spans="24:24">
      <c r="X133" s="149"/>
    </row>
    <row r="134" spans="24:24">
      <c r="X134" s="149"/>
    </row>
    <row r="135" spans="24:24">
      <c r="X135" s="149"/>
    </row>
    <row r="136" spans="24:24">
      <c r="X136" s="149"/>
    </row>
    <row r="137" spans="24:24">
      <c r="X137" s="149"/>
    </row>
    <row r="138" spans="24:24">
      <c r="X138" s="149"/>
    </row>
    <row r="139" spans="24:24">
      <c r="X139" s="149"/>
    </row>
    <row r="140" spans="24:24">
      <c r="X140" s="149"/>
    </row>
    <row r="141" spans="24:24">
      <c r="X141" s="149"/>
    </row>
    <row r="142" spans="24:24">
      <c r="X142" s="149"/>
    </row>
    <row r="143" spans="24:24">
      <c r="X143" s="149"/>
    </row>
    <row r="144" spans="24:24">
      <c r="X144" s="149"/>
    </row>
    <row r="145" spans="24:24">
      <c r="X145" s="149"/>
    </row>
    <row r="146" spans="24:24">
      <c r="X146" s="149"/>
    </row>
    <row r="147" spans="24:24">
      <c r="X147" s="149"/>
    </row>
    <row r="148" spans="24:24">
      <c r="X148" s="149"/>
    </row>
    <row r="149" spans="24:24">
      <c r="X149" s="149"/>
    </row>
    <row r="150" spans="24:24">
      <c r="X150" s="149"/>
    </row>
    <row r="151" spans="24:24">
      <c r="X151" s="149"/>
    </row>
    <row r="152" spans="24:24">
      <c r="X152" s="149"/>
    </row>
    <row r="153" spans="24:24">
      <c r="X153" s="149"/>
    </row>
    <row r="154" spans="24:24">
      <c r="X154" s="149"/>
    </row>
    <row r="155" spans="24:24">
      <c r="X155" s="149"/>
    </row>
    <row r="156" spans="24:24">
      <c r="X156" s="149"/>
    </row>
    <row r="157" spans="24:24">
      <c r="X157" s="149"/>
    </row>
    <row r="158" spans="24:24">
      <c r="X158" s="149"/>
    </row>
    <row r="159" spans="24:24">
      <c r="X159" s="149"/>
    </row>
    <row r="160" spans="24:24">
      <c r="X160" s="149"/>
    </row>
    <row r="161" spans="24:24">
      <c r="X161" s="149"/>
    </row>
    <row r="162" spans="24:24">
      <c r="X162" s="149"/>
    </row>
    <row r="163" spans="24:24">
      <c r="X163" s="149"/>
    </row>
    <row r="164" spans="24:24">
      <c r="X164" s="149"/>
    </row>
    <row r="165" spans="24:24">
      <c r="X165" s="149"/>
    </row>
    <row r="166" spans="24:24">
      <c r="X166" s="149"/>
    </row>
    <row r="167" spans="24:24">
      <c r="X167" s="149"/>
    </row>
    <row r="168" spans="24:24">
      <c r="X168" s="149"/>
    </row>
    <row r="169" spans="24:24">
      <c r="X169" s="149"/>
    </row>
    <row r="170" spans="24:24">
      <c r="X170" s="149"/>
    </row>
    <row r="171" spans="24:24">
      <c r="X171" s="149"/>
    </row>
    <row r="172" spans="24:24">
      <c r="X172" s="149"/>
    </row>
    <row r="173" spans="24:24">
      <c r="X173" s="149"/>
    </row>
    <row r="174" spans="24:24">
      <c r="X174" s="149"/>
    </row>
    <row r="175" spans="24:24">
      <c r="X175" s="149"/>
    </row>
    <row r="176" spans="24:24">
      <c r="X176" s="149"/>
    </row>
    <row r="177" spans="24:24">
      <c r="X177" s="149"/>
    </row>
    <row r="178" spans="24:24">
      <c r="X178" s="149"/>
    </row>
    <row r="179" spans="24:24">
      <c r="X179" s="149"/>
    </row>
    <row r="180" spans="24:24">
      <c r="X180" s="149"/>
    </row>
    <row r="181" spans="24:24">
      <c r="X181" s="149"/>
    </row>
    <row r="182" spans="24:24">
      <c r="X182" s="149"/>
    </row>
    <row r="183" spans="24:24">
      <c r="X183" s="149"/>
    </row>
    <row r="184" spans="24:24">
      <c r="X184" s="149"/>
    </row>
    <row r="185" spans="24:24">
      <c r="X185" s="149"/>
    </row>
    <row r="186" spans="24:24">
      <c r="X186" s="149"/>
    </row>
    <row r="187" spans="24:24">
      <c r="X187" s="149"/>
    </row>
    <row r="188" spans="24:24">
      <c r="X188" s="149"/>
    </row>
    <row r="189" spans="24:24">
      <c r="X189" s="149"/>
    </row>
    <row r="190" spans="24:24">
      <c r="X190" s="149"/>
    </row>
    <row r="191" spans="24:24">
      <c r="X191" s="149"/>
    </row>
    <row r="192" spans="24:24">
      <c r="X192" s="149"/>
    </row>
    <row r="193" spans="24:24">
      <c r="X193" s="149"/>
    </row>
    <row r="194" spans="24:24">
      <c r="X194" s="149"/>
    </row>
    <row r="195" spans="24:24">
      <c r="X195" s="149"/>
    </row>
    <row r="196" spans="24:24">
      <c r="X196" s="149"/>
    </row>
    <row r="197" spans="24:24">
      <c r="X197" s="149"/>
    </row>
    <row r="198" spans="24:24">
      <c r="X198" s="149"/>
    </row>
    <row r="199" spans="24:24">
      <c r="X199" s="149"/>
    </row>
    <row r="200" spans="24:24">
      <c r="X200" s="149"/>
    </row>
    <row r="201" spans="24:24">
      <c r="X201" s="149"/>
    </row>
    <row r="202" spans="24:24">
      <c r="X202" s="149"/>
    </row>
    <row r="203" spans="24:24">
      <c r="X203" s="149"/>
    </row>
    <row r="204" spans="24:24">
      <c r="X204" s="149"/>
    </row>
    <row r="205" spans="24:24">
      <c r="X205" s="149"/>
    </row>
    <row r="206" spans="24:24">
      <c r="X206" s="149"/>
    </row>
    <row r="207" spans="24:24">
      <c r="X207" s="149"/>
    </row>
    <row r="208" spans="24:24">
      <c r="X208" s="149"/>
    </row>
    <row r="209" spans="24:24">
      <c r="X209" s="149"/>
    </row>
    <row r="210" spans="24:24">
      <c r="X210" s="149"/>
    </row>
    <row r="211" spans="24:24">
      <c r="X211" s="149"/>
    </row>
    <row r="212" spans="24:24">
      <c r="X212" s="149"/>
    </row>
    <row r="213" spans="24:24">
      <c r="X213" s="149"/>
    </row>
    <row r="214" spans="24:24">
      <c r="X214" s="149"/>
    </row>
    <row r="215" spans="24:24">
      <c r="X215" s="149"/>
    </row>
    <row r="216" spans="24:24">
      <c r="X216" s="149"/>
    </row>
    <row r="217" spans="24:24">
      <c r="X217" s="149"/>
    </row>
    <row r="218" spans="24:24">
      <c r="X218" s="149"/>
    </row>
    <row r="219" spans="24:24">
      <c r="X219" s="149"/>
    </row>
    <row r="220" spans="24:24">
      <c r="X220" s="149"/>
    </row>
    <row r="221" spans="24:24">
      <c r="X221" s="149"/>
    </row>
    <row r="222" spans="24:24">
      <c r="X222" s="149"/>
    </row>
    <row r="223" spans="24:24">
      <c r="X223" s="149"/>
    </row>
    <row r="224" spans="24:24">
      <c r="X224" s="149"/>
    </row>
    <row r="225" spans="24:24">
      <c r="X225" s="149"/>
    </row>
    <row r="226" spans="24:24">
      <c r="X226" s="149"/>
    </row>
    <row r="227" spans="24:24">
      <c r="X227" s="149"/>
    </row>
    <row r="228" spans="24:24">
      <c r="X228" s="149"/>
    </row>
    <row r="229" spans="24:24">
      <c r="X229" s="149"/>
    </row>
    <row r="230" spans="24:24">
      <c r="X230" s="149"/>
    </row>
    <row r="231" spans="24:24">
      <c r="X231" s="149"/>
    </row>
    <row r="232" spans="24:24">
      <c r="X232" s="149"/>
    </row>
    <row r="233" spans="24:24">
      <c r="X233" s="149"/>
    </row>
    <row r="234" spans="24:24">
      <c r="X234" s="149"/>
    </row>
    <row r="235" spans="24:24">
      <c r="X235" s="149"/>
    </row>
    <row r="236" spans="24:24">
      <c r="X236" s="149"/>
    </row>
    <row r="237" spans="24:24">
      <c r="X237" s="149"/>
    </row>
    <row r="238" spans="24:24">
      <c r="X238" s="149"/>
    </row>
    <row r="239" spans="24:24">
      <c r="X239" s="149"/>
    </row>
    <row r="240" spans="24:24">
      <c r="X240" s="149"/>
    </row>
    <row r="241" spans="24:24">
      <c r="X241" s="149"/>
    </row>
    <row r="242" spans="24:24">
      <c r="X242" s="149"/>
    </row>
    <row r="243" spans="24:24">
      <c r="X243" s="149"/>
    </row>
    <row r="244" spans="24:24">
      <c r="X244" s="149"/>
    </row>
    <row r="245" spans="24:24">
      <c r="X245" s="149"/>
    </row>
    <row r="246" spans="24:24">
      <c r="X246" s="149"/>
    </row>
    <row r="247" spans="24:24">
      <c r="X247" s="149"/>
    </row>
    <row r="248" spans="24:24">
      <c r="X248" s="149"/>
    </row>
    <row r="249" spans="24:24">
      <c r="X249" s="149"/>
    </row>
    <row r="250" spans="24:24">
      <c r="X250" s="149"/>
    </row>
    <row r="251" spans="24:24">
      <c r="X251" s="149"/>
    </row>
    <row r="252" spans="24:24">
      <c r="X252" s="149"/>
    </row>
    <row r="253" spans="24:24">
      <c r="X253" s="149"/>
    </row>
    <row r="254" spans="24:24">
      <c r="X254" s="149"/>
    </row>
    <row r="255" spans="24:24">
      <c r="X255" s="149"/>
    </row>
    <row r="256" spans="24:24">
      <c r="X256" s="149"/>
    </row>
    <row r="257" spans="24:24">
      <c r="X257" s="149"/>
    </row>
    <row r="258" spans="24:24">
      <c r="X258" s="149"/>
    </row>
    <row r="259" spans="24:24">
      <c r="X259" s="149"/>
    </row>
    <row r="260" spans="24:24">
      <c r="X260" s="149"/>
    </row>
    <row r="261" spans="24:24">
      <c r="X261" s="149"/>
    </row>
    <row r="262" spans="24:24">
      <c r="X262" s="149"/>
    </row>
    <row r="263" spans="24:24">
      <c r="X263" s="149"/>
    </row>
    <row r="264" spans="24:24">
      <c r="X264" s="149"/>
    </row>
    <row r="265" spans="24:24">
      <c r="X265" s="149"/>
    </row>
    <row r="266" spans="24:24">
      <c r="X266" s="149"/>
    </row>
    <row r="267" spans="24:24">
      <c r="X267" s="149"/>
    </row>
    <row r="268" spans="24:24">
      <c r="X268" s="149"/>
    </row>
    <row r="269" spans="24:24">
      <c r="X269" s="149"/>
    </row>
    <row r="270" spans="24:24">
      <c r="X270" s="149"/>
    </row>
    <row r="271" spans="24:24">
      <c r="X271" s="149"/>
    </row>
    <row r="272" spans="24:24">
      <c r="X272" s="149"/>
    </row>
    <row r="273" spans="24:24">
      <c r="X273" s="149"/>
    </row>
    <row r="274" spans="24:24">
      <c r="X274" s="149"/>
    </row>
    <row r="275" spans="24:24">
      <c r="X275" s="149"/>
    </row>
    <row r="276" spans="24:24">
      <c r="X276" s="149"/>
    </row>
    <row r="277" spans="24:24">
      <c r="X277" s="149"/>
    </row>
    <row r="278" spans="24:24">
      <c r="X278" s="149"/>
    </row>
    <row r="279" spans="24:24">
      <c r="X279" s="149"/>
    </row>
    <row r="280" spans="24:24">
      <c r="X280" s="149"/>
    </row>
    <row r="281" spans="24:24">
      <c r="X281" s="149"/>
    </row>
    <row r="282" spans="24:24">
      <c r="X282" s="149"/>
    </row>
    <row r="283" spans="24:24">
      <c r="X283" s="149"/>
    </row>
    <row r="284" spans="24:24">
      <c r="X284" s="149"/>
    </row>
    <row r="285" spans="24:24">
      <c r="X285" s="149"/>
    </row>
    <row r="286" spans="24:24">
      <c r="X286" s="149"/>
    </row>
    <row r="287" spans="24:24">
      <c r="X287" s="149"/>
    </row>
    <row r="288" spans="24:24">
      <c r="X288" s="149"/>
    </row>
    <row r="289" spans="24:24">
      <c r="X289" s="149"/>
    </row>
    <row r="290" spans="24:24">
      <c r="X290" s="149"/>
    </row>
    <row r="291" spans="24:24">
      <c r="X291" s="149"/>
    </row>
    <row r="292" spans="24:24">
      <c r="X292" s="149"/>
    </row>
    <row r="293" spans="24:24">
      <c r="X293" s="149"/>
    </row>
    <row r="294" spans="24:24">
      <c r="X294" s="149"/>
    </row>
    <row r="295" spans="24:24">
      <c r="X295" s="149"/>
    </row>
    <row r="296" spans="24:24">
      <c r="X296" s="149"/>
    </row>
    <row r="297" spans="24:24">
      <c r="X297" s="149"/>
    </row>
    <row r="298" spans="24:24">
      <c r="X298" s="149"/>
    </row>
    <row r="299" spans="24:24">
      <c r="X299" s="149"/>
    </row>
    <row r="300" spans="24:24">
      <c r="X300" s="149"/>
    </row>
    <row r="301" spans="24:24">
      <c r="X301" s="149"/>
    </row>
    <row r="302" spans="24:24">
      <c r="X302" s="149"/>
    </row>
    <row r="303" spans="24:24">
      <c r="X303" s="149"/>
    </row>
    <row r="304" spans="24:24">
      <c r="X304" s="149"/>
    </row>
    <row r="305" spans="24:24">
      <c r="X305" s="149"/>
    </row>
    <row r="306" spans="24:24">
      <c r="X306" s="149"/>
    </row>
    <row r="307" spans="24:24">
      <c r="X307" s="149"/>
    </row>
    <row r="308" spans="24:24">
      <c r="X308" s="149"/>
    </row>
    <row r="309" spans="24:24">
      <c r="X309" s="149"/>
    </row>
    <row r="310" spans="24:24">
      <c r="X310" s="149"/>
    </row>
    <row r="311" spans="24:24">
      <c r="X311" s="149"/>
    </row>
    <row r="312" spans="24:24">
      <c r="X312" s="149"/>
    </row>
    <row r="313" spans="24:24">
      <c r="X313" s="149"/>
    </row>
    <row r="314" spans="24:24">
      <c r="X314" s="149"/>
    </row>
    <row r="315" spans="24:24">
      <c r="X315" s="149"/>
    </row>
    <row r="316" spans="24:24">
      <c r="X316" s="149"/>
    </row>
    <row r="317" spans="24:24">
      <c r="X317" s="149"/>
    </row>
    <row r="318" spans="24:24">
      <c r="X318" s="149"/>
    </row>
    <row r="319" spans="24:24">
      <c r="X319" s="149"/>
    </row>
    <row r="320" spans="24:24">
      <c r="X320" s="149"/>
    </row>
    <row r="321" spans="24:24">
      <c r="X321" s="149"/>
    </row>
    <row r="322" spans="24:24">
      <c r="X322" s="149"/>
    </row>
    <row r="323" spans="24:24">
      <c r="X323" s="149"/>
    </row>
    <row r="324" spans="24:24">
      <c r="X324" s="149"/>
    </row>
    <row r="325" spans="24:24">
      <c r="X325" s="149"/>
    </row>
    <row r="326" spans="24:24">
      <c r="X326" s="149"/>
    </row>
    <row r="327" spans="24:24">
      <c r="X327" s="149"/>
    </row>
    <row r="328" spans="24:24">
      <c r="X328" s="149"/>
    </row>
    <row r="329" spans="24:24">
      <c r="X329" s="149"/>
    </row>
    <row r="330" spans="24:24">
      <c r="X330" s="149"/>
    </row>
    <row r="331" spans="24:24">
      <c r="X331" s="149"/>
    </row>
    <row r="332" spans="24:24">
      <c r="X332" s="149"/>
    </row>
    <row r="333" spans="24:24">
      <c r="X333" s="149"/>
    </row>
    <row r="334" spans="24:24">
      <c r="X334" s="149"/>
    </row>
    <row r="335" spans="24:24">
      <c r="X335" s="149"/>
    </row>
    <row r="336" spans="24:24">
      <c r="X336" s="149"/>
    </row>
    <row r="337" spans="24:24">
      <c r="X337" s="149"/>
    </row>
    <row r="338" spans="24:24">
      <c r="X338" s="149"/>
    </row>
    <row r="339" spans="24:24">
      <c r="X339" s="149"/>
    </row>
    <row r="340" spans="24:24">
      <c r="X340" s="149"/>
    </row>
    <row r="341" spans="24:24">
      <c r="X341" s="149"/>
    </row>
    <row r="342" spans="24:24">
      <c r="X342" s="149"/>
    </row>
    <row r="343" spans="24:24">
      <c r="X343" s="149"/>
    </row>
    <row r="344" spans="24:24">
      <c r="X344" s="149"/>
    </row>
    <row r="345" spans="24:24">
      <c r="X345" s="149"/>
    </row>
    <row r="346" spans="24:24">
      <c r="X346" s="149"/>
    </row>
    <row r="347" spans="24:24">
      <c r="X347" s="149"/>
    </row>
    <row r="348" spans="24:24">
      <c r="X348" s="149"/>
    </row>
    <row r="349" spans="24:24">
      <c r="X349" s="149"/>
    </row>
    <row r="350" spans="24:24">
      <c r="X350" s="149"/>
    </row>
    <row r="351" spans="24:24">
      <c r="X351" s="149"/>
    </row>
    <row r="352" spans="24:24">
      <c r="X352" s="149"/>
    </row>
    <row r="353" spans="24:24">
      <c r="X353" s="149"/>
    </row>
    <row r="354" spans="24:24">
      <c r="X354" s="149"/>
    </row>
    <row r="355" spans="24:24">
      <c r="X355" s="149"/>
    </row>
    <row r="356" spans="24:24">
      <c r="X356" s="149"/>
    </row>
    <row r="357" spans="24:24">
      <c r="X357" s="149"/>
    </row>
    <row r="358" spans="24:24">
      <c r="X358" s="149"/>
    </row>
    <row r="359" spans="24:24">
      <c r="X359" s="149"/>
    </row>
    <row r="360" spans="24:24">
      <c r="X360" s="149"/>
    </row>
    <row r="361" spans="24:24">
      <c r="X361" s="149"/>
    </row>
    <row r="362" spans="24:24">
      <c r="X362" s="149"/>
    </row>
    <row r="363" spans="24:24">
      <c r="X363" s="149"/>
    </row>
    <row r="364" spans="24:24">
      <c r="X364" s="149"/>
    </row>
    <row r="365" spans="24:24">
      <c r="X365" s="149"/>
    </row>
    <row r="366" spans="24:24">
      <c r="X366" s="149"/>
    </row>
    <row r="367" spans="24:24">
      <c r="X367" s="149"/>
    </row>
    <row r="368" spans="24:24">
      <c r="X368" s="149"/>
    </row>
    <row r="369" spans="24:24">
      <c r="X369" s="149"/>
    </row>
    <row r="370" spans="24:24">
      <c r="X370" s="149"/>
    </row>
    <row r="371" spans="24:24">
      <c r="X371" s="149"/>
    </row>
    <row r="372" spans="24:24">
      <c r="X372" s="149"/>
    </row>
    <row r="373" spans="24:24">
      <c r="X373" s="149"/>
    </row>
    <row r="374" spans="24:24">
      <c r="X374" s="149"/>
    </row>
    <row r="375" spans="24:24">
      <c r="X375" s="149"/>
    </row>
    <row r="376" spans="24:24">
      <c r="X376" s="149"/>
    </row>
    <row r="377" spans="24:24">
      <c r="X377" s="149"/>
    </row>
    <row r="378" spans="24:24">
      <c r="X378" s="149"/>
    </row>
    <row r="379" spans="24:24">
      <c r="X379" s="149"/>
    </row>
    <row r="380" spans="24:24">
      <c r="X380" s="149"/>
    </row>
    <row r="381" spans="24:24">
      <c r="X381" s="149"/>
    </row>
    <row r="382" spans="24:24">
      <c r="X382" s="149"/>
    </row>
    <row r="383" spans="24:24">
      <c r="X383" s="149"/>
    </row>
    <row r="384" spans="24:24">
      <c r="X384" s="149"/>
    </row>
    <row r="385" spans="24:24">
      <c r="X385" s="149"/>
    </row>
    <row r="386" spans="24:24">
      <c r="X386" s="149"/>
    </row>
    <row r="387" spans="24:24">
      <c r="X387" s="149"/>
    </row>
    <row r="388" spans="24:24">
      <c r="X388" s="149"/>
    </row>
    <row r="389" spans="24:24">
      <c r="X389" s="149"/>
    </row>
    <row r="390" spans="24:24">
      <c r="X390" s="149"/>
    </row>
    <row r="391" spans="24:24">
      <c r="X391" s="149"/>
    </row>
    <row r="392" spans="24:24">
      <c r="X392" s="149"/>
    </row>
    <row r="393" spans="24:24">
      <c r="X393" s="149"/>
    </row>
    <row r="394" spans="24:24">
      <c r="X394" s="149"/>
    </row>
    <row r="395" spans="24:24">
      <c r="X395" s="149"/>
    </row>
    <row r="396" spans="24:24">
      <c r="X396" s="149"/>
    </row>
    <row r="397" spans="24:24">
      <c r="X397" s="149"/>
    </row>
    <row r="398" spans="24:24">
      <c r="X398" s="149"/>
    </row>
    <row r="399" spans="24:24">
      <c r="X399" s="149"/>
    </row>
    <row r="400" spans="24:24">
      <c r="X400" s="149"/>
    </row>
    <row r="401" spans="24:24">
      <c r="X401" s="149"/>
    </row>
    <row r="402" spans="24:24">
      <c r="X402" s="149"/>
    </row>
    <row r="403" spans="24:24">
      <c r="X403" s="149"/>
    </row>
    <row r="404" spans="24:24">
      <c r="X404" s="149"/>
    </row>
    <row r="405" spans="24:24">
      <c r="X405" s="149"/>
    </row>
    <row r="406" spans="24:24">
      <c r="X406" s="149"/>
    </row>
    <row r="407" spans="24:24">
      <c r="X407" s="149"/>
    </row>
    <row r="408" spans="24:24">
      <c r="X408" s="149"/>
    </row>
    <row r="409" spans="24:24">
      <c r="X409" s="149"/>
    </row>
    <row r="410" spans="24:24">
      <c r="X410" s="149"/>
    </row>
    <row r="411" spans="24:24">
      <c r="X411" s="149"/>
    </row>
    <row r="412" spans="24:24">
      <c r="X412" s="149"/>
    </row>
    <row r="413" spans="24:24">
      <c r="X413" s="149"/>
    </row>
    <row r="414" spans="24:24">
      <c r="X414" s="149"/>
    </row>
    <row r="415" spans="24:24">
      <c r="X415" s="149"/>
    </row>
    <row r="416" spans="24:24">
      <c r="X416" s="149"/>
    </row>
    <row r="417" spans="24:24">
      <c r="X417" s="149"/>
    </row>
    <row r="418" spans="24:24">
      <c r="X418" s="149"/>
    </row>
    <row r="419" spans="24:24">
      <c r="X419" s="149"/>
    </row>
    <row r="420" spans="24:24">
      <c r="X420" s="149"/>
    </row>
    <row r="421" spans="24:24">
      <c r="X421" s="149"/>
    </row>
    <row r="422" spans="24:24">
      <c r="X422" s="149"/>
    </row>
    <row r="423" spans="24:24">
      <c r="X423" s="149"/>
    </row>
    <row r="424" spans="24:24">
      <c r="X424" s="149"/>
    </row>
    <row r="425" spans="24:24">
      <c r="X425" s="149"/>
    </row>
    <row r="426" spans="24:24">
      <c r="X426" s="149"/>
    </row>
    <row r="427" spans="24:24">
      <c r="X427" s="149"/>
    </row>
    <row r="428" spans="24:24">
      <c r="X428" s="149"/>
    </row>
    <row r="429" spans="24:24">
      <c r="X429" s="149"/>
    </row>
    <row r="430" spans="24:24">
      <c r="X430" s="149"/>
    </row>
    <row r="431" spans="24:24">
      <c r="X431" s="149"/>
    </row>
    <row r="432" spans="24:24">
      <c r="X432" s="149"/>
    </row>
    <row r="433" spans="24:24">
      <c r="X433" s="149"/>
    </row>
    <row r="434" spans="24:24">
      <c r="X434" s="149"/>
    </row>
    <row r="435" spans="24:24">
      <c r="X435" s="149"/>
    </row>
    <row r="436" spans="24:24">
      <c r="X436" s="149"/>
    </row>
    <row r="437" spans="24:24">
      <c r="X437" s="149"/>
    </row>
    <row r="438" spans="24:24">
      <c r="X438" s="149"/>
    </row>
    <row r="439" spans="24:24">
      <c r="X439" s="149"/>
    </row>
    <row r="440" spans="24:24">
      <c r="X440" s="149"/>
    </row>
    <row r="441" spans="24:24">
      <c r="X441" s="149"/>
    </row>
    <row r="442" spans="24:24">
      <c r="X442" s="149"/>
    </row>
    <row r="443" spans="24:24">
      <c r="X443" s="149"/>
    </row>
    <row r="444" spans="24:24">
      <c r="X444" s="149"/>
    </row>
    <row r="445" spans="24:24">
      <c r="X445" s="149"/>
    </row>
    <row r="446" spans="24:24">
      <c r="X446" s="149"/>
    </row>
    <row r="447" spans="24:24">
      <c r="X447" s="149"/>
    </row>
    <row r="448" spans="24:24">
      <c r="X448" s="149"/>
    </row>
    <row r="449" spans="24:24">
      <c r="X449" s="149"/>
    </row>
    <row r="450" spans="24:24">
      <c r="X450" s="149"/>
    </row>
    <row r="451" spans="24:24">
      <c r="X451" s="149"/>
    </row>
    <row r="452" spans="24:24">
      <c r="X452" s="149"/>
    </row>
    <row r="453" spans="24:24">
      <c r="X453" s="149"/>
    </row>
    <row r="454" spans="24:24">
      <c r="X454" s="149"/>
    </row>
    <row r="455" spans="24:24">
      <c r="X455" s="149"/>
    </row>
    <row r="456" spans="24:24">
      <c r="X456" s="149"/>
    </row>
    <row r="457" spans="24:24">
      <c r="X457" s="149"/>
    </row>
    <row r="458" spans="24:24">
      <c r="X458" s="149"/>
    </row>
    <row r="459" spans="24:24">
      <c r="X459" s="149"/>
    </row>
    <row r="460" spans="24:24">
      <c r="X460" s="149"/>
    </row>
    <row r="461" spans="24:24">
      <c r="X461" s="149"/>
    </row>
    <row r="462" spans="24:24">
      <c r="X462" s="149"/>
    </row>
    <row r="463" spans="24:24">
      <c r="X463" s="149"/>
    </row>
    <row r="464" spans="24:24">
      <c r="X464" s="149"/>
    </row>
    <row r="465" spans="24:24">
      <c r="X465" s="149"/>
    </row>
    <row r="466" spans="24:24">
      <c r="X466" s="149"/>
    </row>
    <row r="467" spans="24:24">
      <c r="X467" s="149"/>
    </row>
    <row r="468" spans="24:24">
      <c r="X468" s="149"/>
    </row>
    <row r="469" spans="24:24">
      <c r="X469" s="149"/>
    </row>
    <row r="470" spans="24:24">
      <c r="X470" s="149"/>
    </row>
    <row r="471" spans="24:24">
      <c r="X471" s="149"/>
    </row>
    <row r="472" spans="24:24">
      <c r="X472" s="149"/>
    </row>
    <row r="473" spans="24:24">
      <c r="X473" s="149"/>
    </row>
    <row r="474" spans="24:24">
      <c r="X474" s="149"/>
    </row>
    <row r="475" spans="24:24">
      <c r="X475" s="149"/>
    </row>
    <row r="476" spans="24:24">
      <c r="X476" s="149"/>
    </row>
    <row r="477" spans="24:24">
      <c r="X477" s="149"/>
    </row>
    <row r="478" spans="24:24">
      <c r="X478" s="149"/>
    </row>
    <row r="479" spans="24:24">
      <c r="X479" s="149"/>
    </row>
    <row r="480" spans="24:24">
      <c r="X480" s="149"/>
    </row>
    <row r="481" spans="24:24">
      <c r="X481" s="149"/>
    </row>
    <row r="482" spans="24:24">
      <c r="X482" s="149"/>
    </row>
    <row r="483" spans="24:24">
      <c r="X483" s="149"/>
    </row>
    <row r="484" spans="24:24">
      <c r="X484" s="149"/>
    </row>
    <row r="485" spans="24:24">
      <c r="X485" s="149"/>
    </row>
    <row r="486" spans="24:24">
      <c r="X486" s="149"/>
    </row>
    <row r="487" spans="24:24">
      <c r="X487" s="149"/>
    </row>
    <row r="488" spans="24:24">
      <c r="X488" s="149"/>
    </row>
    <row r="489" spans="24:24">
      <c r="X489" s="149"/>
    </row>
    <row r="490" spans="24:24">
      <c r="X490" s="149"/>
    </row>
    <row r="491" spans="24:24">
      <c r="X491" s="149"/>
    </row>
    <row r="492" spans="24:24">
      <c r="X492" s="149"/>
    </row>
    <row r="493" spans="24:24">
      <c r="X493" s="149"/>
    </row>
    <row r="494" spans="24:24">
      <c r="X494" s="149"/>
    </row>
    <row r="495" spans="24:24">
      <c r="X495" s="149"/>
    </row>
    <row r="496" spans="24:24">
      <c r="X496" s="149"/>
    </row>
    <row r="497" spans="24:24">
      <c r="X497" s="149"/>
    </row>
    <row r="498" spans="24:24">
      <c r="X498" s="149"/>
    </row>
    <row r="499" spans="24:24">
      <c r="X499" s="149"/>
    </row>
    <row r="500" spans="24:24">
      <c r="X500" s="149"/>
    </row>
    <row r="501" spans="24:24">
      <c r="X501" s="149"/>
    </row>
    <row r="502" spans="24:24">
      <c r="X502" s="149"/>
    </row>
    <row r="503" spans="24:24">
      <c r="X503" s="149"/>
    </row>
    <row r="504" spans="24:24">
      <c r="X504" s="149"/>
    </row>
    <row r="505" spans="24:24">
      <c r="X505" s="149"/>
    </row>
    <row r="506" spans="24:24">
      <c r="X506" s="149"/>
    </row>
    <row r="507" spans="24:24">
      <c r="X507" s="149"/>
    </row>
    <row r="508" spans="24:24">
      <c r="X508" s="149"/>
    </row>
    <row r="509" spans="24:24">
      <c r="X509" s="149"/>
    </row>
    <row r="510" spans="24:24">
      <c r="X510" s="149"/>
    </row>
    <row r="511" spans="24:24">
      <c r="X511" s="149"/>
    </row>
    <row r="512" spans="24:24">
      <c r="X512" s="149"/>
    </row>
    <row r="513" spans="24:24">
      <c r="X513" s="149"/>
    </row>
    <row r="514" spans="24:24">
      <c r="X514" s="149"/>
    </row>
    <row r="515" spans="24:24">
      <c r="X515" s="149"/>
    </row>
    <row r="516" spans="24:24">
      <c r="X516" s="149"/>
    </row>
    <row r="517" spans="24:24">
      <c r="X517" s="149"/>
    </row>
    <row r="518" spans="24:24">
      <c r="X518" s="149"/>
    </row>
    <row r="519" spans="24:24">
      <c r="X519" s="149"/>
    </row>
    <row r="520" spans="24:24">
      <c r="X520" s="149"/>
    </row>
    <row r="521" spans="24:24">
      <c r="X521" s="149"/>
    </row>
    <row r="522" spans="24:24">
      <c r="X522" s="149"/>
    </row>
    <row r="523" spans="24:24">
      <c r="X523" s="149"/>
    </row>
    <row r="524" spans="24:24">
      <c r="X524" s="149"/>
    </row>
    <row r="525" spans="24:24">
      <c r="X525" s="149"/>
    </row>
    <row r="526" spans="24:24">
      <c r="X526" s="149"/>
    </row>
    <row r="527" spans="24:24">
      <c r="X527" s="149"/>
    </row>
    <row r="528" spans="24:24">
      <c r="X528" s="149"/>
    </row>
    <row r="529" spans="24:24">
      <c r="X529" s="149"/>
    </row>
    <row r="530" spans="24:24">
      <c r="X530" s="149"/>
    </row>
    <row r="531" spans="24:24">
      <c r="X531" s="149"/>
    </row>
    <row r="532" spans="24:24">
      <c r="X532" s="149"/>
    </row>
    <row r="533" spans="24:24">
      <c r="X533" s="149"/>
    </row>
    <row r="534" spans="24:24">
      <c r="X534" s="149"/>
    </row>
    <row r="535" spans="24:24">
      <c r="X535" s="149"/>
    </row>
    <row r="536" spans="24:24">
      <c r="X536" s="149"/>
    </row>
    <row r="537" spans="24:24">
      <c r="X537" s="149"/>
    </row>
    <row r="538" spans="24:24">
      <c r="X538" s="149"/>
    </row>
    <row r="539" spans="24:24">
      <c r="X539" s="149"/>
    </row>
    <row r="540" spans="24:24">
      <c r="X540" s="149"/>
    </row>
    <row r="541" spans="24:24">
      <c r="X541" s="149"/>
    </row>
    <row r="542" spans="24:24">
      <c r="X542" s="149"/>
    </row>
    <row r="543" spans="24:24">
      <c r="X543" s="149"/>
    </row>
    <row r="544" spans="24:24">
      <c r="X544" s="149"/>
    </row>
    <row r="545" spans="24:24">
      <c r="X545" s="149"/>
    </row>
    <row r="546" spans="24:24">
      <c r="X546" s="149"/>
    </row>
    <row r="547" spans="24:24">
      <c r="X547" s="149"/>
    </row>
    <row r="548" spans="24:24">
      <c r="X548" s="149"/>
    </row>
    <row r="549" spans="24:24">
      <c r="X549" s="149"/>
    </row>
    <row r="550" spans="24:24">
      <c r="X550" s="149"/>
    </row>
    <row r="551" spans="24:24">
      <c r="X551" s="149"/>
    </row>
    <row r="552" spans="24:24">
      <c r="X552" s="149"/>
    </row>
    <row r="553" spans="24:24">
      <c r="X553" s="149"/>
    </row>
    <row r="554" spans="24:24">
      <c r="X554" s="149"/>
    </row>
    <row r="555" spans="24:24">
      <c r="X555" s="149"/>
    </row>
    <row r="556" spans="24:24">
      <c r="X556" s="149"/>
    </row>
    <row r="557" spans="24:24">
      <c r="X557" s="149"/>
    </row>
    <row r="558" spans="24:24">
      <c r="X558" s="149"/>
    </row>
    <row r="559" spans="24:24">
      <c r="X559" s="149"/>
    </row>
    <row r="560" spans="24:24">
      <c r="X560" s="149"/>
    </row>
    <row r="561" spans="24:24">
      <c r="X561" s="149"/>
    </row>
    <row r="562" spans="24:24">
      <c r="X562" s="149"/>
    </row>
    <row r="563" spans="24:24">
      <c r="X563" s="149"/>
    </row>
    <row r="564" spans="24:24">
      <c r="X564" s="149"/>
    </row>
    <row r="565" spans="24:24">
      <c r="X565" s="149"/>
    </row>
    <row r="566" spans="24:24">
      <c r="X566" s="149"/>
    </row>
    <row r="567" spans="24:24">
      <c r="X567" s="149"/>
    </row>
    <row r="568" spans="24:24">
      <c r="X568" s="149"/>
    </row>
    <row r="569" spans="24:24">
      <c r="X569" s="149"/>
    </row>
    <row r="570" spans="24:24">
      <c r="X570" s="149"/>
    </row>
    <row r="571" spans="24:24">
      <c r="X571" s="149"/>
    </row>
    <row r="572" spans="24:24">
      <c r="X572" s="149"/>
    </row>
    <row r="573" spans="24:24">
      <c r="X573" s="149"/>
    </row>
    <row r="574" spans="24:24">
      <c r="X574" s="149"/>
    </row>
    <row r="575" spans="24:24">
      <c r="X575" s="149"/>
    </row>
    <row r="576" spans="24:24">
      <c r="X576" s="149"/>
    </row>
    <row r="577" spans="24:24">
      <c r="X577" s="149"/>
    </row>
    <row r="578" spans="24:24">
      <c r="X578" s="149"/>
    </row>
    <row r="579" spans="24:24">
      <c r="X579" s="149"/>
    </row>
    <row r="580" spans="24:24">
      <c r="X580" s="149"/>
    </row>
    <row r="581" spans="24:24">
      <c r="X581" s="149"/>
    </row>
    <row r="582" spans="24:24">
      <c r="X582" s="149"/>
    </row>
    <row r="583" spans="24:24">
      <c r="X583" s="149"/>
    </row>
    <row r="584" spans="24:24">
      <c r="X584" s="149"/>
    </row>
    <row r="585" spans="24:24">
      <c r="X585" s="149"/>
    </row>
    <row r="586" spans="24:24">
      <c r="X586" s="149"/>
    </row>
    <row r="587" spans="24:24">
      <c r="X587" s="149"/>
    </row>
    <row r="588" spans="24:24">
      <c r="X588" s="149"/>
    </row>
    <row r="589" spans="24:24">
      <c r="X589" s="149"/>
    </row>
    <row r="590" spans="24:24">
      <c r="X590" s="149"/>
    </row>
    <row r="591" spans="24:24">
      <c r="X591" s="149"/>
    </row>
    <row r="592" spans="24:24">
      <c r="X592" s="149"/>
    </row>
    <row r="593" spans="24:24">
      <c r="X593" s="149"/>
    </row>
    <row r="594" spans="24:24">
      <c r="X594" s="149"/>
    </row>
    <row r="595" spans="24:24">
      <c r="X595" s="149"/>
    </row>
    <row r="596" spans="24:24">
      <c r="X596" s="149"/>
    </row>
    <row r="597" spans="24:24">
      <c r="X597" s="149"/>
    </row>
    <row r="598" spans="24:24">
      <c r="X598" s="149"/>
    </row>
    <row r="599" spans="24:24">
      <c r="X599" s="149"/>
    </row>
    <row r="600" spans="24:24">
      <c r="X600" s="149"/>
    </row>
    <row r="601" spans="24:24">
      <c r="X601" s="149"/>
    </row>
    <row r="602" spans="24:24">
      <c r="X602" s="149"/>
    </row>
    <row r="603" spans="24:24">
      <c r="X603" s="149"/>
    </row>
    <row r="604" spans="24:24">
      <c r="X604" s="149"/>
    </row>
    <row r="605" spans="24:24">
      <c r="X605" s="149"/>
    </row>
    <row r="606" spans="24:24">
      <c r="X606" s="149"/>
    </row>
    <row r="607" spans="24:24">
      <c r="X607" s="149"/>
    </row>
    <row r="608" spans="24:24">
      <c r="X608" s="149"/>
    </row>
    <row r="609" spans="24:24">
      <c r="X609" s="149"/>
    </row>
    <row r="610" spans="24:24">
      <c r="X610" s="149"/>
    </row>
    <row r="611" spans="24:24">
      <c r="X611" s="149"/>
    </row>
    <row r="612" spans="24:24">
      <c r="X612" s="149"/>
    </row>
    <row r="613" spans="24:24">
      <c r="X613" s="149"/>
    </row>
    <row r="614" spans="24:24">
      <c r="X614" s="149"/>
    </row>
    <row r="615" spans="24:24">
      <c r="X615" s="149"/>
    </row>
    <row r="616" spans="24:24">
      <c r="X616" s="149"/>
    </row>
    <row r="617" spans="24:24">
      <c r="X617" s="149"/>
    </row>
    <row r="618" spans="24:24">
      <c r="X618" s="149"/>
    </row>
    <row r="619" spans="24:24">
      <c r="X619" s="149"/>
    </row>
    <row r="620" spans="24:24">
      <c r="X620" s="149"/>
    </row>
    <row r="621" spans="24:24">
      <c r="X621" s="149"/>
    </row>
    <row r="622" spans="24:24">
      <c r="X622" s="149"/>
    </row>
    <row r="623" spans="24:24">
      <c r="X623" s="149"/>
    </row>
    <row r="624" spans="24:24">
      <c r="X624" s="149"/>
    </row>
    <row r="625" spans="24:24">
      <c r="X625" s="149"/>
    </row>
    <row r="626" spans="24:24">
      <c r="X626" s="149"/>
    </row>
    <row r="627" spans="24:24">
      <c r="X627" s="149"/>
    </row>
    <row r="628" spans="24:24">
      <c r="X628" s="149"/>
    </row>
    <row r="629" spans="24:24">
      <c r="X629" s="149"/>
    </row>
    <row r="630" spans="24:24">
      <c r="X630" s="149"/>
    </row>
    <row r="631" spans="24:24">
      <c r="X631" s="149"/>
    </row>
    <row r="632" spans="24:24">
      <c r="X632" s="149"/>
    </row>
    <row r="633" spans="24:24">
      <c r="X633" s="149"/>
    </row>
    <row r="634" spans="24:24">
      <c r="X634" s="149"/>
    </row>
    <row r="635" spans="24:24">
      <c r="X635" s="149"/>
    </row>
    <row r="636" spans="24:24">
      <c r="X636" s="149"/>
    </row>
    <row r="637" spans="24:24">
      <c r="X637" s="149"/>
    </row>
    <row r="638" spans="24:24">
      <c r="X638" s="149"/>
    </row>
    <row r="639" spans="24:24">
      <c r="X639" s="149"/>
    </row>
    <row r="640" spans="24:24">
      <c r="X640" s="149"/>
    </row>
    <row r="641" spans="24:24">
      <c r="X641" s="149"/>
    </row>
    <row r="642" spans="24:24">
      <c r="X642" s="149"/>
    </row>
    <row r="643" spans="24:24">
      <c r="X643" s="149"/>
    </row>
    <row r="644" spans="24:24">
      <c r="X644" s="149"/>
    </row>
    <row r="645" spans="24:24">
      <c r="X645" s="149"/>
    </row>
    <row r="646" spans="24:24">
      <c r="X646" s="149"/>
    </row>
    <row r="647" spans="24:24">
      <c r="X647" s="149"/>
    </row>
    <row r="648" spans="24:24">
      <c r="X648" s="149"/>
    </row>
    <row r="649" spans="24:24">
      <c r="X649" s="149"/>
    </row>
    <row r="650" spans="24:24">
      <c r="X650" s="149"/>
    </row>
    <row r="651" spans="24:24">
      <c r="X651" s="149"/>
    </row>
    <row r="652" spans="24:24">
      <c r="X652" s="149"/>
    </row>
    <row r="653" spans="24:24">
      <c r="X653" s="149"/>
    </row>
    <row r="654" spans="24:24">
      <c r="X654" s="149"/>
    </row>
    <row r="655" spans="24:24">
      <c r="X655" s="149"/>
    </row>
    <row r="656" spans="24:24">
      <c r="X656" s="149"/>
    </row>
    <row r="657" spans="24:24">
      <c r="X657" s="149"/>
    </row>
    <row r="658" spans="24:24">
      <c r="X658" s="149"/>
    </row>
    <row r="659" spans="24:24">
      <c r="X659" s="149"/>
    </row>
    <row r="660" spans="24:24">
      <c r="X660" s="149"/>
    </row>
    <row r="661" spans="24:24">
      <c r="X661" s="149"/>
    </row>
    <row r="662" spans="24:24">
      <c r="X662" s="149"/>
    </row>
    <row r="663" spans="24:24">
      <c r="X663" s="149"/>
    </row>
    <row r="664" spans="24:24">
      <c r="X664" s="149"/>
    </row>
    <row r="665" spans="24:24">
      <c r="X665" s="149"/>
    </row>
    <row r="666" spans="24:24">
      <c r="X666" s="149"/>
    </row>
    <row r="667" spans="24:24">
      <c r="X667" s="149"/>
    </row>
    <row r="668" spans="24:24">
      <c r="X668" s="149"/>
    </row>
    <row r="669" spans="24:24">
      <c r="X669" s="149"/>
    </row>
    <row r="670" spans="24:24">
      <c r="X670" s="149"/>
    </row>
    <row r="671" spans="24:24">
      <c r="X671" s="149"/>
    </row>
    <row r="672" spans="24:24">
      <c r="X672" s="149"/>
    </row>
    <row r="673" spans="24:24">
      <c r="X673" s="149"/>
    </row>
    <row r="674" spans="24:24">
      <c r="X674" s="149"/>
    </row>
    <row r="675" spans="24:24">
      <c r="X675" s="149"/>
    </row>
    <row r="676" spans="24:24">
      <c r="X676" s="149"/>
    </row>
    <row r="677" spans="24:24">
      <c r="X677" s="149"/>
    </row>
    <row r="678" spans="24:24">
      <c r="X678" s="149"/>
    </row>
    <row r="679" spans="24:24">
      <c r="X679" s="149"/>
    </row>
    <row r="680" spans="24:24">
      <c r="X680" s="149"/>
    </row>
    <row r="681" spans="24:24">
      <c r="X681" s="149"/>
    </row>
    <row r="682" spans="24:24">
      <c r="X682" s="149"/>
    </row>
    <row r="683" spans="24:24">
      <c r="X683" s="149"/>
    </row>
    <row r="684" spans="24:24">
      <c r="X684" s="149"/>
    </row>
    <row r="685" spans="24:24">
      <c r="X685" s="149"/>
    </row>
    <row r="686" spans="24:24">
      <c r="X686" s="149"/>
    </row>
    <row r="687" spans="24:24">
      <c r="X687" s="149"/>
    </row>
    <row r="688" spans="24:24">
      <c r="X688" s="149"/>
    </row>
    <row r="689" spans="24:24">
      <c r="X689" s="149"/>
    </row>
    <row r="690" spans="24:24">
      <c r="X690" s="149"/>
    </row>
    <row r="691" spans="24:24">
      <c r="X691" s="149"/>
    </row>
    <row r="692" spans="24:24">
      <c r="X692" s="149"/>
    </row>
    <row r="693" spans="24:24">
      <c r="X693" s="149"/>
    </row>
    <row r="694" spans="24:24">
      <c r="X694" s="149"/>
    </row>
    <row r="695" spans="24:24">
      <c r="X695" s="149"/>
    </row>
    <row r="696" spans="24:24">
      <c r="X696" s="149"/>
    </row>
    <row r="697" spans="24:24">
      <c r="X697" s="149"/>
    </row>
    <row r="698" spans="24:24">
      <c r="X698" s="149"/>
    </row>
    <row r="699" spans="24:24">
      <c r="X699" s="149"/>
    </row>
    <row r="700" spans="24:24">
      <c r="X700" s="149"/>
    </row>
    <row r="701" spans="24:24">
      <c r="X701" s="149"/>
    </row>
    <row r="702" spans="24:24">
      <c r="X702" s="149"/>
    </row>
    <row r="703" spans="24:24">
      <c r="X703" s="149"/>
    </row>
    <row r="704" spans="24:24">
      <c r="X704" s="149"/>
    </row>
    <row r="705" spans="24:24">
      <c r="X705" s="149"/>
    </row>
    <row r="706" spans="24:24">
      <c r="X706" s="149"/>
    </row>
    <row r="707" spans="24:24">
      <c r="X707" s="149"/>
    </row>
    <row r="708" spans="24:24">
      <c r="X708" s="149"/>
    </row>
    <row r="709" spans="24:24">
      <c r="X709" s="149"/>
    </row>
    <row r="710" spans="24:24">
      <c r="X710" s="149"/>
    </row>
    <row r="711" spans="24:24">
      <c r="X711" s="149"/>
    </row>
    <row r="712" spans="24:24">
      <c r="X712" s="149"/>
    </row>
    <row r="713" spans="24:24">
      <c r="X713" s="149"/>
    </row>
    <row r="714" spans="24:24">
      <c r="X714" s="149"/>
    </row>
    <row r="715" spans="24:24">
      <c r="X715" s="149"/>
    </row>
    <row r="716" spans="24:24">
      <c r="X716" s="149"/>
    </row>
    <row r="717" spans="24:24">
      <c r="X717" s="149"/>
    </row>
    <row r="718" spans="24:24">
      <c r="X718" s="149"/>
    </row>
    <row r="719" spans="24:24">
      <c r="X719" s="149"/>
    </row>
    <row r="720" spans="24:24">
      <c r="X720" s="149"/>
    </row>
    <row r="721" spans="24:24">
      <c r="X721" s="149"/>
    </row>
    <row r="722" spans="24:24">
      <c r="X722" s="149"/>
    </row>
    <row r="723" spans="24:24">
      <c r="X723" s="149"/>
    </row>
    <row r="724" spans="24:24">
      <c r="X724" s="149"/>
    </row>
    <row r="725" spans="24:24">
      <c r="X725" s="149"/>
    </row>
    <row r="726" spans="24:24">
      <c r="X726" s="149"/>
    </row>
    <row r="727" spans="24:24">
      <c r="X727" s="149"/>
    </row>
    <row r="728" spans="24:24">
      <c r="X728" s="149"/>
    </row>
    <row r="729" spans="24:24">
      <c r="X729" s="149"/>
    </row>
    <row r="730" spans="24:24">
      <c r="X730" s="149"/>
    </row>
    <row r="731" spans="24:24">
      <c r="X731" s="149"/>
    </row>
    <row r="732" spans="24:24">
      <c r="X732" s="149"/>
    </row>
    <row r="733" spans="24:24">
      <c r="X733" s="149"/>
    </row>
    <row r="734" spans="24:24">
      <c r="X734" s="149"/>
    </row>
    <row r="735" spans="24:24">
      <c r="X735" s="149"/>
    </row>
    <row r="736" spans="24:24">
      <c r="X736" s="149"/>
    </row>
    <row r="737" spans="24:24">
      <c r="X737" s="149"/>
    </row>
    <row r="738" spans="24:24">
      <c r="X738" s="149"/>
    </row>
    <row r="739" spans="24:24">
      <c r="X739" s="149"/>
    </row>
    <row r="740" spans="24:24">
      <c r="X740" s="149"/>
    </row>
    <row r="741" spans="24:24">
      <c r="X741" s="149"/>
    </row>
    <row r="742" spans="24:24">
      <c r="X742" s="149"/>
    </row>
    <row r="743" spans="24:24">
      <c r="X743" s="149"/>
    </row>
    <row r="744" spans="24:24">
      <c r="X744" s="149"/>
    </row>
    <row r="745" spans="24:24">
      <c r="X745" s="149"/>
    </row>
    <row r="746" spans="24:24">
      <c r="X746" s="149"/>
    </row>
    <row r="747" spans="24:24">
      <c r="X747" s="149"/>
    </row>
    <row r="748" spans="24:24">
      <c r="X748" s="149"/>
    </row>
    <row r="749" spans="24:24">
      <c r="X749" s="149"/>
    </row>
    <row r="750" spans="24:24">
      <c r="X750" s="149"/>
    </row>
    <row r="751" spans="24:24">
      <c r="X751" s="149"/>
    </row>
    <row r="752" spans="24:24">
      <c r="X752" s="149"/>
    </row>
    <row r="753" spans="24:24">
      <c r="X753" s="149"/>
    </row>
    <row r="754" spans="24:24">
      <c r="X754" s="149"/>
    </row>
    <row r="755" spans="24:24">
      <c r="X755" s="149"/>
    </row>
    <row r="756" spans="24:24">
      <c r="X756" s="149"/>
    </row>
    <row r="757" spans="24:24">
      <c r="X757" s="149"/>
    </row>
    <row r="758" spans="24:24">
      <c r="X758" s="149"/>
    </row>
    <row r="759" spans="24:24">
      <c r="X759" s="149"/>
    </row>
    <row r="760" spans="24:24">
      <c r="X760" s="149"/>
    </row>
    <row r="761" spans="24:24">
      <c r="X761" s="149"/>
    </row>
    <row r="762" spans="24:24">
      <c r="X762" s="149"/>
    </row>
    <row r="763" spans="24:24">
      <c r="X763" s="149"/>
    </row>
    <row r="764" spans="24:24">
      <c r="X764" s="149"/>
    </row>
    <row r="765" spans="24:24">
      <c r="X765" s="149"/>
    </row>
    <row r="766" spans="24:24">
      <c r="X766" s="149"/>
    </row>
    <row r="767" spans="24:24">
      <c r="X767" s="149"/>
    </row>
    <row r="768" spans="24:24">
      <c r="X768" s="149"/>
    </row>
    <row r="769" spans="24:24">
      <c r="X769" s="149"/>
    </row>
    <row r="770" spans="24:24">
      <c r="X770" s="149"/>
    </row>
    <row r="771" spans="24:24">
      <c r="X771" s="149"/>
    </row>
    <row r="772" spans="24:24">
      <c r="X772" s="149"/>
    </row>
    <row r="773" spans="24:24">
      <c r="X773" s="149"/>
    </row>
    <row r="774" spans="24:24">
      <c r="X774" s="149"/>
    </row>
    <row r="775" spans="24:24">
      <c r="X775" s="149"/>
    </row>
    <row r="776" spans="24:24">
      <c r="X776" s="149"/>
    </row>
    <row r="777" spans="24:24">
      <c r="X777" s="149"/>
    </row>
    <row r="778" spans="24:24">
      <c r="X778" s="149"/>
    </row>
    <row r="779" spans="24:24">
      <c r="X779" s="149"/>
    </row>
    <row r="780" spans="24:24">
      <c r="X780" s="149"/>
    </row>
    <row r="781" spans="24:24">
      <c r="X781" s="149"/>
    </row>
    <row r="782" spans="24:24">
      <c r="X782" s="149"/>
    </row>
    <row r="783" spans="24:24">
      <c r="X783" s="149"/>
    </row>
    <row r="784" spans="24:24">
      <c r="X784" s="149"/>
    </row>
    <row r="785" spans="24:24">
      <c r="X785" s="149"/>
    </row>
    <row r="786" spans="24:24">
      <c r="X786" s="149"/>
    </row>
    <row r="787" spans="24:24">
      <c r="X787" s="149"/>
    </row>
    <row r="788" spans="24:24">
      <c r="X788" s="149"/>
    </row>
    <row r="789" spans="24:24">
      <c r="X789" s="149"/>
    </row>
    <row r="790" spans="24:24">
      <c r="X790" s="149"/>
    </row>
    <row r="791" spans="24:24">
      <c r="X791" s="149"/>
    </row>
    <row r="792" spans="24:24">
      <c r="X792" s="149"/>
    </row>
    <row r="793" spans="24:24">
      <c r="X793" s="149"/>
    </row>
    <row r="794" spans="24:24">
      <c r="X794" s="149"/>
    </row>
    <row r="795" spans="24:24">
      <c r="X795" s="149"/>
    </row>
    <row r="796" spans="24:24">
      <c r="X796" s="149"/>
    </row>
    <row r="797" spans="24:24">
      <c r="X797" s="149"/>
    </row>
    <row r="798" spans="24:24">
      <c r="X798" s="149"/>
    </row>
    <row r="799" spans="24:24">
      <c r="X799" s="149"/>
    </row>
    <row r="800" spans="24:24">
      <c r="X800" s="149"/>
    </row>
    <row r="801" spans="24:24">
      <c r="X801" s="149"/>
    </row>
    <row r="802" spans="24:24">
      <c r="X802" s="149"/>
    </row>
    <row r="803" spans="24:24">
      <c r="X803" s="149"/>
    </row>
    <row r="804" spans="24:24">
      <c r="X804" s="149"/>
    </row>
    <row r="805" spans="24:24">
      <c r="X805" s="149"/>
    </row>
    <row r="806" spans="24:24">
      <c r="X806" s="149"/>
    </row>
    <row r="807" spans="24:24">
      <c r="X807" s="149"/>
    </row>
    <row r="808" spans="24:24">
      <c r="X808" s="149"/>
    </row>
    <row r="809" spans="24:24">
      <c r="X809" s="149"/>
    </row>
    <row r="810" spans="24:24">
      <c r="X810" s="149"/>
    </row>
    <row r="811" spans="24:24">
      <c r="X811" s="149"/>
    </row>
    <row r="812" spans="24:24">
      <c r="X812" s="149"/>
    </row>
    <row r="813" spans="24:24">
      <c r="X813" s="149"/>
    </row>
    <row r="814" spans="24:24">
      <c r="X814" s="149"/>
    </row>
    <row r="815" spans="24:24">
      <c r="X815" s="149"/>
    </row>
    <row r="816" spans="24:24">
      <c r="X816" s="149"/>
    </row>
    <row r="817" spans="24:24">
      <c r="X817" s="149"/>
    </row>
    <row r="818" spans="24:24">
      <c r="X818" s="149"/>
    </row>
    <row r="819" spans="24:24">
      <c r="X819" s="149"/>
    </row>
    <row r="820" spans="24:24">
      <c r="X820" s="149"/>
    </row>
    <row r="821" spans="24:24">
      <c r="X821" s="149"/>
    </row>
    <row r="822" spans="24:24">
      <c r="X822" s="149"/>
    </row>
    <row r="823" spans="24:24">
      <c r="X823" s="149"/>
    </row>
    <row r="824" spans="24:24">
      <c r="X824" s="149"/>
    </row>
    <row r="825" spans="24:24">
      <c r="X825" s="149"/>
    </row>
    <row r="826" spans="24:24">
      <c r="X826" s="149"/>
    </row>
    <row r="827" spans="24:24">
      <c r="X827" s="149"/>
    </row>
    <row r="828" spans="24:24">
      <c r="X828" s="149"/>
    </row>
    <row r="829" spans="24:24">
      <c r="X829" s="149"/>
    </row>
    <row r="830" spans="24:24">
      <c r="X830" s="149"/>
    </row>
    <row r="831" spans="24:24">
      <c r="X831" s="149"/>
    </row>
    <row r="832" spans="24:24">
      <c r="X832" s="149"/>
    </row>
    <row r="833" spans="24:24">
      <c r="X833" s="149"/>
    </row>
    <row r="834" spans="24:24">
      <c r="X834" s="149"/>
    </row>
    <row r="835" spans="24:24">
      <c r="X835" s="149"/>
    </row>
    <row r="836" spans="24:24">
      <c r="X836" s="149"/>
    </row>
    <row r="837" spans="24:24">
      <c r="X837" s="149"/>
    </row>
    <row r="838" spans="24:24">
      <c r="X838" s="149"/>
    </row>
    <row r="839" spans="24:24">
      <c r="X839" s="149"/>
    </row>
    <row r="840" spans="24:24">
      <c r="X840" s="149"/>
    </row>
    <row r="841" spans="24:24">
      <c r="X841" s="149"/>
    </row>
    <row r="842" spans="24:24">
      <c r="X842" s="149"/>
    </row>
    <row r="843" spans="24:24">
      <c r="X843" s="149"/>
    </row>
    <row r="844" spans="24:24">
      <c r="X844" s="149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048572"/>
  <sheetViews>
    <sheetView rightToLeft="1" topLeftCell="X1" zoomScale="70" zoomScaleNormal="70" workbookViewId="0">
      <selection activeCell="AH14" sqref="AH14"/>
    </sheetView>
  </sheetViews>
  <sheetFormatPr defaultColWidth="11.625" defaultRowHeight="14.25"/>
  <cols>
    <col min="1" max="21" width="11.625" style="4" customWidth="1"/>
    <col min="22" max="22" width="11.625" style="145" customWidth="1"/>
    <col min="23" max="32" width="11.625" style="4" customWidth="1"/>
    <col min="33" max="16384" width="11.625" style="4"/>
  </cols>
  <sheetData>
    <row r="1" spans="1:36" ht="66.75" customHeight="1">
      <c r="A1" s="19" t="s">
        <v>0</v>
      </c>
      <c r="B1" s="19" t="s">
        <v>1</v>
      </c>
      <c r="C1" s="19" t="s">
        <v>2</v>
      </c>
      <c r="D1" s="19" t="s">
        <v>173</v>
      </c>
      <c r="E1" s="19" t="s">
        <v>174</v>
      </c>
      <c r="F1" s="19" t="s">
        <v>3</v>
      </c>
      <c r="G1" s="19" t="s">
        <v>4</v>
      </c>
      <c r="H1" s="19" t="s">
        <v>175</v>
      </c>
      <c r="I1" s="19" t="s">
        <v>5</v>
      </c>
      <c r="J1" s="19" t="s">
        <v>6</v>
      </c>
      <c r="K1" s="19" t="s">
        <v>7</v>
      </c>
      <c r="L1" s="19" t="s">
        <v>8</v>
      </c>
      <c r="M1" s="19" t="s">
        <v>176</v>
      </c>
      <c r="N1" s="19" t="s">
        <v>141</v>
      </c>
      <c r="O1" s="19" t="s">
        <v>9</v>
      </c>
      <c r="P1" s="19" t="s">
        <v>10</v>
      </c>
      <c r="Q1" s="19" t="s">
        <v>211</v>
      </c>
      <c r="R1" s="19" t="s">
        <v>11</v>
      </c>
      <c r="S1" s="19" t="s">
        <v>12</v>
      </c>
      <c r="T1" s="19" t="s">
        <v>943</v>
      </c>
      <c r="U1" s="19" t="s">
        <v>13</v>
      </c>
      <c r="V1" s="142" t="s">
        <v>14</v>
      </c>
      <c r="W1" s="19" t="s">
        <v>15</v>
      </c>
      <c r="X1" s="19" t="s">
        <v>445</v>
      </c>
      <c r="Y1" s="19" t="s">
        <v>864</v>
      </c>
      <c r="Z1" s="19" t="s">
        <v>17</v>
      </c>
      <c r="AA1" s="19" t="s">
        <v>18</v>
      </c>
      <c r="AB1" s="19" t="s">
        <v>19</v>
      </c>
      <c r="AC1" s="19" t="s">
        <v>16</v>
      </c>
      <c r="AD1" s="19" t="s">
        <v>20</v>
      </c>
      <c r="AE1" s="19" t="s">
        <v>21</v>
      </c>
      <c r="AF1" s="19" t="s">
        <v>192</v>
      </c>
      <c r="AG1" s="19" t="s">
        <v>22</v>
      </c>
      <c r="AH1" s="19" t="s">
        <v>23</v>
      </c>
      <c r="AI1" s="19" t="s">
        <v>24</v>
      </c>
      <c r="AJ1" s="19" t="s">
        <v>25</v>
      </c>
    </row>
    <row r="2" spans="1:36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P2" s="18"/>
      <c r="Q2" s="18"/>
      <c r="R2" s="18"/>
      <c r="S2" s="18"/>
      <c r="T2" s="20"/>
      <c r="U2" s="18"/>
      <c r="V2" s="146"/>
      <c r="X2" s="18"/>
      <c r="Y2" s="18"/>
      <c r="Z2" s="18"/>
      <c r="AA2" s="18"/>
      <c r="AB2" s="18"/>
      <c r="AC2" s="18"/>
      <c r="AD2" s="18"/>
      <c r="AE2" s="18"/>
      <c r="AG2" s="18"/>
    </row>
    <row r="3" spans="1:36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P3" s="18"/>
      <c r="Q3" s="18"/>
      <c r="R3" s="18"/>
      <c r="S3" s="18"/>
      <c r="T3" s="20"/>
      <c r="U3" s="18"/>
      <c r="V3" s="146"/>
      <c r="W3" s="18"/>
      <c r="X3" s="18"/>
      <c r="Y3" s="18"/>
      <c r="Z3" s="18"/>
      <c r="AA3" s="18"/>
      <c r="AB3" s="18"/>
      <c r="AC3" s="18"/>
      <c r="AD3" s="18"/>
      <c r="AE3" s="18"/>
      <c r="AG3" s="18"/>
    </row>
    <row r="4" spans="1:36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P4" s="18"/>
      <c r="Q4" s="18"/>
      <c r="R4" s="18"/>
      <c r="S4" s="18"/>
      <c r="T4" s="20"/>
      <c r="U4" s="18"/>
      <c r="V4" s="146"/>
      <c r="W4" s="18"/>
      <c r="X4" s="18"/>
      <c r="Y4" s="18"/>
      <c r="Z4" s="18"/>
      <c r="AA4" s="18"/>
      <c r="AB4" s="18"/>
      <c r="AC4" s="18"/>
      <c r="AD4" s="18"/>
      <c r="AE4" s="18"/>
      <c r="AG4" s="18"/>
    </row>
    <row r="5" spans="1:36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P5" s="18"/>
      <c r="Q5" s="18"/>
      <c r="R5" s="18"/>
      <c r="S5" s="18"/>
      <c r="T5" s="20"/>
      <c r="U5" s="18"/>
      <c r="V5" s="146"/>
      <c r="W5" s="18"/>
      <c r="X5" s="18"/>
      <c r="Y5" s="18"/>
      <c r="Z5" s="18"/>
      <c r="AA5" s="18"/>
      <c r="AB5" s="18"/>
      <c r="AC5" s="18"/>
      <c r="AD5" s="18"/>
      <c r="AE5" s="18"/>
      <c r="AG5" s="18"/>
    </row>
    <row r="6" spans="1:36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P6" s="18"/>
      <c r="Q6" s="18"/>
      <c r="R6" s="18"/>
      <c r="S6" s="18"/>
      <c r="T6" s="20"/>
      <c r="U6" s="18"/>
      <c r="V6" s="146"/>
      <c r="W6" s="18"/>
      <c r="X6" s="18"/>
      <c r="Y6" s="18"/>
      <c r="Z6" s="18"/>
      <c r="AA6" s="18"/>
      <c r="AB6" s="18"/>
      <c r="AC6" s="18"/>
      <c r="AD6" s="18"/>
      <c r="AE6" s="18"/>
      <c r="AG6" s="18"/>
    </row>
    <row r="7" spans="1:36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P7" s="18"/>
      <c r="Q7" s="18"/>
      <c r="R7" s="18"/>
      <c r="S7" s="18"/>
      <c r="T7" s="20"/>
      <c r="U7" s="18"/>
      <c r="V7" s="146"/>
      <c r="W7" s="18"/>
      <c r="X7" s="18"/>
      <c r="Y7" s="18"/>
      <c r="Z7" s="18"/>
      <c r="AA7" s="18"/>
      <c r="AB7" s="18"/>
      <c r="AC7" s="18"/>
      <c r="AD7" s="18"/>
      <c r="AE7" s="18"/>
    </row>
    <row r="8" spans="1:36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P8" s="18"/>
      <c r="Q8" s="18"/>
      <c r="R8" s="18"/>
      <c r="S8" s="18"/>
      <c r="T8" s="20"/>
      <c r="U8" s="18"/>
      <c r="V8" s="146"/>
      <c r="W8" s="18"/>
      <c r="X8" s="18"/>
      <c r="Y8" s="18"/>
      <c r="Z8" s="18"/>
    </row>
    <row r="9" spans="1:36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P9" s="18"/>
      <c r="Q9" s="18"/>
      <c r="R9" s="18"/>
      <c r="S9" s="18"/>
      <c r="T9" s="20"/>
      <c r="U9" s="18"/>
      <c r="V9" s="146"/>
      <c r="W9" s="18"/>
      <c r="X9" s="18"/>
      <c r="Y9" s="18"/>
      <c r="Z9" s="18"/>
      <c r="AB9" s="20"/>
      <c r="AC9" s="20"/>
      <c r="AD9" s="26"/>
      <c r="AG9" s="18"/>
    </row>
    <row r="10" spans="1:36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P10" s="18"/>
      <c r="Q10" s="18"/>
      <c r="R10" s="18"/>
      <c r="S10" s="18"/>
      <c r="T10" s="20"/>
      <c r="U10" s="18"/>
      <c r="V10" s="146"/>
      <c r="W10" s="18"/>
      <c r="X10" s="18"/>
      <c r="Y10" s="18"/>
      <c r="Z10" s="18"/>
      <c r="AA10" s="18"/>
      <c r="AB10" s="18"/>
      <c r="AC10" s="18"/>
      <c r="AD10" s="18"/>
      <c r="AE10" s="18"/>
      <c r="AG10" s="18"/>
    </row>
    <row r="11" spans="1:36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P11" s="18"/>
      <c r="Q11" s="18"/>
      <c r="R11" s="18"/>
      <c r="S11" s="18"/>
      <c r="T11" s="20"/>
      <c r="U11" s="18"/>
      <c r="V11" s="146"/>
      <c r="W11" s="18"/>
      <c r="X11" s="18"/>
      <c r="Y11" s="18"/>
      <c r="Z11" s="18"/>
      <c r="AA11" s="18"/>
      <c r="AB11" s="18"/>
      <c r="AC11" s="18"/>
      <c r="AD11" s="18"/>
      <c r="AE11" s="18"/>
      <c r="AG11" s="18"/>
    </row>
    <row r="12" spans="1:36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P12" s="18"/>
      <c r="Q12" s="18"/>
      <c r="R12" s="18"/>
      <c r="S12" s="18"/>
      <c r="T12" s="20"/>
      <c r="U12" s="18"/>
      <c r="V12" s="146"/>
      <c r="W12" s="18"/>
      <c r="X12" s="18"/>
      <c r="Y12" s="18"/>
      <c r="Z12" s="18"/>
      <c r="AA12" s="18"/>
      <c r="AB12" s="18"/>
      <c r="AC12" s="18"/>
      <c r="AD12" s="18"/>
      <c r="AE12" s="18"/>
      <c r="AG12" s="18"/>
    </row>
    <row r="13" spans="1:36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P13" s="18"/>
      <c r="Q13" s="18"/>
      <c r="R13" s="18"/>
      <c r="S13" s="18"/>
      <c r="T13" s="20"/>
      <c r="U13" s="18"/>
      <c r="V13" s="146"/>
      <c r="W13" s="18"/>
      <c r="X13" s="18"/>
      <c r="Y13" s="18"/>
      <c r="Z13" s="18"/>
      <c r="AA13" s="18"/>
      <c r="AB13" s="18"/>
      <c r="AC13" s="18"/>
      <c r="AD13" s="18"/>
      <c r="AE13" s="18"/>
      <c r="AG13" s="18"/>
    </row>
    <row r="14" spans="1:36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P14" s="18"/>
      <c r="Q14" s="18"/>
      <c r="R14" s="18"/>
      <c r="S14" s="18"/>
      <c r="T14" s="20"/>
      <c r="U14" s="18"/>
      <c r="V14" s="146"/>
      <c r="W14" s="18"/>
      <c r="X14" s="18"/>
      <c r="Y14" s="18"/>
      <c r="Z14" s="18"/>
      <c r="AA14" s="18"/>
      <c r="AB14" s="18"/>
      <c r="AC14" s="18"/>
      <c r="AD14" s="18"/>
      <c r="AE14" s="18"/>
      <c r="AG14" s="18"/>
    </row>
    <row r="15" spans="1:36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P15" s="18"/>
      <c r="Q15" s="18"/>
      <c r="R15" s="18"/>
      <c r="S15" s="18"/>
      <c r="T15" s="20"/>
      <c r="U15" s="18"/>
      <c r="V15" s="146"/>
      <c r="W15" s="18"/>
      <c r="X15" s="18"/>
      <c r="Y15" s="18"/>
      <c r="Z15" s="18"/>
      <c r="AA15" s="18"/>
      <c r="AB15" s="18"/>
      <c r="AC15" s="18"/>
      <c r="AD15" s="18"/>
      <c r="AE15" s="18"/>
      <c r="AG15" s="18"/>
    </row>
    <row r="16" spans="1:36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P16" s="18"/>
      <c r="Q16" s="18"/>
      <c r="R16" s="18"/>
      <c r="S16" s="18"/>
      <c r="T16" s="20"/>
      <c r="U16" s="18"/>
      <c r="V16" s="146"/>
      <c r="W16" s="18"/>
      <c r="X16" s="18"/>
      <c r="Y16" s="18"/>
      <c r="Z16" s="18"/>
      <c r="AA16" s="18"/>
      <c r="AB16" s="18"/>
      <c r="AC16" s="18"/>
      <c r="AD16" s="18"/>
      <c r="AE16" s="18"/>
      <c r="AG16" s="18"/>
    </row>
    <row r="17" spans="1:33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P17" s="18"/>
      <c r="Q17" s="18"/>
      <c r="R17" s="18"/>
      <c r="S17" s="18"/>
      <c r="T17" s="20"/>
      <c r="U17" s="18"/>
      <c r="V17" s="146"/>
      <c r="W17" s="18"/>
      <c r="X17" s="18"/>
      <c r="Y17" s="18"/>
      <c r="Z17" s="18"/>
      <c r="AA17" s="18"/>
      <c r="AB17" s="18"/>
      <c r="AC17" s="18"/>
      <c r="AD17" s="18"/>
      <c r="AE17" s="18"/>
      <c r="AG17" s="18"/>
    </row>
    <row r="18" spans="1:33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P18" s="18"/>
      <c r="Q18" s="18"/>
      <c r="R18" s="18"/>
      <c r="S18" s="18"/>
      <c r="T18" s="20"/>
      <c r="U18" s="18"/>
      <c r="V18" s="146"/>
      <c r="W18" s="18"/>
      <c r="X18" s="18"/>
      <c r="Y18" s="18"/>
      <c r="Z18" s="18"/>
      <c r="AA18" s="18"/>
      <c r="AB18" s="18"/>
      <c r="AC18" s="18"/>
      <c r="AD18" s="18"/>
      <c r="AE18" s="18"/>
      <c r="AG18" s="18"/>
    </row>
    <row r="19" spans="1:33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P19" s="18"/>
      <c r="Q19" s="18"/>
      <c r="R19" s="18"/>
      <c r="S19" s="18"/>
      <c r="T19" s="20"/>
      <c r="U19" s="18"/>
      <c r="V19" s="146"/>
      <c r="W19" s="18"/>
      <c r="X19" s="18"/>
      <c r="Y19" s="18"/>
      <c r="Z19" s="18"/>
      <c r="AA19" s="18"/>
      <c r="AB19" s="18"/>
      <c r="AC19" s="18"/>
      <c r="AD19" s="18"/>
      <c r="AE19" s="18"/>
      <c r="AG19" s="18"/>
    </row>
    <row r="20" spans="1:33">
      <c r="E20" s="18"/>
      <c r="H20" s="18"/>
      <c r="I20" s="18"/>
      <c r="J20" s="18"/>
      <c r="K20" s="18"/>
      <c r="L20" s="18"/>
      <c r="M20" s="18"/>
      <c r="N20" s="18"/>
      <c r="P20" s="18"/>
      <c r="Q20" s="18"/>
      <c r="T20" s="20"/>
      <c r="X20" s="18"/>
      <c r="Y20" s="18"/>
      <c r="AG20" s="18"/>
    </row>
    <row r="21" spans="1:33">
      <c r="T21" s="2"/>
    </row>
    <row r="22" spans="1:33">
      <c r="T22" s="2"/>
    </row>
    <row r="23" spans="1:33">
      <c r="T23" s="2"/>
    </row>
    <row r="24" spans="1:33">
      <c r="T24" s="2"/>
    </row>
    <row r="1048572" spans="12:14">
      <c r="L1048572" s="7"/>
      <c r="N1048572" s="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L1048572:L1048576" xr:uid="{00000000-0002-0000-0400-000000000000}">
      <formula1>Stock_Exchange_Gov_Bonds</formula1>
    </dataValidation>
    <dataValidation type="list" allowBlank="1" showInputMessage="1" showErrorMessage="1" sqref="J2:J20" xr:uid="{00000000-0002-0000-0400-000001000000}">
      <formula1>israel_abroad</formula1>
    </dataValidation>
    <dataValidation type="list" allowBlank="1" showInputMessage="1" showErrorMessage="1" sqref="N1048572:N1048576 N2:N20" xr:uid="{00000000-0002-0000-0400-000002000000}">
      <formula1>Holding_interest</formula1>
    </dataValidation>
    <dataValidation type="list" allowBlank="1" showInputMessage="1" showErrorMessage="1" sqref="P2:P20" xr:uid="{00000000-0002-0000-0400-000003000000}">
      <formula1>Rating_Agency</formula1>
    </dataValidation>
    <dataValidation type="list" allowBlank="1" showInputMessage="1" showErrorMessage="1" sqref="Q2:Q20" xr:uid="{00000000-0002-0000-0400-000004000000}">
      <formula1>What_is_rated</formula1>
    </dataValidation>
    <dataValidation type="list" allowBlank="1" showInputMessage="1" showErrorMessage="1" sqref="AG9:AG20 AG2:AG6" xr:uid="{00000000-0002-0000-0400-000005000000}">
      <formula1>In_the_books</formula1>
    </dataValidation>
    <dataValidation type="list" allowBlank="1" showInputMessage="1" showErrorMessage="1" sqref="K2:K20" xr:uid="{00000000-0002-0000-0400-000006000000}">
      <formula1>Country_list</formula1>
    </dataValidation>
    <dataValidation type="list" allowBlank="1" showInputMessage="1" showErrorMessage="1" sqref="T2:T20" xr:uid="{00000000-0002-0000-0400-000007000000}">
      <formula1>Underlying_Interest_Rates</formula1>
    </dataValidation>
    <dataValidation type="list" allowBlank="1" showInputMessage="1" showErrorMessage="1" sqref="Y2:Y20" xr:uid="{00000000-0002-0000-0400-000008000000}">
      <formula1>Yes_No_Bad_Debt</formula1>
    </dataValidation>
    <dataValidation type="list" allowBlank="1" showInputMessage="1" showErrorMessage="1" sqref="X2:X20" xr:uid="{00000000-0002-0000-0400-000009000000}">
      <formula1>Subordination_Risk</formula1>
    </dataValidation>
    <dataValidation type="list" allowBlank="1" showInputMessage="1" showErrorMessage="1" sqref="E2:E20" xr:uid="{00000000-0002-0000-0400-00000A000000}">
      <formula1>Issuer_Number_Type_2</formula1>
    </dataValidation>
    <dataValidation type="list" allowBlank="1" showInputMessage="1" showErrorMessage="1" sqref="H3:H20" xr:uid="{00000000-0002-0000-0400-00000B000000}">
      <formula1>Type_of_Security_ID_Fund</formula1>
    </dataValidation>
    <dataValidation type="list" allowBlank="1" showInputMessage="1" showErrorMessage="1" sqref="H2" xr:uid="{00000000-0002-0000-0400-00000C000000}">
      <formula1>Security_ID_Number_Type</formula1>
    </dataValidation>
    <dataValidation type="list" allowBlank="1" showInputMessage="1" showErrorMessage="1" sqref="M2:M20" xr:uid="{00000000-0002-0000-0400-00000D000000}">
      <formula1>Industry_Sector</formula1>
    </dataValidation>
    <dataValidation type="list" allowBlank="1" showInputMessage="1" showErrorMessage="1" sqref="L2:L20" xr:uid="{00000000-0002-0000-0400-00000E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462"/>
  <sheetViews>
    <sheetView rightToLeft="1" zoomScale="70" zoomScaleNormal="70" workbookViewId="0"/>
  </sheetViews>
  <sheetFormatPr defaultColWidth="11.625" defaultRowHeight="14.25"/>
  <cols>
    <col min="1" max="4" width="11.625" style="2" customWidth="1"/>
    <col min="5" max="5" width="11.625" style="4" customWidth="1"/>
    <col min="6" max="21" width="11.625" style="2" customWidth="1"/>
    <col min="22" max="22" width="11.625" style="144" customWidth="1"/>
    <col min="23" max="23" width="11.625" style="2" customWidth="1"/>
    <col min="24" max="25" width="11.625" style="4" customWidth="1"/>
    <col min="26" max="26" width="11.625" style="2" customWidth="1"/>
    <col min="27" max="16384" width="11.625" style="2"/>
  </cols>
  <sheetData>
    <row r="1" spans="1:36" ht="66.75" customHeight="1">
      <c r="A1" s="19" t="s">
        <v>0</v>
      </c>
      <c r="B1" s="19" t="s">
        <v>1</v>
      </c>
      <c r="C1" s="19" t="s">
        <v>2</v>
      </c>
      <c r="D1" s="19" t="s">
        <v>173</v>
      </c>
      <c r="E1" s="19" t="s">
        <v>174</v>
      </c>
      <c r="F1" s="19" t="s">
        <v>3</v>
      </c>
      <c r="G1" s="19" t="s">
        <v>4</v>
      </c>
      <c r="H1" s="19" t="s">
        <v>175</v>
      </c>
      <c r="I1" s="19" t="s">
        <v>5</v>
      </c>
      <c r="J1" s="19" t="s">
        <v>6</v>
      </c>
      <c r="K1" s="19" t="s">
        <v>7</v>
      </c>
      <c r="L1" s="19" t="s">
        <v>361</v>
      </c>
      <c r="M1" s="19" t="s">
        <v>8</v>
      </c>
      <c r="N1" s="19" t="s">
        <v>176</v>
      </c>
      <c r="O1" s="19" t="s">
        <v>141</v>
      </c>
      <c r="P1" s="19" t="s">
        <v>9</v>
      </c>
      <c r="Q1" s="19" t="s">
        <v>10</v>
      </c>
      <c r="R1" s="19" t="s">
        <v>211</v>
      </c>
      <c r="S1" s="19" t="s">
        <v>11</v>
      </c>
      <c r="T1" s="19" t="s">
        <v>12</v>
      </c>
      <c r="U1" s="19" t="s">
        <v>13</v>
      </c>
      <c r="V1" s="159" t="s">
        <v>14</v>
      </c>
      <c r="W1" s="163" t="s">
        <v>15</v>
      </c>
      <c r="X1" s="19" t="s">
        <v>445</v>
      </c>
      <c r="Y1" s="19" t="s">
        <v>864</v>
      </c>
      <c r="Z1" s="19" t="s">
        <v>17</v>
      </c>
      <c r="AA1" s="157" t="s">
        <v>18</v>
      </c>
      <c r="AB1" s="168" t="s">
        <v>19</v>
      </c>
      <c r="AC1" s="19" t="s">
        <v>16</v>
      </c>
      <c r="AD1" s="19" t="s">
        <v>20</v>
      </c>
      <c r="AE1" s="19" t="s">
        <v>21</v>
      </c>
      <c r="AF1" s="19" t="s">
        <v>192</v>
      </c>
      <c r="AG1" s="19" t="s">
        <v>22</v>
      </c>
      <c r="AH1" s="163" t="s">
        <v>23</v>
      </c>
      <c r="AI1" s="163" t="s">
        <v>24</v>
      </c>
      <c r="AJ1" s="163" t="s">
        <v>25</v>
      </c>
    </row>
    <row r="2" spans="1:36">
      <c r="A2" s="2">
        <v>1182</v>
      </c>
      <c r="B2" s="20">
        <v>1182</v>
      </c>
      <c r="C2" s="20" t="s">
        <v>2177</v>
      </c>
      <c r="D2" s="20" t="s">
        <v>2178</v>
      </c>
      <c r="E2" s="18" t="s">
        <v>1342</v>
      </c>
      <c r="F2" s="20" t="s">
        <v>2179</v>
      </c>
      <c r="G2" s="20" t="s">
        <v>2180</v>
      </c>
      <c r="H2" s="18" t="s">
        <v>356</v>
      </c>
      <c r="I2" s="26" t="s">
        <v>208</v>
      </c>
      <c r="J2" s="18" t="s">
        <v>30</v>
      </c>
      <c r="K2" s="18" t="s">
        <v>334</v>
      </c>
      <c r="L2" s="20" t="s">
        <v>362</v>
      </c>
      <c r="M2" s="18" t="s">
        <v>31</v>
      </c>
      <c r="N2" s="20" t="s">
        <v>498</v>
      </c>
      <c r="O2" s="20" t="s">
        <v>155</v>
      </c>
      <c r="P2" s="20" t="s">
        <v>2181</v>
      </c>
      <c r="Q2" s="20" t="s">
        <v>101</v>
      </c>
      <c r="R2" s="20" t="s">
        <v>441</v>
      </c>
      <c r="S2" s="18" t="s">
        <v>34</v>
      </c>
      <c r="T2" s="153">
        <v>0.73699999999999999</v>
      </c>
      <c r="U2" s="20" t="s">
        <v>2182</v>
      </c>
      <c r="V2" s="171">
        <v>4.65E-2</v>
      </c>
      <c r="W2" s="172">
        <v>2.7140000000000001E-2</v>
      </c>
      <c r="X2" s="18" t="s">
        <v>447</v>
      </c>
      <c r="Y2" s="18" t="s">
        <v>155</v>
      </c>
      <c r="Z2" s="153">
        <v>48819.199999999997</v>
      </c>
      <c r="AA2" s="173">
        <v>1</v>
      </c>
      <c r="AB2" s="174">
        <v>118.92</v>
      </c>
      <c r="AC2" s="20"/>
      <c r="AD2" s="153">
        <v>58.055999999999997</v>
      </c>
      <c r="AE2" s="20"/>
      <c r="AF2" s="26"/>
      <c r="AG2" s="18" t="s">
        <v>36</v>
      </c>
      <c r="AH2" s="164">
        <v>3.4099999999999999E-4</v>
      </c>
      <c r="AI2" s="164">
        <v>1.9309146425044599E-3</v>
      </c>
      <c r="AJ2" s="164">
        <v>1.4093549574885499E-4</v>
      </c>
    </row>
    <row r="3" spans="1:36">
      <c r="A3" s="20">
        <v>1182</v>
      </c>
      <c r="B3" s="20">
        <v>1182</v>
      </c>
      <c r="C3" s="20" t="s">
        <v>2183</v>
      </c>
      <c r="D3" s="20" t="s">
        <v>2184</v>
      </c>
      <c r="E3" s="18" t="s">
        <v>1342</v>
      </c>
      <c r="F3" s="20" t="s">
        <v>2185</v>
      </c>
      <c r="G3" s="20" t="s">
        <v>2186</v>
      </c>
      <c r="H3" s="18" t="s">
        <v>356</v>
      </c>
      <c r="I3" s="20" t="s">
        <v>208</v>
      </c>
      <c r="J3" s="18" t="s">
        <v>30</v>
      </c>
      <c r="K3" s="18" t="s">
        <v>30</v>
      </c>
      <c r="L3" s="20" t="s">
        <v>362</v>
      </c>
      <c r="M3" s="18" t="s">
        <v>31</v>
      </c>
      <c r="N3" s="20" t="s">
        <v>489</v>
      </c>
      <c r="O3" s="20" t="s">
        <v>155</v>
      </c>
      <c r="P3" s="20" t="s">
        <v>1353</v>
      </c>
      <c r="Q3" s="20" t="s">
        <v>206</v>
      </c>
      <c r="R3" s="20" t="s">
        <v>441</v>
      </c>
      <c r="S3" s="18" t="s">
        <v>34</v>
      </c>
      <c r="T3" s="153">
        <v>4.1390000000000002</v>
      </c>
      <c r="U3" s="20" t="s">
        <v>2187</v>
      </c>
      <c r="V3" s="171">
        <v>5.1499999999999997E-2</v>
      </c>
      <c r="W3" s="172">
        <v>5.1479999999999998E-2</v>
      </c>
      <c r="X3" s="18" t="s">
        <v>447</v>
      </c>
      <c r="Y3" s="18" t="s">
        <v>155</v>
      </c>
      <c r="Z3" s="153">
        <v>0.36</v>
      </c>
      <c r="AA3" s="173">
        <v>1</v>
      </c>
      <c r="AB3" s="174">
        <v>141.9</v>
      </c>
      <c r="AC3" s="20"/>
      <c r="AD3" s="153">
        <v>1E-3</v>
      </c>
      <c r="AE3" s="20"/>
      <c r="AG3" s="18" t="s">
        <v>36</v>
      </c>
      <c r="AH3" s="164">
        <v>0</v>
      </c>
      <c r="AI3" s="164">
        <v>1.6990353436279899E-8</v>
      </c>
      <c r="AJ3" s="164">
        <v>1.2401086157721401E-9</v>
      </c>
    </row>
    <row r="4" spans="1:36">
      <c r="A4" s="20">
        <v>1182</v>
      </c>
      <c r="B4" s="20">
        <v>1182</v>
      </c>
      <c r="C4" s="20" t="s">
        <v>2188</v>
      </c>
      <c r="D4" s="20" t="s">
        <v>2189</v>
      </c>
      <c r="E4" s="18" t="s">
        <v>1342</v>
      </c>
      <c r="F4" s="20" t="s">
        <v>2190</v>
      </c>
      <c r="G4" s="20" t="s">
        <v>2191</v>
      </c>
      <c r="H4" s="18" t="s">
        <v>356</v>
      </c>
      <c r="I4" s="20" t="s">
        <v>208</v>
      </c>
      <c r="J4" s="18" t="s">
        <v>30</v>
      </c>
      <c r="K4" s="18" t="s">
        <v>30</v>
      </c>
      <c r="L4" s="20" t="s">
        <v>362</v>
      </c>
      <c r="M4" s="18" t="s">
        <v>31</v>
      </c>
      <c r="N4" s="20" t="s">
        <v>473</v>
      </c>
      <c r="O4" s="20" t="s">
        <v>155</v>
      </c>
      <c r="P4" s="20" t="s">
        <v>2192</v>
      </c>
      <c r="Q4" s="20" t="s">
        <v>206</v>
      </c>
      <c r="R4" s="20" t="s">
        <v>441</v>
      </c>
      <c r="S4" s="18" t="s">
        <v>34</v>
      </c>
      <c r="T4" s="153">
        <v>2.9049999999999998</v>
      </c>
      <c r="U4" s="20" t="s">
        <v>2193</v>
      </c>
      <c r="V4" s="171">
        <v>2.75E-2</v>
      </c>
      <c r="W4" s="172">
        <v>3.1E-2</v>
      </c>
      <c r="X4" s="18" t="s">
        <v>447</v>
      </c>
      <c r="Y4" s="18" t="s">
        <v>155</v>
      </c>
      <c r="Z4" s="153">
        <v>184809.02</v>
      </c>
      <c r="AA4" s="173">
        <v>1</v>
      </c>
      <c r="AB4" s="174">
        <v>113.65</v>
      </c>
      <c r="AC4" s="20"/>
      <c r="AD4" s="153">
        <v>210.035</v>
      </c>
      <c r="AE4" s="20"/>
      <c r="AG4" s="18" t="s">
        <v>36</v>
      </c>
      <c r="AH4" s="164">
        <v>2.2000000000000001E-4</v>
      </c>
      <c r="AI4" s="164">
        <v>6.9857030587781596E-3</v>
      </c>
      <c r="AJ4" s="164">
        <v>5.0987936083296602E-4</v>
      </c>
    </row>
    <row r="5" spans="1:36">
      <c r="A5" s="20">
        <v>1182</v>
      </c>
      <c r="B5" s="20">
        <v>1182</v>
      </c>
      <c r="C5" s="20" t="s">
        <v>2188</v>
      </c>
      <c r="D5" s="20" t="s">
        <v>2189</v>
      </c>
      <c r="E5" s="18" t="s">
        <v>1342</v>
      </c>
      <c r="F5" s="20" t="s">
        <v>2194</v>
      </c>
      <c r="G5" s="20" t="s">
        <v>2195</v>
      </c>
      <c r="H5" s="18" t="s">
        <v>356</v>
      </c>
      <c r="I5" s="20" t="s">
        <v>1000</v>
      </c>
      <c r="J5" s="18" t="s">
        <v>30</v>
      </c>
      <c r="K5" s="18" t="s">
        <v>30</v>
      </c>
      <c r="L5" s="20" t="s">
        <v>362</v>
      </c>
      <c r="M5" s="18" t="s">
        <v>31</v>
      </c>
      <c r="N5" s="20" t="s">
        <v>473</v>
      </c>
      <c r="O5" s="20" t="s">
        <v>155</v>
      </c>
      <c r="P5" s="20" t="s">
        <v>2192</v>
      </c>
      <c r="Q5" s="20" t="s">
        <v>206</v>
      </c>
      <c r="R5" s="20" t="s">
        <v>441</v>
      </c>
      <c r="S5" s="18" t="s">
        <v>34</v>
      </c>
      <c r="T5" s="153">
        <v>2.4820000000000002</v>
      </c>
      <c r="U5" s="20" t="s">
        <v>2196</v>
      </c>
      <c r="V5" s="171">
        <v>2.5000000000000001E-2</v>
      </c>
      <c r="W5" s="172">
        <v>6.1120000000000001E-2</v>
      </c>
      <c r="X5" s="18" t="s">
        <v>447</v>
      </c>
      <c r="Y5" s="18" t="s">
        <v>155</v>
      </c>
      <c r="Z5" s="153">
        <v>288000</v>
      </c>
      <c r="AA5" s="173">
        <v>1</v>
      </c>
      <c r="AB5" s="174">
        <v>89.41</v>
      </c>
      <c r="AC5" s="20"/>
      <c r="AD5" s="153">
        <v>257.50099999999998</v>
      </c>
      <c r="AE5" s="20"/>
      <c r="AG5" s="18" t="s">
        <v>36</v>
      </c>
      <c r="AH5" s="164">
        <v>3.7599999999999998E-4</v>
      </c>
      <c r="AI5" s="164">
        <v>8.5643833727288999E-3</v>
      </c>
      <c r="AJ5" s="164">
        <v>6.2510563121176703E-4</v>
      </c>
    </row>
    <row r="6" spans="1:36">
      <c r="A6" s="20">
        <v>1182</v>
      </c>
      <c r="B6" s="20">
        <v>1182</v>
      </c>
      <c r="C6" s="20" t="s">
        <v>2197</v>
      </c>
      <c r="D6" s="20" t="s">
        <v>2198</v>
      </c>
      <c r="E6" s="18" t="s">
        <v>1342</v>
      </c>
      <c r="F6" s="20" t="s">
        <v>2199</v>
      </c>
      <c r="G6" s="20" t="s">
        <v>2200</v>
      </c>
      <c r="H6" s="18" t="s">
        <v>356</v>
      </c>
      <c r="I6" s="20" t="s">
        <v>1000</v>
      </c>
      <c r="J6" s="18" t="s">
        <v>30</v>
      </c>
      <c r="K6" s="18" t="s">
        <v>30</v>
      </c>
      <c r="L6" s="20" t="s">
        <v>362</v>
      </c>
      <c r="M6" s="18" t="s">
        <v>31</v>
      </c>
      <c r="N6" s="20" t="s">
        <v>480</v>
      </c>
      <c r="O6" s="20" t="s">
        <v>155</v>
      </c>
      <c r="P6" s="20" t="s">
        <v>2181</v>
      </c>
      <c r="Q6" s="20" t="s">
        <v>101</v>
      </c>
      <c r="R6" s="20" t="s">
        <v>441</v>
      </c>
      <c r="S6" s="18" t="s">
        <v>34</v>
      </c>
      <c r="T6" s="153">
        <v>2.2480000000000002</v>
      </c>
      <c r="U6" s="20" t="s">
        <v>2201</v>
      </c>
      <c r="V6" s="171">
        <v>2.5499999999999998E-2</v>
      </c>
      <c r="W6" s="172">
        <v>6.0019999999999997E-2</v>
      </c>
      <c r="X6" s="18" t="s">
        <v>447</v>
      </c>
      <c r="Y6" s="18" t="s">
        <v>155</v>
      </c>
      <c r="Z6" s="151">
        <v>393125</v>
      </c>
      <c r="AA6" s="158">
        <v>1</v>
      </c>
      <c r="AB6" s="175">
        <v>93.37</v>
      </c>
      <c r="AC6" s="20"/>
      <c r="AD6" s="151">
        <v>367.06099999999998</v>
      </c>
      <c r="AG6" s="2" t="s">
        <v>36</v>
      </c>
      <c r="AH6" s="164">
        <v>5.1099999999999995E-4</v>
      </c>
      <c r="AI6" s="164">
        <v>1.22083097192528E-2</v>
      </c>
      <c r="AJ6" s="164">
        <v>8.9107210886691095E-4</v>
      </c>
    </row>
    <row r="7" spans="1:36">
      <c r="A7" s="20">
        <v>1182</v>
      </c>
      <c r="B7" s="20">
        <v>1182</v>
      </c>
      <c r="C7" s="20" t="s">
        <v>2202</v>
      </c>
      <c r="D7" s="20" t="s">
        <v>2203</v>
      </c>
      <c r="E7" s="18" t="s">
        <v>1342</v>
      </c>
      <c r="F7" s="20" t="s">
        <v>2204</v>
      </c>
      <c r="G7" s="20" t="s">
        <v>2205</v>
      </c>
      <c r="H7" s="18" t="s">
        <v>356</v>
      </c>
      <c r="I7" s="20" t="s">
        <v>1000</v>
      </c>
      <c r="J7" s="18" t="s">
        <v>30</v>
      </c>
      <c r="K7" s="18" t="s">
        <v>30</v>
      </c>
      <c r="L7" s="20" t="s">
        <v>362</v>
      </c>
      <c r="M7" s="18" t="s">
        <v>31</v>
      </c>
      <c r="N7" s="20" t="s">
        <v>478</v>
      </c>
      <c r="O7" s="20" t="s">
        <v>155</v>
      </c>
      <c r="P7" s="20" t="s">
        <v>2181</v>
      </c>
      <c r="Q7" s="20" t="s">
        <v>101</v>
      </c>
      <c r="R7" s="20" t="s">
        <v>441</v>
      </c>
      <c r="S7" s="18" t="s">
        <v>34</v>
      </c>
      <c r="T7" s="153">
        <v>3.9980000000000002</v>
      </c>
      <c r="U7" s="20" t="s">
        <v>2206</v>
      </c>
      <c r="V7" s="171">
        <v>2.18E-2</v>
      </c>
      <c r="W7" s="172">
        <v>6.139E-2</v>
      </c>
      <c r="X7" s="18" t="s">
        <v>447</v>
      </c>
      <c r="Y7" s="18" t="s">
        <v>155</v>
      </c>
      <c r="Z7" s="151">
        <v>965867</v>
      </c>
      <c r="AA7" s="158">
        <v>1</v>
      </c>
      <c r="AB7" s="175">
        <v>86.45</v>
      </c>
      <c r="AC7" s="20"/>
      <c r="AD7" s="151">
        <v>834.99199999999996</v>
      </c>
      <c r="AG7" s="2" t="s">
        <v>36</v>
      </c>
      <c r="AH7" s="164">
        <v>5.875E-3</v>
      </c>
      <c r="AI7" s="164">
        <v>2.7771532303184701E-2</v>
      </c>
      <c r="AJ7" s="164">
        <v>2.0270158953158502E-3</v>
      </c>
    </row>
    <row r="8" spans="1:36">
      <c r="A8" s="20">
        <v>1182</v>
      </c>
      <c r="B8" s="20">
        <v>1182</v>
      </c>
      <c r="C8" s="20" t="s">
        <v>2207</v>
      </c>
      <c r="D8" s="20" t="s">
        <v>2208</v>
      </c>
      <c r="E8" s="18" t="s">
        <v>1342</v>
      </c>
      <c r="F8" s="20" t="s">
        <v>2209</v>
      </c>
      <c r="G8" s="20" t="s">
        <v>2210</v>
      </c>
      <c r="H8" s="18" t="s">
        <v>356</v>
      </c>
      <c r="I8" s="20" t="s">
        <v>208</v>
      </c>
      <c r="J8" s="18" t="s">
        <v>30</v>
      </c>
      <c r="K8" s="18" t="s">
        <v>30</v>
      </c>
      <c r="L8" s="20" t="s">
        <v>362</v>
      </c>
      <c r="M8" s="18" t="s">
        <v>31</v>
      </c>
      <c r="N8" s="20" t="s">
        <v>497</v>
      </c>
      <c r="O8" s="20" t="s">
        <v>155</v>
      </c>
      <c r="P8" s="20" t="s">
        <v>2211</v>
      </c>
      <c r="Q8" s="20" t="s">
        <v>206</v>
      </c>
      <c r="R8" s="20" t="s">
        <v>441</v>
      </c>
      <c r="S8" s="18" t="s">
        <v>34</v>
      </c>
      <c r="T8" s="153">
        <v>2.012</v>
      </c>
      <c r="U8" s="20" t="s">
        <v>61</v>
      </c>
      <c r="V8" s="171">
        <v>2.3400000000000001E-2</v>
      </c>
      <c r="W8" s="172">
        <v>2.664E-2</v>
      </c>
      <c r="X8" s="18" t="s">
        <v>447</v>
      </c>
      <c r="Y8" s="18" t="s">
        <v>155</v>
      </c>
      <c r="Z8" s="153">
        <v>132000.01999999999</v>
      </c>
      <c r="AA8" s="173">
        <v>1</v>
      </c>
      <c r="AB8" s="174">
        <v>115.87</v>
      </c>
      <c r="AC8" s="20"/>
      <c r="AD8" s="153">
        <v>152.94800000000001</v>
      </c>
      <c r="AE8" s="20"/>
      <c r="AG8" s="18" t="s">
        <v>36</v>
      </c>
      <c r="AH8" s="164">
        <v>6.3E-5</v>
      </c>
      <c r="AI8" s="164">
        <v>5.0870091755695901E-3</v>
      </c>
      <c r="AJ8" s="164">
        <v>3.7129562553214502E-4</v>
      </c>
    </row>
    <row r="9" spans="1:36">
      <c r="A9" s="20">
        <v>1182</v>
      </c>
      <c r="B9" s="20">
        <v>1182</v>
      </c>
      <c r="C9" s="20" t="s">
        <v>2212</v>
      </c>
      <c r="D9" s="20" t="s">
        <v>2213</v>
      </c>
      <c r="E9" s="18" t="s">
        <v>1342</v>
      </c>
      <c r="F9" s="20" t="s">
        <v>2214</v>
      </c>
      <c r="G9" s="20" t="s">
        <v>2215</v>
      </c>
      <c r="H9" s="18" t="s">
        <v>356</v>
      </c>
      <c r="I9" s="20" t="s">
        <v>1000</v>
      </c>
      <c r="J9" s="18" t="s">
        <v>30</v>
      </c>
      <c r="K9" s="18" t="s">
        <v>30</v>
      </c>
      <c r="L9" s="20" t="s">
        <v>362</v>
      </c>
      <c r="M9" s="18" t="s">
        <v>31</v>
      </c>
      <c r="N9" s="20" t="s">
        <v>497</v>
      </c>
      <c r="O9" s="20" t="s">
        <v>155</v>
      </c>
      <c r="P9" s="20" t="s">
        <v>1353</v>
      </c>
      <c r="Q9" s="20" t="s">
        <v>206</v>
      </c>
      <c r="R9" s="20" t="s">
        <v>441</v>
      </c>
      <c r="S9" s="18" t="s">
        <v>34</v>
      </c>
      <c r="T9" s="153">
        <v>3.9049999999999998</v>
      </c>
      <c r="U9" s="20" t="s">
        <v>2216</v>
      </c>
      <c r="V9" s="171">
        <v>2.41E-2</v>
      </c>
      <c r="W9" s="172">
        <v>6.3320000000000001E-2</v>
      </c>
      <c r="X9" s="18" t="s">
        <v>447</v>
      </c>
      <c r="Y9" s="18" t="s">
        <v>155</v>
      </c>
      <c r="Z9" s="153">
        <v>204444.44</v>
      </c>
      <c r="AA9" s="173">
        <v>1</v>
      </c>
      <c r="AB9" s="174">
        <v>86.08</v>
      </c>
      <c r="AC9" s="20"/>
      <c r="AD9" s="153">
        <v>175.98599999999999</v>
      </c>
      <c r="AE9" s="20"/>
      <c r="AG9" s="18" t="s">
        <v>36</v>
      </c>
      <c r="AH9" s="164">
        <v>9.8999999999999994E-5</v>
      </c>
      <c r="AI9" s="164">
        <v>5.8532231211372403E-3</v>
      </c>
      <c r="AJ9" s="164">
        <v>4.2722080207345498E-4</v>
      </c>
    </row>
    <row r="10" spans="1:36">
      <c r="A10" s="20">
        <v>1182</v>
      </c>
      <c r="B10" s="20">
        <v>1182</v>
      </c>
      <c r="C10" s="20" t="s">
        <v>2212</v>
      </c>
      <c r="D10" s="20" t="s">
        <v>2213</v>
      </c>
      <c r="E10" s="18" t="s">
        <v>1342</v>
      </c>
      <c r="F10" s="20" t="s">
        <v>2217</v>
      </c>
      <c r="G10" s="20" t="s">
        <v>2218</v>
      </c>
      <c r="H10" s="18" t="s">
        <v>356</v>
      </c>
      <c r="I10" s="20" t="s">
        <v>1000</v>
      </c>
      <c r="J10" s="18" t="s">
        <v>30</v>
      </c>
      <c r="K10" s="18" t="s">
        <v>30</v>
      </c>
      <c r="L10" s="20" t="s">
        <v>362</v>
      </c>
      <c r="M10" s="18" t="s">
        <v>31</v>
      </c>
      <c r="N10" s="20" t="s">
        <v>497</v>
      </c>
      <c r="O10" s="20" t="s">
        <v>155</v>
      </c>
      <c r="P10" s="20" t="s">
        <v>1353</v>
      </c>
      <c r="Q10" s="20" t="s">
        <v>206</v>
      </c>
      <c r="R10" s="20" t="s">
        <v>441</v>
      </c>
      <c r="S10" s="18" t="s">
        <v>34</v>
      </c>
      <c r="T10" s="153">
        <v>6.2430000000000003</v>
      </c>
      <c r="U10" s="20" t="s">
        <v>2219</v>
      </c>
      <c r="V10" s="171">
        <v>4.9399999999999999E-2</v>
      </c>
      <c r="W10" s="172">
        <v>6.6839999999999997E-2</v>
      </c>
      <c r="X10" s="18" t="s">
        <v>447</v>
      </c>
      <c r="Y10" s="18" t="s">
        <v>155</v>
      </c>
      <c r="Z10" s="153">
        <v>235951</v>
      </c>
      <c r="AA10" s="173">
        <v>1</v>
      </c>
      <c r="AB10" s="174">
        <v>92.67</v>
      </c>
      <c r="AC10" s="20"/>
      <c r="AD10" s="153">
        <v>218.65600000000001</v>
      </c>
      <c r="AE10" s="20"/>
      <c r="AG10" s="18" t="s">
        <v>36</v>
      </c>
      <c r="AH10" s="164">
        <v>2.63E-4</v>
      </c>
      <c r="AI10" s="164">
        <v>7.2724124615781904E-3</v>
      </c>
      <c r="AJ10" s="164">
        <v>5.3080598852017996E-4</v>
      </c>
    </row>
    <row r="11" spans="1:36">
      <c r="A11" s="20">
        <v>1182</v>
      </c>
      <c r="B11" s="20">
        <v>1182</v>
      </c>
      <c r="C11" s="20" t="s">
        <v>1808</v>
      </c>
      <c r="D11" s="20" t="s">
        <v>1809</v>
      </c>
      <c r="E11" s="18" t="s">
        <v>1342</v>
      </c>
      <c r="F11" s="20" t="s">
        <v>2220</v>
      </c>
      <c r="G11" s="20" t="s">
        <v>2221</v>
      </c>
      <c r="H11" s="18" t="s">
        <v>356</v>
      </c>
      <c r="I11" s="20" t="s">
        <v>1000</v>
      </c>
      <c r="J11" s="18" t="s">
        <v>30</v>
      </c>
      <c r="K11" s="18" t="s">
        <v>30</v>
      </c>
      <c r="L11" s="20" t="s">
        <v>362</v>
      </c>
      <c r="M11" s="18" t="s">
        <v>31</v>
      </c>
      <c r="N11" s="20" t="s">
        <v>484</v>
      </c>
      <c r="O11" s="20" t="s">
        <v>155</v>
      </c>
      <c r="P11" s="20" t="s">
        <v>1346</v>
      </c>
      <c r="Q11" s="20" t="s">
        <v>206</v>
      </c>
      <c r="R11" s="20" t="s">
        <v>441</v>
      </c>
      <c r="S11" s="18" t="s">
        <v>34</v>
      </c>
      <c r="T11" s="153">
        <v>2.2240000000000002</v>
      </c>
      <c r="U11" s="20" t="s">
        <v>2222</v>
      </c>
      <c r="V11" s="171">
        <v>0.04</v>
      </c>
      <c r="W11" s="172">
        <v>5.774E-2</v>
      </c>
      <c r="X11" s="18" t="s">
        <v>447</v>
      </c>
      <c r="Y11" s="18" t="s">
        <v>155</v>
      </c>
      <c r="Z11" s="153">
        <v>218750.04</v>
      </c>
      <c r="AA11" s="173">
        <v>1</v>
      </c>
      <c r="AB11" s="174">
        <v>96.04</v>
      </c>
      <c r="AC11" s="20"/>
      <c r="AD11" s="153">
        <v>210.08799999999999</v>
      </c>
      <c r="AE11" s="20"/>
      <c r="AG11" s="18" t="s">
        <v>36</v>
      </c>
      <c r="AH11" s="164">
        <v>3.2299999999999999E-4</v>
      </c>
      <c r="AI11" s="164">
        <v>6.9874354597249198E-3</v>
      </c>
      <c r="AJ11" s="164">
        <v>5.1000580701597901E-4</v>
      </c>
    </row>
    <row r="12" spans="1:36">
      <c r="A12" s="20">
        <v>1182</v>
      </c>
      <c r="B12" s="20">
        <v>1182</v>
      </c>
      <c r="C12" s="20" t="s">
        <v>1808</v>
      </c>
      <c r="D12" s="20" t="s">
        <v>1809</v>
      </c>
      <c r="E12" s="18" t="s">
        <v>1342</v>
      </c>
      <c r="F12" s="20" t="s">
        <v>2223</v>
      </c>
      <c r="G12" s="20" t="s">
        <v>2224</v>
      </c>
      <c r="H12" s="18" t="s">
        <v>356</v>
      </c>
      <c r="I12" s="20" t="s">
        <v>1000</v>
      </c>
      <c r="J12" s="18" t="s">
        <v>30</v>
      </c>
      <c r="K12" s="18" t="s">
        <v>30</v>
      </c>
      <c r="L12" s="20" t="s">
        <v>362</v>
      </c>
      <c r="M12" s="18" t="s">
        <v>31</v>
      </c>
      <c r="N12" s="20" t="s">
        <v>484</v>
      </c>
      <c r="O12" s="20" t="s">
        <v>155</v>
      </c>
      <c r="P12" s="20" t="s">
        <v>1346</v>
      </c>
      <c r="Q12" s="20" t="s">
        <v>206</v>
      </c>
      <c r="R12" s="20" t="s">
        <v>441</v>
      </c>
      <c r="S12" s="18" t="s">
        <v>34</v>
      </c>
      <c r="T12" s="153">
        <v>3.7080000000000002</v>
      </c>
      <c r="U12" s="20" t="s">
        <v>2225</v>
      </c>
      <c r="V12" s="171">
        <v>2.07E-2</v>
      </c>
      <c r="W12" s="172">
        <v>5.9970000000000002E-2</v>
      </c>
      <c r="X12" s="18" t="s">
        <v>447</v>
      </c>
      <c r="Y12" s="18" t="s">
        <v>155</v>
      </c>
      <c r="Z12" s="153">
        <v>531401</v>
      </c>
      <c r="AA12" s="173">
        <v>1</v>
      </c>
      <c r="AB12" s="174">
        <v>83.35</v>
      </c>
      <c r="AC12" s="20"/>
      <c r="AD12" s="153">
        <v>442.923</v>
      </c>
      <c r="AE12" s="20"/>
      <c r="AG12" s="18" t="s">
        <v>36</v>
      </c>
      <c r="AH12" s="164">
        <v>1.294E-3</v>
      </c>
      <c r="AI12" s="164">
        <v>1.4731449743810601E-2</v>
      </c>
      <c r="AJ12" s="164">
        <v>1.0752335328766301E-3</v>
      </c>
    </row>
    <row r="13" spans="1:36">
      <c r="A13" s="20">
        <v>1182</v>
      </c>
      <c r="B13" s="20">
        <v>1182</v>
      </c>
      <c r="C13" s="20" t="s">
        <v>2226</v>
      </c>
      <c r="D13" s="20" t="s">
        <v>2227</v>
      </c>
      <c r="E13" s="18" t="s">
        <v>1342</v>
      </c>
      <c r="F13" s="20" t="s">
        <v>2228</v>
      </c>
      <c r="G13" s="20" t="s">
        <v>2229</v>
      </c>
      <c r="H13" s="18" t="s">
        <v>356</v>
      </c>
      <c r="I13" s="20" t="s">
        <v>208</v>
      </c>
      <c r="J13" s="18" t="s">
        <v>30</v>
      </c>
      <c r="K13" s="18" t="s">
        <v>30</v>
      </c>
      <c r="L13" s="20" t="s">
        <v>362</v>
      </c>
      <c r="M13" s="18" t="s">
        <v>31</v>
      </c>
      <c r="N13" s="20" t="s">
        <v>498</v>
      </c>
      <c r="O13" s="20" t="s">
        <v>155</v>
      </c>
      <c r="P13" s="20" t="s">
        <v>2181</v>
      </c>
      <c r="Q13" s="20" t="s">
        <v>101</v>
      </c>
      <c r="R13" s="20" t="s">
        <v>441</v>
      </c>
      <c r="S13" s="18" t="s">
        <v>34</v>
      </c>
      <c r="T13" s="153">
        <v>1.7330000000000001</v>
      </c>
      <c r="U13" s="20" t="s">
        <v>2230</v>
      </c>
      <c r="V13" s="171">
        <v>2.5700000000000001E-2</v>
      </c>
      <c r="W13" s="172">
        <v>3.109E-2</v>
      </c>
      <c r="X13" s="18" t="s">
        <v>447</v>
      </c>
      <c r="Y13" s="18" t="s">
        <v>155</v>
      </c>
      <c r="Z13" s="153">
        <v>910740</v>
      </c>
      <c r="AA13" s="173">
        <v>1</v>
      </c>
      <c r="AB13" s="174">
        <v>116.88</v>
      </c>
      <c r="AC13" s="20"/>
      <c r="AD13" s="153">
        <v>1064.473</v>
      </c>
      <c r="AE13" s="20"/>
      <c r="AG13" s="18" t="s">
        <v>36</v>
      </c>
      <c r="AH13" s="164">
        <v>7.1000000000000002E-4</v>
      </c>
      <c r="AI13" s="164">
        <v>3.5403983631325103E-2</v>
      </c>
      <c r="AJ13" s="164">
        <v>2.5841007544970302E-3</v>
      </c>
    </row>
    <row r="14" spans="1:36">
      <c r="A14" s="20">
        <v>1182</v>
      </c>
      <c r="B14" s="20">
        <v>1182</v>
      </c>
      <c r="C14" s="20" t="s">
        <v>2226</v>
      </c>
      <c r="D14" s="20" t="s">
        <v>2227</v>
      </c>
      <c r="E14" s="18" t="s">
        <v>1342</v>
      </c>
      <c r="F14" s="20" t="s">
        <v>2231</v>
      </c>
      <c r="G14" s="20" t="s">
        <v>2232</v>
      </c>
      <c r="H14" s="18" t="s">
        <v>356</v>
      </c>
      <c r="I14" s="20" t="s">
        <v>208</v>
      </c>
      <c r="J14" s="18" t="s">
        <v>30</v>
      </c>
      <c r="K14" s="18" t="s">
        <v>30</v>
      </c>
      <c r="L14" s="20" t="s">
        <v>362</v>
      </c>
      <c r="M14" s="18" t="s">
        <v>31</v>
      </c>
      <c r="N14" s="20" t="s">
        <v>498</v>
      </c>
      <c r="O14" s="20" t="s">
        <v>155</v>
      </c>
      <c r="P14" s="20" t="s">
        <v>2181</v>
      </c>
      <c r="Q14" s="20" t="s">
        <v>101</v>
      </c>
      <c r="R14" s="20" t="s">
        <v>441</v>
      </c>
      <c r="S14" s="18" t="s">
        <v>34</v>
      </c>
      <c r="T14" s="153">
        <v>3.3610000000000002</v>
      </c>
      <c r="U14" s="20" t="s">
        <v>2233</v>
      </c>
      <c r="V14" s="171">
        <v>1.54E-2</v>
      </c>
      <c r="W14" s="172">
        <v>3.662E-2</v>
      </c>
      <c r="X14" s="18" t="s">
        <v>447</v>
      </c>
      <c r="Y14" s="18" t="s">
        <v>155</v>
      </c>
      <c r="Z14" s="153">
        <v>317000</v>
      </c>
      <c r="AA14" s="173">
        <v>1</v>
      </c>
      <c r="AB14" s="174">
        <v>100.74</v>
      </c>
      <c r="AC14" s="20"/>
      <c r="AD14" s="153">
        <v>319.346</v>
      </c>
      <c r="AE14" s="20"/>
      <c r="AG14" s="18" t="s">
        <v>36</v>
      </c>
      <c r="AH14" s="164">
        <v>5.31E-4</v>
      </c>
      <c r="AI14" s="164">
        <v>1.06213256800399E-2</v>
      </c>
      <c r="AJ14" s="164">
        <v>7.7523975802726395E-4</v>
      </c>
    </row>
    <row r="15" spans="1:36">
      <c r="A15" s="20">
        <v>1182</v>
      </c>
      <c r="B15" s="20">
        <v>1182</v>
      </c>
      <c r="C15" s="20" t="s">
        <v>2226</v>
      </c>
      <c r="D15" s="20" t="s">
        <v>2227</v>
      </c>
      <c r="E15" s="18" t="s">
        <v>1342</v>
      </c>
      <c r="F15" s="20" t="s">
        <v>2234</v>
      </c>
      <c r="G15" s="20" t="s">
        <v>2235</v>
      </c>
      <c r="H15" s="18" t="s">
        <v>356</v>
      </c>
      <c r="I15" s="20" t="s">
        <v>208</v>
      </c>
      <c r="J15" s="18" t="s">
        <v>30</v>
      </c>
      <c r="K15" s="18" t="s">
        <v>30</v>
      </c>
      <c r="L15" s="20" t="s">
        <v>362</v>
      </c>
      <c r="M15" s="18" t="s">
        <v>85</v>
      </c>
      <c r="N15" s="20" t="s">
        <v>498</v>
      </c>
      <c r="O15" s="20" t="s">
        <v>155</v>
      </c>
      <c r="P15" s="20" t="s">
        <v>1346</v>
      </c>
      <c r="Q15" s="20" t="s">
        <v>206</v>
      </c>
      <c r="R15" s="20" t="s">
        <v>441</v>
      </c>
      <c r="S15" s="18" t="s">
        <v>34</v>
      </c>
      <c r="T15" s="153">
        <v>7.1020000000000003</v>
      </c>
      <c r="U15" s="20" t="s">
        <v>2236</v>
      </c>
      <c r="V15" s="171">
        <v>4.02E-2</v>
      </c>
      <c r="W15" s="172">
        <v>3.9660000000000001E-2</v>
      </c>
      <c r="X15" s="18" t="s">
        <v>447</v>
      </c>
      <c r="Y15" s="18" t="s">
        <v>155</v>
      </c>
      <c r="Z15" s="153">
        <v>398000</v>
      </c>
      <c r="AA15" s="173">
        <v>1</v>
      </c>
      <c r="AB15" s="174">
        <v>101.8</v>
      </c>
      <c r="AC15" s="20"/>
      <c r="AD15" s="153">
        <v>405.16399999999999</v>
      </c>
      <c r="AE15" s="20"/>
      <c r="AG15" s="18" t="s">
        <v>36</v>
      </c>
      <c r="AH15" s="164">
        <v>1.137E-3</v>
      </c>
      <c r="AI15" s="164">
        <v>1.34756079391922E-2</v>
      </c>
      <c r="AJ15" s="164">
        <v>9.8357091692252794E-4</v>
      </c>
    </row>
    <row r="16" spans="1:36">
      <c r="A16" s="20">
        <v>1182</v>
      </c>
      <c r="B16" s="20">
        <v>1182</v>
      </c>
      <c r="C16" s="20" t="s">
        <v>2237</v>
      </c>
      <c r="D16" s="20" t="s">
        <v>2238</v>
      </c>
      <c r="E16" s="18" t="s">
        <v>1342</v>
      </c>
      <c r="F16" s="20" t="s">
        <v>2239</v>
      </c>
      <c r="G16" s="20" t="s">
        <v>2240</v>
      </c>
      <c r="H16" s="18" t="s">
        <v>356</v>
      </c>
      <c r="I16" s="20" t="s">
        <v>1000</v>
      </c>
      <c r="J16" s="18" t="s">
        <v>30</v>
      </c>
      <c r="K16" s="18" t="s">
        <v>30</v>
      </c>
      <c r="L16" s="20" t="s">
        <v>362</v>
      </c>
      <c r="M16" s="18" t="s">
        <v>31</v>
      </c>
      <c r="N16" s="20" t="s">
        <v>484</v>
      </c>
      <c r="O16" s="20" t="s">
        <v>155</v>
      </c>
      <c r="P16" s="20" t="s">
        <v>2211</v>
      </c>
      <c r="Q16" s="20" t="s">
        <v>206</v>
      </c>
      <c r="R16" s="20" t="s">
        <v>441</v>
      </c>
      <c r="S16" s="18" t="s">
        <v>34</v>
      </c>
      <c r="T16" s="153">
        <v>5.5060000000000002</v>
      </c>
      <c r="U16" s="20" t="s">
        <v>2241</v>
      </c>
      <c r="V16" s="171">
        <v>5.3100000000000001E-2</v>
      </c>
      <c r="W16" s="172">
        <v>5.9760000000000001E-2</v>
      </c>
      <c r="X16" s="18" t="s">
        <v>447</v>
      </c>
      <c r="Y16" s="18" t="s">
        <v>155</v>
      </c>
      <c r="Z16" s="153">
        <v>99000</v>
      </c>
      <c r="AA16" s="173">
        <v>1</v>
      </c>
      <c r="AB16" s="174">
        <v>97.42</v>
      </c>
      <c r="AC16" s="20"/>
      <c r="AD16" s="153">
        <v>96.445999999999998</v>
      </c>
      <c r="AE16" s="20"/>
      <c r="AG16" s="18" t="s">
        <v>36</v>
      </c>
      <c r="AH16" s="164">
        <v>3.1100000000000002E-4</v>
      </c>
      <c r="AI16" s="164">
        <v>3.2077523871364201E-3</v>
      </c>
      <c r="AJ16" s="164">
        <v>2.3413058400876399E-4</v>
      </c>
    </row>
    <row r="17" spans="1:36">
      <c r="A17" s="20">
        <v>1182</v>
      </c>
      <c r="B17" s="20">
        <v>1182</v>
      </c>
      <c r="C17" s="20" t="s">
        <v>2242</v>
      </c>
      <c r="D17" s="20" t="s">
        <v>2243</v>
      </c>
      <c r="E17" s="18" t="s">
        <v>1342</v>
      </c>
      <c r="F17" s="20" t="s">
        <v>2244</v>
      </c>
      <c r="G17" s="20" t="s">
        <v>2245</v>
      </c>
      <c r="H17" s="18" t="s">
        <v>356</v>
      </c>
      <c r="I17" s="20" t="s">
        <v>208</v>
      </c>
      <c r="J17" s="18" t="s">
        <v>30</v>
      </c>
      <c r="K17" s="18" t="s">
        <v>30</v>
      </c>
      <c r="L17" s="20" t="s">
        <v>362</v>
      </c>
      <c r="M17" s="18" t="s">
        <v>31</v>
      </c>
      <c r="N17" s="20" t="s">
        <v>497</v>
      </c>
      <c r="O17" s="20" t="s">
        <v>155</v>
      </c>
      <c r="P17" s="20" t="s">
        <v>2181</v>
      </c>
      <c r="Q17" s="20" t="s">
        <v>206</v>
      </c>
      <c r="R17" s="20" t="s">
        <v>441</v>
      </c>
      <c r="S17" s="18" t="s">
        <v>34</v>
      </c>
      <c r="T17" s="153">
        <v>5.99</v>
      </c>
      <c r="U17" s="20" t="s">
        <v>2246</v>
      </c>
      <c r="V17" s="171">
        <v>3.6799999999999999E-2</v>
      </c>
      <c r="W17" s="172">
        <v>4.0779999999999997E-2</v>
      </c>
      <c r="X17" s="18" t="s">
        <v>447</v>
      </c>
      <c r="Y17" s="18" t="s">
        <v>155</v>
      </c>
      <c r="Z17" s="153">
        <v>444000</v>
      </c>
      <c r="AA17" s="173">
        <v>1</v>
      </c>
      <c r="AB17" s="174">
        <v>102.26</v>
      </c>
      <c r="AC17" s="20"/>
      <c r="AD17" s="153">
        <v>454.03399999999999</v>
      </c>
      <c r="AE17" s="20"/>
      <c r="AG17" s="18" t="s">
        <v>36</v>
      </c>
      <c r="AH17" s="164">
        <v>1.8220000000000001E-3</v>
      </c>
      <c r="AI17" s="164">
        <v>1.5101019748315099E-2</v>
      </c>
      <c r="AJ17" s="164">
        <v>1.1022080716015499E-3</v>
      </c>
    </row>
    <row r="18" spans="1:36">
      <c r="A18" s="20">
        <v>1182</v>
      </c>
      <c r="B18" s="20">
        <v>1182</v>
      </c>
      <c r="C18" s="20" t="s">
        <v>2242</v>
      </c>
      <c r="D18" s="20" t="s">
        <v>2243</v>
      </c>
      <c r="E18" s="18" t="s">
        <v>1342</v>
      </c>
      <c r="F18" s="20" t="s">
        <v>2247</v>
      </c>
      <c r="G18" s="20" t="s">
        <v>2248</v>
      </c>
      <c r="H18" s="18" t="s">
        <v>356</v>
      </c>
      <c r="I18" s="20" t="s">
        <v>208</v>
      </c>
      <c r="J18" s="18" t="s">
        <v>30</v>
      </c>
      <c r="K18" s="18" t="s">
        <v>30</v>
      </c>
      <c r="L18" s="20" t="s">
        <v>362</v>
      </c>
      <c r="M18" s="18" t="s">
        <v>31</v>
      </c>
      <c r="N18" s="20" t="s">
        <v>497</v>
      </c>
      <c r="O18" s="20" t="s">
        <v>155</v>
      </c>
      <c r="P18" s="20" t="s">
        <v>2181</v>
      </c>
      <c r="Q18" s="20" t="s">
        <v>206</v>
      </c>
      <c r="R18" s="20" t="s">
        <v>441</v>
      </c>
      <c r="S18" s="18" t="s">
        <v>34</v>
      </c>
      <c r="T18" s="153">
        <v>1.302</v>
      </c>
      <c r="U18" s="20" t="s">
        <v>2249</v>
      </c>
      <c r="V18" s="171">
        <v>3.4599999999999999E-2</v>
      </c>
      <c r="W18" s="172">
        <v>2.785E-2</v>
      </c>
      <c r="X18" s="18" t="s">
        <v>447</v>
      </c>
      <c r="Y18" s="18" t="s">
        <v>155</v>
      </c>
      <c r="Z18" s="153">
        <v>231818.18</v>
      </c>
      <c r="AA18" s="173">
        <v>1</v>
      </c>
      <c r="AB18" s="174">
        <v>118.52</v>
      </c>
      <c r="AC18" s="20"/>
      <c r="AD18" s="153">
        <v>274.75099999999998</v>
      </c>
      <c r="AE18" s="20"/>
      <c r="AG18" s="18" t="s">
        <v>36</v>
      </c>
      <c r="AH18" s="164">
        <v>6.6399999999999999E-4</v>
      </c>
      <c r="AI18" s="164">
        <v>9.1381156835429796E-3</v>
      </c>
      <c r="AJ18" s="164">
        <v>6.6698176901288796E-4</v>
      </c>
    </row>
    <row r="19" spans="1:36">
      <c r="A19" s="20">
        <v>1182</v>
      </c>
      <c r="B19" s="20">
        <v>1182</v>
      </c>
      <c r="C19" s="20" t="s">
        <v>1836</v>
      </c>
      <c r="D19" s="20" t="s">
        <v>1837</v>
      </c>
      <c r="E19" s="18" t="s">
        <v>1342</v>
      </c>
      <c r="F19" s="20" t="s">
        <v>2250</v>
      </c>
      <c r="G19" s="20" t="s">
        <v>2251</v>
      </c>
      <c r="H19" s="18" t="s">
        <v>356</v>
      </c>
      <c r="I19" s="20" t="s">
        <v>1000</v>
      </c>
      <c r="J19" s="18" t="s">
        <v>30</v>
      </c>
      <c r="K19" s="18" t="s">
        <v>30</v>
      </c>
      <c r="L19" s="20" t="s">
        <v>362</v>
      </c>
      <c r="M19" s="18" t="s">
        <v>31</v>
      </c>
      <c r="N19" s="20" t="s">
        <v>473</v>
      </c>
      <c r="O19" s="20" t="s">
        <v>155</v>
      </c>
      <c r="P19" s="20" t="s">
        <v>1346</v>
      </c>
      <c r="Q19" s="20" t="s">
        <v>206</v>
      </c>
      <c r="R19" s="20" t="s">
        <v>441</v>
      </c>
      <c r="S19" s="18" t="s">
        <v>34</v>
      </c>
      <c r="T19" s="153">
        <v>2.3109999999999999</v>
      </c>
      <c r="U19" s="20" t="s">
        <v>2252</v>
      </c>
      <c r="V19" s="171">
        <v>2.7E-2</v>
      </c>
      <c r="W19" s="172">
        <v>5.9020000000000003E-2</v>
      </c>
      <c r="X19" s="18" t="s">
        <v>447</v>
      </c>
      <c r="Y19" s="18" t="s">
        <v>155</v>
      </c>
      <c r="Z19" s="153">
        <v>193750</v>
      </c>
      <c r="AA19" s="173">
        <v>1</v>
      </c>
      <c r="AB19" s="174">
        <v>93.07</v>
      </c>
      <c r="AC19" s="20"/>
      <c r="AD19" s="153">
        <v>180.32300000000001</v>
      </c>
      <c r="AE19" s="20"/>
      <c r="AG19" s="18" t="s">
        <v>36</v>
      </c>
      <c r="AH19" s="164">
        <v>2.8400000000000002E-4</v>
      </c>
      <c r="AI19" s="164">
        <v>5.9974818465360702E-3</v>
      </c>
      <c r="AJ19" s="164">
        <v>4.3775009970921798E-4</v>
      </c>
    </row>
    <row r="20" spans="1:36">
      <c r="A20" s="2">
        <v>1182</v>
      </c>
      <c r="B20" s="2">
        <v>1182</v>
      </c>
      <c r="C20" s="2" t="s">
        <v>2253</v>
      </c>
      <c r="D20" s="2" t="s">
        <v>2254</v>
      </c>
      <c r="E20" s="18" t="s">
        <v>1342</v>
      </c>
      <c r="F20" s="2" t="s">
        <v>2255</v>
      </c>
      <c r="G20" s="2" t="s">
        <v>2256</v>
      </c>
      <c r="H20" s="18" t="s">
        <v>356</v>
      </c>
      <c r="I20" s="20" t="s">
        <v>1000</v>
      </c>
      <c r="J20" s="18" t="s">
        <v>30</v>
      </c>
      <c r="K20" s="18" t="s">
        <v>30</v>
      </c>
      <c r="L20" s="20" t="s">
        <v>362</v>
      </c>
      <c r="M20" s="18" t="s">
        <v>85</v>
      </c>
      <c r="N20" s="20" t="s">
        <v>518</v>
      </c>
      <c r="O20" s="20" t="s">
        <v>155</v>
      </c>
      <c r="P20" s="2" t="s">
        <v>2192</v>
      </c>
      <c r="Q20" s="20" t="s">
        <v>101</v>
      </c>
      <c r="R20" s="20" t="s">
        <v>441</v>
      </c>
      <c r="S20" s="2" t="s">
        <v>34</v>
      </c>
      <c r="T20" s="151">
        <v>4.5069999999999997</v>
      </c>
      <c r="U20" s="2" t="s">
        <v>2257</v>
      </c>
      <c r="V20" s="162">
        <v>5.5E-2</v>
      </c>
      <c r="W20" s="164">
        <v>6.1679999999999999E-2</v>
      </c>
      <c r="X20" s="18" t="s">
        <v>447</v>
      </c>
      <c r="Y20" s="18" t="s">
        <v>155</v>
      </c>
      <c r="Z20" s="151">
        <v>646389.79</v>
      </c>
      <c r="AA20" s="158">
        <v>1</v>
      </c>
      <c r="AB20" s="175">
        <v>97.66</v>
      </c>
      <c r="AD20" s="151">
        <v>631.26400000000001</v>
      </c>
      <c r="AG20" s="2" t="s">
        <v>36</v>
      </c>
      <c r="AH20" s="164">
        <v>6.4099999999999997E-4</v>
      </c>
      <c r="AI20" s="164">
        <v>2.0995621017429598E-2</v>
      </c>
      <c r="AJ20" s="164">
        <v>1.53244902260855E-3</v>
      </c>
    </row>
    <row r="21" spans="1:36">
      <c r="A21" s="2">
        <v>1182</v>
      </c>
      <c r="B21" s="2">
        <v>1182</v>
      </c>
      <c r="C21" s="2" t="s">
        <v>1844</v>
      </c>
      <c r="D21" s="2" t="s">
        <v>1845</v>
      </c>
      <c r="E21" s="4" t="s">
        <v>1342</v>
      </c>
      <c r="F21" s="2" t="s">
        <v>2258</v>
      </c>
      <c r="G21" s="2" t="s">
        <v>2259</v>
      </c>
      <c r="H21" s="4" t="s">
        <v>356</v>
      </c>
      <c r="I21" s="2" t="s">
        <v>208</v>
      </c>
      <c r="J21" s="2" t="s">
        <v>30</v>
      </c>
      <c r="K21" s="2" t="s">
        <v>30</v>
      </c>
      <c r="L21" s="2" t="s">
        <v>362</v>
      </c>
      <c r="M21" s="4" t="s">
        <v>31</v>
      </c>
      <c r="N21" s="2" t="s">
        <v>497</v>
      </c>
      <c r="O21" s="2" t="s">
        <v>155</v>
      </c>
      <c r="P21" s="2" t="s">
        <v>1353</v>
      </c>
      <c r="Q21" s="2" t="s">
        <v>101</v>
      </c>
      <c r="R21" s="2" t="s">
        <v>441</v>
      </c>
      <c r="S21" s="2" t="s">
        <v>34</v>
      </c>
      <c r="T21" s="151">
        <v>4.4729999999999999</v>
      </c>
      <c r="U21" s="2" t="s">
        <v>2260</v>
      </c>
      <c r="V21" s="162">
        <v>1.17E-2</v>
      </c>
      <c r="W21" s="164">
        <v>3.1579999999999997E-2</v>
      </c>
      <c r="X21" s="4" t="s">
        <v>447</v>
      </c>
      <c r="Y21" s="4" t="s">
        <v>155</v>
      </c>
      <c r="Z21" s="151">
        <v>190888.24</v>
      </c>
      <c r="AA21" s="158">
        <v>1</v>
      </c>
      <c r="AB21" s="175">
        <v>105.29</v>
      </c>
      <c r="AD21" s="151">
        <v>200.98599999999999</v>
      </c>
      <c r="AG21" s="2" t="s">
        <v>36</v>
      </c>
      <c r="AH21" s="164">
        <v>2.7700000000000001E-4</v>
      </c>
      <c r="AI21" s="164">
        <v>6.68472916721037E-3</v>
      </c>
      <c r="AJ21" s="164">
        <v>4.87911582619554E-4</v>
      </c>
    </row>
    <row r="22" spans="1:36">
      <c r="A22" s="2">
        <v>1182</v>
      </c>
      <c r="B22" s="2">
        <v>1182</v>
      </c>
      <c r="C22" s="2" t="s">
        <v>1844</v>
      </c>
      <c r="D22" s="2" t="s">
        <v>1845</v>
      </c>
      <c r="E22" s="4" t="s">
        <v>1342</v>
      </c>
      <c r="F22" s="2" t="s">
        <v>2261</v>
      </c>
      <c r="G22" s="2" t="s">
        <v>2262</v>
      </c>
      <c r="H22" s="4" t="s">
        <v>356</v>
      </c>
      <c r="I22" s="2" t="s">
        <v>208</v>
      </c>
      <c r="J22" s="2" t="s">
        <v>30</v>
      </c>
      <c r="K22" s="2" t="s">
        <v>30</v>
      </c>
      <c r="L22" s="2" t="s">
        <v>362</v>
      </c>
      <c r="M22" s="4" t="s">
        <v>31</v>
      </c>
      <c r="N22" s="2" t="s">
        <v>497</v>
      </c>
      <c r="O22" s="2" t="s">
        <v>155</v>
      </c>
      <c r="P22" s="2" t="s">
        <v>1353</v>
      </c>
      <c r="Q22" s="2" t="s">
        <v>101</v>
      </c>
      <c r="R22" s="2" t="s">
        <v>441</v>
      </c>
      <c r="S22" s="2" t="s">
        <v>34</v>
      </c>
      <c r="T22" s="151">
        <v>4.3570000000000002</v>
      </c>
      <c r="U22" s="2" t="s">
        <v>2233</v>
      </c>
      <c r="V22" s="162">
        <v>1.3299999999999999E-2</v>
      </c>
      <c r="W22" s="164">
        <v>3.1530000000000002E-2</v>
      </c>
      <c r="X22" s="4" t="s">
        <v>447</v>
      </c>
      <c r="Y22" s="4" t="s">
        <v>155</v>
      </c>
      <c r="Z22" s="151">
        <v>161500</v>
      </c>
      <c r="AA22" s="158">
        <v>1</v>
      </c>
      <c r="AB22" s="175">
        <v>106.76</v>
      </c>
      <c r="AD22" s="151">
        <v>172.417</v>
      </c>
      <c r="AG22" s="2" t="s">
        <v>36</v>
      </c>
      <c r="AH22" s="164">
        <v>1.36E-4</v>
      </c>
      <c r="AI22" s="164">
        <v>5.7345402955219903E-3</v>
      </c>
      <c r="AJ22" s="164">
        <v>4.1855826334866397E-4</v>
      </c>
    </row>
    <row r="23" spans="1:36">
      <c r="A23" s="2">
        <v>1182</v>
      </c>
      <c r="B23" s="2">
        <v>1182</v>
      </c>
      <c r="C23" s="2" t="s">
        <v>1836</v>
      </c>
      <c r="D23" s="2" t="s">
        <v>1837</v>
      </c>
      <c r="E23" s="4" t="s">
        <v>1342</v>
      </c>
      <c r="F23" s="2" t="s">
        <v>2263</v>
      </c>
      <c r="G23" s="2" t="s">
        <v>2264</v>
      </c>
      <c r="H23" s="4" t="s">
        <v>356</v>
      </c>
      <c r="I23" s="2" t="s">
        <v>1000</v>
      </c>
      <c r="J23" s="2" t="s">
        <v>30</v>
      </c>
      <c r="K23" s="2" t="s">
        <v>30</v>
      </c>
      <c r="L23" s="2" t="s">
        <v>362</v>
      </c>
      <c r="M23" s="2" t="s">
        <v>31</v>
      </c>
      <c r="N23" s="2" t="s">
        <v>473</v>
      </c>
      <c r="O23" s="2" t="s">
        <v>155</v>
      </c>
      <c r="P23" s="2" t="s">
        <v>1346</v>
      </c>
      <c r="Q23" s="2" t="s">
        <v>206</v>
      </c>
      <c r="R23" s="2" t="s">
        <v>441</v>
      </c>
      <c r="S23" s="2" t="s">
        <v>34</v>
      </c>
      <c r="T23" s="151">
        <v>4.0220000000000002</v>
      </c>
      <c r="U23" s="2" t="s">
        <v>2265</v>
      </c>
      <c r="V23" s="162">
        <v>5.7500000000000002E-2</v>
      </c>
      <c r="W23" s="164">
        <v>6.4329999999999998E-2</v>
      </c>
      <c r="X23" s="4" t="s">
        <v>447</v>
      </c>
      <c r="Y23" s="4" t="s">
        <v>155</v>
      </c>
      <c r="Z23" s="151">
        <v>353711</v>
      </c>
      <c r="AA23" s="158">
        <v>1</v>
      </c>
      <c r="AB23" s="175">
        <v>97.51</v>
      </c>
      <c r="AD23" s="151">
        <v>344.904</v>
      </c>
      <c r="AG23" s="2" t="s">
        <v>36</v>
      </c>
      <c r="AH23" s="164">
        <v>6.7400000000000001E-4</v>
      </c>
      <c r="AI23" s="164">
        <v>1.14713687244204E-2</v>
      </c>
      <c r="AJ23" s="164">
        <v>8.3728353522512895E-4</v>
      </c>
    </row>
    <row r="24" spans="1:36">
      <c r="A24" s="2">
        <v>1182</v>
      </c>
      <c r="B24" s="2">
        <v>1182</v>
      </c>
      <c r="C24" s="2" t="s">
        <v>2266</v>
      </c>
      <c r="D24" s="2" t="s">
        <v>2267</v>
      </c>
      <c r="E24" s="4" t="s">
        <v>1342</v>
      </c>
      <c r="F24" s="2" t="s">
        <v>2268</v>
      </c>
      <c r="G24" s="2" t="s">
        <v>2269</v>
      </c>
      <c r="H24" s="2" t="s">
        <v>356</v>
      </c>
      <c r="I24" s="2" t="s">
        <v>1000</v>
      </c>
      <c r="J24" s="2" t="s">
        <v>30</v>
      </c>
      <c r="K24" s="2" t="s">
        <v>30</v>
      </c>
      <c r="L24" s="2" t="s">
        <v>362</v>
      </c>
      <c r="M24" s="2" t="s">
        <v>31</v>
      </c>
      <c r="N24" s="2" t="s">
        <v>497</v>
      </c>
      <c r="O24" s="2" t="s">
        <v>155</v>
      </c>
      <c r="P24" s="2" t="s">
        <v>2211</v>
      </c>
      <c r="Q24" s="2" t="s">
        <v>206</v>
      </c>
      <c r="R24" s="2" t="s">
        <v>441</v>
      </c>
      <c r="S24" s="2" t="s">
        <v>34</v>
      </c>
      <c r="T24" s="151">
        <v>5.14</v>
      </c>
      <c r="U24" s="2" t="s">
        <v>2270</v>
      </c>
      <c r="V24" s="162">
        <v>2.5499999999999998E-2</v>
      </c>
      <c r="W24" s="164">
        <v>6.0060000000000002E-2</v>
      </c>
      <c r="X24" s="4" t="s">
        <v>447</v>
      </c>
      <c r="Y24" s="4" t="s">
        <v>155</v>
      </c>
      <c r="Z24" s="151">
        <v>108506.68</v>
      </c>
      <c r="AA24" s="158">
        <v>1</v>
      </c>
      <c r="AB24" s="175">
        <v>84.61</v>
      </c>
      <c r="AD24" s="151">
        <v>91.808000000000007</v>
      </c>
      <c r="AG24" s="2" t="s">
        <v>36</v>
      </c>
      <c r="AH24" s="164">
        <v>6.3E-5</v>
      </c>
      <c r="AI24" s="164">
        <v>3.0534842733507101E-3</v>
      </c>
      <c r="AJ24" s="164">
        <v>2.22870711295577E-4</v>
      </c>
    </row>
    <row r="25" spans="1:36">
      <c r="A25" s="2">
        <v>1182</v>
      </c>
      <c r="B25" s="2">
        <v>1182</v>
      </c>
      <c r="C25" s="2" t="s">
        <v>2266</v>
      </c>
      <c r="D25" s="2" t="s">
        <v>2267</v>
      </c>
      <c r="E25" s="4" t="s">
        <v>1342</v>
      </c>
      <c r="F25" s="2" t="s">
        <v>2271</v>
      </c>
      <c r="G25" s="2" t="s">
        <v>2272</v>
      </c>
      <c r="H25" s="2" t="s">
        <v>356</v>
      </c>
      <c r="I25" s="2" t="s">
        <v>208</v>
      </c>
      <c r="J25" s="2" t="s">
        <v>30</v>
      </c>
      <c r="K25" s="2" t="s">
        <v>30</v>
      </c>
      <c r="L25" s="2" t="s">
        <v>362</v>
      </c>
      <c r="M25" s="2" t="s">
        <v>31</v>
      </c>
      <c r="N25" s="2" t="s">
        <v>497</v>
      </c>
      <c r="O25" s="2" t="s">
        <v>155</v>
      </c>
      <c r="P25" s="2" t="s">
        <v>2211</v>
      </c>
      <c r="Q25" s="2" t="s">
        <v>206</v>
      </c>
      <c r="R25" s="2" t="s">
        <v>441</v>
      </c>
      <c r="S25" s="2" t="s">
        <v>34</v>
      </c>
      <c r="T25" s="151">
        <v>3.9689999999999999</v>
      </c>
      <c r="U25" s="2" t="s">
        <v>2273</v>
      </c>
      <c r="V25" s="162">
        <v>5.0000000000000001E-3</v>
      </c>
      <c r="W25" s="164">
        <v>3.1890000000000002E-2</v>
      </c>
      <c r="X25" s="4" t="s">
        <v>447</v>
      </c>
      <c r="Y25" s="4" t="s">
        <v>155</v>
      </c>
      <c r="Z25" s="151">
        <v>65501.11</v>
      </c>
      <c r="AA25" s="158">
        <v>1</v>
      </c>
      <c r="AB25" s="175">
        <v>103.53</v>
      </c>
      <c r="AD25" s="151">
        <v>67.813000000000002</v>
      </c>
      <c r="AG25" s="2" t="s">
        <v>36</v>
      </c>
      <c r="AH25" s="164">
        <v>4.1E-5</v>
      </c>
      <c r="AI25" s="164">
        <v>2.2554457771501099E-3</v>
      </c>
      <c r="AJ25" s="164">
        <v>1.6462269317354199E-4</v>
      </c>
    </row>
    <row r="26" spans="1:36">
      <c r="A26" s="2">
        <v>1182</v>
      </c>
      <c r="B26" s="2">
        <v>1182</v>
      </c>
      <c r="C26" s="2" t="s">
        <v>2266</v>
      </c>
      <c r="D26" s="2" t="s">
        <v>2267</v>
      </c>
      <c r="E26" s="4" t="s">
        <v>1342</v>
      </c>
      <c r="F26" s="2" t="s">
        <v>2274</v>
      </c>
      <c r="G26" s="2" t="s">
        <v>2275</v>
      </c>
      <c r="H26" s="2" t="s">
        <v>356</v>
      </c>
      <c r="I26" s="2" t="s">
        <v>208</v>
      </c>
      <c r="J26" s="2" t="s">
        <v>30</v>
      </c>
      <c r="K26" s="2" t="s">
        <v>30</v>
      </c>
      <c r="L26" s="2" t="s">
        <v>362</v>
      </c>
      <c r="M26" s="2" t="s">
        <v>31</v>
      </c>
      <c r="N26" s="2" t="s">
        <v>497</v>
      </c>
      <c r="O26" s="2" t="s">
        <v>155</v>
      </c>
      <c r="P26" s="2" t="s">
        <v>2211</v>
      </c>
      <c r="Q26" s="2" t="s">
        <v>206</v>
      </c>
      <c r="R26" s="2" t="s">
        <v>441</v>
      </c>
      <c r="S26" s="2" t="s">
        <v>34</v>
      </c>
      <c r="T26" s="151">
        <v>5.1369999999999996</v>
      </c>
      <c r="U26" s="2" t="s">
        <v>2276</v>
      </c>
      <c r="V26" s="162">
        <v>5.8999999999999999E-3</v>
      </c>
      <c r="W26" s="164">
        <v>3.3239999999999999E-2</v>
      </c>
      <c r="X26" s="4" t="s">
        <v>447</v>
      </c>
      <c r="Y26" s="4" t="s">
        <v>155</v>
      </c>
      <c r="Z26" s="151">
        <v>559140</v>
      </c>
      <c r="AA26" s="158">
        <v>1</v>
      </c>
      <c r="AB26" s="175">
        <v>97.54</v>
      </c>
      <c r="AD26" s="151">
        <v>545.38499999999999</v>
      </c>
      <c r="AG26" s="2" t="s">
        <v>36</v>
      </c>
      <c r="AH26" s="164">
        <v>3.9899999999999999E-4</v>
      </c>
      <c r="AI26" s="164">
        <v>1.8139312816812799E-2</v>
      </c>
      <c r="AJ26" s="164">
        <v>1.32396999230646E-3</v>
      </c>
    </row>
    <row r="27" spans="1:36">
      <c r="A27" s="2">
        <v>1182</v>
      </c>
      <c r="B27" s="2">
        <v>1182</v>
      </c>
      <c r="C27" s="2" t="s">
        <v>2266</v>
      </c>
      <c r="D27" s="2" t="s">
        <v>2267</v>
      </c>
      <c r="E27" s="4" t="s">
        <v>1342</v>
      </c>
      <c r="F27" s="2" t="s">
        <v>2277</v>
      </c>
      <c r="G27" s="2" t="s">
        <v>2278</v>
      </c>
      <c r="H27" s="2" t="s">
        <v>356</v>
      </c>
      <c r="I27" s="2" t="s">
        <v>208</v>
      </c>
      <c r="J27" s="2" t="s">
        <v>30</v>
      </c>
      <c r="K27" s="2" t="s">
        <v>30</v>
      </c>
      <c r="L27" s="2" t="s">
        <v>362</v>
      </c>
      <c r="M27" s="2" t="s">
        <v>85</v>
      </c>
      <c r="N27" s="2" t="s">
        <v>497</v>
      </c>
      <c r="O27" s="2" t="s">
        <v>155</v>
      </c>
      <c r="P27" s="2" t="s">
        <v>2211</v>
      </c>
      <c r="Q27" s="2" t="s">
        <v>206</v>
      </c>
      <c r="R27" s="2" t="s">
        <v>441</v>
      </c>
      <c r="S27" s="2" t="s">
        <v>34</v>
      </c>
      <c r="T27" s="151">
        <v>3.6840000000000002</v>
      </c>
      <c r="U27" s="2" t="s">
        <v>2279</v>
      </c>
      <c r="V27" s="162">
        <v>3.3399999999999999E-2</v>
      </c>
      <c r="W27" s="164">
        <v>3.0720000000000001E-2</v>
      </c>
      <c r="X27" s="4" t="s">
        <v>447</v>
      </c>
      <c r="Y27" s="4" t="s">
        <v>155</v>
      </c>
      <c r="Z27" s="151">
        <v>396039</v>
      </c>
      <c r="AA27" s="158">
        <v>1</v>
      </c>
      <c r="AB27" s="175">
        <v>103.53</v>
      </c>
      <c r="AD27" s="151">
        <v>410.01900000000001</v>
      </c>
      <c r="AG27" s="2" t="s">
        <v>36</v>
      </c>
      <c r="AH27" s="164">
        <v>5.3300000000000005E-4</v>
      </c>
      <c r="AI27" s="164">
        <v>1.3637089358283399E-2</v>
      </c>
      <c r="AJ27" s="164">
        <v>9.9535728145303893E-4</v>
      </c>
    </row>
    <row r="28" spans="1:36">
      <c r="A28" s="2">
        <v>1182</v>
      </c>
      <c r="B28" s="2">
        <v>1182</v>
      </c>
      <c r="C28" s="2" t="s">
        <v>2266</v>
      </c>
      <c r="D28" s="2" t="s">
        <v>2267</v>
      </c>
      <c r="E28" s="4" t="s">
        <v>1342</v>
      </c>
      <c r="F28" s="2" t="s">
        <v>2280</v>
      </c>
      <c r="G28" s="2" t="s">
        <v>2281</v>
      </c>
      <c r="H28" s="2" t="s">
        <v>356</v>
      </c>
      <c r="I28" s="2" t="s">
        <v>208</v>
      </c>
      <c r="J28" s="2" t="s">
        <v>30</v>
      </c>
      <c r="K28" s="2" t="s">
        <v>30</v>
      </c>
      <c r="L28" s="2" t="s">
        <v>362</v>
      </c>
      <c r="M28" s="2" t="s">
        <v>31</v>
      </c>
      <c r="N28" s="2" t="s">
        <v>497</v>
      </c>
      <c r="O28" s="2" t="s">
        <v>155</v>
      </c>
      <c r="P28" s="2" t="s">
        <v>2211</v>
      </c>
      <c r="Q28" s="2" t="s">
        <v>206</v>
      </c>
      <c r="R28" s="2" t="s">
        <v>441</v>
      </c>
      <c r="S28" s="2" t="s">
        <v>34</v>
      </c>
      <c r="T28" s="151">
        <v>0.85199999999999998</v>
      </c>
      <c r="U28" s="2" t="s">
        <v>2282</v>
      </c>
      <c r="V28" s="162">
        <v>4.7500000000000001E-2</v>
      </c>
      <c r="W28" s="164">
        <v>2.555E-2</v>
      </c>
      <c r="X28" s="4" t="s">
        <v>447</v>
      </c>
      <c r="Y28" s="4" t="s">
        <v>155</v>
      </c>
      <c r="Z28" s="151">
        <v>180177.47</v>
      </c>
      <c r="AA28" s="158">
        <v>1</v>
      </c>
      <c r="AB28" s="175">
        <v>142.99</v>
      </c>
      <c r="AD28" s="151">
        <v>257.63600000000002</v>
      </c>
      <c r="AG28" s="2" t="s">
        <v>36</v>
      </c>
      <c r="AH28" s="164">
        <v>1.8900000000000001E-4</v>
      </c>
      <c r="AI28" s="164">
        <v>8.56887223824211E-3</v>
      </c>
      <c r="AJ28" s="164">
        <v>6.2543326893977898E-4</v>
      </c>
    </row>
    <row r="29" spans="1:36">
      <c r="A29" s="2">
        <v>1182</v>
      </c>
      <c r="B29" s="2">
        <v>1182</v>
      </c>
      <c r="C29" s="2" t="s">
        <v>2283</v>
      </c>
      <c r="D29" s="2" t="s">
        <v>2284</v>
      </c>
      <c r="E29" s="4" t="s">
        <v>1342</v>
      </c>
      <c r="F29" s="2" t="s">
        <v>2285</v>
      </c>
      <c r="G29" s="2" t="s">
        <v>2286</v>
      </c>
      <c r="H29" s="2" t="s">
        <v>356</v>
      </c>
      <c r="I29" s="2" t="s">
        <v>208</v>
      </c>
      <c r="J29" s="2" t="s">
        <v>30</v>
      </c>
      <c r="K29" s="2" t="s">
        <v>30</v>
      </c>
      <c r="L29" s="2" t="s">
        <v>362</v>
      </c>
      <c r="M29" s="2" t="s">
        <v>31</v>
      </c>
      <c r="N29" s="2" t="s">
        <v>484</v>
      </c>
      <c r="O29" s="2" t="s">
        <v>155</v>
      </c>
      <c r="P29" s="2" t="s">
        <v>1346</v>
      </c>
      <c r="Q29" s="2" t="s">
        <v>206</v>
      </c>
      <c r="R29" s="2" t="s">
        <v>441</v>
      </c>
      <c r="S29" s="2" t="s">
        <v>34</v>
      </c>
      <c r="T29" s="151">
        <v>4.702</v>
      </c>
      <c r="U29" s="2" t="s">
        <v>2287</v>
      </c>
      <c r="V29" s="162">
        <v>7.4999999999999997E-3</v>
      </c>
      <c r="W29" s="164">
        <v>3.6729999999999999E-2</v>
      </c>
      <c r="X29" s="4" t="s">
        <v>447</v>
      </c>
      <c r="Y29" s="4" t="s">
        <v>155</v>
      </c>
      <c r="Z29" s="151">
        <v>183457.8</v>
      </c>
      <c r="AA29" s="158">
        <v>1</v>
      </c>
      <c r="AB29" s="175">
        <v>97.72</v>
      </c>
      <c r="AD29" s="151">
        <v>179.27500000000001</v>
      </c>
      <c r="AG29" s="2" t="s">
        <v>36</v>
      </c>
      <c r="AH29" s="164">
        <v>1.75E-4</v>
      </c>
      <c r="AI29" s="164">
        <v>5.9626203299939498E-3</v>
      </c>
      <c r="AJ29" s="164">
        <v>4.3520559307579798E-4</v>
      </c>
    </row>
    <row r="30" spans="1:36">
      <c r="A30" s="2">
        <v>1182</v>
      </c>
      <c r="B30" s="2">
        <v>1182</v>
      </c>
      <c r="C30" s="2" t="s">
        <v>2288</v>
      </c>
      <c r="D30" s="2" t="s">
        <v>2289</v>
      </c>
      <c r="E30" s="4" t="s">
        <v>1342</v>
      </c>
      <c r="F30" s="2" t="s">
        <v>2290</v>
      </c>
      <c r="G30" s="2" t="s">
        <v>2291</v>
      </c>
      <c r="H30" s="2" t="s">
        <v>356</v>
      </c>
      <c r="I30" s="2" t="s">
        <v>208</v>
      </c>
      <c r="J30" s="2" t="s">
        <v>30</v>
      </c>
      <c r="K30" s="2" t="s">
        <v>30</v>
      </c>
      <c r="L30" s="2" t="s">
        <v>362</v>
      </c>
      <c r="M30" s="2" t="s">
        <v>31</v>
      </c>
      <c r="N30" s="2" t="s">
        <v>481</v>
      </c>
      <c r="O30" s="2" t="s">
        <v>155</v>
      </c>
      <c r="P30" s="2" t="s">
        <v>100</v>
      </c>
      <c r="Q30" s="2" t="s">
        <v>206</v>
      </c>
      <c r="R30" s="2" t="s">
        <v>441</v>
      </c>
      <c r="S30" s="2" t="s">
        <v>34</v>
      </c>
      <c r="T30" s="151">
        <v>4.9290000000000003</v>
      </c>
      <c r="U30" s="2" t="s">
        <v>2292</v>
      </c>
      <c r="V30" s="162">
        <v>2.47E-2</v>
      </c>
      <c r="W30" s="164">
        <v>2.5839999999999998E-2</v>
      </c>
      <c r="X30" s="4" t="s">
        <v>447</v>
      </c>
      <c r="Y30" s="4" t="s">
        <v>155</v>
      </c>
      <c r="Z30" s="151">
        <v>1004759</v>
      </c>
      <c r="AA30" s="158">
        <v>1</v>
      </c>
      <c r="AB30" s="175">
        <v>102.7</v>
      </c>
      <c r="AD30" s="151">
        <v>1031.8869999999999</v>
      </c>
      <c r="AG30" s="2" t="s">
        <v>36</v>
      </c>
      <c r="AH30" s="164">
        <v>3.5100000000000002E-4</v>
      </c>
      <c r="AI30" s="164">
        <v>3.4320204393835298E-2</v>
      </c>
      <c r="AJ30" s="164">
        <v>2.50499681030619E-3</v>
      </c>
    </row>
    <row r="31" spans="1:36">
      <c r="A31" s="2">
        <v>1182</v>
      </c>
      <c r="B31" s="2">
        <v>1182</v>
      </c>
      <c r="C31" s="2" t="s">
        <v>2293</v>
      </c>
      <c r="D31" s="2" t="s">
        <v>2294</v>
      </c>
      <c r="E31" s="4" t="s">
        <v>1342</v>
      </c>
      <c r="F31" s="2" t="s">
        <v>2295</v>
      </c>
      <c r="G31" s="2" t="s">
        <v>2296</v>
      </c>
      <c r="H31" s="2" t="s">
        <v>356</v>
      </c>
      <c r="I31" s="2" t="s">
        <v>208</v>
      </c>
      <c r="J31" s="2" t="s">
        <v>30</v>
      </c>
      <c r="K31" s="2" t="s">
        <v>30</v>
      </c>
      <c r="L31" s="2" t="s">
        <v>362</v>
      </c>
      <c r="M31" s="2" t="s">
        <v>31</v>
      </c>
      <c r="N31" s="2" t="s">
        <v>484</v>
      </c>
      <c r="O31" s="2" t="s">
        <v>155</v>
      </c>
      <c r="P31" s="2" t="s">
        <v>2297</v>
      </c>
      <c r="Q31" s="2" t="s">
        <v>206</v>
      </c>
      <c r="R31" s="2" t="s">
        <v>441</v>
      </c>
      <c r="S31" s="2" t="s">
        <v>34</v>
      </c>
      <c r="T31" s="151">
        <v>0.72899999999999998</v>
      </c>
      <c r="U31" s="2" t="s">
        <v>2298</v>
      </c>
      <c r="V31" s="162">
        <v>4.9500000000000002E-2</v>
      </c>
      <c r="W31" s="164">
        <v>3.5880000000000002E-2</v>
      </c>
      <c r="X31" s="4" t="s">
        <v>447</v>
      </c>
      <c r="Y31" s="4" t="s">
        <v>375</v>
      </c>
      <c r="Z31" s="151">
        <v>0.06</v>
      </c>
      <c r="AA31" s="158">
        <v>1</v>
      </c>
      <c r="AB31" s="175">
        <v>145.86000000000001</v>
      </c>
      <c r="AD31" s="151">
        <v>0</v>
      </c>
      <c r="AG31" s="2" t="s">
        <v>36</v>
      </c>
      <c r="AH31" s="164">
        <v>0</v>
      </c>
      <c r="AI31" s="164">
        <v>2.9107504724169501E-9</v>
      </c>
      <c r="AJ31" s="164">
        <v>2.1245271634546001E-10</v>
      </c>
    </row>
    <row r="32" spans="1:36">
      <c r="A32" s="2">
        <v>1182</v>
      </c>
      <c r="B32" s="2">
        <v>1182</v>
      </c>
      <c r="C32" s="2" t="s">
        <v>2288</v>
      </c>
      <c r="D32" s="2" t="s">
        <v>2289</v>
      </c>
      <c r="E32" s="4" t="s">
        <v>1342</v>
      </c>
      <c r="F32" s="2" t="s">
        <v>2299</v>
      </c>
      <c r="G32" s="2" t="s">
        <v>2300</v>
      </c>
      <c r="H32" s="2" t="s">
        <v>356</v>
      </c>
      <c r="I32" s="2" t="s">
        <v>208</v>
      </c>
      <c r="J32" s="2" t="s">
        <v>30</v>
      </c>
      <c r="K32" s="2" t="s">
        <v>30</v>
      </c>
      <c r="L32" s="2" t="s">
        <v>362</v>
      </c>
      <c r="M32" s="2" t="s">
        <v>31</v>
      </c>
      <c r="N32" s="2" t="s">
        <v>481</v>
      </c>
      <c r="O32" s="2" t="s">
        <v>155</v>
      </c>
      <c r="P32" s="2" t="s">
        <v>1353</v>
      </c>
      <c r="Q32" s="2" t="s">
        <v>206</v>
      </c>
      <c r="R32" s="2" t="s">
        <v>441</v>
      </c>
      <c r="S32" s="2" t="s">
        <v>34</v>
      </c>
      <c r="T32" s="151">
        <v>3.87</v>
      </c>
      <c r="U32" s="2" t="s">
        <v>2301</v>
      </c>
      <c r="V32" s="162">
        <v>3.1699999999999999E-2</v>
      </c>
      <c r="W32" s="164">
        <v>3.0759999999999999E-2</v>
      </c>
      <c r="X32" s="4" t="s">
        <v>447</v>
      </c>
      <c r="Y32" s="4" t="s">
        <v>155</v>
      </c>
      <c r="Z32" s="151">
        <v>400000</v>
      </c>
      <c r="AA32" s="158">
        <v>1</v>
      </c>
      <c r="AB32" s="175">
        <v>110.29</v>
      </c>
      <c r="AD32" s="151">
        <v>441.16</v>
      </c>
      <c r="AG32" s="2" t="s">
        <v>36</v>
      </c>
      <c r="AH32" s="164">
        <v>4.7399999999999997E-4</v>
      </c>
      <c r="AI32" s="164">
        <v>1.46728218658469E-2</v>
      </c>
      <c r="AJ32" s="164">
        <v>1.07095434369673E-3</v>
      </c>
    </row>
    <row r="33" spans="1:36">
      <c r="A33" s="2">
        <v>1182</v>
      </c>
      <c r="B33" s="2">
        <v>1182</v>
      </c>
      <c r="C33" s="2" t="s">
        <v>2302</v>
      </c>
      <c r="D33" s="2" t="s">
        <v>2303</v>
      </c>
      <c r="E33" s="4" t="s">
        <v>1342</v>
      </c>
      <c r="F33" s="2" t="s">
        <v>2304</v>
      </c>
      <c r="G33" s="2" t="s">
        <v>2305</v>
      </c>
      <c r="H33" s="2" t="s">
        <v>356</v>
      </c>
      <c r="I33" s="2" t="s">
        <v>208</v>
      </c>
      <c r="J33" s="2" t="s">
        <v>30</v>
      </c>
      <c r="K33" s="2" t="s">
        <v>30</v>
      </c>
      <c r="L33" s="2" t="s">
        <v>362</v>
      </c>
      <c r="M33" s="2" t="s">
        <v>31</v>
      </c>
      <c r="N33" s="2" t="s">
        <v>473</v>
      </c>
      <c r="O33" s="2" t="s">
        <v>155</v>
      </c>
      <c r="P33" s="2" t="s">
        <v>2192</v>
      </c>
      <c r="Q33" s="2" t="s">
        <v>101</v>
      </c>
      <c r="R33" s="2" t="s">
        <v>441</v>
      </c>
      <c r="S33" s="2" t="s">
        <v>34</v>
      </c>
      <c r="T33" s="151">
        <v>3.4649999999999999</v>
      </c>
      <c r="U33" s="2" t="s">
        <v>2306</v>
      </c>
      <c r="V33" s="162">
        <v>1.7999999999999999E-2</v>
      </c>
      <c r="W33" s="164">
        <v>3.6589999999999998E-2</v>
      </c>
      <c r="X33" s="4" t="s">
        <v>447</v>
      </c>
      <c r="Y33" s="4" t="s">
        <v>155</v>
      </c>
      <c r="Z33" s="151">
        <v>173387.11</v>
      </c>
      <c r="AA33" s="158">
        <v>1</v>
      </c>
      <c r="AB33" s="175">
        <v>107.89</v>
      </c>
      <c r="AD33" s="151">
        <v>187.06700000000001</v>
      </c>
      <c r="AG33" s="2" t="s">
        <v>36</v>
      </c>
      <c r="AH33" s="164">
        <v>1.74E-4</v>
      </c>
      <c r="AI33" s="164">
        <v>6.2217924271837401E-3</v>
      </c>
      <c r="AJ33" s="164">
        <v>4.5412230083577301E-4</v>
      </c>
    </row>
    <row r="34" spans="1:36">
      <c r="A34" s="2">
        <v>1182</v>
      </c>
      <c r="B34" s="2">
        <v>1182</v>
      </c>
      <c r="C34" s="2" t="s">
        <v>2302</v>
      </c>
      <c r="D34" s="2" t="s">
        <v>2303</v>
      </c>
      <c r="E34" s="4" t="s">
        <v>1342</v>
      </c>
      <c r="F34" s="2" t="s">
        <v>2307</v>
      </c>
      <c r="G34" s="2" t="s">
        <v>2308</v>
      </c>
      <c r="H34" s="2" t="s">
        <v>356</v>
      </c>
      <c r="I34" s="2" t="s">
        <v>208</v>
      </c>
      <c r="J34" s="2" t="s">
        <v>30</v>
      </c>
      <c r="K34" s="2" t="s">
        <v>30</v>
      </c>
      <c r="L34" s="2" t="s">
        <v>362</v>
      </c>
      <c r="M34" s="2" t="s">
        <v>31</v>
      </c>
      <c r="N34" s="2" t="s">
        <v>473</v>
      </c>
      <c r="O34" s="2" t="s">
        <v>155</v>
      </c>
      <c r="P34" s="2" t="s">
        <v>2192</v>
      </c>
      <c r="Q34" s="2" t="s">
        <v>206</v>
      </c>
      <c r="R34" s="2" t="s">
        <v>441</v>
      </c>
      <c r="S34" s="2" t="s">
        <v>34</v>
      </c>
      <c r="T34" s="151">
        <v>5.843</v>
      </c>
      <c r="U34" s="2" t="s">
        <v>2309</v>
      </c>
      <c r="V34" s="162">
        <v>3.3000000000000002E-2</v>
      </c>
      <c r="W34" s="164">
        <v>4.2569999999999997E-2</v>
      </c>
      <c r="X34" s="4" t="s">
        <v>447</v>
      </c>
      <c r="Y34" s="4" t="s">
        <v>155</v>
      </c>
      <c r="Z34" s="151">
        <v>657248.07999999996</v>
      </c>
      <c r="AA34" s="158">
        <v>1</v>
      </c>
      <c r="AB34" s="175">
        <v>101.08</v>
      </c>
      <c r="AD34" s="151">
        <v>664.346</v>
      </c>
      <c r="AG34" s="2" t="s">
        <v>36</v>
      </c>
      <c r="AH34" s="164">
        <v>5.2499999999999997E-4</v>
      </c>
      <c r="AI34" s="164">
        <v>2.2095919364186801E-2</v>
      </c>
      <c r="AJ34" s="164">
        <v>1.6127586797825999E-3</v>
      </c>
    </row>
    <row r="35" spans="1:36">
      <c r="A35" s="2">
        <v>1182</v>
      </c>
      <c r="B35" s="2">
        <v>1182</v>
      </c>
      <c r="C35" s="2" t="s">
        <v>2310</v>
      </c>
      <c r="D35" s="2" t="s">
        <v>2311</v>
      </c>
      <c r="E35" s="4" t="s">
        <v>1342</v>
      </c>
      <c r="F35" s="2" t="s">
        <v>2312</v>
      </c>
      <c r="G35" s="2" t="s">
        <v>2313</v>
      </c>
      <c r="H35" s="2" t="s">
        <v>356</v>
      </c>
      <c r="I35" s="2" t="s">
        <v>208</v>
      </c>
      <c r="J35" s="2" t="s">
        <v>30</v>
      </c>
      <c r="K35" s="2" t="s">
        <v>30</v>
      </c>
      <c r="L35" s="2" t="s">
        <v>362</v>
      </c>
      <c r="M35" s="2" t="s">
        <v>31</v>
      </c>
      <c r="N35" s="2" t="s">
        <v>497</v>
      </c>
      <c r="O35" s="2" t="s">
        <v>155</v>
      </c>
      <c r="P35" s="2" t="s">
        <v>2192</v>
      </c>
      <c r="Q35" s="2" t="s">
        <v>206</v>
      </c>
      <c r="R35" s="2" t="s">
        <v>441</v>
      </c>
      <c r="S35" s="2" t="s">
        <v>34</v>
      </c>
      <c r="T35" s="151">
        <v>3.8849999999999998</v>
      </c>
      <c r="U35" s="2" t="s">
        <v>2201</v>
      </c>
      <c r="V35" s="162">
        <v>3.6499999999999998E-2</v>
      </c>
      <c r="W35" s="164">
        <v>3.2820000000000002E-2</v>
      </c>
      <c r="X35" s="4" t="s">
        <v>447</v>
      </c>
      <c r="Y35" s="4" t="s">
        <v>155</v>
      </c>
      <c r="Z35" s="151">
        <v>400000</v>
      </c>
      <c r="AA35" s="158">
        <v>1</v>
      </c>
      <c r="AB35" s="175">
        <v>108.95</v>
      </c>
      <c r="AD35" s="151">
        <v>435.8</v>
      </c>
      <c r="AG35" s="2" t="s">
        <v>36</v>
      </c>
      <c r="AH35" s="164">
        <v>1.227E-3</v>
      </c>
      <c r="AI35" s="164">
        <v>1.44945502065829E-2</v>
      </c>
      <c r="AJ35" s="164">
        <v>1.0579424766140101E-3</v>
      </c>
    </row>
    <row r="36" spans="1:36">
      <c r="A36" s="2">
        <v>1182</v>
      </c>
      <c r="B36" s="2">
        <v>1182</v>
      </c>
      <c r="C36" s="2" t="s">
        <v>2310</v>
      </c>
      <c r="D36" s="2" t="s">
        <v>2311</v>
      </c>
      <c r="E36" s="4" t="s">
        <v>1342</v>
      </c>
      <c r="F36" s="2" t="s">
        <v>2314</v>
      </c>
      <c r="G36" s="2" t="s">
        <v>2315</v>
      </c>
      <c r="H36" s="2" t="s">
        <v>356</v>
      </c>
      <c r="I36" s="2" t="s">
        <v>208</v>
      </c>
      <c r="J36" s="2" t="s">
        <v>30</v>
      </c>
      <c r="K36" s="2" t="s">
        <v>30</v>
      </c>
      <c r="L36" s="2" t="s">
        <v>362</v>
      </c>
      <c r="M36" s="2" t="s">
        <v>31</v>
      </c>
      <c r="N36" s="2" t="s">
        <v>497</v>
      </c>
      <c r="O36" s="2" t="s">
        <v>155</v>
      </c>
      <c r="P36" s="2" t="s">
        <v>2181</v>
      </c>
      <c r="Q36" s="2" t="s">
        <v>206</v>
      </c>
      <c r="R36" s="2" t="s">
        <v>441</v>
      </c>
      <c r="S36" s="2" t="s">
        <v>34</v>
      </c>
      <c r="T36" s="151">
        <v>1.536</v>
      </c>
      <c r="U36" s="2" t="s">
        <v>1338</v>
      </c>
      <c r="V36" s="162">
        <v>1.7999999999999999E-2</v>
      </c>
      <c r="W36" s="164">
        <v>2.742E-2</v>
      </c>
      <c r="X36" s="4" t="s">
        <v>447</v>
      </c>
      <c r="Y36" s="4" t="s">
        <v>155</v>
      </c>
      <c r="Z36" s="151">
        <v>225729.88</v>
      </c>
      <c r="AA36" s="158">
        <v>1</v>
      </c>
      <c r="AB36" s="175">
        <v>113.45</v>
      </c>
      <c r="AD36" s="151">
        <v>256.09100000000001</v>
      </c>
      <c r="AG36" s="2" t="s">
        <v>36</v>
      </c>
      <c r="AH36" s="164">
        <v>2.8600000000000001E-4</v>
      </c>
      <c r="AI36" s="164">
        <v>8.5174789304328404E-3</v>
      </c>
      <c r="AJ36" s="164">
        <v>6.2168212367689005E-4</v>
      </c>
    </row>
    <row r="37" spans="1:36">
      <c r="A37" s="2">
        <v>1182</v>
      </c>
      <c r="B37" s="2">
        <v>1182</v>
      </c>
      <c r="C37" s="2" t="s">
        <v>2316</v>
      </c>
      <c r="D37" s="2" t="s">
        <v>2317</v>
      </c>
      <c r="E37" s="4" t="s">
        <v>1342</v>
      </c>
      <c r="F37" s="2" t="s">
        <v>2318</v>
      </c>
      <c r="G37" s="2" t="s">
        <v>2319</v>
      </c>
      <c r="H37" s="2" t="s">
        <v>356</v>
      </c>
      <c r="I37" s="2" t="s">
        <v>1000</v>
      </c>
      <c r="J37" s="2" t="s">
        <v>30</v>
      </c>
      <c r="K37" s="2" t="s">
        <v>30</v>
      </c>
      <c r="L37" s="2" t="s">
        <v>362</v>
      </c>
      <c r="M37" s="2" t="s">
        <v>31</v>
      </c>
      <c r="N37" s="2" t="s">
        <v>478</v>
      </c>
      <c r="O37" s="2" t="s">
        <v>155</v>
      </c>
      <c r="P37" s="2" t="s">
        <v>1353</v>
      </c>
      <c r="Q37" s="2" t="s">
        <v>206</v>
      </c>
      <c r="R37" s="2" t="s">
        <v>441</v>
      </c>
      <c r="S37" s="2" t="s">
        <v>34</v>
      </c>
      <c r="T37" s="151">
        <v>8.5960000000000001</v>
      </c>
      <c r="U37" s="2" t="s">
        <v>2320</v>
      </c>
      <c r="V37" s="162">
        <v>3.0499999999999999E-2</v>
      </c>
      <c r="W37" s="164">
        <v>5.8979999999999998E-2</v>
      </c>
      <c r="X37" s="4" t="s">
        <v>447</v>
      </c>
      <c r="Y37" s="4" t="s">
        <v>155</v>
      </c>
      <c r="Z37" s="151">
        <v>199313</v>
      </c>
      <c r="AA37" s="158">
        <v>1</v>
      </c>
      <c r="AB37" s="175">
        <v>84.59</v>
      </c>
      <c r="AD37" s="151">
        <v>168.59899999999999</v>
      </c>
      <c r="AG37" s="2" t="s">
        <v>36</v>
      </c>
      <c r="AH37" s="164">
        <v>2.92E-4</v>
      </c>
      <c r="AI37" s="164">
        <v>5.6075372605693501E-3</v>
      </c>
      <c r="AJ37" s="164">
        <v>4.0928844100714302E-4</v>
      </c>
    </row>
    <row r="38" spans="1:36">
      <c r="A38" s="2">
        <v>1182</v>
      </c>
      <c r="B38" s="2">
        <v>1182</v>
      </c>
      <c r="C38" s="2" t="s">
        <v>2316</v>
      </c>
      <c r="D38" s="2" t="s">
        <v>2317</v>
      </c>
      <c r="E38" s="4" t="s">
        <v>1342</v>
      </c>
      <c r="F38" s="2" t="s">
        <v>2321</v>
      </c>
      <c r="G38" s="2" t="s">
        <v>2322</v>
      </c>
      <c r="H38" s="2" t="s">
        <v>356</v>
      </c>
      <c r="I38" s="2" t="s">
        <v>1000</v>
      </c>
      <c r="J38" s="2" t="s">
        <v>30</v>
      </c>
      <c r="K38" s="2" t="s">
        <v>30</v>
      </c>
      <c r="L38" s="2" t="s">
        <v>362</v>
      </c>
      <c r="M38" s="2" t="s">
        <v>85</v>
      </c>
      <c r="N38" s="2" t="s">
        <v>478</v>
      </c>
      <c r="O38" s="2" t="s">
        <v>155</v>
      </c>
      <c r="P38" s="2" t="s">
        <v>1353</v>
      </c>
      <c r="Q38" s="2" t="s">
        <v>206</v>
      </c>
      <c r="R38" s="2" t="s">
        <v>441</v>
      </c>
      <c r="S38" s="2" t="s">
        <v>34</v>
      </c>
      <c r="T38" s="151">
        <v>8.6649999999999991</v>
      </c>
      <c r="U38" s="2" t="s">
        <v>2323</v>
      </c>
      <c r="V38" s="162">
        <v>6.0199999999999997E-2</v>
      </c>
      <c r="W38" s="164">
        <v>5.9959999999999999E-2</v>
      </c>
      <c r="X38" s="4" t="s">
        <v>447</v>
      </c>
      <c r="Y38" s="4" t="s">
        <v>155</v>
      </c>
      <c r="Z38" s="151">
        <v>393301</v>
      </c>
      <c r="AA38" s="158">
        <v>1</v>
      </c>
      <c r="AB38" s="175">
        <v>102.28</v>
      </c>
      <c r="AD38" s="151">
        <v>402.26799999999997</v>
      </c>
      <c r="AG38" s="2" t="s">
        <v>36</v>
      </c>
      <c r="AH38" s="164">
        <v>7.8700000000000005E-4</v>
      </c>
      <c r="AI38" s="164">
        <v>1.33792967684017E-2</v>
      </c>
      <c r="AJ38" s="164">
        <v>9.7654126252832995E-4</v>
      </c>
    </row>
    <row r="39" spans="1:36">
      <c r="A39" s="2">
        <v>1182</v>
      </c>
      <c r="B39" s="2">
        <v>1182</v>
      </c>
      <c r="C39" s="2" t="s">
        <v>2316</v>
      </c>
      <c r="D39" s="2" t="s">
        <v>2317</v>
      </c>
      <c r="E39" s="4" t="s">
        <v>1342</v>
      </c>
      <c r="F39" s="2" t="s">
        <v>2324</v>
      </c>
      <c r="G39" s="2" t="s">
        <v>2325</v>
      </c>
      <c r="H39" s="2" t="s">
        <v>356</v>
      </c>
      <c r="I39" s="2" t="s">
        <v>1000</v>
      </c>
      <c r="J39" s="2" t="s">
        <v>30</v>
      </c>
      <c r="K39" s="2" t="s">
        <v>30</v>
      </c>
      <c r="L39" s="2" t="s">
        <v>362</v>
      </c>
      <c r="M39" s="2" t="s">
        <v>31</v>
      </c>
      <c r="N39" s="2" t="s">
        <v>478</v>
      </c>
      <c r="O39" s="2" t="s">
        <v>155</v>
      </c>
      <c r="P39" s="2" t="s">
        <v>1353</v>
      </c>
      <c r="Q39" s="2" t="s">
        <v>206</v>
      </c>
      <c r="R39" s="2" t="s">
        <v>441</v>
      </c>
      <c r="S39" s="2" t="s">
        <v>34</v>
      </c>
      <c r="T39" s="151">
        <v>4.681</v>
      </c>
      <c r="U39" s="2" t="s">
        <v>2326</v>
      </c>
      <c r="V39" s="162">
        <v>4.3799999999999999E-2</v>
      </c>
      <c r="W39" s="164">
        <v>5.527E-2</v>
      </c>
      <c r="X39" s="4" t="s">
        <v>447</v>
      </c>
      <c r="Y39" s="4" t="s">
        <v>155</v>
      </c>
      <c r="Z39" s="151">
        <v>115000</v>
      </c>
      <c r="AA39" s="158">
        <v>1</v>
      </c>
      <c r="AB39" s="175">
        <v>96.24</v>
      </c>
      <c r="AD39" s="151">
        <v>110.676</v>
      </c>
      <c r="AG39" s="2" t="s">
        <v>36</v>
      </c>
      <c r="AH39" s="164">
        <v>2.3000000000000001E-4</v>
      </c>
      <c r="AI39" s="164">
        <v>3.6810436866997801E-3</v>
      </c>
      <c r="AJ39" s="164">
        <v>2.6867563456111E-4</v>
      </c>
    </row>
    <row r="40" spans="1:36">
      <c r="A40" s="2">
        <v>1182</v>
      </c>
      <c r="B40" s="2">
        <v>1182</v>
      </c>
      <c r="C40" s="2" t="s">
        <v>2327</v>
      </c>
      <c r="D40" s="2" t="s">
        <v>2328</v>
      </c>
      <c r="E40" s="4" t="s">
        <v>1342</v>
      </c>
      <c r="F40" s="2" t="s">
        <v>2329</v>
      </c>
      <c r="G40" s="2" t="s">
        <v>2330</v>
      </c>
      <c r="H40" s="2" t="s">
        <v>356</v>
      </c>
      <c r="I40" s="2" t="s">
        <v>208</v>
      </c>
      <c r="J40" s="2" t="s">
        <v>30</v>
      </c>
      <c r="K40" s="2" t="s">
        <v>30</v>
      </c>
      <c r="L40" s="2" t="s">
        <v>362</v>
      </c>
      <c r="M40" s="2" t="s">
        <v>31</v>
      </c>
      <c r="N40" s="2" t="s">
        <v>473</v>
      </c>
      <c r="O40" s="2" t="s">
        <v>155</v>
      </c>
      <c r="P40" s="2" t="s">
        <v>1519</v>
      </c>
      <c r="Q40" s="2" t="s">
        <v>206</v>
      </c>
      <c r="R40" s="2" t="s">
        <v>441</v>
      </c>
      <c r="S40" s="2" t="s">
        <v>34</v>
      </c>
      <c r="T40" s="151">
        <v>7.5629999999999997</v>
      </c>
      <c r="U40" s="2" t="s">
        <v>2331</v>
      </c>
      <c r="V40" s="162">
        <v>0.03</v>
      </c>
      <c r="W40" s="164">
        <v>3.2599999999999997E-2</v>
      </c>
      <c r="X40" s="4" t="s">
        <v>447</v>
      </c>
      <c r="Y40" s="4" t="s">
        <v>155</v>
      </c>
      <c r="Z40" s="151">
        <v>1000000</v>
      </c>
      <c r="AA40" s="158">
        <v>1</v>
      </c>
      <c r="AB40" s="175">
        <v>103.71</v>
      </c>
      <c r="AD40" s="151">
        <v>1037.0999999999999</v>
      </c>
      <c r="AG40" s="2" t="s">
        <v>36</v>
      </c>
      <c r="AH40" s="164">
        <v>2.4499999999999999E-4</v>
      </c>
      <c r="AI40" s="164">
        <v>3.4493570489323298E-2</v>
      </c>
      <c r="AJ40" s="164">
        <v>2.5176506252785401E-3</v>
      </c>
    </row>
    <row r="41" spans="1:36">
      <c r="A41" s="2">
        <v>1182</v>
      </c>
      <c r="B41" s="2">
        <v>1182</v>
      </c>
      <c r="C41" s="2" t="s">
        <v>2327</v>
      </c>
      <c r="D41" s="2" t="s">
        <v>2328</v>
      </c>
      <c r="E41" s="4" t="s">
        <v>1342</v>
      </c>
      <c r="F41" s="2" t="s">
        <v>2332</v>
      </c>
      <c r="G41" s="2" t="s">
        <v>2333</v>
      </c>
      <c r="H41" s="2" t="s">
        <v>356</v>
      </c>
      <c r="I41" s="2" t="s">
        <v>208</v>
      </c>
      <c r="J41" s="2" t="s">
        <v>30</v>
      </c>
      <c r="K41" s="2" t="s">
        <v>30</v>
      </c>
      <c r="L41" s="2" t="s">
        <v>362</v>
      </c>
      <c r="M41" s="2" t="s">
        <v>31</v>
      </c>
      <c r="N41" s="2" t="s">
        <v>473</v>
      </c>
      <c r="O41" s="2" t="s">
        <v>155</v>
      </c>
      <c r="P41" s="2" t="s">
        <v>1519</v>
      </c>
      <c r="Q41" s="2" t="s">
        <v>101</v>
      </c>
      <c r="R41" s="2" t="s">
        <v>441</v>
      </c>
      <c r="S41" s="2" t="s">
        <v>34</v>
      </c>
      <c r="T41" s="151">
        <v>10.287000000000001</v>
      </c>
      <c r="U41" s="2" t="s">
        <v>2334</v>
      </c>
      <c r="V41" s="162">
        <v>3.2000000000000001E-2</v>
      </c>
      <c r="W41" s="164">
        <v>3.4759999999999999E-2</v>
      </c>
      <c r="X41" s="4" t="s">
        <v>447</v>
      </c>
      <c r="Y41" s="4" t="s">
        <v>155</v>
      </c>
      <c r="Z41" s="151">
        <v>1000000</v>
      </c>
      <c r="AA41" s="158">
        <v>1</v>
      </c>
      <c r="AB41" s="175">
        <v>102.97</v>
      </c>
      <c r="AD41" s="151">
        <v>1029.7</v>
      </c>
      <c r="AG41" s="2" t="s">
        <v>36</v>
      </c>
      <c r="AH41" s="164">
        <v>2.03E-4</v>
      </c>
      <c r="AI41" s="164">
        <v>3.42474491686975E-2</v>
      </c>
      <c r="AJ41" s="164">
        <v>2.4996864804255202E-3</v>
      </c>
    </row>
    <row r="42" spans="1:36">
      <c r="A42" s="2">
        <v>1182</v>
      </c>
      <c r="B42" s="2">
        <v>1182</v>
      </c>
      <c r="C42" s="2" t="s">
        <v>2335</v>
      </c>
      <c r="D42" s="2" t="s">
        <v>2336</v>
      </c>
      <c r="E42" s="4" t="s">
        <v>1342</v>
      </c>
      <c r="F42" s="2" t="s">
        <v>2337</v>
      </c>
      <c r="G42" s="2" t="s">
        <v>2338</v>
      </c>
      <c r="H42" s="2" t="s">
        <v>356</v>
      </c>
      <c r="I42" s="2" t="s">
        <v>208</v>
      </c>
      <c r="J42" s="2" t="s">
        <v>30</v>
      </c>
      <c r="K42" s="2" t="s">
        <v>30</v>
      </c>
      <c r="L42" s="2" t="s">
        <v>362</v>
      </c>
      <c r="M42" s="2" t="s">
        <v>31</v>
      </c>
      <c r="N42" s="2" t="s">
        <v>481</v>
      </c>
      <c r="O42" s="2" t="s">
        <v>155</v>
      </c>
      <c r="P42" s="2" t="s">
        <v>1353</v>
      </c>
      <c r="Q42" s="2" t="s">
        <v>206</v>
      </c>
      <c r="R42" s="2" t="s">
        <v>441</v>
      </c>
      <c r="S42" s="2" t="s">
        <v>34</v>
      </c>
      <c r="T42" s="151">
        <v>4.5019999999999998</v>
      </c>
      <c r="U42" s="2" t="s">
        <v>2339</v>
      </c>
      <c r="V42" s="162">
        <v>2.5899999999999999E-2</v>
      </c>
      <c r="W42" s="164">
        <v>2.647E-2</v>
      </c>
      <c r="X42" s="4" t="s">
        <v>447</v>
      </c>
      <c r="Y42" s="4" t="s">
        <v>155</v>
      </c>
      <c r="Z42" s="151">
        <v>467000</v>
      </c>
      <c r="AA42" s="158">
        <v>1</v>
      </c>
      <c r="AB42" s="175">
        <v>105.13</v>
      </c>
      <c r="AD42" s="151">
        <v>490.95699999999999</v>
      </c>
      <c r="AG42" s="2" t="s">
        <v>36</v>
      </c>
      <c r="AH42" s="164">
        <v>1.0380000000000001E-3</v>
      </c>
      <c r="AI42" s="164">
        <v>1.6329055381432599E-2</v>
      </c>
      <c r="AJ42" s="164">
        <v>1.19184114338052E-3</v>
      </c>
    </row>
    <row r="43" spans="1:36">
      <c r="A43" s="2">
        <v>1182</v>
      </c>
      <c r="B43" s="2">
        <v>1182</v>
      </c>
      <c r="C43" s="2" t="s">
        <v>2340</v>
      </c>
      <c r="D43" s="2" t="s">
        <v>2341</v>
      </c>
      <c r="E43" s="4" t="s">
        <v>348</v>
      </c>
      <c r="F43" s="2" t="s">
        <v>2342</v>
      </c>
      <c r="G43" s="2" t="s">
        <v>2343</v>
      </c>
      <c r="H43" s="2" t="s">
        <v>356</v>
      </c>
      <c r="I43" s="2" t="s">
        <v>1000</v>
      </c>
      <c r="J43" s="2" t="s">
        <v>30</v>
      </c>
      <c r="K43" s="2" t="s">
        <v>30</v>
      </c>
      <c r="L43" s="2" t="s">
        <v>362</v>
      </c>
      <c r="M43" s="2" t="s">
        <v>31</v>
      </c>
      <c r="N43" s="2" t="s">
        <v>487</v>
      </c>
      <c r="O43" s="2" t="s">
        <v>155</v>
      </c>
      <c r="P43" s="2" t="s">
        <v>2211</v>
      </c>
      <c r="Q43" s="2" t="s">
        <v>206</v>
      </c>
      <c r="R43" s="2" t="s">
        <v>441</v>
      </c>
      <c r="S43" s="2" t="s">
        <v>34</v>
      </c>
      <c r="T43" s="151">
        <v>3.2370000000000001</v>
      </c>
      <c r="U43" s="2" t="s">
        <v>2344</v>
      </c>
      <c r="V43" s="162">
        <v>2.24E-2</v>
      </c>
      <c r="W43" s="164">
        <v>5.6430000000000001E-2</v>
      </c>
      <c r="X43" s="4" t="s">
        <v>447</v>
      </c>
      <c r="Y43" s="4" t="s">
        <v>155</v>
      </c>
      <c r="Z43" s="151">
        <v>153745.46</v>
      </c>
      <c r="AA43" s="158">
        <v>1</v>
      </c>
      <c r="AB43" s="175">
        <v>90.78</v>
      </c>
      <c r="AD43" s="151">
        <v>139.57</v>
      </c>
      <c r="AG43" s="2" t="s">
        <v>36</v>
      </c>
      <c r="AH43" s="164">
        <v>2.6200000000000003E-4</v>
      </c>
      <c r="AI43" s="164">
        <v>4.6420519416199898E-3</v>
      </c>
      <c r="AJ43" s="164">
        <v>3.3881864960928E-4</v>
      </c>
    </row>
    <row r="44" spans="1:36">
      <c r="A44" s="2">
        <v>1182</v>
      </c>
      <c r="B44" s="2">
        <v>1182</v>
      </c>
      <c r="C44" s="2" t="s">
        <v>1896</v>
      </c>
      <c r="D44" s="2" t="s">
        <v>1897</v>
      </c>
      <c r="E44" s="4" t="s">
        <v>1342</v>
      </c>
      <c r="F44" s="2" t="s">
        <v>2345</v>
      </c>
      <c r="G44" s="2" t="s">
        <v>2346</v>
      </c>
      <c r="H44" s="2" t="s">
        <v>356</v>
      </c>
      <c r="I44" s="2" t="s">
        <v>1000</v>
      </c>
      <c r="J44" s="2" t="s">
        <v>30</v>
      </c>
      <c r="K44" s="2" t="s">
        <v>30</v>
      </c>
      <c r="L44" s="2" t="s">
        <v>362</v>
      </c>
      <c r="M44" s="2" t="s">
        <v>31</v>
      </c>
      <c r="N44" s="2" t="s">
        <v>478</v>
      </c>
      <c r="O44" s="2" t="s">
        <v>155</v>
      </c>
      <c r="P44" s="2" t="s">
        <v>1353</v>
      </c>
      <c r="Q44" s="2" t="s">
        <v>206</v>
      </c>
      <c r="R44" s="2" t="s">
        <v>441</v>
      </c>
      <c r="S44" s="2" t="s">
        <v>34</v>
      </c>
      <c r="T44" s="151">
        <v>3.105</v>
      </c>
      <c r="U44" s="2" t="s">
        <v>2347</v>
      </c>
      <c r="V44" s="162">
        <v>4.7E-2</v>
      </c>
      <c r="W44" s="164">
        <v>5.4760000000000003E-2</v>
      </c>
      <c r="X44" s="4" t="s">
        <v>447</v>
      </c>
      <c r="Y44" s="4" t="s">
        <v>155</v>
      </c>
      <c r="Z44" s="151">
        <v>244000</v>
      </c>
      <c r="AA44" s="158">
        <v>1</v>
      </c>
      <c r="AB44" s="175">
        <v>100.38</v>
      </c>
      <c r="AD44" s="151">
        <v>244.92699999999999</v>
      </c>
      <c r="AG44" s="2" t="s">
        <v>36</v>
      </c>
      <c r="AH44" s="164">
        <v>2.7099999999999997E-4</v>
      </c>
      <c r="AI44" s="164">
        <v>8.1461899893477806E-3</v>
      </c>
      <c r="AJ44" s="164">
        <v>5.9458212151935401E-4</v>
      </c>
    </row>
    <row r="45" spans="1:36">
      <c r="A45" s="2">
        <v>1182</v>
      </c>
      <c r="B45" s="2">
        <v>1182</v>
      </c>
      <c r="C45" s="2" t="s">
        <v>2348</v>
      </c>
      <c r="D45" s="2" t="s">
        <v>2349</v>
      </c>
      <c r="E45" s="4" t="s">
        <v>1342</v>
      </c>
      <c r="F45" s="2" t="s">
        <v>2350</v>
      </c>
      <c r="G45" s="2" t="s">
        <v>2351</v>
      </c>
      <c r="H45" s="2" t="s">
        <v>356</v>
      </c>
      <c r="I45" s="2" t="s">
        <v>1000</v>
      </c>
      <c r="J45" s="2" t="s">
        <v>30</v>
      </c>
      <c r="K45" s="2" t="s">
        <v>30</v>
      </c>
      <c r="L45" s="2" t="s">
        <v>362</v>
      </c>
      <c r="M45" s="2" t="s">
        <v>31</v>
      </c>
      <c r="N45" s="2" t="s">
        <v>512</v>
      </c>
      <c r="O45" s="2" t="s">
        <v>155</v>
      </c>
      <c r="P45" s="2" t="s">
        <v>1353</v>
      </c>
      <c r="Q45" s="2" t="s">
        <v>206</v>
      </c>
      <c r="R45" s="2" t="s">
        <v>441</v>
      </c>
      <c r="S45" s="2" t="s">
        <v>34</v>
      </c>
      <c r="T45" s="151">
        <v>9.2230000000000008</v>
      </c>
      <c r="U45" s="2" t="s">
        <v>2352</v>
      </c>
      <c r="V45" s="162">
        <v>5.3100000000000001E-2</v>
      </c>
      <c r="W45" s="164">
        <v>6.1010000000000002E-2</v>
      </c>
      <c r="X45" s="4" t="s">
        <v>447</v>
      </c>
      <c r="Y45" s="4" t="s">
        <v>155</v>
      </c>
      <c r="Z45" s="151">
        <v>581743</v>
      </c>
      <c r="AA45" s="158">
        <v>1</v>
      </c>
      <c r="AB45" s="175">
        <v>95.72</v>
      </c>
      <c r="AD45" s="151">
        <v>556.84400000000005</v>
      </c>
      <c r="AG45" s="2" t="s">
        <v>36</v>
      </c>
      <c r="AH45" s="164">
        <v>4.57E-4</v>
      </c>
      <c r="AI45" s="164">
        <v>1.8520443109813399E-2</v>
      </c>
      <c r="AJ45" s="164">
        <v>1.3517883047303001E-3</v>
      </c>
    </row>
    <row r="46" spans="1:36">
      <c r="A46" s="2">
        <v>1182</v>
      </c>
      <c r="B46" s="2">
        <v>1182</v>
      </c>
      <c r="C46" s="2" t="s">
        <v>1212</v>
      </c>
      <c r="D46" s="2" t="s">
        <v>1900</v>
      </c>
      <c r="E46" s="4" t="s">
        <v>1342</v>
      </c>
      <c r="F46" s="2" t="s">
        <v>2353</v>
      </c>
      <c r="G46" s="2" t="s">
        <v>2354</v>
      </c>
      <c r="H46" s="2" t="s">
        <v>356</v>
      </c>
      <c r="I46" s="2" t="s">
        <v>208</v>
      </c>
      <c r="J46" s="2" t="s">
        <v>30</v>
      </c>
      <c r="K46" s="2" t="s">
        <v>30</v>
      </c>
      <c r="L46" s="2" t="s">
        <v>362</v>
      </c>
      <c r="M46" s="2" t="s">
        <v>31</v>
      </c>
      <c r="N46" s="2" t="s">
        <v>481</v>
      </c>
      <c r="O46" s="2" t="s">
        <v>155</v>
      </c>
      <c r="P46" s="2" t="s">
        <v>100</v>
      </c>
      <c r="Q46" s="2" t="s">
        <v>206</v>
      </c>
      <c r="R46" s="2" t="s">
        <v>441</v>
      </c>
      <c r="S46" s="2" t="s">
        <v>34</v>
      </c>
      <c r="T46" s="151">
        <v>1.7370000000000001</v>
      </c>
      <c r="U46" s="2" t="s">
        <v>2355</v>
      </c>
      <c r="V46" s="162">
        <v>8.3000000000000001E-3</v>
      </c>
      <c r="W46" s="164">
        <v>2.0449999999999999E-2</v>
      </c>
      <c r="X46" s="4" t="s">
        <v>447</v>
      </c>
      <c r="Y46" s="4" t="s">
        <v>155</v>
      </c>
      <c r="Z46" s="151">
        <v>118106</v>
      </c>
      <c r="AA46" s="158">
        <v>1</v>
      </c>
      <c r="AB46" s="175">
        <v>113.2</v>
      </c>
      <c r="AD46" s="151">
        <v>133.696</v>
      </c>
      <c r="AG46" s="2" t="s">
        <v>36</v>
      </c>
      <c r="AH46" s="164">
        <v>7.7999999999999999E-5</v>
      </c>
      <c r="AI46" s="164">
        <v>4.4466802855963796E-3</v>
      </c>
      <c r="AJ46" s="164">
        <v>3.2455867115614202E-4</v>
      </c>
    </row>
    <row r="47" spans="1:36">
      <c r="A47" s="2">
        <v>1182</v>
      </c>
      <c r="B47" s="2">
        <v>1182</v>
      </c>
      <c r="C47" s="2" t="s">
        <v>1212</v>
      </c>
      <c r="D47" s="2" t="s">
        <v>1900</v>
      </c>
      <c r="E47" s="4" t="s">
        <v>1342</v>
      </c>
      <c r="F47" s="2" t="s">
        <v>2356</v>
      </c>
      <c r="G47" s="2" t="s">
        <v>2357</v>
      </c>
      <c r="H47" s="2" t="s">
        <v>356</v>
      </c>
      <c r="I47" s="2" t="s">
        <v>208</v>
      </c>
      <c r="J47" s="2" t="s">
        <v>30</v>
      </c>
      <c r="K47" s="2" t="s">
        <v>30</v>
      </c>
      <c r="L47" s="2" t="s">
        <v>362</v>
      </c>
      <c r="M47" s="2" t="s">
        <v>31</v>
      </c>
      <c r="N47" s="2" t="s">
        <v>481</v>
      </c>
      <c r="O47" s="2" t="s">
        <v>155</v>
      </c>
      <c r="P47" s="2" t="s">
        <v>100</v>
      </c>
      <c r="Q47" s="2" t="s">
        <v>206</v>
      </c>
      <c r="R47" s="2" t="s">
        <v>441</v>
      </c>
      <c r="S47" s="2" t="s">
        <v>34</v>
      </c>
      <c r="T47" s="151">
        <v>5.0449999999999999</v>
      </c>
      <c r="U47" s="2" t="s">
        <v>2358</v>
      </c>
      <c r="V47" s="162">
        <v>2.0199999999999999E-2</v>
      </c>
      <c r="W47" s="164">
        <v>2.5940000000000001E-2</v>
      </c>
      <c r="X47" s="4" t="s">
        <v>447</v>
      </c>
      <c r="Y47" s="4" t="s">
        <v>155</v>
      </c>
      <c r="Z47" s="151">
        <v>600000</v>
      </c>
      <c r="AA47" s="158">
        <v>1</v>
      </c>
      <c r="AB47" s="175">
        <v>101.35</v>
      </c>
      <c r="AD47" s="151">
        <v>608.1</v>
      </c>
      <c r="AG47" s="2" t="s">
        <v>36</v>
      </c>
      <c r="AH47" s="164">
        <v>1.6799999999999999E-4</v>
      </c>
      <c r="AI47" s="164">
        <v>2.02251858206128E-2</v>
      </c>
      <c r="AJ47" s="164">
        <v>1.4762157412321699E-3</v>
      </c>
    </row>
    <row r="48" spans="1:36">
      <c r="A48" s="2">
        <v>1182</v>
      </c>
      <c r="B48" s="2">
        <v>1182</v>
      </c>
      <c r="C48" s="2" t="s">
        <v>1212</v>
      </c>
      <c r="D48" s="2" t="s">
        <v>1900</v>
      </c>
      <c r="E48" s="4" t="s">
        <v>1342</v>
      </c>
      <c r="F48" s="2" t="s">
        <v>2359</v>
      </c>
      <c r="G48" s="2" t="s">
        <v>2360</v>
      </c>
      <c r="H48" s="2" t="s">
        <v>356</v>
      </c>
      <c r="I48" s="2" t="s">
        <v>208</v>
      </c>
      <c r="J48" s="2" t="s">
        <v>30</v>
      </c>
      <c r="K48" s="2" t="s">
        <v>30</v>
      </c>
      <c r="L48" s="2" t="s">
        <v>362</v>
      </c>
      <c r="M48" s="2" t="s">
        <v>31</v>
      </c>
      <c r="N48" s="2" t="s">
        <v>481</v>
      </c>
      <c r="O48" s="2" t="s">
        <v>155</v>
      </c>
      <c r="P48" s="2" t="s">
        <v>100</v>
      </c>
      <c r="Q48" s="2" t="s">
        <v>206</v>
      </c>
      <c r="R48" s="2" t="s">
        <v>441</v>
      </c>
      <c r="S48" s="2" t="s">
        <v>34</v>
      </c>
      <c r="T48" s="151">
        <v>5.1369999999999996</v>
      </c>
      <c r="U48" s="2" t="s">
        <v>2361</v>
      </c>
      <c r="V48" s="162">
        <v>1E-3</v>
      </c>
      <c r="W48" s="164">
        <v>2.622E-2</v>
      </c>
      <c r="X48" s="4" t="s">
        <v>447</v>
      </c>
      <c r="Y48" s="4" t="s">
        <v>155</v>
      </c>
      <c r="Z48" s="151">
        <v>400000</v>
      </c>
      <c r="AA48" s="158">
        <v>1</v>
      </c>
      <c r="AB48" s="175">
        <v>99.1</v>
      </c>
      <c r="AD48" s="151">
        <v>396.4</v>
      </c>
      <c r="AG48" s="2" t="s">
        <v>36</v>
      </c>
      <c r="AH48" s="164">
        <v>1.6100000000000001E-4</v>
      </c>
      <c r="AI48" s="164">
        <v>1.31841204724402E-2</v>
      </c>
      <c r="AJ48" s="164">
        <v>9.6229554320741704E-4</v>
      </c>
    </row>
    <row r="49" spans="1:36">
      <c r="A49" s="2">
        <v>1182</v>
      </c>
      <c r="B49" s="2">
        <v>1182</v>
      </c>
      <c r="C49" s="2" t="s">
        <v>1903</v>
      </c>
      <c r="D49" s="2" t="s">
        <v>1904</v>
      </c>
      <c r="E49" s="4" t="s">
        <v>1342</v>
      </c>
      <c r="F49" s="2" t="s">
        <v>2362</v>
      </c>
      <c r="G49" s="2" t="s">
        <v>2363</v>
      </c>
      <c r="H49" s="2" t="s">
        <v>356</v>
      </c>
      <c r="I49" s="2" t="s">
        <v>208</v>
      </c>
      <c r="J49" s="2" t="s">
        <v>30</v>
      </c>
      <c r="K49" s="2" t="s">
        <v>30</v>
      </c>
      <c r="L49" s="2" t="s">
        <v>362</v>
      </c>
      <c r="M49" s="2" t="s">
        <v>31</v>
      </c>
      <c r="N49" s="2" t="s">
        <v>497</v>
      </c>
      <c r="O49" s="2" t="s">
        <v>155</v>
      </c>
      <c r="P49" s="2" t="s">
        <v>2211</v>
      </c>
      <c r="Q49" s="2" t="s">
        <v>206</v>
      </c>
      <c r="R49" s="2" t="s">
        <v>441</v>
      </c>
      <c r="S49" s="2" t="s">
        <v>34</v>
      </c>
      <c r="T49" s="151">
        <v>5.83</v>
      </c>
      <c r="U49" s="2" t="s">
        <v>2287</v>
      </c>
      <c r="V49" s="162">
        <v>3.5000000000000001E-3</v>
      </c>
      <c r="W49" s="164">
        <v>3.4130000000000001E-2</v>
      </c>
      <c r="X49" s="4" t="s">
        <v>447</v>
      </c>
      <c r="Y49" s="4" t="s">
        <v>155</v>
      </c>
      <c r="Z49" s="151">
        <v>340000</v>
      </c>
      <c r="AA49" s="158">
        <v>1</v>
      </c>
      <c r="AB49" s="175">
        <v>94.3</v>
      </c>
      <c r="AD49" s="151">
        <v>320.62</v>
      </c>
      <c r="AG49" s="2" t="s">
        <v>36</v>
      </c>
      <c r="AH49" s="164">
        <v>9.7999999999999997E-5</v>
      </c>
      <c r="AI49" s="164">
        <v>1.0663705110680601E-2</v>
      </c>
      <c r="AJ49" s="164">
        <v>7.7833298956398096E-4</v>
      </c>
    </row>
    <row r="50" spans="1:36">
      <c r="A50" s="2">
        <v>1182</v>
      </c>
      <c r="B50" s="2">
        <v>1182</v>
      </c>
      <c r="C50" s="2" t="s">
        <v>2364</v>
      </c>
      <c r="D50" s="2" t="s">
        <v>2365</v>
      </c>
      <c r="E50" s="4" t="s">
        <v>1342</v>
      </c>
      <c r="F50" s="2" t="s">
        <v>2366</v>
      </c>
      <c r="G50" s="2" t="s">
        <v>2367</v>
      </c>
      <c r="H50" s="2" t="s">
        <v>356</v>
      </c>
      <c r="I50" s="2" t="s">
        <v>1000</v>
      </c>
      <c r="J50" s="2" t="s">
        <v>30</v>
      </c>
      <c r="K50" s="2" t="s">
        <v>30</v>
      </c>
      <c r="L50" s="2" t="s">
        <v>362</v>
      </c>
      <c r="M50" s="2" t="s">
        <v>85</v>
      </c>
      <c r="N50" s="2" t="s">
        <v>478</v>
      </c>
      <c r="O50" s="2" t="s">
        <v>155</v>
      </c>
      <c r="P50" s="2" t="s">
        <v>1346</v>
      </c>
      <c r="Q50" s="2" t="s">
        <v>101</v>
      </c>
      <c r="R50" s="2" t="s">
        <v>441</v>
      </c>
      <c r="S50" s="2" t="s">
        <v>34</v>
      </c>
      <c r="T50" s="151">
        <v>9.5030000000000001</v>
      </c>
      <c r="U50" s="2" t="s">
        <v>2246</v>
      </c>
      <c r="V50" s="162">
        <v>6.0699999999999997E-2</v>
      </c>
      <c r="W50" s="164">
        <v>6.1519999999999998E-2</v>
      </c>
      <c r="X50" s="4" t="s">
        <v>447</v>
      </c>
      <c r="Y50" s="4" t="s">
        <v>155</v>
      </c>
      <c r="Z50" s="151">
        <v>399000</v>
      </c>
      <c r="AA50" s="158">
        <v>1</v>
      </c>
      <c r="AB50" s="175">
        <v>101.97</v>
      </c>
      <c r="AD50" s="151">
        <v>406.86</v>
      </c>
      <c r="AG50" s="2" t="s">
        <v>36</v>
      </c>
      <c r="AH50" s="164">
        <v>1.897E-3</v>
      </c>
      <c r="AI50" s="164">
        <v>1.35320262629999E-2</v>
      </c>
      <c r="AJ50" s="164">
        <v>9.8768883299201003E-4</v>
      </c>
    </row>
    <row r="51" spans="1:36">
      <c r="A51" s="2">
        <v>1182</v>
      </c>
      <c r="B51" s="2">
        <v>1182</v>
      </c>
      <c r="C51" s="2" t="s">
        <v>2364</v>
      </c>
      <c r="D51" s="2" t="s">
        <v>2365</v>
      </c>
      <c r="E51" s="4" t="s">
        <v>1342</v>
      </c>
      <c r="F51" s="2" t="s">
        <v>2368</v>
      </c>
      <c r="G51" s="2" t="s">
        <v>2369</v>
      </c>
      <c r="H51" s="2" t="s">
        <v>356</v>
      </c>
      <c r="I51" s="2" t="s">
        <v>1000</v>
      </c>
      <c r="J51" s="2" t="s">
        <v>30</v>
      </c>
      <c r="K51" s="2" t="s">
        <v>30</v>
      </c>
      <c r="L51" s="2" t="s">
        <v>362</v>
      </c>
      <c r="M51" s="2" t="s">
        <v>85</v>
      </c>
      <c r="N51" s="2" t="s">
        <v>478</v>
      </c>
      <c r="O51" s="2" t="s">
        <v>155</v>
      </c>
      <c r="P51" s="2" t="s">
        <v>1346</v>
      </c>
      <c r="Q51" s="2" t="s">
        <v>206</v>
      </c>
      <c r="R51" s="2" t="s">
        <v>441</v>
      </c>
      <c r="S51" s="2" t="s">
        <v>34</v>
      </c>
      <c r="T51" s="151">
        <v>9.0589999999999993</v>
      </c>
      <c r="U51" s="2" t="s">
        <v>2370</v>
      </c>
      <c r="V51" s="162">
        <v>6.0699999999999997E-2</v>
      </c>
      <c r="W51" s="164">
        <v>6.0609999999999997E-2</v>
      </c>
      <c r="X51" s="4" t="s">
        <v>447</v>
      </c>
      <c r="Y51" s="4" t="s">
        <v>155</v>
      </c>
      <c r="Z51" s="151">
        <v>700077</v>
      </c>
      <c r="AA51" s="158">
        <v>1</v>
      </c>
      <c r="AB51" s="175">
        <v>102.54</v>
      </c>
      <c r="AD51" s="151">
        <v>717.85900000000004</v>
      </c>
      <c r="AG51" s="2" t="s">
        <v>36</v>
      </c>
      <c r="AH51" s="164">
        <v>3.3289999999999999E-3</v>
      </c>
      <c r="AI51" s="164">
        <v>2.3875728949261699E-2</v>
      </c>
      <c r="AJ51" s="164">
        <v>1.74266517108444E-3</v>
      </c>
    </row>
    <row r="52" spans="1:36">
      <c r="A52" s="2">
        <v>1182</v>
      </c>
      <c r="B52" s="2">
        <v>1182</v>
      </c>
      <c r="C52" s="2" t="s">
        <v>1907</v>
      </c>
      <c r="D52" s="2" t="s">
        <v>1908</v>
      </c>
      <c r="E52" s="4" t="s">
        <v>1342</v>
      </c>
      <c r="F52" s="2" t="s">
        <v>2371</v>
      </c>
      <c r="G52" s="2" t="s">
        <v>2372</v>
      </c>
      <c r="H52" s="2" t="s">
        <v>356</v>
      </c>
      <c r="I52" s="2" t="s">
        <v>1000</v>
      </c>
      <c r="J52" s="2" t="s">
        <v>30</v>
      </c>
      <c r="K52" s="2" t="s">
        <v>30</v>
      </c>
      <c r="L52" s="2" t="s">
        <v>362</v>
      </c>
      <c r="M52" s="2" t="s">
        <v>31</v>
      </c>
      <c r="N52" s="2" t="s">
        <v>497</v>
      </c>
      <c r="O52" s="2" t="s">
        <v>155</v>
      </c>
      <c r="P52" s="2" t="s">
        <v>2181</v>
      </c>
      <c r="Q52" s="2" t="s">
        <v>101</v>
      </c>
      <c r="R52" s="2" t="s">
        <v>441</v>
      </c>
      <c r="S52" s="2" t="s">
        <v>34</v>
      </c>
      <c r="T52" s="151">
        <v>4.8710000000000004</v>
      </c>
      <c r="U52" s="2" t="s">
        <v>2373</v>
      </c>
      <c r="V52" s="162">
        <v>5.4800000000000001E-2</v>
      </c>
      <c r="W52" s="164">
        <v>6.2E-2</v>
      </c>
      <c r="X52" s="4" t="s">
        <v>447</v>
      </c>
      <c r="Y52" s="4" t="s">
        <v>155</v>
      </c>
      <c r="Z52" s="151">
        <v>531429</v>
      </c>
      <c r="AA52" s="158">
        <v>1</v>
      </c>
      <c r="AB52" s="175">
        <v>98.13</v>
      </c>
      <c r="AD52" s="151">
        <v>521.49099999999999</v>
      </c>
      <c r="AG52" s="2" t="s">
        <v>36</v>
      </c>
      <c r="AH52" s="164">
        <v>1.771E-3</v>
      </c>
      <c r="AI52" s="164">
        <v>1.7344611075992899E-2</v>
      </c>
      <c r="AJ52" s="164">
        <v>1.2659655205657201E-3</v>
      </c>
    </row>
    <row r="53" spans="1:36">
      <c r="A53" s="2">
        <v>1182</v>
      </c>
      <c r="B53" s="2">
        <v>1182</v>
      </c>
      <c r="C53" s="2" t="s">
        <v>2374</v>
      </c>
      <c r="D53" s="2" t="s">
        <v>2375</v>
      </c>
      <c r="E53" s="4" t="s">
        <v>1342</v>
      </c>
      <c r="F53" s="2" t="s">
        <v>2376</v>
      </c>
      <c r="G53" s="2" t="s">
        <v>2377</v>
      </c>
      <c r="H53" s="2" t="s">
        <v>356</v>
      </c>
      <c r="I53" s="2" t="s">
        <v>208</v>
      </c>
      <c r="J53" s="2" t="s">
        <v>30</v>
      </c>
      <c r="K53" s="2" t="s">
        <v>30</v>
      </c>
      <c r="L53" s="2" t="s">
        <v>362</v>
      </c>
      <c r="M53" s="2" t="s">
        <v>31</v>
      </c>
      <c r="N53" s="2" t="s">
        <v>497</v>
      </c>
      <c r="O53" s="2" t="s">
        <v>155</v>
      </c>
      <c r="P53" s="2" t="s">
        <v>2192</v>
      </c>
      <c r="Q53" s="2" t="s">
        <v>206</v>
      </c>
      <c r="R53" s="2" t="s">
        <v>441</v>
      </c>
      <c r="S53" s="2" t="s">
        <v>34</v>
      </c>
      <c r="T53" s="151">
        <v>2.2000000000000002</v>
      </c>
      <c r="U53" s="2" t="s">
        <v>2378</v>
      </c>
      <c r="V53" s="162">
        <v>3.0000000000000001E-3</v>
      </c>
      <c r="W53" s="164">
        <v>3.1710000000000002E-2</v>
      </c>
      <c r="X53" s="4" t="s">
        <v>447</v>
      </c>
      <c r="Y53" s="4" t="s">
        <v>155</v>
      </c>
      <c r="Z53" s="151">
        <v>403000</v>
      </c>
      <c r="AA53" s="158">
        <v>1</v>
      </c>
      <c r="AB53" s="175">
        <v>97.34</v>
      </c>
      <c r="AD53" s="151">
        <v>392.28</v>
      </c>
      <c r="AG53" s="2" t="s">
        <v>36</v>
      </c>
      <c r="AH53" s="164">
        <v>1.2210000000000001E-3</v>
      </c>
      <c r="AI53" s="164">
        <v>1.3047097416127499E-2</v>
      </c>
      <c r="AJ53" s="164">
        <v>9.5229436969857298E-4</v>
      </c>
    </row>
    <row r="54" spans="1:36">
      <c r="A54" s="2">
        <v>1182</v>
      </c>
      <c r="B54" s="2">
        <v>1182</v>
      </c>
      <c r="C54" s="2" t="s">
        <v>2379</v>
      </c>
      <c r="D54" s="2" t="s">
        <v>2380</v>
      </c>
      <c r="E54" s="4" t="s">
        <v>1342</v>
      </c>
      <c r="F54" s="2" t="s">
        <v>2381</v>
      </c>
      <c r="G54" s="2" t="s">
        <v>2382</v>
      </c>
      <c r="H54" s="2" t="s">
        <v>356</v>
      </c>
      <c r="I54" s="2" t="s">
        <v>208</v>
      </c>
      <c r="J54" s="2" t="s">
        <v>30</v>
      </c>
      <c r="K54" s="2" t="s">
        <v>30</v>
      </c>
      <c r="L54" s="2" t="s">
        <v>362</v>
      </c>
      <c r="M54" s="2" t="s">
        <v>31</v>
      </c>
      <c r="N54" s="2" t="s">
        <v>481</v>
      </c>
      <c r="O54" s="2" t="s">
        <v>155</v>
      </c>
      <c r="P54" s="2" t="s">
        <v>1353</v>
      </c>
      <c r="Q54" s="2" t="s">
        <v>206</v>
      </c>
      <c r="R54" s="2" t="s">
        <v>441</v>
      </c>
      <c r="S54" s="2" t="s">
        <v>34</v>
      </c>
      <c r="T54" s="151">
        <v>4.4210000000000003</v>
      </c>
      <c r="U54" s="2" t="s">
        <v>2383</v>
      </c>
      <c r="V54" s="162">
        <v>3.3599999999999998E-2</v>
      </c>
      <c r="W54" s="164">
        <v>3.0880000000000001E-2</v>
      </c>
      <c r="X54" s="4" t="s">
        <v>447</v>
      </c>
      <c r="Y54" s="4" t="s">
        <v>155</v>
      </c>
      <c r="Z54" s="151">
        <v>500000</v>
      </c>
      <c r="AA54" s="158">
        <v>1</v>
      </c>
      <c r="AB54" s="175">
        <v>105.66</v>
      </c>
      <c r="AD54" s="151">
        <v>528.29999999999995</v>
      </c>
      <c r="AG54" s="2" t="s">
        <v>36</v>
      </c>
      <c r="AH54" s="164">
        <v>4.28E-4</v>
      </c>
      <c r="AI54" s="164">
        <v>1.7571066714405101E-2</v>
      </c>
      <c r="AJ54" s="164">
        <v>1.28249428727669E-3</v>
      </c>
    </row>
    <row r="55" spans="1:36">
      <c r="A55" s="2">
        <v>1182</v>
      </c>
      <c r="B55" s="2">
        <v>1182</v>
      </c>
      <c r="C55" s="2" t="s">
        <v>2379</v>
      </c>
      <c r="D55" s="2" t="s">
        <v>2380</v>
      </c>
      <c r="E55" s="4" t="s">
        <v>1342</v>
      </c>
      <c r="F55" s="2" t="s">
        <v>2384</v>
      </c>
      <c r="G55" s="2" t="s">
        <v>2385</v>
      </c>
      <c r="H55" s="2" t="s">
        <v>356</v>
      </c>
      <c r="I55" s="2" t="s">
        <v>208</v>
      </c>
      <c r="J55" s="2" t="s">
        <v>30</v>
      </c>
      <c r="K55" s="2" t="s">
        <v>30</v>
      </c>
      <c r="L55" s="2" t="s">
        <v>362</v>
      </c>
      <c r="M55" s="2" t="s">
        <v>31</v>
      </c>
      <c r="N55" s="2" t="s">
        <v>481</v>
      </c>
      <c r="O55" s="2" t="s">
        <v>155</v>
      </c>
      <c r="P55" s="2" t="s">
        <v>100</v>
      </c>
      <c r="Q55" s="2" t="s">
        <v>206</v>
      </c>
      <c r="R55" s="2" t="s">
        <v>441</v>
      </c>
      <c r="S55" s="2" t="s">
        <v>34</v>
      </c>
      <c r="T55" s="151">
        <v>5.5650000000000004</v>
      </c>
      <c r="U55" s="2" t="s">
        <v>2386</v>
      </c>
      <c r="V55" s="162">
        <v>2.2013000000000001E-2</v>
      </c>
      <c r="W55" s="164">
        <v>2.4819999999999998E-2</v>
      </c>
      <c r="X55" s="4" t="s">
        <v>447</v>
      </c>
      <c r="Y55" s="4" t="s">
        <v>155</v>
      </c>
      <c r="Z55" s="151">
        <v>810000</v>
      </c>
      <c r="AA55" s="158">
        <v>1</v>
      </c>
      <c r="AB55" s="175">
        <v>117</v>
      </c>
      <c r="AD55" s="151">
        <v>947.7</v>
      </c>
      <c r="AG55" s="2" t="s">
        <v>36</v>
      </c>
      <c r="AH55" s="164">
        <v>1.1540000000000001E-3</v>
      </c>
      <c r="AI55" s="164">
        <v>3.15201588590606E-2</v>
      </c>
      <c r="AJ55" s="164">
        <v>2.3006243347569902E-3</v>
      </c>
    </row>
    <row r="56" spans="1:36">
      <c r="A56" s="2">
        <v>1182</v>
      </c>
      <c r="B56" s="2">
        <v>1182</v>
      </c>
      <c r="C56" s="2" t="s">
        <v>1919</v>
      </c>
      <c r="D56" s="2" t="s">
        <v>1920</v>
      </c>
      <c r="E56" s="4" t="s">
        <v>1342</v>
      </c>
      <c r="F56" s="2" t="s">
        <v>2387</v>
      </c>
      <c r="G56" s="2" t="s">
        <v>2388</v>
      </c>
      <c r="H56" s="2" t="s">
        <v>356</v>
      </c>
      <c r="I56" s="2" t="s">
        <v>208</v>
      </c>
      <c r="J56" s="2" t="s">
        <v>30</v>
      </c>
      <c r="K56" s="2" t="s">
        <v>30</v>
      </c>
      <c r="L56" s="2" t="s">
        <v>362</v>
      </c>
      <c r="M56" s="2" t="s">
        <v>31</v>
      </c>
      <c r="N56" s="2" t="s">
        <v>497</v>
      </c>
      <c r="O56" s="2" t="s">
        <v>155</v>
      </c>
      <c r="P56" s="2" t="s">
        <v>2211</v>
      </c>
      <c r="Q56" s="2" t="s">
        <v>206</v>
      </c>
      <c r="R56" s="2" t="s">
        <v>441</v>
      </c>
      <c r="S56" s="2" t="s">
        <v>34</v>
      </c>
      <c r="T56" s="151">
        <v>5.92</v>
      </c>
      <c r="U56" s="2" t="s">
        <v>2389</v>
      </c>
      <c r="V56" s="162">
        <v>3.61E-2</v>
      </c>
      <c r="W56" s="164">
        <v>3.4549999999999997E-2</v>
      </c>
      <c r="X56" s="4" t="s">
        <v>447</v>
      </c>
      <c r="Y56" s="4" t="s">
        <v>155</v>
      </c>
      <c r="Z56" s="151">
        <v>395959.6</v>
      </c>
      <c r="AA56" s="158">
        <v>1</v>
      </c>
      <c r="AB56" s="175">
        <v>107.95</v>
      </c>
      <c r="AD56" s="151">
        <v>427.43799999999999</v>
      </c>
      <c r="AG56" s="2" t="s">
        <v>36</v>
      </c>
      <c r="AH56" s="164">
        <v>3.7100000000000002E-4</v>
      </c>
      <c r="AI56" s="164">
        <v>1.42164460256672E-2</v>
      </c>
      <c r="AJ56" s="164">
        <v>1.03764393531943E-3</v>
      </c>
    </row>
    <row r="57" spans="1:36">
      <c r="A57" s="2">
        <v>1182</v>
      </c>
      <c r="B57" s="2">
        <v>1182</v>
      </c>
      <c r="C57" s="2" t="s">
        <v>1927</v>
      </c>
      <c r="D57" s="2" t="s">
        <v>1483</v>
      </c>
      <c r="E57" s="4" t="s">
        <v>1342</v>
      </c>
      <c r="F57" s="2" t="s">
        <v>2390</v>
      </c>
      <c r="G57" s="2" t="s">
        <v>2391</v>
      </c>
      <c r="H57" s="2" t="s">
        <v>356</v>
      </c>
      <c r="I57" s="2" t="s">
        <v>1000</v>
      </c>
      <c r="J57" s="2" t="s">
        <v>30</v>
      </c>
      <c r="K57" s="2" t="s">
        <v>30</v>
      </c>
      <c r="L57" s="2" t="s">
        <v>362</v>
      </c>
      <c r="M57" s="2" t="s">
        <v>31</v>
      </c>
      <c r="N57" s="2" t="s">
        <v>476</v>
      </c>
      <c r="O57" s="2" t="s">
        <v>155</v>
      </c>
      <c r="P57" s="2" t="s">
        <v>2192</v>
      </c>
      <c r="Q57" s="2" t="s">
        <v>101</v>
      </c>
      <c r="R57" s="2" t="s">
        <v>441</v>
      </c>
      <c r="S57" s="2" t="s">
        <v>34</v>
      </c>
      <c r="T57" s="151">
        <v>1.448</v>
      </c>
      <c r="U57" s="2" t="s">
        <v>2392</v>
      </c>
      <c r="V57" s="162">
        <v>0.114</v>
      </c>
      <c r="W57" s="164">
        <v>6.5989999999999993E-2</v>
      </c>
      <c r="X57" s="4" t="s">
        <v>447</v>
      </c>
      <c r="Y57" s="4" t="s">
        <v>155</v>
      </c>
      <c r="Z57" s="151">
        <v>517152.9</v>
      </c>
      <c r="AA57" s="158">
        <v>1</v>
      </c>
      <c r="AB57" s="175">
        <v>100.59</v>
      </c>
      <c r="AD57" s="151">
        <v>520.20399999999995</v>
      </c>
      <c r="AG57" s="2" t="s">
        <v>36</v>
      </c>
      <c r="AH57" s="164">
        <v>1.433E-3</v>
      </c>
      <c r="AI57" s="164">
        <v>1.7301800081926898E-2</v>
      </c>
      <c r="AJ57" s="164">
        <v>1.2628407896535601E-3</v>
      </c>
    </row>
    <row r="58" spans="1:36">
      <c r="A58" s="2">
        <v>1182</v>
      </c>
      <c r="B58" s="2">
        <v>1182</v>
      </c>
      <c r="C58" s="2" t="s">
        <v>1927</v>
      </c>
      <c r="D58" s="2" t="s">
        <v>1483</v>
      </c>
      <c r="E58" s="4" t="s">
        <v>1342</v>
      </c>
      <c r="F58" s="2" t="s">
        <v>2393</v>
      </c>
      <c r="G58" s="2" t="s">
        <v>2394</v>
      </c>
      <c r="H58" s="2" t="s">
        <v>356</v>
      </c>
      <c r="I58" s="2" t="s">
        <v>1000</v>
      </c>
      <c r="J58" s="2" t="s">
        <v>30</v>
      </c>
      <c r="K58" s="2" t="s">
        <v>30</v>
      </c>
      <c r="L58" s="2" t="s">
        <v>362</v>
      </c>
      <c r="M58" s="2" t="s">
        <v>31</v>
      </c>
      <c r="N58" s="2" t="s">
        <v>476</v>
      </c>
      <c r="O58" s="2" t="s">
        <v>155</v>
      </c>
      <c r="P58" s="2" t="s">
        <v>2192</v>
      </c>
      <c r="Q58" s="2" t="s">
        <v>101</v>
      </c>
      <c r="R58" s="2" t="s">
        <v>441</v>
      </c>
      <c r="S58" s="2" t="s">
        <v>34</v>
      </c>
      <c r="T58" s="151">
        <v>2.266</v>
      </c>
      <c r="U58" s="2" t="s">
        <v>2395</v>
      </c>
      <c r="V58" s="162">
        <v>7.22E-2</v>
      </c>
      <c r="W58" s="164">
        <v>6.855E-2</v>
      </c>
      <c r="X58" s="4" t="s">
        <v>447</v>
      </c>
      <c r="Y58" s="4" t="s">
        <v>155</v>
      </c>
      <c r="Z58" s="151">
        <v>299000</v>
      </c>
      <c r="AA58" s="158">
        <v>1</v>
      </c>
      <c r="AB58" s="175">
        <v>102.41</v>
      </c>
      <c r="AD58" s="151">
        <v>306.20600000000002</v>
      </c>
      <c r="AG58" s="2" t="s">
        <v>36</v>
      </c>
      <c r="AH58" s="164">
        <v>1.4159999999999999E-3</v>
      </c>
      <c r="AI58" s="164">
        <v>1.01842973637033E-2</v>
      </c>
      <c r="AJ58" s="164">
        <v>7.4334150573616596E-4</v>
      </c>
    </row>
    <row r="59" spans="1:36">
      <c r="A59" s="2">
        <v>1182</v>
      </c>
      <c r="B59" s="2">
        <v>1182</v>
      </c>
      <c r="C59" s="2" t="s">
        <v>2396</v>
      </c>
      <c r="D59" s="2" t="s">
        <v>2397</v>
      </c>
      <c r="E59" s="4" t="s">
        <v>1342</v>
      </c>
      <c r="F59" s="2" t="s">
        <v>2398</v>
      </c>
      <c r="G59" s="2" t="s">
        <v>2399</v>
      </c>
      <c r="H59" s="2" t="s">
        <v>356</v>
      </c>
      <c r="I59" s="2" t="s">
        <v>208</v>
      </c>
      <c r="J59" s="2" t="s">
        <v>30</v>
      </c>
      <c r="K59" s="2" t="s">
        <v>30</v>
      </c>
      <c r="L59" s="2" t="s">
        <v>362</v>
      </c>
      <c r="M59" s="2" t="s">
        <v>31</v>
      </c>
      <c r="N59" s="2" t="s">
        <v>480</v>
      </c>
      <c r="O59" s="2" t="s">
        <v>155</v>
      </c>
      <c r="P59" s="2" t="s">
        <v>1337</v>
      </c>
      <c r="Q59" s="2" t="s">
        <v>101</v>
      </c>
      <c r="R59" s="2" t="s">
        <v>441</v>
      </c>
      <c r="S59" s="2" t="s">
        <v>34</v>
      </c>
      <c r="T59" s="151">
        <v>3.5590000000000002</v>
      </c>
      <c r="U59" s="2" t="s">
        <v>2400</v>
      </c>
      <c r="V59" s="162">
        <v>2.07E-2</v>
      </c>
      <c r="W59" s="164">
        <v>4.965E-2</v>
      </c>
      <c r="X59" s="4" t="s">
        <v>447</v>
      </c>
      <c r="Y59" s="4" t="s">
        <v>155</v>
      </c>
      <c r="Z59" s="151">
        <v>350537.71</v>
      </c>
      <c r="AA59" s="158">
        <v>1</v>
      </c>
      <c r="AB59" s="175">
        <v>101.96</v>
      </c>
      <c r="AD59" s="151">
        <v>357.40800000000002</v>
      </c>
      <c r="AG59" s="2" t="s">
        <v>36</v>
      </c>
      <c r="AH59" s="164">
        <v>7.3499999999999998E-4</v>
      </c>
      <c r="AI59" s="164">
        <v>1.18872689560779E-2</v>
      </c>
      <c r="AJ59" s="164">
        <v>8.6763967010568396E-4</v>
      </c>
    </row>
    <row r="60" spans="1:36">
      <c r="A60" s="2">
        <v>1182</v>
      </c>
      <c r="B60" s="2">
        <v>1182</v>
      </c>
      <c r="C60" s="2" t="s">
        <v>2401</v>
      </c>
      <c r="D60" s="2" t="s">
        <v>2402</v>
      </c>
      <c r="E60" s="4" t="s">
        <v>1342</v>
      </c>
      <c r="F60" s="2" t="s">
        <v>2403</v>
      </c>
      <c r="G60" s="2" t="s">
        <v>2404</v>
      </c>
      <c r="H60" s="2" t="s">
        <v>356</v>
      </c>
      <c r="I60" s="2" t="s">
        <v>208</v>
      </c>
      <c r="J60" s="2" t="s">
        <v>30</v>
      </c>
      <c r="K60" s="2" t="s">
        <v>30</v>
      </c>
      <c r="L60" s="2" t="s">
        <v>362</v>
      </c>
      <c r="M60" s="2" t="s">
        <v>31</v>
      </c>
      <c r="N60" s="2" t="s">
        <v>511</v>
      </c>
      <c r="O60" s="2" t="s">
        <v>155</v>
      </c>
      <c r="P60" s="2" t="s">
        <v>100</v>
      </c>
      <c r="Q60" s="2" t="s">
        <v>206</v>
      </c>
      <c r="R60" s="2" t="s">
        <v>441</v>
      </c>
      <c r="S60" s="2" t="s">
        <v>34</v>
      </c>
      <c r="T60" s="151">
        <v>12.19</v>
      </c>
      <c r="U60" s="2" t="s">
        <v>2405</v>
      </c>
      <c r="V60" s="162">
        <v>2.07E-2</v>
      </c>
      <c r="W60" s="164">
        <v>3.286E-2</v>
      </c>
      <c r="X60" s="4" t="s">
        <v>447</v>
      </c>
      <c r="Y60" s="4" t="s">
        <v>155</v>
      </c>
      <c r="Z60" s="151">
        <v>293329.78999999998</v>
      </c>
      <c r="AA60" s="158">
        <v>1</v>
      </c>
      <c r="AB60" s="175">
        <v>99.37</v>
      </c>
      <c r="AD60" s="151">
        <v>291.48200000000003</v>
      </c>
      <c r="AG60" s="2" t="s">
        <v>36</v>
      </c>
      <c r="AH60" s="164">
        <v>6.3999999999999997E-5</v>
      </c>
      <c r="AI60" s="164">
        <v>9.6945795388285703E-3</v>
      </c>
      <c r="AJ60" s="164">
        <v>7.0759749980939398E-4</v>
      </c>
    </row>
    <row r="61" spans="1:36">
      <c r="A61" s="2">
        <v>1182</v>
      </c>
      <c r="B61" s="2">
        <v>1182</v>
      </c>
      <c r="C61" s="2" t="s">
        <v>2406</v>
      </c>
      <c r="D61" s="2" t="s">
        <v>2407</v>
      </c>
      <c r="E61" s="4" t="s">
        <v>348</v>
      </c>
      <c r="F61" s="2" t="s">
        <v>2408</v>
      </c>
      <c r="G61" s="2" t="s">
        <v>2409</v>
      </c>
      <c r="H61" s="2" t="s">
        <v>356</v>
      </c>
      <c r="I61" s="2" t="s">
        <v>1000</v>
      </c>
      <c r="J61" s="2" t="s">
        <v>30</v>
      </c>
      <c r="K61" s="2" t="s">
        <v>30</v>
      </c>
      <c r="L61" s="2" t="s">
        <v>362</v>
      </c>
      <c r="M61" s="2" t="s">
        <v>85</v>
      </c>
      <c r="N61" s="2" t="s">
        <v>487</v>
      </c>
      <c r="O61" s="2" t="s">
        <v>155</v>
      </c>
      <c r="P61" s="2" t="s">
        <v>2192</v>
      </c>
      <c r="Q61" s="2" t="s">
        <v>206</v>
      </c>
      <c r="R61" s="2" t="s">
        <v>441</v>
      </c>
      <c r="S61" s="2" t="s">
        <v>34</v>
      </c>
      <c r="T61" s="151">
        <v>3.4260000000000002</v>
      </c>
      <c r="U61" s="2" t="s">
        <v>2410</v>
      </c>
      <c r="V61" s="162">
        <v>6.7000000000000004E-2</v>
      </c>
      <c r="W61" s="164">
        <v>6.5699999999999995E-2</v>
      </c>
      <c r="X61" s="4" t="s">
        <v>447</v>
      </c>
      <c r="Y61" s="4" t="s">
        <v>155</v>
      </c>
      <c r="Z61" s="151">
        <v>261000</v>
      </c>
      <c r="AA61" s="158">
        <v>1</v>
      </c>
      <c r="AB61" s="175">
        <v>100.86</v>
      </c>
      <c r="AD61" s="151">
        <v>263.245</v>
      </c>
      <c r="AG61" s="2" t="s">
        <v>36</v>
      </c>
      <c r="AH61" s="164">
        <v>2.8699999999999998E-4</v>
      </c>
      <c r="AI61" s="164">
        <v>8.7554200810275908E-3</v>
      </c>
      <c r="AJ61" s="164">
        <v>6.3904920623970602E-4</v>
      </c>
    </row>
    <row r="62" spans="1:36">
      <c r="A62" s="2">
        <v>1182</v>
      </c>
      <c r="B62" s="2">
        <v>1182</v>
      </c>
      <c r="C62" s="2" t="s">
        <v>2411</v>
      </c>
      <c r="D62" s="2" t="s">
        <v>2412</v>
      </c>
      <c r="E62" s="4" t="s">
        <v>1342</v>
      </c>
      <c r="F62" s="2" t="s">
        <v>2413</v>
      </c>
      <c r="G62" s="2" t="s">
        <v>2414</v>
      </c>
      <c r="H62" s="2" t="s">
        <v>356</v>
      </c>
      <c r="I62" s="2" t="s">
        <v>208</v>
      </c>
      <c r="J62" s="2" t="s">
        <v>30</v>
      </c>
      <c r="K62" s="2" t="s">
        <v>30</v>
      </c>
      <c r="L62" s="2" t="s">
        <v>362</v>
      </c>
      <c r="M62" s="2" t="s">
        <v>31</v>
      </c>
      <c r="N62" s="2" t="s">
        <v>474</v>
      </c>
      <c r="O62" s="2" t="s">
        <v>155</v>
      </c>
      <c r="P62" s="2" t="s">
        <v>2192</v>
      </c>
      <c r="Q62" s="2" t="s">
        <v>101</v>
      </c>
      <c r="R62" s="2" t="s">
        <v>441</v>
      </c>
      <c r="S62" s="2" t="s">
        <v>34</v>
      </c>
      <c r="T62" s="151">
        <v>2.3929999999999998</v>
      </c>
      <c r="U62" s="2" t="s">
        <v>1338</v>
      </c>
      <c r="V62" s="162">
        <v>1.4800000000000001E-2</v>
      </c>
      <c r="W62" s="164">
        <v>3.1379999999999998E-2</v>
      </c>
      <c r="X62" s="4" t="s">
        <v>447</v>
      </c>
      <c r="Y62" s="4" t="s">
        <v>155</v>
      </c>
      <c r="Z62" s="151">
        <v>175500</v>
      </c>
      <c r="AA62" s="158">
        <v>1</v>
      </c>
      <c r="AB62" s="175">
        <v>109.1</v>
      </c>
      <c r="AD62" s="151">
        <v>191.47</v>
      </c>
      <c r="AG62" s="2" t="s">
        <v>36</v>
      </c>
      <c r="AH62" s="164">
        <v>2.33E-4</v>
      </c>
      <c r="AI62" s="164">
        <v>6.3682395028213101E-3</v>
      </c>
      <c r="AJ62" s="164">
        <v>4.6481132392960599E-4</v>
      </c>
    </row>
    <row r="63" spans="1:36">
      <c r="A63" s="2">
        <v>1182</v>
      </c>
      <c r="B63" s="2">
        <v>1182</v>
      </c>
      <c r="C63" s="2" t="s">
        <v>2411</v>
      </c>
      <c r="D63" s="2" t="s">
        <v>2412</v>
      </c>
      <c r="E63" s="4" t="s">
        <v>1342</v>
      </c>
      <c r="F63" s="2" t="s">
        <v>2415</v>
      </c>
      <c r="G63" s="2" t="s">
        <v>2416</v>
      </c>
      <c r="H63" s="2" t="s">
        <v>356</v>
      </c>
      <c r="I63" s="2" t="s">
        <v>1000</v>
      </c>
      <c r="J63" s="2" t="s">
        <v>30</v>
      </c>
      <c r="K63" s="2" t="s">
        <v>30</v>
      </c>
      <c r="L63" s="2" t="s">
        <v>362</v>
      </c>
      <c r="M63" s="2" t="s">
        <v>31</v>
      </c>
      <c r="N63" s="2" t="s">
        <v>474</v>
      </c>
      <c r="O63" s="2" t="s">
        <v>155</v>
      </c>
      <c r="P63" s="2" t="s">
        <v>2192</v>
      </c>
      <c r="Q63" s="2" t="s">
        <v>101</v>
      </c>
      <c r="R63" s="2" t="s">
        <v>441</v>
      </c>
      <c r="S63" s="2" t="s">
        <v>34</v>
      </c>
      <c r="T63" s="151">
        <v>3.1059999999999999</v>
      </c>
      <c r="U63" s="2" t="s">
        <v>2417</v>
      </c>
      <c r="V63" s="162">
        <v>6.9500000000000006E-2</v>
      </c>
      <c r="W63" s="164">
        <v>6.3530000000000003E-2</v>
      </c>
      <c r="X63" s="4" t="s">
        <v>447</v>
      </c>
      <c r="Y63" s="4" t="s">
        <v>155</v>
      </c>
      <c r="Z63" s="151">
        <v>370000</v>
      </c>
      <c r="AA63" s="158">
        <v>1</v>
      </c>
      <c r="AB63" s="175">
        <v>104.23</v>
      </c>
      <c r="AD63" s="151">
        <v>385.65100000000001</v>
      </c>
      <c r="AG63" s="2" t="s">
        <v>36</v>
      </c>
      <c r="AH63" s="164">
        <v>6.6200000000000005E-4</v>
      </c>
      <c r="AI63" s="164">
        <v>1.2826612624412301E-2</v>
      </c>
      <c r="AJ63" s="164">
        <v>9.3620140901484305E-4</v>
      </c>
    </row>
    <row r="64" spans="1:36">
      <c r="A64" s="2">
        <v>1182</v>
      </c>
      <c r="B64" s="2">
        <v>1182</v>
      </c>
      <c r="C64" s="2" t="s">
        <v>2418</v>
      </c>
      <c r="D64" s="2" t="s">
        <v>2419</v>
      </c>
      <c r="E64" s="4" t="s">
        <v>349</v>
      </c>
      <c r="F64" s="2" t="s">
        <v>2420</v>
      </c>
      <c r="G64" s="2" t="s">
        <v>2421</v>
      </c>
      <c r="H64" s="2" t="s">
        <v>356</v>
      </c>
      <c r="I64" s="2" t="s">
        <v>1000</v>
      </c>
      <c r="J64" s="2" t="s">
        <v>30</v>
      </c>
      <c r="K64" s="2" t="s">
        <v>30</v>
      </c>
      <c r="L64" s="2" t="s">
        <v>362</v>
      </c>
      <c r="M64" s="2" t="s">
        <v>85</v>
      </c>
      <c r="N64" s="2" t="s">
        <v>498</v>
      </c>
      <c r="O64" s="2" t="s">
        <v>155</v>
      </c>
      <c r="P64" s="2" t="s">
        <v>2211</v>
      </c>
      <c r="Q64" s="2" t="s">
        <v>206</v>
      </c>
      <c r="R64" s="2" t="s">
        <v>441</v>
      </c>
      <c r="S64" s="2" t="s">
        <v>34</v>
      </c>
      <c r="T64" s="151">
        <v>3.927</v>
      </c>
      <c r="U64" s="2" t="s">
        <v>2422</v>
      </c>
      <c r="V64" s="162">
        <v>6.25E-2</v>
      </c>
      <c r="W64" s="164">
        <v>6.166E-2</v>
      </c>
      <c r="X64" s="4" t="s">
        <v>447</v>
      </c>
      <c r="Y64" s="4" t="s">
        <v>155</v>
      </c>
      <c r="Z64" s="151">
        <v>576871</v>
      </c>
      <c r="AA64" s="158">
        <v>1</v>
      </c>
      <c r="AB64" s="175">
        <v>103.18</v>
      </c>
      <c r="AD64" s="151">
        <v>595.21500000000003</v>
      </c>
      <c r="AG64" s="2" t="s">
        <v>36</v>
      </c>
      <c r="AH64" s="164">
        <v>1.049E-3</v>
      </c>
      <c r="AI64" s="164">
        <v>1.9796651942630399E-2</v>
      </c>
      <c r="AJ64" s="164">
        <v>1.44493748935652E-3</v>
      </c>
    </row>
    <row r="65" spans="1:36">
      <c r="A65" s="2">
        <v>1182</v>
      </c>
      <c r="B65" s="2">
        <v>1182</v>
      </c>
      <c r="C65" s="2" t="s">
        <v>2423</v>
      </c>
      <c r="D65" s="2" t="s">
        <v>2424</v>
      </c>
      <c r="E65" s="4" t="s">
        <v>349</v>
      </c>
      <c r="F65" s="2" t="s">
        <v>2425</v>
      </c>
      <c r="G65" s="2" t="s">
        <v>2426</v>
      </c>
      <c r="H65" s="2" t="s">
        <v>356</v>
      </c>
      <c r="I65" s="2" t="s">
        <v>1000</v>
      </c>
      <c r="J65" s="2" t="s">
        <v>30</v>
      </c>
      <c r="K65" s="2" t="s">
        <v>98</v>
      </c>
      <c r="L65" s="2" t="s">
        <v>362</v>
      </c>
      <c r="M65" s="2" t="s">
        <v>31</v>
      </c>
      <c r="N65" s="2" t="s">
        <v>498</v>
      </c>
      <c r="O65" s="2" t="s">
        <v>155</v>
      </c>
      <c r="P65" s="2" t="s">
        <v>2211</v>
      </c>
      <c r="Q65" s="2" t="s">
        <v>206</v>
      </c>
      <c r="R65" s="2" t="s">
        <v>441</v>
      </c>
      <c r="S65" s="2" t="s">
        <v>34</v>
      </c>
      <c r="T65" s="151">
        <v>2.1349999999999998</v>
      </c>
      <c r="U65" s="2" t="s">
        <v>1338</v>
      </c>
      <c r="V65" s="162">
        <v>3.49E-2</v>
      </c>
      <c r="W65" s="164">
        <v>6.4509999999999998E-2</v>
      </c>
      <c r="X65" s="4" t="s">
        <v>447</v>
      </c>
      <c r="Y65" s="4" t="s">
        <v>155</v>
      </c>
      <c r="Z65" s="151">
        <v>641663</v>
      </c>
      <c r="AA65" s="158">
        <v>1</v>
      </c>
      <c r="AB65" s="175">
        <v>95.01</v>
      </c>
      <c r="AD65" s="151">
        <v>609.64400000000001</v>
      </c>
      <c r="AG65" s="2" t="s">
        <v>36</v>
      </c>
      <c r="AH65" s="164">
        <v>6.7900000000000002E-4</v>
      </c>
      <c r="AI65" s="164">
        <v>2.02765392436971E-2</v>
      </c>
      <c r="AJ65" s="164">
        <v>1.47996397534955E-3</v>
      </c>
    </row>
    <row r="66" spans="1:36">
      <c r="A66" s="2">
        <v>1182</v>
      </c>
      <c r="B66" s="2">
        <v>1182</v>
      </c>
      <c r="C66" s="2" t="s">
        <v>2423</v>
      </c>
      <c r="D66" s="2" t="s">
        <v>2424</v>
      </c>
      <c r="E66" s="4" t="s">
        <v>349</v>
      </c>
      <c r="F66" s="2" t="s">
        <v>2427</v>
      </c>
      <c r="G66" s="2" t="s">
        <v>2428</v>
      </c>
      <c r="H66" s="2" t="s">
        <v>356</v>
      </c>
      <c r="I66" s="2" t="s">
        <v>1000</v>
      </c>
      <c r="J66" s="2" t="s">
        <v>30</v>
      </c>
      <c r="K66" s="2" t="s">
        <v>98</v>
      </c>
      <c r="L66" s="2" t="s">
        <v>362</v>
      </c>
      <c r="M66" s="2" t="s">
        <v>85</v>
      </c>
      <c r="N66" s="2" t="s">
        <v>498</v>
      </c>
      <c r="O66" s="2" t="s">
        <v>155</v>
      </c>
      <c r="P66" s="2" t="s">
        <v>2211</v>
      </c>
      <c r="Q66" s="2" t="s">
        <v>206</v>
      </c>
      <c r="R66" s="2" t="s">
        <v>441</v>
      </c>
      <c r="S66" s="2" t="s">
        <v>34</v>
      </c>
      <c r="T66" s="151">
        <v>4.4989999999999997</v>
      </c>
      <c r="U66" s="2" t="s">
        <v>2429</v>
      </c>
      <c r="V66" s="162">
        <v>6.7400000000000002E-2</v>
      </c>
      <c r="W66" s="164">
        <v>6.7140000000000005E-2</v>
      </c>
      <c r="X66" s="4" t="s">
        <v>447</v>
      </c>
      <c r="Y66" s="4" t="s">
        <v>155</v>
      </c>
      <c r="Z66" s="151">
        <v>381000</v>
      </c>
      <c r="AA66" s="158">
        <v>1</v>
      </c>
      <c r="AB66" s="175">
        <v>100.67</v>
      </c>
      <c r="AD66" s="151">
        <v>383.553</v>
      </c>
      <c r="AG66" s="2" t="s">
        <v>36</v>
      </c>
      <c r="AH66" s="164">
        <v>1.3370000000000001E-3</v>
      </c>
      <c r="AI66" s="164">
        <v>1.27568239261597E-2</v>
      </c>
      <c r="AJ66" s="164">
        <v>9.3110760291415602E-4</v>
      </c>
    </row>
    <row r="67" spans="1:36">
      <c r="A67" s="2">
        <v>1182</v>
      </c>
      <c r="B67" s="2">
        <v>1182</v>
      </c>
      <c r="C67" s="2" t="s">
        <v>1946</v>
      </c>
      <c r="D67" s="2" t="s">
        <v>1947</v>
      </c>
      <c r="E67" s="4" t="s">
        <v>1342</v>
      </c>
      <c r="F67" s="2" t="s">
        <v>2430</v>
      </c>
      <c r="G67" s="2" t="s">
        <v>2431</v>
      </c>
      <c r="H67" s="2" t="s">
        <v>356</v>
      </c>
      <c r="I67" s="2" t="s">
        <v>1000</v>
      </c>
      <c r="J67" s="2" t="s">
        <v>30</v>
      </c>
      <c r="K67" s="2" t="s">
        <v>30</v>
      </c>
      <c r="L67" s="2" t="s">
        <v>362</v>
      </c>
      <c r="M67" s="2" t="s">
        <v>31</v>
      </c>
      <c r="N67" s="2" t="s">
        <v>518</v>
      </c>
      <c r="O67" s="2" t="s">
        <v>155</v>
      </c>
      <c r="P67" s="2" t="s">
        <v>1346</v>
      </c>
      <c r="Q67" s="2" t="s">
        <v>206</v>
      </c>
      <c r="R67" s="2" t="s">
        <v>441</v>
      </c>
      <c r="S67" s="2" t="s">
        <v>34</v>
      </c>
      <c r="T67" s="151">
        <v>2.6779999999999999</v>
      </c>
      <c r="U67" s="2" t="s">
        <v>2432</v>
      </c>
      <c r="V67" s="162">
        <v>4.7300000000000002E-2</v>
      </c>
      <c r="W67" s="164">
        <v>5.6509999999999998E-2</v>
      </c>
      <c r="X67" s="4" t="s">
        <v>447</v>
      </c>
      <c r="Y67" s="4" t="s">
        <v>155</v>
      </c>
      <c r="Z67" s="151">
        <v>220000</v>
      </c>
      <c r="AA67" s="158">
        <v>1</v>
      </c>
      <c r="AB67" s="175">
        <v>98.44</v>
      </c>
      <c r="AD67" s="151">
        <v>216.56800000000001</v>
      </c>
      <c r="AG67" s="2" t="s">
        <v>36</v>
      </c>
      <c r="AH67" s="164">
        <v>5.5699999999999999E-4</v>
      </c>
      <c r="AI67" s="164">
        <v>7.2029732655787999E-3</v>
      </c>
      <c r="AJ67" s="164">
        <v>5.2573769223346095E-4</v>
      </c>
    </row>
    <row r="68" spans="1:36">
      <c r="A68" s="2">
        <v>1182</v>
      </c>
      <c r="B68" s="2">
        <v>1182</v>
      </c>
      <c r="C68" s="2" t="s">
        <v>1950</v>
      </c>
      <c r="D68" s="2" t="s">
        <v>1951</v>
      </c>
      <c r="E68" s="4" t="s">
        <v>1342</v>
      </c>
      <c r="F68" s="2" t="s">
        <v>2433</v>
      </c>
      <c r="G68" s="2" t="s">
        <v>2434</v>
      </c>
      <c r="H68" s="2" t="s">
        <v>356</v>
      </c>
      <c r="I68" s="2" t="s">
        <v>208</v>
      </c>
      <c r="J68" s="2" t="s">
        <v>30</v>
      </c>
      <c r="K68" s="2" t="s">
        <v>30</v>
      </c>
      <c r="L68" s="2" t="s">
        <v>362</v>
      </c>
      <c r="M68" s="2" t="s">
        <v>31</v>
      </c>
      <c r="N68" s="2" t="s">
        <v>497</v>
      </c>
      <c r="O68" s="2" t="s">
        <v>155</v>
      </c>
      <c r="P68" s="2" t="s">
        <v>1519</v>
      </c>
      <c r="Q68" s="2" t="s">
        <v>101</v>
      </c>
      <c r="R68" s="2" t="s">
        <v>441</v>
      </c>
      <c r="S68" s="2" t="s">
        <v>34</v>
      </c>
      <c r="T68" s="151">
        <v>2.456</v>
      </c>
      <c r="U68" s="2" t="s">
        <v>1481</v>
      </c>
      <c r="V68" s="162">
        <v>1.77E-2</v>
      </c>
      <c r="W68" s="164">
        <v>2.7099999999999999E-2</v>
      </c>
      <c r="X68" s="4" t="s">
        <v>447</v>
      </c>
      <c r="Y68" s="4" t="s">
        <v>155</v>
      </c>
      <c r="Z68" s="151">
        <v>192000</v>
      </c>
      <c r="AA68" s="158">
        <v>1</v>
      </c>
      <c r="AB68" s="175">
        <v>113.19</v>
      </c>
      <c r="AD68" s="151">
        <v>217.32499999999999</v>
      </c>
      <c r="AG68" s="2" t="s">
        <v>36</v>
      </c>
      <c r="AH68" s="164">
        <v>7.3999999999999996E-5</v>
      </c>
      <c r="AI68" s="164">
        <v>7.2281441595584703E-3</v>
      </c>
      <c r="AJ68" s="164">
        <v>5.2757489018275298E-4</v>
      </c>
    </row>
    <row r="69" spans="1:36">
      <c r="A69" s="2">
        <v>1182</v>
      </c>
      <c r="B69" s="2">
        <v>1182</v>
      </c>
      <c r="C69" s="2" t="s">
        <v>1950</v>
      </c>
      <c r="D69" s="2" t="s">
        <v>1951</v>
      </c>
      <c r="E69" s="4" t="s">
        <v>1342</v>
      </c>
      <c r="F69" s="2" t="s">
        <v>2435</v>
      </c>
      <c r="G69" s="2" t="s">
        <v>2436</v>
      </c>
      <c r="H69" s="2" t="s">
        <v>356</v>
      </c>
      <c r="I69" s="2" t="s">
        <v>208</v>
      </c>
      <c r="J69" s="2" t="s">
        <v>30</v>
      </c>
      <c r="K69" s="2" t="s">
        <v>30</v>
      </c>
      <c r="L69" s="2" t="s">
        <v>362</v>
      </c>
      <c r="M69" s="2" t="s">
        <v>31</v>
      </c>
      <c r="N69" s="2" t="s">
        <v>497</v>
      </c>
      <c r="O69" s="2" t="s">
        <v>155</v>
      </c>
      <c r="P69" s="2" t="s">
        <v>1519</v>
      </c>
      <c r="Q69" s="2" t="s">
        <v>206</v>
      </c>
      <c r="R69" s="2" t="s">
        <v>441</v>
      </c>
      <c r="S69" s="2" t="s">
        <v>34</v>
      </c>
      <c r="T69" s="151">
        <v>6.7329999999999997</v>
      </c>
      <c r="U69" s="2" t="s">
        <v>2437</v>
      </c>
      <c r="V69" s="162">
        <v>8.9999999999999993E-3</v>
      </c>
      <c r="W69" s="164">
        <v>3.3419999999999998E-2</v>
      </c>
      <c r="X69" s="4" t="s">
        <v>447</v>
      </c>
      <c r="Y69" s="4" t="s">
        <v>155</v>
      </c>
      <c r="Z69" s="151">
        <v>600000</v>
      </c>
      <c r="AA69" s="158">
        <v>1</v>
      </c>
      <c r="AB69" s="175">
        <v>96.33</v>
      </c>
      <c r="AD69" s="151">
        <v>577.98</v>
      </c>
      <c r="AG69" s="2" t="s">
        <v>36</v>
      </c>
      <c r="AH69" s="164">
        <v>2.1800000000000001E-4</v>
      </c>
      <c r="AI69" s="164">
        <v>1.922340552639E-2</v>
      </c>
      <c r="AJ69" s="164">
        <v>1.4030968165061101E-3</v>
      </c>
    </row>
    <row r="70" spans="1:36">
      <c r="A70" s="2">
        <v>1182</v>
      </c>
      <c r="B70" s="2">
        <v>1182</v>
      </c>
      <c r="C70" s="2" t="s">
        <v>1950</v>
      </c>
      <c r="D70" s="2" t="s">
        <v>1951</v>
      </c>
      <c r="E70" s="4" t="s">
        <v>1342</v>
      </c>
      <c r="F70" s="2" t="s">
        <v>2438</v>
      </c>
      <c r="G70" s="2" t="s">
        <v>2439</v>
      </c>
      <c r="H70" s="2" t="s">
        <v>356</v>
      </c>
      <c r="I70" s="2" t="s">
        <v>208</v>
      </c>
      <c r="J70" s="2" t="s">
        <v>30</v>
      </c>
      <c r="K70" s="2" t="s">
        <v>30</v>
      </c>
      <c r="L70" s="2" t="s">
        <v>362</v>
      </c>
      <c r="M70" s="2" t="s">
        <v>31</v>
      </c>
      <c r="N70" s="2" t="s">
        <v>497</v>
      </c>
      <c r="O70" s="2" t="s">
        <v>155</v>
      </c>
      <c r="P70" s="2" t="s">
        <v>1519</v>
      </c>
      <c r="Q70" s="2" t="s">
        <v>206</v>
      </c>
      <c r="R70" s="2" t="s">
        <v>441</v>
      </c>
      <c r="S70" s="2" t="s">
        <v>34</v>
      </c>
      <c r="T70" s="151">
        <v>10.343</v>
      </c>
      <c r="U70" s="2" t="s">
        <v>2440</v>
      </c>
      <c r="V70" s="162">
        <v>1.6899999999999998E-2</v>
      </c>
      <c r="W70" s="164">
        <v>3.635E-2</v>
      </c>
      <c r="X70" s="4" t="s">
        <v>447</v>
      </c>
      <c r="Y70" s="4" t="s">
        <v>155</v>
      </c>
      <c r="Z70" s="151">
        <v>532888</v>
      </c>
      <c r="AA70" s="158">
        <v>1</v>
      </c>
      <c r="AB70" s="175">
        <v>93.61</v>
      </c>
      <c r="AD70" s="151">
        <v>498.83600000000001</v>
      </c>
      <c r="AG70" s="2" t="s">
        <v>36</v>
      </c>
      <c r="AH70" s="164">
        <v>1.22E-4</v>
      </c>
      <c r="AI70" s="164">
        <v>1.6591119935662001E-2</v>
      </c>
      <c r="AJ70" s="164">
        <v>1.21096896863779E-3</v>
      </c>
    </row>
    <row r="71" spans="1:36">
      <c r="A71" s="2">
        <v>1182</v>
      </c>
      <c r="B71" s="2">
        <v>1182</v>
      </c>
      <c r="C71" s="2" t="s">
        <v>1217</v>
      </c>
      <c r="D71" s="2" t="s">
        <v>1954</v>
      </c>
      <c r="E71" s="4" t="s">
        <v>1342</v>
      </c>
      <c r="F71" s="2" t="s">
        <v>2441</v>
      </c>
      <c r="G71" s="2" t="s">
        <v>2442</v>
      </c>
      <c r="H71" s="2" t="s">
        <v>356</v>
      </c>
      <c r="I71" s="2" t="s">
        <v>208</v>
      </c>
      <c r="J71" s="2" t="s">
        <v>30</v>
      </c>
      <c r="K71" s="2" t="s">
        <v>30</v>
      </c>
      <c r="L71" s="2" t="s">
        <v>362</v>
      </c>
      <c r="M71" s="2" t="s">
        <v>31</v>
      </c>
      <c r="N71" s="2" t="s">
        <v>481</v>
      </c>
      <c r="O71" s="2" t="s">
        <v>155</v>
      </c>
      <c r="P71" s="2" t="s">
        <v>1353</v>
      </c>
      <c r="Q71" s="2" t="s">
        <v>206</v>
      </c>
      <c r="R71" s="2" t="s">
        <v>441</v>
      </c>
      <c r="S71" s="2" t="s">
        <v>34</v>
      </c>
      <c r="T71" s="151">
        <v>4.6829999999999998</v>
      </c>
      <c r="U71" s="2" t="s">
        <v>2443</v>
      </c>
      <c r="V71" s="162">
        <v>3.7100000000000001E-2</v>
      </c>
      <c r="W71" s="164">
        <v>3.1640000000000001E-2</v>
      </c>
      <c r="X71" s="4" t="s">
        <v>447</v>
      </c>
      <c r="Y71" s="4" t="s">
        <v>155</v>
      </c>
      <c r="Z71" s="151">
        <v>500000</v>
      </c>
      <c r="AA71" s="158">
        <v>1</v>
      </c>
      <c r="AB71" s="175">
        <v>108.99</v>
      </c>
      <c r="AD71" s="151">
        <v>544.95000000000005</v>
      </c>
      <c r="AG71" s="2" t="s">
        <v>36</v>
      </c>
      <c r="AH71" s="164">
        <v>1.302E-3</v>
      </c>
      <c r="AI71" s="164">
        <v>1.8124839685813101E-2</v>
      </c>
      <c r="AJ71" s="164">
        <v>1.3229136131959699E-3</v>
      </c>
    </row>
    <row r="72" spans="1:36">
      <c r="A72" s="2">
        <v>1182</v>
      </c>
      <c r="B72" s="2">
        <v>1182</v>
      </c>
      <c r="C72" s="2" t="s">
        <v>2444</v>
      </c>
      <c r="D72" s="2" t="s">
        <v>2445</v>
      </c>
      <c r="E72" s="4" t="s">
        <v>1342</v>
      </c>
      <c r="F72" s="2" t="s">
        <v>2446</v>
      </c>
      <c r="G72" s="2" t="s">
        <v>2447</v>
      </c>
      <c r="H72" s="2" t="s">
        <v>356</v>
      </c>
      <c r="I72" s="2" t="s">
        <v>1000</v>
      </c>
      <c r="J72" s="2" t="s">
        <v>30</v>
      </c>
      <c r="K72" s="2" t="s">
        <v>30</v>
      </c>
      <c r="L72" s="2" t="s">
        <v>362</v>
      </c>
      <c r="M72" s="2" t="s">
        <v>85</v>
      </c>
      <c r="N72" s="2" t="s">
        <v>473</v>
      </c>
      <c r="O72" s="2" t="s">
        <v>155</v>
      </c>
      <c r="P72" s="2" t="s">
        <v>1353</v>
      </c>
      <c r="Q72" s="2" t="s">
        <v>206</v>
      </c>
      <c r="R72" s="2" t="s">
        <v>441</v>
      </c>
      <c r="S72" s="2" t="s">
        <v>34</v>
      </c>
      <c r="T72" s="151">
        <v>6.3849999999999998</v>
      </c>
      <c r="U72" s="2" t="s">
        <v>2448</v>
      </c>
      <c r="V72" s="162">
        <v>5.8599999999999999E-2</v>
      </c>
      <c r="W72" s="164">
        <v>5.9150000000000001E-2</v>
      </c>
      <c r="X72" s="4" t="s">
        <v>447</v>
      </c>
      <c r="Y72" s="4" t="s">
        <v>155</v>
      </c>
      <c r="Z72" s="151">
        <v>573374</v>
      </c>
      <c r="AA72" s="158">
        <v>1</v>
      </c>
      <c r="AB72" s="175">
        <v>102.78</v>
      </c>
      <c r="AD72" s="151">
        <v>589.31399999999996</v>
      </c>
      <c r="AG72" s="2" t="s">
        <v>36</v>
      </c>
      <c r="AH72" s="164">
        <v>2.8739999999999998E-3</v>
      </c>
      <c r="AI72" s="164">
        <v>1.9600363517548E-2</v>
      </c>
      <c r="AJ72" s="164">
        <v>1.43061059686226E-3</v>
      </c>
    </row>
    <row r="73" spans="1:36">
      <c r="A73" s="2">
        <v>1182</v>
      </c>
      <c r="B73" s="2">
        <v>1182</v>
      </c>
      <c r="C73" s="2" t="s">
        <v>2449</v>
      </c>
      <c r="D73" s="2" t="s">
        <v>2450</v>
      </c>
      <c r="E73" s="4" t="s">
        <v>1342</v>
      </c>
      <c r="F73" s="2" t="s">
        <v>2451</v>
      </c>
      <c r="G73" s="2" t="s">
        <v>2452</v>
      </c>
      <c r="H73" s="2" t="s">
        <v>356</v>
      </c>
      <c r="I73" s="2" t="s">
        <v>1000</v>
      </c>
      <c r="J73" s="2" t="s">
        <v>30</v>
      </c>
      <c r="K73" s="2" t="s">
        <v>30</v>
      </c>
      <c r="L73" s="2" t="s">
        <v>362</v>
      </c>
      <c r="M73" s="2" t="s">
        <v>31</v>
      </c>
      <c r="N73" s="2" t="s">
        <v>478</v>
      </c>
      <c r="O73" s="2" t="s">
        <v>155</v>
      </c>
      <c r="P73" s="2" t="s">
        <v>2211</v>
      </c>
      <c r="Q73" s="2" t="s">
        <v>206</v>
      </c>
      <c r="R73" s="2" t="s">
        <v>441</v>
      </c>
      <c r="S73" s="2" t="s">
        <v>34</v>
      </c>
      <c r="T73" s="151">
        <v>7.141</v>
      </c>
      <c r="U73" s="2" t="s">
        <v>2417</v>
      </c>
      <c r="V73" s="162">
        <v>4.6899999999999997E-2</v>
      </c>
      <c r="W73" s="164">
        <v>5.654E-2</v>
      </c>
      <c r="X73" s="4" t="s">
        <v>447</v>
      </c>
      <c r="Y73" s="4" t="s">
        <v>155</v>
      </c>
      <c r="Z73" s="151">
        <v>500000</v>
      </c>
      <c r="AA73" s="158">
        <v>1</v>
      </c>
      <c r="AB73" s="175">
        <v>95.86</v>
      </c>
      <c r="AD73" s="151">
        <v>479.3</v>
      </c>
      <c r="AG73" s="2" t="s">
        <v>36</v>
      </c>
      <c r="AH73" s="164">
        <v>1E-3</v>
      </c>
      <c r="AI73" s="164">
        <v>1.5941344456207401E-2</v>
      </c>
      <c r="AJ73" s="164">
        <v>1.16354251730402E-3</v>
      </c>
    </row>
    <row r="74" spans="1:36">
      <c r="A74" s="2">
        <v>1182</v>
      </c>
      <c r="B74" s="2">
        <v>1182</v>
      </c>
      <c r="C74" s="2" t="s">
        <v>2453</v>
      </c>
      <c r="D74" s="2" t="s">
        <v>2454</v>
      </c>
      <c r="E74" s="4" t="s">
        <v>1342</v>
      </c>
      <c r="F74" s="2" t="s">
        <v>2455</v>
      </c>
      <c r="G74" s="2" t="s">
        <v>2456</v>
      </c>
      <c r="H74" s="2" t="s">
        <v>356</v>
      </c>
      <c r="I74" s="2" t="s">
        <v>1000</v>
      </c>
      <c r="J74" s="2" t="s">
        <v>30</v>
      </c>
      <c r="K74" s="2" t="s">
        <v>30</v>
      </c>
      <c r="L74" s="2" t="s">
        <v>362</v>
      </c>
      <c r="M74" s="2" t="s">
        <v>31</v>
      </c>
      <c r="N74" s="2" t="s">
        <v>498</v>
      </c>
      <c r="O74" s="2" t="s">
        <v>155</v>
      </c>
      <c r="P74" s="2" t="s">
        <v>2181</v>
      </c>
      <c r="Q74" s="2" t="s">
        <v>101</v>
      </c>
      <c r="R74" s="2" t="s">
        <v>441</v>
      </c>
      <c r="S74" s="2" t="s">
        <v>34</v>
      </c>
      <c r="T74" s="151">
        <v>1.7050000000000001</v>
      </c>
      <c r="U74" s="2" t="s">
        <v>2457</v>
      </c>
      <c r="V74" s="162">
        <v>2.6499999999999999E-2</v>
      </c>
      <c r="W74" s="164">
        <v>5.5120000000000002E-2</v>
      </c>
      <c r="X74" s="4" t="s">
        <v>447</v>
      </c>
      <c r="Y74" s="4" t="s">
        <v>155</v>
      </c>
      <c r="Z74" s="151">
        <v>210714.28</v>
      </c>
      <c r="AA74" s="158">
        <v>1</v>
      </c>
      <c r="AB74" s="175">
        <v>94.77</v>
      </c>
      <c r="AD74" s="151">
        <v>199.69399999999999</v>
      </c>
      <c r="AG74" s="2" t="s">
        <v>36</v>
      </c>
      <c r="AH74" s="164">
        <v>4.1100000000000002E-4</v>
      </c>
      <c r="AI74" s="164">
        <v>6.6417475794725601E-3</v>
      </c>
      <c r="AJ74" s="164">
        <v>4.8477440024879802E-4</v>
      </c>
    </row>
    <row r="75" spans="1:36">
      <c r="A75" s="2">
        <v>1182</v>
      </c>
      <c r="B75" s="2">
        <v>1182</v>
      </c>
      <c r="C75" s="2" t="s">
        <v>2458</v>
      </c>
      <c r="D75" s="2" t="s">
        <v>2459</v>
      </c>
      <c r="E75" s="4" t="s">
        <v>1342</v>
      </c>
      <c r="F75" s="2" t="s">
        <v>2460</v>
      </c>
      <c r="G75" s="2" t="s">
        <v>2461</v>
      </c>
      <c r="H75" s="2" t="s">
        <v>356</v>
      </c>
      <c r="I75" s="2" t="s">
        <v>1000</v>
      </c>
      <c r="J75" s="2" t="s">
        <v>30</v>
      </c>
      <c r="K75" s="2" t="s">
        <v>30</v>
      </c>
      <c r="L75" s="2" t="s">
        <v>362</v>
      </c>
      <c r="M75" s="2" t="s">
        <v>85</v>
      </c>
      <c r="N75" s="2" t="s">
        <v>480</v>
      </c>
      <c r="O75" s="2" t="s">
        <v>155</v>
      </c>
      <c r="P75" s="2" t="s">
        <v>2181</v>
      </c>
      <c r="Q75" s="2" t="s">
        <v>101</v>
      </c>
      <c r="R75" s="2" t="s">
        <v>441</v>
      </c>
      <c r="S75" s="2" t="s">
        <v>34</v>
      </c>
      <c r="T75" s="151">
        <v>3.6070000000000002</v>
      </c>
      <c r="U75" s="2" t="s">
        <v>92</v>
      </c>
      <c r="V75" s="162">
        <v>5.8200000000000002E-2</v>
      </c>
      <c r="W75" s="164">
        <v>5.8200000000000002E-2</v>
      </c>
      <c r="X75" s="4" t="s">
        <v>447</v>
      </c>
      <c r="Y75" s="4" t="s">
        <v>155</v>
      </c>
      <c r="Z75" s="151">
        <v>451000</v>
      </c>
      <c r="AA75" s="158">
        <v>1</v>
      </c>
      <c r="AB75" s="175">
        <v>100.66</v>
      </c>
      <c r="AD75" s="151">
        <v>453.97699999999998</v>
      </c>
      <c r="AG75" s="2" t="s">
        <v>36</v>
      </c>
      <c r="AH75" s="164">
        <v>2.5769999999999999E-3</v>
      </c>
      <c r="AI75" s="164">
        <v>1.5099097341243199E-2</v>
      </c>
      <c r="AJ75" s="164">
        <v>1.1020677570647199E-3</v>
      </c>
    </row>
    <row r="76" spans="1:36">
      <c r="A76" s="2">
        <v>1182</v>
      </c>
      <c r="B76" s="2">
        <v>1182</v>
      </c>
      <c r="C76" s="2" t="s">
        <v>2462</v>
      </c>
      <c r="D76" s="2" t="s">
        <v>2463</v>
      </c>
      <c r="E76" s="4" t="s">
        <v>349</v>
      </c>
      <c r="F76" s="2" t="s">
        <v>2464</v>
      </c>
      <c r="G76" s="2" t="s">
        <v>2465</v>
      </c>
      <c r="H76" s="2" t="s">
        <v>356</v>
      </c>
      <c r="I76" s="2" t="s">
        <v>204</v>
      </c>
      <c r="J76" s="2" t="s">
        <v>30</v>
      </c>
      <c r="K76" s="2" t="s">
        <v>271</v>
      </c>
      <c r="L76" s="2" t="s">
        <v>362</v>
      </c>
      <c r="M76" s="2" t="s">
        <v>31</v>
      </c>
      <c r="N76" s="2" t="s">
        <v>498</v>
      </c>
      <c r="O76" s="2" t="s">
        <v>155</v>
      </c>
      <c r="P76" s="2" t="s">
        <v>1353</v>
      </c>
      <c r="Q76" s="2" t="s">
        <v>101</v>
      </c>
      <c r="R76" s="2" t="s">
        <v>441</v>
      </c>
      <c r="S76" s="2" t="s">
        <v>34</v>
      </c>
      <c r="T76" s="151">
        <v>2.91</v>
      </c>
      <c r="U76" s="2" t="s">
        <v>2466</v>
      </c>
      <c r="V76" s="162">
        <v>4.2999999999999997E-2</v>
      </c>
      <c r="W76" s="164">
        <v>0.10149</v>
      </c>
      <c r="X76" s="4" t="s">
        <v>447</v>
      </c>
      <c r="Y76" s="4" t="s">
        <v>155</v>
      </c>
      <c r="Z76" s="151">
        <v>0.74</v>
      </c>
      <c r="AA76" s="158">
        <v>1</v>
      </c>
      <c r="AB76" s="175">
        <v>89.69</v>
      </c>
      <c r="AD76" s="151">
        <v>1E-3</v>
      </c>
      <c r="AG76" s="2" t="s">
        <v>36</v>
      </c>
      <c r="AH76" s="164">
        <v>0</v>
      </c>
      <c r="AI76" s="164">
        <v>2.2074621246925899E-8</v>
      </c>
      <c r="AJ76" s="164">
        <v>1.6112041518668601E-9</v>
      </c>
    </row>
    <row r="77" spans="1:36">
      <c r="A77" s="2">
        <v>1182</v>
      </c>
      <c r="B77" s="2">
        <v>1182</v>
      </c>
      <c r="C77" s="2" t="s">
        <v>2167</v>
      </c>
      <c r="D77" s="2" t="s">
        <v>2168</v>
      </c>
      <c r="E77" s="4" t="s">
        <v>1342</v>
      </c>
      <c r="F77" s="2" t="s">
        <v>2467</v>
      </c>
      <c r="G77" s="2" t="s">
        <v>2468</v>
      </c>
      <c r="H77" s="2" t="s">
        <v>356</v>
      </c>
      <c r="I77" s="2" t="s">
        <v>1000</v>
      </c>
      <c r="J77" s="2" t="s">
        <v>30</v>
      </c>
      <c r="K77" s="2" t="s">
        <v>30</v>
      </c>
      <c r="L77" s="2" t="s">
        <v>362</v>
      </c>
      <c r="M77" s="2" t="s">
        <v>85</v>
      </c>
      <c r="N77" s="2" t="s">
        <v>495</v>
      </c>
      <c r="O77" s="2" t="s">
        <v>155</v>
      </c>
      <c r="P77" s="2" t="s">
        <v>1353</v>
      </c>
      <c r="Q77" s="2" t="s">
        <v>101</v>
      </c>
      <c r="R77" s="2" t="s">
        <v>441</v>
      </c>
      <c r="S77" s="2" t="s">
        <v>34</v>
      </c>
      <c r="T77" s="151">
        <v>4.5330000000000004</v>
      </c>
      <c r="U77" s="2" t="s">
        <v>2270</v>
      </c>
      <c r="V77" s="162">
        <v>5.8500000000000003E-2</v>
      </c>
      <c r="W77" s="164">
        <v>5.7729999999999997E-2</v>
      </c>
      <c r="X77" s="4" t="s">
        <v>447</v>
      </c>
      <c r="Y77" s="4" t="s">
        <v>155</v>
      </c>
      <c r="Z77" s="151">
        <v>332000</v>
      </c>
      <c r="AA77" s="158">
        <v>1</v>
      </c>
      <c r="AB77" s="175">
        <v>101.6</v>
      </c>
      <c r="AD77" s="151">
        <v>337.31200000000001</v>
      </c>
      <c r="AG77" s="2" t="s">
        <v>36</v>
      </c>
      <c r="AH77" s="164">
        <v>2.1419999999999998E-3</v>
      </c>
      <c r="AI77" s="164">
        <v>1.1218874986881301E-2</v>
      </c>
      <c r="AJ77" s="164">
        <v>8.1885427414323995E-4</v>
      </c>
    </row>
    <row r="78" spans="1:36">
      <c r="A78" s="2">
        <v>1182</v>
      </c>
      <c r="B78" s="2">
        <v>1182</v>
      </c>
      <c r="C78" s="2" t="s">
        <v>2469</v>
      </c>
      <c r="D78" s="2" t="s">
        <v>1994</v>
      </c>
      <c r="E78" s="4" t="s">
        <v>350</v>
      </c>
      <c r="F78" s="2" t="s">
        <v>2470</v>
      </c>
      <c r="G78" s="2" t="s">
        <v>2471</v>
      </c>
      <c r="H78" s="2" t="s">
        <v>356</v>
      </c>
      <c r="I78" s="2" t="s">
        <v>204</v>
      </c>
      <c r="J78" s="2" t="s">
        <v>97</v>
      </c>
      <c r="K78" s="2" t="s">
        <v>98</v>
      </c>
      <c r="L78" s="2" t="s">
        <v>362</v>
      </c>
      <c r="M78" s="2" t="s">
        <v>194</v>
      </c>
      <c r="N78" s="2" t="s">
        <v>580</v>
      </c>
      <c r="O78" s="2" t="s">
        <v>155</v>
      </c>
      <c r="P78" s="2" t="s">
        <v>1519</v>
      </c>
      <c r="Q78" s="2" t="s">
        <v>466</v>
      </c>
      <c r="R78" s="2" t="s">
        <v>441</v>
      </c>
      <c r="S78" s="2" t="s">
        <v>102</v>
      </c>
      <c r="T78" s="151">
        <v>0.56699999999999995</v>
      </c>
      <c r="U78" s="2" t="s">
        <v>2472</v>
      </c>
      <c r="V78" s="162">
        <v>3.2000000000000001E-2</v>
      </c>
      <c r="W78" s="164">
        <v>4.7789999999999999E-2</v>
      </c>
      <c r="X78" s="4" t="s">
        <v>447</v>
      </c>
      <c r="Y78" s="4" t="s">
        <v>155</v>
      </c>
      <c r="Z78" s="151">
        <v>20000</v>
      </c>
      <c r="AA78" s="158">
        <v>3.71</v>
      </c>
      <c r="AB78" s="175">
        <v>100.542</v>
      </c>
      <c r="AD78" s="151">
        <v>74.602000000000004</v>
      </c>
      <c r="AG78" s="2" t="s">
        <v>36</v>
      </c>
      <c r="AH78" s="164">
        <v>1.0000000000000001E-5</v>
      </c>
      <c r="AI78" s="164">
        <v>2.4812335592722702E-3</v>
      </c>
      <c r="AJ78" s="164">
        <v>1.81102713733201E-4</v>
      </c>
    </row>
    <row r="79" spans="1:36">
      <c r="A79" s="2">
        <v>1182</v>
      </c>
      <c r="B79" s="2">
        <v>1182</v>
      </c>
      <c r="C79" s="2" t="s">
        <v>2473</v>
      </c>
      <c r="D79" s="2" t="s">
        <v>2474</v>
      </c>
      <c r="E79" s="4" t="s">
        <v>350</v>
      </c>
      <c r="F79" s="2" t="s">
        <v>2475</v>
      </c>
      <c r="G79" s="2" t="s">
        <v>2476</v>
      </c>
      <c r="H79" s="2" t="s">
        <v>356</v>
      </c>
      <c r="I79" s="2" t="s">
        <v>204</v>
      </c>
      <c r="J79" s="2" t="s">
        <v>97</v>
      </c>
      <c r="K79" s="2" t="s">
        <v>98</v>
      </c>
      <c r="L79" s="2" t="s">
        <v>362</v>
      </c>
      <c r="M79" s="2" t="s">
        <v>194</v>
      </c>
      <c r="N79" s="2" t="s">
        <v>570</v>
      </c>
      <c r="O79" s="2" t="s">
        <v>155</v>
      </c>
      <c r="P79" s="2" t="s">
        <v>1337</v>
      </c>
      <c r="Q79" s="2" t="s">
        <v>466</v>
      </c>
      <c r="R79" s="2" t="s">
        <v>441</v>
      </c>
      <c r="S79" s="2" t="s">
        <v>102</v>
      </c>
      <c r="T79" s="151">
        <v>0.26700000000000002</v>
      </c>
      <c r="U79" s="2" t="s">
        <v>2477</v>
      </c>
      <c r="V79" s="162">
        <v>0.04</v>
      </c>
      <c r="W79" s="164">
        <v>5.543E-2</v>
      </c>
      <c r="X79" s="4" t="s">
        <v>447</v>
      </c>
      <c r="Y79" s="4" t="s">
        <v>155</v>
      </c>
      <c r="Z79" s="151">
        <v>30000</v>
      </c>
      <c r="AA79" s="158">
        <v>3.71</v>
      </c>
      <c r="AB79" s="175">
        <v>100.485</v>
      </c>
      <c r="AD79" s="151">
        <v>111.839</v>
      </c>
      <c r="AG79" s="2" t="s">
        <v>36</v>
      </c>
      <c r="AH79" s="164">
        <v>1.2E-5</v>
      </c>
      <c r="AI79" s="164">
        <v>3.7197403142189599E-3</v>
      </c>
      <c r="AJ79" s="164">
        <v>2.71500062043907E-4</v>
      </c>
    </row>
    <row r="80" spans="1:36">
      <c r="A80" s="2">
        <v>1182</v>
      </c>
      <c r="B80" s="2">
        <v>1182</v>
      </c>
      <c r="C80" s="2" t="s">
        <v>2478</v>
      </c>
      <c r="D80" s="2" t="s">
        <v>2479</v>
      </c>
      <c r="E80" s="4" t="s">
        <v>350</v>
      </c>
      <c r="F80" s="2" t="s">
        <v>2480</v>
      </c>
      <c r="G80" s="2" t="s">
        <v>2481</v>
      </c>
      <c r="H80" s="2" t="s">
        <v>356</v>
      </c>
      <c r="I80" s="2" t="s">
        <v>204</v>
      </c>
      <c r="J80" s="2" t="s">
        <v>97</v>
      </c>
      <c r="K80" s="2" t="s">
        <v>98</v>
      </c>
      <c r="L80" s="2" t="s">
        <v>362</v>
      </c>
      <c r="M80" s="2" t="s">
        <v>194</v>
      </c>
      <c r="N80" s="2" t="s">
        <v>580</v>
      </c>
      <c r="O80" s="2" t="s">
        <v>155</v>
      </c>
      <c r="P80" s="2" t="s">
        <v>2297</v>
      </c>
      <c r="Q80" s="2" t="s">
        <v>466</v>
      </c>
      <c r="R80" s="2" t="s">
        <v>441</v>
      </c>
      <c r="S80" s="2" t="s">
        <v>102</v>
      </c>
      <c r="T80" s="151">
        <v>0.56299999999999994</v>
      </c>
      <c r="U80" s="2" t="s">
        <v>2482</v>
      </c>
      <c r="V80" s="162">
        <v>7.4999999999999997E-2</v>
      </c>
      <c r="W80" s="164">
        <v>5.765E-2</v>
      </c>
      <c r="X80" s="4" t="s">
        <v>447</v>
      </c>
      <c r="Y80" s="4" t="s">
        <v>155</v>
      </c>
      <c r="Z80" s="151">
        <v>30000</v>
      </c>
      <c r="AA80" s="158">
        <v>3.71</v>
      </c>
      <c r="AB80" s="175">
        <v>104.35299999999999</v>
      </c>
      <c r="AD80" s="151">
        <v>116.145</v>
      </c>
      <c r="AG80" s="2" t="s">
        <v>36</v>
      </c>
      <c r="AH80" s="164">
        <v>7.4999999999999993E-5</v>
      </c>
      <c r="AI80" s="164">
        <v>3.8629480600706899E-3</v>
      </c>
      <c r="AJ80" s="164">
        <v>2.81952649751519E-4</v>
      </c>
    </row>
    <row r="81" spans="1:36">
      <c r="A81" s="2">
        <v>1182</v>
      </c>
      <c r="B81" s="2">
        <v>1182</v>
      </c>
      <c r="C81" s="2" t="s">
        <v>1884</v>
      </c>
      <c r="D81" s="2" t="s">
        <v>1885</v>
      </c>
      <c r="E81" s="4" t="s">
        <v>1342</v>
      </c>
      <c r="F81" s="2" t="s">
        <v>2483</v>
      </c>
      <c r="G81" s="2" t="s">
        <v>2484</v>
      </c>
      <c r="H81" s="2" t="s">
        <v>356</v>
      </c>
      <c r="I81" s="2" t="s">
        <v>204</v>
      </c>
      <c r="J81" s="2" t="s">
        <v>97</v>
      </c>
      <c r="K81" s="2" t="s">
        <v>98</v>
      </c>
      <c r="L81" s="2" t="s">
        <v>362</v>
      </c>
      <c r="M81" s="2" t="s">
        <v>194</v>
      </c>
      <c r="N81" s="2" t="s">
        <v>500</v>
      </c>
      <c r="O81" s="2" t="s">
        <v>155</v>
      </c>
      <c r="P81" s="2" t="s">
        <v>2485</v>
      </c>
      <c r="Q81" s="2" t="s">
        <v>466</v>
      </c>
      <c r="R81" s="2" t="s">
        <v>441</v>
      </c>
      <c r="S81" s="2" t="s">
        <v>1209</v>
      </c>
      <c r="T81" s="151">
        <v>4.7110000000000003</v>
      </c>
      <c r="U81" s="2" t="s">
        <v>2486</v>
      </c>
      <c r="V81" s="162">
        <v>4.3749999999999997E-2</v>
      </c>
      <c r="W81" s="164">
        <v>4.8250000000000001E-2</v>
      </c>
      <c r="X81" s="4" t="s">
        <v>447</v>
      </c>
      <c r="Y81" s="4" t="s">
        <v>155</v>
      </c>
      <c r="Z81" s="151">
        <v>124000</v>
      </c>
      <c r="AA81" s="158">
        <v>4.1524000000000001</v>
      </c>
      <c r="AB81" s="175">
        <v>101.48099999999999</v>
      </c>
      <c r="AD81" s="151">
        <v>522.52300000000002</v>
      </c>
      <c r="AG81" s="2" t="s">
        <v>36</v>
      </c>
      <c r="AH81" s="164">
        <v>8.2999999999999998E-5</v>
      </c>
      <c r="AI81" s="164">
        <v>1.7378916425481599E-2</v>
      </c>
      <c r="AJ81" s="164">
        <v>1.2684694331316099E-3</v>
      </c>
    </row>
    <row r="82" spans="1:36">
      <c r="A82" s="2">
        <v>1182</v>
      </c>
      <c r="B82" s="2">
        <v>14769</v>
      </c>
      <c r="C82" s="2" t="s">
        <v>2197</v>
      </c>
      <c r="D82" s="2" t="s">
        <v>2198</v>
      </c>
      <c r="E82" s="4" t="s">
        <v>1342</v>
      </c>
      <c r="F82" s="2" t="s">
        <v>2199</v>
      </c>
      <c r="G82" s="2" t="s">
        <v>2200</v>
      </c>
      <c r="H82" s="2" t="s">
        <v>356</v>
      </c>
      <c r="I82" s="2" t="s">
        <v>1000</v>
      </c>
      <c r="J82" s="2" t="s">
        <v>30</v>
      </c>
      <c r="K82" s="2" t="s">
        <v>30</v>
      </c>
      <c r="L82" s="2" t="s">
        <v>362</v>
      </c>
      <c r="M82" s="2" t="s">
        <v>31</v>
      </c>
      <c r="N82" s="2" t="s">
        <v>480</v>
      </c>
      <c r="O82" s="2" t="s">
        <v>155</v>
      </c>
      <c r="P82" s="2" t="s">
        <v>2181</v>
      </c>
      <c r="Q82" s="2" t="s">
        <v>101</v>
      </c>
      <c r="R82" s="2" t="s">
        <v>441</v>
      </c>
      <c r="S82" s="2" t="s">
        <v>34</v>
      </c>
      <c r="T82" s="151">
        <v>2.2480000000000002</v>
      </c>
      <c r="U82" s="2" t="s">
        <v>2201</v>
      </c>
      <c r="V82" s="162">
        <v>2.5499999999999998E-2</v>
      </c>
      <c r="W82" s="164">
        <v>6.0019999999999997E-2</v>
      </c>
      <c r="X82" s="4" t="s">
        <v>447</v>
      </c>
      <c r="Y82" s="4" t="s">
        <v>155</v>
      </c>
      <c r="Z82" s="151">
        <v>8745</v>
      </c>
      <c r="AA82" s="158">
        <v>1</v>
      </c>
      <c r="AB82" s="175">
        <v>93.37</v>
      </c>
      <c r="AD82" s="151">
        <v>8.1649999999999991</v>
      </c>
      <c r="AG82" s="2" t="s">
        <v>36</v>
      </c>
      <c r="AH82" s="164">
        <v>1.1E-5</v>
      </c>
      <c r="AI82" s="164">
        <v>3.6560209077207202E-2</v>
      </c>
      <c r="AJ82" s="164">
        <v>4.7569976931655702E-4</v>
      </c>
    </row>
    <row r="83" spans="1:36">
      <c r="A83" s="2">
        <v>1182</v>
      </c>
      <c r="B83" s="2">
        <v>14769</v>
      </c>
      <c r="C83" s="2" t="s">
        <v>1808</v>
      </c>
      <c r="D83" s="2" t="s">
        <v>1809</v>
      </c>
      <c r="E83" s="4" t="s">
        <v>1342</v>
      </c>
      <c r="F83" s="2" t="s">
        <v>2223</v>
      </c>
      <c r="G83" s="2" t="s">
        <v>2224</v>
      </c>
      <c r="H83" s="2" t="s">
        <v>356</v>
      </c>
      <c r="I83" s="2" t="s">
        <v>1000</v>
      </c>
      <c r="J83" s="2" t="s">
        <v>30</v>
      </c>
      <c r="K83" s="2" t="s">
        <v>30</v>
      </c>
      <c r="L83" s="2" t="s">
        <v>362</v>
      </c>
      <c r="M83" s="2" t="s">
        <v>31</v>
      </c>
      <c r="N83" s="2" t="s">
        <v>484</v>
      </c>
      <c r="O83" s="2" t="s">
        <v>155</v>
      </c>
      <c r="P83" s="2" t="s">
        <v>1346</v>
      </c>
      <c r="Q83" s="2" t="s">
        <v>206</v>
      </c>
      <c r="R83" s="2" t="s">
        <v>441</v>
      </c>
      <c r="S83" s="2" t="s">
        <v>34</v>
      </c>
      <c r="T83" s="151">
        <v>3.7080000000000002</v>
      </c>
      <c r="U83" s="2" t="s">
        <v>2225</v>
      </c>
      <c r="V83" s="162">
        <v>2.07E-2</v>
      </c>
      <c r="W83" s="164">
        <v>5.9970000000000002E-2</v>
      </c>
      <c r="X83" s="4" t="s">
        <v>447</v>
      </c>
      <c r="Y83" s="4" t="s">
        <v>155</v>
      </c>
      <c r="Z83" s="151">
        <v>15399</v>
      </c>
      <c r="AA83" s="158">
        <v>1</v>
      </c>
      <c r="AB83" s="175">
        <v>83.35</v>
      </c>
      <c r="AD83" s="151">
        <v>12.835000000000001</v>
      </c>
      <c r="AG83" s="2" t="s">
        <v>36</v>
      </c>
      <c r="AH83" s="164">
        <v>3.6999999999999998E-5</v>
      </c>
      <c r="AI83" s="164">
        <v>5.7469791457185802E-2</v>
      </c>
      <c r="AJ83" s="164">
        <v>7.4776286101431401E-4</v>
      </c>
    </row>
    <row r="84" spans="1:36">
      <c r="A84" s="2">
        <v>1182</v>
      </c>
      <c r="B84" s="2">
        <v>14769</v>
      </c>
      <c r="C84" s="2" t="s">
        <v>2226</v>
      </c>
      <c r="D84" s="2" t="s">
        <v>2227</v>
      </c>
      <c r="E84" s="4" t="s">
        <v>1342</v>
      </c>
      <c r="F84" s="2" t="s">
        <v>2234</v>
      </c>
      <c r="G84" s="2" t="s">
        <v>2235</v>
      </c>
      <c r="H84" s="2" t="s">
        <v>356</v>
      </c>
      <c r="I84" s="2" t="s">
        <v>208</v>
      </c>
      <c r="J84" s="2" t="s">
        <v>30</v>
      </c>
      <c r="K84" s="2" t="s">
        <v>30</v>
      </c>
      <c r="L84" s="2" t="s">
        <v>362</v>
      </c>
      <c r="M84" s="2" t="s">
        <v>85</v>
      </c>
      <c r="N84" s="2" t="s">
        <v>498</v>
      </c>
      <c r="O84" s="2" t="s">
        <v>155</v>
      </c>
      <c r="P84" s="2" t="s">
        <v>1346</v>
      </c>
      <c r="Q84" s="2" t="s">
        <v>206</v>
      </c>
      <c r="R84" s="2" t="s">
        <v>441</v>
      </c>
      <c r="S84" s="2" t="s">
        <v>34</v>
      </c>
      <c r="T84" s="151">
        <v>7.1020000000000003</v>
      </c>
      <c r="U84" s="2" t="s">
        <v>2236</v>
      </c>
      <c r="V84" s="162">
        <v>4.02E-2</v>
      </c>
      <c r="W84" s="164">
        <v>3.9660000000000001E-2</v>
      </c>
      <c r="X84" s="4" t="s">
        <v>447</v>
      </c>
      <c r="Y84" s="4" t="s">
        <v>155</v>
      </c>
      <c r="Z84" s="151">
        <v>15000</v>
      </c>
      <c r="AA84" s="158">
        <v>1</v>
      </c>
      <c r="AB84" s="175">
        <v>101.8</v>
      </c>
      <c r="AD84" s="151">
        <v>15.27</v>
      </c>
      <c r="AG84" s="2" t="s">
        <v>36</v>
      </c>
      <c r="AH84" s="164">
        <v>4.3000000000000002E-5</v>
      </c>
      <c r="AI84" s="164">
        <v>6.8372354405115604E-2</v>
      </c>
      <c r="AJ84" s="164">
        <v>8.8962054755918705E-4</v>
      </c>
    </row>
    <row r="85" spans="1:36">
      <c r="A85" s="2">
        <v>1182</v>
      </c>
      <c r="B85" s="2">
        <v>14769</v>
      </c>
      <c r="C85" s="2" t="s">
        <v>2242</v>
      </c>
      <c r="D85" s="2" t="s">
        <v>2243</v>
      </c>
      <c r="E85" s="4" t="s">
        <v>1342</v>
      </c>
      <c r="F85" s="2" t="s">
        <v>2244</v>
      </c>
      <c r="G85" s="2" t="s">
        <v>2245</v>
      </c>
      <c r="H85" s="2" t="s">
        <v>356</v>
      </c>
      <c r="I85" s="2" t="s">
        <v>208</v>
      </c>
      <c r="J85" s="2" t="s">
        <v>30</v>
      </c>
      <c r="K85" s="2" t="s">
        <v>30</v>
      </c>
      <c r="L85" s="2" t="s">
        <v>362</v>
      </c>
      <c r="M85" s="2" t="s">
        <v>31</v>
      </c>
      <c r="N85" s="2" t="s">
        <v>497</v>
      </c>
      <c r="O85" s="2" t="s">
        <v>155</v>
      </c>
      <c r="P85" s="2" t="s">
        <v>2181</v>
      </c>
      <c r="Q85" s="2" t="s">
        <v>206</v>
      </c>
      <c r="R85" s="2" t="s">
        <v>441</v>
      </c>
      <c r="S85" s="2" t="s">
        <v>34</v>
      </c>
      <c r="T85" s="151">
        <v>5.99</v>
      </c>
      <c r="U85" s="2" t="s">
        <v>2246</v>
      </c>
      <c r="V85" s="162">
        <v>3.6799999999999999E-2</v>
      </c>
      <c r="W85" s="164">
        <v>4.0779999999999997E-2</v>
      </c>
      <c r="X85" s="4" t="s">
        <v>447</v>
      </c>
      <c r="Y85" s="4" t="s">
        <v>155</v>
      </c>
      <c r="Z85" s="151">
        <v>8130</v>
      </c>
      <c r="AA85" s="158">
        <v>1</v>
      </c>
      <c r="AB85" s="175">
        <v>102.26</v>
      </c>
      <c r="AD85" s="151">
        <v>8.3140000000000001</v>
      </c>
      <c r="AG85" s="2" t="s">
        <v>36</v>
      </c>
      <c r="AH85" s="164">
        <v>3.3000000000000003E-5</v>
      </c>
      <c r="AI85" s="164">
        <v>3.7225267908793498E-2</v>
      </c>
      <c r="AJ85" s="164">
        <v>4.8435312061713301E-4</v>
      </c>
    </row>
    <row r="86" spans="1:36">
      <c r="A86" s="2">
        <v>1182</v>
      </c>
      <c r="B86" s="2">
        <v>14769</v>
      </c>
      <c r="C86" s="2" t="s">
        <v>1836</v>
      </c>
      <c r="D86" s="2" t="s">
        <v>1837</v>
      </c>
      <c r="E86" s="4" t="s">
        <v>1342</v>
      </c>
      <c r="F86" s="2" t="s">
        <v>2263</v>
      </c>
      <c r="G86" s="2" t="s">
        <v>2264</v>
      </c>
      <c r="H86" s="2" t="s">
        <v>356</v>
      </c>
      <c r="I86" s="2" t="s">
        <v>1000</v>
      </c>
      <c r="J86" s="2" t="s">
        <v>30</v>
      </c>
      <c r="K86" s="2" t="s">
        <v>30</v>
      </c>
      <c r="L86" s="2" t="s">
        <v>362</v>
      </c>
      <c r="M86" s="2" t="s">
        <v>31</v>
      </c>
      <c r="N86" s="2" t="s">
        <v>473</v>
      </c>
      <c r="O86" s="2" t="s">
        <v>155</v>
      </c>
      <c r="P86" s="2" t="s">
        <v>1346</v>
      </c>
      <c r="Q86" s="2" t="s">
        <v>206</v>
      </c>
      <c r="R86" s="2" t="s">
        <v>441</v>
      </c>
      <c r="S86" s="2" t="s">
        <v>34</v>
      </c>
      <c r="T86" s="151">
        <v>4.0220000000000002</v>
      </c>
      <c r="U86" s="2" t="s">
        <v>2265</v>
      </c>
      <c r="V86" s="162">
        <v>5.7500000000000002E-2</v>
      </c>
      <c r="W86" s="164">
        <v>6.4329999999999998E-2</v>
      </c>
      <c r="X86" s="4" t="s">
        <v>447</v>
      </c>
      <c r="Y86" s="4" t="s">
        <v>155</v>
      </c>
      <c r="Z86" s="151">
        <v>7993</v>
      </c>
      <c r="AA86" s="158">
        <v>1</v>
      </c>
      <c r="AB86" s="175">
        <v>97.51</v>
      </c>
      <c r="AD86" s="151">
        <v>7.7939999999999996</v>
      </c>
      <c r="AG86" s="2" t="s">
        <v>36</v>
      </c>
      <c r="AH86" s="164">
        <v>1.5E-5</v>
      </c>
      <c r="AI86" s="164">
        <v>3.4897994306742799E-2</v>
      </c>
      <c r="AJ86" s="164">
        <v>4.5407201600708799E-4</v>
      </c>
    </row>
    <row r="87" spans="1:36">
      <c r="A87" s="2">
        <v>1182</v>
      </c>
      <c r="B87" s="2">
        <v>14769</v>
      </c>
      <c r="C87" s="2" t="s">
        <v>2266</v>
      </c>
      <c r="D87" s="2" t="s">
        <v>2267</v>
      </c>
      <c r="E87" s="4" t="s">
        <v>1342</v>
      </c>
      <c r="F87" s="2" t="s">
        <v>2274</v>
      </c>
      <c r="G87" s="2" t="s">
        <v>2275</v>
      </c>
      <c r="H87" s="2" t="s">
        <v>356</v>
      </c>
      <c r="I87" s="2" t="s">
        <v>208</v>
      </c>
      <c r="J87" s="2" t="s">
        <v>30</v>
      </c>
      <c r="K87" s="2" t="s">
        <v>30</v>
      </c>
      <c r="L87" s="2" t="s">
        <v>362</v>
      </c>
      <c r="M87" s="2" t="s">
        <v>31</v>
      </c>
      <c r="N87" s="2" t="s">
        <v>497</v>
      </c>
      <c r="O87" s="2" t="s">
        <v>155</v>
      </c>
      <c r="P87" s="2" t="s">
        <v>2211</v>
      </c>
      <c r="Q87" s="2" t="s">
        <v>206</v>
      </c>
      <c r="R87" s="2" t="s">
        <v>441</v>
      </c>
      <c r="S87" s="2" t="s">
        <v>34</v>
      </c>
      <c r="T87" s="151">
        <v>5.1369999999999996</v>
      </c>
      <c r="U87" s="2" t="s">
        <v>2276</v>
      </c>
      <c r="V87" s="162">
        <v>5.8999999999999999E-3</v>
      </c>
      <c r="W87" s="164">
        <v>3.3239999999999999E-2</v>
      </c>
      <c r="X87" s="4" t="s">
        <v>447</v>
      </c>
      <c r="Y87" s="4" t="s">
        <v>155</v>
      </c>
      <c r="Z87" s="151">
        <v>8614</v>
      </c>
      <c r="AA87" s="158">
        <v>1</v>
      </c>
      <c r="AB87" s="175">
        <v>97.54</v>
      </c>
      <c r="AD87" s="151">
        <v>8.4019999999999992</v>
      </c>
      <c r="AG87" s="2" t="s">
        <v>36</v>
      </c>
      <c r="AH87" s="164">
        <v>6.0000000000000002E-6</v>
      </c>
      <c r="AI87" s="164">
        <v>3.7620894440658997E-2</v>
      </c>
      <c r="AJ87" s="164">
        <v>4.8950077854070903E-4</v>
      </c>
    </row>
    <row r="88" spans="1:36">
      <c r="A88" s="2">
        <v>1182</v>
      </c>
      <c r="B88" s="2">
        <v>14769</v>
      </c>
      <c r="C88" s="2" t="s">
        <v>2302</v>
      </c>
      <c r="D88" s="2" t="s">
        <v>2303</v>
      </c>
      <c r="E88" s="4" t="s">
        <v>1342</v>
      </c>
      <c r="F88" s="2" t="s">
        <v>2307</v>
      </c>
      <c r="G88" s="2" t="s">
        <v>2308</v>
      </c>
      <c r="H88" s="2" t="s">
        <v>356</v>
      </c>
      <c r="I88" s="2" t="s">
        <v>208</v>
      </c>
      <c r="J88" s="2" t="s">
        <v>30</v>
      </c>
      <c r="K88" s="2" t="s">
        <v>30</v>
      </c>
      <c r="L88" s="2" t="s">
        <v>362</v>
      </c>
      <c r="M88" s="2" t="s">
        <v>31</v>
      </c>
      <c r="N88" s="2" t="s">
        <v>473</v>
      </c>
      <c r="O88" s="2" t="s">
        <v>155</v>
      </c>
      <c r="P88" s="2" t="s">
        <v>2192</v>
      </c>
      <c r="Q88" s="2" t="s">
        <v>206</v>
      </c>
      <c r="R88" s="2" t="s">
        <v>441</v>
      </c>
      <c r="S88" s="2" t="s">
        <v>34</v>
      </c>
      <c r="T88" s="151">
        <v>5.843</v>
      </c>
      <c r="U88" s="2" t="s">
        <v>2309</v>
      </c>
      <c r="V88" s="162">
        <v>3.3000000000000002E-2</v>
      </c>
      <c r="W88" s="164">
        <v>4.2569999999999997E-2</v>
      </c>
      <c r="X88" s="4" t="s">
        <v>447</v>
      </c>
      <c r="Y88" s="4" t="s">
        <v>155</v>
      </c>
      <c r="Z88" s="151">
        <v>7647.62</v>
      </c>
      <c r="AA88" s="158">
        <v>1</v>
      </c>
      <c r="AB88" s="175">
        <v>101.08</v>
      </c>
      <c r="AD88" s="151">
        <v>7.73</v>
      </c>
      <c r="AG88" s="2" t="s">
        <v>36</v>
      </c>
      <c r="AH88" s="164">
        <v>6.0000000000000002E-6</v>
      </c>
      <c r="AI88" s="164">
        <v>3.4612505008094499E-2</v>
      </c>
      <c r="AJ88" s="164">
        <v>4.5035739847788998E-4</v>
      </c>
    </row>
    <row r="89" spans="1:36">
      <c r="A89" s="2">
        <v>1182</v>
      </c>
      <c r="B89" s="2">
        <v>14769</v>
      </c>
      <c r="C89" s="2" t="s">
        <v>2310</v>
      </c>
      <c r="D89" s="2" t="s">
        <v>2311</v>
      </c>
      <c r="E89" s="4" t="s">
        <v>1342</v>
      </c>
      <c r="F89" s="2" t="s">
        <v>2312</v>
      </c>
      <c r="G89" s="2" t="s">
        <v>2313</v>
      </c>
      <c r="H89" s="2" t="s">
        <v>356</v>
      </c>
      <c r="I89" s="2" t="s">
        <v>208</v>
      </c>
      <c r="J89" s="2" t="s">
        <v>30</v>
      </c>
      <c r="K89" s="2" t="s">
        <v>30</v>
      </c>
      <c r="L89" s="2" t="s">
        <v>362</v>
      </c>
      <c r="M89" s="2" t="s">
        <v>31</v>
      </c>
      <c r="N89" s="2" t="s">
        <v>497</v>
      </c>
      <c r="O89" s="2" t="s">
        <v>155</v>
      </c>
      <c r="P89" s="2" t="s">
        <v>2192</v>
      </c>
      <c r="Q89" s="2" t="s">
        <v>206</v>
      </c>
      <c r="R89" s="2" t="s">
        <v>441</v>
      </c>
      <c r="S89" s="2" t="s">
        <v>34</v>
      </c>
      <c r="T89" s="151">
        <v>3.8849999999999998</v>
      </c>
      <c r="U89" s="2" t="s">
        <v>2201</v>
      </c>
      <c r="V89" s="162">
        <v>3.6499999999999998E-2</v>
      </c>
      <c r="W89" s="164">
        <v>3.2820000000000002E-2</v>
      </c>
      <c r="X89" s="4" t="s">
        <v>447</v>
      </c>
      <c r="Y89" s="4" t="s">
        <v>155</v>
      </c>
      <c r="Z89" s="151">
        <v>7862</v>
      </c>
      <c r="AA89" s="158">
        <v>1</v>
      </c>
      <c r="AB89" s="175">
        <v>108.95</v>
      </c>
      <c r="AD89" s="151">
        <v>8.5660000000000007</v>
      </c>
      <c r="AG89" s="2" t="s">
        <v>36</v>
      </c>
      <c r="AH89" s="164">
        <v>2.4000000000000001E-5</v>
      </c>
      <c r="AI89" s="164">
        <v>3.83532147437999E-2</v>
      </c>
      <c r="AJ89" s="164">
        <v>4.9902929623967202E-4</v>
      </c>
    </row>
    <row r="90" spans="1:36">
      <c r="A90" s="2">
        <v>1182</v>
      </c>
      <c r="B90" s="2">
        <v>14769</v>
      </c>
      <c r="C90" s="2" t="s">
        <v>2316</v>
      </c>
      <c r="D90" s="2" t="s">
        <v>2317</v>
      </c>
      <c r="E90" s="4" t="s">
        <v>1342</v>
      </c>
      <c r="F90" s="2" t="s">
        <v>2321</v>
      </c>
      <c r="G90" s="2" t="s">
        <v>2322</v>
      </c>
      <c r="H90" s="2" t="s">
        <v>356</v>
      </c>
      <c r="I90" s="2" t="s">
        <v>1000</v>
      </c>
      <c r="J90" s="2" t="s">
        <v>30</v>
      </c>
      <c r="K90" s="2" t="s">
        <v>30</v>
      </c>
      <c r="L90" s="2" t="s">
        <v>362</v>
      </c>
      <c r="M90" s="2" t="s">
        <v>85</v>
      </c>
      <c r="N90" s="2" t="s">
        <v>478</v>
      </c>
      <c r="O90" s="2" t="s">
        <v>155</v>
      </c>
      <c r="P90" s="2" t="s">
        <v>1353</v>
      </c>
      <c r="Q90" s="2" t="s">
        <v>206</v>
      </c>
      <c r="R90" s="2" t="s">
        <v>441</v>
      </c>
      <c r="S90" s="2" t="s">
        <v>34</v>
      </c>
      <c r="T90" s="151">
        <v>8.6649999999999991</v>
      </c>
      <c r="U90" s="2" t="s">
        <v>2323</v>
      </c>
      <c r="V90" s="162">
        <v>6.0199999999999997E-2</v>
      </c>
      <c r="W90" s="164">
        <v>5.9959999999999999E-2</v>
      </c>
      <c r="X90" s="4" t="s">
        <v>447</v>
      </c>
      <c r="Y90" s="4" t="s">
        <v>155</v>
      </c>
      <c r="Z90" s="151">
        <v>15240</v>
      </c>
      <c r="AA90" s="158">
        <v>1</v>
      </c>
      <c r="AB90" s="175">
        <v>102.28</v>
      </c>
      <c r="AD90" s="151">
        <v>15.587</v>
      </c>
      <c r="AG90" s="2" t="s">
        <v>36</v>
      </c>
      <c r="AH90" s="164">
        <v>3.0000000000000001E-5</v>
      </c>
      <c r="AI90" s="164">
        <v>6.9793854607977504E-2</v>
      </c>
      <c r="AJ90" s="164">
        <v>9.0811626559944298E-4</v>
      </c>
    </row>
    <row r="91" spans="1:36">
      <c r="A91" s="2">
        <v>1182</v>
      </c>
      <c r="B91" s="2">
        <v>14769</v>
      </c>
      <c r="C91" s="2" t="s">
        <v>2327</v>
      </c>
      <c r="D91" s="2" t="s">
        <v>2328</v>
      </c>
      <c r="E91" s="4" t="s">
        <v>1342</v>
      </c>
      <c r="F91" s="2" t="s">
        <v>2329</v>
      </c>
      <c r="G91" s="2" t="s">
        <v>2330</v>
      </c>
      <c r="H91" s="2" t="s">
        <v>356</v>
      </c>
      <c r="I91" s="2" t="s">
        <v>208</v>
      </c>
      <c r="J91" s="2" t="s">
        <v>30</v>
      </c>
      <c r="K91" s="2" t="s">
        <v>30</v>
      </c>
      <c r="L91" s="2" t="s">
        <v>362</v>
      </c>
      <c r="M91" s="2" t="s">
        <v>31</v>
      </c>
      <c r="N91" s="2" t="s">
        <v>473</v>
      </c>
      <c r="O91" s="2" t="s">
        <v>155</v>
      </c>
      <c r="P91" s="2" t="s">
        <v>1519</v>
      </c>
      <c r="Q91" s="2" t="s">
        <v>206</v>
      </c>
      <c r="R91" s="2" t="s">
        <v>441</v>
      </c>
      <c r="S91" s="2" t="s">
        <v>34</v>
      </c>
      <c r="T91" s="151">
        <v>7.5629999999999997</v>
      </c>
      <c r="U91" s="2" t="s">
        <v>2331</v>
      </c>
      <c r="V91" s="162">
        <v>0.03</v>
      </c>
      <c r="W91" s="164">
        <v>3.2599999999999997E-2</v>
      </c>
      <c r="X91" s="4" t="s">
        <v>447</v>
      </c>
      <c r="Y91" s="4" t="s">
        <v>155</v>
      </c>
      <c r="Z91" s="151">
        <v>21000</v>
      </c>
      <c r="AA91" s="158">
        <v>1</v>
      </c>
      <c r="AB91" s="175">
        <v>103.71</v>
      </c>
      <c r="AD91" s="151">
        <v>21.779</v>
      </c>
      <c r="AG91" s="2" t="s">
        <v>36</v>
      </c>
      <c r="AH91" s="164">
        <v>5.0000000000000004E-6</v>
      </c>
      <c r="AI91" s="164">
        <v>9.7517245830023094E-2</v>
      </c>
      <c r="AJ91" s="164">
        <v>1.26883659904036E-3</v>
      </c>
    </row>
    <row r="92" spans="1:36">
      <c r="A92" s="2">
        <v>1182</v>
      </c>
      <c r="B92" s="2">
        <v>14769</v>
      </c>
      <c r="C92" s="2" t="s">
        <v>2327</v>
      </c>
      <c r="D92" s="2" t="s">
        <v>2328</v>
      </c>
      <c r="E92" s="4" t="s">
        <v>1342</v>
      </c>
      <c r="F92" s="2" t="s">
        <v>2332</v>
      </c>
      <c r="G92" s="2" t="s">
        <v>2333</v>
      </c>
      <c r="H92" s="2" t="s">
        <v>356</v>
      </c>
      <c r="I92" s="2" t="s">
        <v>208</v>
      </c>
      <c r="J92" s="2" t="s">
        <v>30</v>
      </c>
      <c r="K92" s="2" t="s">
        <v>30</v>
      </c>
      <c r="L92" s="2" t="s">
        <v>362</v>
      </c>
      <c r="M92" s="2" t="s">
        <v>31</v>
      </c>
      <c r="N92" s="2" t="s">
        <v>473</v>
      </c>
      <c r="O92" s="2" t="s">
        <v>155</v>
      </c>
      <c r="P92" s="2" t="s">
        <v>1519</v>
      </c>
      <c r="Q92" s="2" t="s">
        <v>101</v>
      </c>
      <c r="R92" s="2" t="s">
        <v>441</v>
      </c>
      <c r="S92" s="2" t="s">
        <v>34</v>
      </c>
      <c r="T92" s="151">
        <v>10.287000000000001</v>
      </c>
      <c r="U92" s="2" t="s">
        <v>2334</v>
      </c>
      <c r="V92" s="162">
        <v>3.2000000000000001E-2</v>
      </c>
      <c r="W92" s="164">
        <v>3.4759999999999999E-2</v>
      </c>
      <c r="X92" s="4" t="s">
        <v>447</v>
      </c>
      <c r="Y92" s="4" t="s">
        <v>155</v>
      </c>
      <c r="Z92" s="151">
        <v>21000</v>
      </c>
      <c r="AA92" s="158">
        <v>1</v>
      </c>
      <c r="AB92" s="175">
        <v>102.97</v>
      </c>
      <c r="AD92" s="151">
        <v>21.623999999999999</v>
      </c>
      <c r="AG92" s="2" t="s">
        <v>36</v>
      </c>
      <c r="AH92" s="164">
        <v>3.9999999999999998E-6</v>
      </c>
      <c r="AI92" s="164">
        <v>9.6821432871637095E-2</v>
      </c>
      <c r="AJ92" s="164">
        <v>1.2597830932714899E-3</v>
      </c>
    </row>
    <row r="93" spans="1:36">
      <c r="A93" s="2">
        <v>1182</v>
      </c>
      <c r="B93" s="2">
        <v>14769</v>
      </c>
      <c r="C93" s="2" t="s">
        <v>1903</v>
      </c>
      <c r="D93" s="2" t="s">
        <v>1904</v>
      </c>
      <c r="E93" s="4" t="s">
        <v>1342</v>
      </c>
      <c r="F93" s="2" t="s">
        <v>2362</v>
      </c>
      <c r="G93" s="2" t="s">
        <v>2363</v>
      </c>
      <c r="H93" s="2" t="s">
        <v>356</v>
      </c>
      <c r="I93" s="2" t="s">
        <v>208</v>
      </c>
      <c r="J93" s="2" t="s">
        <v>30</v>
      </c>
      <c r="K93" s="2" t="s">
        <v>30</v>
      </c>
      <c r="L93" s="2" t="s">
        <v>362</v>
      </c>
      <c r="M93" s="2" t="s">
        <v>31</v>
      </c>
      <c r="N93" s="2" t="s">
        <v>497</v>
      </c>
      <c r="O93" s="2" t="s">
        <v>155</v>
      </c>
      <c r="P93" s="2" t="s">
        <v>2211</v>
      </c>
      <c r="Q93" s="2" t="s">
        <v>206</v>
      </c>
      <c r="R93" s="2" t="s">
        <v>441</v>
      </c>
      <c r="S93" s="2" t="s">
        <v>34</v>
      </c>
      <c r="T93" s="151">
        <v>5.83</v>
      </c>
      <c r="U93" s="2" t="s">
        <v>2287</v>
      </c>
      <c r="V93" s="162">
        <v>3.5000000000000001E-3</v>
      </c>
      <c r="W93" s="164">
        <v>3.4130000000000001E-2</v>
      </c>
      <c r="X93" s="4" t="s">
        <v>447</v>
      </c>
      <c r="Y93" s="4" t="s">
        <v>155</v>
      </c>
      <c r="Z93" s="151">
        <v>8890</v>
      </c>
      <c r="AA93" s="158">
        <v>1</v>
      </c>
      <c r="AB93" s="175">
        <v>94.3</v>
      </c>
      <c r="AD93" s="151">
        <v>8.3829999999999991</v>
      </c>
      <c r="AG93" s="2" t="s">
        <v>36</v>
      </c>
      <c r="AH93" s="164">
        <v>3.0000000000000001E-6</v>
      </c>
      <c r="AI93" s="164">
        <v>3.7536601670843099E-2</v>
      </c>
      <c r="AJ93" s="164">
        <v>4.8840401098470903E-4</v>
      </c>
    </row>
    <row r="94" spans="1:36">
      <c r="A94" s="2">
        <v>1182</v>
      </c>
      <c r="B94" s="2">
        <v>14769</v>
      </c>
      <c r="C94" s="2" t="s">
        <v>2406</v>
      </c>
      <c r="D94" s="2" t="s">
        <v>2407</v>
      </c>
      <c r="E94" s="4" t="s">
        <v>348</v>
      </c>
      <c r="F94" s="2" t="s">
        <v>2408</v>
      </c>
      <c r="G94" s="2" t="s">
        <v>2409</v>
      </c>
      <c r="H94" s="2" t="s">
        <v>356</v>
      </c>
      <c r="I94" s="2" t="s">
        <v>1000</v>
      </c>
      <c r="J94" s="2" t="s">
        <v>30</v>
      </c>
      <c r="K94" s="2" t="s">
        <v>30</v>
      </c>
      <c r="L94" s="2" t="s">
        <v>362</v>
      </c>
      <c r="M94" s="2" t="s">
        <v>85</v>
      </c>
      <c r="N94" s="2" t="s">
        <v>487</v>
      </c>
      <c r="O94" s="2" t="s">
        <v>155</v>
      </c>
      <c r="P94" s="2" t="s">
        <v>2192</v>
      </c>
      <c r="Q94" s="2" t="s">
        <v>206</v>
      </c>
      <c r="R94" s="2" t="s">
        <v>441</v>
      </c>
      <c r="S94" s="2" t="s">
        <v>34</v>
      </c>
      <c r="T94" s="151">
        <v>3.4260000000000002</v>
      </c>
      <c r="U94" s="2" t="s">
        <v>2410</v>
      </c>
      <c r="V94" s="162">
        <v>6.7000000000000004E-2</v>
      </c>
      <c r="W94" s="164">
        <v>6.5699999999999995E-2</v>
      </c>
      <c r="X94" s="4" t="s">
        <v>447</v>
      </c>
      <c r="Y94" s="4" t="s">
        <v>155</v>
      </c>
      <c r="Z94" s="151">
        <v>7000</v>
      </c>
      <c r="AA94" s="158">
        <v>1</v>
      </c>
      <c r="AB94" s="175">
        <v>100.86</v>
      </c>
      <c r="AD94" s="151">
        <v>7.06</v>
      </c>
      <c r="AG94" s="2" t="s">
        <v>36</v>
      </c>
      <c r="AH94" s="164">
        <v>7.9999999999999996E-6</v>
      </c>
      <c r="AI94" s="164">
        <v>3.16124752174851E-2</v>
      </c>
      <c r="AJ94" s="164">
        <v>4.1132278912097998E-4</v>
      </c>
    </row>
    <row r="95" spans="1:36">
      <c r="A95" s="2">
        <v>1182</v>
      </c>
      <c r="B95" s="2">
        <v>14769</v>
      </c>
      <c r="C95" s="2" t="s">
        <v>2418</v>
      </c>
      <c r="D95" s="2" t="s">
        <v>2419</v>
      </c>
      <c r="E95" s="4" t="s">
        <v>349</v>
      </c>
      <c r="F95" s="2" t="s">
        <v>2420</v>
      </c>
      <c r="G95" s="2" t="s">
        <v>2421</v>
      </c>
      <c r="H95" s="2" t="s">
        <v>356</v>
      </c>
      <c r="I95" s="2" t="s">
        <v>1000</v>
      </c>
      <c r="J95" s="2" t="s">
        <v>30</v>
      </c>
      <c r="K95" s="2" t="s">
        <v>30</v>
      </c>
      <c r="L95" s="2" t="s">
        <v>362</v>
      </c>
      <c r="M95" s="2" t="s">
        <v>85</v>
      </c>
      <c r="N95" s="2" t="s">
        <v>498</v>
      </c>
      <c r="O95" s="2" t="s">
        <v>155</v>
      </c>
      <c r="P95" s="2" t="s">
        <v>2211</v>
      </c>
      <c r="Q95" s="2" t="s">
        <v>206</v>
      </c>
      <c r="R95" s="2" t="s">
        <v>441</v>
      </c>
      <c r="S95" s="2" t="s">
        <v>34</v>
      </c>
      <c r="T95" s="151">
        <v>3.927</v>
      </c>
      <c r="U95" s="2" t="s">
        <v>2422</v>
      </c>
      <c r="V95" s="162">
        <v>6.25E-2</v>
      </c>
      <c r="W95" s="164">
        <v>6.166E-2</v>
      </c>
      <c r="X95" s="4" t="s">
        <v>447</v>
      </c>
      <c r="Y95" s="4" t="s">
        <v>155</v>
      </c>
      <c r="Z95" s="151">
        <v>12832</v>
      </c>
      <c r="AA95" s="158">
        <v>1</v>
      </c>
      <c r="AB95" s="175">
        <v>103.18</v>
      </c>
      <c r="AD95" s="151">
        <v>13.24</v>
      </c>
      <c r="AG95" s="2" t="s">
        <v>36</v>
      </c>
      <c r="AH95" s="164">
        <v>2.3E-5</v>
      </c>
      <c r="AI95" s="164">
        <v>5.9283163757127999E-2</v>
      </c>
      <c r="AJ95" s="164">
        <v>7.7135738649817805E-4</v>
      </c>
    </row>
    <row r="96" spans="1:36">
      <c r="A96" s="2">
        <v>1182</v>
      </c>
      <c r="B96" s="2">
        <v>14769</v>
      </c>
      <c r="C96" s="2" t="s">
        <v>2423</v>
      </c>
      <c r="D96" s="2" t="s">
        <v>2424</v>
      </c>
      <c r="E96" s="4" t="s">
        <v>349</v>
      </c>
      <c r="F96" s="2" t="s">
        <v>2425</v>
      </c>
      <c r="G96" s="2" t="s">
        <v>2426</v>
      </c>
      <c r="H96" s="2" t="s">
        <v>356</v>
      </c>
      <c r="I96" s="2" t="s">
        <v>1000</v>
      </c>
      <c r="J96" s="2" t="s">
        <v>30</v>
      </c>
      <c r="K96" s="2" t="s">
        <v>98</v>
      </c>
      <c r="L96" s="2" t="s">
        <v>362</v>
      </c>
      <c r="M96" s="2" t="s">
        <v>31</v>
      </c>
      <c r="N96" s="2" t="s">
        <v>498</v>
      </c>
      <c r="O96" s="2" t="s">
        <v>155</v>
      </c>
      <c r="P96" s="2" t="s">
        <v>2211</v>
      </c>
      <c r="Q96" s="2" t="s">
        <v>206</v>
      </c>
      <c r="R96" s="2" t="s">
        <v>441</v>
      </c>
      <c r="S96" s="2" t="s">
        <v>34</v>
      </c>
      <c r="T96" s="151">
        <v>2.1349999999999998</v>
      </c>
      <c r="U96" s="2" t="s">
        <v>1338</v>
      </c>
      <c r="V96" s="162">
        <v>3.49E-2</v>
      </c>
      <c r="W96" s="164">
        <v>6.4509999999999998E-2</v>
      </c>
      <c r="X96" s="4" t="s">
        <v>447</v>
      </c>
      <c r="Y96" s="4" t="s">
        <v>155</v>
      </c>
      <c r="Z96" s="151">
        <v>19259</v>
      </c>
      <c r="AA96" s="158">
        <v>1</v>
      </c>
      <c r="AB96" s="175">
        <v>95.01</v>
      </c>
      <c r="AD96" s="151">
        <v>18.297999999999998</v>
      </c>
      <c r="AG96" s="2" t="s">
        <v>36</v>
      </c>
      <c r="AH96" s="164">
        <v>2.0000000000000002E-5</v>
      </c>
      <c r="AI96" s="164">
        <v>8.1930300794437694E-2</v>
      </c>
      <c r="AJ96" s="164">
        <v>1.0660285094553201E-3</v>
      </c>
    </row>
    <row r="97" spans="1:36">
      <c r="A97" s="2">
        <v>1182</v>
      </c>
      <c r="B97" s="2">
        <v>14769</v>
      </c>
      <c r="C97" s="2" t="s">
        <v>2423</v>
      </c>
      <c r="D97" s="2" t="s">
        <v>2424</v>
      </c>
      <c r="E97" s="4" t="s">
        <v>349</v>
      </c>
      <c r="F97" s="2" t="s">
        <v>2427</v>
      </c>
      <c r="G97" s="2" t="s">
        <v>2428</v>
      </c>
      <c r="H97" s="2" t="s">
        <v>356</v>
      </c>
      <c r="I97" s="2" t="s">
        <v>1000</v>
      </c>
      <c r="J97" s="2" t="s">
        <v>30</v>
      </c>
      <c r="K97" s="2" t="s">
        <v>98</v>
      </c>
      <c r="L97" s="2" t="s">
        <v>362</v>
      </c>
      <c r="M97" s="2" t="s">
        <v>85</v>
      </c>
      <c r="N97" s="2" t="s">
        <v>498</v>
      </c>
      <c r="O97" s="2" t="s">
        <v>155</v>
      </c>
      <c r="P97" s="2" t="s">
        <v>2211</v>
      </c>
      <c r="Q97" s="2" t="s">
        <v>206</v>
      </c>
      <c r="R97" s="2" t="s">
        <v>441</v>
      </c>
      <c r="S97" s="2" t="s">
        <v>34</v>
      </c>
      <c r="T97" s="151">
        <v>4.4989999999999997</v>
      </c>
      <c r="U97" s="2" t="s">
        <v>2429</v>
      </c>
      <c r="V97" s="162">
        <v>6.7400000000000002E-2</v>
      </c>
      <c r="W97" s="164">
        <v>6.7140000000000005E-2</v>
      </c>
      <c r="X97" s="4" t="s">
        <v>447</v>
      </c>
      <c r="Y97" s="4" t="s">
        <v>155</v>
      </c>
      <c r="Z97" s="151">
        <v>14000</v>
      </c>
      <c r="AA97" s="158">
        <v>1</v>
      </c>
      <c r="AB97" s="175">
        <v>100.67</v>
      </c>
      <c r="AD97" s="151">
        <v>14.093999999999999</v>
      </c>
      <c r="AG97" s="2" t="s">
        <v>36</v>
      </c>
      <c r="AH97" s="164">
        <v>4.8999999999999998E-5</v>
      </c>
      <c r="AI97" s="164">
        <v>6.3105847315967203E-2</v>
      </c>
      <c r="AJ97" s="164">
        <v>8.2109587905629801E-4</v>
      </c>
    </row>
    <row r="98" spans="1:36">
      <c r="A98" s="2">
        <v>1182</v>
      </c>
      <c r="B98" s="2">
        <v>14769</v>
      </c>
      <c r="C98" s="2" t="s">
        <v>2444</v>
      </c>
      <c r="D98" s="2" t="s">
        <v>2445</v>
      </c>
      <c r="E98" s="4" t="s">
        <v>1342</v>
      </c>
      <c r="F98" s="2" t="s">
        <v>2446</v>
      </c>
      <c r="G98" s="2" t="s">
        <v>2447</v>
      </c>
      <c r="H98" s="2" t="s">
        <v>356</v>
      </c>
      <c r="I98" s="2" t="s">
        <v>1000</v>
      </c>
      <c r="J98" s="2" t="s">
        <v>30</v>
      </c>
      <c r="K98" s="2" t="s">
        <v>30</v>
      </c>
      <c r="L98" s="2" t="s">
        <v>362</v>
      </c>
      <c r="M98" s="2" t="s">
        <v>85</v>
      </c>
      <c r="N98" s="2" t="s">
        <v>473</v>
      </c>
      <c r="O98" s="2" t="s">
        <v>155</v>
      </c>
      <c r="P98" s="2" t="s">
        <v>1353</v>
      </c>
      <c r="Q98" s="2" t="s">
        <v>206</v>
      </c>
      <c r="R98" s="2" t="s">
        <v>441</v>
      </c>
      <c r="S98" s="2" t="s">
        <v>34</v>
      </c>
      <c r="T98" s="151">
        <v>6.3849999999999998</v>
      </c>
      <c r="U98" s="2" t="s">
        <v>2448</v>
      </c>
      <c r="V98" s="162">
        <v>5.8599999999999999E-2</v>
      </c>
      <c r="W98" s="164">
        <v>5.9150000000000001E-2</v>
      </c>
      <c r="X98" s="4" t="s">
        <v>447</v>
      </c>
      <c r="Y98" s="4" t="s">
        <v>155</v>
      </c>
      <c r="Z98" s="151">
        <v>12754</v>
      </c>
      <c r="AA98" s="158">
        <v>1</v>
      </c>
      <c r="AB98" s="175">
        <v>102.78</v>
      </c>
      <c r="AD98" s="151">
        <v>13.109</v>
      </c>
      <c r="AG98" s="2" t="s">
        <v>36</v>
      </c>
      <c r="AH98" s="164">
        <v>6.3999999999999997E-5</v>
      </c>
      <c r="AI98" s="164">
        <v>5.8694380622629203E-2</v>
      </c>
      <c r="AJ98" s="164">
        <v>7.6369648935541005E-4</v>
      </c>
    </row>
    <row r="99" spans="1:36">
      <c r="A99" s="2">
        <v>1182</v>
      </c>
      <c r="B99" s="2">
        <v>14769</v>
      </c>
      <c r="C99" s="2" t="s">
        <v>2458</v>
      </c>
      <c r="D99" s="2" t="s">
        <v>2459</v>
      </c>
      <c r="E99" s="4" t="s">
        <v>1342</v>
      </c>
      <c r="F99" s="2" t="s">
        <v>2460</v>
      </c>
      <c r="G99" s="2" t="s">
        <v>2461</v>
      </c>
      <c r="H99" s="2" t="s">
        <v>356</v>
      </c>
      <c r="I99" s="2" t="s">
        <v>1000</v>
      </c>
      <c r="J99" s="2" t="s">
        <v>30</v>
      </c>
      <c r="K99" s="2" t="s">
        <v>30</v>
      </c>
      <c r="L99" s="2" t="s">
        <v>362</v>
      </c>
      <c r="M99" s="2" t="s">
        <v>85</v>
      </c>
      <c r="N99" s="2" t="s">
        <v>480</v>
      </c>
      <c r="O99" s="2" t="s">
        <v>155</v>
      </c>
      <c r="P99" s="2" t="s">
        <v>2181</v>
      </c>
      <c r="Q99" s="2" t="s">
        <v>101</v>
      </c>
      <c r="R99" s="2" t="s">
        <v>441</v>
      </c>
      <c r="S99" s="2" t="s">
        <v>34</v>
      </c>
      <c r="T99" s="151">
        <v>3.6070000000000002</v>
      </c>
      <c r="U99" s="2" t="s">
        <v>92</v>
      </c>
      <c r="V99" s="162">
        <v>5.8200000000000002E-2</v>
      </c>
      <c r="W99" s="164">
        <v>5.8200000000000002E-2</v>
      </c>
      <c r="X99" s="4" t="s">
        <v>447</v>
      </c>
      <c r="Y99" s="4" t="s">
        <v>155</v>
      </c>
      <c r="Z99" s="151">
        <v>13000</v>
      </c>
      <c r="AA99" s="158">
        <v>1</v>
      </c>
      <c r="AB99" s="175">
        <v>100.66</v>
      </c>
      <c r="AD99" s="151">
        <v>13.086</v>
      </c>
      <c r="AG99" s="2" t="s">
        <v>36</v>
      </c>
      <c r="AH99" s="164">
        <v>7.3999999999999996E-5</v>
      </c>
      <c r="AI99" s="164">
        <v>5.8592465964273803E-2</v>
      </c>
      <c r="AJ99" s="164">
        <v>7.6237043623117201E-4</v>
      </c>
    </row>
    <row r="100" spans="1:36">
      <c r="A100" s="2">
        <v>12904</v>
      </c>
      <c r="B100" s="2">
        <v>12905</v>
      </c>
      <c r="C100" s="2" t="s">
        <v>2188</v>
      </c>
      <c r="D100" s="2" t="s">
        <v>2189</v>
      </c>
      <c r="E100" s="4" t="s">
        <v>1342</v>
      </c>
      <c r="F100" s="2" t="s">
        <v>2190</v>
      </c>
      <c r="G100" s="2" t="s">
        <v>2191</v>
      </c>
      <c r="H100" s="2" t="s">
        <v>356</v>
      </c>
      <c r="I100" s="2" t="s">
        <v>208</v>
      </c>
      <c r="J100" s="2" t="s">
        <v>30</v>
      </c>
      <c r="K100" s="2" t="s">
        <v>30</v>
      </c>
      <c r="L100" s="2" t="s">
        <v>362</v>
      </c>
      <c r="M100" s="2" t="s">
        <v>31</v>
      </c>
      <c r="N100" s="2" t="s">
        <v>473</v>
      </c>
      <c r="O100" s="2" t="s">
        <v>155</v>
      </c>
      <c r="P100" s="2" t="s">
        <v>2192</v>
      </c>
      <c r="Q100" s="2" t="s">
        <v>206</v>
      </c>
      <c r="R100" s="2" t="s">
        <v>441</v>
      </c>
      <c r="S100" s="2" t="s">
        <v>34</v>
      </c>
      <c r="T100" s="151">
        <v>2.9049999999999998</v>
      </c>
      <c r="U100" s="2" t="s">
        <v>2193</v>
      </c>
      <c r="V100" s="162">
        <v>2.75E-2</v>
      </c>
      <c r="W100" s="164">
        <v>3.1E-2</v>
      </c>
      <c r="X100" s="4" t="s">
        <v>447</v>
      </c>
      <c r="Y100" s="4" t="s">
        <v>155</v>
      </c>
      <c r="Z100" s="151">
        <v>20896.12</v>
      </c>
      <c r="AA100" s="158">
        <v>1</v>
      </c>
      <c r="AB100" s="175">
        <v>113.65</v>
      </c>
      <c r="AD100" s="151">
        <v>23.748000000000001</v>
      </c>
      <c r="AG100" s="2" t="s">
        <v>36</v>
      </c>
      <c r="AH100" s="164">
        <v>2.5000000000000001E-5</v>
      </c>
      <c r="AI100" s="164">
        <v>9.4170757238959801E-3</v>
      </c>
      <c r="AJ100" s="164">
        <v>7.0168801199212995E-4</v>
      </c>
    </row>
    <row r="101" spans="1:36">
      <c r="A101" s="2">
        <v>12904</v>
      </c>
      <c r="B101" s="2">
        <v>12905</v>
      </c>
      <c r="C101" s="2" t="s">
        <v>2188</v>
      </c>
      <c r="D101" s="2" t="s">
        <v>2189</v>
      </c>
      <c r="E101" s="4" t="s">
        <v>1342</v>
      </c>
      <c r="F101" s="2" t="s">
        <v>2194</v>
      </c>
      <c r="G101" s="2" t="s">
        <v>2195</v>
      </c>
      <c r="H101" s="2" t="s">
        <v>356</v>
      </c>
      <c r="I101" s="2" t="s">
        <v>1000</v>
      </c>
      <c r="J101" s="2" t="s">
        <v>30</v>
      </c>
      <c r="K101" s="2" t="s">
        <v>30</v>
      </c>
      <c r="L101" s="2" t="s">
        <v>362</v>
      </c>
      <c r="M101" s="2" t="s">
        <v>31</v>
      </c>
      <c r="N101" s="2" t="s">
        <v>473</v>
      </c>
      <c r="O101" s="2" t="s">
        <v>155</v>
      </c>
      <c r="P101" s="2" t="s">
        <v>2192</v>
      </c>
      <c r="Q101" s="2" t="s">
        <v>206</v>
      </c>
      <c r="R101" s="2" t="s">
        <v>441</v>
      </c>
      <c r="S101" s="2" t="s">
        <v>34</v>
      </c>
      <c r="T101" s="151">
        <v>2.4820000000000002</v>
      </c>
      <c r="U101" s="2" t="s">
        <v>2196</v>
      </c>
      <c r="V101" s="162">
        <v>2.5000000000000001E-2</v>
      </c>
      <c r="W101" s="164">
        <v>6.1120000000000001E-2</v>
      </c>
      <c r="X101" s="4" t="s">
        <v>447</v>
      </c>
      <c r="Y101" s="4" t="s">
        <v>155</v>
      </c>
      <c r="Z101" s="151">
        <v>14009.4</v>
      </c>
      <c r="AA101" s="158">
        <v>1</v>
      </c>
      <c r="AB101" s="175">
        <v>89.41</v>
      </c>
      <c r="AD101" s="151">
        <v>12.526</v>
      </c>
      <c r="AG101" s="2" t="s">
        <v>36</v>
      </c>
      <c r="AH101" s="164">
        <v>1.8E-5</v>
      </c>
      <c r="AI101" s="164">
        <v>4.9669135306770803E-3</v>
      </c>
      <c r="AJ101" s="164">
        <v>3.7009617244914003E-4</v>
      </c>
    </row>
    <row r="102" spans="1:36">
      <c r="A102" s="2">
        <v>12904</v>
      </c>
      <c r="B102" s="2">
        <v>12905</v>
      </c>
      <c r="C102" s="2" t="s">
        <v>2197</v>
      </c>
      <c r="D102" s="2" t="s">
        <v>2198</v>
      </c>
      <c r="E102" s="4" t="s">
        <v>1342</v>
      </c>
      <c r="F102" s="2" t="s">
        <v>2199</v>
      </c>
      <c r="G102" s="2" t="s">
        <v>2200</v>
      </c>
      <c r="H102" s="2" t="s">
        <v>356</v>
      </c>
      <c r="I102" s="2" t="s">
        <v>1000</v>
      </c>
      <c r="J102" s="2" t="s">
        <v>30</v>
      </c>
      <c r="K102" s="2" t="s">
        <v>30</v>
      </c>
      <c r="L102" s="2" t="s">
        <v>362</v>
      </c>
      <c r="M102" s="2" t="s">
        <v>31</v>
      </c>
      <c r="N102" s="2" t="s">
        <v>480</v>
      </c>
      <c r="O102" s="2" t="s">
        <v>155</v>
      </c>
      <c r="P102" s="2" t="s">
        <v>2181</v>
      </c>
      <c r="Q102" s="2" t="s">
        <v>101</v>
      </c>
      <c r="R102" s="2" t="s">
        <v>441</v>
      </c>
      <c r="S102" s="2" t="s">
        <v>34</v>
      </c>
      <c r="T102" s="151">
        <v>2.2480000000000002</v>
      </c>
      <c r="U102" s="2" t="s">
        <v>2201</v>
      </c>
      <c r="V102" s="162">
        <v>2.5499999999999998E-2</v>
      </c>
      <c r="W102" s="164">
        <v>6.0019999999999997E-2</v>
      </c>
      <c r="X102" s="4" t="s">
        <v>447</v>
      </c>
      <c r="Y102" s="4" t="s">
        <v>155</v>
      </c>
      <c r="Z102" s="151">
        <v>27313</v>
      </c>
      <c r="AA102" s="158">
        <v>1</v>
      </c>
      <c r="AB102" s="175">
        <v>93.37</v>
      </c>
      <c r="AD102" s="151">
        <v>25.501999999999999</v>
      </c>
      <c r="AG102" s="2" t="s">
        <v>36</v>
      </c>
      <c r="AH102" s="164">
        <v>3.6000000000000001E-5</v>
      </c>
      <c r="AI102" s="164">
        <v>1.0112481322435E-2</v>
      </c>
      <c r="AJ102" s="164">
        <v>7.5350428556512504E-4</v>
      </c>
    </row>
    <row r="103" spans="1:36">
      <c r="A103" s="2">
        <v>12904</v>
      </c>
      <c r="B103" s="2">
        <v>12905</v>
      </c>
      <c r="C103" s="2" t="s">
        <v>2202</v>
      </c>
      <c r="D103" s="2" t="s">
        <v>2203</v>
      </c>
      <c r="E103" s="4" t="s">
        <v>1342</v>
      </c>
      <c r="F103" s="2" t="s">
        <v>2204</v>
      </c>
      <c r="G103" s="2" t="s">
        <v>2205</v>
      </c>
      <c r="H103" s="2" t="s">
        <v>356</v>
      </c>
      <c r="I103" s="2" t="s">
        <v>1000</v>
      </c>
      <c r="J103" s="2" t="s">
        <v>30</v>
      </c>
      <c r="K103" s="2" t="s">
        <v>30</v>
      </c>
      <c r="L103" s="2" t="s">
        <v>362</v>
      </c>
      <c r="M103" s="2" t="s">
        <v>31</v>
      </c>
      <c r="N103" s="2" t="s">
        <v>478</v>
      </c>
      <c r="O103" s="2" t="s">
        <v>155</v>
      </c>
      <c r="P103" s="2" t="s">
        <v>2181</v>
      </c>
      <c r="Q103" s="2" t="s">
        <v>101</v>
      </c>
      <c r="R103" s="2" t="s">
        <v>441</v>
      </c>
      <c r="S103" s="2" t="s">
        <v>34</v>
      </c>
      <c r="T103" s="151">
        <v>3.9980000000000002</v>
      </c>
      <c r="U103" s="2" t="s">
        <v>2206</v>
      </c>
      <c r="V103" s="162">
        <v>2.18E-2</v>
      </c>
      <c r="W103" s="164">
        <v>6.139E-2</v>
      </c>
      <c r="X103" s="4" t="s">
        <v>447</v>
      </c>
      <c r="Y103" s="4" t="s">
        <v>155</v>
      </c>
      <c r="Z103" s="151">
        <v>72602</v>
      </c>
      <c r="AA103" s="158">
        <v>1</v>
      </c>
      <c r="AB103" s="175">
        <v>86.45</v>
      </c>
      <c r="AD103" s="151">
        <v>62.764000000000003</v>
      </c>
      <c r="AG103" s="2" t="s">
        <v>36</v>
      </c>
      <c r="AH103" s="164">
        <v>4.4200000000000001E-4</v>
      </c>
      <c r="AI103" s="164">
        <v>2.4888260921666999E-2</v>
      </c>
      <c r="AJ103" s="164">
        <v>1.85448167139097E-3</v>
      </c>
    </row>
    <row r="104" spans="1:36">
      <c r="A104" s="2">
        <v>12904</v>
      </c>
      <c r="B104" s="2">
        <v>12905</v>
      </c>
      <c r="C104" s="2" t="s">
        <v>2212</v>
      </c>
      <c r="D104" s="2" t="s">
        <v>2213</v>
      </c>
      <c r="E104" s="4" t="s">
        <v>1342</v>
      </c>
      <c r="F104" s="2" t="s">
        <v>2214</v>
      </c>
      <c r="G104" s="2" t="s">
        <v>2215</v>
      </c>
      <c r="H104" s="2" t="s">
        <v>356</v>
      </c>
      <c r="I104" s="2" t="s">
        <v>1000</v>
      </c>
      <c r="J104" s="2" t="s">
        <v>30</v>
      </c>
      <c r="K104" s="2" t="s">
        <v>30</v>
      </c>
      <c r="L104" s="2" t="s">
        <v>362</v>
      </c>
      <c r="M104" s="2" t="s">
        <v>31</v>
      </c>
      <c r="N104" s="2" t="s">
        <v>497</v>
      </c>
      <c r="O104" s="2" t="s">
        <v>155</v>
      </c>
      <c r="P104" s="2" t="s">
        <v>1353</v>
      </c>
      <c r="Q104" s="2" t="s">
        <v>206</v>
      </c>
      <c r="R104" s="2" t="s">
        <v>441</v>
      </c>
      <c r="S104" s="2" t="s">
        <v>34</v>
      </c>
      <c r="T104" s="151">
        <v>3.9049999999999998</v>
      </c>
      <c r="U104" s="2" t="s">
        <v>2216</v>
      </c>
      <c r="V104" s="162">
        <v>2.41E-2</v>
      </c>
      <c r="W104" s="164">
        <v>6.3320000000000001E-2</v>
      </c>
      <c r="X104" s="4" t="s">
        <v>447</v>
      </c>
      <c r="Y104" s="4" t="s">
        <v>155</v>
      </c>
      <c r="Z104" s="151">
        <v>10666.67</v>
      </c>
      <c r="AA104" s="158">
        <v>1</v>
      </c>
      <c r="AB104" s="175">
        <v>86.08</v>
      </c>
      <c r="AD104" s="151">
        <v>9.1820000000000004</v>
      </c>
      <c r="AG104" s="2" t="s">
        <v>36</v>
      </c>
      <c r="AH104" s="164">
        <v>5.0000000000000004E-6</v>
      </c>
      <c r="AI104" s="164">
        <v>3.64092796511657E-3</v>
      </c>
      <c r="AJ104" s="164">
        <v>2.7129393248547E-4</v>
      </c>
    </row>
    <row r="105" spans="1:36">
      <c r="A105" s="2">
        <v>12904</v>
      </c>
      <c r="B105" s="2">
        <v>12905</v>
      </c>
      <c r="C105" s="2" t="s">
        <v>2212</v>
      </c>
      <c r="D105" s="2" t="s">
        <v>2213</v>
      </c>
      <c r="E105" s="4" t="s">
        <v>1342</v>
      </c>
      <c r="F105" s="2" t="s">
        <v>2217</v>
      </c>
      <c r="G105" s="2" t="s">
        <v>2218</v>
      </c>
      <c r="H105" s="2" t="s">
        <v>356</v>
      </c>
      <c r="I105" s="2" t="s">
        <v>1000</v>
      </c>
      <c r="J105" s="2" t="s">
        <v>30</v>
      </c>
      <c r="K105" s="2" t="s">
        <v>30</v>
      </c>
      <c r="L105" s="2" t="s">
        <v>362</v>
      </c>
      <c r="M105" s="2" t="s">
        <v>31</v>
      </c>
      <c r="N105" s="2" t="s">
        <v>497</v>
      </c>
      <c r="O105" s="2" t="s">
        <v>155</v>
      </c>
      <c r="P105" s="2" t="s">
        <v>1353</v>
      </c>
      <c r="Q105" s="2" t="s">
        <v>206</v>
      </c>
      <c r="R105" s="2" t="s">
        <v>441</v>
      </c>
      <c r="S105" s="2" t="s">
        <v>34</v>
      </c>
      <c r="T105" s="151">
        <v>6.2430000000000003</v>
      </c>
      <c r="U105" s="2" t="s">
        <v>2219</v>
      </c>
      <c r="V105" s="162">
        <v>4.9399999999999999E-2</v>
      </c>
      <c r="W105" s="164">
        <v>6.6839999999999997E-2</v>
      </c>
      <c r="X105" s="4" t="s">
        <v>447</v>
      </c>
      <c r="Y105" s="4" t="s">
        <v>155</v>
      </c>
      <c r="Z105" s="151">
        <v>12310</v>
      </c>
      <c r="AA105" s="158">
        <v>1</v>
      </c>
      <c r="AB105" s="175">
        <v>92.67</v>
      </c>
      <c r="AD105" s="151">
        <v>11.407999999999999</v>
      </c>
      <c r="AG105" s="2" t="s">
        <v>36</v>
      </c>
      <c r="AH105" s="164">
        <v>1.4E-5</v>
      </c>
      <c r="AI105" s="164">
        <v>4.52353739545849E-3</v>
      </c>
      <c r="AJ105" s="164">
        <v>3.3705919494063E-4</v>
      </c>
    </row>
    <row r="106" spans="1:36">
      <c r="A106" s="2">
        <v>12904</v>
      </c>
      <c r="B106" s="2">
        <v>12905</v>
      </c>
      <c r="C106" s="2" t="s">
        <v>1808</v>
      </c>
      <c r="D106" s="2" t="s">
        <v>1809</v>
      </c>
      <c r="E106" s="4" t="s">
        <v>1342</v>
      </c>
      <c r="F106" s="2" t="s">
        <v>2220</v>
      </c>
      <c r="G106" s="2" t="s">
        <v>2221</v>
      </c>
      <c r="H106" s="2" t="s">
        <v>356</v>
      </c>
      <c r="I106" s="2" t="s">
        <v>1000</v>
      </c>
      <c r="J106" s="2" t="s">
        <v>30</v>
      </c>
      <c r="K106" s="2" t="s">
        <v>30</v>
      </c>
      <c r="L106" s="2" t="s">
        <v>362</v>
      </c>
      <c r="M106" s="2" t="s">
        <v>31</v>
      </c>
      <c r="N106" s="2" t="s">
        <v>484</v>
      </c>
      <c r="O106" s="2" t="s">
        <v>155</v>
      </c>
      <c r="P106" s="2" t="s">
        <v>1346</v>
      </c>
      <c r="Q106" s="2" t="s">
        <v>206</v>
      </c>
      <c r="R106" s="2" t="s">
        <v>441</v>
      </c>
      <c r="S106" s="2" t="s">
        <v>34</v>
      </c>
      <c r="T106" s="151">
        <v>2.2240000000000002</v>
      </c>
      <c r="U106" s="2" t="s">
        <v>2222</v>
      </c>
      <c r="V106" s="162">
        <v>0.04</v>
      </c>
      <c r="W106" s="164">
        <v>5.774E-2</v>
      </c>
      <c r="X106" s="4" t="s">
        <v>447</v>
      </c>
      <c r="Y106" s="4" t="s">
        <v>155</v>
      </c>
      <c r="Z106" s="151">
        <v>21875</v>
      </c>
      <c r="AA106" s="158">
        <v>1</v>
      </c>
      <c r="AB106" s="175">
        <v>96.04</v>
      </c>
      <c r="AD106" s="151">
        <v>21.009</v>
      </c>
      <c r="AG106" s="2" t="s">
        <v>36</v>
      </c>
      <c r="AH106" s="164">
        <v>3.1999999999999999E-5</v>
      </c>
      <c r="AI106" s="164">
        <v>8.33069399289957E-3</v>
      </c>
      <c r="AJ106" s="164">
        <v>6.2073920586189105E-4</v>
      </c>
    </row>
    <row r="107" spans="1:36">
      <c r="A107" s="2">
        <v>12904</v>
      </c>
      <c r="B107" s="2">
        <v>12905</v>
      </c>
      <c r="C107" s="2" t="s">
        <v>1808</v>
      </c>
      <c r="D107" s="2" t="s">
        <v>1809</v>
      </c>
      <c r="E107" s="4" t="s">
        <v>1342</v>
      </c>
      <c r="F107" s="2" t="s">
        <v>2223</v>
      </c>
      <c r="G107" s="2" t="s">
        <v>2224</v>
      </c>
      <c r="H107" s="2" t="s">
        <v>356</v>
      </c>
      <c r="I107" s="2" t="s">
        <v>1000</v>
      </c>
      <c r="J107" s="2" t="s">
        <v>30</v>
      </c>
      <c r="K107" s="2" t="s">
        <v>30</v>
      </c>
      <c r="L107" s="2" t="s">
        <v>362</v>
      </c>
      <c r="M107" s="2" t="s">
        <v>31</v>
      </c>
      <c r="N107" s="2" t="s">
        <v>484</v>
      </c>
      <c r="O107" s="2" t="s">
        <v>155</v>
      </c>
      <c r="P107" s="2" t="s">
        <v>1346</v>
      </c>
      <c r="Q107" s="2" t="s">
        <v>206</v>
      </c>
      <c r="R107" s="2" t="s">
        <v>441</v>
      </c>
      <c r="S107" s="2" t="s">
        <v>34</v>
      </c>
      <c r="T107" s="151">
        <v>3.7080000000000002</v>
      </c>
      <c r="U107" s="2" t="s">
        <v>2225</v>
      </c>
      <c r="V107" s="162">
        <v>2.07E-2</v>
      </c>
      <c r="W107" s="164">
        <v>5.9970000000000002E-2</v>
      </c>
      <c r="X107" s="4" t="s">
        <v>447</v>
      </c>
      <c r="Y107" s="4" t="s">
        <v>155</v>
      </c>
      <c r="Z107" s="151">
        <v>54080</v>
      </c>
      <c r="AA107" s="158">
        <v>1</v>
      </c>
      <c r="AB107" s="175">
        <v>83.35</v>
      </c>
      <c r="AD107" s="151">
        <v>45.076000000000001</v>
      </c>
      <c r="AG107" s="2" t="s">
        <v>36</v>
      </c>
      <c r="AH107" s="164">
        <v>1.3200000000000001E-4</v>
      </c>
      <c r="AI107" s="164">
        <v>1.7874061836228399E-2</v>
      </c>
      <c r="AJ107" s="164">
        <v>1.3318375346883899E-3</v>
      </c>
    </row>
    <row r="108" spans="1:36">
      <c r="A108" s="2">
        <v>12904</v>
      </c>
      <c r="B108" s="2">
        <v>12905</v>
      </c>
      <c r="C108" s="2" t="s">
        <v>2226</v>
      </c>
      <c r="D108" s="2" t="s">
        <v>2227</v>
      </c>
      <c r="E108" s="4" t="s">
        <v>1342</v>
      </c>
      <c r="F108" s="2" t="s">
        <v>2228</v>
      </c>
      <c r="G108" s="2" t="s">
        <v>2229</v>
      </c>
      <c r="H108" s="2" t="s">
        <v>356</v>
      </c>
      <c r="I108" s="2" t="s">
        <v>208</v>
      </c>
      <c r="J108" s="2" t="s">
        <v>30</v>
      </c>
      <c r="K108" s="2" t="s">
        <v>30</v>
      </c>
      <c r="L108" s="2" t="s">
        <v>362</v>
      </c>
      <c r="M108" s="2" t="s">
        <v>31</v>
      </c>
      <c r="N108" s="2" t="s">
        <v>498</v>
      </c>
      <c r="O108" s="2" t="s">
        <v>155</v>
      </c>
      <c r="P108" s="2" t="s">
        <v>2181</v>
      </c>
      <c r="Q108" s="2" t="s">
        <v>101</v>
      </c>
      <c r="R108" s="2" t="s">
        <v>441</v>
      </c>
      <c r="S108" s="2" t="s">
        <v>34</v>
      </c>
      <c r="T108" s="151">
        <v>1.7330000000000001</v>
      </c>
      <c r="U108" s="2" t="s">
        <v>2230</v>
      </c>
      <c r="V108" s="162">
        <v>2.5700000000000001E-2</v>
      </c>
      <c r="W108" s="164">
        <v>3.109E-2</v>
      </c>
      <c r="X108" s="4" t="s">
        <v>447</v>
      </c>
      <c r="Y108" s="4" t="s">
        <v>155</v>
      </c>
      <c r="Z108" s="151">
        <v>69266</v>
      </c>
      <c r="AA108" s="158">
        <v>1</v>
      </c>
      <c r="AB108" s="175">
        <v>116.88</v>
      </c>
      <c r="AD108" s="151">
        <v>80.957999999999998</v>
      </c>
      <c r="AG108" s="2" t="s">
        <v>36</v>
      </c>
      <c r="AH108" s="164">
        <v>5.3999999999999998E-5</v>
      </c>
      <c r="AI108" s="164">
        <v>3.2102679312720601E-2</v>
      </c>
      <c r="AJ108" s="164">
        <v>2.3920446099210502E-3</v>
      </c>
    </row>
    <row r="109" spans="1:36">
      <c r="A109" s="2">
        <v>12904</v>
      </c>
      <c r="B109" s="2">
        <v>12905</v>
      </c>
      <c r="C109" s="2" t="s">
        <v>2226</v>
      </c>
      <c r="D109" s="2" t="s">
        <v>2227</v>
      </c>
      <c r="E109" s="4" t="s">
        <v>1342</v>
      </c>
      <c r="F109" s="2" t="s">
        <v>2231</v>
      </c>
      <c r="G109" s="2" t="s">
        <v>2232</v>
      </c>
      <c r="H109" s="2" t="s">
        <v>356</v>
      </c>
      <c r="I109" s="2" t="s">
        <v>208</v>
      </c>
      <c r="J109" s="2" t="s">
        <v>30</v>
      </c>
      <c r="K109" s="2" t="s">
        <v>30</v>
      </c>
      <c r="L109" s="2" t="s">
        <v>362</v>
      </c>
      <c r="M109" s="2" t="s">
        <v>31</v>
      </c>
      <c r="N109" s="2" t="s">
        <v>498</v>
      </c>
      <c r="O109" s="2" t="s">
        <v>155</v>
      </c>
      <c r="P109" s="2" t="s">
        <v>2181</v>
      </c>
      <c r="Q109" s="2" t="s">
        <v>101</v>
      </c>
      <c r="R109" s="2" t="s">
        <v>441</v>
      </c>
      <c r="S109" s="2" t="s">
        <v>34</v>
      </c>
      <c r="T109" s="151">
        <v>3.3610000000000002</v>
      </c>
      <c r="U109" s="2" t="s">
        <v>2233</v>
      </c>
      <c r="V109" s="162">
        <v>1.54E-2</v>
      </c>
      <c r="W109" s="164">
        <v>3.662E-2</v>
      </c>
      <c r="X109" s="4" t="s">
        <v>447</v>
      </c>
      <c r="Y109" s="4" t="s">
        <v>155</v>
      </c>
      <c r="Z109" s="151">
        <v>21070</v>
      </c>
      <c r="AA109" s="158">
        <v>1</v>
      </c>
      <c r="AB109" s="175">
        <v>100.74</v>
      </c>
      <c r="AD109" s="151">
        <v>21.225999999999999</v>
      </c>
      <c r="AG109" s="2" t="s">
        <v>36</v>
      </c>
      <c r="AH109" s="164">
        <v>3.4999999999999997E-5</v>
      </c>
      <c r="AI109" s="164">
        <v>8.4168085952938104E-3</v>
      </c>
      <c r="AJ109" s="164">
        <v>6.2715580332050203E-4</v>
      </c>
    </row>
    <row r="110" spans="1:36">
      <c r="A110" s="2">
        <v>12904</v>
      </c>
      <c r="B110" s="2">
        <v>12905</v>
      </c>
      <c r="C110" s="2" t="s">
        <v>2226</v>
      </c>
      <c r="D110" s="2" t="s">
        <v>2227</v>
      </c>
      <c r="E110" s="4" t="s">
        <v>1342</v>
      </c>
      <c r="F110" s="2" t="s">
        <v>2234</v>
      </c>
      <c r="G110" s="2" t="s">
        <v>2235</v>
      </c>
      <c r="H110" s="2" t="s">
        <v>356</v>
      </c>
      <c r="I110" s="2" t="s">
        <v>208</v>
      </c>
      <c r="J110" s="2" t="s">
        <v>30</v>
      </c>
      <c r="K110" s="2" t="s">
        <v>30</v>
      </c>
      <c r="L110" s="2" t="s">
        <v>362</v>
      </c>
      <c r="M110" s="2" t="s">
        <v>85</v>
      </c>
      <c r="N110" s="2" t="s">
        <v>498</v>
      </c>
      <c r="O110" s="2" t="s">
        <v>155</v>
      </c>
      <c r="P110" s="2" t="s">
        <v>1346</v>
      </c>
      <c r="Q110" s="2" t="s">
        <v>206</v>
      </c>
      <c r="R110" s="2" t="s">
        <v>441</v>
      </c>
      <c r="S110" s="2" t="s">
        <v>34</v>
      </c>
      <c r="T110" s="151">
        <v>7.1020000000000003</v>
      </c>
      <c r="U110" s="2" t="s">
        <v>2236</v>
      </c>
      <c r="V110" s="162">
        <v>4.02E-2</v>
      </c>
      <c r="W110" s="164">
        <v>3.9660000000000001E-2</v>
      </c>
      <c r="X110" s="4" t="s">
        <v>447</v>
      </c>
      <c r="Y110" s="4" t="s">
        <v>155</v>
      </c>
      <c r="Z110" s="151">
        <v>45000</v>
      </c>
      <c r="AA110" s="158">
        <v>1</v>
      </c>
      <c r="AB110" s="175">
        <v>101.8</v>
      </c>
      <c r="AD110" s="151">
        <v>45.81</v>
      </c>
      <c r="AG110" s="2" t="s">
        <v>36</v>
      </c>
      <c r="AH110" s="164">
        <v>1.2899999999999999E-4</v>
      </c>
      <c r="AI110" s="164">
        <v>1.8165245043837899E-2</v>
      </c>
      <c r="AJ110" s="164">
        <v>1.3535342664619801E-3</v>
      </c>
    </row>
    <row r="111" spans="1:36">
      <c r="A111" s="2">
        <v>12904</v>
      </c>
      <c r="B111" s="2">
        <v>12905</v>
      </c>
      <c r="C111" s="2" t="s">
        <v>2237</v>
      </c>
      <c r="D111" s="2" t="s">
        <v>2238</v>
      </c>
      <c r="E111" s="4" t="s">
        <v>1342</v>
      </c>
      <c r="F111" s="2" t="s">
        <v>2239</v>
      </c>
      <c r="G111" s="2" t="s">
        <v>2240</v>
      </c>
      <c r="H111" s="2" t="s">
        <v>356</v>
      </c>
      <c r="I111" s="2" t="s">
        <v>1000</v>
      </c>
      <c r="J111" s="2" t="s">
        <v>30</v>
      </c>
      <c r="K111" s="2" t="s">
        <v>30</v>
      </c>
      <c r="L111" s="2" t="s">
        <v>362</v>
      </c>
      <c r="M111" s="2" t="s">
        <v>31</v>
      </c>
      <c r="N111" s="2" t="s">
        <v>484</v>
      </c>
      <c r="O111" s="2" t="s">
        <v>155</v>
      </c>
      <c r="P111" s="2" t="s">
        <v>2211</v>
      </c>
      <c r="Q111" s="2" t="s">
        <v>206</v>
      </c>
      <c r="R111" s="2" t="s">
        <v>441</v>
      </c>
      <c r="S111" s="2" t="s">
        <v>34</v>
      </c>
      <c r="T111" s="151">
        <v>5.5060000000000002</v>
      </c>
      <c r="U111" s="2" t="s">
        <v>2241</v>
      </c>
      <c r="V111" s="162">
        <v>5.3100000000000001E-2</v>
      </c>
      <c r="W111" s="164">
        <v>5.9760000000000001E-2</v>
      </c>
      <c r="X111" s="4" t="s">
        <v>447</v>
      </c>
      <c r="Y111" s="4" t="s">
        <v>155</v>
      </c>
      <c r="Z111" s="151">
        <v>11000</v>
      </c>
      <c r="AA111" s="158">
        <v>1</v>
      </c>
      <c r="AB111" s="175">
        <v>97.42</v>
      </c>
      <c r="AD111" s="151">
        <v>10.715999999999999</v>
      </c>
      <c r="AG111" s="2" t="s">
        <v>36</v>
      </c>
      <c r="AH111" s="164">
        <v>3.4999999999999997E-5</v>
      </c>
      <c r="AI111" s="164">
        <v>4.2493429150573204E-3</v>
      </c>
      <c r="AJ111" s="164">
        <v>3.16628332378518E-4</v>
      </c>
    </row>
    <row r="112" spans="1:36">
      <c r="A112" s="2">
        <v>12904</v>
      </c>
      <c r="B112" s="2">
        <v>12905</v>
      </c>
      <c r="C112" s="2" t="s">
        <v>2242</v>
      </c>
      <c r="D112" s="2" t="s">
        <v>2243</v>
      </c>
      <c r="E112" s="4" t="s">
        <v>1342</v>
      </c>
      <c r="F112" s="2" t="s">
        <v>2244</v>
      </c>
      <c r="G112" s="2" t="s">
        <v>2245</v>
      </c>
      <c r="H112" s="2" t="s">
        <v>356</v>
      </c>
      <c r="I112" s="2" t="s">
        <v>208</v>
      </c>
      <c r="J112" s="2" t="s">
        <v>30</v>
      </c>
      <c r="K112" s="2" t="s">
        <v>30</v>
      </c>
      <c r="L112" s="2" t="s">
        <v>362</v>
      </c>
      <c r="M112" s="2" t="s">
        <v>31</v>
      </c>
      <c r="N112" s="2" t="s">
        <v>497</v>
      </c>
      <c r="O112" s="2" t="s">
        <v>155</v>
      </c>
      <c r="P112" s="2" t="s">
        <v>2181</v>
      </c>
      <c r="Q112" s="2" t="s">
        <v>206</v>
      </c>
      <c r="R112" s="2" t="s">
        <v>441</v>
      </c>
      <c r="S112" s="2" t="s">
        <v>34</v>
      </c>
      <c r="T112" s="151">
        <v>5.99</v>
      </c>
      <c r="U112" s="2" t="s">
        <v>2246</v>
      </c>
      <c r="V112" s="162">
        <v>3.6799999999999999E-2</v>
      </c>
      <c r="W112" s="164">
        <v>4.0779999999999997E-2</v>
      </c>
      <c r="X112" s="4" t="s">
        <v>447</v>
      </c>
      <c r="Y112" s="4" t="s">
        <v>155</v>
      </c>
      <c r="Z112" s="151">
        <v>39000</v>
      </c>
      <c r="AA112" s="158">
        <v>1</v>
      </c>
      <c r="AB112" s="175">
        <v>102.26</v>
      </c>
      <c r="AD112" s="151">
        <v>39.881</v>
      </c>
      <c r="AG112" s="2" t="s">
        <v>36</v>
      </c>
      <c r="AH112" s="164">
        <v>1.6000000000000001E-4</v>
      </c>
      <c r="AI112" s="164">
        <v>1.5814350659055201E-2</v>
      </c>
      <c r="AJ112" s="164">
        <v>1.1783637086766399E-3</v>
      </c>
    </row>
    <row r="113" spans="1:36">
      <c r="A113" s="2">
        <v>12904</v>
      </c>
      <c r="B113" s="2">
        <v>12905</v>
      </c>
      <c r="C113" s="2" t="s">
        <v>2242</v>
      </c>
      <c r="D113" s="2" t="s">
        <v>2243</v>
      </c>
      <c r="E113" s="4" t="s">
        <v>1342</v>
      </c>
      <c r="F113" s="2" t="s">
        <v>2247</v>
      </c>
      <c r="G113" s="2" t="s">
        <v>2248</v>
      </c>
      <c r="H113" s="2" t="s">
        <v>356</v>
      </c>
      <c r="I113" s="2" t="s">
        <v>208</v>
      </c>
      <c r="J113" s="2" t="s">
        <v>30</v>
      </c>
      <c r="K113" s="2" t="s">
        <v>30</v>
      </c>
      <c r="L113" s="2" t="s">
        <v>362</v>
      </c>
      <c r="M113" s="2" t="s">
        <v>31</v>
      </c>
      <c r="N113" s="2" t="s">
        <v>497</v>
      </c>
      <c r="O113" s="2" t="s">
        <v>155</v>
      </c>
      <c r="P113" s="2" t="s">
        <v>2181</v>
      </c>
      <c r="Q113" s="2" t="s">
        <v>206</v>
      </c>
      <c r="R113" s="2" t="s">
        <v>441</v>
      </c>
      <c r="S113" s="2" t="s">
        <v>34</v>
      </c>
      <c r="T113" s="151">
        <v>1.302</v>
      </c>
      <c r="U113" s="2" t="s">
        <v>2249</v>
      </c>
      <c r="V113" s="162">
        <v>3.4599999999999999E-2</v>
      </c>
      <c r="W113" s="164">
        <v>2.785E-2</v>
      </c>
      <c r="X113" s="4" t="s">
        <v>447</v>
      </c>
      <c r="Y113" s="4" t="s">
        <v>155</v>
      </c>
      <c r="Z113" s="151">
        <v>25500</v>
      </c>
      <c r="AA113" s="158">
        <v>1</v>
      </c>
      <c r="AB113" s="175">
        <v>118.52</v>
      </c>
      <c r="AD113" s="151">
        <v>30.222999999999999</v>
      </c>
      <c r="AG113" s="2" t="s">
        <v>36</v>
      </c>
      <c r="AH113" s="164">
        <v>7.2999999999999999E-5</v>
      </c>
      <c r="AI113" s="164">
        <v>1.19843033150381E-2</v>
      </c>
      <c r="AJ113" s="164">
        <v>8.9297805548076798E-4</v>
      </c>
    </row>
    <row r="114" spans="1:36">
      <c r="A114" s="2">
        <v>12904</v>
      </c>
      <c r="B114" s="2">
        <v>12905</v>
      </c>
      <c r="C114" s="2" t="s">
        <v>1828</v>
      </c>
      <c r="D114" s="2" t="s">
        <v>1829</v>
      </c>
      <c r="E114" s="4" t="s">
        <v>1342</v>
      </c>
      <c r="F114" s="2" t="s">
        <v>2487</v>
      </c>
      <c r="G114" s="2" t="s">
        <v>2488</v>
      </c>
      <c r="H114" s="2" t="s">
        <v>356</v>
      </c>
      <c r="I114" s="2" t="s">
        <v>1000</v>
      </c>
      <c r="J114" s="2" t="s">
        <v>30</v>
      </c>
      <c r="K114" s="2" t="s">
        <v>30</v>
      </c>
      <c r="L114" s="2" t="s">
        <v>362</v>
      </c>
      <c r="M114" s="2" t="s">
        <v>31</v>
      </c>
      <c r="N114" s="2" t="s">
        <v>480</v>
      </c>
      <c r="O114" s="2" t="s">
        <v>155</v>
      </c>
      <c r="P114" s="2" t="s">
        <v>2181</v>
      </c>
      <c r="Q114" s="2" t="s">
        <v>206</v>
      </c>
      <c r="R114" s="2" t="s">
        <v>441</v>
      </c>
      <c r="S114" s="2" t="s">
        <v>34</v>
      </c>
      <c r="T114" s="151">
        <v>1.61</v>
      </c>
      <c r="U114" s="2" t="s">
        <v>2489</v>
      </c>
      <c r="V114" s="162">
        <v>4.2999999999999997E-2</v>
      </c>
      <c r="W114" s="164">
        <v>6.1170000000000002E-2</v>
      </c>
      <c r="X114" s="4" t="s">
        <v>447</v>
      </c>
      <c r="Y114" s="4" t="s">
        <v>155</v>
      </c>
      <c r="Z114" s="151">
        <v>25091.24</v>
      </c>
      <c r="AA114" s="158">
        <v>1</v>
      </c>
      <c r="AB114" s="175">
        <v>97.33</v>
      </c>
      <c r="AD114" s="151">
        <v>24.420999999999999</v>
      </c>
      <c r="AG114" s="2" t="s">
        <v>36</v>
      </c>
      <c r="AH114" s="164">
        <v>2.8E-5</v>
      </c>
      <c r="AI114" s="164">
        <v>9.6838893143028192E-3</v>
      </c>
      <c r="AJ114" s="164">
        <v>7.2156890743294998E-4</v>
      </c>
    </row>
    <row r="115" spans="1:36">
      <c r="A115" s="2">
        <v>12904</v>
      </c>
      <c r="B115" s="2">
        <v>12905</v>
      </c>
      <c r="C115" s="2" t="s">
        <v>2253</v>
      </c>
      <c r="D115" s="2" t="s">
        <v>2254</v>
      </c>
      <c r="E115" s="4" t="s">
        <v>1342</v>
      </c>
      <c r="F115" s="2" t="s">
        <v>2255</v>
      </c>
      <c r="G115" s="2" t="s">
        <v>2256</v>
      </c>
      <c r="H115" s="2" t="s">
        <v>356</v>
      </c>
      <c r="I115" s="2" t="s">
        <v>1000</v>
      </c>
      <c r="J115" s="2" t="s">
        <v>30</v>
      </c>
      <c r="K115" s="2" t="s">
        <v>30</v>
      </c>
      <c r="L115" s="2" t="s">
        <v>362</v>
      </c>
      <c r="M115" s="2" t="s">
        <v>85</v>
      </c>
      <c r="N115" s="2" t="s">
        <v>518</v>
      </c>
      <c r="O115" s="2" t="s">
        <v>155</v>
      </c>
      <c r="P115" s="2" t="s">
        <v>2192</v>
      </c>
      <c r="Q115" s="2" t="s">
        <v>101</v>
      </c>
      <c r="R115" s="2" t="s">
        <v>441</v>
      </c>
      <c r="S115" s="2" t="s">
        <v>34</v>
      </c>
      <c r="T115" s="151">
        <v>4.5069999999999997</v>
      </c>
      <c r="U115" s="2" t="s">
        <v>2257</v>
      </c>
      <c r="V115" s="162">
        <v>5.5E-2</v>
      </c>
      <c r="W115" s="164">
        <v>6.1679999999999999E-2</v>
      </c>
      <c r="X115" s="4" t="s">
        <v>447</v>
      </c>
      <c r="Y115" s="4" t="s">
        <v>155</v>
      </c>
      <c r="Z115" s="151">
        <v>30300</v>
      </c>
      <c r="AA115" s="158">
        <v>1</v>
      </c>
      <c r="AB115" s="175">
        <v>97.66</v>
      </c>
      <c r="AD115" s="151">
        <v>29.591000000000001</v>
      </c>
      <c r="AG115" s="2" t="s">
        <v>36</v>
      </c>
      <c r="AH115" s="164">
        <v>3.0000000000000001E-5</v>
      </c>
      <c r="AI115" s="164">
        <v>1.17338441996792E-2</v>
      </c>
      <c r="AJ115" s="164">
        <v>8.7431576966145498E-4</v>
      </c>
    </row>
    <row r="116" spans="1:36">
      <c r="A116" s="2">
        <v>12904</v>
      </c>
      <c r="B116" s="2">
        <v>12905</v>
      </c>
      <c r="C116" s="2" t="s">
        <v>1844</v>
      </c>
      <c r="D116" s="2" t="s">
        <v>1845</v>
      </c>
      <c r="E116" s="4" t="s">
        <v>1342</v>
      </c>
      <c r="F116" s="2" t="s">
        <v>2490</v>
      </c>
      <c r="G116" s="2" t="s">
        <v>2491</v>
      </c>
      <c r="H116" s="2" t="s">
        <v>356</v>
      </c>
      <c r="I116" s="2" t="s">
        <v>208</v>
      </c>
      <c r="J116" s="2" t="s">
        <v>30</v>
      </c>
      <c r="K116" s="2" t="s">
        <v>30</v>
      </c>
      <c r="L116" s="2" t="s">
        <v>362</v>
      </c>
      <c r="M116" s="2" t="s">
        <v>31</v>
      </c>
      <c r="N116" s="2" t="s">
        <v>497</v>
      </c>
      <c r="O116" s="2" t="s">
        <v>155</v>
      </c>
      <c r="P116" s="2" t="s">
        <v>1353</v>
      </c>
      <c r="Q116" s="2" t="s">
        <v>206</v>
      </c>
      <c r="R116" s="2" t="s">
        <v>441</v>
      </c>
      <c r="S116" s="2" t="s">
        <v>34</v>
      </c>
      <c r="T116" s="151">
        <v>5.3090000000000002</v>
      </c>
      <c r="U116" s="2" t="s">
        <v>2492</v>
      </c>
      <c r="V116" s="162">
        <v>1.8700000000000001E-2</v>
      </c>
      <c r="W116" s="164">
        <v>3.3750000000000002E-2</v>
      </c>
      <c r="X116" s="4" t="s">
        <v>447</v>
      </c>
      <c r="Y116" s="4" t="s">
        <v>155</v>
      </c>
      <c r="Z116" s="151">
        <v>13200</v>
      </c>
      <c r="AA116" s="158">
        <v>1</v>
      </c>
      <c r="AB116" s="175">
        <v>103.16</v>
      </c>
      <c r="AD116" s="151">
        <v>13.617000000000001</v>
      </c>
      <c r="AG116" s="2" t="s">
        <v>36</v>
      </c>
      <c r="AH116" s="164">
        <v>2.5000000000000001E-5</v>
      </c>
      <c r="AI116" s="164">
        <v>5.3996577513937098E-3</v>
      </c>
      <c r="AJ116" s="164">
        <v>4.02340941508946E-4</v>
      </c>
    </row>
    <row r="117" spans="1:36">
      <c r="A117" s="2">
        <v>12904</v>
      </c>
      <c r="B117" s="2">
        <v>12905</v>
      </c>
      <c r="C117" s="2" t="s">
        <v>1836</v>
      </c>
      <c r="D117" s="2" t="s">
        <v>1837</v>
      </c>
      <c r="E117" s="4" t="s">
        <v>1342</v>
      </c>
      <c r="F117" s="2" t="s">
        <v>2263</v>
      </c>
      <c r="G117" s="2" t="s">
        <v>2264</v>
      </c>
      <c r="H117" s="2" t="s">
        <v>356</v>
      </c>
      <c r="I117" s="2" t="s">
        <v>1000</v>
      </c>
      <c r="J117" s="2" t="s">
        <v>30</v>
      </c>
      <c r="K117" s="2" t="s">
        <v>30</v>
      </c>
      <c r="L117" s="2" t="s">
        <v>362</v>
      </c>
      <c r="M117" s="2" t="s">
        <v>31</v>
      </c>
      <c r="N117" s="2" t="s">
        <v>473</v>
      </c>
      <c r="O117" s="2" t="s">
        <v>155</v>
      </c>
      <c r="P117" s="2" t="s">
        <v>1346</v>
      </c>
      <c r="Q117" s="2" t="s">
        <v>206</v>
      </c>
      <c r="R117" s="2" t="s">
        <v>441</v>
      </c>
      <c r="S117" s="2" t="s">
        <v>34</v>
      </c>
      <c r="T117" s="151">
        <v>4.0220000000000002</v>
      </c>
      <c r="U117" s="2" t="s">
        <v>2265</v>
      </c>
      <c r="V117" s="162">
        <v>5.7500000000000002E-2</v>
      </c>
      <c r="W117" s="164">
        <v>6.4329999999999998E-2</v>
      </c>
      <c r="X117" s="4" t="s">
        <v>447</v>
      </c>
      <c r="Y117" s="4" t="s">
        <v>155</v>
      </c>
      <c r="Z117" s="151">
        <v>25526</v>
      </c>
      <c r="AA117" s="158">
        <v>1</v>
      </c>
      <c r="AB117" s="175">
        <v>97.51</v>
      </c>
      <c r="AD117" s="151">
        <v>24.89</v>
      </c>
      <c r="AG117" s="2" t="s">
        <v>36</v>
      </c>
      <c r="AH117" s="164">
        <v>4.8999999999999998E-5</v>
      </c>
      <c r="AI117" s="164">
        <v>9.8699031318223093E-3</v>
      </c>
      <c r="AJ117" s="164">
        <v>7.3542922560869797E-4</v>
      </c>
    </row>
    <row r="118" spans="1:36">
      <c r="A118" s="2">
        <v>12904</v>
      </c>
      <c r="B118" s="2">
        <v>12905</v>
      </c>
      <c r="C118" s="2" t="s">
        <v>2266</v>
      </c>
      <c r="D118" s="2" t="s">
        <v>2267</v>
      </c>
      <c r="E118" s="4" t="s">
        <v>1342</v>
      </c>
      <c r="F118" s="2" t="s">
        <v>2274</v>
      </c>
      <c r="G118" s="2" t="s">
        <v>2275</v>
      </c>
      <c r="H118" s="2" t="s">
        <v>356</v>
      </c>
      <c r="I118" s="2" t="s">
        <v>208</v>
      </c>
      <c r="J118" s="2" t="s">
        <v>30</v>
      </c>
      <c r="K118" s="2" t="s">
        <v>30</v>
      </c>
      <c r="L118" s="2" t="s">
        <v>362</v>
      </c>
      <c r="M118" s="2" t="s">
        <v>31</v>
      </c>
      <c r="N118" s="2" t="s">
        <v>497</v>
      </c>
      <c r="O118" s="2" t="s">
        <v>155</v>
      </c>
      <c r="P118" s="2" t="s">
        <v>2211</v>
      </c>
      <c r="Q118" s="2" t="s">
        <v>206</v>
      </c>
      <c r="R118" s="2" t="s">
        <v>441</v>
      </c>
      <c r="S118" s="2" t="s">
        <v>34</v>
      </c>
      <c r="T118" s="151">
        <v>5.1369999999999996</v>
      </c>
      <c r="U118" s="2" t="s">
        <v>2276</v>
      </c>
      <c r="V118" s="162">
        <v>5.8999999999999999E-3</v>
      </c>
      <c r="W118" s="164">
        <v>3.3239999999999999E-2</v>
      </c>
      <c r="X118" s="4" t="s">
        <v>447</v>
      </c>
      <c r="Y118" s="4" t="s">
        <v>155</v>
      </c>
      <c r="Z118" s="151">
        <v>51260</v>
      </c>
      <c r="AA118" s="158">
        <v>1</v>
      </c>
      <c r="AB118" s="175">
        <v>97.54</v>
      </c>
      <c r="AD118" s="151">
        <v>49.999000000000002</v>
      </c>
      <c r="AG118" s="2" t="s">
        <v>36</v>
      </c>
      <c r="AH118" s="164">
        <v>3.6999999999999998E-5</v>
      </c>
      <c r="AI118" s="164">
        <v>1.9826329613792399E-2</v>
      </c>
      <c r="AJ118" s="164">
        <v>1.47730550541301E-3</v>
      </c>
    </row>
    <row r="119" spans="1:36">
      <c r="A119" s="2">
        <v>12904</v>
      </c>
      <c r="B119" s="2">
        <v>12905</v>
      </c>
      <c r="C119" s="2" t="s">
        <v>2266</v>
      </c>
      <c r="D119" s="2" t="s">
        <v>2267</v>
      </c>
      <c r="E119" s="4" t="s">
        <v>1342</v>
      </c>
      <c r="F119" s="2" t="s">
        <v>2277</v>
      </c>
      <c r="G119" s="2" t="s">
        <v>2278</v>
      </c>
      <c r="H119" s="2" t="s">
        <v>356</v>
      </c>
      <c r="I119" s="2" t="s">
        <v>208</v>
      </c>
      <c r="J119" s="2" t="s">
        <v>30</v>
      </c>
      <c r="K119" s="2" t="s">
        <v>30</v>
      </c>
      <c r="L119" s="2" t="s">
        <v>362</v>
      </c>
      <c r="M119" s="2" t="s">
        <v>85</v>
      </c>
      <c r="N119" s="2" t="s">
        <v>497</v>
      </c>
      <c r="O119" s="2" t="s">
        <v>155</v>
      </c>
      <c r="P119" s="2" t="s">
        <v>2211</v>
      </c>
      <c r="Q119" s="2" t="s">
        <v>206</v>
      </c>
      <c r="R119" s="2" t="s">
        <v>441</v>
      </c>
      <c r="S119" s="2" t="s">
        <v>34</v>
      </c>
      <c r="T119" s="151">
        <v>3.6840000000000002</v>
      </c>
      <c r="U119" s="2" t="s">
        <v>2279</v>
      </c>
      <c r="V119" s="162">
        <v>3.3399999999999999E-2</v>
      </c>
      <c r="W119" s="164">
        <v>3.0720000000000001E-2</v>
      </c>
      <c r="X119" s="4" t="s">
        <v>447</v>
      </c>
      <c r="Y119" s="4" t="s">
        <v>155</v>
      </c>
      <c r="Z119" s="151">
        <v>30891</v>
      </c>
      <c r="AA119" s="158">
        <v>1</v>
      </c>
      <c r="AB119" s="175">
        <v>103.53</v>
      </c>
      <c r="AD119" s="151">
        <v>31.981000000000002</v>
      </c>
      <c r="AG119" s="2" t="s">
        <v>36</v>
      </c>
      <c r="AH119" s="164">
        <v>4.1999999999999998E-5</v>
      </c>
      <c r="AI119" s="164">
        <v>1.2681748916989999E-2</v>
      </c>
      <c r="AJ119" s="164">
        <v>9.4494633440885001E-4</v>
      </c>
    </row>
    <row r="120" spans="1:36">
      <c r="A120" s="2">
        <v>12904</v>
      </c>
      <c r="B120" s="2">
        <v>12905</v>
      </c>
      <c r="C120" s="2" t="s">
        <v>2266</v>
      </c>
      <c r="D120" s="2" t="s">
        <v>2267</v>
      </c>
      <c r="E120" s="4" t="s">
        <v>1342</v>
      </c>
      <c r="F120" s="2" t="s">
        <v>2280</v>
      </c>
      <c r="G120" s="2" t="s">
        <v>2281</v>
      </c>
      <c r="H120" s="2" t="s">
        <v>356</v>
      </c>
      <c r="I120" s="2" t="s">
        <v>208</v>
      </c>
      <c r="J120" s="2" t="s">
        <v>30</v>
      </c>
      <c r="K120" s="2" t="s">
        <v>30</v>
      </c>
      <c r="L120" s="2" t="s">
        <v>362</v>
      </c>
      <c r="M120" s="2" t="s">
        <v>31</v>
      </c>
      <c r="N120" s="2" t="s">
        <v>497</v>
      </c>
      <c r="O120" s="2" t="s">
        <v>155</v>
      </c>
      <c r="P120" s="2" t="s">
        <v>2211</v>
      </c>
      <c r="Q120" s="2" t="s">
        <v>206</v>
      </c>
      <c r="R120" s="2" t="s">
        <v>441</v>
      </c>
      <c r="S120" s="2" t="s">
        <v>34</v>
      </c>
      <c r="T120" s="151">
        <v>0.85199999999999998</v>
      </c>
      <c r="U120" s="2" t="s">
        <v>2282</v>
      </c>
      <c r="V120" s="162">
        <v>4.7500000000000001E-2</v>
      </c>
      <c r="W120" s="164">
        <v>2.555E-2</v>
      </c>
      <c r="X120" s="4" t="s">
        <v>447</v>
      </c>
      <c r="Y120" s="4" t="s">
        <v>155</v>
      </c>
      <c r="Z120" s="151">
        <v>10243.5</v>
      </c>
      <c r="AA120" s="158">
        <v>1</v>
      </c>
      <c r="AB120" s="175">
        <v>142.99</v>
      </c>
      <c r="AD120" s="151">
        <v>14.647</v>
      </c>
      <c r="AG120" s="2" t="s">
        <v>36</v>
      </c>
      <c r="AH120" s="164">
        <v>1.1E-5</v>
      </c>
      <c r="AI120" s="164">
        <v>5.8081123271908099E-3</v>
      </c>
      <c r="AJ120" s="164">
        <v>4.32775833155074E-4</v>
      </c>
    </row>
    <row r="121" spans="1:36">
      <c r="A121" s="2">
        <v>12904</v>
      </c>
      <c r="B121" s="2">
        <v>12905</v>
      </c>
      <c r="C121" s="2" t="s">
        <v>2283</v>
      </c>
      <c r="D121" s="2" t="s">
        <v>2284</v>
      </c>
      <c r="E121" s="4" t="s">
        <v>1342</v>
      </c>
      <c r="F121" s="2" t="s">
        <v>2285</v>
      </c>
      <c r="G121" s="2" t="s">
        <v>2286</v>
      </c>
      <c r="H121" s="2" t="s">
        <v>356</v>
      </c>
      <c r="I121" s="2" t="s">
        <v>208</v>
      </c>
      <c r="J121" s="2" t="s">
        <v>30</v>
      </c>
      <c r="K121" s="2" t="s">
        <v>30</v>
      </c>
      <c r="L121" s="2" t="s">
        <v>362</v>
      </c>
      <c r="M121" s="2" t="s">
        <v>31</v>
      </c>
      <c r="N121" s="2" t="s">
        <v>484</v>
      </c>
      <c r="O121" s="2" t="s">
        <v>155</v>
      </c>
      <c r="P121" s="2" t="s">
        <v>1346</v>
      </c>
      <c r="Q121" s="2" t="s">
        <v>206</v>
      </c>
      <c r="R121" s="2" t="s">
        <v>441</v>
      </c>
      <c r="S121" s="2" t="s">
        <v>34</v>
      </c>
      <c r="T121" s="151">
        <v>4.702</v>
      </c>
      <c r="U121" s="2" t="s">
        <v>2287</v>
      </c>
      <c r="V121" s="162">
        <v>7.4999999999999997E-3</v>
      </c>
      <c r="W121" s="164">
        <v>3.6729999999999999E-2</v>
      </c>
      <c r="X121" s="4" t="s">
        <v>447</v>
      </c>
      <c r="Y121" s="4" t="s">
        <v>155</v>
      </c>
      <c r="Z121" s="151">
        <v>9172.7999999999993</v>
      </c>
      <c r="AA121" s="158">
        <v>1</v>
      </c>
      <c r="AB121" s="175">
        <v>97.72</v>
      </c>
      <c r="AD121" s="151">
        <v>8.9640000000000004</v>
      </c>
      <c r="AG121" s="2" t="s">
        <v>36</v>
      </c>
      <c r="AH121" s="164">
        <v>9.0000000000000002E-6</v>
      </c>
      <c r="AI121" s="164">
        <v>3.55440042121998E-3</v>
      </c>
      <c r="AJ121" s="164">
        <v>2.6484656580397502E-4</v>
      </c>
    </row>
    <row r="122" spans="1:36">
      <c r="A122" s="2">
        <v>12904</v>
      </c>
      <c r="B122" s="2">
        <v>12905</v>
      </c>
      <c r="C122" s="2" t="s">
        <v>2288</v>
      </c>
      <c r="D122" s="2" t="s">
        <v>2289</v>
      </c>
      <c r="E122" s="4" t="s">
        <v>1342</v>
      </c>
      <c r="F122" s="2" t="s">
        <v>2290</v>
      </c>
      <c r="G122" s="2" t="s">
        <v>2291</v>
      </c>
      <c r="H122" s="2" t="s">
        <v>356</v>
      </c>
      <c r="I122" s="2" t="s">
        <v>208</v>
      </c>
      <c r="J122" s="2" t="s">
        <v>30</v>
      </c>
      <c r="K122" s="2" t="s">
        <v>30</v>
      </c>
      <c r="L122" s="2" t="s">
        <v>362</v>
      </c>
      <c r="M122" s="2" t="s">
        <v>31</v>
      </c>
      <c r="N122" s="2" t="s">
        <v>481</v>
      </c>
      <c r="O122" s="2" t="s">
        <v>155</v>
      </c>
      <c r="P122" s="2" t="s">
        <v>100</v>
      </c>
      <c r="Q122" s="2" t="s">
        <v>206</v>
      </c>
      <c r="R122" s="2" t="s">
        <v>441</v>
      </c>
      <c r="S122" s="2" t="s">
        <v>34</v>
      </c>
      <c r="T122" s="151">
        <v>4.9290000000000003</v>
      </c>
      <c r="U122" s="2" t="s">
        <v>2292</v>
      </c>
      <c r="V122" s="162">
        <v>2.47E-2</v>
      </c>
      <c r="W122" s="164">
        <v>2.5839999999999998E-2</v>
      </c>
      <c r="X122" s="4" t="s">
        <v>447</v>
      </c>
      <c r="Y122" s="4" t="s">
        <v>155</v>
      </c>
      <c r="Z122" s="151">
        <v>47000</v>
      </c>
      <c r="AA122" s="158">
        <v>1</v>
      </c>
      <c r="AB122" s="175">
        <v>102.7</v>
      </c>
      <c r="AD122" s="151">
        <v>48.268999999999998</v>
      </c>
      <c r="AG122" s="2" t="s">
        <v>36</v>
      </c>
      <c r="AH122" s="164">
        <v>1.5999999999999999E-5</v>
      </c>
      <c r="AI122" s="164">
        <v>1.91403233578042E-2</v>
      </c>
      <c r="AJ122" s="164">
        <v>1.42618959851241E-3</v>
      </c>
    </row>
    <row r="123" spans="1:36">
      <c r="A123" s="2">
        <v>12904</v>
      </c>
      <c r="B123" s="2">
        <v>12905</v>
      </c>
      <c r="C123" s="2" t="s">
        <v>2288</v>
      </c>
      <c r="D123" s="2" t="s">
        <v>2289</v>
      </c>
      <c r="E123" s="4" t="s">
        <v>1342</v>
      </c>
      <c r="F123" s="2" t="s">
        <v>2299</v>
      </c>
      <c r="G123" s="2" t="s">
        <v>2300</v>
      </c>
      <c r="H123" s="2" t="s">
        <v>356</v>
      </c>
      <c r="I123" s="2" t="s">
        <v>208</v>
      </c>
      <c r="J123" s="2" t="s">
        <v>30</v>
      </c>
      <c r="K123" s="2" t="s">
        <v>30</v>
      </c>
      <c r="L123" s="2" t="s">
        <v>362</v>
      </c>
      <c r="M123" s="2" t="s">
        <v>31</v>
      </c>
      <c r="N123" s="2" t="s">
        <v>481</v>
      </c>
      <c r="O123" s="2" t="s">
        <v>155</v>
      </c>
      <c r="P123" s="2" t="s">
        <v>1353</v>
      </c>
      <c r="Q123" s="2" t="s">
        <v>206</v>
      </c>
      <c r="R123" s="2" t="s">
        <v>441</v>
      </c>
      <c r="S123" s="2" t="s">
        <v>34</v>
      </c>
      <c r="T123" s="151">
        <v>3.87</v>
      </c>
      <c r="U123" s="2" t="s">
        <v>2301</v>
      </c>
      <c r="V123" s="162">
        <v>3.1699999999999999E-2</v>
      </c>
      <c r="W123" s="164">
        <v>3.0759999999999999E-2</v>
      </c>
      <c r="X123" s="4" t="s">
        <v>447</v>
      </c>
      <c r="Y123" s="4" t="s">
        <v>155</v>
      </c>
      <c r="Z123" s="151">
        <v>50000</v>
      </c>
      <c r="AA123" s="158">
        <v>1</v>
      </c>
      <c r="AB123" s="175">
        <v>110.29</v>
      </c>
      <c r="AD123" s="151">
        <v>55.145000000000003</v>
      </c>
      <c r="AG123" s="2" t="s">
        <v>36</v>
      </c>
      <c r="AH123" s="164">
        <v>5.8999999999999998E-5</v>
      </c>
      <c r="AI123" s="164">
        <v>2.18668945195905E-2</v>
      </c>
      <c r="AJ123" s="164">
        <v>1.62935269862576E-3</v>
      </c>
    </row>
    <row r="124" spans="1:36">
      <c r="A124" s="2">
        <v>12904</v>
      </c>
      <c r="B124" s="2">
        <v>12905</v>
      </c>
      <c r="C124" s="2" t="s">
        <v>2302</v>
      </c>
      <c r="D124" s="2" t="s">
        <v>2303</v>
      </c>
      <c r="E124" s="4" t="s">
        <v>1342</v>
      </c>
      <c r="F124" s="2" t="s">
        <v>2304</v>
      </c>
      <c r="G124" s="2" t="s">
        <v>2305</v>
      </c>
      <c r="H124" s="2" t="s">
        <v>356</v>
      </c>
      <c r="I124" s="2" t="s">
        <v>208</v>
      </c>
      <c r="J124" s="2" t="s">
        <v>30</v>
      </c>
      <c r="K124" s="2" t="s">
        <v>30</v>
      </c>
      <c r="L124" s="2" t="s">
        <v>362</v>
      </c>
      <c r="M124" s="2" t="s">
        <v>31</v>
      </c>
      <c r="N124" s="2" t="s">
        <v>473</v>
      </c>
      <c r="O124" s="2" t="s">
        <v>155</v>
      </c>
      <c r="P124" s="2" t="s">
        <v>2192</v>
      </c>
      <c r="Q124" s="2" t="s">
        <v>101</v>
      </c>
      <c r="R124" s="2" t="s">
        <v>441</v>
      </c>
      <c r="S124" s="2" t="s">
        <v>34</v>
      </c>
      <c r="T124" s="151">
        <v>3.4649999999999999</v>
      </c>
      <c r="U124" s="2" t="s">
        <v>2306</v>
      </c>
      <c r="V124" s="162">
        <v>1.7999999999999999E-2</v>
      </c>
      <c r="W124" s="164">
        <v>3.6589999999999998E-2</v>
      </c>
      <c r="X124" s="4" t="s">
        <v>447</v>
      </c>
      <c r="Y124" s="4" t="s">
        <v>155</v>
      </c>
      <c r="Z124" s="151">
        <v>59463.09</v>
      </c>
      <c r="AA124" s="158">
        <v>1</v>
      </c>
      <c r="AB124" s="175">
        <v>107.89</v>
      </c>
      <c r="AD124" s="151">
        <v>64.155000000000001</v>
      </c>
      <c r="AG124" s="2" t="s">
        <v>36</v>
      </c>
      <c r="AH124" s="164">
        <v>6.0000000000000002E-5</v>
      </c>
      <c r="AI124" s="164">
        <v>2.5439562349397201E-2</v>
      </c>
      <c r="AJ124" s="164">
        <v>1.89556041113719E-3</v>
      </c>
    </row>
    <row r="125" spans="1:36">
      <c r="A125" s="2">
        <v>12904</v>
      </c>
      <c r="B125" s="2">
        <v>12905</v>
      </c>
      <c r="C125" s="2" t="s">
        <v>2302</v>
      </c>
      <c r="D125" s="2" t="s">
        <v>2303</v>
      </c>
      <c r="E125" s="4" t="s">
        <v>1342</v>
      </c>
      <c r="F125" s="2" t="s">
        <v>2307</v>
      </c>
      <c r="G125" s="2" t="s">
        <v>2308</v>
      </c>
      <c r="H125" s="2" t="s">
        <v>356</v>
      </c>
      <c r="I125" s="2" t="s">
        <v>208</v>
      </c>
      <c r="J125" s="2" t="s">
        <v>30</v>
      </c>
      <c r="K125" s="2" t="s">
        <v>30</v>
      </c>
      <c r="L125" s="2" t="s">
        <v>362</v>
      </c>
      <c r="M125" s="2" t="s">
        <v>31</v>
      </c>
      <c r="N125" s="2" t="s">
        <v>473</v>
      </c>
      <c r="O125" s="2" t="s">
        <v>155</v>
      </c>
      <c r="P125" s="2" t="s">
        <v>2192</v>
      </c>
      <c r="Q125" s="2" t="s">
        <v>206</v>
      </c>
      <c r="R125" s="2" t="s">
        <v>441</v>
      </c>
      <c r="S125" s="2" t="s">
        <v>34</v>
      </c>
      <c r="T125" s="151">
        <v>5.843</v>
      </c>
      <c r="U125" s="2" t="s">
        <v>2309</v>
      </c>
      <c r="V125" s="162">
        <v>3.3000000000000002E-2</v>
      </c>
      <c r="W125" s="164">
        <v>4.2569999999999997E-2</v>
      </c>
      <c r="X125" s="4" t="s">
        <v>447</v>
      </c>
      <c r="Y125" s="4" t="s">
        <v>155</v>
      </c>
      <c r="Z125" s="151">
        <v>46842.94</v>
      </c>
      <c r="AA125" s="158">
        <v>1</v>
      </c>
      <c r="AB125" s="175">
        <v>101.08</v>
      </c>
      <c r="AD125" s="151">
        <v>47.348999999999997</v>
      </c>
      <c r="AG125" s="2" t="s">
        <v>36</v>
      </c>
      <c r="AH125" s="164">
        <v>3.6999999999999998E-5</v>
      </c>
      <c r="AI125" s="164">
        <v>1.8775449668139599E-2</v>
      </c>
      <c r="AJ125" s="164">
        <v>1.39900201911562E-3</v>
      </c>
    </row>
    <row r="126" spans="1:36">
      <c r="A126" s="2">
        <v>12904</v>
      </c>
      <c r="B126" s="2">
        <v>12905</v>
      </c>
      <c r="C126" s="2" t="s">
        <v>2310</v>
      </c>
      <c r="D126" s="2" t="s">
        <v>2311</v>
      </c>
      <c r="E126" s="4" t="s">
        <v>1342</v>
      </c>
      <c r="F126" s="2" t="s">
        <v>2312</v>
      </c>
      <c r="G126" s="2" t="s">
        <v>2313</v>
      </c>
      <c r="H126" s="2" t="s">
        <v>356</v>
      </c>
      <c r="I126" s="2" t="s">
        <v>208</v>
      </c>
      <c r="J126" s="2" t="s">
        <v>30</v>
      </c>
      <c r="K126" s="2" t="s">
        <v>30</v>
      </c>
      <c r="L126" s="2" t="s">
        <v>362</v>
      </c>
      <c r="M126" s="2" t="s">
        <v>31</v>
      </c>
      <c r="N126" s="2" t="s">
        <v>497</v>
      </c>
      <c r="O126" s="2" t="s">
        <v>155</v>
      </c>
      <c r="P126" s="2" t="s">
        <v>2192</v>
      </c>
      <c r="Q126" s="2" t="s">
        <v>206</v>
      </c>
      <c r="R126" s="2" t="s">
        <v>441</v>
      </c>
      <c r="S126" s="2" t="s">
        <v>34</v>
      </c>
      <c r="T126" s="151">
        <v>3.8849999999999998</v>
      </c>
      <c r="U126" s="2" t="s">
        <v>2201</v>
      </c>
      <c r="V126" s="162">
        <v>3.6499999999999998E-2</v>
      </c>
      <c r="W126" s="164">
        <v>3.2820000000000002E-2</v>
      </c>
      <c r="X126" s="4" t="s">
        <v>447</v>
      </c>
      <c r="Y126" s="4" t="s">
        <v>155</v>
      </c>
      <c r="Z126" s="151">
        <v>34000</v>
      </c>
      <c r="AA126" s="158">
        <v>1</v>
      </c>
      <c r="AB126" s="175">
        <v>108.95</v>
      </c>
      <c r="AD126" s="151">
        <v>37.042999999999999</v>
      </c>
      <c r="AG126" s="2" t="s">
        <v>36</v>
      </c>
      <c r="AH126" s="164">
        <v>1.0399999999999999E-4</v>
      </c>
      <c r="AI126" s="164">
        <v>1.46888271591113E-2</v>
      </c>
      <c r="AJ126" s="164">
        <v>1.0944983591475901E-3</v>
      </c>
    </row>
    <row r="127" spans="1:36">
      <c r="A127" s="2">
        <v>12904</v>
      </c>
      <c r="B127" s="2">
        <v>12905</v>
      </c>
      <c r="C127" s="2" t="s">
        <v>2310</v>
      </c>
      <c r="D127" s="2" t="s">
        <v>2311</v>
      </c>
      <c r="E127" s="4" t="s">
        <v>1342</v>
      </c>
      <c r="F127" s="2" t="s">
        <v>2314</v>
      </c>
      <c r="G127" s="2" t="s">
        <v>2315</v>
      </c>
      <c r="H127" s="2" t="s">
        <v>356</v>
      </c>
      <c r="I127" s="2" t="s">
        <v>208</v>
      </c>
      <c r="J127" s="2" t="s">
        <v>30</v>
      </c>
      <c r="K127" s="2" t="s">
        <v>30</v>
      </c>
      <c r="L127" s="2" t="s">
        <v>362</v>
      </c>
      <c r="M127" s="2" t="s">
        <v>31</v>
      </c>
      <c r="N127" s="2" t="s">
        <v>497</v>
      </c>
      <c r="O127" s="2" t="s">
        <v>155</v>
      </c>
      <c r="P127" s="2" t="s">
        <v>2181</v>
      </c>
      <c r="Q127" s="2" t="s">
        <v>206</v>
      </c>
      <c r="R127" s="2" t="s">
        <v>441</v>
      </c>
      <c r="S127" s="2" t="s">
        <v>34</v>
      </c>
      <c r="T127" s="151">
        <v>1.536</v>
      </c>
      <c r="U127" s="2" t="s">
        <v>1338</v>
      </c>
      <c r="V127" s="162">
        <v>1.7999999999999999E-2</v>
      </c>
      <c r="W127" s="164">
        <v>2.742E-2</v>
      </c>
      <c r="X127" s="4" t="s">
        <v>447</v>
      </c>
      <c r="Y127" s="4" t="s">
        <v>155</v>
      </c>
      <c r="Z127" s="151">
        <v>18058.349999999999</v>
      </c>
      <c r="AA127" s="158">
        <v>1</v>
      </c>
      <c r="AB127" s="175">
        <v>113.45</v>
      </c>
      <c r="AD127" s="151">
        <v>20.486999999999998</v>
      </c>
      <c r="AG127" s="2" t="s">
        <v>36</v>
      </c>
      <c r="AH127" s="164">
        <v>2.3E-5</v>
      </c>
      <c r="AI127" s="164">
        <v>8.1238806656629397E-3</v>
      </c>
      <c r="AJ127" s="164">
        <v>6.0532906828872498E-4</v>
      </c>
    </row>
    <row r="128" spans="1:36">
      <c r="A128" s="2">
        <v>12904</v>
      </c>
      <c r="B128" s="2">
        <v>12905</v>
      </c>
      <c r="C128" s="2" t="s">
        <v>2316</v>
      </c>
      <c r="D128" s="2" t="s">
        <v>2317</v>
      </c>
      <c r="E128" s="4" t="s">
        <v>1342</v>
      </c>
      <c r="F128" s="2" t="s">
        <v>2318</v>
      </c>
      <c r="G128" s="2" t="s">
        <v>2319</v>
      </c>
      <c r="H128" s="2" t="s">
        <v>356</v>
      </c>
      <c r="I128" s="2" t="s">
        <v>1000</v>
      </c>
      <c r="J128" s="2" t="s">
        <v>30</v>
      </c>
      <c r="K128" s="2" t="s">
        <v>30</v>
      </c>
      <c r="L128" s="2" t="s">
        <v>362</v>
      </c>
      <c r="M128" s="2" t="s">
        <v>31</v>
      </c>
      <c r="N128" s="2" t="s">
        <v>478</v>
      </c>
      <c r="O128" s="2" t="s">
        <v>155</v>
      </c>
      <c r="P128" s="2" t="s">
        <v>1353</v>
      </c>
      <c r="Q128" s="2" t="s">
        <v>206</v>
      </c>
      <c r="R128" s="2" t="s">
        <v>441</v>
      </c>
      <c r="S128" s="2" t="s">
        <v>34</v>
      </c>
      <c r="T128" s="151">
        <v>8.5960000000000001</v>
      </c>
      <c r="U128" s="2" t="s">
        <v>2320</v>
      </c>
      <c r="V128" s="162">
        <v>3.0499999999999999E-2</v>
      </c>
      <c r="W128" s="164">
        <v>5.8979999999999998E-2</v>
      </c>
      <c r="X128" s="4" t="s">
        <v>447</v>
      </c>
      <c r="Y128" s="4" t="s">
        <v>155</v>
      </c>
      <c r="Z128" s="151">
        <v>10445</v>
      </c>
      <c r="AA128" s="158">
        <v>1</v>
      </c>
      <c r="AB128" s="175">
        <v>84.59</v>
      </c>
      <c r="AD128" s="151">
        <v>8.8350000000000009</v>
      </c>
      <c r="AG128" s="2" t="s">
        <v>36</v>
      </c>
      <c r="AH128" s="164">
        <v>1.5E-5</v>
      </c>
      <c r="AI128" s="164">
        <v>3.5035509555571701E-3</v>
      </c>
      <c r="AJ128" s="164">
        <v>2.6105765494481602E-4</v>
      </c>
    </row>
    <row r="129" spans="1:36">
      <c r="A129" s="2">
        <v>12904</v>
      </c>
      <c r="B129" s="2">
        <v>12905</v>
      </c>
      <c r="C129" s="2" t="s">
        <v>2316</v>
      </c>
      <c r="D129" s="2" t="s">
        <v>2317</v>
      </c>
      <c r="E129" s="4" t="s">
        <v>1342</v>
      </c>
      <c r="F129" s="2" t="s">
        <v>2493</v>
      </c>
      <c r="G129" s="2" t="s">
        <v>2494</v>
      </c>
      <c r="H129" s="2" t="s">
        <v>356</v>
      </c>
      <c r="I129" s="2" t="s">
        <v>1000</v>
      </c>
      <c r="J129" s="2" t="s">
        <v>30</v>
      </c>
      <c r="K129" s="2" t="s">
        <v>30</v>
      </c>
      <c r="L129" s="2" t="s">
        <v>362</v>
      </c>
      <c r="M129" s="2" t="s">
        <v>31</v>
      </c>
      <c r="N129" s="2" t="s">
        <v>478</v>
      </c>
      <c r="O129" s="2" t="s">
        <v>155</v>
      </c>
      <c r="P129" s="2" t="s">
        <v>1353</v>
      </c>
      <c r="Q129" s="2" t="s">
        <v>206</v>
      </c>
      <c r="R129" s="2" t="s">
        <v>441</v>
      </c>
      <c r="S129" s="2" t="s">
        <v>34</v>
      </c>
      <c r="T129" s="151">
        <v>7.2880000000000003</v>
      </c>
      <c r="U129" s="2" t="s">
        <v>2370</v>
      </c>
      <c r="V129" s="162">
        <v>2.63E-2</v>
      </c>
      <c r="W129" s="164">
        <v>6.003E-2</v>
      </c>
      <c r="X129" s="4" t="s">
        <v>447</v>
      </c>
      <c r="Y129" s="4" t="s">
        <v>155</v>
      </c>
      <c r="Z129" s="151">
        <v>10035</v>
      </c>
      <c r="AA129" s="158">
        <v>1</v>
      </c>
      <c r="AB129" s="175">
        <v>79.430000000000007</v>
      </c>
      <c r="AD129" s="151">
        <v>7.9710000000000001</v>
      </c>
      <c r="AG129" s="2" t="s">
        <v>36</v>
      </c>
      <c r="AH129" s="164">
        <v>1.4E-5</v>
      </c>
      <c r="AI129" s="164">
        <v>3.16069732106627E-3</v>
      </c>
      <c r="AJ129" s="164">
        <v>2.3551084059991999E-4</v>
      </c>
    </row>
    <row r="130" spans="1:36">
      <c r="A130" s="2">
        <v>12904</v>
      </c>
      <c r="B130" s="2">
        <v>12905</v>
      </c>
      <c r="C130" s="2" t="s">
        <v>2316</v>
      </c>
      <c r="D130" s="2" t="s">
        <v>2317</v>
      </c>
      <c r="E130" s="4" t="s">
        <v>1342</v>
      </c>
      <c r="F130" s="2" t="s">
        <v>2321</v>
      </c>
      <c r="G130" s="2" t="s">
        <v>2322</v>
      </c>
      <c r="H130" s="2" t="s">
        <v>356</v>
      </c>
      <c r="I130" s="2" t="s">
        <v>1000</v>
      </c>
      <c r="J130" s="2" t="s">
        <v>30</v>
      </c>
      <c r="K130" s="2" t="s">
        <v>30</v>
      </c>
      <c r="L130" s="2" t="s">
        <v>362</v>
      </c>
      <c r="M130" s="2" t="s">
        <v>85</v>
      </c>
      <c r="N130" s="2" t="s">
        <v>478</v>
      </c>
      <c r="O130" s="2" t="s">
        <v>155</v>
      </c>
      <c r="P130" s="2" t="s">
        <v>1353</v>
      </c>
      <c r="Q130" s="2" t="s">
        <v>206</v>
      </c>
      <c r="R130" s="2" t="s">
        <v>441</v>
      </c>
      <c r="S130" s="2" t="s">
        <v>34</v>
      </c>
      <c r="T130" s="151">
        <v>8.6649999999999991</v>
      </c>
      <c r="U130" s="2" t="s">
        <v>2323</v>
      </c>
      <c r="V130" s="162">
        <v>6.0199999999999997E-2</v>
      </c>
      <c r="W130" s="164">
        <v>5.9959999999999999E-2</v>
      </c>
      <c r="X130" s="4" t="s">
        <v>447</v>
      </c>
      <c r="Y130" s="4" t="s">
        <v>155</v>
      </c>
      <c r="Z130" s="151">
        <v>30677</v>
      </c>
      <c r="AA130" s="158">
        <v>1</v>
      </c>
      <c r="AB130" s="175">
        <v>102.28</v>
      </c>
      <c r="AD130" s="151">
        <v>31.376000000000001</v>
      </c>
      <c r="AG130" s="2" t="s">
        <v>36</v>
      </c>
      <c r="AH130" s="164">
        <v>6.0999999999999999E-5</v>
      </c>
      <c r="AI130" s="164">
        <v>1.24418389276621E-2</v>
      </c>
      <c r="AJ130" s="164">
        <v>9.2707008827849096E-4</v>
      </c>
    </row>
    <row r="131" spans="1:36">
      <c r="A131" s="2">
        <v>12904</v>
      </c>
      <c r="B131" s="2">
        <v>12905</v>
      </c>
      <c r="C131" s="2" t="s">
        <v>2316</v>
      </c>
      <c r="D131" s="2" t="s">
        <v>2317</v>
      </c>
      <c r="E131" s="4" t="s">
        <v>1342</v>
      </c>
      <c r="F131" s="2" t="s">
        <v>2324</v>
      </c>
      <c r="G131" s="2" t="s">
        <v>2325</v>
      </c>
      <c r="H131" s="2" t="s">
        <v>356</v>
      </c>
      <c r="I131" s="2" t="s">
        <v>1000</v>
      </c>
      <c r="J131" s="2" t="s">
        <v>30</v>
      </c>
      <c r="K131" s="2" t="s">
        <v>30</v>
      </c>
      <c r="L131" s="2" t="s">
        <v>362</v>
      </c>
      <c r="M131" s="2" t="s">
        <v>31</v>
      </c>
      <c r="N131" s="2" t="s">
        <v>478</v>
      </c>
      <c r="O131" s="2" t="s">
        <v>155</v>
      </c>
      <c r="P131" s="2" t="s">
        <v>1353</v>
      </c>
      <c r="Q131" s="2" t="s">
        <v>206</v>
      </c>
      <c r="R131" s="2" t="s">
        <v>441</v>
      </c>
      <c r="S131" s="2" t="s">
        <v>34</v>
      </c>
      <c r="T131" s="151">
        <v>4.681</v>
      </c>
      <c r="U131" s="2" t="s">
        <v>2326</v>
      </c>
      <c r="V131" s="162">
        <v>4.3799999999999999E-2</v>
      </c>
      <c r="W131" s="164">
        <v>5.527E-2</v>
      </c>
      <c r="X131" s="4" t="s">
        <v>447</v>
      </c>
      <c r="Y131" s="4" t="s">
        <v>155</v>
      </c>
      <c r="Z131" s="151">
        <v>14000</v>
      </c>
      <c r="AA131" s="158">
        <v>1</v>
      </c>
      <c r="AB131" s="175">
        <v>96.24</v>
      </c>
      <c r="AD131" s="151">
        <v>13.474</v>
      </c>
      <c r="AG131" s="2" t="s">
        <v>36</v>
      </c>
      <c r="AH131" s="164">
        <v>2.8E-5</v>
      </c>
      <c r="AI131" s="164">
        <v>5.3427471212105296E-3</v>
      </c>
      <c r="AJ131" s="164">
        <v>3.9810039931460799E-4</v>
      </c>
    </row>
    <row r="132" spans="1:36">
      <c r="A132" s="2">
        <v>12904</v>
      </c>
      <c r="B132" s="2">
        <v>12905</v>
      </c>
      <c r="C132" s="2" t="s">
        <v>2327</v>
      </c>
      <c r="D132" s="2" t="s">
        <v>2328</v>
      </c>
      <c r="E132" s="4" t="s">
        <v>1342</v>
      </c>
      <c r="F132" s="2" t="s">
        <v>2329</v>
      </c>
      <c r="G132" s="2" t="s">
        <v>2330</v>
      </c>
      <c r="H132" s="2" t="s">
        <v>356</v>
      </c>
      <c r="I132" s="2" t="s">
        <v>208</v>
      </c>
      <c r="J132" s="2" t="s">
        <v>30</v>
      </c>
      <c r="K132" s="2" t="s">
        <v>30</v>
      </c>
      <c r="L132" s="2" t="s">
        <v>362</v>
      </c>
      <c r="M132" s="2" t="s">
        <v>31</v>
      </c>
      <c r="N132" s="2" t="s">
        <v>473</v>
      </c>
      <c r="O132" s="2" t="s">
        <v>155</v>
      </c>
      <c r="P132" s="2" t="s">
        <v>1519</v>
      </c>
      <c r="Q132" s="2" t="s">
        <v>206</v>
      </c>
      <c r="R132" s="2" t="s">
        <v>441</v>
      </c>
      <c r="S132" s="2" t="s">
        <v>34</v>
      </c>
      <c r="T132" s="151">
        <v>7.5629999999999997</v>
      </c>
      <c r="U132" s="2" t="s">
        <v>2331</v>
      </c>
      <c r="V132" s="162">
        <v>0.03</v>
      </c>
      <c r="W132" s="164">
        <v>3.2599999999999997E-2</v>
      </c>
      <c r="X132" s="4" t="s">
        <v>447</v>
      </c>
      <c r="Y132" s="4" t="s">
        <v>155</v>
      </c>
      <c r="Z132" s="151">
        <v>94000</v>
      </c>
      <c r="AA132" s="158">
        <v>1</v>
      </c>
      <c r="AB132" s="175">
        <v>103.71</v>
      </c>
      <c r="AD132" s="151">
        <v>97.486999999999995</v>
      </c>
      <c r="AG132" s="2" t="s">
        <v>36</v>
      </c>
      <c r="AH132" s="164">
        <v>2.3E-5</v>
      </c>
      <c r="AI132" s="164">
        <v>3.8657116561594498E-2</v>
      </c>
      <c r="AJ132" s="164">
        <v>2.8804308327501902E-3</v>
      </c>
    </row>
    <row r="133" spans="1:36">
      <c r="A133" s="2">
        <v>12904</v>
      </c>
      <c r="B133" s="2">
        <v>12905</v>
      </c>
      <c r="C133" s="2" t="s">
        <v>2327</v>
      </c>
      <c r="D133" s="2" t="s">
        <v>2328</v>
      </c>
      <c r="E133" s="4" t="s">
        <v>1342</v>
      </c>
      <c r="F133" s="2" t="s">
        <v>2332</v>
      </c>
      <c r="G133" s="2" t="s">
        <v>2333</v>
      </c>
      <c r="H133" s="2" t="s">
        <v>356</v>
      </c>
      <c r="I133" s="2" t="s">
        <v>208</v>
      </c>
      <c r="J133" s="2" t="s">
        <v>30</v>
      </c>
      <c r="K133" s="2" t="s">
        <v>30</v>
      </c>
      <c r="L133" s="2" t="s">
        <v>362</v>
      </c>
      <c r="M133" s="2" t="s">
        <v>31</v>
      </c>
      <c r="N133" s="2" t="s">
        <v>473</v>
      </c>
      <c r="O133" s="2" t="s">
        <v>155</v>
      </c>
      <c r="P133" s="2" t="s">
        <v>1519</v>
      </c>
      <c r="Q133" s="2" t="s">
        <v>101</v>
      </c>
      <c r="R133" s="2" t="s">
        <v>441</v>
      </c>
      <c r="S133" s="2" t="s">
        <v>34</v>
      </c>
      <c r="T133" s="151">
        <v>10.287000000000001</v>
      </c>
      <c r="U133" s="2" t="s">
        <v>2334</v>
      </c>
      <c r="V133" s="162">
        <v>3.2000000000000001E-2</v>
      </c>
      <c r="W133" s="164">
        <v>3.4759999999999999E-2</v>
      </c>
      <c r="X133" s="4" t="s">
        <v>447</v>
      </c>
      <c r="Y133" s="4" t="s">
        <v>155</v>
      </c>
      <c r="Z133" s="151">
        <v>94000</v>
      </c>
      <c r="AA133" s="158">
        <v>1</v>
      </c>
      <c r="AB133" s="175">
        <v>102.97</v>
      </c>
      <c r="AD133" s="151">
        <v>96.792000000000002</v>
      </c>
      <c r="AG133" s="2" t="s">
        <v>36</v>
      </c>
      <c r="AH133" s="164">
        <v>1.9000000000000001E-5</v>
      </c>
      <c r="AI133" s="164">
        <v>3.8381287169485898E-2</v>
      </c>
      <c r="AJ133" s="164">
        <v>2.85987814914942E-3</v>
      </c>
    </row>
    <row r="134" spans="1:36">
      <c r="A134" s="2">
        <v>12904</v>
      </c>
      <c r="B134" s="2">
        <v>12905</v>
      </c>
      <c r="C134" s="2" t="s">
        <v>2335</v>
      </c>
      <c r="D134" s="2" t="s">
        <v>2336</v>
      </c>
      <c r="E134" s="4" t="s">
        <v>1342</v>
      </c>
      <c r="F134" s="2" t="s">
        <v>2337</v>
      </c>
      <c r="G134" s="2" t="s">
        <v>2338</v>
      </c>
      <c r="H134" s="2" t="s">
        <v>356</v>
      </c>
      <c r="I134" s="2" t="s">
        <v>208</v>
      </c>
      <c r="J134" s="2" t="s">
        <v>30</v>
      </c>
      <c r="K134" s="2" t="s">
        <v>30</v>
      </c>
      <c r="L134" s="2" t="s">
        <v>362</v>
      </c>
      <c r="M134" s="2" t="s">
        <v>31</v>
      </c>
      <c r="N134" s="2" t="s">
        <v>481</v>
      </c>
      <c r="O134" s="2" t="s">
        <v>155</v>
      </c>
      <c r="P134" s="2" t="s">
        <v>1353</v>
      </c>
      <c r="Q134" s="2" t="s">
        <v>206</v>
      </c>
      <c r="R134" s="2" t="s">
        <v>441</v>
      </c>
      <c r="S134" s="2" t="s">
        <v>34</v>
      </c>
      <c r="T134" s="151">
        <v>4.5019999999999998</v>
      </c>
      <c r="U134" s="2" t="s">
        <v>2339</v>
      </c>
      <c r="V134" s="162">
        <v>2.5899999999999999E-2</v>
      </c>
      <c r="W134" s="164">
        <v>2.647E-2</v>
      </c>
      <c r="X134" s="4" t="s">
        <v>447</v>
      </c>
      <c r="Y134" s="4" t="s">
        <v>155</v>
      </c>
      <c r="Z134" s="151">
        <v>39000</v>
      </c>
      <c r="AA134" s="158">
        <v>1</v>
      </c>
      <c r="AB134" s="175">
        <v>105.13</v>
      </c>
      <c r="AD134" s="151">
        <v>41.000999999999998</v>
      </c>
      <c r="AG134" s="2" t="s">
        <v>36</v>
      </c>
      <c r="AH134" s="164">
        <v>8.7000000000000001E-5</v>
      </c>
      <c r="AI134" s="164">
        <v>1.6258191715103398E-2</v>
      </c>
      <c r="AJ134" s="164">
        <v>1.21143532850748E-3</v>
      </c>
    </row>
    <row r="135" spans="1:36">
      <c r="A135" s="2">
        <v>12904</v>
      </c>
      <c r="B135" s="2">
        <v>12905</v>
      </c>
      <c r="C135" s="2" t="s">
        <v>2340</v>
      </c>
      <c r="D135" s="2" t="s">
        <v>2341</v>
      </c>
      <c r="E135" s="4" t="s">
        <v>348</v>
      </c>
      <c r="F135" s="2" t="s">
        <v>2342</v>
      </c>
      <c r="G135" s="2" t="s">
        <v>2343</v>
      </c>
      <c r="H135" s="2" t="s">
        <v>356</v>
      </c>
      <c r="I135" s="2" t="s">
        <v>1000</v>
      </c>
      <c r="J135" s="2" t="s">
        <v>30</v>
      </c>
      <c r="K135" s="2" t="s">
        <v>30</v>
      </c>
      <c r="L135" s="2" t="s">
        <v>362</v>
      </c>
      <c r="M135" s="2" t="s">
        <v>31</v>
      </c>
      <c r="N135" s="2" t="s">
        <v>487</v>
      </c>
      <c r="O135" s="2" t="s">
        <v>155</v>
      </c>
      <c r="P135" s="2" t="s">
        <v>2211</v>
      </c>
      <c r="Q135" s="2" t="s">
        <v>206</v>
      </c>
      <c r="R135" s="2" t="s">
        <v>441</v>
      </c>
      <c r="S135" s="2" t="s">
        <v>34</v>
      </c>
      <c r="T135" s="151">
        <v>3.2370000000000001</v>
      </c>
      <c r="U135" s="2" t="s">
        <v>2344</v>
      </c>
      <c r="V135" s="162">
        <v>2.24E-2</v>
      </c>
      <c r="W135" s="164">
        <v>5.6430000000000001E-2</v>
      </c>
      <c r="X135" s="4" t="s">
        <v>447</v>
      </c>
      <c r="Y135" s="4" t="s">
        <v>155</v>
      </c>
      <c r="Z135" s="151">
        <v>15557.58</v>
      </c>
      <c r="AA135" s="158">
        <v>1</v>
      </c>
      <c r="AB135" s="175">
        <v>90.78</v>
      </c>
      <c r="AD135" s="151">
        <v>14.122999999999999</v>
      </c>
      <c r="AG135" s="2" t="s">
        <v>36</v>
      </c>
      <c r="AH135" s="164">
        <v>2.5999999999999998E-5</v>
      </c>
      <c r="AI135" s="164">
        <v>5.60032447639196E-3</v>
      </c>
      <c r="AJ135" s="164">
        <v>4.17293081585689E-4</v>
      </c>
    </row>
    <row r="136" spans="1:36">
      <c r="A136" s="2">
        <v>12904</v>
      </c>
      <c r="B136" s="2">
        <v>12905</v>
      </c>
      <c r="C136" s="2" t="s">
        <v>1896</v>
      </c>
      <c r="D136" s="2" t="s">
        <v>1897</v>
      </c>
      <c r="E136" s="4" t="s">
        <v>1342</v>
      </c>
      <c r="F136" s="2" t="s">
        <v>2345</v>
      </c>
      <c r="G136" s="2" t="s">
        <v>2346</v>
      </c>
      <c r="H136" s="2" t="s">
        <v>356</v>
      </c>
      <c r="I136" s="2" t="s">
        <v>1000</v>
      </c>
      <c r="J136" s="2" t="s">
        <v>30</v>
      </c>
      <c r="K136" s="2" t="s">
        <v>30</v>
      </c>
      <c r="L136" s="2" t="s">
        <v>362</v>
      </c>
      <c r="M136" s="2" t="s">
        <v>31</v>
      </c>
      <c r="N136" s="2" t="s">
        <v>478</v>
      </c>
      <c r="O136" s="2" t="s">
        <v>155</v>
      </c>
      <c r="P136" s="2" t="s">
        <v>1353</v>
      </c>
      <c r="Q136" s="2" t="s">
        <v>206</v>
      </c>
      <c r="R136" s="2" t="s">
        <v>441</v>
      </c>
      <c r="S136" s="2" t="s">
        <v>34</v>
      </c>
      <c r="T136" s="151">
        <v>3.105</v>
      </c>
      <c r="U136" s="2" t="s">
        <v>2347</v>
      </c>
      <c r="V136" s="162">
        <v>4.7E-2</v>
      </c>
      <c r="W136" s="164">
        <v>5.4760000000000003E-2</v>
      </c>
      <c r="X136" s="4" t="s">
        <v>447</v>
      </c>
      <c r="Y136" s="4" t="s">
        <v>155</v>
      </c>
      <c r="Z136" s="151">
        <v>16000</v>
      </c>
      <c r="AA136" s="158">
        <v>1</v>
      </c>
      <c r="AB136" s="175">
        <v>100.38</v>
      </c>
      <c r="AD136" s="151">
        <v>16.061</v>
      </c>
      <c r="AG136" s="2" t="s">
        <v>36</v>
      </c>
      <c r="AH136" s="164">
        <v>1.8E-5</v>
      </c>
      <c r="AI136" s="164">
        <v>6.3686611569541999E-3</v>
      </c>
      <c r="AJ136" s="164">
        <v>4.7454361813561698E-4</v>
      </c>
    </row>
    <row r="137" spans="1:36">
      <c r="A137" s="2">
        <v>12904</v>
      </c>
      <c r="B137" s="2">
        <v>12905</v>
      </c>
      <c r="C137" s="2" t="s">
        <v>2348</v>
      </c>
      <c r="D137" s="2" t="s">
        <v>2349</v>
      </c>
      <c r="E137" s="4" t="s">
        <v>1342</v>
      </c>
      <c r="F137" s="2" t="s">
        <v>2350</v>
      </c>
      <c r="G137" s="2" t="s">
        <v>2351</v>
      </c>
      <c r="H137" s="2" t="s">
        <v>356</v>
      </c>
      <c r="I137" s="2" t="s">
        <v>1000</v>
      </c>
      <c r="J137" s="2" t="s">
        <v>30</v>
      </c>
      <c r="K137" s="2" t="s">
        <v>30</v>
      </c>
      <c r="L137" s="2" t="s">
        <v>362</v>
      </c>
      <c r="M137" s="2" t="s">
        <v>31</v>
      </c>
      <c r="N137" s="2" t="s">
        <v>512</v>
      </c>
      <c r="O137" s="2" t="s">
        <v>155</v>
      </c>
      <c r="P137" s="2" t="s">
        <v>1353</v>
      </c>
      <c r="Q137" s="2" t="s">
        <v>206</v>
      </c>
      <c r="R137" s="2" t="s">
        <v>441</v>
      </c>
      <c r="S137" s="2" t="s">
        <v>34</v>
      </c>
      <c r="T137" s="151">
        <v>9.2230000000000008</v>
      </c>
      <c r="U137" s="2" t="s">
        <v>2352</v>
      </c>
      <c r="V137" s="162">
        <v>5.3100000000000001E-2</v>
      </c>
      <c r="W137" s="164">
        <v>6.1010000000000002E-2</v>
      </c>
      <c r="X137" s="4" t="s">
        <v>447</v>
      </c>
      <c r="Y137" s="4" t="s">
        <v>155</v>
      </c>
      <c r="Z137" s="151">
        <v>58279</v>
      </c>
      <c r="AA137" s="158">
        <v>1</v>
      </c>
      <c r="AB137" s="175">
        <v>95.72</v>
      </c>
      <c r="AD137" s="151">
        <v>55.784999999999997</v>
      </c>
      <c r="AG137" s="2" t="s">
        <v>36</v>
      </c>
      <c r="AH137" s="164">
        <v>4.6E-5</v>
      </c>
      <c r="AI137" s="164">
        <v>2.2120541296417599E-2</v>
      </c>
      <c r="AJ137" s="164">
        <v>1.64825250444641E-3</v>
      </c>
    </row>
    <row r="138" spans="1:36">
      <c r="A138" s="2">
        <v>12904</v>
      </c>
      <c r="B138" s="2">
        <v>12905</v>
      </c>
      <c r="C138" s="2" t="s">
        <v>1212</v>
      </c>
      <c r="D138" s="2" t="s">
        <v>1900</v>
      </c>
      <c r="E138" s="4" t="s">
        <v>1342</v>
      </c>
      <c r="F138" s="2" t="s">
        <v>2353</v>
      </c>
      <c r="G138" s="2" t="s">
        <v>2354</v>
      </c>
      <c r="H138" s="2" t="s">
        <v>356</v>
      </c>
      <c r="I138" s="2" t="s">
        <v>208</v>
      </c>
      <c r="J138" s="2" t="s">
        <v>30</v>
      </c>
      <c r="K138" s="2" t="s">
        <v>30</v>
      </c>
      <c r="L138" s="2" t="s">
        <v>362</v>
      </c>
      <c r="M138" s="2" t="s">
        <v>31</v>
      </c>
      <c r="N138" s="2" t="s">
        <v>481</v>
      </c>
      <c r="O138" s="2" t="s">
        <v>155</v>
      </c>
      <c r="P138" s="2" t="s">
        <v>100</v>
      </c>
      <c r="Q138" s="2" t="s">
        <v>206</v>
      </c>
      <c r="R138" s="2" t="s">
        <v>441</v>
      </c>
      <c r="S138" s="2" t="s">
        <v>34</v>
      </c>
      <c r="T138" s="151">
        <v>1.7370000000000001</v>
      </c>
      <c r="U138" s="2" t="s">
        <v>2355</v>
      </c>
      <c r="V138" s="162">
        <v>8.3000000000000001E-3</v>
      </c>
      <c r="W138" s="164">
        <v>2.0449999999999999E-2</v>
      </c>
      <c r="X138" s="4" t="s">
        <v>447</v>
      </c>
      <c r="Y138" s="4" t="s">
        <v>155</v>
      </c>
      <c r="Z138" s="151">
        <v>5558</v>
      </c>
      <c r="AA138" s="158">
        <v>1</v>
      </c>
      <c r="AB138" s="175">
        <v>113.2</v>
      </c>
      <c r="AD138" s="151">
        <v>6.2919999999999998</v>
      </c>
      <c r="AG138" s="2" t="s">
        <v>36</v>
      </c>
      <c r="AH138" s="164">
        <v>3.9999999999999998E-6</v>
      </c>
      <c r="AI138" s="164">
        <v>2.4948586110354301E-3</v>
      </c>
      <c r="AJ138" s="164">
        <v>1.8589766402076299E-4</v>
      </c>
    </row>
    <row r="139" spans="1:36">
      <c r="A139" s="2">
        <v>12904</v>
      </c>
      <c r="B139" s="2">
        <v>12905</v>
      </c>
      <c r="C139" s="2" t="s">
        <v>1212</v>
      </c>
      <c r="D139" s="2" t="s">
        <v>1900</v>
      </c>
      <c r="E139" s="4" t="s">
        <v>1342</v>
      </c>
      <c r="F139" s="2" t="s">
        <v>2356</v>
      </c>
      <c r="G139" s="2" t="s">
        <v>2357</v>
      </c>
      <c r="H139" s="2" t="s">
        <v>356</v>
      </c>
      <c r="I139" s="2" t="s">
        <v>208</v>
      </c>
      <c r="J139" s="2" t="s">
        <v>30</v>
      </c>
      <c r="K139" s="2" t="s">
        <v>30</v>
      </c>
      <c r="L139" s="2" t="s">
        <v>362</v>
      </c>
      <c r="M139" s="2" t="s">
        <v>31</v>
      </c>
      <c r="N139" s="2" t="s">
        <v>481</v>
      </c>
      <c r="O139" s="2" t="s">
        <v>155</v>
      </c>
      <c r="P139" s="2" t="s">
        <v>100</v>
      </c>
      <c r="Q139" s="2" t="s">
        <v>206</v>
      </c>
      <c r="R139" s="2" t="s">
        <v>441</v>
      </c>
      <c r="S139" s="2" t="s">
        <v>34</v>
      </c>
      <c r="T139" s="151">
        <v>5.0449999999999999</v>
      </c>
      <c r="U139" s="2" t="s">
        <v>2358</v>
      </c>
      <c r="V139" s="162">
        <v>2.0199999999999999E-2</v>
      </c>
      <c r="W139" s="164">
        <v>2.5940000000000001E-2</v>
      </c>
      <c r="X139" s="4" t="s">
        <v>447</v>
      </c>
      <c r="Y139" s="4" t="s">
        <v>155</v>
      </c>
      <c r="Z139" s="151">
        <v>63000</v>
      </c>
      <c r="AA139" s="158">
        <v>1</v>
      </c>
      <c r="AB139" s="175">
        <v>101.35</v>
      </c>
      <c r="AD139" s="151">
        <v>63.85</v>
      </c>
      <c r="AG139" s="2" t="s">
        <v>36</v>
      </c>
      <c r="AH139" s="164">
        <v>1.8E-5</v>
      </c>
      <c r="AI139" s="164">
        <v>2.5318925533105701E-2</v>
      </c>
      <c r="AJ139" s="164">
        <v>1.8865714839714201E-3</v>
      </c>
    </row>
    <row r="140" spans="1:36">
      <c r="A140" s="2">
        <v>12904</v>
      </c>
      <c r="B140" s="2">
        <v>12905</v>
      </c>
      <c r="C140" s="2" t="s">
        <v>1212</v>
      </c>
      <c r="D140" s="2" t="s">
        <v>1900</v>
      </c>
      <c r="E140" s="4" t="s">
        <v>1342</v>
      </c>
      <c r="F140" s="2" t="s">
        <v>2359</v>
      </c>
      <c r="G140" s="2" t="s">
        <v>2360</v>
      </c>
      <c r="H140" s="2" t="s">
        <v>356</v>
      </c>
      <c r="I140" s="2" t="s">
        <v>208</v>
      </c>
      <c r="J140" s="2" t="s">
        <v>30</v>
      </c>
      <c r="K140" s="2" t="s">
        <v>30</v>
      </c>
      <c r="L140" s="2" t="s">
        <v>362</v>
      </c>
      <c r="M140" s="2" t="s">
        <v>31</v>
      </c>
      <c r="N140" s="2" t="s">
        <v>481</v>
      </c>
      <c r="O140" s="2" t="s">
        <v>155</v>
      </c>
      <c r="P140" s="2" t="s">
        <v>100</v>
      </c>
      <c r="Q140" s="2" t="s">
        <v>206</v>
      </c>
      <c r="R140" s="2" t="s">
        <v>441</v>
      </c>
      <c r="S140" s="2" t="s">
        <v>34</v>
      </c>
      <c r="T140" s="151">
        <v>5.1369999999999996</v>
      </c>
      <c r="U140" s="2" t="s">
        <v>2361</v>
      </c>
      <c r="V140" s="162">
        <v>1E-3</v>
      </c>
      <c r="W140" s="164">
        <v>2.622E-2</v>
      </c>
      <c r="X140" s="4" t="s">
        <v>447</v>
      </c>
      <c r="Y140" s="4" t="s">
        <v>155</v>
      </c>
      <c r="Z140" s="151">
        <v>34000</v>
      </c>
      <c r="AA140" s="158">
        <v>1</v>
      </c>
      <c r="AB140" s="175">
        <v>99.1</v>
      </c>
      <c r="AD140" s="151">
        <v>33.694000000000003</v>
      </c>
      <c r="AG140" s="2" t="s">
        <v>36</v>
      </c>
      <c r="AH140" s="164">
        <v>1.4E-5</v>
      </c>
      <c r="AI140" s="164">
        <v>1.3360833147938799E-2</v>
      </c>
      <c r="AJ140" s="164">
        <v>9.9554646527330506E-4</v>
      </c>
    </row>
    <row r="141" spans="1:36">
      <c r="A141" s="2">
        <v>12904</v>
      </c>
      <c r="B141" s="2">
        <v>12905</v>
      </c>
      <c r="C141" s="2" t="s">
        <v>1903</v>
      </c>
      <c r="D141" s="2" t="s">
        <v>1904</v>
      </c>
      <c r="E141" s="4" t="s">
        <v>1342</v>
      </c>
      <c r="F141" s="2" t="s">
        <v>2362</v>
      </c>
      <c r="G141" s="2" t="s">
        <v>2363</v>
      </c>
      <c r="H141" s="2" t="s">
        <v>356</v>
      </c>
      <c r="I141" s="2" t="s">
        <v>208</v>
      </c>
      <c r="J141" s="2" t="s">
        <v>30</v>
      </c>
      <c r="K141" s="2" t="s">
        <v>30</v>
      </c>
      <c r="L141" s="2" t="s">
        <v>362</v>
      </c>
      <c r="M141" s="2" t="s">
        <v>31</v>
      </c>
      <c r="N141" s="2" t="s">
        <v>497</v>
      </c>
      <c r="O141" s="2" t="s">
        <v>155</v>
      </c>
      <c r="P141" s="2" t="s">
        <v>2211</v>
      </c>
      <c r="Q141" s="2" t="s">
        <v>206</v>
      </c>
      <c r="R141" s="2" t="s">
        <v>441</v>
      </c>
      <c r="S141" s="2" t="s">
        <v>34</v>
      </c>
      <c r="T141" s="151">
        <v>5.83</v>
      </c>
      <c r="U141" s="2" t="s">
        <v>2287</v>
      </c>
      <c r="V141" s="162">
        <v>3.5000000000000001E-3</v>
      </c>
      <c r="W141" s="164">
        <v>3.4130000000000001E-2</v>
      </c>
      <c r="X141" s="4" t="s">
        <v>447</v>
      </c>
      <c r="Y141" s="4" t="s">
        <v>155</v>
      </c>
      <c r="Z141" s="151">
        <v>30000</v>
      </c>
      <c r="AA141" s="158">
        <v>1</v>
      </c>
      <c r="AB141" s="175">
        <v>94.3</v>
      </c>
      <c r="AD141" s="151">
        <v>28.29</v>
      </c>
      <c r="AG141" s="2" t="s">
        <v>36</v>
      </c>
      <c r="AH141" s="164">
        <v>9.0000000000000002E-6</v>
      </c>
      <c r="AI141" s="164">
        <v>1.1217960757262E-2</v>
      </c>
      <c r="AJ141" s="164">
        <v>8.3587610561470301E-4</v>
      </c>
    </row>
    <row r="142" spans="1:36">
      <c r="A142" s="2">
        <v>12904</v>
      </c>
      <c r="B142" s="2">
        <v>12905</v>
      </c>
      <c r="C142" s="2" t="s">
        <v>2364</v>
      </c>
      <c r="D142" s="2" t="s">
        <v>2365</v>
      </c>
      <c r="E142" s="4" t="s">
        <v>1342</v>
      </c>
      <c r="F142" s="2" t="s">
        <v>2366</v>
      </c>
      <c r="G142" s="2" t="s">
        <v>2367</v>
      </c>
      <c r="H142" s="2" t="s">
        <v>356</v>
      </c>
      <c r="I142" s="2" t="s">
        <v>1000</v>
      </c>
      <c r="J142" s="2" t="s">
        <v>30</v>
      </c>
      <c r="K142" s="2" t="s">
        <v>30</v>
      </c>
      <c r="L142" s="2" t="s">
        <v>362</v>
      </c>
      <c r="M142" s="2" t="s">
        <v>85</v>
      </c>
      <c r="N142" s="2" t="s">
        <v>478</v>
      </c>
      <c r="O142" s="2" t="s">
        <v>155</v>
      </c>
      <c r="P142" s="2" t="s">
        <v>1346</v>
      </c>
      <c r="Q142" s="2" t="s">
        <v>101</v>
      </c>
      <c r="R142" s="2" t="s">
        <v>441</v>
      </c>
      <c r="S142" s="2" t="s">
        <v>34</v>
      </c>
      <c r="T142" s="151">
        <v>9.5030000000000001</v>
      </c>
      <c r="U142" s="2" t="s">
        <v>2246</v>
      </c>
      <c r="V142" s="162">
        <v>6.0699999999999997E-2</v>
      </c>
      <c r="W142" s="164">
        <v>6.1519999999999998E-2</v>
      </c>
      <c r="X142" s="4" t="s">
        <v>447</v>
      </c>
      <c r="Y142" s="4" t="s">
        <v>155</v>
      </c>
      <c r="Z142" s="151">
        <v>31122</v>
      </c>
      <c r="AA142" s="158">
        <v>1</v>
      </c>
      <c r="AB142" s="175">
        <v>101.97</v>
      </c>
      <c r="AD142" s="151">
        <v>31.734999999999999</v>
      </c>
      <c r="AG142" s="2" t="s">
        <v>36</v>
      </c>
      <c r="AH142" s="164">
        <v>1.4799999999999999E-4</v>
      </c>
      <c r="AI142" s="164">
        <v>1.25840630812603E-2</v>
      </c>
      <c r="AJ142" s="164">
        <v>9.3766753769077102E-4</v>
      </c>
    </row>
    <row r="143" spans="1:36">
      <c r="A143" s="2">
        <v>12904</v>
      </c>
      <c r="B143" s="2">
        <v>12905</v>
      </c>
      <c r="C143" s="2" t="s">
        <v>2364</v>
      </c>
      <c r="D143" s="2" t="s">
        <v>2365</v>
      </c>
      <c r="E143" s="4" t="s">
        <v>1342</v>
      </c>
      <c r="F143" s="2" t="s">
        <v>2368</v>
      </c>
      <c r="G143" s="2" t="s">
        <v>2369</v>
      </c>
      <c r="H143" s="2" t="s">
        <v>356</v>
      </c>
      <c r="I143" s="2" t="s">
        <v>1000</v>
      </c>
      <c r="J143" s="2" t="s">
        <v>30</v>
      </c>
      <c r="K143" s="2" t="s">
        <v>30</v>
      </c>
      <c r="L143" s="2" t="s">
        <v>362</v>
      </c>
      <c r="M143" s="2" t="s">
        <v>85</v>
      </c>
      <c r="N143" s="2" t="s">
        <v>478</v>
      </c>
      <c r="O143" s="2" t="s">
        <v>155</v>
      </c>
      <c r="P143" s="2" t="s">
        <v>1346</v>
      </c>
      <c r="Q143" s="2" t="s">
        <v>206</v>
      </c>
      <c r="R143" s="2" t="s">
        <v>441</v>
      </c>
      <c r="S143" s="2" t="s">
        <v>34</v>
      </c>
      <c r="T143" s="151">
        <v>9.0589999999999993</v>
      </c>
      <c r="U143" s="2" t="s">
        <v>2370</v>
      </c>
      <c r="V143" s="162">
        <v>6.0699999999999997E-2</v>
      </c>
      <c r="W143" s="164">
        <v>6.0609999999999997E-2</v>
      </c>
      <c r="X143" s="4" t="s">
        <v>447</v>
      </c>
      <c r="Y143" s="4" t="s">
        <v>155</v>
      </c>
      <c r="Z143" s="151">
        <v>91649</v>
      </c>
      <c r="AA143" s="158">
        <v>1</v>
      </c>
      <c r="AB143" s="175">
        <v>102.54</v>
      </c>
      <c r="AD143" s="151">
        <v>93.977000000000004</v>
      </c>
      <c r="AG143" s="2" t="s">
        <v>36</v>
      </c>
      <c r="AH143" s="164">
        <v>4.3600000000000003E-4</v>
      </c>
      <c r="AI143" s="164">
        <v>3.7265076123455101E-2</v>
      </c>
      <c r="AJ143" s="164">
        <v>2.7767066920201598E-3</v>
      </c>
    </row>
    <row r="144" spans="1:36">
      <c r="A144" s="2">
        <v>12904</v>
      </c>
      <c r="B144" s="2">
        <v>12905</v>
      </c>
      <c r="C144" s="2" t="s">
        <v>1907</v>
      </c>
      <c r="D144" s="2" t="s">
        <v>1908</v>
      </c>
      <c r="E144" s="4" t="s">
        <v>1342</v>
      </c>
      <c r="F144" s="2" t="s">
        <v>2371</v>
      </c>
      <c r="G144" s="2" t="s">
        <v>2372</v>
      </c>
      <c r="H144" s="2" t="s">
        <v>356</v>
      </c>
      <c r="I144" s="2" t="s">
        <v>1000</v>
      </c>
      <c r="J144" s="2" t="s">
        <v>30</v>
      </c>
      <c r="K144" s="2" t="s">
        <v>30</v>
      </c>
      <c r="L144" s="2" t="s">
        <v>362</v>
      </c>
      <c r="M144" s="2" t="s">
        <v>31</v>
      </c>
      <c r="N144" s="2" t="s">
        <v>497</v>
      </c>
      <c r="O144" s="2" t="s">
        <v>155</v>
      </c>
      <c r="P144" s="2" t="s">
        <v>2181</v>
      </c>
      <c r="Q144" s="2" t="s">
        <v>101</v>
      </c>
      <c r="R144" s="2" t="s">
        <v>441</v>
      </c>
      <c r="S144" s="2" t="s">
        <v>34</v>
      </c>
      <c r="T144" s="151">
        <v>4.8710000000000004</v>
      </c>
      <c r="U144" s="2" t="s">
        <v>2373</v>
      </c>
      <c r="V144" s="162">
        <v>5.4800000000000001E-2</v>
      </c>
      <c r="W144" s="164">
        <v>6.2E-2</v>
      </c>
      <c r="X144" s="4" t="s">
        <v>447</v>
      </c>
      <c r="Y144" s="4" t="s">
        <v>155</v>
      </c>
      <c r="Z144" s="151">
        <v>38000</v>
      </c>
      <c r="AA144" s="158">
        <v>1</v>
      </c>
      <c r="AB144" s="175">
        <v>98.13</v>
      </c>
      <c r="AD144" s="151">
        <v>37.289000000000001</v>
      </c>
      <c r="AG144" s="2" t="s">
        <v>36</v>
      </c>
      <c r="AH144" s="164">
        <v>1.27E-4</v>
      </c>
      <c r="AI144" s="164">
        <v>1.47865332577535E-2</v>
      </c>
      <c r="AJ144" s="164">
        <v>1.10177866570198E-3</v>
      </c>
    </row>
    <row r="145" spans="1:36">
      <c r="A145" s="2">
        <v>12904</v>
      </c>
      <c r="B145" s="2">
        <v>12905</v>
      </c>
      <c r="C145" s="2" t="s">
        <v>2374</v>
      </c>
      <c r="D145" s="2" t="s">
        <v>2375</v>
      </c>
      <c r="E145" s="4" t="s">
        <v>1342</v>
      </c>
      <c r="F145" s="2" t="s">
        <v>2376</v>
      </c>
      <c r="G145" s="2" t="s">
        <v>2377</v>
      </c>
      <c r="H145" s="2" t="s">
        <v>356</v>
      </c>
      <c r="I145" s="2" t="s">
        <v>208</v>
      </c>
      <c r="J145" s="2" t="s">
        <v>30</v>
      </c>
      <c r="K145" s="2" t="s">
        <v>30</v>
      </c>
      <c r="L145" s="2" t="s">
        <v>362</v>
      </c>
      <c r="M145" s="2" t="s">
        <v>31</v>
      </c>
      <c r="N145" s="2" t="s">
        <v>497</v>
      </c>
      <c r="O145" s="2" t="s">
        <v>155</v>
      </c>
      <c r="P145" s="2" t="s">
        <v>2192</v>
      </c>
      <c r="Q145" s="2" t="s">
        <v>206</v>
      </c>
      <c r="R145" s="2" t="s">
        <v>441</v>
      </c>
      <c r="S145" s="2" t="s">
        <v>34</v>
      </c>
      <c r="T145" s="151">
        <v>2.2000000000000002</v>
      </c>
      <c r="U145" s="2" t="s">
        <v>2378</v>
      </c>
      <c r="V145" s="162">
        <v>3.0000000000000001E-3</v>
      </c>
      <c r="W145" s="164">
        <v>3.1710000000000002E-2</v>
      </c>
      <c r="X145" s="4" t="s">
        <v>447</v>
      </c>
      <c r="Y145" s="4" t="s">
        <v>155</v>
      </c>
      <c r="Z145" s="151">
        <v>36000</v>
      </c>
      <c r="AA145" s="158">
        <v>1</v>
      </c>
      <c r="AB145" s="175">
        <v>97.34</v>
      </c>
      <c r="AD145" s="151">
        <v>35.042000000000002</v>
      </c>
      <c r="AG145" s="2" t="s">
        <v>36</v>
      </c>
      <c r="AH145" s="164">
        <v>1.0900000000000001E-4</v>
      </c>
      <c r="AI145" s="164">
        <v>1.38955202559307E-2</v>
      </c>
      <c r="AJ145" s="164">
        <v>1.0353872337713901E-3</v>
      </c>
    </row>
    <row r="146" spans="1:36">
      <c r="A146" s="2">
        <v>12904</v>
      </c>
      <c r="B146" s="2">
        <v>12905</v>
      </c>
      <c r="C146" s="2" t="s">
        <v>2379</v>
      </c>
      <c r="D146" s="2" t="s">
        <v>2380</v>
      </c>
      <c r="E146" s="4" t="s">
        <v>1342</v>
      </c>
      <c r="F146" s="2" t="s">
        <v>2495</v>
      </c>
      <c r="G146" s="2" t="s">
        <v>2496</v>
      </c>
      <c r="H146" s="2" t="s">
        <v>356</v>
      </c>
      <c r="I146" s="2" t="s">
        <v>208</v>
      </c>
      <c r="J146" s="2" t="s">
        <v>30</v>
      </c>
      <c r="K146" s="2" t="s">
        <v>30</v>
      </c>
      <c r="L146" s="2" t="s">
        <v>362</v>
      </c>
      <c r="M146" s="2" t="s">
        <v>31</v>
      </c>
      <c r="N146" s="2" t="s">
        <v>481</v>
      </c>
      <c r="O146" s="2" t="s">
        <v>155</v>
      </c>
      <c r="P146" s="2" t="s">
        <v>100</v>
      </c>
      <c r="Q146" s="2" t="s">
        <v>206</v>
      </c>
      <c r="R146" s="2" t="s">
        <v>441</v>
      </c>
      <c r="S146" s="2" t="s">
        <v>34</v>
      </c>
      <c r="T146" s="151">
        <v>2.9550000000000001</v>
      </c>
      <c r="U146" s="2" t="s">
        <v>2497</v>
      </c>
      <c r="V146" s="162">
        <v>1.2200000000000001E-2</v>
      </c>
      <c r="W146" s="164">
        <v>2.2579999999999999E-2</v>
      </c>
      <c r="X146" s="4" t="s">
        <v>447</v>
      </c>
      <c r="Y146" s="4" t="s">
        <v>155</v>
      </c>
      <c r="Z146" s="151">
        <v>18046</v>
      </c>
      <c r="AA146" s="158">
        <v>1</v>
      </c>
      <c r="AB146" s="175">
        <v>113.04</v>
      </c>
      <c r="AD146" s="151">
        <v>20.399000000000001</v>
      </c>
      <c r="AG146" s="2" t="s">
        <v>36</v>
      </c>
      <c r="AH146" s="164">
        <v>6.0000000000000002E-6</v>
      </c>
      <c r="AI146" s="164">
        <v>8.0889857593072698E-3</v>
      </c>
      <c r="AJ146" s="164">
        <v>6.0272896840769395E-4</v>
      </c>
    </row>
    <row r="147" spans="1:36">
      <c r="A147" s="2">
        <v>12904</v>
      </c>
      <c r="B147" s="2">
        <v>12905</v>
      </c>
      <c r="C147" s="2" t="s">
        <v>2379</v>
      </c>
      <c r="D147" s="2" t="s">
        <v>2380</v>
      </c>
      <c r="E147" s="4" t="s">
        <v>1342</v>
      </c>
      <c r="F147" s="2" t="s">
        <v>2381</v>
      </c>
      <c r="G147" s="2" t="s">
        <v>2382</v>
      </c>
      <c r="H147" s="2" t="s">
        <v>356</v>
      </c>
      <c r="I147" s="2" t="s">
        <v>208</v>
      </c>
      <c r="J147" s="2" t="s">
        <v>30</v>
      </c>
      <c r="K147" s="2" t="s">
        <v>30</v>
      </c>
      <c r="L147" s="2" t="s">
        <v>362</v>
      </c>
      <c r="M147" s="2" t="s">
        <v>31</v>
      </c>
      <c r="N147" s="2" t="s">
        <v>481</v>
      </c>
      <c r="O147" s="2" t="s">
        <v>155</v>
      </c>
      <c r="P147" s="2" t="s">
        <v>1353</v>
      </c>
      <c r="Q147" s="2" t="s">
        <v>206</v>
      </c>
      <c r="R147" s="2" t="s">
        <v>441</v>
      </c>
      <c r="S147" s="2" t="s">
        <v>34</v>
      </c>
      <c r="T147" s="151">
        <v>4.4210000000000003</v>
      </c>
      <c r="U147" s="2" t="s">
        <v>2383</v>
      </c>
      <c r="V147" s="162">
        <v>3.3599999999999998E-2</v>
      </c>
      <c r="W147" s="164">
        <v>3.0880000000000001E-2</v>
      </c>
      <c r="X147" s="4" t="s">
        <v>447</v>
      </c>
      <c r="Y147" s="4" t="s">
        <v>155</v>
      </c>
      <c r="Z147" s="151">
        <v>50000</v>
      </c>
      <c r="AA147" s="158">
        <v>1</v>
      </c>
      <c r="AB147" s="175">
        <v>105.66</v>
      </c>
      <c r="AD147" s="151">
        <v>52.83</v>
      </c>
      <c r="AG147" s="2" t="s">
        <v>36</v>
      </c>
      <c r="AH147" s="164">
        <v>4.3000000000000002E-5</v>
      </c>
      <c r="AI147" s="164">
        <v>2.0948917172363201E-2</v>
      </c>
      <c r="AJ147" s="164">
        <v>1.56095209118504E-3</v>
      </c>
    </row>
    <row r="148" spans="1:36">
      <c r="A148" s="2">
        <v>12904</v>
      </c>
      <c r="B148" s="2">
        <v>12905</v>
      </c>
      <c r="C148" s="2" t="s">
        <v>2379</v>
      </c>
      <c r="D148" s="2" t="s">
        <v>2380</v>
      </c>
      <c r="E148" s="4" t="s">
        <v>1342</v>
      </c>
      <c r="F148" s="2" t="s">
        <v>2384</v>
      </c>
      <c r="G148" s="2" t="s">
        <v>2385</v>
      </c>
      <c r="H148" s="2" t="s">
        <v>356</v>
      </c>
      <c r="I148" s="2" t="s">
        <v>208</v>
      </c>
      <c r="J148" s="2" t="s">
        <v>30</v>
      </c>
      <c r="K148" s="2" t="s">
        <v>30</v>
      </c>
      <c r="L148" s="2" t="s">
        <v>362</v>
      </c>
      <c r="M148" s="2" t="s">
        <v>31</v>
      </c>
      <c r="N148" s="2" t="s">
        <v>481</v>
      </c>
      <c r="O148" s="2" t="s">
        <v>155</v>
      </c>
      <c r="P148" s="2" t="s">
        <v>100</v>
      </c>
      <c r="Q148" s="2" t="s">
        <v>206</v>
      </c>
      <c r="R148" s="2" t="s">
        <v>441</v>
      </c>
      <c r="S148" s="2" t="s">
        <v>34</v>
      </c>
      <c r="T148" s="151">
        <v>5.5650000000000004</v>
      </c>
      <c r="U148" s="2" t="s">
        <v>2386</v>
      </c>
      <c r="V148" s="162">
        <v>2.2013000000000001E-2</v>
      </c>
      <c r="W148" s="164">
        <v>2.4819999999999998E-2</v>
      </c>
      <c r="X148" s="4" t="s">
        <v>447</v>
      </c>
      <c r="Y148" s="4" t="s">
        <v>155</v>
      </c>
      <c r="Z148" s="151">
        <v>6987</v>
      </c>
      <c r="AA148" s="158">
        <v>1</v>
      </c>
      <c r="AB148" s="175">
        <v>117</v>
      </c>
      <c r="AD148" s="151">
        <v>8.1750000000000007</v>
      </c>
      <c r="AG148" s="2" t="s">
        <v>36</v>
      </c>
      <c r="AH148" s="164">
        <v>1.0000000000000001E-5</v>
      </c>
      <c r="AI148" s="164">
        <v>3.2415861936676599E-3</v>
      </c>
      <c r="AJ148" s="164">
        <v>2.4153805688999699E-4</v>
      </c>
    </row>
    <row r="149" spans="1:36">
      <c r="A149" s="2">
        <v>12904</v>
      </c>
      <c r="B149" s="2">
        <v>12905</v>
      </c>
      <c r="C149" s="2" t="s">
        <v>1919</v>
      </c>
      <c r="D149" s="2" t="s">
        <v>1920</v>
      </c>
      <c r="E149" s="4" t="s">
        <v>1342</v>
      </c>
      <c r="F149" s="2" t="s">
        <v>2387</v>
      </c>
      <c r="G149" s="2" t="s">
        <v>2388</v>
      </c>
      <c r="H149" s="2" t="s">
        <v>356</v>
      </c>
      <c r="I149" s="2" t="s">
        <v>208</v>
      </c>
      <c r="J149" s="2" t="s">
        <v>30</v>
      </c>
      <c r="K149" s="2" t="s">
        <v>30</v>
      </c>
      <c r="L149" s="2" t="s">
        <v>362</v>
      </c>
      <c r="M149" s="2" t="s">
        <v>31</v>
      </c>
      <c r="N149" s="2" t="s">
        <v>497</v>
      </c>
      <c r="O149" s="2" t="s">
        <v>155</v>
      </c>
      <c r="P149" s="2" t="s">
        <v>2211</v>
      </c>
      <c r="Q149" s="2" t="s">
        <v>206</v>
      </c>
      <c r="R149" s="2" t="s">
        <v>441</v>
      </c>
      <c r="S149" s="2" t="s">
        <v>34</v>
      </c>
      <c r="T149" s="151">
        <v>5.92</v>
      </c>
      <c r="U149" s="2" t="s">
        <v>2389</v>
      </c>
      <c r="V149" s="162">
        <v>3.61E-2</v>
      </c>
      <c r="W149" s="164">
        <v>3.4549999999999997E-2</v>
      </c>
      <c r="X149" s="4" t="s">
        <v>447</v>
      </c>
      <c r="Y149" s="4" t="s">
        <v>155</v>
      </c>
      <c r="Z149" s="151">
        <v>29696.97</v>
      </c>
      <c r="AA149" s="158">
        <v>1</v>
      </c>
      <c r="AB149" s="175">
        <v>107.95</v>
      </c>
      <c r="AD149" s="151">
        <v>32.058</v>
      </c>
      <c r="AG149" s="2" t="s">
        <v>36</v>
      </c>
      <c r="AH149" s="164">
        <v>2.8E-5</v>
      </c>
      <c r="AI149" s="164">
        <v>1.27120547851934E-2</v>
      </c>
      <c r="AJ149" s="164">
        <v>9.4720449448261305E-4</v>
      </c>
    </row>
    <row r="150" spans="1:36">
      <c r="A150" s="2">
        <v>12904</v>
      </c>
      <c r="B150" s="2">
        <v>12905</v>
      </c>
      <c r="C150" s="2" t="s">
        <v>1919</v>
      </c>
      <c r="D150" s="2" t="s">
        <v>1920</v>
      </c>
      <c r="E150" s="4" t="s">
        <v>1342</v>
      </c>
      <c r="F150" s="2" t="s">
        <v>2498</v>
      </c>
      <c r="G150" s="2" t="s">
        <v>2499</v>
      </c>
      <c r="H150" s="2" t="s">
        <v>356</v>
      </c>
      <c r="I150" s="2" t="s">
        <v>208</v>
      </c>
      <c r="J150" s="2" t="s">
        <v>30</v>
      </c>
      <c r="K150" s="2" t="s">
        <v>30</v>
      </c>
      <c r="L150" s="2" t="s">
        <v>362</v>
      </c>
      <c r="M150" s="2" t="s">
        <v>31</v>
      </c>
      <c r="N150" s="2" t="s">
        <v>497</v>
      </c>
      <c r="O150" s="2" t="s">
        <v>155</v>
      </c>
      <c r="P150" s="2" t="s">
        <v>2211</v>
      </c>
      <c r="Q150" s="2" t="s">
        <v>206</v>
      </c>
      <c r="R150" s="2" t="s">
        <v>441</v>
      </c>
      <c r="S150" s="2" t="s">
        <v>34</v>
      </c>
      <c r="T150" s="151">
        <v>0.72299999999999998</v>
      </c>
      <c r="U150" s="2" t="s">
        <v>2500</v>
      </c>
      <c r="V150" s="162">
        <v>2.3E-2</v>
      </c>
      <c r="W150" s="164">
        <v>2.6749999999999999E-2</v>
      </c>
      <c r="X150" s="4" t="s">
        <v>447</v>
      </c>
      <c r="Y150" s="4" t="s">
        <v>155</v>
      </c>
      <c r="Z150" s="151">
        <v>10885.95</v>
      </c>
      <c r="AA150" s="158">
        <v>1</v>
      </c>
      <c r="AB150" s="175">
        <v>117.49</v>
      </c>
      <c r="AD150" s="151">
        <v>12.79</v>
      </c>
      <c r="AG150" s="2" t="s">
        <v>36</v>
      </c>
      <c r="AH150" s="164">
        <v>1.4E-5</v>
      </c>
      <c r="AI150" s="164">
        <v>5.0716375423468197E-3</v>
      </c>
      <c r="AJ150" s="164">
        <v>3.7789939987460398E-4</v>
      </c>
    </row>
    <row r="151" spans="1:36">
      <c r="A151" s="2">
        <v>12904</v>
      </c>
      <c r="B151" s="2">
        <v>12905</v>
      </c>
      <c r="C151" s="2" t="s">
        <v>1927</v>
      </c>
      <c r="D151" s="2" t="s">
        <v>1483</v>
      </c>
      <c r="E151" s="4" t="s">
        <v>1342</v>
      </c>
      <c r="F151" s="2" t="s">
        <v>2390</v>
      </c>
      <c r="G151" s="2" t="s">
        <v>2391</v>
      </c>
      <c r="H151" s="2" t="s">
        <v>356</v>
      </c>
      <c r="I151" s="2" t="s">
        <v>1000</v>
      </c>
      <c r="J151" s="2" t="s">
        <v>30</v>
      </c>
      <c r="K151" s="2" t="s">
        <v>30</v>
      </c>
      <c r="L151" s="2" t="s">
        <v>362</v>
      </c>
      <c r="M151" s="2" t="s">
        <v>31</v>
      </c>
      <c r="N151" s="2" t="s">
        <v>476</v>
      </c>
      <c r="O151" s="2" t="s">
        <v>155</v>
      </c>
      <c r="P151" s="2" t="s">
        <v>2192</v>
      </c>
      <c r="Q151" s="2" t="s">
        <v>101</v>
      </c>
      <c r="R151" s="2" t="s">
        <v>441</v>
      </c>
      <c r="S151" s="2" t="s">
        <v>34</v>
      </c>
      <c r="T151" s="151">
        <v>1.448</v>
      </c>
      <c r="U151" s="2" t="s">
        <v>2392</v>
      </c>
      <c r="V151" s="162">
        <v>0.114</v>
      </c>
      <c r="W151" s="164">
        <v>6.5989999999999993E-2</v>
      </c>
      <c r="X151" s="4" t="s">
        <v>447</v>
      </c>
      <c r="Y151" s="4" t="s">
        <v>155</v>
      </c>
      <c r="Z151" s="151">
        <v>43501.760000000002</v>
      </c>
      <c r="AA151" s="158">
        <v>1</v>
      </c>
      <c r="AB151" s="175">
        <v>100.59</v>
      </c>
      <c r="AD151" s="151">
        <v>43.758000000000003</v>
      </c>
      <c r="AG151" s="2" t="s">
        <v>36</v>
      </c>
      <c r="AH151" s="164">
        <v>1.21E-4</v>
      </c>
      <c r="AI151" s="164">
        <v>1.7351722964562999E-2</v>
      </c>
      <c r="AJ151" s="164">
        <v>1.2929168617330799E-3</v>
      </c>
    </row>
    <row r="152" spans="1:36">
      <c r="A152" s="2">
        <v>12904</v>
      </c>
      <c r="B152" s="2">
        <v>12905</v>
      </c>
      <c r="C152" s="2" t="s">
        <v>1927</v>
      </c>
      <c r="D152" s="2" t="s">
        <v>1483</v>
      </c>
      <c r="E152" s="4" t="s">
        <v>1342</v>
      </c>
      <c r="F152" s="2" t="s">
        <v>2393</v>
      </c>
      <c r="G152" s="2" t="s">
        <v>2394</v>
      </c>
      <c r="H152" s="2" t="s">
        <v>356</v>
      </c>
      <c r="I152" s="2" t="s">
        <v>1000</v>
      </c>
      <c r="J152" s="2" t="s">
        <v>30</v>
      </c>
      <c r="K152" s="2" t="s">
        <v>30</v>
      </c>
      <c r="L152" s="2" t="s">
        <v>362</v>
      </c>
      <c r="M152" s="2" t="s">
        <v>31</v>
      </c>
      <c r="N152" s="2" t="s">
        <v>476</v>
      </c>
      <c r="O152" s="2" t="s">
        <v>155</v>
      </c>
      <c r="P152" s="2" t="s">
        <v>2192</v>
      </c>
      <c r="Q152" s="2" t="s">
        <v>101</v>
      </c>
      <c r="R152" s="2" t="s">
        <v>441</v>
      </c>
      <c r="S152" s="2" t="s">
        <v>34</v>
      </c>
      <c r="T152" s="151">
        <v>2.266</v>
      </c>
      <c r="U152" s="2" t="s">
        <v>2395</v>
      </c>
      <c r="V152" s="162">
        <v>7.22E-2</v>
      </c>
      <c r="W152" s="164">
        <v>6.855E-2</v>
      </c>
      <c r="X152" s="4" t="s">
        <v>447</v>
      </c>
      <c r="Y152" s="4" t="s">
        <v>155</v>
      </c>
      <c r="Z152" s="151">
        <v>29000</v>
      </c>
      <c r="AA152" s="158">
        <v>1</v>
      </c>
      <c r="AB152" s="175">
        <v>102.41</v>
      </c>
      <c r="AD152" s="151">
        <v>29.699000000000002</v>
      </c>
      <c r="AG152" s="2" t="s">
        <v>36</v>
      </c>
      <c r="AH152" s="164">
        <v>1.37E-4</v>
      </c>
      <c r="AI152" s="164">
        <v>1.17766382019742E-2</v>
      </c>
      <c r="AJ152" s="164">
        <v>8.77504449382838E-4</v>
      </c>
    </row>
    <row r="153" spans="1:36">
      <c r="A153" s="2">
        <v>12904</v>
      </c>
      <c r="B153" s="2">
        <v>12905</v>
      </c>
      <c r="C153" s="2" t="s">
        <v>2396</v>
      </c>
      <c r="D153" s="2" t="s">
        <v>2397</v>
      </c>
      <c r="E153" s="4" t="s">
        <v>1342</v>
      </c>
      <c r="F153" s="2" t="s">
        <v>2398</v>
      </c>
      <c r="G153" s="2" t="s">
        <v>2399</v>
      </c>
      <c r="H153" s="2" t="s">
        <v>356</v>
      </c>
      <c r="I153" s="2" t="s">
        <v>208</v>
      </c>
      <c r="J153" s="2" t="s">
        <v>30</v>
      </c>
      <c r="K153" s="2" t="s">
        <v>30</v>
      </c>
      <c r="L153" s="2" t="s">
        <v>362</v>
      </c>
      <c r="M153" s="2" t="s">
        <v>31</v>
      </c>
      <c r="N153" s="2" t="s">
        <v>480</v>
      </c>
      <c r="O153" s="2" t="s">
        <v>155</v>
      </c>
      <c r="P153" s="2" t="s">
        <v>1337</v>
      </c>
      <c r="Q153" s="2" t="s">
        <v>101</v>
      </c>
      <c r="R153" s="2" t="s">
        <v>441</v>
      </c>
      <c r="S153" s="2" t="s">
        <v>34</v>
      </c>
      <c r="T153" s="151">
        <v>3.5590000000000002</v>
      </c>
      <c r="U153" s="2" t="s">
        <v>2400</v>
      </c>
      <c r="V153" s="162">
        <v>2.07E-2</v>
      </c>
      <c r="W153" s="164">
        <v>4.965E-2</v>
      </c>
      <c r="X153" s="4" t="s">
        <v>447</v>
      </c>
      <c r="Y153" s="4" t="s">
        <v>155</v>
      </c>
      <c r="Z153" s="151">
        <v>21065.15</v>
      </c>
      <c r="AA153" s="158">
        <v>1</v>
      </c>
      <c r="AB153" s="175">
        <v>101.96</v>
      </c>
      <c r="AD153" s="151">
        <v>21.478000000000002</v>
      </c>
      <c r="AG153" s="2" t="s">
        <v>36</v>
      </c>
      <c r="AH153" s="164">
        <v>4.3999999999999999E-5</v>
      </c>
      <c r="AI153" s="164">
        <v>8.5167784855545107E-3</v>
      </c>
      <c r="AJ153" s="164">
        <v>6.3460479020483796E-4</v>
      </c>
    </row>
    <row r="154" spans="1:36">
      <c r="A154" s="2">
        <v>12904</v>
      </c>
      <c r="B154" s="2">
        <v>12905</v>
      </c>
      <c r="C154" s="2" t="s">
        <v>2401</v>
      </c>
      <c r="D154" s="2" t="s">
        <v>2402</v>
      </c>
      <c r="E154" s="4" t="s">
        <v>1342</v>
      </c>
      <c r="F154" s="2" t="s">
        <v>2403</v>
      </c>
      <c r="G154" s="2" t="s">
        <v>2404</v>
      </c>
      <c r="H154" s="2" t="s">
        <v>356</v>
      </c>
      <c r="I154" s="2" t="s">
        <v>208</v>
      </c>
      <c r="J154" s="2" t="s">
        <v>30</v>
      </c>
      <c r="K154" s="2" t="s">
        <v>30</v>
      </c>
      <c r="L154" s="2" t="s">
        <v>362</v>
      </c>
      <c r="M154" s="2" t="s">
        <v>31</v>
      </c>
      <c r="N154" s="2" t="s">
        <v>511</v>
      </c>
      <c r="O154" s="2" t="s">
        <v>155</v>
      </c>
      <c r="P154" s="2" t="s">
        <v>100</v>
      </c>
      <c r="Q154" s="2" t="s">
        <v>206</v>
      </c>
      <c r="R154" s="2" t="s">
        <v>441</v>
      </c>
      <c r="S154" s="2" t="s">
        <v>34</v>
      </c>
      <c r="T154" s="151">
        <v>12.19</v>
      </c>
      <c r="U154" s="2" t="s">
        <v>2405</v>
      </c>
      <c r="V154" s="162">
        <v>2.07E-2</v>
      </c>
      <c r="W154" s="164">
        <v>3.286E-2</v>
      </c>
      <c r="X154" s="4" t="s">
        <v>447</v>
      </c>
      <c r="Y154" s="4" t="s">
        <v>155</v>
      </c>
      <c r="Z154" s="151">
        <v>37111.4</v>
      </c>
      <c r="AA154" s="158">
        <v>1</v>
      </c>
      <c r="AB154" s="175">
        <v>99.37</v>
      </c>
      <c r="AD154" s="151">
        <v>36.878</v>
      </c>
      <c r="AG154" s="2" t="s">
        <v>36</v>
      </c>
      <c r="AH154" s="164">
        <v>7.9999999999999996E-6</v>
      </c>
      <c r="AI154" s="164">
        <v>1.46232396325669E-2</v>
      </c>
      <c r="AJ154" s="164">
        <v>1.08961128141118E-3</v>
      </c>
    </row>
    <row r="155" spans="1:36">
      <c r="A155" s="2">
        <v>12904</v>
      </c>
      <c r="B155" s="2">
        <v>12905</v>
      </c>
      <c r="C155" s="2" t="s">
        <v>2406</v>
      </c>
      <c r="D155" s="2" t="s">
        <v>2407</v>
      </c>
      <c r="E155" s="4" t="s">
        <v>348</v>
      </c>
      <c r="F155" s="2" t="s">
        <v>2408</v>
      </c>
      <c r="G155" s="2" t="s">
        <v>2409</v>
      </c>
      <c r="H155" s="2" t="s">
        <v>356</v>
      </c>
      <c r="I155" s="2" t="s">
        <v>1000</v>
      </c>
      <c r="J155" s="2" t="s">
        <v>30</v>
      </c>
      <c r="K155" s="2" t="s">
        <v>30</v>
      </c>
      <c r="L155" s="2" t="s">
        <v>362</v>
      </c>
      <c r="M155" s="2" t="s">
        <v>85</v>
      </c>
      <c r="N155" s="2" t="s">
        <v>487</v>
      </c>
      <c r="O155" s="2" t="s">
        <v>155</v>
      </c>
      <c r="P155" s="2" t="s">
        <v>2192</v>
      </c>
      <c r="Q155" s="2" t="s">
        <v>206</v>
      </c>
      <c r="R155" s="2" t="s">
        <v>441</v>
      </c>
      <c r="S155" s="2" t="s">
        <v>34</v>
      </c>
      <c r="T155" s="151">
        <v>3.4260000000000002</v>
      </c>
      <c r="U155" s="2" t="s">
        <v>2410</v>
      </c>
      <c r="V155" s="162">
        <v>6.7000000000000004E-2</v>
      </c>
      <c r="W155" s="164">
        <v>6.5699999999999995E-2</v>
      </c>
      <c r="X155" s="4" t="s">
        <v>447</v>
      </c>
      <c r="Y155" s="4" t="s">
        <v>155</v>
      </c>
      <c r="Z155" s="151">
        <v>26000</v>
      </c>
      <c r="AA155" s="158">
        <v>1</v>
      </c>
      <c r="AB155" s="175">
        <v>100.86</v>
      </c>
      <c r="AD155" s="151">
        <v>26.224</v>
      </c>
      <c r="AG155" s="2" t="s">
        <v>36</v>
      </c>
      <c r="AH155" s="164">
        <v>2.9E-5</v>
      </c>
      <c r="AI155" s="164">
        <v>1.03985618845577E-2</v>
      </c>
      <c r="AJ155" s="164">
        <v>7.7482080746545503E-4</v>
      </c>
    </row>
    <row r="156" spans="1:36">
      <c r="A156" s="2">
        <v>12904</v>
      </c>
      <c r="B156" s="2">
        <v>12905</v>
      </c>
      <c r="C156" s="2" t="s">
        <v>2411</v>
      </c>
      <c r="D156" s="2" t="s">
        <v>2412</v>
      </c>
      <c r="E156" s="4" t="s">
        <v>1342</v>
      </c>
      <c r="F156" s="2" t="s">
        <v>2413</v>
      </c>
      <c r="G156" s="2" t="s">
        <v>2414</v>
      </c>
      <c r="H156" s="2" t="s">
        <v>356</v>
      </c>
      <c r="I156" s="2" t="s">
        <v>208</v>
      </c>
      <c r="J156" s="2" t="s">
        <v>30</v>
      </c>
      <c r="K156" s="2" t="s">
        <v>30</v>
      </c>
      <c r="L156" s="2" t="s">
        <v>362</v>
      </c>
      <c r="M156" s="2" t="s">
        <v>31</v>
      </c>
      <c r="N156" s="2" t="s">
        <v>474</v>
      </c>
      <c r="O156" s="2" t="s">
        <v>155</v>
      </c>
      <c r="P156" s="2" t="s">
        <v>2192</v>
      </c>
      <c r="Q156" s="2" t="s">
        <v>101</v>
      </c>
      <c r="R156" s="2" t="s">
        <v>441</v>
      </c>
      <c r="S156" s="2" t="s">
        <v>34</v>
      </c>
      <c r="T156" s="151">
        <v>2.3929999999999998</v>
      </c>
      <c r="U156" s="2" t="s">
        <v>1338</v>
      </c>
      <c r="V156" s="162">
        <v>1.4800000000000001E-2</v>
      </c>
      <c r="W156" s="164">
        <v>3.1379999999999998E-2</v>
      </c>
      <c r="X156" s="4" t="s">
        <v>447</v>
      </c>
      <c r="Y156" s="4" t="s">
        <v>155</v>
      </c>
      <c r="Z156" s="151">
        <v>17940</v>
      </c>
      <c r="AA156" s="158">
        <v>1</v>
      </c>
      <c r="AB156" s="175">
        <v>109.1</v>
      </c>
      <c r="AD156" s="151">
        <v>19.573</v>
      </c>
      <c r="AG156" s="2" t="s">
        <v>36</v>
      </c>
      <c r="AH156" s="164">
        <v>2.4000000000000001E-5</v>
      </c>
      <c r="AI156" s="164">
        <v>7.7611871912315897E-3</v>
      </c>
      <c r="AJ156" s="164">
        <v>5.7830394175284504E-4</v>
      </c>
    </row>
    <row r="157" spans="1:36">
      <c r="A157" s="2">
        <v>12904</v>
      </c>
      <c r="B157" s="2">
        <v>12905</v>
      </c>
      <c r="C157" s="2" t="s">
        <v>2411</v>
      </c>
      <c r="D157" s="2" t="s">
        <v>2412</v>
      </c>
      <c r="E157" s="4" t="s">
        <v>1342</v>
      </c>
      <c r="F157" s="2" t="s">
        <v>2415</v>
      </c>
      <c r="G157" s="2" t="s">
        <v>2416</v>
      </c>
      <c r="H157" s="2" t="s">
        <v>356</v>
      </c>
      <c r="I157" s="2" t="s">
        <v>1000</v>
      </c>
      <c r="J157" s="2" t="s">
        <v>30</v>
      </c>
      <c r="K157" s="2" t="s">
        <v>30</v>
      </c>
      <c r="L157" s="2" t="s">
        <v>362</v>
      </c>
      <c r="M157" s="2" t="s">
        <v>31</v>
      </c>
      <c r="N157" s="2" t="s">
        <v>474</v>
      </c>
      <c r="O157" s="2" t="s">
        <v>155</v>
      </c>
      <c r="P157" s="2" t="s">
        <v>2192</v>
      </c>
      <c r="Q157" s="2" t="s">
        <v>101</v>
      </c>
      <c r="R157" s="2" t="s">
        <v>441</v>
      </c>
      <c r="S157" s="2" t="s">
        <v>34</v>
      </c>
      <c r="T157" s="151">
        <v>3.1059999999999999</v>
      </c>
      <c r="U157" s="2" t="s">
        <v>2417</v>
      </c>
      <c r="V157" s="162">
        <v>6.9500000000000006E-2</v>
      </c>
      <c r="W157" s="164">
        <v>6.3530000000000003E-2</v>
      </c>
      <c r="X157" s="4" t="s">
        <v>447</v>
      </c>
      <c r="Y157" s="4" t="s">
        <v>155</v>
      </c>
      <c r="Z157" s="151">
        <v>38000</v>
      </c>
      <c r="AA157" s="158">
        <v>1</v>
      </c>
      <c r="AB157" s="175">
        <v>104.23</v>
      </c>
      <c r="AD157" s="151">
        <v>39.606999999999999</v>
      </c>
      <c r="AG157" s="2" t="s">
        <v>36</v>
      </c>
      <c r="AH157" s="164">
        <v>6.7999999999999999E-5</v>
      </c>
      <c r="AI157" s="164">
        <v>1.57057002084546E-2</v>
      </c>
      <c r="AJ157" s="164">
        <v>1.1702679132387301E-3</v>
      </c>
    </row>
    <row r="158" spans="1:36">
      <c r="A158" s="2">
        <v>12904</v>
      </c>
      <c r="B158" s="2">
        <v>12905</v>
      </c>
      <c r="C158" s="2" t="s">
        <v>2418</v>
      </c>
      <c r="D158" s="2" t="s">
        <v>2419</v>
      </c>
      <c r="E158" s="4" t="s">
        <v>349</v>
      </c>
      <c r="F158" s="2" t="s">
        <v>2420</v>
      </c>
      <c r="G158" s="2" t="s">
        <v>2421</v>
      </c>
      <c r="H158" s="2" t="s">
        <v>356</v>
      </c>
      <c r="I158" s="2" t="s">
        <v>1000</v>
      </c>
      <c r="J158" s="2" t="s">
        <v>30</v>
      </c>
      <c r="K158" s="2" t="s">
        <v>30</v>
      </c>
      <c r="L158" s="2" t="s">
        <v>362</v>
      </c>
      <c r="M158" s="2" t="s">
        <v>85</v>
      </c>
      <c r="N158" s="2" t="s">
        <v>498</v>
      </c>
      <c r="O158" s="2" t="s">
        <v>155</v>
      </c>
      <c r="P158" s="2" t="s">
        <v>2211</v>
      </c>
      <c r="Q158" s="2" t="s">
        <v>206</v>
      </c>
      <c r="R158" s="2" t="s">
        <v>441</v>
      </c>
      <c r="S158" s="2" t="s">
        <v>34</v>
      </c>
      <c r="T158" s="151">
        <v>3.927</v>
      </c>
      <c r="U158" s="2" t="s">
        <v>2422</v>
      </c>
      <c r="V158" s="162">
        <v>6.25E-2</v>
      </c>
      <c r="W158" s="164">
        <v>6.166E-2</v>
      </c>
      <c r="X158" s="4" t="s">
        <v>447</v>
      </c>
      <c r="Y158" s="4" t="s">
        <v>155</v>
      </c>
      <c r="Z158" s="151">
        <v>45066</v>
      </c>
      <c r="AA158" s="158">
        <v>1</v>
      </c>
      <c r="AB158" s="175">
        <v>103.18</v>
      </c>
      <c r="AD158" s="151">
        <v>46.499000000000002</v>
      </c>
      <c r="AG158" s="2" t="s">
        <v>36</v>
      </c>
      <c r="AH158" s="164">
        <v>8.2000000000000001E-5</v>
      </c>
      <c r="AI158" s="164">
        <v>1.8438496485912E-2</v>
      </c>
      <c r="AJ158" s="164">
        <v>1.3738948610653001E-3</v>
      </c>
    </row>
    <row r="159" spans="1:36">
      <c r="A159" s="2">
        <v>12904</v>
      </c>
      <c r="B159" s="2">
        <v>12905</v>
      </c>
      <c r="C159" s="2" t="s">
        <v>2423</v>
      </c>
      <c r="D159" s="2" t="s">
        <v>2424</v>
      </c>
      <c r="E159" s="4" t="s">
        <v>349</v>
      </c>
      <c r="F159" s="2" t="s">
        <v>2425</v>
      </c>
      <c r="G159" s="2" t="s">
        <v>2426</v>
      </c>
      <c r="H159" s="2" t="s">
        <v>356</v>
      </c>
      <c r="I159" s="2" t="s">
        <v>1000</v>
      </c>
      <c r="J159" s="2" t="s">
        <v>30</v>
      </c>
      <c r="K159" s="2" t="s">
        <v>98</v>
      </c>
      <c r="L159" s="2" t="s">
        <v>362</v>
      </c>
      <c r="M159" s="2" t="s">
        <v>31</v>
      </c>
      <c r="N159" s="2" t="s">
        <v>498</v>
      </c>
      <c r="O159" s="2" t="s">
        <v>155</v>
      </c>
      <c r="P159" s="2" t="s">
        <v>2211</v>
      </c>
      <c r="Q159" s="2" t="s">
        <v>206</v>
      </c>
      <c r="R159" s="2" t="s">
        <v>441</v>
      </c>
      <c r="S159" s="2" t="s">
        <v>34</v>
      </c>
      <c r="T159" s="151">
        <v>2.1349999999999998</v>
      </c>
      <c r="U159" s="2" t="s">
        <v>1338</v>
      </c>
      <c r="V159" s="162">
        <v>3.49E-2</v>
      </c>
      <c r="W159" s="164">
        <v>6.4509999999999998E-2</v>
      </c>
      <c r="X159" s="4" t="s">
        <v>447</v>
      </c>
      <c r="Y159" s="4" t="s">
        <v>155</v>
      </c>
      <c r="Z159" s="151">
        <v>62037</v>
      </c>
      <c r="AA159" s="158">
        <v>1</v>
      </c>
      <c r="AB159" s="175">
        <v>95.01</v>
      </c>
      <c r="AD159" s="151">
        <v>58.941000000000003</v>
      </c>
      <c r="AG159" s="2" t="s">
        <v>36</v>
      </c>
      <c r="AH159" s="164">
        <v>6.6000000000000005E-5</v>
      </c>
      <c r="AI159" s="164">
        <v>2.3372279702598201E-2</v>
      </c>
      <c r="AJ159" s="164">
        <v>1.7415224174766599E-3</v>
      </c>
    </row>
    <row r="160" spans="1:36">
      <c r="A160" s="2">
        <v>12904</v>
      </c>
      <c r="B160" s="2">
        <v>12905</v>
      </c>
      <c r="C160" s="2" t="s">
        <v>2423</v>
      </c>
      <c r="D160" s="2" t="s">
        <v>2424</v>
      </c>
      <c r="E160" s="4" t="s">
        <v>349</v>
      </c>
      <c r="F160" s="2" t="s">
        <v>2427</v>
      </c>
      <c r="G160" s="2" t="s">
        <v>2428</v>
      </c>
      <c r="H160" s="2" t="s">
        <v>356</v>
      </c>
      <c r="I160" s="2" t="s">
        <v>1000</v>
      </c>
      <c r="J160" s="2" t="s">
        <v>30</v>
      </c>
      <c r="K160" s="2" t="s">
        <v>98</v>
      </c>
      <c r="L160" s="2" t="s">
        <v>362</v>
      </c>
      <c r="M160" s="2" t="s">
        <v>85</v>
      </c>
      <c r="N160" s="2" t="s">
        <v>498</v>
      </c>
      <c r="O160" s="2" t="s">
        <v>155</v>
      </c>
      <c r="P160" s="2" t="s">
        <v>2211</v>
      </c>
      <c r="Q160" s="2" t="s">
        <v>206</v>
      </c>
      <c r="R160" s="2" t="s">
        <v>441</v>
      </c>
      <c r="S160" s="2" t="s">
        <v>34</v>
      </c>
      <c r="T160" s="151">
        <v>4.4989999999999997</v>
      </c>
      <c r="U160" s="2" t="s">
        <v>2429</v>
      </c>
      <c r="V160" s="162">
        <v>6.7400000000000002E-2</v>
      </c>
      <c r="W160" s="164">
        <v>6.7140000000000005E-2</v>
      </c>
      <c r="X160" s="4" t="s">
        <v>447</v>
      </c>
      <c r="Y160" s="4" t="s">
        <v>155</v>
      </c>
      <c r="Z160" s="151">
        <v>31000</v>
      </c>
      <c r="AA160" s="158">
        <v>1</v>
      </c>
      <c r="AB160" s="175">
        <v>100.67</v>
      </c>
      <c r="AD160" s="151">
        <v>31.207999999999998</v>
      </c>
      <c r="AG160" s="2" t="s">
        <v>36</v>
      </c>
      <c r="AH160" s="164">
        <v>1.0900000000000001E-4</v>
      </c>
      <c r="AI160" s="164">
        <v>1.23749294423615E-2</v>
      </c>
      <c r="AJ160" s="164">
        <v>9.2208450834895602E-4</v>
      </c>
    </row>
    <row r="161" spans="1:36">
      <c r="A161" s="2">
        <v>12904</v>
      </c>
      <c r="B161" s="2">
        <v>12905</v>
      </c>
      <c r="C161" s="2" t="s">
        <v>1946</v>
      </c>
      <c r="D161" s="2" t="s">
        <v>1947</v>
      </c>
      <c r="E161" s="4" t="s">
        <v>1342</v>
      </c>
      <c r="F161" s="2" t="s">
        <v>2430</v>
      </c>
      <c r="G161" s="2" t="s">
        <v>2431</v>
      </c>
      <c r="H161" s="2" t="s">
        <v>356</v>
      </c>
      <c r="I161" s="2" t="s">
        <v>1000</v>
      </c>
      <c r="J161" s="2" t="s">
        <v>30</v>
      </c>
      <c r="K161" s="2" t="s">
        <v>30</v>
      </c>
      <c r="L161" s="2" t="s">
        <v>362</v>
      </c>
      <c r="M161" s="2" t="s">
        <v>31</v>
      </c>
      <c r="N161" s="2" t="s">
        <v>518</v>
      </c>
      <c r="O161" s="2" t="s">
        <v>155</v>
      </c>
      <c r="P161" s="2" t="s">
        <v>1346</v>
      </c>
      <c r="Q161" s="2" t="s">
        <v>206</v>
      </c>
      <c r="R161" s="2" t="s">
        <v>441</v>
      </c>
      <c r="S161" s="2" t="s">
        <v>34</v>
      </c>
      <c r="T161" s="151">
        <v>2.6779999999999999</v>
      </c>
      <c r="U161" s="2" t="s">
        <v>2432</v>
      </c>
      <c r="V161" s="162">
        <v>4.7300000000000002E-2</v>
      </c>
      <c r="W161" s="164">
        <v>5.6509999999999998E-2</v>
      </c>
      <c r="X161" s="4" t="s">
        <v>447</v>
      </c>
      <c r="Y161" s="4" t="s">
        <v>155</v>
      </c>
      <c r="Z161" s="151">
        <v>15000</v>
      </c>
      <c r="AA161" s="158">
        <v>1</v>
      </c>
      <c r="AB161" s="175">
        <v>98.44</v>
      </c>
      <c r="AD161" s="151">
        <v>14.766</v>
      </c>
      <c r="AG161" s="2" t="s">
        <v>36</v>
      </c>
      <c r="AH161" s="164">
        <v>3.8000000000000002E-5</v>
      </c>
      <c r="AI161" s="164">
        <v>5.85522829769287E-3</v>
      </c>
      <c r="AJ161" s="164">
        <v>4.3628655268669798E-4</v>
      </c>
    </row>
    <row r="162" spans="1:36">
      <c r="A162" s="2">
        <v>12904</v>
      </c>
      <c r="B162" s="2">
        <v>12905</v>
      </c>
      <c r="C162" s="2" t="s">
        <v>1950</v>
      </c>
      <c r="D162" s="2" t="s">
        <v>1951</v>
      </c>
      <c r="E162" s="4" t="s">
        <v>1342</v>
      </c>
      <c r="F162" s="2" t="s">
        <v>2433</v>
      </c>
      <c r="G162" s="2" t="s">
        <v>2434</v>
      </c>
      <c r="H162" s="2" t="s">
        <v>356</v>
      </c>
      <c r="I162" s="2" t="s">
        <v>208</v>
      </c>
      <c r="J162" s="2" t="s">
        <v>30</v>
      </c>
      <c r="K162" s="2" t="s">
        <v>30</v>
      </c>
      <c r="L162" s="2" t="s">
        <v>362</v>
      </c>
      <c r="M162" s="2" t="s">
        <v>31</v>
      </c>
      <c r="N162" s="2" t="s">
        <v>497</v>
      </c>
      <c r="O162" s="2" t="s">
        <v>155</v>
      </c>
      <c r="P162" s="2" t="s">
        <v>1519</v>
      </c>
      <c r="Q162" s="2" t="s">
        <v>101</v>
      </c>
      <c r="R162" s="2" t="s">
        <v>441</v>
      </c>
      <c r="S162" s="2" t="s">
        <v>34</v>
      </c>
      <c r="T162" s="151">
        <v>2.456</v>
      </c>
      <c r="U162" s="2" t="s">
        <v>1481</v>
      </c>
      <c r="V162" s="162">
        <v>1.77E-2</v>
      </c>
      <c r="W162" s="164">
        <v>2.7099999999999999E-2</v>
      </c>
      <c r="X162" s="4" t="s">
        <v>447</v>
      </c>
      <c r="Y162" s="4" t="s">
        <v>155</v>
      </c>
      <c r="Z162" s="151">
        <v>22050.6</v>
      </c>
      <c r="AA162" s="158">
        <v>1</v>
      </c>
      <c r="AB162" s="175">
        <v>113.19</v>
      </c>
      <c r="AD162" s="151">
        <v>24.959</v>
      </c>
      <c r="AG162" s="2" t="s">
        <v>36</v>
      </c>
      <c r="AH162" s="164">
        <v>7.9999999999999996E-6</v>
      </c>
      <c r="AI162" s="164">
        <v>9.8971337659990808E-3</v>
      </c>
      <c r="AJ162" s="164">
        <v>7.3745824290886595E-4</v>
      </c>
    </row>
    <row r="163" spans="1:36">
      <c r="A163" s="2">
        <v>12904</v>
      </c>
      <c r="B163" s="2">
        <v>12905</v>
      </c>
      <c r="C163" s="2" t="s">
        <v>1950</v>
      </c>
      <c r="D163" s="2" t="s">
        <v>1951</v>
      </c>
      <c r="E163" s="4" t="s">
        <v>1342</v>
      </c>
      <c r="F163" s="2" t="s">
        <v>2435</v>
      </c>
      <c r="G163" s="2" t="s">
        <v>2436</v>
      </c>
      <c r="H163" s="2" t="s">
        <v>356</v>
      </c>
      <c r="I163" s="2" t="s">
        <v>208</v>
      </c>
      <c r="J163" s="2" t="s">
        <v>30</v>
      </c>
      <c r="K163" s="2" t="s">
        <v>30</v>
      </c>
      <c r="L163" s="2" t="s">
        <v>362</v>
      </c>
      <c r="M163" s="2" t="s">
        <v>31</v>
      </c>
      <c r="N163" s="2" t="s">
        <v>497</v>
      </c>
      <c r="O163" s="2" t="s">
        <v>155</v>
      </c>
      <c r="P163" s="2" t="s">
        <v>1519</v>
      </c>
      <c r="Q163" s="2" t="s">
        <v>206</v>
      </c>
      <c r="R163" s="2" t="s">
        <v>441</v>
      </c>
      <c r="S163" s="2" t="s">
        <v>34</v>
      </c>
      <c r="T163" s="151">
        <v>6.7329999999999997</v>
      </c>
      <c r="U163" s="2" t="s">
        <v>2437</v>
      </c>
      <c r="V163" s="162">
        <v>8.9999999999999993E-3</v>
      </c>
      <c r="W163" s="164">
        <v>3.3419999999999998E-2</v>
      </c>
      <c r="X163" s="4" t="s">
        <v>447</v>
      </c>
      <c r="Y163" s="4" t="s">
        <v>155</v>
      </c>
      <c r="Z163" s="151">
        <v>93000</v>
      </c>
      <c r="AA163" s="158">
        <v>1</v>
      </c>
      <c r="AB163" s="175">
        <v>96.33</v>
      </c>
      <c r="AD163" s="151">
        <v>89.587000000000003</v>
      </c>
      <c r="AG163" s="2" t="s">
        <v>36</v>
      </c>
      <c r="AH163" s="164">
        <v>3.4E-5</v>
      </c>
      <c r="AI163" s="164">
        <v>3.5524295813529803E-2</v>
      </c>
      <c r="AJ163" s="164">
        <v>2.6469971398407101E-3</v>
      </c>
    </row>
    <row r="164" spans="1:36">
      <c r="A164" s="2">
        <v>12904</v>
      </c>
      <c r="B164" s="2">
        <v>12905</v>
      </c>
      <c r="C164" s="2" t="s">
        <v>1950</v>
      </c>
      <c r="D164" s="2" t="s">
        <v>1951</v>
      </c>
      <c r="E164" s="4" t="s">
        <v>1342</v>
      </c>
      <c r="F164" s="2" t="s">
        <v>2438</v>
      </c>
      <c r="G164" s="2" t="s">
        <v>2439</v>
      </c>
      <c r="H164" s="2" t="s">
        <v>356</v>
      </c>
      <c r="I164" s="2" t="s">
        <v>208</v>
      </c>
      <c r="J164" s="2" t="s">
        <v>30</v>
      </c>
      <c r="K164" s="2" t="s">
        <v>30</v>
      </c>
      <c r="L164" s="2" t="s">
        <v>362</v>
      </c>
      <c r="M164" s="2" t="s">
        <v>31</v>
      </c>
      <c r="N164" s="2" t="s">
        <v>497</v>
      </c>
      <c r="O164" s="2" t="s">
        <v>155</v>
      </c>
      <c r="P164" s="2" t="s">
        <v>1519</v>
      </c>
      <c r="Q164" s="2" t="s">
        <v>206</v>
      </c>
      <c r="R164" s="2" t="s">
        <v>441</v>
      </c>
      <c r="S164" s="2" t="s">
        <v>34</v>
      </c>
      <c r="T164" s="151">
        <v>10.343</v>
      </c>
      <c r="U164" s="2" t="s">
        <v>2440</v>
      </c>
      <c r="V164" s="162">
        <v>1.6899999999999998E-2</v>
      </c>
      <c r="W164" s="164">
        <v>3.635E-2</v>
      </c>
      <c r="X164" s="4" t="s">
        <v>447</v>
      </c>
      <c r="Y164" s="4" t="s">
        <v>155</v>
      </c>
      <c r="Z164" s="151">
        <v>45215</v>
      </c>
      <c r="AA164" s="158">
        <v>1</v>
      </c>
      <c r="AB164" s="175">
        <v>93.61</v>
      </c>
      <c r="AD164" s="151">
        <v>42.326000000000001</v>
      </c>
      <c r="AG164" s="2" t="s">
        <v>36</v>
      </c>
      <c r="AH164" s="164">
        <v>1.0000000000000001E-5</v>
      </c>
      <c r="AI164" s="164">
        <v>1.6783624302871399E-2</v>
      </c>
      <c r="AJ164" s="164">
        <v>1.2505865213784601E-3</v>
      </c>
    </row>
    <row r="165" spans="1:36">
      <c r="A165" s="2">
        <v>12904</v>
      </c>
      <c r="B165" s="2">
        <v>12905</v>
      </c>
      <c r="C165" s="2" t="s">
        <v>1217</v>
      </c>
      <c r="D165" s="2" t="s">
        <v>1954</v>
      </c>
      <c r="E165" s="4" t="s">
        <v>1342</v>
      </c>
      <c r="F165" s="2" t="s">
        <v>2441</v>
      </c>
      <c r="G165" s="2" t="s">
        <v>2442</v>
      </c>
      <c r="H165" s="2" t="s">
        <v>356</v>
      </c>
      <c r="I165" s="2" t="s">
        <v>208</v>
      </c>
      <c r="J165" s="2" t="s">
        <v>30</v>
      </c>
      <c r="K165" s="2" t="s">
        <v>30</v>
      </c>
      <c r="L165" s="2" t="s">
        <v>362</v>
      </c>
      <c r="M165" s="2" t="s">
        <v>31</v>
      </c>
      <c r="N165" s="2" t="s">
        <v>481</v>
      </c>
      <c r="O165" s="2" t="s">
        <v>155</v>
      </c>
      <c r="P165" s="2" t="s">
        <v>1353</v>
      </c>
      <c r="Q165" s="2" t="s">
        <v>206</v>
      </c>
      <c r="R165" s="2" t="s">
        <v>441</v>
      </c>
      <c r="S165" s="2" t="s">
        <v>34</v>
      </c>
      <c r="T165" s="151">
        <v>4.6829999999999998</v>
      </c>
      <c r="U165" s="2" t="s">
        <v>2443</v>
      </c>
      <c r="V165" s="162">
        <v>3.7100000000000001E-2</v>
      </c>
      <c r="W165" s="164">
        <v>3.1640000000000001E-2</v>
      </c>
      <c r="X165" s="4" t="s">
        <v>447</v>
      </c>
      <c r="Y165" s="4" t="s">
        <v>155</v>
      </c>
      <c r="Z165" s="151">
        <v>50000</v>
      </c>
      <c r="AA165" s="158">
        <v>1</v>
      </c>
      <c r="AB165" s="175">
        <v>108.99</v>
      </c>
      <c r="AD165" s="151">
        <v>54.494999999999997</v>
      </c>
      <c r="AG165" s="2" t="s">
        <v>36</v>
      </c>
      <c r="AH165" s="164">
        <v>1.2999999999999999E-4</v>
      </c>
      <c r="AI165" s="164">
        <v>2.16091471002826E-2</v>
      </c>
      <c r="AJ165" s="164">
        <v>1.6101473444847399E-3</v>
      </c>
    </row>
    <row r="166" spans="1:36">
      <c r="A166" s="2">
        <v>12904</v>
      </c>
      <c r="B166" s="2">
        <v>12905</v>
      </c>
      <c r="C166" s="2" t="s">
        <v>2444</v>
      </c>
      <c r="D166" s="2" t="s">
        <v>2445</v>
      </c>
      <c r="E166" s="4" t="s">
        <v>1342</v>
      </c>
      <c r="F166" s="2" t="s">
        <v>2446</v>
      </c>
      <c r="G166" s="2" t="s">
        <v>2447</v>
      </c>
      <c r="H166" s="2" t="s">
        <v>356</v>
      </c>
      <c r="I166" s="2" t="s">
        <v>1000</v>
      </c>
      <c r="J166" s="2" t="s">
        <v>30</v>
      </c>
      <c r="K166" s="2" t="s">
        <v>30</v>
      </c>
      <c r="L166" s="2" t="s">
        <v>362</v>
      </c>
      <c r="M166" s="2" t="s">
        <v>85</v>
      </c>
      <c r="N166" s="2" t="s">
        <v>473</v>
      </c>
      <c r="O166" s="2" t="s">
        <v>155</v>
      </c>
      <c r="P166" s="2" t="s">
        <v>1353</v>
      </c>
      <c r="Q166" s="2" t="s">
        <v>206</v>
      </c>
      <c r="R166" s="2" t="s">
        <v>441</v>
      </c>
      <c r="S166" s="2" t="s">
        <v>34</v>
      </c>
      <c r="T166" s="151">
        <v>6.3849999999999998</v>
      </c>
      <c r="U166" s="2" t="s">
        <v>2448</v>
      </c>
      <c r="V166" s="162">
        <v>5.8599999999999999E-2</v>
      </c>
      <c r="W166" s="164">
        <v>5.9150000000000001E-2</v>
      </c>
      <c r="X166" s="4" t="s">
        <v>447</v>
      </c>
      <c r="Y166" s="4" t="s">
        <v>155</v>
      </c>
      <c r="Z166" s="151">
        <v>44806</v>
      </c>
      <c r="AA166" s="158">
        <v>1</v>
      </c>
      <c r="AB166" s="175">
        <v>102.78</v>
      </c>
      <c r="AD166" s="151">
        <v>46.052</v>
      </c>
      <c r="AG166" s="2" t="s">
        <v>36</v>
      </c>
      <c r="AH166" s="164">
        <v>2.2499999999999999E-4</v>
      </c>
      <c r="AI166" s="164">
        <v>1.8261050473356698E-2</v>
      </c>
      <c r="AJ166" s="164">
        <v>1.3606729497802599E-3</v>
      </c>
    </row>
    <row r="167" spans="1:36">
      <c r="A167" s="2">
        <v>12904</v>
      </c>
      <c r="B167" s="2">
        <v>12905</v>
      </c>
      <c r="C167" s="2" t="s">
        <v>2449</v>
      </c>
      <c r="D167" s="2" t="s">
        <v>2450</v>
      </c>
      <c r="E167" s="4" t="s">
        <v>1342</v>
      </c>
      <c r="F167" s="2" t="s">
        <v>2451</v>
      </c>
      <c r="G167" s="2" t="s">
        <v>2452</v>
      </c>
      <c r="H167" s="2" t="s">
        <v>356</v>
      </c>
      <c r="I167" s="2" t="s">
        <v>1000</v>
      </c>
      <c r="J167" s="2" t="s">
        <v>30</v>
      </c>
      <c r="K167" s="2" t="s">
        <v>30</v>
      </c>
      <c r="L167" s="2" t="s">
        <v>362</v>
      </c>
      <c r="M167" s="2" t="s">
        <v>31</v>
      </c>
      <c r="N167" s="2" t="s">
        <v>478</v>
      </c>
      <c r="O167" s="2" t="s">
        <v>155</v>
      </c>
      <c r="P167" s="2" t="s">
        <v>2211</v>
      </c>
      <c r="Q167" s="2" t="s">
        <v>206</v>
      </c>
      <c r="R167" s="2" t="s">
        <v>441</v>
      </c>
      <c r="S167" s="2" t="s">
        <v>34</v>
      </c>
      <c r="T167" s="151">
        <v>7.141</v>
      </c>
      <c r="U167" s="2" t="s">
        <v>2417</v>
      </c>
      <c r="V167" s="162">
        <v>4.6899999999999997E-2</v>
      </c>
      <c r="W167" s="164">
        <v>5.654E-2</v>
      </c>
      <c r="X167" s="4" t="s">
        <v>447</v>
      </c>
      <c r="Y167" s="4" t="s">
        <v>155</v>
      </c>
      <c r="Z167" s="151">
        <v>42000</v>
      </c>
      <c r="AA167" s="158">
        <v>1</v>
      </c>
      <c r="AB167" s="175">
        <v>95.86</v>
      </c>
      <c r="AD167" s="151">
        <v>40.261000000000003</v>
      </c>
      <c r="AG167" s="2" t="s">
        <v>36</v>
      </c>
      <c r="AH167" s="164">
        <v>8.3999999999999995E-5</v>
      </c>
      <c r="AI167" s="164">
        <v>1.59649544588292E-2</v>
      </c>
      <c r="AJ167" s="164">
        <v>1.18958554483474E-3</v>
      </c>
    </row>
    <row r="168" spans="1:36">
      <c r="A168" s="2">
        <v>12904</v>
      </c>
      <c r="B168" s="2">
        <v>12905</v>
      </c>
      <c r="C168" s="2" t="s">
        <v>2453</v>
      </c>
      <c r="D168" s="2" t="s">
        <v>2454</v>
      </c>
      <c r="E168" s="4" t="s">
        <v>1342</v>
      </c>
      <c r="F168" s="2" t="s">
        <v>2455</v>
      </c>
      <c r="G168" s="2" t="s">
        <v>2456</v>
      </c>
      <c r="H168" s="2" t="s">
        <v>356</v>
      </c>
      <c r="I168" s="2" t="s">
        <v>1000</v>
      </c>
      <c r="J168" s="2" t="s">
        <v>30</v>
      </c>
      <c r="K168" s="2" t="s">
        <v>30</v>
      </c>
      <c r="L168" s="2" t="s">
        <v>362</v>
      </c>
      <c r="M168" s="2" t="s">
        <v>31</v>
      </c>
      <c r="N168" s="2" t="s">
        <v>498</v>
      </c>
      <c r="O168" s="2" t="s">
        <v>155</v>
      </c>
      <c r="P168" s="2" t="s">
        <v>2181</v>
      </c>
      <c r="Q168" s="2" t="s">
        <v>101</v>
      </c>
      <c r="R168" s="2" t="s">
        <v>441</v>
      </c>
      <c r="S168" s="2" t="s">
        <v>34</v>
      </c>
      <c r="T168" s="151">
        <v>1.7050000000000001</v>
      </c>
      <c r="U168" s="2" t="s">
        <v>2457</v>
      </c>
      <c r="V168" s="162">
        <v>2.6499999999999999E-2</v>
      </c>
      <c r="W168" s="164">
        <v>5.5120000000000002E-2</v>
      </c>
      <c r="X168" s="4" t="s">
        <v>447</v>
      </c>
      <c r="Y168" s="4" t="s">
        <v>155</v>
      </c>
      <c r="Z168" s="151">
        <v>28571.43</v>
      </c>
      <c r="AA168" s="158">
        <v>1</v>
      </c>
      <c r="AB168" s="175">
        <v>94.77</v>
      </c>
      <c r="AD168" s="151">
        <v>27.077000000000002</v>
      </c>
      <c r="AG168" s="2" t="s">
        <v>36</v>
      </c>
      <c r="AH168" s="164">
        <v>5.5999999999999999E-5</v>
      </c>
      <c r="AI168" s="164">
        <v>1.0737021604019899E-2</v>
      </c>
      <c r="AJ168" s="164">
        <v>8.00040221076648E-4</v>
      </c>
    </row>
    <row r="169" spans="1:36">
      <c r="A169" s="2">
        <v>12904</v>
      </c>
      <c r="B169" s="2">
        <v>12905</v>
      </c>
      <c r="C169" s="2" t="s">
        <v>2458</v>
      </c>
      <c r="D169" s="2" t="s">
        <v>2459</v>
      </c>
      <c r="E169" s="4" t="s">
        <v>1342</v>
      </c>
      <c r="F169" s="2" t="s">
        <v>2460</v>
      </c>
      <c r="G169" s="2" t="s">
        <v>2461</v>
      </c>
      <c r="H169" s="2" t="s">
        <v>356</v>
      </c>
      <c r="I169" s="2" t="s">
        <v>1000</v>
      </c>
      <c r="J169" s="2" t="s">
        <v>30</v>
      </c>
      <c r="K169" s="2" t="s">
        <v>30</v>
      </c>
      <c r="L169" s="2" t="s">
        <v>362</v>
      </c>
      <c r="M169" s="2" t="s">
        <v>85</v>
      </c>
      <c r="N169" s="2" t="s">
        <v>480</v>
      </c>
      <c r="O169" s="2" t="s">
        <v>155</v>
      </c>
      <c r="P169" s="2" t="s">
        <v>2181</v>
      </c>
      <c r="Q169" s="2" t="s">
        <v>101</v>
      </c>
      <c r="R169" s="2" t="s">
        <v>441</v>
      </c>
      <c r="S169" s="2" t="s">
        <v>34</v>
      </c>
      <c r="T169" s="151">
        <v>3.6070000000000002</v>
      </c>
      <c r="U169" s="2" t="s">
        <v>92</v>
      </c>
      <c r="V169" s="162">
        <v>5.8200000000000002E-2</v>
      </c>
      <c r="W169" s="164">
        <v>5.8200000000000002E-2</v>
      </c>
      <c r="X169" s="4" t="s">
        <v>447</v>
      </c>
      <c r="Y169" s="4" t="s">
        <v>155</v>
      </c>
      <c r="Z169" s="151">
        <v>44000</v>
      </c>
      <c r="AA169" s="158">
        <v>1</v>
      </c>
      <c r="AB169" s="175">
        <v>100.66</v>
      </c>
      <c r="AD169" s="151">
        <v>44.29</v>
      </c>
      <c r="AG169" s="2" t="s">
        <v>36</v>
      </c>
      <c r="AH169" s="164">
        <v>2.5099999999999998E-4</v>
      </c>
      <c r="AI169" s="164">
        <v>1.7562671230945199E-2</v>
      </c>
      <c r="AJ169" s="164">
        <v>1.30863510315014E-3</v>
      </c>
    </row>
    <row r="170" spans="1:36">
      <c r="A170" s="2">
        <v>12904</v>
      </c>
      <c r="B170" s="2">
        <v>12905</v>
      </c>
      <c r="C170" s="2" t="s">
        <v>2462</v>
      </c>
      <c r="D170" s="2" t="s">
        <v>2463</v>
      </c>
      <c r="E170" s="4" t="s">
        <v>349</v>
      </c>
      <c r="F170" s="2" t="s">
        <v>2464</v>
      </c>
      <c r="G170" s="2" t="s">
        <v>2465</v>
      </c>
      <c r="H170" s="2" t="s">
        <v>356</v>
      </c>
      <c r="I170" s="2" t="s">
        <v>204</v>
      </c>
      <c r="J170" s="2" t="s">
        <v>30</v>
      </c>
      <c r="K170" s="2" t="s">
        <v>271</v>
      </c>
      <c r="L170" s="2" t="s">
        <v>362</v>
      </c>
      <c r="M170" s="2" t="s">
        <v>31</v>
      </c>
      <c r="N170" s="2" t="s">
        <v>498</v>
      </c>
      <c r="O170" s="2" t="s">
        <v>155</v>
      </c>
      <c r="P170" s="2" t="s">
        <v>1353</v>
      </c>
      <c r="Q170" s="2" t="s">
        <v>101</v>
      </c>
      <c r="R170" s="2" t="s">
        <v>441</v>
      </c>
      <c r="S170" s="2" t="s">
        <v>34</v>
      </c>
      <c r="T170" s="151">
        <v>2.91</v>
      </c>
      <c r="U170" s="2" t="s">
        <v>2466</v>
      </c>
      <c r="V170" s="162">
        <v>4.2999999999999997E-2</v>
      </c>
      <c r="W170" s="164">
        <v>0.10149</v>
      </c>
      <c r="X170" s="4" t="s">
        <v>447</v>
      </c>
      <c r="Y170" s="4" t="s">
        <v>155</v>
      </c>
      <c r="Z170" s="151">
        <v>8741.89</v>
      </c>
      <c r="AA170" s="158">
        <v>1</v>
      </c>
      <c r="AB170" s="175">
        <v>89.69</v>
      </c>
      <c r="AD170" s="151">
        <v>7.8410000000000002</v>
      </c>
      <c r="AG170" s="2" t="s">
        <v>36</v>
      </c>
      <c r="AH170" s="164">
        <v>7.9999999999999996E-6</v>
      </c>
      <c r="AI170" s="164">
        <v>3.1090687844850498E-3</v>
      </c>
      <c r="AJ170" s="164">
        <v>2.3166387937141299E-4</v>
      </c>
    </row>
    <row r="171" spans="1:36">
      <c r="A171" s="2">
        <v>12904</v>
      </c>
      <c r="B171" s="2">
        <v>12905</v>
      </c>
      <c r="C171" s="2" t="s">
        <v>2167</v>
      </c>
      <c r="D171" s="2" t="s">
        <v>2168</v>
      </c>
      <c r="E171" s="4" t="s">
        <v>1342</v>
      </c>
      <c r="F171" s="2" t="s">
        <v>2467</v>
      </c>
      <c r="G171" s="2" t="s">
        <v>2468</v>
      </c>
      <c r="H171" s="2" t="s">
        <v>356</v>
      </c>
      <c r="I171" s="2" t="s">
        <v>1000</v>
      </c>
      <c r="J171" s="2" t="s">
        <v>30</v>
      </c>
      <c r="K171" s="2" t="s">
        <v>30</v>
      </c>
      <c r="L171" s="2" t="s">
        <v>362</v>
      </c>
      <c r="M171" s="2" t="s">
        <v>85</v>
      </c>
      <c r="N171" s="2" t="s">
        <v>495</v>
      </c>
      <c r="O171" s="2" t="s">
        <v>155</v>
      </c>
      <c r="P171" s="2" t="s">
        <v>1353</v>
      </c>
      <c r="Q171" s="2" t="s">
        <v>101</v>
      </c>
      <c r="R171" s="2" t="s">
        <v>441</v>
      </c>
      <c r="S171" s="2" t="s">
        <v>34</v>
      </c>
      <c r="T171" s="151">
        <v>4.5330000000000004</v>
      </c>
      <c r="U171" s="2" t="s">
        <v>2270</v>
      </c>
      <c r="V171" s="162">
        <v>5.8500000000000003E-2</v>
      </c>
      <c r="W171" s="164">
        <v>5.7729999999999997E-2</v>
      </c>
      <c r="X171" s="4" t="s">
        <v>447</v>
      </c>
      <c r="Y171" s="4" t="s">
        <v>155</v>
      </c>
      <c r="Z171" s="151">
        <v>26000</v>
      </c>
      <c r="AA171" s="158">
        <v>1</v>
      </c>
      <c r="AB171" s="175">
        <v>101.6</v>
      </c>
      <c r="AD171" s="151">
        <v>26.416</v>
      </c>
      <c r="AG171" s="2" t="s">
        <v>36</v>
      </c>
      <c r="AH171" s="164">
        <v>1.6799999999999999E-4</v>
      </c>
      <c r="AI171" s="164">
        <v>1.04748551206728E-2</v>
      </c>
      <c r="AJ171" s="164">
        <v>7.8050559229119799E-4</v>
      </c>
    </row>
    <row r="172" spans="1:36">
      <c r="A172" s="2">
        <v>12904</v>
      </c>
      <c r="B172" s="2">
        <v>13680</v>
      </c>
      <c r="C172" s="2" t="s">
        <v>1808</v>
      </c>
      <c r="D172" s="2" t="s">
        <v>1809</v>
      </c>
      <c r="E172" s="4" t="s">
        <v>1342</v>
      </c>
      <c r="F172" s="2" t="s">
        <v>2223</v>
      </c>
      <c r="G172" s="2" t="s">
        <v>2224</v>
      </c>
      <c r="H172" s="2" t="s">
        <v>356</v>
      </c>
      <c r="I172" s="2" t="s">
        <v>1000</v>
      </c>
      <c r="J172" s="2" t="s">
        <v>30</v>
      </c>
      <c r="K172" s="2" t="s">
        <v>30</v>
      </c>
      <c r="L172" s="2" t="s">
        <v>362</v>
      </c>
      <c r="M172" s="2" t="s">
        <v>31</v>
      </c>
      <c r="N172" s="2" t="s">
        <v>484</v>
      </c>
      <c r="O172" s="2" t="s">
        <v>155</v>
      </c>
      <c r="P172" s="2" t="s">
        <v>1346</v>
      </c>
      <c r="Q172" s="2" t="s">
        <v>206</v>
      </c>
      <c r="R172" s="2" t="s">
        <v>441</v>
      </c>
      <c r="S172" s="2" t="s">
        <v>34</v>
      </c>
      <c r="T172" s="151">
        <v>3.7080000000000002</v>
      </c>
      <c r="U172" s="2" t="s">
        <v>2225</v>
      </c>
      <c r="V172" s="162">
        <v>2.07E-2</v>
      </c>
      <c r="W172" s="164">
        <v>5.9970000000000002E-2</v>
      </c>
      <c r="X172" s="4" t="s">
        <v>447</v>
      </c>
      <c r="Y172" s="4" t="s">
        <v>155</v>
      </c>
      <c r="Z172" s="151">
        <v>54634</v>
      </c>
      <c r="AA172" s="158">
        <v>1</v>
      </c>
      <c r="AB172" s="175">
        <v>83.35</v>
      </c>
      <c r="AD172" s="151">
        <v>45.536999999999999</v>
      </c>
      <c r="AG172" s="2" t="s">
        <v>36</v>
      </c>
      <c r="AH172" s="164">
        <v>1.3300000000000001E-4</v>
      </c>
      <c r="AI172" s="164">
        <v>8.4780408396395196E-2</v>
      </c>
      <c r="AJ172" s="164">
        <v>1.2414594070691001E-3</v>
      </c>
    </row>
    <row r="173" spans="1:36">
      <c r="A173" s="2">
        <v>12904</v>
      </c>
      <c r="B173" s="2">
        <v>13680</v>
      </c>
      <c r="C173" s="2" t="s">
        <v>2226</v>
      </c>
      <c r="D173" s="2" t="s">
        <v>2227</v>
      </c>
      <c r="E173" s="4" t="s">
        <v>1342</v>
      </c>
      <c r="F173" s="2" t="s">
        <v>2234</v>
      </c>
      <c r="G173" s="2" t="s">
        <v>2235</v>
      </c>
      <c r="H173" s="2" t="s">
        <v>356</v>
      </c>
      <c r="I173" s="2" t="s">
        <v>208</v>
      </c>
      <c r="J173" s="2" t="s">
        <v>30</v>
      </c>
      <c r="K173" s="2" t="s">
        <v>30</v>
      </c>
      <c r="L173" s="2" t="s">
        <v>362</v>
      </c>
      <c r="M173" s="2" t="s">
        <v>85</v>
      </c>
      <c r="N173" s="2" t="s">
        <v>498</v>
      </c>
      <c r="O173" s="2" t="s">
        <v>155</v>
      </c>
      <c r="P173" s="2" t="s">
        <v>1346</v>
      </c>
      <c r="Q173" s="2" t="s">
        <v>206</v>
      </c>
      <c r="R173" s="2" t="s">
        <v>441</v>
      </c>
      <c r="S173" s="2" t="s">
        <v>34</v>
      </c>
      <c r="T173" s="151">
        <v>7.1020000000000003</v>
      </c>
      <c r="U173" s="2" t="s">
        <v>2236</v>
      </c>
      <c r="V173" s="162">
        <v>4.02E-2</v>
      </c>
      <c r="W173" s="164">
        <v>3.9660000000000001E-2</v>
      </c>
      <c r="X173" s="4" t="s">
        <v>447</v>
      </c>
      <c r="Y173" s="4" t="s">
        <v>155</v>
      </c>
      <c r="Z173" s="151">
        <v>30000</v>
      </c>
      <c r="AA173" s="158">
        <v>1</v>
      </c>
      <c r="AB173" s="175">
        <v>101.8</v>
      </c>
      <c r="AD173" s="151">
        <v>30.54</v>
      </c>
      <c r="AG173" s="2" t="s">
        <v>36</v>
      </c>
      <c r="AH173" s="164">
        <v>8.6000000000000003E-5</v>
      </c>
      <c r="AI173" s="164">
        <v>5.6858570206943598E-2</v>
      </c>
      <c r="AJ173" s="164">
        <v>8.3259338084186896E-4</v>
      </c>
    </row>
    <row r="174" spans="1:36">
      <c r="A174" s="2">
        <v>12904</v>
      </c>
      <c r="B174" s="2">
        <v>13680</v>
      </c>
      <c r="C174" s="2" t="s">
        <v>2316</v>
      </c>
      <c r="D174" s="2" t="s">
        <v>2317</v>
      </c>
      <c r="E174" s="4" t="s">
        <v>1342</v>
      </c>
      <c r="F174" s="2" t="s">
        <v>2321</v>
      </c>
      <c r="G174" s="2" t="s">
        <v>2322</v>
      </c>
      <c r="H174" s="2" t="s">
        <v>356</v>
      </c>
      <c r="I174" s="2" t="s">
        <v>1000</v>
      </c>
      <c r="J174" s="2" t="s">
        <v>30</v>
      </c>
      <c r="K174" s="2" t="s">
        <v>30</v>
      </c>
      <c r="L174" s="2" t="s">
        <v>362</v>
      </c>
      <c r="M174" s="2" t="s">
        <v>85</v>
      </c>
      <c r="N174" s="2" t="s">
        <v>478</v>
      </c>
      <c r="O174" s="2" t="s">
        <v>155</v>
      </c>
      <c r="P174" s="2" t="s">
        <v>1353</v>
      </c>
      <c r="Q174" s="2" t="s">
        <v>206</v>
      </c>
      <c r="R174" s="2" t="s">
        <v>441</v>
      </c>
      <c r="S174" s="2" t="s">
        <v>34</v>
      </c>
      <c r="T174" s="151">
        <v>8.6649999999999991</v>
      </c>
      <c r="U174" s="2" t="s">
        <v>2323</v>
      </c>
      <c r="V174" s="162">
        <v>6.0199999999999997E-2</v>
      </c>
      <c r="W174" s="164">
        <v>5.9959999999999999E-2</v>
      </c>
      <c r="X174" s="4" t="s">
        <v>447</v>
      </c>
      <c r="Y174" s="4" t="s">
        <v>155</v>
      </c>
      <c r="Z174" s="151">
        <v>31857</v>
      </c>
      <c r="AA174" s="158">
        <v>1</v>
      </c>
      <c r="AB174" s="175">
        <v>102.28</v>
      </c>
      <c r="AD174" s="151">
        <v>32.582999999999998</v>
      </c>
      <c r="AG174" s="2" t="s">
        <v>36</v>
      </c>
      <c r="AH174" s="164">
        <v>6.3999999999999997E-5</v>
      </c>
      <c r="AI174" s="164">
        <v>6.0662806228660299E-2</v>
      </c>
      <c r="AJ174" s="164">
        <v>8.8829970126662599E-4</v>
      </c>
    </row>
    <row r="175" spans="1:36">
      <c r="A175" s="2">
        <v>12904</v>
      </c>
      <c r="B175" s="2">
        <v>13680</v>
      </c>
      <c r="C175" s="2" t="s">
        <v>2327</v>
      </c>
      <c r="D175" s="2" t="s">
        <v>2328</v>
      </c>
      <c r="E175" s="4" t="s">
        <v>1342</v>
      </c>
      <c r="F175" s="2" t="s">
        <v>2329</v>
      </c>
      <c r="G175" s="2" t="s">
        <v>2330</v>
      </c>
      <c r="H175" s="2" t="s">
        <v>356</v>
      </c>
      <c r="I175" s="2" t="s">
        <v>208</v>
      </c>
      <c r="J175" s="2" t="s">
        <v>30</v>
      </c>
      <c r="K175" s="2" t="s">
        <v>30</v>
      </c>
      <c r="L175" s="2" t="s">
        <v>362</v>
      </c>
      <c r="M175" s="2" t="s">
        <v>31</v>
      </c>
      <c r="N175" s="2" t="s">
        <v>473</v>
      </c>
      <c r="O175" s="2" t="s">
        <v>155</v>
      </c>
      <c r="P175" s="2" t="s">
        <v>1519</v>
      </c>
      <c r="Q175" s="2" t="s">
        <v>206</v>
      </c>
      <c r="R175" s="2" t="s">
        <v>441</v>
      </c>
      <c r="S175" s="2" t="s">
        <v>34</v>
      </c>
      <c r="T175" s="151">
        <v>7.5629999999999997</v>
      </c>
      <c r="U175" s="2" t="s">
        <v>2331</v>
      </c>
      <c r="V175" s="162">
        <v>0.03</v>
      </c>
      <c r="W175" s="164">
        <v>3.2599999999999997E-2</v>
      </c>
      <c r="X175" s="4" t="s">
        <v>447</v>
      </c>
      <c r="Y175" s="4" t="s">
        <v>155</v>
      </c>
      <c r="Z175" s="151">
        <v>48000</v>
      </c>
      <c r="AA175" s="158">
        <v>1</v>
      </c>
      <c r="AB175" s="175">
        <v>103.71</v>
      </c>
      <c r="AD175" s="151">
        <v>49.780999999999999</v>
      </c>
      <c r="AG175" s="2" t="s">
        <v>36</v>
      </c>
      <c r="AH175" s="164">
        <v>1.2E-5</v>
      </c>
      <c r="AI175" s="164">
        <v>9.2680586501565701E-2</v>
      </c>
      <c r="AJ175" s="164">
        <v>1.35714356820606E-3</v>
      </c>
    </row>
    <row r="176" spans="1:36">
      <c r="A176" s="2">
        <v>12904</v>
      </c>
      <c r="B176" s="2">
        <v>13680</v>
      </c>
      <c r="C176" s="2" t="s">
        <v>2327</v>
      </c>
      <c r="D176" s="2" t="s">
        <v>2328</v>
      </c>
      <c r="E176" s="4" t="s">
        <v>1342</v>
      </c>
      <c r="F176" s="2" t="s">
        <v>2332</v>
      </c>
      <c r="G176" s="2" t="s">
        <v>2333</v>
      </c>
      <c r="H176" s="2" t="s">
        <v>356</v>
      </c>
      <c r="I176" s="2" t="s">
        <v>208</v>
      </c>
      <c r="J176" s="2" t="s">
        <v>30</v>
      </c>
      <c r="K176" s="2" t="s">
        <v>30</v>
      </c>
      <c r="L176" s="2" t="s">
        <v>362</v>
      </c>
      <c r="M176" s="2" t="s">
        <v>31</v>
      </c>
      <c r="N176" s="2" t="s">
        <v>473</v>
      </c>
      <c r="O176" s="2" t="s">
        <v>155</v>
      </c>
      <c r="P176" s="2" t="s">
        <v>1519</v>
      </c>
      <c r="Q176" s="2" t="s">
        <v>101</v>
      </c>
      <c r="R176" s="2" t="s">
        <v>441</v>
      </c>
      <c r="S176" s="2" t="s">
        <v>34</v>
      </c>
      <c r="T176" s="151">
        <v>10.287000000000001</v>
      </c>
      <c r="U176" s="2" t="s">
        <v>2334</v>
      </c>
      <c r="V176" s="162">
        <v>3.2000000000000001E-2</v>
      </c>
      <c r="W176" s="164">
        <v>3.4759999999999999E-2</v>
      </c>
      <c r="X176" s="4" t="s">
        <v>447</v>
      </c>
      <c r="Y176" s="4" t="s">
        <v>155</v>
      </c>
      <c r="Z176" s="151">
        <v>48000</v>
      </c>
      <c r="AA176" s="158">
        <v>1</v>
      </c>
      <c r="AB176" s="175">
        <v>102.97</v>
      </c>
      <c r="AD176" s="151">
        <v>49.426000000000002</v>
      </c>
      <c r="AG176" s="2" t="s">
        <v>36</v>
      </c>
      <c r="AH176" s="164">
        <v>1.0000000000000001E-5</v>
      </c>
      <c r="AI176" s="164">
        <v>9.20192844669388E-2</v>
      </c>
      <c r="AJ176" s="164">
        <v>1.34745996739155E-3</v>
      </c>
    </row>
    <row r="177" spans="1:36">
      <c r="A177" s="2">
        <v>12904</v>
      </c>
      <c r="B177" s="2">
        <v>13680</v>
      </c>
      <c r="C177" s="2" t="s">
        <v>2406</v>
      </c>
      <c r="D177" s="2" t="s">
        <v>2407</v>
      </c>
      <c r="E177" s="4" t="s">
        <v>348</v>
      </c>
      <c r="F177" s="2" t="s">
        <v>2408</v>
      </c>
      <c r="G177" s="2" t="s">
        <v>2409</v>
      </c>
      <c r="H177" s="2" t="s">
        <v>356</v>
      </c>
      <c r="I177" s="2" t="s">
        <v>1000</v>
      </c>
      <c r="J177" s="2" t="s">
        <v>30</v>
      </c>
      <c r="K177" s="2" t="s">
        <v>30</v>
      </c>
      <c r="L177" s="2" t="s">
        <v>362</v>
      </c>
      <c r="M177" s="2" t="s">
        <v>85</v>
      </c>
      <c r="N177" s="2" t="s">
        <v>487</v>
      </c>
      <c r="O177" s="2" t="s">
        <v>155</v>
      </c>
      <c r="P177" s="2" t="s">
        <v>2192</v>
      </c>
      <c r="Q177" s="2" t="s">
        <v>206</v>
      </c>
      <c r="R177" s="2" t="s">
        <v>441</v>
      </c>
      <c r="S177" s="2" t="s">
        <v>34</v>
      </c>
      <c r="T177" s="151">
        <v>3.4260000000000002</v>
      </c>
      <c r="U177" s="2" t="s">
        <v>2410</v>
      </c>
      <c r="V177" s="162">
        <v>6.7000000000000004E-2</v>
      </c>
      <c r="W177" s="164">
        <v>6.5699999999999995E-2</v>
      </c>
      <c r="X177" s="4" t="s">
        <v>447</v>
      </c>
      <c r="Y177" s="4" t="s">
        <v>155</v>
      </c>
      <c r="Z177" s="151">
        <v>25000</v>
      </c>
      <c r="AA177" s="158">
        <v>1</v>
      </c>
      <c r="AB177" s="175">
        <v>100.86</v>
      </c>
      <c r="AD177" s="151">
        <v>25.215</v>
      </c>
      <c r="AG177" s="2" t="s">
        <v>36</v>
      </c>
      <c r="AH177" s="164">
        <v>2.6999999999999999E-5</v>
      </c>
      <c r="AI177" s="164">
        <v>4.69446250087781E-2</v>
      </c>
      <c r="AJ177" s="164">
        <v>6.8742115579331197E-4</v>
      </c>
    </row>
    <row r="178" spans="1:36">
      <c r="A178" s="2">
        <v>12904</v>
      </c>
      <c r="B178" s="2">
        <v>13680</v>
      </c>
      <c r="C178" s="2" t="s">
        <v>2418</v>
      </c>
      <c r="D178" s="2" t="s">
        <v>2419</v>
      </c>
      <c r="E178" s="4" t="s">
        <v>349</v>
      </c>
      <c r="F178" s="2" t="s">
        <v>2420</v>
      </c>
      <c r="G178" s="2" t="s">
        <v>2421</v>
      </c>
      <c r="H178" s="2" t="s">
        <v>356</v>
      </c>
      <c r="I178" s="2" t="s">
        <v>1000</v>
      </c>
      <c r="J178" s="2" t="s">
        <v>30</v>
      </c>
      <c r="K178" s="2" t="s">
        <v>30</v>
      </c>
      <c r="L178" s="2" t="s">
        <v>362</v>
      </c>
      <c r="M178" s="2" t="s">
        <v>85</v>
      </c>
      <c r="N178" s="2" t="s">
        <v>498</v>
      </c>
      <c r="O178" s="2" t="s">
        <v>155</v>
      </c>
      <c r="P178" s="2" t="s">
        <v>2211</v>
      </c>
      <c r="Q178" s="2" t="s">
        <v>206</v>
      </c>
      <c r="R178" s="2" t="s">
        <v>441</v>
      </c>
      <c r="S178" s="2" t="s">
        <v>34</v>
      </c>
      <c r="T178" s="151">
        <v>3.927</v>
      </c>
      <c r="U178" s="2" t="s">
        <v>2422</v>
      </c>
      <c r="V178" s="162">
        <v>6.25E-2</v>
      </c>
      <c r="W178" s="164">
        <v>6.166E-2</v>
      </c>
      <c r="X178" s="4" t="s">
        <v>447</v>
      </c>
      <c r="Y178" s="4" t="s">
        <v>155</v>
      </c>
      <c r="Z178" s="151">
        <v>45528</v>
      </c>
      <c r="AA178" s="158">
        <v>1</v>
      </c>
      <c r="AB178" s="175">
        <v>103.18</v>
      </c>
      <c r="AD178" s="151">
        <v>46.975999999999999</v>
      </c>
      <c r="AG178" s="2" t="s">
        <v>36</v>
      </c>
      <c r="AH178" s="164">
        <v>8.2999999999999998E-5</v>
      </c>
      <c r="AI178" s="164">
        <v>8.7458293270630899E-2</v>
      </c>
      <c r="AJ178" s="164">
        <v>1.2806723034333701E-3</v>
      </c>
    </row>
    <row r="179" spans="1:36">
      <c r="A179" s="2">
        <v>12904</v>
      </c>
      <c r="B179" s="2">
        <v>13680</v>
      </c>
      <c r="C179" s="2" t="s">
        <v>2423</v>
      </c>
      <c r="D179" s="2" t="s">
        <v>2424</v>
      </c>
      <c r="E179" s="4" t="s">
        <v>349</v>
      </c>
      <c r="F179" s="2" t="s">
        <v>2425</v>
      </c>
      <c r="G179" s="2" t="s">
        <v>2426</v>
      </c>
      <c r="H179" s="2" t="s">
        <v>356</v>
      </c>
      <c r="I179" s="2" t="s">
        <v>1000</v>
      </c>
      <c r="J179" s="2" t="s">
        <v>30</v>
      </c>
      <c r="K179" s="2" t="s">
        <v>98</v>
      </c>
      <c r="L179" s="2" t="s">
        <v>362</v>
      </c>
      <c r="M179" s="2" t="s">
        <v>31</v>
      </c>
      <c r="N179" s="2" t="s">
        <v>498</v>
      </c>
      <c r="O179" s="2" t="s">
        <v>155</v>
      </c>
      <c r="P179" s="2" t="s">
        <v>2211</v>
      </c>
      <c r="Q179" s="2" t="s">
        <v>206</v>
      </c>
      <c r="R179" s="2" t="s">
        <v>441</v>
      </c>
      <c r="S179" s="2" t="s">
        <v>34</v>
      </c>
      <c r="T179" s="151">
        <v>2.1349999999999998</v>
      </c>
      <c r="U179" s="2" t="s">
        <v>1338</v>
      </c>
      <c r="V179" s="162">
        <v>3.49E-2</v>
      </c>
      <c r="W179" s="164">
        <v>6.4509999999999998E-2</v>
      </c>
      <c r="X179" s="4" t="s">
        <v>447</v>
      </c>
      <c r="Y179" s="4" t="s">
        <v>155</v>
      </c>
      <c r="Z179" s="151">
        <v>64198</v>
      </c>
      <c r="AA179" s="158">
        <v>1</v>
      </c>
      <c r="AB179" s="175">
        <v>95.01</v>
      </c>
      <c r="AD179" s="151">
        <v>60.994999999999997</v>
      </c>
      <c r="AG179" s="2" t="s">
        <v>36</v>
      </c>
      <c r="AH179" s="164">
        <v>6.7999999999999999E-5</v>
      </c>
      <c r="AI179" s="164">
        <v>0.113557995621713</v>
      </c>
      <c r="AJ179" s="164">
        <v>1.66285636716137E-3</v>
      </c>
    </row>
    <row r="180" spans="1:36">
      <c r="A180" s="2">
        <v>12904</v>
      </c>
      <c r="B180" s="2">
        <v>13680</v>
      </c>
      <c r="C180" s="2" t="s">
        <v>2423</v>
      </c>
      <c r="D180" s="2" t="s">
        <v>2424</v>
      </c>
      <c r="E180" s="4" t="s">
        <v>349</v>
      </c>
      <c r="F180" s="2" t="s">
        <v>2427</v>
      </c>
      <c r="G180" s="2" t="s">
        <v>2428</v>
      </c>
      <c r="H180" s="2" t="s">
        <v>356</v>
      </c>
      <c r="I180" s="2" t="s">
        <v>1000</v>
      </c>
      <c r="J180" s="2" t="s">
        <v>30</v>
      </c>
      <c r="K180" s="2" t="s">
        <v>98</v>
      </c>
      <c r="L180" s="2" t="s">
        <v>362</v>
      </c>
      <c r="M180" s="2" t="s">
        <v>85</v>
      </c>
      <c r="N180" s="2" t="s">
        <v>498</v>
      </c>
      <c r="O180" s="2" t="s">
        <v>155</v>
      </c>
      <c r="P180" s="2" t="s">
        <v>2211</v>
      </c>
      <c r="Q180" s="2" t="s">
        <v>206</v>
      </c>
      <c r="R180" s="2" t="s">
        <v>441</v>
      </c>
      <c r="S180" s="2" t="s">
        <v>34</v>
      </c>
      <c r="T180" s="151">
        <v>4.4989999999999997</v>
      </c>
      <c r="U180" s="2" t="s">
        <v>2429</v>
      </c>
      <c r="V180" s="162">
        <v>6.7400000000000002E-2</v>
      </c>
      <c r="W180" s="164">
        <v>6.7140000000000005E-2</v>
      </c>
      <c r="X180" s="4" t="s">
        <v>447</v>
      </c>
      <c r="Y180" s="4" t="s">
        <v>155</v>
      </c>
      <c r="Z180" s="151">
        <v>33000</v>
      </c>
      <c r="AA180" s="158">
        <v>1</v>
      </c>
      <c r="AB180" s="175">
        <v>100.67</v>
      </c>
      <c r="AD180" s="151">
        <v>33.220999999999997</v>
      </c>
      <c r="AG180" s="2" t="s">
        <v>36</v>
      </c>
      <c r="AH180" s="164">
        <v>1.16E-4</v>
      </c>
      <c r="AI180" s="164">
        <v>6.1850171797704398E-2</v>
      </c>
      <c r="AJ180" s="164">
        <v>9.0568657381420498E-4</v>
      </c>
    </row>
    <row r="181" spans="1:36">
      <c r="A181" s="2">
        <v>12904</v>
      </c>
      <c r="B181" s="2">
        <v>13680</v>
      </c>
      <c r="C181" s="2" t="s">
        <v>1950</v>
      </c>
      <c r="D181" s="2" t="s">
        <v>1951</v>
      </c>
      <c r="E181" s="4" t="s">
        <v>1342</v>
      </c>
      <c r="F181" s="2" t="s">
        <v>2435</v>
      </c>
      <c r="G181" s="2" t="s">
        <v>2436</v>
      </c>
      <c r="H181" s="2" t="s">
        <v>356</v>
      </c>
      <c r="I181" s="2" t="s">
        <v>208</v>
      </c>
      <c r="J181" s="2" t="s">
        <v>30</v>
      </c>
      <c r="K181" s="2" t="s">
        <v>30</v>
      </c>
      <c r="L181" s="2" t="s">
        <v>362</v>
      </c>
      <c r="M181" s="2" t="s">
        <v>31</v>
      </c>
      <c r="N181" s="2" t="s">
        <v>497</v>
      </c>
      <c r="O181" s="2" t="s">
        <v>155</v>
      </c>
      <c r="P181" s="2" t="s">
        <v>1519</v>
      </c>
      <c r="Q181" s="2" t="s">
        <v>206</v>
      </c>
      <c r="R181" s="2" t="s">
        <v>441</v>
      </c>
      <c r="S181" s="2" t="s">
        <v>34</v>
      </c>
      <c r="T181" s="151">
        <v>6.7329999999999997</v>
      </c>
      <c r="U181" s="2" t="s">
        <v>2437</v>
      </c>
      <c r="V181" s="162">
        <v>8.9999999999999993E-3</v>
      </c>
      <c r="W181" s="164">
        <v>3.3419999999999998E-2</v>
      </c>
      <c r="X181" s="4" t="s">
        <v>447</v>
      </c>
      <c r="Y181" s="4" t="s">
        <v>155</v>
      </c>
      <c r="Z181" s="151">
        <v>62000</v>
      </c>
      <c r="AA181" s="158">
        <v>1</v>
      </c>
      <c r="AB181" s="175">
        <v>96.33</v>
      </c>
      <c r="AD181" s="151">
        <v>59.725000000000001</v>
      </c>
      <c r="AG181" s="2" t="s">
        <v>36</v>
      </c>
      <c r="AH181" s="164">
        <v>2.3E-5</v>
      </c>
      <c r="AI181" s="164">
        <v>0.111193692278377</v>
      </c>
      <c r="AJ181" s="164">
        <v>1.6282353187108199E-3</v>
      </c>
    </row>
    <row r="182" spans="1:36">
      <c r="A182" s="2">
        <v>12904</v>
      </c>
      <c r="B182" s="2">
        <v>13680</v>
      </c>
      <c r="C182" s="2" t="s">
        <v>2444</v>
      </c>
      <c r="D182" s="2" t="s">
        <v>2445</v>
      </c>
      <c r="E182" s="4" t="s">
        <v>1342</v>
      </c>
      <c r="F182" s="2" t="s">
        <v>2446</v>
      </c>
      <c r="G182" s="2" t="s">
        <v>2447</v>
      </c>
      <c r="H182" s="2" t="s">
        <v>356</v>
      </c>
      <c r="I182" s="2" t="s">
        <v>1000</v>
      </c>
      <c r="J182" s="2" t="s">
        <v>30</v>
      </c>
      <c r="K182" s="2" t="s">
        <v>30</v>
      </c>
      <c r="L182" s="2" t="s">
        <v>362</v>
      </c>
      <c r="M182" s="2" t="s">
        <v>85</v>
      </c>
      <c r="N182" s="2" t="s">
        <v>473</v>
      </c>
      <c r="O182" s="2" t="s">
        <v>155</v>
      </c>
      <c r="P182" s="2" t="s">
        <v>1353</v>
      </c>
      <c r="Q182" s="2" t="s">
        <v>206</v>
      </c>
      <c r="R182" s="2" t="s">
        <v>441</v>
      </c>
      <c r="S182" s="2" t="s">
        <v>34</v>
      </c>
      <c r="T182" s="151">
        <v>6.3849999999999998</v>
      </c>
      <c r="U182" s="2" t="s">
        <v>2448</v>
      </c>
      <c r="V182" s="162">
        <v>5.8599999999999999E-2</v>
      </c>
      <c r="W182" s="164">
        <v>5.9150000000000001E-2</v>
      </c>
      <c r="X182" s="4" t="s">
        <v>447</v>
      </c>
      <c r="Y182" s="4" t="s">
        <v>155</v>
      </c>
      <c r="Z182" s="151">
        <v>45252</v>
      </c>
      <c r="AA182" s="158">
        <v>1</v>
      </c>
      <c r="AB182" s="175">
        <v>102.78</v>
      </c>
      <c r="AD182" s="151">
        <v>46.51</v>
      </c>
      <c r="AG182" s="2" t="s">
        <v>36</v>
      </c>
      <c r="AH182" s="164">
        <v>2.2699999999999999E-4</v>
      </c>
      <c r="AI182" s="164">
        <v>8.6591107358642394E-2</v>
      </c>
      <c r="AJ182" s="164">
        <v>1.2679738967085201E-3</v>
      </c>
    </row>
    <row r="183" spans="1:36">
      <c r="A183" s="2">
        <v>12904</v>
      </c>
      <c r="B183" s="2">
        <v>13680</v>
      </c>
      <c r="C183" s="2" t="s">
        <v>2458</v>
      </c>
      <c r="D183" s="2" t="s">
        <v>2459</v>
      </c>
      <c r="E183" s="4" t="s">
        <v>1342</v>
      </c>
      <c r="F183" s="2" t="s">
        <v>2460</v>
      </c>
      <c r="G183" s="2" t="s">
        <v>2461</v>
      </c>
      <c r="H183" s="2" t="s">
        <v>356</v>
      </c>
      <c r="I183" s="2" t="s">
        <v>1000</v>
      </c>
      <c r="J183" s="2" t="s">
        <v>30</v>
      </c>
      <c r="K183" s="2" t="s">
        <v>30</v>
      </c>
      <c r="L183" s="2" t="s">
        <v>362</v>
      </c>
      <c r="M183" s="2" t="s">
        <v>85</v>
      </c>
      <c r="N183" s="2" t="s">
        <v>480</v>
      </c>
      <c r="O183" s="2" t="s">
        <v>155</v>
      </c>
      <c r="P183" s="2" t="s">
        <v>2181</v>
      </c>
      <c r="Q183" s="2" t="s">
        <v>101</v>
      </c>
      <c r="R183" s="2" t="s">
        <v>441</v>
      </c>
      <c r="S183" s="2" t="s">
        <v>34</v>
      </c>
      <c r="T183" s="151">
        <v>3.6070000000000002</v>
      </c>
      <c r="U183" s="2" t="s">
        <v>92</v>
      </c>
      <c r="V183" s="162">
        <v>5.8200000000000002E-2</v>
      </c>
      <c r="W183" s="164">
        <v>5.8200000000000002E-2</v>
      </c>
      <c r="X183" s="4" t="s">
        <v>447</v>
      </c>
      <c r="Y183" s="4" t="s">
        <v>155</v>
      </c>
      <c r="Z183" s="151">
        <v>30000</v>
      </c>
      <c r="AA183" s="158">
        <v>1</v>
      </c>
      <c r="AB183" s="175">
        <v>100.66</v>
      </c>
      <c r="AD183" s="151">
        <v>30.198</v>
      </c>
      <c r="AG183" s="2" t="s">
        <v>36</v>
      </c>
      <c r="AH183" s="164">
        <v>1.7100000000000001E-4</v>
      </c>
      <c r="AI183" s="164">
        <v>5.6221843585765603E-2</v>
      </c>
      <c r="AJ183" s="164">
        <v>8.2326964357114501E-4</v>
      </c>
    </row>
    <row r="184" spans="1:36">
      <c r="A184" s="2">
        <v>12904</v>
      </c>
      <c r="B184" s="2">
        <v>13680</v>
      </c>
      <c r="C184" s="2" t="s">
        <v>2167</v>
      </c>
      <c r="D184" s="2" t="s">
        <v>2168</v>
      </c>
      <c r="E184" s="4" t="s">
        <v>1342</v>
      </c>
      <c r="F184" s="2" t="s">
        <v>2467</v>
      </c>
      <c r="G184" s="2" t="s">
        <v>2468</v>
      </c>
      <c r="H184" s="2" t="s">
        <v>356</v>
      </c>
      <c r="I184" s="2" t="s">
        <v>1000</v>
      </c>
      <c r="J184" s="2" t="s">
        <v>30</v>
      </c>
      <c r="K184" s="2" t="s">
        <v>30</v>
      </c>
      <c r="L184" s="2" t="s">
        <v>362</v>
      </c>
      <c r="M184" s="2" t="s">
        <v>85</v>
      </c>
      <c r="N184" s="2" t="s">
        <v>495</v>
      </c>
      <c r="O184" s="2" t="s">
        <v>155</v>
      </c>
      <c r="P184" s="2" t="s">
        <v>1353</v>
      </c>
      <c r="Q184" s="2" t="s">
        <v>101</v>
      </c>
      <c r="R184" s="2" t="s">
        <v>441</v>
      </c>
      <c r="S184" s="2" t="s">
        <v>34</v>
      </c>
      <c r="T184" s="151">
        <v>4.5330000000000004</v>
      </c>
      <c r="U184" s="2" t="s">
        <v>2270</v>
      </c>
      <c r="V184" s="162">
        <v>5.8500000000000003E-2</v>
      </c>
      <c r="W184" s="164">
        <v>5.7729999999999997E-2</v>
      </c>
      <c r="X184" s="4" t="s">
        <v>447</v>
      </c>
      <c r="Y184" s="4" t="s">
        <v>155</v>
      </c>
      <c r="Z184" s="151">
        <v>26000</v>
      </c>
      <c r="AA184" s="158">
        <v>1</v>
      </c>
      <c r="AB184" s="175">
        <v>101.6</v>
      </c>
      <c r="AD184" s="151">
        <v>26.416</v>
      </c>
      <c r="AG184" s="2" t="s">
        <v>36</v>
      </c>
      <c r="AH184" s="164">
        <v>1.6799999999999999E-4</v>
      </c>
      <c r="AI184" s="164">
        <v>4.9180615277885503E-2</v>
      </c>
      <c r="AJ184" s="164">
        <v>7.2016328579956805E-4</v>
      </c>
    </row>
    <row r="185" spans="1:36">
      <c r="A185" s="2">
        <v>424</v>
      </c>
      <c r="B185" s="2">
        <v>7228</v>
      </c>
      <c r="C185" s="2" t="s">
        <v>2183</v>
      </c>
      <c r="D185" s="2" t="s">
        <v>2184</v>
      </c>
      <c r="E185" s="4" t="s">
        <v>1342</v>
      </c>
      <c r="F185" s="2" t="s">
        <v>2185</v>
      </c>
      <c r="G185" s="2" t="s">
        <v>2186</v>
      </c>
      <c r="H185" s="2" t="s">
        <v>356</v>
      </c>
      <c r="I185" s="2" t="s">
        <v>208</v>
      </c>
      <c r="J185" s="2" t="s">
        <v>30</v>
      </c>
      <c r="K185" s="2" t="s">
        <v>30</v>
      </c>
      <c r="L185" s="2" t="s">
        <v>362</v>
      </c>
      <c r="M185" s="2" t="s">
        <v>31</v>
      </c>
      <c r="N185" s="2" t="s">
        <v>489</v>
      </c>
      <c r="O185" s="2" t="s">
        <v>155</v>
      </c>
      <c r="P185" s="2" t="s">
        <v>1353</v>
      </c>
      <c r="Q185" s="2" t="s">
        <v>206</v>
      </c>
      <c r="R185" s="2" t="s">
        <v>441</v>
      </c>
      <c r="S185" s="2" t="s">
        <v>34</v>
      </c>
      <c r="T185" s="151">
        <v>4.1390000000000002</v>
      </c>
      <c r="U185" s="2" t="s">
        <v>2187</v>
      </c>
      <c r="V185" s="162">
        <v>5.1499999999999997E-2</v>
      </c>
      <c r="W185" s="164">
        <v>5.1479999999999998E-2</v>
      </c>
      <c r="X185" s="4" t="s">
        <v>447</v>
      </c>
      <c r="Y185" s="4" t="s">
        <v>155</v>
      </c>
      <c r="Z185" s="151">
        <v>0.12</v>
      </c>
      <c r="AA185" s="158">
        <v>1</v>
      </c>
      <c r="AB185" s="175">
        <v>141.9</v>
      </c>
      <c r="AD185" s="151">
        <v>0</v>
      </c>
      <c r="AG185" s="2" t="s">
        <v>36</v>
      </c>
      <c r="AH185" s="164">
        <v>0</v>
      </c>
      <c r="AI185" s="164">
        <v>9.659850251285461E-10</v>
      </c>
      <c r="AJ185" s="164">
        <v>7.0538325293949001E-11</v>
      </c>
    </row>
    <row r="186" spans="1:36">
      <c r="A186" s="2">
        <v>424</v>
      </c>
      <c r="B186" s="2">
        <v>7228</v>
      </c>
      <c r="C186" s="2" t="s">
        <v>2188</v>
      </c>
      <c r="D186" s="2" t="s">
        <v>2189</v>
      </c>
      <c r="E186" s="4" t="s">
        <v>1342</v>
      </c>
      <c r="F186" s="2" t="s">
        <v>2190</v>
      </c>
      <c r="G186" s="2" t="s">
        <v>2191</v>
      </c>
      <c r="H186" s="2" t="s">
        <v>356</v>
      </c>
      <c r="I186" s="2" t="s">
        <v>208</v>
      </c>
      <c r="J186" s="2" t="s">
        <v>30</v>
      </c>
      <c r="K186" s="2" t="s">
        <v>30</v>
      </c>
      <c r="L186" s="2" t="s">
        <v>362</v>
      </c>
      <c r="M186" s="2" t="s">
        <v>31</v>
      </c>
      <c r="N186" s="2" t="s">
        <v>473</v>
      </c>
      <c r="O186" s="2" t="s">
        <v>155</v>
      </c>
      <c r="P186" s="2" t="s">
        <v>2192</v>
      </c>
      <c r="Q186" s="2" t="s">
        <v>206</v>
      </c>
      <c r="R186" s="2" t="s">
        <v>441</v>
      </c>
      <c r="S186" s="2" t="s">
        <v>34</v>
      </c>
      <c r="T186" s="151">
        <v>2.9049999999999998</v>
      </c>
      <c r="U186" s="2" t="s">
        <v>2193</v>
      </c>
      <c r="V186" s="162">
        <v>2.75E-2</v>
      </c>
      <c r="W186" s="164">
        <v>3.1E-2</v>
      </c>
      <c r="X186" s="4" t="s">
        <v>447</v>
      </c>
      <c r="Y186" s="4" t="s">
        <v>155</v>
      </c>
      <c r="Z186" s="151">
        <v>671946.38</v>
      </c>
      <c r="AA186" s="158">
        <v>1</v>
      </c>
      <c r="AB186" s="175">
        <v>113.65</v>
      </c>
      <c r="AD186" s="151">
        <v>763.66700000000003</v>
      </c>
      <c r="AG186" s="2" t="s">
        <v>36</v>
      </c>
      <c r="AH186" s="164">
        <v>7.9900000000000001E-4</v>
      </c>
      <c r="AI186" s="164">
        <v>4.3322230736689499E-3</v>
      </c>
      <c r="AJ186" s="164">
        <v>3.1634834129622998E-4</v>
      </c>
    </row>
    <row r="187" spans="1:36">
      <c r="A187" s="2">
        <v>424</v>
      </c>
      <c r="B187" s="2">
        <v>7228</v>
      </c>
      <c r="C187" s="2" t="s">
        <v>2188</v>
      </c>
      <c r="D187" s="2" t="s">
        <v>2189</v>
      </c>
      <c r="E187" s="4" t="s">
        <v>1342</v>
      </c>
      <c r="F187" s="2" t="s">
        <v>2194</v>
      </c>
      <c r="G187" s="2" t="s">
        <v>2195</v>
      </c>
      <c r="H187" s="2" t="s">
        <v>356</v>
      </c>
      <c r="I187" s="2" t="s">
        <v>1000</v>
      </c>
      <c r="J187" s="2" t="s">
        <v>30</v>
      </c>
      <c r="K187" s="2" t="s">
        <v>30</v>
      </c>
      <c r="L187" s="2" t="s">
        <v>362</v>
      </c>
      <c r="M187" s="2" t="s">
        <v>31</v>
      </c>
      <c r="N187" s="2" t="s">
        <v>473</v>
      </c>
      <c r="O187" s="2" t="s">
        <v>155</v>
      </c>
      <c r="P187" s="2" t="s">
        <v>2192</v>
      </c>
      <c r="Q187" s="2" t="s">
        <v>206</v>
      </c>
      <c r="R187" s="2" t="s">
        <v>441</v>
      </c>
      <c r="S187" s="2" t="s">
        <v>34</v>
      </c>
      <c r="T187" s="151">
        <v>2.4820000000000002</v>
      </c>
      <c r="U187" s="2" t="s">
        <v>2196</v>
      </c>
      <c r="V187" s="162">
        <v>2.5000000000000001E-2</v>
      </c>
      <c r="W187" s="164">
        <v>6.1120000000000001E-2</v>
      </c>
      <c r="X187" s="4" t="s">
        <v>447</v>
      </c>
      <c r="Y187" s="4" t="s">
        <v>155</v>
      </c>
      <c r="Z187" s="151">
        <v>2653200</v>
      </c>
      <c r="AA187" s="158">
        <v>1</v>
      </c>
      <c r="AB187" s="175">
        <v>89.41</v>
      </c>
      <c r="AD187" s="151">
        <v>2372.2260000000001</v>
      </c>
      <c r="AG187" s="2" t="s">
        <v>36</v>
      </c>
      <c r="AH187" s="164">
        <v>3.4650000000000002E-3</v>
      </c>
      <c r="AI187" s="164">
        <v>1.3457451891818101E-2</v>
      </c>
      <c r="AJ187" s="164">
        <v>9.8269237563637906E-4</v>
      </c>
    </row>
    <row r="188" spans="1:36">
      <c r="A188" s="2">
        <v>424</v>
      </c>
      <c r="B188" s="2">
        <v>7228</v>
      </c>
      <c r="C188" s="2" t="s">
        <v>2197</v>
      </c>
      <c r="D188" s="2" t="s">
        <v>2198</v>
      </c>
      <c r="E188" s="4" t="s">
        <v>1342</v>
      </c>
      <c r="F188" s="2" t="s">
        <v>2199</v>
      </c>
      <c r="G188" s="2" t="s">
        <v>2200</v>
      </c>
      <c r="H188" s="2" t="s">
        <v>356</v>
      </c>
      <c r="I188" s="2" t="s">
        <v>1000</v>
      </c>
      <c r="J188" s="2" t="s">
        <v>30</v>
      </c>
      <c r="K188" s="2" t="s">
        <v>30</v>
      </c>
      <c r="L188" s="2" t="s">
        <v>362</v>
      </c>
      <c r="M188" s="2" t="s">
        <v>31</v>
      </c>
      <c r="N188" s="2" t="s">
        <v>480</v>
      </c>
      <c r="O188" s="2" t="s">
        <v>155</v>
      </c>
      <c r="P188" s="2" t="s">
        <v>2181</v>
      </c>
      <c r="Q188" s="2" t="s">
        <v>101</v>
      </c>
      <c r="R188" s="2" t="s">
        <v>441</v>
      </c>
      <c r="S188" s="2" t="s">
        <v>34</v>
      </c>
      <c r="T188" s="151">
        <v>2.2480000000000002</v>
      </c>
      <c r="U188" s="2" t="s">
        <v>2201</v>
      </c>
      <c r="V188" s="162">
        <v>2.5499999999999998E-2</v>
      </c>
      <c r="W188" s="164">
        <v>6.0019999999999997E-2</v>
      </c>
      <c r="X188" s="4" t="s">
        <v>447</v>
      </c>
      <c r="Y188" s="4" t="s">
        <v>155</v>
      </c>
      <c r="Z188" s="151">
        <v>2350698</v>
      </c>
      <c r="AA188" s="158">
        <v>1</v>
      </c>
      <c r="AB188" s="175">
        <v>93.37</v>
      </c>
      <c r="AD188" s="151">
        <v>2194.8470000000002</v>
      </c>
      <c r="AG188" s="2" t="s">
        <v>36</v>
      </c>
      <c r="AH188" s="164">
        <v>3.058E-3</v>
      </c>
      <c r="AI188" s="164">
        <v>1.2451192544538799E-2</v>
      </c>
      <c r="AJ188" s="164">
        <v>9.0921313183648495E-4</v>
      </c>
    </row>
    <row r="189" spans="1:36">
      <c r="A189" s="2">
        <v>424</v>
      </c>
      <c r="B189" s="2">
        <v>7228</v>
      </c>
      <c r="C189" s="2" t="s">
        <v>2202</v>
      </c>
      <c r="D189" s="2" t="s">
        <v>2203</v>
      </c>
      <c r="E189" s="4" t="s">
        <v>1342</v>
      </c>
      <c r="F189" s="2" t="s">
        <v>2204</v>
      </c>
      <c r="G189" s="2" t="s">
        <v>2205</v>
      </c>
      <c r="H189" s="2" t="s">
        <v>356</v>
      </c>
      <c r="I189" s="2" t="s">
        <v>1000</v>
      </c>
      <c r="J189" s="2" t="s">
        <v>30</v>
      </c>
      <c r="K189" s="2" t="s">
        <v>30</v>
      </c>
      <c r="L189" s="2" t="s">
        <v>362</v>
      </c>
      <c r="M189" s="2" t="s">
        <v>31</v>
      </c>
      <c r="N189" s="2" t="s">
        <v>478</v>
      </c>
      <c r="O189" s="2" t="s">
        <v>155</v>
      </c>
      <c r="P189" s="2" t="s">
        <v>2181</v>
      </c>
      <c r="Q189" s="2" t="s">
        <v>101</v>
      </c>
      <c r="R189" s="2" t="s">
        <v>441</v>
      </c>
      <c r="S189" s="2" t="s">
        <v>34</v>
      </c>
      <c r="T189" s="151">
        <v>3.9980000000000002</v>
      </c>
      <c r="U189" s="2" t="s">
        <v>2206</v>
      </c>
      <c r="V189" s="162">
        <v>2.18E-2</v>
      </c>
      <c r="W189" s="164">
        <v>6.139E-2</v>
      </c>
      <c r="X189" s="4" t="s">
        <v>447</v>
      </c>
      <c r="Y189" s="4" t="s">
        <v>155</v>
      </c>
      <c r="Z189" s="151">
        <v>5190607</v>
      </c>
      <c r="AA189" s="158">
        <v>1</v>
      </c>
      <c r="AB189" s="175">
        <v>86.45</v>
      </c>
      <c r="AD189" s="151">
        <v>4487.28</v>
      </c>
      <c r="AG189" s="2" t="s">
        <v>36</v>
      </c>
      <c r="AH189" s="164">
        <v>3.1572999999999997E-2</v>
      </c>
      <c r="AI189" s="164">
        <v>2.5455984516746199E-2</v>
      </c>
      <c r="AJ189" s="164">
        <v>1.85885129666583E-3</v>
      </c>
    </row>
    <row r="190" spans="1:36">
      <c r="A190" s="2">
        <v>424</v>
      </c>
      <c r="B190" s="2">
        <v>7228</v>
      </c>
      <c r="C190" s="2" t="s">
        <v>1788</v>
      </c>
      <c r="D190" s="2" t="s">
        <v>1789</v>
      </c>
      <c r="E190" s="4" t="s">
        <v>1342</v>
      </c>
      <c r="F190" s="2" t="s">
        <v>2501</v>
      </c>
      <c r="G190" s="2" t="s">
        <v>2502</v>
      </c>
      <c r="H190" s="2" t="s">
        <v>356</v>
      </c>
      <c r="I190" s="2" t="s">
        <v>1000</v>
      </c>
      <c r="J190" s="2" t="s">
        <v>30</v>
      </c>
      <c r="K190" s="2" t="s">
        <v>30</v>
      </c>
      <c r="L190" s="2" t="s">
        <v>362</v>
      </c>
      <c r="M190" s="2" t="s">
        <v>31</v>
      </c>
      <c r="N190" s="2" t="s">
        <v>489</v>
      </c>
      <c r="O190" s="2" t="s">
        <v>155</v>
      </c>
      <c r="P190" s="2" t="s">
        <v>2211</v>
      </c>
      <c r="Q190" s="2" t="s">
        <v>206</v>
      </c>
      <c r="R190" s="2" t="s">
        <v>441</v>
      </c>
      <c r="S190" s="2" t="s">
        <v>34</v>
      </c>
      <c r="T190" s="151">
        <v>7.58</v>
      </c>
      <c r="U190" s="2" t="s">
        <v>2503</v>
      </c>
      <c r="V190" s="162">
        <v>2.4E-2</v>
      </c>
      <c r="W190" s="164">
        <v>5.6570000000000002E-2</v>
      </c>
      <c r="X190" s="4" t="s">
        <v>447</v>
      </c>
      <c r="Y190" s="4" t="s">
        <v>155</v>
      </c>
      <c r="Z190" s="151">
        <v>655553.28000000003</v>
      </c>
      <c r="AA190" s="158">
        <v>1</v>
      </c>
      <c r="AB190" s="175">
        <v>79</v>
      </c>
      <c r="AD190" s="151">
        <v>517.88699999999994</v>
      </c>
      <c r="AG190" s="2" t="s">
        <v>36</v>
      </c>
      <c r="AH190" s="164">
        <v>8.9099999999999997E-4</v>
      </c>
      <c r="AI190" s="164">
        <v>2.9379326685845799E-3</v>
      </c>
      <c r="AJ190" s="164">
        <v>2.14534226595036E-4</v>
      </c>
    </row>
    <row r="191" spans="1:36">
      <c r="A191" s="2">
        <v>424</v>
      </c>
      <c r="B191" s="2">
        <v>7228</v>
      </c>
      <c r="C191" s="2" t="s">
        <v>2207</v>
      </c>
      <c r="D191" s="2" t="s">
        <v>2208</v>
      </c>
      <c r="E191" s="4" t="s">
        <v>1342</v>
      </c>
      <c r="F191" s="2" t="s">
        <v>2209</v>
      </c>
      <c r="G191" s="2" t="s">
        <v>2210</v>
      </c>
      <c r="H191" s="2" t="s">
        <v>356</v>
      </c>
      <c r="I191" s="2" t="s">
        <v>208</v>
      </c>
      <c r="J191" s="2" t="s">
        <v>30</v>
      </c>
      <c r="K191" s="2" t="s">
        <v>30</v>
      </c>
      <c r="L191" s="2" t="s">
        <v>362</v>
      </c>
      <c r="M191" s="2" t="s">
        <v>31</v>
      </c>
      <c r="N191" s="2" t="s">
        <v>497</v>
      </c>
      <c r="O191" s="2" t="s">
        <v>155</v>
      </c>
      <c r="P191" s="2" t="s">
        <v>2211</v>
      </c>
      <c r="Q191" s="2" t="s">
        <v>206</v>
      </c>
      <c r="R191" s="2" t="s">
        <v>441</v>
      </c>
      <c r="S191" s="2" t="s">
        <v>34</v>
      </c>
      <c r="T191" s="151">
        <v>2.012</v>
      </c>
      <c r="U191" s="2" t="s">
        <v>61</v>
      </c>
      <c r="V191" s="162">
        <v>2.3400000000000001E-2</v>
      </c>
      <c r="W191" s="164">
        <v>2.664E-2</v>
      </c>
      <c r="X191" s="4" t="s">
        <v>447</v>
      </c>
      <c r="Y191" s="4" t="s">
        <v>155</v>
      </c>
      <c r="Z191" s="151">
        <v>528000.11</v>
      </c>
      <c r="AA191" s="158">
        <v>1</v>
      </c>
      <c r="AB191" s="175">
        <v>115.87</v>
      </c>
      <c r="AD191" s="151">
        <v>611.79399999999998</v>
      </c>
      <c r="AG191" s="2" t="s">
        <v>36</v>
      </c>
      <c r="AH191" s="164">
        <v>2.5000000000000001E-4</v>
      </c>
      <c r="AI191" s="164">
        <v>3.4706576179882398E-3</v>
      </c>
      <c r="AJ191" s="164">
        <v>2.5343495983180299E-4</v>
      </c>
    </row>
    <row r="192" spans="1:36">
      <c r="A192" s="2">
        <v>424</v>
      </c>
      <c r="B192" s="2">
        <v>7228</v>
      </c>
      <c r="C192" s="2" t="s">
        <v>2212</v>
      </c>
      <c r="D192" s="2" t="s">
        <v>2213</v>
      </c>
      <c r="E192" s="4" t="s">
        <v>1342</v>
      </c>
      <c r="F192" s="2" t="s">
        <v>2504</v>
      </c>
      <c r="G192" s="2" t="s">
        <v>2505</v>
      </c>
      <c r="H192" s="2" t="s">
        <v>356</v>
      </c>
      <c r="I192" s="2" t="s">
        <v>1000</v>
      </c>
      <c r="J192" s="2" t="s">
        <v>30</v>
      </c>
      <c r="K192" s="2" t="s">
        <v>30</v>
      </c>
      <c r="L192" s="2" t="s">
        <v>362</v>
      </c>
      <c r="M192" s="2" t="s">
        <v>31</v>
      </c>
      <c r="N192" s="2" t="s">
        <v>497</v>
      </c>
      <c r="O192" s="2" t="s">
        <v>155</v>
      </c>
      <c r="P192" s="2" t="s">
        <v>1353</v>
      </c>
      <c r="Q192" s="2" t="s">
        <v>206</v>
      </c>
      <c r="R192" s="2" t="s">
        <v>441</v>
      </c>
      <c r="S192" s="2" t="s">
        <v>34</v>
      </c>
      <c r="T192" s="151">
        <v>1.353</v>
      </c>
      <c r="U192" s="2" t="s">
        <v>2506</v>
      </c>
      <c r="V192" s="162">
        <v>3.85E-2</v>
      </c>
      <c r="W192" s="164">
        <v>5.3539999999999997E-2</v>
      </c>
      <c r="X192" s="4" t="s">
        <v>447</v>
      </c>
      <c r="Y192" s="4" t="s">
        <v>155</v>
      </c>
      <c r="Z192" s="151">
        <v>0.12</v>
      </c>
      <c r="AA192" s="158">
        <v>1</v>
      </c>
      <c r="AB192" s="175">
        <v>100.27</v>
      </c>
      <c r="AD192" s="151">
        <v>0</v>
      </c>
      <c r="AG192" s="2" t="s">
        <v>36</v>
      </c>
      <c r="AH192" s="164">
        <v>0</v>
      </c>
      <c r="AI192" s="164">
        <v>6.825885727247301E-10</v>
      </c>
      <c r="AJ192" s="164">
        <v>4.9844100614688293E-11</v>
      </c>
    </row>
    <row r="193" spans="1:36">
      <c r="A193" s="2">
        <v>424</v>
      </c>
      <c r="B193" s="2">
        <v>7228</v>
      </c>
      <c r="C193" s="2" t="s">
        <v>2212</v>
      </c>
      <c r="D193" s="2" t="s">
        <v>2213</v>
      </c>
      <c r="E193" s="4" t="s">
        <v>1342</v>
      </c>
      <c r="F193" s="2" t="s">
        <v>2214</v>
      </c>
      <c r="G193" s="2" t="s">
        <v>2215</v>
      </c>
      <c r="H193" s="2" t="s">
        <v>356</v>
      </c>
      <c r="I193" s="2" t="s">
        <v>1000</v>
      </c>
      <c r="J193" s="2" t="s">
        <v>30</v>
      </c>
      <c r="K193" s="2" t="s">
        <v>30</v>
      </c>
      <c r="L193" s="2" t="s">
        <v>362</v>
      </c>
      <c r="M193" s="2" t="s">
        <v>31</v>
      </c>
      <c r="N193" s="2" t="s">
        <v>497</v>
      </c>
      <c r="O193" s="2" t="s">
        <v>155</v>
      </c>
      <c r="P193" s="2" t="s">
        <v>1353</v>
      </c>
      <c r="Q193" s="2" t="s">
        <v>206</v>
      </c>
      <c r="R193" s="2" t="s">
        <v>441</v>
      </c>
      <c r="S193" s="2" t="s">
        <v>34</v>
      </c>
      <c r="T193" s="151">
        <v>3.9049999999999998</v>
      </c>
      <c r="U193" s="2" t="s">
        <v>2216</v>
      </c>
      <c r="V193" s="162">
        <v>2.41E-2</v>
      </c>
      <c r="W193" s="164">
        <v>6.3320000000000001E-2</v>
      </c>
      <c r="X193" s="4" t="s">
        <v>447</v>
      </c>
      <c r="Y193" s="4" t="s">
        <v>155</v>
      </c>
      <c r="Z193" s="151">
        <v>1733333.33</v>
      </c>
      <c r="AA193" s="158">
        <v>1</v>
      </c>
      <c r="AB193" s="175">
        <v>86.08</v>
      </c>
      <c r="AD193" s="151">
        <v>1492.0530000000001</v>
      </c>
      <c r="AG193" s="2" t="s">
        <v>36</v>
      </c>
      <c r="AH193" s="164">
        <v>8.43E-4</v>
      </c>
      <c r="AI193" s="164">
        <v>8.4643009978940392E-3</v>
      </c>
      <c r="AJ193" s="164">
        <v>6.1808164893228598E-4</v>
      </c>
    </row>
    <row r="194" spans="1:36">
      <c r="A194" s="2">
        <v>424</v>
      </c>
      <c r="B194" s="2">
        <v>7228</v>
      </c>
      <c r="C194" s="2" t="s">
        <v>2212</v>
      </c>
      <c r="D194" s="2" t="s">
        <v>2213</v>
      </c>
      <c r="E194" s="4" t="s">
        <v>1342</v>
      </c>
      <c r="F194" s="2" t="s">
        <v>2217</v>
      </c>
      <c r="G194" s="2" t="s">
        <v>2218</v>
      </c>
      <c r="H194" s="2" t="s">
        <v>356</v>
      </c>
      <c r="I194" s="2" t="s">
        <v>1000</v>
      </c>
      <c r="J194" s="2" t="s">
        <v>30</v>
      </c>
      <c r="K194" s="2" t="s">
        <v>30</v>
      </c>
      <c r="L194" s="2" t="s">
        <v>362</v>
      </c>
      <c r="M194" s="2" t="s">
        <v>31</v>
      </c>
      <c r="N194" s="2" t="s">
        <v>497</v>
      </c>
      <c r="O194" s="2" t="s">
        <v>155</v>
      </c>
      <c r="P194" s="2" t="s">
        <v>1353</v>
      </c>
      <c r="Q194" s="2" t="s">
        <v>206</v>
      </c>
      <c r="R194" s="2" t="s">
        <v>441</v>
      </c>
      <c r="S194" s="2" t="s">
        <v>34</v>
      </c>
      <c r="T194" s="151">
        <v>6.2430000000000003</v>
      </c>
      <c r="U194" s="2" t="s">
        <v>2219</v>
      </c>
      <c r="V194" s="162">
        <v>4.9399999999999999E-2</v>
      </c>
      <c r="W194" s="164">
        <v>6.6839999999999997E-2</v>
      </c>
      <c r="X194" s="4" t="s">
        <v>447</v>
      </c>
      <c r="Y194" s="4" t="s">
        <v>155</v>
      </c>
      <c r="Z194" s="151">
        <v>2000466</v>
      </c>
      <c r="AA194" s="158">
        <v>1</v>
      </c>
      <c r="AB194" s="175">
        <v>92.67</v>
      </c>
      <c r="AD194" s="151">
        <v>1853.8320000000001</v>
      </c>
      <c r="AG194" s="2" t="s">
        <v>36</v>
      </c>
      <c r="AH194" s="164">
        <v>2.2290000000000001E-3</v>
      </c>
      <c r="AI194" s="164">
        <v>1.05166419936086E-2</v>
      </c>
      <c r="AJ194" s="164">
        <v>7.6794804748287805E-4</v>
      </c>
    </row>
    <row r="195" spans="1:36">
      <c r="A195" s="2">
        <v>424</v>
      </c>
      <c r="B195" s="2">
        <v>7228</v>
      </c>
      <c r="C195" s="2" t="s">
        <v>1808</v>
      </c>
      <c r="D195" s="2" t="s">
        <v>1809</v>
      </c>
      <c r="E195" s="4" t="s">
        <v>1342</v>
      </c>
      <c r="F195" s="2" t="s">
        <v>2220</v>
      </c>
      <c r="G195" s="2" t="s">
        <v>2221</v>
      </c>
      <c r="H195" s="2" t="s">
        <v>356</v>
      </c>
      <c r="I195" s="2" t="s">
        <v>1000</v>
      </c>
      <c r="J195" s="2" t="s">
        <v>30</v>
      </c>
      <c r="K195" s="2" t="s">
        <v>30</v>
      </c>
      <c r="L195" s="2" t="s">
        <v>362</v>
      </c>
      <c r="M195" s="2" t="s">
        <v>31</v>
      </c>
      <c r="N195" s="2" t="s">
        <v>484</v>
      </c>
      <c r="O195" s="2" t="s">
        <v>155</v>
      </c>
      <c r="P195" s="2" t="s">
        <v>1346</v>
      </c>
      <c r="Q195" s="2" t="s">
        <v>206</v>
      </c>
      <c r="R195" s="2" t="s">
        <v>441</v>
      </c>
      <c r="S195" s="2" t="s">
        <v>34</v>
      </c>
      <c r="T195" s="151">
        <v>2.2240000000000002</v>
      </c>
      <c r="U195" s="2" t="s">
        <v>2222</v>
      </c>
      <c r="V195" s="162">
        <v>0.04</v>
      </c>
      <c r="W195" s="164">
        <v>5.774E-2</v>
      </c>
      <c r="X195" s="4" t="s">
        <v>447</v>
      </c>
      <c r="Y195" s="4" t="s">
        <v>155</v>
      </c>
      <c r="Z195" s="151">
        <v>1837500.3</v>
      </c>
      <c r="AA195" s="158">
        <v>1</v>
      </c>
      <c r="AB195" s="175">
        <v>96.04</v>
      </c>
      <c r="AD195" s="151">
        <v>1764.7349999999999</v>
      </c>
      <c r="AG195" s="2" t="s">
        <v>36</v>
      </c>
      <c r="AH195" s="164">
        <v>2.712E-3</v>
      </c>
      <c r="AI195" s="164">
        <v>1.0011204261450701E-2</v>
      </c>
      <c r="AJ195" s="164">
        <v>7.31039886135303E-4</v>
      </c>
    </row>
    <row r="196" spans="1:36">
      <c r="A196" s="2">
        <v>424</v>
      </c>
      <c r="B196" s="2">
        <v>7228</v>
      </c>
      <c r="C196" s="2" t="s">
        <v>1808</v>
      </c>
      <c r="D196" s="2" t="s">
        <v>1809</v>
      </c>
      <c r="E196" s="4" t="s">
        <v>1342</v>
      </c>
      <c r="F196" s="2" t="s">
        <v>2223</v>
      </c>
      <c r="G196" s="2" t="s">
        <v>2224</v>
      </c>
      <c r="H196" s="2" t="s">
        <v>356</v>
      </c>
      <c r="I196" s="2" t="s">
        <v>1000</v>
      </c>
      <c r="J196" s="2" t="s">
        <v>30</v>
      </c>
      <c r="K196" s="2" t="s">
        <v>30</v>
      </c>
      <c r="L196" s="2" t="s">
        <v>362</v>
      </c>
      <c r="M196" s="2" t="s">
        <v>31</v>
      </c>
      <c r="N196" s="2" t="s">
        <v>484</v>
      </c>
      <c r="O196" s="2" t="s">
        <v>155</v>
      </c>
      <c r="P196" s="2" t="s">
        <v>1346</v>
      </c>
      <c r="Q196" s="2" t="s">
        <v>206</v>
      </c>
      <c r="R196" s="2" t="s">
        <v>441</v>
      </c>
      <c r="S196" s="2" t="s">
        <v>34</v>
      </c>
      <c r="T196" s="151">
        <v>3.7080000000000002</v>
      </c>
      <c r="U196" s="2" t="s">
        <v>2225</v>
      </c>
      <c r="V196" s="162">
        <v>2.07E-2</v>
      </c>
      <c r="W196" s="164">
        <v>5.9970000000000002E-2</v>
      </c>
      <c r="X196" s="4" t="s">
        <v>447</v>
      </c>
      <c r="Y196" s="4" t="s">
        <v>155</v>
      </c>
      <c r="Z196" s="151">
        <v>3258173</v>
      </c>
      <c r="AA196" s="158">
        <v>1</v>
      </c>
      <c r="AB196" s="175">
        <v>83.35</v>
      </c>
      <c r="AD196" s="151">
        <v>2715.6869999999999</v>
      </c>
      <c r="AG196" s="2" t="s">
        <v>36</v>
      </c>
      <c r="AH196" s="164">
        <v>7.9330000000000008E-3</v>
      </c>
      <c r="AI196" s="164">
        <v>1.54058795148364E-2</v>
      </c>
      <c r="AJ196" s="164">
        <v>1.1249707939440399E-3</v>
      </c>
    </row>
    <row r="197" spans="1:36">
      <c r="A197" s="2">
        <v>424</v>
      </c>
      <c r="B197" s="2">
        <v>7228</v>
      </c>
      <c r="C197" s="2" t="s">
        <v>2226</v>
      </c>
      <c r="D197" s="2" t="s">
        <v>2227</v>
      </c>
      <c r="E197" s="4" t="s">
        <v>1342</v>
      </c>
      <c r="F197" s="2" t="s">
        <v>2507</v>
      </c>
      <c r="G197" s="2" t="s">
        <v>2508</v>
      </c>
      <c r="H197" s="2" t="s">
        <v>356</v>
      </c>
      <c r="I197" s="2" t="s">
        <v>1000</v>
      </c>
      <c r="J197" s="2" t="s">
        <v>30</v>
      </c>
      <c r="K197" s="2" t="s">
        <v>30</v>
      </c>
      <c r="L197" s="2" t="s">
        <v>362</v>
      </c>
      <c r="M197" s="2" t="s">
        <v>31</v>
      </c>
      <c r="N197" s="2" t="s">
        <v>498</v>
      </c>
      <c r="O197" s="2" t="s">
        <v>155</v>
      </c>
      <c r="P197" s="2" t="s">
        <v>2181</v>
      </c>
      <c r="Q197" s="2" t="s">
        <v>101</v>
      </c>
      <c r="R197" s="2" t="s">
        <v>441</v>
      </c>
      <c r="S197" s="2" t="s">
        <v>34</v>
      </c>
      <c r="T197" s="151">
        <v>2.871</v>
      </c>
      <c r="U197" s="2" t="s">
        <v>2509</v>
      </c>
      <c r="V197" s="162">
        <v>3.2500000000000001E-2</v>
      </c>
      <c r="W197" s="164">
        <v>6.0850000000000001E-2</v>
      </c>
      <c r="X197" s="4" t="s">
        <v>447</v>
      </c>
      <c r="Y197" s="4" t="s">
        <v>155</v>
      </c>
      <c r="Z197" s="151">
        <v>815603.05</v>
      </c>
      <c r="AA197" s="158">
        <v>1</v>
      </c>
      <c r="AB197" s="175">
        <v>92.53</v>
      </c>
      <c r="AD197" s="151">
        <v>754.678</v>
      </c>
      <c r="AG197" s="2" t="s">
        <v>36</v>
      </c>
      <c r="AH197" s="164">
        <v>2.7950000000000002E-3</v>
      </c>
      <c r="AI197" s="164">
        <v>4.2812260153441703E-3</v>
      </c>
      <c r="AJ197" s="164">
        <v>3.1262442529797799E-4</v>
      </c>
    </row>
    <row r="198" spans="1:36">
      <c r="A198" s="2">
        <v>424</v>
      </c>
      <c r="B198" s="2">
        <v>7228</v>
      </c>
      <c r="C198" s="2" t="s">
        <v>2226</v>
      </c>
      <c r="D198" s="2" t="s">
        <v>2227</v>
      </c>
      <c r="E198" s="4" t="s">
        <v>1342</v>
      </c>
      <c r="F198" s="2" t="s">
        <v>2231</v>
      </c>
      <c r="G198" s="2" t="s">
        <v>2232</v>
      </c>
      <c r="H198" s="2" t="s">
        <v>356</v>
      </c>
      <c r="I198" s="2" t="s">
        <v>208</v>
      </c>
      <c r="J198" s="2" t="s">
        <v>30</v>
      </c>
      <c r="K198" s="2" t="s">
        <v>30</v>
      </c>
      <c r="L198" s="2" t="s">
        <v>362</v>
      </c>
      <c r="M198" s="2" t="s">
        <v>31</v>
      </c>
      <c r="N198" s="2" t="s">
        <v>498</v>
      </c>
      <c r="O198" s="2" t="s">
        <v>155</v>
      </c>
      <c r="P198" s="2" t="s">
        <v>2181</v>
      </c>
      <c r="Q198" s="2" t="s">
        <v>101</v>
      </c>
      <c r="R198" s="2" t="s">
        <v>441</v>
      </c>
      <c r="S198" s="2" t="s">
        <v>34</v>
      </c>
      <c r="T198" s="151">
        <v>3.3610000000000002</v>
      </c>
      <c r="U198" s="2" t="s">
        <v>2233</v>
      </c>
      <c r="V198" s="162">
        <v>1.54E-2</v>
      </c>
      <c r="W198" s="164">
        <v>3.662E-2</v>
      </c>
      <c r="X198" s="4" t="s">
        <v>447</v>
      </c>
      <c r="Y198" s="4" t="s">
        <v>155</v>
      </c>
      <c r="Z198" s="151">
        <v>2876000</v>
      </c>
      <c r="AA198" s="158">
        <v>1</v>
      </c>
      <c r="AB198" s="175">
        <v>100.74</v>
      </c>
      <c r="AD198" s="151">
        <v>2897.2820000000002</v>
      </c>
      <c r="AG198" s="2" t="s">
        <v>36</v>
      </c>
      <c r="AH198" s="164">
        <v>4.8219999999999999E-3</v>
      </c>
      <c r="AI198" s="164">
        <v>1.6436054803667399E-2</v>
      </c>
      <c r="AJ198" s="164">
        <v>1.2001964317573E-3</v>
      </c>
    </row>
    <row r="199" spans="1:36">
      <c r="A199" s="2">
        <v>424</v>
      </c>
      <c r="B199" s="2">
        <v>7228</v>
      </c>
      <c r="C199" s="2" t="s">
        <v>2226</v>
      </c>
      <c r="D199" s="2" t="s">
        <v>2227</v>
      </c>
      <c r="E199" s="4" t="s">
        <v>1342</v>
      </c>
      <c r="F199" s="2" t="s">
        <v>2234</v>
      </c>
      <c r="G199" s="2" t="s">
        <v>2235</v>
      </c>
      <c r="H199" s="2" t="s">
        <v>356</v>
      </c>
      <c r="I199" s="2" t="s">
        <v>208</v>
      </c>
      <c r="J199" s="2" t="s">
        <v>30</v>
      </c>
      <c r="K199" s="2" t="s">
        <v>30</v>
      </c>
      <c r="L199" s="2" t="s">
        <v>362</v>
      </c>
      <c r="M199" s="2" t="s">
        <v>85</v>
      </c>
      <c r="N199" s="2" t="s">
        <v>498</v>
      </c>
      <c r="O199" s="2" t="s">
        <v>155</v>
      </c>
      <c r="P199" s="2" t="s">
        <v>1346</v>
      </c>
      <c r="Q199" s="2" t="s">
        <v>206</v>
      </c>
      <c r="R199" s="2" t="s">
        <v>441</v>
      </c>
      <c r="S199" s="2" t="s">
        <v>34</v>
      </c>
      <c r="T199" s="151">
        <v>7.1020000000000003</v>
      </c>
      <c r="U199" s="2" t="s">
        <v>2236</v>
      </c>
      <c r="V199" s="162">
        <v>4.02E-2</v>
      </c>
      <c r="W199" s="164">
        <v>3.9660000000000001E-2</v>
      </c>
      <c r="X199" s="4" t="s">
        <v>447</v>
      </c>
      <c r="Y199" s="4" t="s">
        <v>155</v>
      </c>
      <c r="Z199" s="151">
        <v>2339000</v>
      </c>
      <c r="AA199" s="158">
        <v>1</v>
      </c>
      <c r="AB199" s="175">
        <v>101.8</v>
      </c>
      <c r="AD199" s="151">
        <v>2381.1019999999999</v>
      </c>
      <c r="AG199" s="2" t="s">
        <v>36</v>
      </c>
      <c r="AH199" s="164">
        <v>6.6829999999999997E-3</v>
      </c>
      <c r="AI199" s="164">
        <v>1.3507804059805201E-2</v>
      </c>
      <c r="AJ199" s="164">
        <v>9.8636920034104189E-4</v>
      </c>
    </row>
    <row r="200" spans="1:36">
      <c r="A200" s="2">
        <v>424</v>
      </c>
      <c r="B200" s="2">
        <v>7228</v>
      </c>
      <c r="C200" s="2" t="s">
        <v>2237</v>
      </c>
      <c r="D200" s="2" t="s">
        <v>2238</v>
      </c>
      <c r="E200" s="4" t="s">
        <v>1342</v>
      </c>
      <c r="F200" s="2" t="s">
        <v>2239</v>
      </c>
      <c r="G200" s="2" t="s">
        <v>2240</v>
      </c>
      <c r="H200" s="2" t="s">
        <v>356</v>
      </c>
      <c r="I200" s="2" t="s">
        <v>1000</v>
      </c>
      <c r="J200" s="2" t="s">
        <v>30</v>
      </c>
      <c r="K200" s="2" t="s">
        <v>30</v>
      </c>
      <c r="L200" s="2" t="s">
        <v>362</v>
      </c>
      <c r="M200" s="2" t="s">
        <v>31</v>
      </c>
      <c r="N200" s="2" t="s">
        <v>484</v>
      </c>
      <c r="O200" s="2" t="s">
        <v>155</v>
      </c>
      <c r="P200" s="2" t="s">
        <v>2211</v>
      </c>
      <c r="Q200" s="2" t="s">
        <v>206</v>
      </c>
      <c r="R200" s="2" t="s">
        <v>441</v>
      </c>
      <c r="S200" s="2" t="s">
        <v>34</v>
      </c>
      <c r="T200" s="151">
        <v>5.5060000000000002</v>
      </c>
      <c r="U200" s="2" t="s">
        <v>2241</v>
      </c>
      <c r="V200" s="162">
        <v>5.3100000000000001E-2</v>
      </c>
      <c r="W200" s="164">
        <v>5.9760000000000001E-2</v>
      </c>
      <c r="X200" s="4" t="s">
        <v>447</v>
      </c>
      <c r="Y200" s="4" t="s">
        <v>155</v>
      </c>
      <c r="Z200" s="151">
        <v>498000</v>
      </c>
      <c r="AA200" s="158">
        <v>1</v>
      </c>
      <c r="AB200" s="175">
        <v>97.42</v>
      </c>
      <c r="AD200" s="151">
        <v>485.15199999999999</v>
      </c>
      <c r="AG200" s="2" t="s">
        <v>36</v>
      </c>
      <c r="AH200" s="164">
        <v>1.565E-3</v>
      </c>
      <c r="AI200" s="164">
        <v>2.75222680594993E-3</v>
      </c>
      <c r="AJ200" s="164">
        <v>2.0097358102936301E-4</v>
      </c>
    </row>
    <row r="201" spans="1:36">
      <c r="A201" s="2">
        <v>424</v>
      </c>
      <c r="B201" s="2">
        <v>7228</v>
      </c>
      <c r="C201" s="2" t="s">
        <v>2510</v>
      </c>
      <c r="D201" s="2" t="s">
        <v>2511</v>
      </c>
      <c r="E201" s="4" t="s">
        <v>1342</v>
      </c>
      <c r="F201" s="2" t="s">
        <v>2512</v>
      </c>
      <c r="G201" s="2" t="s">
        <v>2513</v>
      </c>
      <c r="H201" s="2" t="s">
        <v>356</v>
      </c>
      <c r="I201" s="2" t="s">
        <v>208</v>
      </c>
      <c r="J201" s="2" t="s">
        <v>30</v>
      </c>
      <c r="K201" s="2" t="s">
        <v>30</v>
      </c>
      <c r="L201" s="2" t="s">
        <v>362</v>
      </c>
      <c r="M201" s="2" t="s">
        <v>31</v>
      </c>
      <c r="N201" s="2" t="s">
        <v>498</v>
      </c>
      <c r="O201" s="2" t="s">
        <v>155</v>
      </c>
      <c r="P201" s="2" t="s">
        <v>2514</v>
      </c>
      <c r="Q201" s="2" t="s">
        <v>206</v>
      </c>
      <c r="R201" s="2" t="s">
        <v>441</v>
      </c>
      <c r="S201" s="2" t="s">
        <v>34</v>
      </c>
      <c r="T201" s="151">
        <v>2.5779999999999998</v>
      </c>
      <c r="U201" s="2" t="s">
        <v>2515</v>
      </c>
      <c r="V201" s="162">
        <v>4.6002000000000001E-2</v>
      </c>
      <c r="W201" s="164">
        <v>0.23536000000000001</v>
      </c>
      <c r="X201" s="4" t="s">
        <v>447</v>
      </c>
      <c r="Y201" s="4" t="s">
        <v>155</v>
      </c>
      <c r="Z201" s="151">
        <v>106852.46</v>
      </c>
      <c r="AA201" s="158">
        <v>1</v>
      </c>
      <c r="AB201" s="175">
        <v>161.99</v>
      </c>
      <c r="AD201" s="151">
        <v>173.09</v>
      </c>
      <c r="AG201" s="2" t="s">
        <v>36</v>
      </c>
      <c r="AH201" s="164">
        <v>6.7869999999999996E-3</v>
      </c>
      <c r="AI201" s="164">
        <v>9.8192763536864101E-4</v>
      </c>
      <c r="AJ201" s="164">
        <v>7.1702489331586006E-5</v>
      </c>
    </row>
    <row r="202" spans="1:36">
      <c r="A202" s="2">
        <v>424</v>
      </c>
      <c r="B202" s="2">
        <v>7228</v>
      </c>
      <c r="C202" s="2" t="s">
        <v>2242</v>
      </c>
      <c r="D202" s="2" t="s">
        <v>2243</v>
      </c>
      <c r="E202" s="4" t="s">
        <v>1342</v>
      </c>
      <c r="F202" s="2" t="s">
        <v>2244</v>
      </c>
      <c r="G202" s="2" t="s">
        <v>2245</v>
      </c>
      <c r="H202" s="2" t="s">
        <v>356</v>
      </c>
      <c r="I202" s="2" t="s">
        <v>208</v>
      </c>
      <c r="J202" s="2" t="s">
        <v>30</v>
      </c>
      <c r="K202" s="2" t="s">
        <v>30</v>
      </c>
      <c r="L202" s="2" t="s">
        <v>362</v>
      </c>
      <c r="M202" s="2" t="s">
        <v>31</v>
      </c>
      <c r="N202" s="2" t="s">
        <v>497</v>
      </c>
      <c r="O202" s="2" t="s">
        <v>155</v>
      </c>
      <c r="P202" s="2" t="s">
        <v>2181</v>
      </c>
      <c r="Q202" s="2" t="s">
        <v>206</v>
      </c>
      <c r="R202" s="2" t="s">
        <v>441</v>
      </c>
      <c r="S202" s="2" t="s">
        <v>34</v>
      </c>
      <c r="T202" s="151">
        <v>5.99</v>
      </c>
      <c r="U202" s="2" t="s">
        <v>2246</v>
      </c>
      <c r="V202" s="162">
        <v>3.6799999999999999E-2</v>
      </c>
      <c r="W202" s="164">
        <v>4.0779999999999997E-2</v>
      </c>
      <c r="X202" s="4" t="s">
        <v>447</v>
      </c>
      <c r="Y202" s="4" t="s">
        <v>155</v>
      </c>
      <c r="Z202" s="151">
        <v>2928000</v>
      </c>
      <c r="AA202" s="158">
        <v>1</v>
      </c>
      <c r="AB202" s="175">
        <v>102.26</v>
      </c>
      <c r="AD202" s="151">
        <v>2994.1729999999998</v>
      </c>
      <c r="AG202" s="2" t="s">
        <v>36</v>
      </c>
      <c r="AH202" s="164">
        <v>1.2016000000000001E-2</v>
      </c>
      <c r="AI202" s="164">
        <v>1.69857064097205E-2</v>
      </c>
      <c r="AJ202" s="164">
        <v>1.24033318623851E-3</v>
      </c>
    </row>
    <row r="203" spans="1:36">
      <c r="A203" s="2">
        <v>424</v>
      </c>
      <c r="B203" s="2">
        <v>7228</v>
      </c>
      <c r="C203" s="2" t="s">
        <v>2242</v>
      </c>
      <c r="D203" s="2" t="s">
        <v>2243</v>
      </c>
      <c r="E203" s="4" t="s">
        <v>1342</v>
      </c>
      <c r="F203" s="2" t="s">
        <v>2247</v>
      </c>
      <c r="G203" s="2" t="s">
        <v>2248</v>
      </c>
      <c r="H203" s="2" t="s">
        <v>356</v>
      </c>
      <c r="I203" s="2" t="s">
        <v>208</v>
      </c>
      <c r="J203" s="2" t="s">
        <v>30</v>
      </c>
      <c r="K203" s="2" t="s">
        <v>30</v>
      </c>
      <c r="L203" s="2" t="s">
        <v>362</v>
      </c>
      <c r="M203" s="2" t="s">
        <v>31</v>
      </c>
      <c r="N203" s="2" t="s">
        <v>497</v>
      </c>
      <c r="O203" s="2" t="s">
        <v>155</v>
      </c>
      <c r="P203" s="2" t="s">
        <v>2181</v>
      </c>
      <c r="Q203" s="2" t="s">
        <v>206</v>
      </c>
      <c r="R203" s="2" t="s">
        <v>441</v>
      </c>
      <c r="S203" s="2" t="s">
        <v>34</v>
      </c>
      <c r="T203" s="151">
        <v>1.302</v>
      </c>
      <c r="U203" s="2" t="s">
        <v>2249</v>
      </c>
      <c r="V203" s="162">
        <v>3.4599999999999999E-2</v>
      </c>
      <c r="W203" s="164">
        <v>2.785E-2</v>
      </c>
      <c r="X203" s="4" t="s">
        <v>447</v>
      </c>
      <c r="Y203" s="4" t="s">
        <v>155</v>
      </c>
      <c r="Z203" s="151">
        <v>1004545.45</v>
      </c>
      <c r="AA203" s="158">
        <v>1</v>
      </c>
      <c r="AB203" s="175">
        <v>118.52</v>
      </c>
      <c r="AD203" s="151">
        <v>1190.587</v>
      </c>
      <c r="AG203" s="2" t="s">
        <v>36</v>
      </c>
      <c r="AH203" s="164">
        <v>2.8769999999999998E-3</v>
      </c>
      <c r="AI203" s="164">
        <v>6.75410777166524E-3</v>
      </c>
      <c r="AJ203" s="164">
        <v>4.9319962388103596E-4</v>
      </c>
    </row>
    <row r="204" spans="1:36">
      <c r="A204" s="2">
        <v>424</v>
      </c>
      <c r="B204" s="2">
        <v>7228</v>
      </c>
      <c r="C204" s="2" t="s">
        <v>1836</v>
      </c>
      <c r="D204" s="2" t="s">
        <v>1837</v>
      </c>
      <c r="E204" s="4" t="s">
        <v>1342</v>
      </c>
      <c r="F204" s="2" t="s">
        <v>2250</v>
      </c>
      <c r="G204" s="2" t="s">
        <v>2251</v>
      </c>
      <c r="H204" s="2" t="s">
        <v>356</v>
      </c>
      <c r="I204" s="2" t="s">
        <v>1000</v>
      </c>
      <c r="J204" s="2" t="s">
        <v>30</v>
      </c>
      <c r="K204" s="2" t="s">
        <v>30</v>
      </c>
      <c r="L204" s="2" t="s">
        <v>362</v>
      </c>
      <c r="M204" s="2" t="s">
        <v>31</v>
      </c>
      <c r="N204" s="2" t="s">
        <v>473</v>
      </c>
      <c r="O204" s="2" t="s">
        <v>155</v>
      </c>
      <c r="P204" s="2" t="s">
        <v>1346</v>
      </c>
      <c r="Q204" s="2" t="s">
        <v>206</v>
      </c>
      <c r="R204" s="2" t="s">
        <v>441</v>
      </c>
      <c r="S204" s="2" t="s">
        <v>34</v>
      </c>
      <c r="T204" s="151">
        <v>2.3109999999999999</v>
      </c>
      <c r="U204" s="2" t="s">
        <v>2252</v>
      </c>
      <c r="V204" s="162">
        <v>2.7E-2</v>
      </c>
      <c r="W204" s="164">
        <v>5.9020000000000003E-2</v>
      </c>
      <c r="X204" s="4" t="s">
        <v>447</v>
      </c>
      <c r="Y204" s="4" t="s">
        <v>155</v>
      </c>
      <c r="Z204" s="151">
        <v>2635000</v>
      </c>
      <c r="AA204" s="158">
        <v>1</v>
      </c>
      <c r="AB204" s="175">
        <v>93.07</v>
      </c>
      <c r="AD204" s="151">
        <v>2452.3939999999998</v>
      </c>
      <c r="AG204" s="2" t="s">
        <v>36</v>
      </c>
      <c r="AH204" s="164">
        <v>3.8649999999999999E-3</v>
      </c>
      <c r="AI204" s="164">
        <v>1.39122407957929E-2</v>
      </c>
      <c r="AJ204" s="164">
        <v>1.0159020495072301E-3</v>
      </c>
    </row>
    <row r="205" spans="1:36">
      <c r="A205" s="2">
        <v>424</v>
      </c>
      <c r="B205" s="2">
        <v>7228</v>
      </c>
      <c r="C205" s="2" t="s">
        <v>2253</v>
      </c>
      <c r="D205" s="2" t="s">
        <v>2254</v>
      </c>
      <c r="E205" s="4" t="s">
        <v>1342</v>
      </c>
      <c r="F205" s="2" t="s">
        <v>2255</v>
      </c>
      <c r="G205" s="2" t="s">
        <v>2256</v>
      </c>
      <c r="H205" s="2" t="s">
        <v>356</v>
      </c>
      <c r="I205" s="2" t="s">
        <v>1000</v>
      </c>
      <c r="J205" s="2" t="s">
        <v>30</v>
      </c>
      <c r="K205" s="2" t="s">
        <v>30</v>
      </c>
      <c r="L205" s="2" t="s">
        <v>362</v>
      </c>
      <c r="M205" s="2" t="s">
        <v>85</v>
      </c>
      <c r="N205" s="2" t="s">
        <v>518</v>
      </c>
      <c r="O205" s="2" t="s">
        <v>155</v>
      </c>
      <c r="P205" s="2" t="s">
        <v>2192</v>
      </c>
      <c r="Q205" s="2" t="s">
        <v>101</v>
      </c>
      <c r="R205" s="2" t="s">
        <v>441</v>
      </c>
      <c r="S205" s="2" t="s">
        <v>34</v>
      </c>
      <c r="T205" s="151">
        <v>4.5069999999999997</v>
      </c>
      <c r="U205" s="2" t="s">
        <v>2257</v>
      </c>
      <c r="V205" s="162">
        <v>5.5E-2</v>
      </c>
      <c r="W205" s="164">
        <v>6.1679999999999999E-2</v>
      </c>
      <c r="X205" s="4" t="s">
        <v>447</v>
      </c>
      <c r="Y205" s="4" t="s">
        <v>155</v>
      </c>
      <c r="Z205" s="151">
        <v>4857233.42</v>
      </c>
      <c r="AA205" s="158">
        <v>1</v>
      </c>
      <c r="AB205" s="175">
        <v>97.66</v>
      </c>
      <c r="AD205" s="151">
        <v>4743.5739999999996</v>
      </c>
      <c r="AG205" s="2" t="s">
        <v>36</v>
      </c>
      <c r="AH205" s="164">
        <v>4.8129999999999996E-3</v>
      </c>
      <c r="AI205" s="164">
        <v>2.6909922493467801E-2</v>
      </c>
      <c r="AJ205" s="164">
        <v>1.9650210066419998E-3</v>
      </c>
    </row>
    <row r="206" spans="1:36">
      <c r="A206" s="2">
        <v>424</v>
      </c>
      <c r="B206" s="2">
        <v>7228</v>
      </c>
      <c r="C206" s="2" t="s">
        <v>1844</v>
      </c>
      <c r="D206" s="2" t="s">
        <v>1845</v>
      </c>
      <c r="E206" s="4" t="s">
        <v>1342</v>
      </c>
      <c r="F206" s="2" t="s">
        <v>2258</v>
      </c>
      <c r="G206" s="2" t="s">
        <v>2259</v>
      </c>
      <c r="H206" s="2" t="s">
        <v>356</v>
      </c>
      <c r="I206" s="2" t="s">
        <v>208</v>
      </c>
      <c r="J206" s="2" t="s">
        <v>30</v>
      </c>
      <c r="K206" s="2" t="s">
        <v>30</v>
      </c>
      <c r="L206" s="2" t="s">
        <v>362</v>
      </c>
      <c r="M206" s="2" t="s">
        <v>31</v>
      </c>
      <c r="N206" s="2" t="s">
        <v>497</v>
      </c>
      <c r="O206" s="2" t="s">
        <v>155</v>
      </c>
      <c r="P206" s="2" t="s">
        <v>1353</v>
      </c>
      <c r="Q206" s="2" t="s">
        <v>101</v>
      </c>
      <c r="R206" s="2" t="s">
        <v>441</v>
      </c>
      <c r="S206" s="2" t="s">
        <v>34</v>
      </c>
      <c r="T206" s="151">
        <v>4.4729999999999999</v>
      </c>
      <c r="U206" s="2" t="s">
        <v>2260</v>
      </c>
      <c r="V206" s="162">
        <v>1.17E-2</v>
      </c>
      <c r="W206" s="164">
        <v>3.1579999999999997E-2</v>
      </c>
      <c r="X206" s="4" t="s">
        <v>447</v>
      </c>
      <c r="Y206" s="4" t="s">
        <v>155</v>
      </c>
      <c r="Z206" s="151">
        <v>2397394.14</v>
      </c>
      <c r="AA206" s="158">
        <v>1</v>
      </c>
      <c r="AB206" s="175">
        <v>105.29</v>
      </c>
      <c r="AD206" s="151">
        <v>2524.2159999999999</v>
      </c>
      <c r="AG206" s="2" t="s">
        <v>36</v>
      </c>
      <c r="AH206" s="164">
        <v>3.4819999999999999E-3</v>
      </c>
      <c r="AI206" s="164">
        <v>1.43196801522864E-2</v>
      </c>
      <c r="AJ206" s="164">
        <v>1.0456541565464399E-3</v>
      </c>
    </row>
    <row r="207" spans="1:36">
      <c r="A207" s="2">
        <v>424</v>
      </c>
      <c r="B207" s="2">
        <v>7228</v>
      </c>
      <c r="C207" s="2" t="s">
        <v>1844</v>
      </c>
      <c r="D207" s="2" t="s">
        <v>1845</v>
      </c>
      <c r="E207" s="4" t="s">
        <v>1342</v>
      </c>
      <c r="F207" s="2" t="s">
        <v>2261</v>
      </c>
      <c r="G207" s="2" t="s">
        <v>2262</v>
      </c>
      <c r="H207" s="2" t="s">
        <v>356</v>
      </c>
      <c r="I207" s="2" t="s">
        <v>208</v>
      </c>
      <c r="J207" s="2" t="s">
        <v>30</v>
      </c>
      <c r="K207" s="2" t="s">
        <v>30</v>
      </c>
      <c r="L207" s="2" t="s">
        <v>362</v>
      </c>
      <c r="M207" s="2" t="s">
        <v>31</v>
      </c>
      <c r="N207" s="2" t="s">
        <v>497</v>
      </c>
      <c r="O207" s="2" t="s">
        <v>155</v>
      </c>
      <c r="P207" s="2" t="s">
        <v>1353</v>
      </c>
      <c r="Q207" s="2" t="s">
        <v>101</v>
      </c>
      <c r="R207" s="2" t="s">
        <v>441</v>
      </c>
      <c r="S207" s="2" t="s">
        <v>34</v>
      </c>
      <c r="T207" s="151">
        <v>4.3570000000000002</v>
      </c>
      <c r="U207" s="2" t="s">
        <v>2233</v>
      </c>
      <c r="V207" s="162">
        <v>1.3299999999999999E-2</v>
      </c>
      <c r="W207" s="164">
        <v>3.1530000000000002E-2</v>
      </c>
      <c r="X207" s="4" t="s">
        <v>447</v>
      </c>
      <c r="Y207" s="4" t="s">
        <v>155</v>
      </c>
      <c r="Z207" s="151">
        <v>1615000</v>
      </c>
      <c r="AA207" s="158">
        <v>1</v>
      </c>
      <c r="AB207" s="175">
        <v>106.76</v>
      </c>
      <c r="AD207" s="151">
        <v>1724.174</v>
      </c>
      <c r="AG207" s="2" t="s">
        <v>36</v>
      </c>
      <c r="AH207" s="164">
        <v>1.3600000000000001E-3</v>
      </c>
      <c r="AI207" s="164">
        <v>9.7811032694149896E-3</v>
      </c>
      <c r="AJ207" s="164">
        <v>7.1423741176514699E-4</v>
      </c>
    </row>
    <row r="208" spans="1:36">
      <c r="A208" s="2">
        <v>424</v>
      </c>
      <c r="B208" s="2">
        <v>7228</v>
      </c>
      <c r="C208" s="2" t="s">
        <v>1836</v>
      </c>
      <c r="D208" s="2" t="s">
        <v>1837</v>
      </c>
      <c r="E208" s="4" t="s">
        <v>1342</v>
      </c>
      <c r="F208" s="2" t="s">
        <v>2263</v>
      </c>
      <c r="G208" s="2" t="s">
        <v>2264</v>
      </c>
      <c r="H208" s="2" t="s">
        <v>356</v>
      </c>
      <c r="I208" s="2" t="s">
        <v>1000</v>
      </c>
      <c r="J208" s="2" t="s">
        <v>30</v>
      </c>
      <c r="K208" s="2" t="s">
        <v>30</v>
      </c>
      <c r="L208" s="2" t="s">
        <v>362</v>
      </c>
      <c r="M208" s="2" t="s">
        <v>31</v>
      </c>
      <c r="N208" s="2" t="s">
        <v>473</v>
      </c>
      <c r="O208" s="2" t="s">
        <v>155</v>
      </c>
      <c r="P208" s="2" t="s">
        <v>1346</v>
      </c>
      <c r="Q208" s="2" t="s">
        <v>206</v>
      </c>
      <c r="R208" s="2" t="s">
        <v>441</v>
      </c>
      <c r="S208" s="2" t="s">
        <v>34</v>
      </c>
      <c r="T208" s="151">
        <v>4.0220000000000002</v>
      </c>
      <c r="U208" s="2" t="s">
        <v>2265</v>
      </c>
      <c r="V208" s="162">
        <v>5.7500000000000002E-2</v>
      </c>
      <c r="W208" s="164">
        <v>6.4329999999999998E-2</v>
      </c>
      <c r="X208" s="4" t="s">
        <v>447</v>
      </c>
      <c r="Y208" s="4" t="s">
        <v>155</v>
      </c>
      <c r="Z208" s="151">
        <v>2229683</v>
      </c>
      <c r="AA208" s="158">
        <v>1</v>
      </c>
      <c r="AB208" s="175">
        <v>97.51</v>
      </c>
      <c r="AD208" s="151">
        <v>2174.1640000000002</v>
      </c>
      <c r="AG208" s="2" t="s">
        <v>36</v>
      </c>
      <c r="AH208" s="164">
        <v>4.2469999999999999E-3</v>
      </c>
      <c r="AI208" s="164">
        <v>1.23338604833391E-2</v>
      </c>
      <c r="AJ208" s="164">
        <v>9.0064528980475804E-4</v>
      </c>
    </row>
    <row r="209" spans="1:36">
      <c r="A209" s="2">
        <v>424</v>
      </c>
      <c r="B209" s="2">
        <v>7228</v>
      </c>
      <c r="C209" s="2" t="s">
        <v>2266</v>
      </c>
      <c r="D209" s="2" t="s">
        <v>2267</v>
      </c>
      <c r="E209" s="4" t="s">
        <v>1342</v>
      </c>
      <c r="F209" s="2" t="s">
        <v>2274</v>
      </c>
      <c r="G209" s="2" t="s">
        <v>2275</v>
      </c>
      <c r="H209" s="2" t="s">
        <v>356</v>
      </c>
      <c r="I209" s="2" t="s">
        <v>208</v>
      </c>
      <c r="J209" s="2" t="s">
        <v>30</v>
      </c>
      <c r="K209" s="2" t="s">
        <v>30</v>
      </c>
      <c r="L209" s="2" t="s">
        <v>362</v>
      </c>
      <c r="M209" s="2" t="s">
        <v>31</v>
      </c>
      <c r="N209" s="2" t="s">
        <v>497</v>
      </c>
      <c r="O209" s="2" t="s">
        <v>155</v>
      </c>
      <c r="P209" s="2" t="s">
        <v>2211</v>
      </c>
      <c r="Q209" s="2" t="s">
        <v>206</v>
      </c>
      <c r="R209" s="2" t="s">
        <v>441</v>
      </c>
      <c r="S209" s="2" t="s">
        <v>34</v>
      </c>
      <c r="T209" s="151">
        <v>5.1369999999999996</v>
      </c>
      <c r="U209" s="2" t="s">
        <v>2276</v>
      </c>
      <c r="V209" s="162">
        <v>5.8999999999999999E-3</v>
      </c>
      <c r="W209" s="164">
        <v>3.3239999999999999E-2</v>
      </c>
      <c r="X209" s="4" t="s">
        <v>447</v>
      </c>
      <c r="Y209" s="4" t="s">
        <v>155</v>
      </c>
      <c r="Z209" s="151">
        <v>2348171</v>
      </c>
      <c r="AA209" s="158">
        <v>1</v>
      </c>
      <c r="AB209" s="175">
        <v>97.54</v>
      </c>
      <c r="AD209" s="151">
        <v>2290.4059999999999</v>
      </c>
      <c r="AG209" s="2" t="s">
        <v>36</v>
      </c>
      <c r="AH209" s="164">
        <v>1.6770000000000001E-3</v>
      </c>
      <c r="AI209" s="164">
        <v>1.29932927595083E-2</v>
      </c>
      <c r="AJ209" s="164">
        <v>9.4879846733415395E-4</v>
      </c>
    </row>
    <row r="210" spans="1:36">
      <c r="A210" s="2">
        <v>424</v>
      </c>
      <c r="B210" s="2">
        <v>7228</v>
      </c>
      <c r="C210" s="2" t="s">
        <v>2266</v>
      </c>
      <c r="D210" s="2" t="s">
        <v>2267</v>
      </c>
      <c r="E210" s="4" t="s">
        <v>1342</v>
      </c>
      <c r="F210" s="2" t="s">
        <v>2277</v>
      </c>
      <c r="G210" s="2" t="s">
        <v>2278</v>
      </c>
      <c r="H210" s="2" t="s">
        <v>356</v>
      </c>
      <c r="I210" s="2" t="s">
        <v>208</v>
      </c>
      <c r="J210" s="2" t="s">
        <v>30</v>
      </c>
      <c r="K210" s="2" t="s">
        <v>30</v>
      </c>
      <c r="L210" s="2" t="s">
        <v>362</v>
      </c>
      <c r="M210" s="2" t="s">
        <v>85</v>
      </c>
      <c r="N210" s="2" t="s">
        <v>497</v>
      </c>
      <c r="O210" s="2" t="s">
        <v>155</v>
      </c>
      <c r="P210" s="2" t="s">
        <v>2211</v>
      </c>
      <c r="Q210" s="2" t="s">
        <v>206</v>
      </c>
      <c r="R210" s="2" t="s">
        <v>441</v>
      </c>
      <c r="S210" s="2" t="s">
        <v>34</v>
      </c>
      <c r="T210" s="151">
        <v>3.6840000000000002</v>
      </c>
      <c r="U210" s="2" t="s">
        <v>2279</v>
      </c>
      <c r="V210" s="162">
        <v>3.3399999999999999E-2</v>
      </c>
      <c r="W210" s="164">
        <v>3.0720000000000001E-2</v>
      </c>
      <c r="X210" s="4" t="s">
        <v>447</v>
      </c>
      <c r="Y210" s="4" t="s">
        <v>155</v>
      </c>
      <c r="Z210" s="151">
        <v>2301783</v>
      </c>
      <c r="AA210" s="158">
        <v>1</v>
      </c>
      <c r="AB210" s="175">
        <v>103.53</v>
      </c>
      <c r="AD210" s="151">
        <v>2383.0360000000001</v>
      </c>
      <c r="AG210" s="2" t="s">
        <v>36</v>
      </c>
      <c r="AH210" s="164">
        <v>3.0980000000000001E-3</v>
      </c>
      <c r="AI210" s="164">
        <v>1.3518775148499701E-2</v>
      </c>
      <c r="AJ210" s="164">
        <v>9.87170333073983E-4</v>
      </c>
    </row>
    <row r="211" spans="1:36">
      <c r="A211" s="2">
        <v>424</v>
      </c>
      <c r="B211" s="2">
        <v>7228</v>
      </c>
      <c r="C211" s="2" t="s">
        <v>2266</v>
      </c>
      <c r="D211" s="2" t="s">
        <v>2267</v>
      </c>
      <c r="E211" s="4" t="s">
        <v>1342</v>
      </c>
      <c r="F211" s="2" t="s">
        <v>2280</v>
      </c>
      <c r="G211" s="2" t="s">
        <v>2281</v>
      </c>
      <c r="H211" s="2" t="s">
        <v>356</v>
      </c>
      <c r="I211" s="2" t="s">
        <v>208</v>
      </c>
      <c r="J211" s="2" t="s">
        <v>30</v>
      </c>
      <c r="K211" s="2" t="s">
        <v>30</v>
      </c>
      <c r="L211" s="2" t="s">
        <v>362</v>
      </c>
      <c r="M211" s="2" t="s">
        <v>31</v>
      </c>
      <c r="N211" s="2" t="s">
        <v>497</v>
      </c>
      <c r="O211" s="2" t="s">
        <v>155</v>
      </c>
      <c r="P211" s="2" t="s">
        <v>2211</v>
      </c>
      <c r="Q211" s="2" t="s">
        <v>206</v>
      </c>
      <c r="R211" s="2" t="s">
        <v>441</v>
      </c>
      <c r="S211" s="2" t="s">
        <v>34</v>
      </c>
      <c r="T211" s="151">
        <v>0.85199999999999998</v>
      </c>
      <c r="U211" s="2" t="s">
        <v>2282</v>
      </c>
      <c r="V211" s="162">
        <v>4.7500000000000001E-2</v>
      </c>
      <c r="W211" s="164">
        <v>2.555E-2</v>
      </c>
      <c r="X211" s="4" t="s">
        <v>447</v>
      </c>
      <c r="Y211" s="4" t="s">
        <v>155</v>
      </c>
      <c r="Z211" s="151">
        <v>1071344.68</v>
      </c>
      <c r="AA211" s="158">
        <v>1</v>
      </c>
      <c r="AB211" s="175">
        <v>142.99</v>
      </c>
      <c r="AD211" s="151">
        <v>1531.9159999999999</v>
      </c>
      <c r="AG211" s="2" t="s">
        <v>36</v>
      </c>
      <c r="AH211" s="164">
        <v>1.121E-3</v>
      </c>
      <c r="AI211" s="164">
        <v>8.6904374085080907E-3</v>
      </c>
      <c r="AJ211" s="164">
        <v>6.3459462095333502E-4</v>
      </c>
    </row>
    <row r="212" spans="1:36">
      <c r="A212" s="2">
        <v>424</v>
      </c>
      <c r="B212" s="2">
        <v>7228</v>
      </c>
      <c r="C212" s="2" t="s">
        <v>2283</v>
      </c>
      <c r="D212" s="2" t="s">
        <v>2284</v>
      </c>
      <c r="E212" s="4" t="s">
        <v>1342</v>
      </c>
      <c r="F212" s="2" t="s">
        <v>2285</v>
      </c>
      <c r="G212" s="2" t="s">
        <v>2286</v>
      </c>
      <c r="H212" s="2" t="s">
        <v>356</v>
      </c>
      <c r="I212" s="2" t="s">
        <v>208</v>
      </c>
      <c r="J212" s="2" t="s">
        <v>30</v>
      </c>
      <c r="K212" s="2" t="s">
        <v>30</v>
      </c>
      <c r="L212" s="2" t="s">
        <v>362</v>
      </c>
      <c r="M212" s="2" t="s">
        <v>31</v>
      </c>
      <c r="N212" s="2" t="s">
        <v>484</v>
      </c>
      <c r="O212" s="2" t="s">
        <v>155</v>
      </c>
      <c r="P212" s="2" t="s">
        <v>1346</v>
      </c>
      <c r="Q212" s="2" t="s">
        <v>206</v>
      </c>
      <c r="R212" s="2" t="s">
        <v>441</v>
      </c>
      <c r="S212" s="2" t="s">
        <v>34</v>
      </c>
      <c r="T212" s="151">
        <v>4.702</v>
      </c>
      <c r="U212" s="2" t="s">
        <v>2287</v>
      </c>
      <c r="V212" s="162">
        <v>7.4999999999999997E-3</v>
      </c>
      <c r="W212" s="164">
        <v>3.6729999999999999E-2</v>
      </c>
      <c r="X212" s="4" t="s">
        <v>447</v>
      </c>
      <c r="Y212" s="4" t="s">
        <v>155</v>
      </c>
      <c r="Z212" s="151">
        <v>1742840.1</v>
      </c>
      <c r="AA212" s="158">
        <v>1</v>
      </c>
      <c r="AB212" s="175">
        <v>97.72</v>
      </c>
      <c r="AD212" s="151">
        <v>1703.1030000000001</v>
      </c>
      <c r="AG212" s="2" t="s">
        <v>36</v>
      </c>
      <c r="AH212" s="164">
        <v>1.663E-3</v>
      </c>
      <c r="AI212" s="164">
        <v>9.6615711076570594E-3</v>
      </c>
      <c r="AJ212" s="164">
        <v>7.0550891361058398E-4</v>
      </c>
    </row>
    <row r="213" spans="1:36">
      <c r="A213" s="2">
        <v>424</v>
      </c>
      <c r="B213" s="2">
        <v>7228</v>
      </c>
      <c r="C213" s="2" t="s">
        <v>2288</v>
      </c>
      <c r="D213" s="2" t="s">
        <v>2289</v>
      </c>
      <c r="E213" s="4" t="s">
        <v>1342</v>
      </c>
      <c r="F213" s="2" t="s">
        <v>2290</v>
      </c>
      <c r="G213" s="2" t="s">
        <v>2291</v>
      </c>
      <c r="H213" s="2" t="s">
        <v>356</v>
      </c>
      <c r="I213" s="2" t="s">
        <v>208</v>
      </c>
      <c r="J213" s="2" t="s">
        <v>30</v>
      </c>
      <c r="K213" s="2" t="s">
        <v>30</v>
      </c>
      <c r="L213" s="2" t="s">
        <v>362</v>
      </c>
      <c r="M213" s="2" t="s">
        <v>31</v>
      </c>
      <c r="N213" s="2" t="s">
        <v>481</v>
      </c>
      <c r="O213" s="2" t="s">
        <v>155</v>
      </c>
      <c r="P213" s="2" t="s">
        <v>100</v>
      </c>
      <c r="Q213" s="2" t="s">
        <v>206</v>
      </c>
      <c r="R213" s="2" t="s">
        <v>441</v>
      </c>
      <c r="S213" s="2" t="s">
        <v>34</v>
      </c>
      <c r="T213" s="151">
        <v>4.9290000000000003</v>
      </c>
      <c r="U213" s="2" t="s">
        <v>2292</v>
      </c>
      <c r="V213" s="162">
        <v>2.47E-2</v>
      </c>
      <c r="W213" s="164">
        <v>2.5839999999999998E-2</v>
      </c>
      <c r="X213" s="4" t="s">
        <v>447</v>
      </c>
      <c r="Y213" s="4" t="s">
        <v>155</v>
      </c>
      <c r="Z213" s="151">
        <v>5670214</v>
      </c>
      <c r="AA213" s="158">
        <v>1</v>
      </c>
      <c r="AB213" s="175">
        <v>102.7</v>
      </c>
      <c r="AD213" s="151">
        <v>5823.31</v>
      </c>
      <c r="AG213" s="2" t="s">
        <v>36</v>
      </c>
      <c r="AH213" s="164">
        <v>1.983E-3</v>
      </c>
      <c r="AI213" s="164">
        <v>3.3035177602963602E-2</v>
      </c>
      <c r="AJ213" s="164">
        <v>2.4123004428470598E-3</v>
      </c>
    </row>
    <row r="214" spans="1:36">
      <c r="A214" s="2">
        <v>424</v>
      </c>
      <c r="B214" s="2">
        <v>7228</v>
      </c>
      <c r="C214" s="2" t="s">
        <v>2293</v>
      </c>
      <c r="D214" s="2" t="s">
        <v>2294</v>
      </c>
      <c r="E214" s="4" t="s">
        <v>1342</v>
      </c>
      <c r="F214" s="2" t="s">
        <v>2295</v>
      </c>
      <c r="G214" s="2" t="s">
        <v>2296</v>
      </c>
      <c r="H214" s="2" t="s">
        <v>356</v>
      </c>
      <c r="I214" s="2" t="s">
        <v>208</v>
      </c>
      <c r="J214" s="2" t="s">
        <v>30</v>
      </c>
      <c r="K214" s="2" t="s">
        <v>30</v>
      </c>
      <c r="L214" s="2" t="s">
        <v>362</v>
      </c>
      <c r="M214" s="2" t="s">
        <v>31</v>
      </c>
      <c r="N214" s="2" t="s">
        <v>484</v>
      </c>
      <c r="O214" s="2" t="s">
        <v>155</v>
      </c>
      <c r="P214" s="2" t="s">
        <v>2297</v>
      </c>
      <c r="Q214" s="2" t="s">
        <v>206</v>
      </c>
      <c r="R214" s="2" t="s">
        <v>441</v>
      </c>
      <c r="S214" s="2" t="s">
        <v>34</v>
      </c>
      <c r="T214" s="151">
        <v>0.72899999999999998</v>
      </c>
      <c r="U214" s="2" t="s">
        <v>2298</v>
      </c>
      <c r="V214" s="162">
        <v>4.9500000000000002E-2</v>
      </c>
      <c r="W214" s="164">
        <v>3.5880000000000002E-2</v>
      </c>
      <c r="X214" s="4" t="s">
        <v>447</v>
      </c>
      <c r="Y214" s="4" t="s">
        <v>375</v>
      </c>
      <c r="Z214" s="151">
        <v>0.8</v>
      </c>
      <c r="AA214" s="158">
        <v>1</v>
      </c>
      <c r="AB214" s="175">
        <v>145.86000000000001</v>
      </c>
      <c r="AD214" s="151">
        <v>1E-3</v>
      </c>
      <c r="AG214" s="2" t="s">
        <v>36</v>
      </c>
      <c r="AH214" s="164">
        <v>0</v>
      </c>
      <c r="AI214" s="164">
        <v>6.6196183117335998E-9</v>
      </c>
      <c r="AJ214" s="164">
        <v>4.8337891131667399E-10</v>
      </c>
    </row>
    <row r="215" spans="1:36">
      <c r="A215" s="2">
        <v>424</v>
      </c>
      <c r="B215" s="2">
        <v>7228</v>
      </c>
      <c r="C215" s="2" t="s">
        <v>2288</v>
      </c>
      <c r="D215" s="2" t="s">
        <v>2289</v>
      </c>
      <c r="E215" s="4" t="s">
        <v>1342</v>
      </c>
      <c r="F215" s="2" t="s">
        <v>2299</v>
      </c>
      <c r="G215" s="2" t="s">
        <v>2300</v>
      </c>
      <c r="H215" s="2" t="s">
        <v>356</v>
      </c>
      <c r="I215" s="2" t="s">
        <v>208</v>
      </c>
      <c r="J215" s="2" t="s">
        <v>30</v>
      </c>
      <c r="K215" s="2" t="s">
        <v>30</v>
      </c>
      <c r="L215" s="2" t="s">
        <v>362</v>
      </c>
      <c r="M215" s="2" t="s">
        <v>31</v>
      </c>
      <c r="N215" s="2" t="s">
        <v>481</v>
      </c>
      <c r="O215" s="2" t="s">
        <v>155</v>
      </c>
      <c r="P215" s="2" t="s">
        <v>1353</v>
      </c>
      <c r="Q215" s="2" t="s">
        <v>206</v>
      </c>
      <c r="R215" s="2" t="s">
        <v>441</v>
      </c>
      <c r="S215" s="2" t="s">
        <v>34</v>
      </c>
      <c r="T215" s="151">
        <v>3.87</v>
      </c>
      <c r="U215" s="2" t="s">
        <v>2301</v>
      </c>
      <c r="V215" s="162">
        <v>3.1699999999999999E-2</v>
      </c>
      <c r="W215" s="164">
        <v>3.0759999999999999E-2</v>
      </c>
      <c r="X215" s="4" t="s">
        <v>447</v>
      </c>
      <c r="Y215" s="4" t="s">
        <v>155</v>
      </c>
      <c r="Z215" s="151">
        <v>3000000</v>
      </c>
      <c r="AA215" s="158">
        <v>1</v>
      </c>
      <c r="AB215" s="175">
        <v>110.29</v>
      </c>
      <c r="AD215" s="151">
        <v>3308.7</v>
      </c>
      <c r="AG215" s="2" t="s">
        <v>36</v>
      </c>
      <c r="AH215" s="164">
        <v>3.552E-3</v>
      </c>
      <c r="AI215" s="164">
        <v>1.8769994436474199E-2</v>
      </c>
      <c r="AJ215" s="164">
        <v>1.37062577460705E-3</v>
      </c>
    </row>
    <row r="216" spans="1:36">
      <c r="A216" s="2">
        <v>424</v>
      </c>
      <c r="B216" s="2">
        <v>7228</v>
      </c>
      <c r="C216" s="2" t="s">
        <v>2302</v>
      </c>
      <c r="D216" s="2" t="s">
        <v>2303</v>
      </c>
      <c r="E216" s="4" t="s">
        <v>1342</v>
      </c>
      <c r="F216" s="2" t="s">
        <v>2307</v>
      </c>
      <c r="G216" s="2" t="s">
        <v>2308</v>
      </c>
      <c r="H216" s="2" t="s">
        <v>356</v>
      </c>
      <c r="I216" s="2" t="s">
        <v>208</v>
      </c>
      <c r="J216" s="2" t="s">
        <v>30</v>
      </c>
      <c r="K216" s="2" t="s">
        <v>30</v>
      </c>
      <c r="L216" s="2" t="s">
        <v>362</v>
      </c>
      <c r="M216" s="2" t="s">
        <v>31</v>
      </c>
      <c r="N216" s="2" t="s">
        <v>473</v>
      </c>
      <c r="O216" s="2" t="s">
        <v>155</v>
      </c>
      <c r="P216" s="2" t="s">
        <v>2192</v>
      </c>
      <c r="Q216" s="2" t="s">
        <v>206</v>
      </c>
      <c r="R216" s="2" t="s">
        <v>441</v>
      </c>
      <c r="S216" s="2" t="s">
        <v>34</v>
      </c>
      <c r="T216" s="151">
        <v>5.843</v>
      </c>
      <c r="U216" s="2" t="s">
        <v>2309</v>
      </c>
      <c r="V216" s="162">
        <v>3.3000000000000002E-2</v>
      </c>
      <c r="W216" s="164">
        <v>4.2569999999999997E-2</v>
      </c>
      <c r="X216" s="4" t="s">
        <v>447</v>
      </c>
      <c r="Y216" s="4" t="s">
        <v>155</v>
      </c>
      <c r="Z216" s="151">
        <v>3831610.9</v>
      </c>
      <c r="AA216" s="158">
        <v>1</v>
      </c>
      <c r="AB216" s="175">
        <v>101.08</v>
      </c>
      <c r="AD216" s="151">
        <v>3872.9920000000002</v>
      </c>
      <c r="AG216" s="2" t="s">
        <v>36</v>
      </c>
      <c r="AH216" s="164">
        <v>3.0599999999999998E-3</v>
      </c>
      <c r="AI216" s="164">
        <v>2.1971180185786501E-2</v>
      </c>
      <c r="AJ216" s="164">
        <v>1.60438331311682E-3</v>
      </c>
    </row>
    <row r="217" spans="1:36">
      <c r="A217" s="2">
        <v>424</v>
      </c>
      <c r="B217" s="2">
        <v>7228</v>
      </c>
      <c r="C217" s="2" t="s">
        <v>2310</v>
      </c>
      <c r="D217" s="2" t="s">
        <v>2311</v>
      </c>
      <c r="E217" s="4" t="s">
        <v>1342</v>
      </c>
      <c r="F217" s="2" t="s">
        <v>2312</v>
      </c>
      <c r="G217" s="2" t="s">
        <v>2313</v>
      </c>
      <c r="H217" s="2" t="s">
        <v>356</v>
      </c>
      <c r="I217" s="2" t="s">
        <v>208</v>
      </c>
      <c r="J217" s="2" t="s">
        <v>30</v>
      </c>
      <c r="K217" s="2" t="s">
        <v>30</v>
      </c>
      <c r="L217" s="2" t="s">
        <v>362</v>
      </c>
      <c r="M217" s="2" t="s">
        <v>31</v>
      </c>
      <c r="N217" s="2" t="s">
        <v>497</v>
      </c>
      <c r="O217" s="2" t="s">
        <v>155</v>
      </c>
      <c r="P217" s="2" t="s">
        <v>2192</v>
      </c>
      <c r="Q217" s="2" t="s">
        <v>206</v>
      </c>
      <c r="R217" s="2" t="s">
        <v>441</v>
      </c>
      <c r="S217" s="2" t="s">
        <v>34</v>
      </c>
      <c r="T217" s="151">
        <v>3.8849999999999998</v>
      </c>
      <c r="U217" s="2" t="s">
        <v>2201</v>
      </c>
      <c r="V217" s="162">
        <v>3.6499999999999998E-2</v>
      </c>
      <c r="W217" s="164">
        <v>3.2820000000000002E-2</v>
      </c>
      <c r="X217" s="4" t="s">
        <v>447</v>
      </c>
      <c r="Y217" s="4" t="s">
        <v>155</v>
      </c>
      <c r="Z217" s="151">
        <v>1720000</v>
      </c>
      <c r="AA217" s="158">
        <v>1</v>
      </c>
      <c r="AB217" s="175">
        <v>108.95</v>
      </c>
      <c r="AD217" s="151">
        <v>1873.94</v>
      </c>
      <c r="AG217" s="2" t="s">
        <v>36</v>
      </c>
      <c r="AH217" s="164">
        <v>5.2750000000000002E-3</v>
      </c>
      <c r="AI217" s="164">
        <v>1.06307139886621E-2</v>
      </c>
      <c r="AJ217" s="164">
        <v>7.7627783240159104E-4</v>
      </c>
    </row>
    <row r="218" spans="1:36">
      <c r="A218" s="2">
        <v>424</v>
      </c>
      <c r="B218" s="2">
        <v>7228</v>
      </c>
      <c r="C218" s="2" t="s">
        <v>2310</v>
      </c>
      <c r="D218" s="2" t="s">
        <v>2311</v>
      </c>
      <c r="E218" s="4" t="s">
        <v>1342</v>
      </c>
      <c r="F218" s="2" t="s">
        <v>2314</v>
      </c>
      <c r="G218" s="2" t="s">
        <v>2315</v>
      </c>
      <c r="H218" s="2" t="s">
        <v>356</v>
      </c>
      <c r="I218" s="2" t="s">
        <v>208</v>
      </c>
      <c r="J218" s="2" t="s">
        <v>30</v>
      </c>
      <c r="K218" s="2" t="s">
        <v>30</v>
      </c>
      <c r="L218" s="2" t="s">
        <v>362</v>
      </c>
      <c r="M218" s="2" t="s">
        <v>31</v>
      </c>
      <c r="N218" s="2" t="s">
        <v>497</v>
      </c>
      <c r="O218" s="2" t="s">
        <v>155</v>
      </c>
      <c r="P218" s="2" t="s">
        <v>2181</v>
      </c>
      <c r="Q218" s="2" t="s">
        <v>206</v>
      </c>
      <c r="R218" s="2" t="s">
        <v>441</v>
      </c>
      <c r="S218" s="2" t="s">
        <v>34</v>
      </c>
      <c r="T218" s="151">
        <v>1.536</v>
      </c>
      <c r="U218" s="2" t="s">
        <v>1338</v>
      </c>
      <c r="V218" s="162">
        <v>1.7999999999999999E-2</v>
      </c>
      <c r="W218" s="164">
        <v>2.742E-2</v>
      </c>
      <c r="X218" s="4" t="s">
        <v>447</v>
      </c>
      <c r="Y218" s="4" t="s">
        <v>155</v>
      </c>
      <c r="Z218" s="151">
        <v>1805813.65</v>
      </c>
      <c r="AA218" s="158">
        <v>1</v>
      </c>
      <c r="AB218" s="175">
        <v>113.45</v>
      </c>
      <c r="AD218" s="151">
        <v>2048.6959999999999</v>
      </c>
      <c r="AG218" s="2" t="s">
        <v>36</v>
      </c>
      <c r="AH218" s="164">
        <v>2.2899999999999999E-3</v>
      </c>
      <c r="AI218" s="164">
        <v>1.16220886601509E-2</v>
      </c>
      <c r="AJ218" s="164">
        <v>8.4867016483588902E-4</v>
      </c>
    </row>
    <row r="219" spans="1:36">
      <c r="A219" s="2">
        <v>424</v>
      </c>
      <c r="B219" s="2">
        <v>7228</v>
      </c>
      <c r="C219" s="2" t="s">
        <v>2316</v>
      </c>
      <c r="D219" s="2" t="s">
        <v>2317</v>
      </c>
      <c r="E219" s="4" t="s">
        <v>1342</v>
      </c>
      <c r="F219" s="2" t="s">
        <v>2318</v>
      </c>
      <c r="G219" s="2" t="s">
        <v>2319</v>
      </c>
      <c r="H219" s="2" t="s">
        <v>356</v>
      </c>
      <c r="I219" s="2" t="s">
        <v>1000</v>
      </c>
      <c r="J219" s="2" t="s">
        <v>30</v>
      </c>
      <c r="K219" s="2" t="s">
        <v>30</v>
      </c>
      <c r="L219" s="2" t="s">
        <v>362</v>
      </c>
      <c r="M219" s="2" t="s">
        <v>31</v>
      </c>
      <c r="N219" s="2" t="s">
        <v>478</v>
      </c>
      <c r="O219" s="2" t="s">
        <v>155</v>
      </c>
      <c r="P219" s="2" t="s">
        <v>1353</v>
      </c>
      <c r="Q219" s="2" t="s">
        <v>206</v>
      </c>
      <c r="R219" s="2" t="s">
        <v>441</v>
      </c>
      <c r="S219" s="2" t="s">
        <v>34</v>
      </c>
      <c r="T219" s="151">
        <v>8.5960000000000001</v>
      </c>
      <c r="U219" s="2" t="s">
        <v>2320</v>
      </c>
      <c r="V219" s="162">
        <v>3.0499999999999999E-2</v>
      </c>
      <c r="W219" s="164">
        <v>5.8979999999999998E-2</v>
      </c>
      <c r="X219" s="4" t="s">
        <v>447</v>
      </c>
      <c r="Y219" s="4" t="s">
        <v>155</v>
      </c>
      <c r="Z219" s="151">
        <v>1926852</v>
      </c>
      <c r="AA219" s="158">
        <v>1</v>
      </c>
      <c r="AB219" s="175">
        <v>84.59</v>
      </c>
      <c r="AD219" s="151">
        <v>1629.924</v>
      </c>
      <c r="AG219" s="2" t="s">
        <v>36</v>
      </c>
      <c r="AH219" s="164">
        <v>2.823E-3</v>
      </c>
      <c r="AI219" s="164">
        <v>9.2464310504159E-3</v>
      </c>
      <c r="AJ219" s="164">
        <v>6.7519448467176296E-4</v>
      </c>
    </row>
    <row r="220" spans="1:36">
      <c r="A220" s="2">
        <v>424</v>
      </c>
      <c r="B220" s="2">
        <v>7228</v>
      </c>
      <c r="C220" s="2" t="s">
        <v>2316</v>
      </c>
      <c r="D220" s="2" t="s">
        <v>2317</v>
      </c>
      <c r="E220" s="4" t="s">
        <v>1342</v>
      </c>
      <c r="F220" s="2" t="s">
        <v>2321</v>
      </c>
      <c r="G220" s="2" t="s">
        <v>2322</v>
      </c>
      <c r="H220" s="2" t="s">
        <v>356</v>
      </c>
      <c r="I220" s="2" t="s">
        <v>1000</v>
      </c>
      <c r="J220" s="2" t="s">
        <v>30</v>
      </c>
      <c r="K220" s="2" t="s">
        <v>30</v>
      </c>
      <c r="L220" s="2" t="s">
        <v>362</v>
      </c>
      <c r="M220" s="2" t="s">
        <v>85</v>
      </c>
      <c r="N220" s="2" t="s">
        <v>478</v>
      </c>
      <c r="O220" s="2" t="s">
        <v>155</v>
      </c>
      <c r="P220" s="2" t="s">
        <v>1353</v>
      </c>
      <c r="Q220" s="2" t="s">
        <v>206</v>
      </c>
      <c r="R220" s="2" t="s">
        <v>441</v>
      </c>
      <c r="S220" s="2" t="s">
        <v>34</v>
      </c>
      <c r="T220" s="151">
        <v>8.6649999999999991</v>
      </c>
      <c r="U220" s="2" t="s">
        <v>2323</v>
      </c>
      <c r="V220" s="162">
        <v>6.0199999999999997E-2</v>
      </c>
      <c r="W220" s="164">
        <v>5.9959999999999999E-2</v>
      </c>
      <c r="X220" s="4" t="s">
        <v>447</v>
      </c>
      <c r="Y220" s="4" t="s">
        <v>155</v>
      </c>
      <c r="Z220" s="151">
        <v>2300809</v>
      </c>
      <c r="AA220" s="158">
        <v>1</v>
      </c>
      <c r="AB220" s="175">
        <v>102.28</v>
      </c>
      <c r="AD220" s="151">
        <v>2353.2669999999998</v>
      </c>
      <c r="AG220" s="2" t="s">
        <v>36</v>
      </c>
      <c r="AH220" s="164">
        <v>4.6020000000000002E-3</v>
      </c>
      <c r="AI220" s="164">
        <v>1.33499008232659E-2</v>
      </c>
      <c r="AJ220" s="164">
        <v>9.7483876293855999E-4</v>
      </c>
    </row>
    <row r="221" spans="1:36">
      <c r="A221" s="2">
        <v>424</v>
      </c>
      <c r="B221" s="2">
        <v>7228</v>
      </c>
      <c r="C221" s="2" t="s">
        <v>2316</v>
      </c>
      <c r="D221" s="2" t="s">
        <v>2317</v>
      </c>
      <c r="E221" s="4" t="s">
        <v>1342</v>
      </c>
      <c r="F221" s="2" t="s">
        <v>2516</v>
      </c>
      <c r="G221" s="2" t="s">
        <v>2517</v>
      </c>
      <c r="H221" s="2" t="s">
        <v>356</v>
      </c>
      <c r="I221" s="2" t="s">
        <v>208</v>
      </c>
      <c r="J221" s="2" t="s">
        <v>30</v>
      </c>
      <c r="K221" s="2" t="s">
        <v>30</v>
      </c>
      <c r="L221" s="2" t="s">
        <v>362</v>
      </c>
      <c r="M221" s="2" t="s">
        <v>31</v>
      </c>
      <c r="N221" s="2" t="s">
        <v>478</v>
      </c>
      <c r="O221" s="2" t="s">
        <v>155</v>
      </c>
      <c r="P221" s="2" t="s">
        <v>1353</v>
      </c>
      <c r="Q221" s="2" t="s">
        <v>206</v>
      </c>
      <c r="R221" s="2" t="s">
        <v>441</v>
      </c>
      <c r="S221" s="2" t="s">
        <v>34</v>
      </c>
      <c r="T221" s="151">
        <v>2.1909999999999998</v>
      </c>
      <c r="U221" s="2" t="s">
        <v>2378</v>
      </c>
      <c r="V221" s="162">
        <v>2.4E-2</v>
      </c>
      <c r="W221" s="164">
        <v>2.2200000000000001E-2</v>
      </c>
      <c r="X221" s="4" t="s">
        <v>447</v>
      </c>
      <c r="Y221" s="4" t="s">
        <v>155</v>
      </c>
      <c r="Z221" s="151">
        <v>16877.099999999999</v>
      </c>
      <c r="AA221" s="158">
        <v>1</v>
      </c>
      <c r="AB221" s="175">
        <v>116.5</v>
      </c>
      <c r="AD221" s="151">
        <v>19.661999999999999</v>
      </c>
      <c r="AG221" s="2" t="s">
        <v>36</v>
      </c>
      <c r="AH221" s="164">
        <v>5.7000000000000003E-5</v>
      </c>
      <c r="AI221" s="164">
        <v>1.11539964386601E-4</v>
      </c>
      <c r="AJ221" s="164">
        <v>8.1448905381639702E-6</v>
      </c>
    </row>
    <row r="222" spans="1:36">
      <c r="A222" s="2">
        <v>424</v>
      </c>
      <c r="B222" s="2">
        <v>7228</v>
      </c>
      <c r="C222" s="2" t="s">
        <v>2316</v>
      </c>
      <c r="D222" s="2" t="s">
        <v>2317</v>
      </c>
      <c r="E222" s="4" t="s">
        <v>1342</v>
      </c>
      <c r="F222" s="2" t="s">
        <v>2324</v>
      </c>
      <c r="G222" s="2" t="s">
        <v>2325</v>
      </c>
      <c r="H222" s="2" t="s">
        <v>356</v>
      </c>
      <c r="I222" s="2" t="s">
        <v>1000</v>
      </c>
      <c r="J222" s="2" t="s">
        <v>30</v>
      </c>
      <c r="K222" s="2" t="s">
        <v>30</v>
      </c>
      <c r="L222" s="2" t="s">
        <v>362</v>
      </c>
      <c r="M222" s="2" t="s">
        <v>31</v>
      </c>
      <c r="N222" s="2" t="s">
        <v>478</v>
      </c>
      <c r="O222" s="2" t="s">
        <v>155</v>
      </c>
      <c r="P222" s="2" t="s">
        <v>1353</v>
      </c>
      <c r="Q222" s="2" t="s">
        <v>206</v>
      </c>
      <c r="R222" s="2" t="s">
        <v>441</v>
      </c>
      <c r="S222" s="2" t="s">
        <v>34</v>
      </c>
      <c r="T222" s="151">
        <v>4.681</v>
      </c>
      <c r="U222" s="2" t="s">
        <v>2326</v>
      </c>
      <c r="V222" s="162">
        <v>4.3799999999999999E-2</v>
      </c>
      <c r="W222" s="164">
        <v>5.527E-2</v>
      </c>
      <c r="X222" s="4" t="s">
        <v>447</v>
      </c>
      <c r="Y222" s="4" t="s">
        <v>155</v>
      </c>
      <c r="Z222" s="151">
        <v>935000</v>
      </c>
      <c r="AA222" s="158">
        <v>1</v>
      </c>
      <c r="AB222" s="175">
        <v>96.24</v>
      </c>
      <c r="AD222" s="151">
        <v>899.84400000000005</v>
      </c>
      <c r="AG222" s="2" t="s">
        <v>36</v>
      </c>
      <c r="AH222" s="164">
        <v>1.8699999999999999E-3</v>
      </c>
      <c r="AI222" s="164">
        <v>5.1047441211637999E-3</v>
      </c>
      <c r="AJ222" s="164">
        <v>3.7275950661151198E-4</v>
      </c>
    </row>
    <row r="223" spans="1:36">
      <c r="A223" s="2">
        <v>424</v>
      </c>
      <c r="B223" s="2">
        <v>7228</v>
      </c>
      <c r="C223" s="2" t="s">
        <v>2327</v>
      </c>
      <c r="D223" s="2" t="s">
        <v>2328</v>
      </c>
      <c r="E223" s="4" t="s">
        <v>1342</v>
      </c>
      <c r="F223" s="2" t="s">
        <v>2329</v>
      </c>
      <c r="G223" s="2" t="s">
        <v>2330</v>
      </c>
      <c r="H223" s="2" t="s">
        <v>356</v>
      </c>
      <c r="I223" s="2" t="s">
        <v>208</v>
      </c>
      <c r="J223" s="2" t="s">
        <v>30</v>
      </c>
      <c r="K223" s="2" t="s">
        <v>30</v>
      </c>
      <c r="L223" s="2" t="s">
        <v>362</v>
      </c>
      <c r="M223" s="2" t="s">
        <v>31</v>
      </c>
      <c r="N223" s="2" t="s">
        <v>473</v>
      </c>
      <c r="O223" s="2" t="s">
        <v>155</v>
      </c>
      <c r="P223" s="2" t="s">
        <v>1519</v>
      </c>
      <c r="Q223" s="2" t="s">
        <v>206</v>
      </c>
      <c r="R223" s="2" t="s">
        <v>441</v>
      </c>
      <c r="S223" s="2" t="s">
        <v>34</v>
      </c>
      <c r="T223" s="151">
        <v>7.5629999999999997</v>
      </c>
      <c r="U223" s="2" t="s">
        <v>2331</v>
      </c>
      <c r="V223" s="162">
        <v>0.03</v>
      </c>
      <c r="W223" s="164">
        <v>3.2599999999999997E-2</v>
      </c>
      <c r="X223" s="4" t="s">
        <v>447</v>
      </c>
      <c r="Y223" s="4" t="s">
        <v>155</v>
      </c>
      <c r="Z223" s="151">
        <v>4700000</v>
      </c>
      <c r="AA223" s="158">
        <v>1</v>
      </c>
      <c r="AB223" s="175">
        <v>103.71</v>
      </c>
      <c r="AD223" s="151">
        <v>4874.37</v>
      </c>
      <c r="AG223" s="2" t="s">
        <v>36</v>
      </c>
      <c r="AH223" s="164">
        <v>1.152E-3</v>
      </c>
      <c r="AI223" s="164">
        <v>2.7651917001032599E-2</v>
      </c>
      <c r="AJ223" s="164">
        <v>2.0192030576877298E-3</v>
      </c>
    </row>
    <row r="224" spans="1:36">
      <c r="A224" s="2">
        <v>424</v>
      </c>
      <c r="B224" s="2">
        <v>7228</v>
      </c>
      <c r="C224" s="2" t="s">
        <v>2327</v>
      </c>
      <c r="D224" s="2" t="s">
        <v>2328</v>
      </c>
      <c r="E224" s="4" t="s">
        <v>1342</v>
      </c>
      <c r="F224" s="2" t="s">
        <v>2332</v>
      </c>
      <c r="G224" s="2" t="s">
        <v>2333</v>
      </c>
      <c r="H224" s="2" t="s">
        <v>356</v>
      </c>
      <c r="I224" s="2" t="s">
        <v>208</v>
      </c>
      <c r="J224" s="2" t="s">
        <v>30</v>
      </c>
      <c r="K224" s="2" t="s">
        <v>30</v>
      </c>
      <c r="L224" s="2" t="s">
        <v>362</v>
      </c>
      <c r="M224" s="2" t="s">
        <v>31</v>
      </c>
      <c r="N224" s="2" t="s">
        <v>473</v>
      </c>
      <c r="O224" s="2" t="s">
        <v>155</v>
      </c>
      <c r="P224" s="2" t="s">
        <v>1519</v>
      </c>
      <c r="Q224" s="2" t="s">
        <v>101</v>
      </c>
      <c r="R224" s="2" t="s">
        <v>441</v>
      </c>
      <c r="S224" s="2" t="s">
        <v>34</v>
      </c>
      <c r="T224" s="151">
        <v>10.287000000000001</v>
      </c>
      <c r="U224" s="2" t="s">
        <v>2334</v>
      </c>
      <c r="V224" s="162">
        <v>3.2000000000000001E-2</v>
      </c>
      <c r="W224" s="164">
        <v>3.4759999999999999E-2</v>
      </c>
      <c r="X224" s="4" t="s">
        <v>447</v>
      </c>
      <c r="Y224" s="4" t="s">
        <v>155</v>
      </c>
      <c r="Z224" s="151">
        <v>4700000</v>
      </c>
      <c r="AA224" s="158">
        <v>1</v>
      </c>
      <c r="AB224" s="175">
        <v>102.97</v>
      </c>
      <c r="AD224" s="151">
        <v>4839.59</v>
      </c>
      <c r="AG224" s="2" t="s">
        <v>36</v>
      </c>
      <c r="AH224" s="164">
        <v>9.5399999999999999E-4</v>
      </c>
      <c r="AI224" s="164">
        <v>2.7454612801044501E-2</v>
      </c>
      <c r="AJ224" s="164">
        <v>2.0047954763292401E-3</v>
      </c>
    </row>
    <row r="225" spans="1:36">
      <c r="A225" s="2">
        <v>424</v>
      </c>
      <c r="B225" s="2">
        <v>7228</v>
      </c>
      <c r="C225" s="2" t="s">
        <v>2335</v>
      </c>
      <c r="D225" s="2" t="s">
        <v>2336</v>
      </c>
      <c r="E225" s="4" t="s">
        <v>1342</v>
      </c>
      <c r="F225" s="2" t="s">
        <v>2337</v>
      </c>
      <c r="G225" s="2" t="s">
        <v>2338</v>
      </c>
      <c r="H225" s="2" t="s">
        <v>356</v>
      </c>
      <c r="I225" s="2" t="s">
        <v>208</v>
      </c>
      <c r="J225" s="2" t="s">
        <v>30</v>
      </c>
      <c r="K225" s="2" t="s">
        <v>30</v>
      </c>
      <c r="L225" s="2" t="s">
        <v>362</v>
      </c>
      <c r="M225" s="2" t="s">
        <v>31</v>
      </c>
      <c r="N225" s="2" t="s">
        <v>481</v>
      </c>
      <c r="O225" s="2" t="s">
        <v>155</v>
      </c>
      <c r="P225" s="2" t="s">
        <v>1353</v>
      </c>
      <c r="Q225" s="2" t="s">
        <v>206</v>
      </c>
      <c r="R225" s="2" t="s">
        <v>441</v>
      </c>
      <c r="S225" s="2" t="s">
        <v>34</v>
      </c>
      <c r="T225" s="151">
        <v>4.5019999999999998</v>
      </c>
      <c r="U225" s="2" t="s">
        <v>2339</v>
      </c>
      <c r="V225" s="162">
        <v>2.5899999999999999E-2</v>
      </c>
      <c r="W225" s="164">
        <v>2.647E-2</v>
      </c>
      <c r="X225" s="4" t="s">
        <v>447</v>
      </c>
      <c r="Y225" s="4" t="s">
        <v>155</v>
      </c>
      <c r="Z225" s="151">
        <v>2010000</v>
      </c>
      <c r="AA225" s="158">
        <v>1</v>
      </c>
      <c r="AB225" s="175">
        <v>105.13</v>
      </c>
      <c r="AD225" s="151">
        <v>2113.1129999999998</v>
      </c>
      <c r="AG225" s="2" t="s">
        <v>36</v>
      </c>
      <c r="AH225" s="164">
        <v>4.4669999999999996E-3</v>
      </c>
      <c r="AI225" s="164">
        <v>1.1987523575313901E-2</v>
      </c>
      <c r="AJ225" s="164">
        <v>8.7535501630768401E-4</v>
      </c>
    </row>
    <row r="226" spans="1:36">
      <c r="A226" s="2">
        <v>424</v>
      </c>
      <c r="B226" s="2">
        <v>7228</v>
      </c>
      <c r="C226" s="2" t="s">
        <v>1896</v>
      </c>
      <c r="D226" s="2" t="s">
        <v>1897</v>
      </c>
      <c r="E226" s="4" t="s">
        <v>1342</v>
      </c>
      <c r="F226" s="2" t="s">
        <v>2345</v>
      </c>
      <c r="G226" s="2" t="s">
        <v>2346</v>
      </c>
      <c r="H226" s="2" t="s">
        <v>356</v>
      </c>
      <c r="I226" s="2" t="s">
        <v>1000</v>
      </c>
      <c r="J226" s="2" t="s">
        <v>30</v>
      </c>
      <c r="K226" s="2" t="s">
        <v>30</v>
      </c>
      <c r="L226" s="2" t="s">
        <v>362</v>
      </c>
      <c r="M226" s="2" t="s">
        <v>31</v>
      </c>
      <c r="N226" s="2" t="s">
        <v>478</v>
      </c>
      <c r="O226" s="2" t="s">
        <v>155</v>
      </c>
      <c r="P226" s="2" t="s">
        <v>1353</v>
      </c>
      <c r="Q226" s="2" t="s">
        <v>206</v>
      </c>
      <c r="R226" s="2" t="s">
        <v>441</v>
      </c>
      <c r="S226" s="2" t="s">
        <v>34</v>
      </c>
      <c r="T226" s="151">
        <v>3.105</v>
      </c>
      <c r="U226" s="2" t="s">
        <v>2347</v>
      </c>
      <c r="V226" s="162">
        <v>4.7E-2</v>
      </c>
      <c r="W226" s="164">
        <v>5.4760000000000003E-2</v>
      </c>
      <c r="X226" s="4" t="s">
        <v>447</v>
      </c>
      <c r="Y226" s="4" t="s">
        <v>155</v>
      </c>
      <c r="Z226" s="151">
        <v>1282000</v>
      </c>
      <c r="AA226" s="158">
        <v>1</v>
      </c>
      <c r="AB226" s="175">
        <v>100.38</v>
      </c>
      <c r="AD226" s="151">
        <v>1286.8720000000001</v>
      </c>
      <c r="AG226" s="2" t="s">
        <v>36</v>
      </c>
      <c r="AH226" s="164">
        <v>1.426E-3</v>
      </c>
      <c r="AI226" s="164">
        <v>7.3003212054452201E-3</v>
      </c>
      <c r="AJ226" s="164">
        <v>5.3308531555288198E-4</v>
      </c>
    </row>
    <row r="227" spans="1:36">
      <c r="A227" s="2">
        <v>424</v>
      </c>
      <c r="B227" s="2">
        <v>7228</v>
      </c>
      <c r="C227" s="2" t="s">
        <v>2348</v>
      </c>
      <c r="D227" s="2" t="s">
        <v>2349</v>
      </c>
      <c r="E227" s="4" t="s">
        <v>1342</v>
      </c>
      <c r="F227" s="2" t="s">
        <v>2350</v>
      </c>
      <c r="G227" s="2" t="s">
        <v>2351</v>
      </c>
      <c r="H227" s="2" t="s">
        <v>356</v>
      </c>
      <c r="I227" s="2" t="s">
        <v>1000</v>
      </c>
      <c r="J227" s="2" t="s">
        <v>30</v>
      </c>
      <c r="K227" s="2" t="s">
        <v>30</v>
      </c>
      <c r="L227" s="2" t="s">
        <v>362</v>
      </c>
      <c r="M227" s="2" t="s">
        <v>31</v>
      </c>
      <c r="N227" s="2" t="s">
        <v>512</v>
      </c>
      <c r="O227" s="2" t="s">
        <v>155</v>
      </c>
      <c r="P227" s="2" t="s">
        <v>1353</v>
      </c>
      <c r="Q227" s="2" t="s">
        <v>206</v>
      </c>
      <c r="R227" s="2" t="s">
        <v>441</v>
      </c>
      <c r="S227" s="2" t="s">
        <v>34</v>
      </c>
      <c r="T227" s="151">
        <v>9.2230000000000008</v>
      </c>
      <c r="U227" s="2" t="s">
        <v>2352</v>
      </c>
      <c r="V227" s="162">
        <v>5.3100000000000001E-2</v>
      </c>
      <c r="W227" s="164">
        <v>6.1010000000000002E-2</v>
      </c>
      <c r="X227" s="4" t="s">
        <v>447</v>
      </c>
      <c r="Y227" s="4" t="s">
        <v>155</v>
      </c>
      <c r="Z227" s="151">
        <v>3444043</v>
      </c>
      <c r="AA227" s="158">
        <v>1</v>
      </c>
      <c r="AB227" s="175">
        <v>95.72</v>
      </c>
      <c r="AD227" s="151">
        <v>3296.6379999999999</v>
      </c>
      <c r="AG227" s="2" t="s">
        <v>36</v>
      </c>
      <c r="AH227" s="164">
        <v>2.7049999999999999E-3</v>
      </c>
      <c r="AI227" s="164">
        <v>1.8701567431547599E-2</v>
      </c>
      <c r="AJ227" s="164">
        <v>1.3656290860385601E-3</v>
      </c>
    </row>
    <row r="228" spans="1:36">
      <c r="A228" s="2">
        <v>424</v>
      </c>
      <c r="B228" s="2">
        <v>7228</v>
      </c>
      <c r="C228" s="2" t="s">
        <v>1212</v>
      </c>
      <c r="D228" s="2" t="s">
        <v>1900</v>
      </c>
      <c r="E228" s="4" t="s">
        <v>1342</v>
      </c>
      <c r="F228" s="2" t="s">
        <v>2353</v>
      </c>
      <c r="G228" s="2" t="s">
        <v>2354</v>
      </c>
      <c r="H228" s="2" t="s">
        <v>356</v>
      </c>
      <c r="I228" s="2" t="s">
        <v>208</v>
      </c>
      <c r="J228" s="2" t="s">
        <v>30</v>
      </c>
      <c r="K228" s="2" t="s">
        <v>30</v>
      </c>
      <c r="L228" s="2" t="s">
        <v>362</v>
      </c>
      <c r="M228" s="2" t="s">
        <v>31</v>
      </c>
      <c r="N228" s="2" t="s">
        <v>481</v>
      </c>
      <c r="O228" s="2" t="s">
        <v>155</v>
      </c>
      <c r="P228" s="2" t="s">
        <v>100</v>
      </c>
      <c r="Q228" s="2" t="s">
        <v>206</v>
      </c>
      <c r="R228" s="2" t="s">
        <v>441</v>
      </c>
      <c r="S228" s="2" t="s">
        <v>34</v>
      </c>
      <c r="T228" s="151">
        <v>1.7370000000000001</v>
      </c>
      <c r="U228" s="2" t="s">
        <v>2355</v>
      </c>
      <c r="V228" s="162">
        <v>8.3000000000000001E-3</v>
      </c>
      <c r="W228" s="164">
        <v>2.0449999999999999E-2</v>
      </c>
      <c r="X228" s="4" t="s">
        <v>447</v>
      </c>
      <c r="Y228" s="4" t="s">
        <v>155</v>
      </c>
      <c r="Z228" s="151">
        <v>1051282.5</v>
      </c>
      <c r="AA228" s="158">
        <v>1</v>
      </c>
      <c r="AB228" s="175">
        <v>113.2</v>
      </c>
      <c r="AD228" s="151">
        <v>1190.0519999999999</v>
      </c>
      <c r="AG228" s="2" t="s">
        <v>36</v>
      </c>
      <c r="AH228" s="164">
        <v>6.9099999999999999E-4</v>
      </c>
      <c r="AI228" s="164">
        <v>6.7510700509009897E-3</v>
      </c>
      <c r="AJ228" s="164">
        <v>4.9297780291089003E-4</v>
      </c>
    </row>
    <row r="229" spans="1:36">
      <c r="A229" s="2">
        <v>424</v>
      </c>
      <c r="B229" s="2">
        <v>7228</v>
      </c>
      <c r="C229" s="2" t="s">
        <v>1212</v>
      </c>
      <c r="D229" s="2" t="s">
        <v>1900</v>
      </c>
      <c r="E229" s="4" t="s">
        <v>1342</v>
      </c>
      <c r="F229" s="2" t="s">
        <v>2356</v>
      </c>
      <c r="G229" s="2" t="s">
        <v>2357</v>
      </c>
      <c r="H229" s="2" t="s">
        <v>356</v>
      </c>
      <c r="I229" s="2" t="s">
        <v>208</v>
      </c>
      <c r="J229" s="2" t="s">
        <v>30</v>
      </c>
      <c r="K229" s="2" t="s">
        <v>30</v>
      </c>
      <c r="L229" s="2" t="s">
        <v>362</v>
      </c>
      <c r="M229" s="2" t="s">
        <v>31</v>
      </c>
      <c r="N229" s="2" t="s">
        <v>481</v>
      </c>
      <c r="O229" s="2" t="s">
        <v>155</v>
      </c>
      <c r="P229" s="2" t="s">
        <v>100</v>
      </c>
      <c r="Q229" s="2" t="s">
        <v>206</v>
      </c>
      <c r="R229" s="2" t="s">
        <v>441</v>
      </c>
      <c r="S229" s="2" t="s">
        <v>34</v>
      </c>
      <c r="T229" s="151">
        <v>5.0449999999999999</v>
      </c>
      <c r="U229" s="2" t="s">
        <v>2358</v>
      </c>
      <c r="V229" s="162">
        <v>2.0199999999999999E-2</v>
      </c>
      <c r="W229" s="164">
        <v>2.5940000000000001E-2</v>
      </c>
      <c r="X229" s="4" t="s">
        <v>447</v>
      </c>
      <c r="Y229" s="4" t="s">
        <v>155</v>
      </c>
      <c r="Z229" s="151">
        <v>3500000</v>
      </c>
      <c r="AA229" s="158">
        <v>1</v>
      </c>
      <c r="AB229" s="175">
        <v>101.35</v>
      </c>
      <c r="AD229" s="151">
        <v>3547.25</v>
      </c>
      <c r="AG229" s="2" t="s">
        <v>36</v>
      </c>
      <c r="AH229" s="164">
        <v>9.810000000000001E-4</v>
      </c>
      <c r="AI229" s="164">
        <v>2.0123269793206701E-2</v>
      </c>
      <c r="AJ229" s="164">
        <v>1.46944488136576E-3</v>
      </c>
    </row>
    <row r="230" spans="1:36">
      <c r="A230" s="2">
        <v>424</v>
      </c>
      <c r="B230" s="2">
        <v>7228</v>
      </c>
      <c r="C230" s="2" t="s">
        <v>2364</v>
      </c>
      <c r="D230" s="2" t="s">
        <v>2365</v>
      </c>
      <c r="E230" s="4" t="s">
        <v>1342</v>
      </c>
      <c r="F230" s="2" t="s">
        <v>2366</v>
      </c>
      <c r="G230" s="2" t="s">
        <v>2367</v>
      </c>
      <c r="H230" s="2" t="s">
        <v>356</v>
      </c>
      <c r="I230" s="2" t="s">
        <v>1000</v>
      </c>
      <c r="J230" s="2" t="s">
        <v>30</v>
      </c>
      <c r="K230" s="2" t="s">
        <v>30</v>
      </c>
      <c r="L230" s="2" t="s">
        <v>362</v>
      </c>
      <c r="M230" s="2" t="s">
        <v>85</v>
      </c>
      <c r="N230" s="2" t="s">
        <v>478</v>
      </c>
      <c r="O230" s="2" t="s">
        <v>155</v>
      </c>
      <c r="P230" s="2" t="s">
        <v>1346</v>
      </c>
      <c r="Q230" s="2" t="s">
        <v>101</v>
      </c>
      <c r="R230" s="2" t="s">
        <v>441</v>
      </c>
      <c r="S230" s="2" t="s">
        <v>34</v>
      </c>
      <c r="T230" s="151">
        <v>9.5030000000000001</v>
      </c>
      <c r="U230" s="2" t="s">
        <v>2246</v>
      </c>
      <c r="V230" s="162">
        <v>6.0699999999999997E-2</v>
      </c>
      <c r="W230" s="164">
        <v>6.1519999999999998E-2</v>
      </c>
      <c r="X230" s="4" t="s">
        <v>447</v>
      </c>
      <c r="Y230" s="4" t="s">
        <v>155</v>
      </c>
      <c r="Z230" s="151">
        <v>2318988</v>
      </c>
      <c r="AA230" s="158">
        <v>1</v>
      </c>
      <c r="AB230" s="175">
        <v>101.97</v>
      </c>
      <c r="AD230" s="151">
        <v>2364.672</v>
      </c>
      <c r="AG230" s="2" t="s">
        <v>36</v>
      </c>
      <c r="AH230" s="164">
        <v>1.1025999999999999E-2</v>
      </c>
      <c r="AI230" s="164">
        <v>1.3414598324979E-2</v>
      </c>
      <c r="AJ230" s="164">
        <v>9.7956311507946107E-4</v>
      </c>
    </row>
    <row r="231" spans="1:36">
      <c r="A231" s="2">
        <v>424</v>
      </c>
      <c r="B231" s="2">
        <v>7228</v>
      </c>
      <c r="C231" s="2" t="s">
        <v>2364</v>
      </c>
      <c r="D231" s="2" t="s">
        <v>2365</v>
      </c>
      <c r="E231" s="4" t="s">
        <v>1342</v>
      </c>
      <c r="F231" s="2" t="s">
        <v>2518</v>
      </c>
      <c r="G231" s="2" t="s">
        <v>2519</v>
      </c>
      <c r="H231" s="2" t="s">
        <v>356</v>
      </c>
      <c r="I231" s="2" t="s">
        <v>1000</v>
      </c>
      <c r="J231" s="2" t="s">
        <v>30</v>
      </c>
      <c r="K231" s="2" t="s">
        <v>30</v>
      </c>
      <c r="L231" s="2" t="s">
        <v>362</v>
      </c>
      <c r="M231" s="2" t="s">
        <v>31</v>
      </c>
      <c r="N231" s="2" t="s">
        <v>478</v>
      </c>
      <c r="O231" s="2" t="s">
        <v>155</v>
      </c>
      <c r="P231" s="2" t="s">
        <v>1346</v>
      </c>
      <c r="Q231" s="2" t="s">
        <v>101</v>
      </c>
      <c r="R231" s="2" t="s">
        <v>441</v>
      </c>
      <c r="S231" s="2" t="s">
        <v>34</v>
      </c>
      <c r="T231" s="151">
        <v>2.13</v>
      </c>
      <c r="U231" s="2" t="s">
        <v>2378</v>
      </c>
      <c r="V231" s="162">
        <v>4.1000000000000002E-2</v>
      </c>
      <c r="W231" s="164">
        <v>5.416E-2</v>
      </c>
      <c r="X231" s="4" t="s">
        <v>447</v>
      </c>
      <c r="Y231" s="4" t="s">
        <v>155</v>
      </c>
      <c r="Z231" s="151">
        <v>1220000</v>
      </c>
      <c r="AA231" s="158">
        <v>1</v>
      </c>
      <c r="AB231" s="175">
        <v>100.34</v>
      </c>
      <c r="AD231" s="151">
        <v>1224.1479999999999</v>
      </c>
      <c r="AG231" s="2" t="s">
        <v>36</v>
      </c>
      <c r="AH231" s="164">
        <v>1.7110000000000001E-3</v>
      </c>
      <c r="AI231" s="164">
        <v>6.9444951640888998E-3</v>
      </c>
      <c r="AJ231" s="164">
        <v>5.0710212492328596E-4</v>
      </c>
    </row>
    <row r="232" spans="1:36">
      <c r="A232" s="2">
        <v>424</v>
      </c>
      <c r="B232" s="2">
        <v>7228</v>
      </c>
      <c r="C232" s="2" t="s">
        <v>2364</v>
      </c>
      <c r="D232" s="2" t="s">
        <v>2365</v>
      </c>
      <c r="E232" s="4" t="s">
        <v>1342</v>
      </c>
      <c r="F232" s="2" t="s">
        <v>2368</v>
      </c>
      <c r="G232" s="2" t="s">
        <v>2369</v>
      </c>
      <c r="H232" s="2" t="s">
        <v>356</v>
      </c>
      <c r="I232" s="2" t="s">
        <v>1000</v>
      </c>
      <c r="J232" s="2" t="s">
        <v>30</v>
      </c>
      <c r="K232" s="2" t="s">
        <v>30</v>
      </c>
      <c r="L232" s="2" t="s">
        <v>362</v>
      </c>
      <c r="M232" s="2" t="s">
        <v>85</v>
      </c>
      <c r="N232" s="2" t="s">
        <v>478</v>
      </c>
      <c r="O232" s="2" t="s">
        <v>155</v>
      </c>
      <c r="P232" s="2" t="s">
        <v>1346</v>
      </c>
      <c r="Q232" s="2" t="s">
        <v>206</v>
      </c>
      <c r="R232" s="2" t="s">
        <v>441</v>
      </c>
      <c r="S232" s="2" t="s">
        <v>34</v>
      </c>
      <c r="T232" s="151">
        <v>9.0589999999999993</v>
      </c>
      <c r="U232" s="2" t="s">
        <v>2370</v>
      </c>
      <c r="V232" s="162">
        <v>6.0699999999999997E-2</v>
      </c>
      <c r="W232" s="164">
        <v>6.0609999999999997E-2</v>
      </c>
      <c r="X232" s="4" t="s">
        <v>447</v>
      </c>
      <c r="Y232" s="4" t="s">
        <v>155</v>
      </c>
      <c r="Z232" s="151">
        <v>2527229</v>
      </c>
      <c r="AA232" s="158">
        <v>1</v>
      </c>
      <c r="AB232" s="175">
        <v>102.54</v>
      </c>
      <c r="AD232" s="151">
        <v>2591.4209999999998</v>
      </c>
      <c r="AG232" s="2" t="s">
        <v>36</v>
      </c>
      <c r="AH232" s="164">
        <v>1.2017E-2</v>
      </c>
      <c r="AI232" s="164">
        <v>1.47009250026132E-2</v>
      </c>
      <c r="AJ232" s="164">
        <v>1.0734934838335501E-3</v>
      </c>
    </row>
    <row r="233" spans="1:36">
      <c r="A233" s="2">
        <v>424</v>
      </c>
      <c r="B233" s="2">
        <v>7228</v>
      </c>
      <c r="C233" s="2" t="s">
        <v>1907</v>
      </c>
      <c r="D233" s="2" t="s">
        <v>1908</v>
      </c>
      <c r="E233" s="4" t="s">
        <v>1342</v>
      </c>
      <c r="F233" s="2" t="s">
        <v>2371</v>
      </c>
      <c r="G233" s="2" t="s">
        <v>2372</v>
      </c>
      <c r="H233" s="2" t="s">
        <v>356</v>
      </c>
      <c r="I233" s="2" t="s">
        <v>1000</v>
      </c>
      <c r="J233" s="2" t="s">
        <v>30</v>
      </c>
      <c r="K233" s="2" t="s">
        <v>30</v>
      </c>
      <c r="L233" s="2" t="s">
        <v>362</v>
      </c>
      <c r="M233" s="2" t="s">
        <v>31</v>
      </c>
      <c r="N233" s="2" t="s">
        <v>497</v>
      </c>
      <c r="O233" s="2" t="s">
        <v>155</v>
      </c>
      <c r="P233" s="2" t="s">
        <v>2181</v>
      </c>
      <c r="Q233" s="2" t="s">
        <v>101</v>
      </c>
      <c r="R233" s="2" t="s">
        <v>441</v>
      </c>
      <c r="S233" s="2" t="s">
        <v>34</v>
      </c>
      <c r="T233" s="151">
        <v>4.8710000000000004</v>
      </c>
      <c r="U233" s="2" t="s">
        <v>2373</v>
      </c>
      <c r="V233" s="162">
        <v>5.4800000000000001E-2</v>
      </c>
      <c r="W233" s="164">
        <v>6.2E-2</v>
      </c>
      <c r="X233" s="4" t="s">
        <v>447</v>
      </c>
      <c r="Y233" s="4" t="s">
        <v>155</v>
      </c>
      <c r="Z233" s="151">
        <v>2160000</v>
      </c>
      <c r="AA233" s="158">
        <v>1</v>
      </c>
      <c r="AB233" s="175">
        <v>98.13</v>
      </c>
      <c r="AD233" s="151">
        <v>2119.6080000000002</v>
      </c>
      <c r="AG233" s="2" t="s">
        <v>36</v>
      </c>
      <c r="AH233" s="164">
        <v>7.1999999999999998E-3</v>
      </c>
      <c r="AI233" s="164">
        <v>1.20243691986297E-2</v>
      </c>
      <c r="AJ233" s="164">
        <v>8.7804556377529201E-4</v>
      </c>
    </row>
    <row r="234" spans="1:36">
      <c r="A234" s="2">
        <v>424</v>
      </c>
      <c r="B234" s="2">
        <v>7228</v>
      </c>
      <c r="C234" s="2" t="s">
        <v>2374</v>
      </c>
      <c r="D234" s="2" t="s">
        <v>2375</v>
      </c>
      <c r="E234" s="4" t="s">
        <v>1342</v>
      </c>
      <c r="F234" s="2" t="s">
        <v>2376</v>
      </c>
      <c r="G234" s="2" t="s">
        <v>2377</v>
      </c>
      <c r="H234" s="2" t="s">
        <v>356</v>
      </c>
      <c r="I234" s="2" t="s">
        <v>208</v>
      </c>
      <c r="J234" s="2" t="s">
        <v>30</v>
      </c>
      <c r="K234" s="2" t="s">
        <v>30</v>
      </c>
      <c r="L234" s="2" t="s">
        <v>362</v>
      </c>
      <c r="M234" s="2" t="s">
        <v>31</v>
      </c>
      <c r="N234" s="2" t="s">
        <v>497</v>
      </c>
      <c r="O234" s="2" t="s">
        <v>155</v>
      </c>
      <c r="P234" s="2" t="s">
        <v>2192</v>
      </c>
      <c r="Q234" s="2" t="s">
        <v>206</v>
      </c>
      <c r="R234" s="2" t="s">
        <v>441</v>
      </c>
      <c r="S234" s="2" t="s">
        <v>34</v>
      </c>
      <c r="T234" s="151">
        <v>2.2000000000000002</v>
      </c>
      <c r="U234" s="2" t="s">
        <v>2378</v>
      </c>
      <c r="V234" s="162">
        <v>3.0000000000000001E-3</v>
      </c>
      <c r="W234" s="164">
        <v>3.1710000000000002E-2</v>
      </c>
      <c r="X234" s="4" t="s">
        <v>447</v>
      </c>
      <c r="Y234" s="4" t="s">
        <v>155</v>
      </c>
      <c r="Z234" s="151">
        <v>2163000</v>
      </c>
      <c r="AA234" s="158">
        <v>1</v>
      </c>
      <c r="AB234" s="175">
        <v>97.34</v>
      </c>
      <c r="AD234" s="151">
        <v>2105.4639999999999</v>
      </c>
      <c r="AG234" s="2" t="s">
        <v>36</v>
      </c>
      <c r="AH234" s="164">
        <v>6.5519999999999997E-3</v>
      </c>
      <c r="AI234" s="164">
        <v>1.1944132535496E-2</v>
      </c>
      <c r="AJ234" s="164">
        <v>8.7218650830610896E-4</v>
      </c>
    </row>
    <row r="235" spans="1:36">
      <c r="A235" s="2">
        <v>424</v>
      </c>
      <c r="B235" s="2">
        <v>7228</v>
      </c>
      <c r="C235" s="2" t="s">
        <v>2379</v>
      </c>
      <c r="D235" s="2" t="s">
        <v>2380</v>
      </c>
      <c r="E235" s="4" t="s">
        <v>1342</v>
      </c>
      <c r="F235" s="2" t="s">
        <v>2520</v>
      </c>
      <c r="G235" s="2" t="s">
        <v>2521</v>
      </c>
      <c r="H235" s="2" t="s">
        <v>356</v>
      </c>
      <c r="I235" s="2" t="s">
        <v>1000</v>
      </c>
      <c r="J235" s="2" t="s">
        <v>30</v>
      </c>
      <c r="K235" s="2" t="s">
        <v>30</v>
      </c>
      <c r="L235" s="2" t="s">
        <v>362</v>
      </c>
      <c r="M235" s="2" t="s">
        <v>31</v>
      </c>
      <c r="N235" s="2" t="s">
        <v>481</v>
      </c>
      <c r="O235" s="2" t="s">
        <v>155</v>
      </c>
      <c r="P235" s="2" t="s">
        <v>100</v>
      </c>
      <c r="Q235" s="2" t="s">
        <v>206</v>
      </c>
      <c r="R235" s="2" t="s">
        <v>441</v>
      </c>
      <c r="S235" s="2" t="s">
        <v>34</v>
      </c>
      <c r="T235" s="151">
        <v>0.68200000000000005</v>
      </c>
      <c r="U235" s="2" t="s">
        <v>2522</v>
      </c>
      <c r="V235" s="162">
        <v>2.98E-2</v>
      </c>
      <c r="W235" s="164">
        <v>4.4600000000000001E-2</v>
      </c>
      <c r="X235" s="4" t="s">
        <v>447</v>
      </c>
      <c r="Y235" s="4" t="s">
        <v>155</v>
      </c>
      <c r="Z235" s="151">
        <v>2000000</v>
      </c>
      <c r="AA235" s="158">
        <v>1</v>
      </c>
      <c r="AB235" s="175">
        <v>99.95</v>
      </c>
      <c r="AD235" s="151">
        <v>1999</v>
      </c>
      <c r="AG235" s="2" t="s">
        <v>36</v>
      </c>
      <c r="AH235" s="164">
        <v>7.8700000000000005E-4</v>
      </c>
      <c r="AI235" s="164">
        <v>1.13401695162788E-2</v>
      </c>
      <c r="AJ235" s="164">
        <v>8.2808381643530702E-4</v>
      </c>
    </row>
    <row r="236" spans="1:36">
      <c r="A236" s="2">
        <v>424</v>
      </c>
      <c r="B236" s="2">
        <v>7228</v>
      </c>
      <c r="C236" s="2" t="s">
        <v>2379</v>
      </c>
      <c r="D236" s="2" t="s">
        <v>2380</v>
      </c>
      <c r="E236" s="4" t="s">
        <v>1342</v>
      </c>
      <c r="F236" s="2" t="s">
        <v>2381</v>
      </c>
      <c r="G236" s="2" t="s">
        <v>2382</v>
      </c>
      <c r="H236" s="2" t="s">
        <v>356</v>
      </c>
      <c r="I236" s="2" t="s">
        <v>208</v>
      </c>
      <c r="J236" s="2" t="s">
        <v>30</v>
      </c>
      <c r="K236" s="2" t="s">
        <v>30</v>
      </c>
      <c r="L236" s="2" t="s">
        <v>362</v>
      </c>
      <c r="M236" s="2" t="s">
        <v>31</v>
      </c>
      <c r="N236" s="2" t="s">
        <v>481</v>
      </c>
      <c r="O236" s="2" t="s">
        <v>155</v>
      </c>
      <c r="P236" s="2" t="s">
        <v>1353</v>
      </c>
      <c r="Q236" s="2" t="s">
        <v>206</v>
      </c>
      <c r="R236" s="2" t="s">
        <v>441</v>
      </c>
      <c r="S236" s="2" t="s">
        <v>34</v>
      </c>
      <c r="T236" s="151">
        <v>4.4210000000000003</v>
      </c>
      <c r="U236" s="2" t="s">
        <v>2383</v>
      </c>
      <c r="V236" s="162">
        <v>3.3599999999999998E-2</v>
      </c>
      <c r="W236" s="164">
        <v>3.0880000000000001E-2</v>
      </c>
      <c r="X236" s="4" t="s">
        <v>447</v>
      </c>
      <c r="Y236" s="4" t="s">
        <v>155</v>
      </c>
      <c r="Z236" s="151">
        <v>2550000</v>
      </c>
      <c r="AA236" s="158">
        <v>1</v>
      </c>
      <c r="AB236" s="175">
        <v>105.66</v>
      </c>
      <c r="AD236" s="151">
        <v>2694.33</v>
      </c>
      <c r="AG236" s="2" t="s">
        <v>36</v>
      </c>
      <c r="AH236" s="164">
        <v>2.1849999999999999E-3</v>
      </c>
      <c r="AI236" s="164">
        <v>1.5284721827311399E-2</v>
      </c>
      <c r="AJ236" s="164">
        <v>1.1161235963662499E-3</v>
      </c>
    </row>
    <row r="237" spans="1:36">
      <c r="A237" s="2">
        <v>424</v>
      </c>
      <c r="B237" s="2">
        <v>7228</v>
      </c>
      <c r="C237" s="2" t="s">
        <v>2379</v>
      </c>
      <c r="D237" s="2" t="s">
        <v>2380</v>
      </c>
      <c r="E237" s="4" t="s">
        <v>1342</v>
      </c>
      <c r="F237" s="2" t="s">
        <v>2384</v>
      </c>
      <c r="G237" s="2" t="s">
        <v>2385</v>
      </c>
      <c r="H237" s="2" t="s">
        <v>356</v>
      </c>
      <c r="I237" s="2" t="s">
        <v>208</v>
      </c>
      <c r="J237" s="2" t="s">
        <v>30</v>
      </c>
      <c r="K237" s="2" t="s">
        <v>30</v>
      </c>
      <c r="L237" s="2" t="s">
        <v>362</v>
      </c>
      <c r="M237" s="2" t="s">
        <v>31</v>
      </c>
      <c r="N237" s="2" t="s">
        <v>481</v>
      </c>
      <c r="O237" s="2" t="s">
        <v>155</v>
      </c>
      <c r="P237" s="2" t="s">
        <v>100</v>
      </c>
      <c r="Q237" s="2" t="s">
        <v>206</v>
      </c>
      <c r="R237" s="2" t="s">
        <v>441</v>
      </c>
      <c r="S237" s="2" t="s">
        <v>34</v>
      </c>
      <c r="T237" s="151">
        <v>5.5650000000000004</v>
      </c>
      <c r="U237" s="2" t="s">
        <v>2386</v>
      </c>
      <c r="V237" s="162">
        <v>2.2013000000000001E-2</v>
      </c>
      <c r="W237" s="164">
        <v>2.4819999999999998E-2</v>
      </c>
      <c r="X237" s="4" t="s">
        <v>447</v>
      </c>
      <c r="Y237" s="4" t="s">
        <v>155</v>
      </c>
      <c r="Z237" s="151">
        <v>4000000</v>
      </c>
      <c r="AA237" s="158">
        <v>1</v>
      </c>
      <c r="AB237" s="175">
        <v>117</v>
      </c>
      <c r="AD237" s="151">
        <v>4680</v>
      </c>
      <c r="AG237" s="2" t="s">
        <v>36</v>
      </c>
      <c r="AH237" s="164">
        <v>5.6990000000000001E-3</v>
      </c>
      <c r="AI237" s="164">
        <v>2.65492713037444E-2</v>
      </c>
      <c r="AJ237" s="164">
        <v>1.9386854731952201E-3</v>
      </c>
    </row>
    <row r="238" spans="1:36">
      <c r="A238" s="2">
        <v>424</v>
      </c>
      <c r="B238" s="2">
        <v>7228</v>
      </c>
      <c r="C238" s="2" t="s">
        <v>1919</v>
      </c>
      <c r="D238" s="2" t="s">
        <v>1920</v>
      </c>
      <c r="E238" s="4" t="s">
        <v>1342</v>
      </c>
      <c r="F238" s="2" t="s">
        <v>2387</v>
      </c>
      <c r="G238" s="2" t="s">
        <v>2388</v>
      </c>
      <c r="H238" s="2" t="s">
        <v>356</v>
      </c>
      <c r="I238" s="2" t="s">
        <v>208</v>
      </c>
      <c r="J238" s="2" t="s">
        <v>30</v>
      </c>
      <c r="K238" s="2" t="s">
        <v>30</v>
      </c>
      <c r="L238" s="2" t="s">
        <v>362</v>
      </c>
      <c r="M238" s="2" t="s">
        <v>31</v>
      </c>
      <c r="N238" s="2" t="s">
        <v>497</v>
      </c>
      <c r="O238" s="2" t="s">
        <v>155</v>
      </c>
      <c r="P238" s="2" t="s">
        <v>2211</v>
      </c>
      <c r="Q238" s="2" t="s">
        <v>206</v>
      </c>
      <c r="R238" s="2" t="s">
        <v>441</v>
      </c>
      <c r="S238" s="2" t="s">
        <v>34</v>
      </c>
      <c r="T238" s="151">
        <v>5.92</v>
      </c>
      <c r="U238" s="2" t="s">
        <v>2389</v>
      </c>
      <c r="V238" s="162">
        <v>3.61E-2</v>
      </c>
      <c r="W238" s="164">
        <v>3.4549999999999997E-2</v>
      </c>
      <c r="X238" s="4" t="s">
        <v>447</v>
      </c>
      <c r="Y238" s="4" t="s">
        <v>155</v>
      </c>
      <c r="Z238" s="151">
        <v>1979797.98</v>
      </c>
      <c r="AA238" s="158">
        <v>1</v>
      </c>
      <c r="AB238" s="175">
        <v>107.95</v>
      </c>
      <c r="AD238" s="151">
        <v>2137.192</v>
      </c>
      <c r="AG238" s="2" t="s">
        <v>36</v>
      </c>
      <c r="AH238" s="164">
        <v>1.853E-3</v>
      </c>
      <c r="AI238" s="164">
        <v>1.2124121388159499E-2</v>
      </c>
      <c r="AJ238" s="164">
        <v>8.8532968538255802E-4</v>
      </c>
    </row>
    <row r="239" spans="1:36">
      <c r="A239" s="2">
        <v>424</v>
      </c>
      <c r="B239" s="2">
        <v>7228</v>
      </c>
      <c r="C239" s="2" t="s">
        <v>1927</v>
      </c>
      <c r="D239" s="2" t="s">
        <v>1483</v>
      </c>
      <c r="E239" s="4" t="s">
        <v>1342</v>
      </c>
      <c r="F239" s="2" t="s">
        <v>2390</v>
      </c>
      <c r="G239" s="2" t="s">
        <v>2391</v>
      </c>
      <c r="H239" s="2" t="s">
        <v>356</v>
      </c>
      <c r="I239" s="2" t="s">
        <v>1000</v>
      </c>
      <c r="J239" s="2" t="s">
        <v>30</v>
      </c>
      <c r="K239" s="2" t="s">
        <v>30</v>
      </c>
      <c r="L239" s="2" t="s">
        <v>362</v>
      </c>
      <c r="M239" s="2" t="s">
        <v>31</v>
      </c>
      <c r="N239" s="2" t="s">
        <v>476</v>
      </c>
      <c r="O239" s="2" t="s">
        <v>155</v>
      </c>
      <c r="P239" s="2" t="s">
        <v>2192</v>
      </c>
      <c r="Q239" s="2" t="s">
        <v>101</v>
      </c>
      <c r="R239" s="2" t="s">
        <v>441</v>
      </c>
      <c r="S239" s="2" t="s">
        <v>34</v>
      </c>
      <c r="T239" s="151">
        <v>1.448</v>
      </c>
      <c r="U239" s="2" t="s">
        <v>2392</v>
      </c>
      <c r="V239" s="162">
        <v>0.114</v>
      </c>
      <c r="W239" s="164">
        <v>6.5989999999999993E-2</v>
      </c>
      <c r="X239" s="4" t="s">
        <v>447</v>
      </c>
      <c r="Y239" s="4" t="s">
        <v>155</v>
      </c>
      <c r="Z239" s="151">
        <v>3807471.98</v>
      </c>
      <c r="AA239" s="158">
        <v>1</v>
      </c>
      <c r="AB239" s="175">
        <v>100.59</v>
      </c>
      <c r="AD239" s="151">
        <v>3829.9360000000001</v>
      </c>
      <c r="AG239" s="2" t="s">
        <v>36</v>
      </c>
      <c r="AH239" s="164">
        <v>1.0553E-2</v>
      </c>
      <c r="AI239" s="164">
        <v>2.1726925567785799E-2</v>
      </c>
      <c r="AJ239" s="164">
        <v>1.58654731022766E-3</v>
      </c>
    </row>
    <row r="240" spans="1:36">
      <c r="A240" s="2">
        <v>424</v>
      </c>
      <c r="B240" s="2">
        <v>7228</v>
      </c>
      <c r="C240" s="2" t="s">
        <v>2396</v>
      </c>
      <c r="D240" s="2" t="s">
        <v>2397</v>
      </c>
      <c r="E240" s="4" t="s">
        <v>1342</v>
      </c>
      <c r="F240" s="2" t="s">
        <v>2398</v>
      </c>
      <c r="G240" s="2" t="s">
        <v>2399</v>
      </c>
      <c r="H240" s="2" t="s">
        <v>356</v>
      </c>
      <c r="I240" s="2" t="s">
        <v>208</v>
      </c>
      <c r="J240" s="2" t="s">
        <v>30</v>
      </c>
      <c r="K240" s="2" t="s">
        <v>30</v>
      </c>
      <c r="L240" s="2" t="s">
        <v>362</v>
      </c>
      <c r="M240" s="2" t="s">
        <v>31</v>
      </c>
      <c r="N240" s="2" t="s">
        <v>480</v>
      </c>
      <c r="O240" s="2" t="s">
        <v>155</v>
      </c>
      <c r="P240" s="2" t="s">
        <v>1337</v>
      </c>
      <c r="Q240" s="2" t="s">
        <v>101</v>
      </c>
      <c r="R240" s="2" t="s">
        <v>441</v>
      </c>
      <c r="S240" s="2" t="s">
        <v>34</v>
      </c>
      <c r="T240" s="151">
        <v>3.5590000000000002</v>
      </c>
      <c r="U240" s="2" t="s">
        <v>2400</v>
      </c>
      <c r="V240" s="162">
        <v>2.07E-2</v>
      </c>
      <c r="W240" s="164">
        <v>4.965E-2</v>
      </c>
      <c r="X240" s="4" t="s">
        <v>447</v>
      </c>
      <c r="Y240" s="4" t="s">
        <v>155</v>
      </c>
      <c r="Z240" s="151">
        <v>3387035.23</v>
      </c>
      <c r="AA240" s="158">
        <v>1</v>
      </c>
      <c r="AB240" s="175">
        <v>101.96</v>
      </c>
      <c r="AD240" s="151">
        <v>3453.4209999999998</v>
      </c>
      <c r="AG240" s="2" t="s">
        <v>36</v>
      </c>
      <c r="AH240" s="164">
        <v>7.1009999999999997E-3</v>
      </c>
      <c r="AI240" s="164">
        <v>1.9590985951805098E-2</v>
      </c>
      <c r="AJ240" s="164">
        <v>1.4305763587936799E-3</v>
      </c>
    </row>
    <row r="241" spans="1:36">
      <c r="A241" s="2">
        <v>424</v>
      </c>
      <c r="B241" s="2">
        <v>7228</v>
      </c>
      <c r="C241" s="2" t="s">
        <v>2401</v>
      </c>
      <c r="D241" s="2" t="s">
        <v>2402</v>
      </c>
      <c r="E241" s="4" t="s">
        <v>1342</v>
      </c>
      <c r="F241" s="2" t="s">
        <v>2403</v>
      </c>
      <c r="G241" s="2" t="s">
        <v>2404</v>
      </c>
      <c r="H241" s="2" t="s">
        <v>356</v>
      </c>
      <c r="I241" s="2" t="s">
        <v>208</v>
      </c>
      <c r="J241" s="2" t="s">
        <v>30</v>
      </c>
      <c r="K241" s="2" t="s">
        <v>30</v>
      </c>
      <c r="L241" s="2" t="s">
        <v>362</v>
      </c>
      <c r="M241" s="2" t="s">
        <v>31</v>
      </c>
      <c r="N241" s="2" t="s">
        <v>511</v>
      </c>
      <c r="O241" s="2" t="s">
        <v>155</v>
      </c>
      <c r="P241" s="2" t="s">
        <v>100</v>
      </c>
      <c r="Q241" s="2" t="s">
        <v>206</v>
      </c>
      <c r="R241" s="2" t="s">
        <v>441</v>
      </c>
      <c r="S241" s="2" t="s">
        <v>34</v>
      </c>
      <c r="T241" s="151">
        <v>12.19</v>
      </c>
      <c r="U241" s="2" t="s">
        <v>2405</v>
      </c>
      <c r="V241" s="162">
        <v>2.07E-2</v>
      </c>
      <c r="W241" s="164">
        <v>3.286E-2</v>
      </c>
      <c r="X241" s="4" t="s">
        <v>447</v>
      </c>
      <c r="Y241" s="4" t="s">
        <v>155</v>
      </c>
      <c r="Z241" s="151">
        <v>2091063.83</v>
      </c>
      <c r="AA241" s="158">
        <v>1</v>
      </c>
      <c r="AB241" s="175">
        <v>99.37</v>
      </c>
      <c r="AD241" s="151">
        <v>2077.89</v>
      </c>
      <c r="AG241" s="2" t="s">
        <v>36</v>
      </c>
      <c r="AH241" s="164">
        <v>4.5899999999999999E-4</v>
      </c>
      <c r="AI241" s="164">
        <v>1.17877069966281E-2</v>
      </c>
      <c r="AJ241" s="164">
        <v>8.6076397559813197E-4</v>
      </c>
    </row>
    <row r="242" spans="1:36">
      <c r="A242" s="2">
        <v>424</v>
      </c>
      <c r="B242" s="2">
        <v>7228</v>
      </c>
      <c r="C242" s="2" t="s">
        <v>2406</v>
      </c>
      <c r="D242" s="2" t="s">
        <v>2407</v>
      </c>
      <c r="E242" s="4" t="s">
        <v>348</v>
      </c>
      <c r="F242" s="2" t="s">
        <v>2408</v>
      </c>
      <c r="G242" s="2" t="s">
        <v>2409</v>
      </c>
      <c r="H242" s="2" t="s">
        <v>356</v>
      </c>
      <c r="I242" s="2" t="s">
        <v>1000</v>
      </c>
      <c r="J242" s="2" t="s">
        <v>30</v>
      </c>
      <c r="K242" s="2" t="s">
        <v>30</v>
      </c>
      <c r="L242" s="2" t="s">
        <v>362</v>
      </c>
      <c r="M242" s="2" t="s">
        <v>85</v>
      </c>
      <c r="N242" s="2" t="s">
        <v>487</v>
      </c>
      <c r="O242" s="2" t="s">
        <v>155</v>
      </c>
      <c r="P242" s="2" t="s">
        <v>2192</v>
      </c>
      <c r="Q242" s="2" t="s">
        <v>206</v>
      </c>
      <c r="R242" s="2" t="s">
        <v>441</v>
      </c>
      <c r="S242" s="2" t="s">
        <v>34</v>
      </c>
      <c r="T242" s="151">
        <v>3.4260000000000002</v>
      </c>
      <c r="U242" s="2" t="s">
        <v>2410</v>
      </c>
      <c r="V242" s="162">
        <v>6.7000000000000004E-2</v>
      </c>
      <c r="W242" s="164">
        <v>6.5699999999999995E-2</v>
      </c>
      <c r="X242" s="4" t="s">
        <v>447</v>
      </c>
      <c r="Y242" s="4" t="s">
        <v>155</v>
      </c>
      <c r="Z242" s="151">
        <v>1425000</v>
      </c>
      <c r="AA242" s="158">
        <v>1</v>
      </c>
      <c r="AB242" s="175">
        <v>100.86</v>
      </c>
      <c r="AD242" s="151">
        <v>1437.2550000000001</v>
      </c>
      <c r="AG242" s="2" t="s">
        <v>36</v>
      </c>
      <c r="AH242" s="164">
        <v>1.5659999999999999E-3</v>
      </c>
      <c r="AI242" s="164">
        <v>8.1534343862528103E-3</v>
      </c>
      <c r="AJ242" s="164">
        <v>5.9538149354213497E-4</v>
      </c>
    </row>
    <row r="243" spans="1:36">
      <c r="A243" s="2">
        <v>424</v>
      </c>
      <c r="B243" s="2">
        <v>7228</v>
      </c>
      <c r="C243" s="2" t="s">
        <v>2411</v>
      </c>
      <c r="D243" s="2" t="s">
        <v>2412</v>
      </c>
      <c r="E243" s="4" t="s">
        <v>1342</v>
      </c>
      <c r="F243" s="2" t="s">
        <v>2415</v>
      </c>
      <c r="G243" s="2" t="s">
        <v>2416</v>
      </c>
      <c r="H243" s="2" t="s">
        <v>356</v>
      </c>
      <c r="I243" s="2" t="s">
        <v>1000</v>
      </c>
      <c r="J243" s="2" t="s">
        <v>30</v>
      </c>
      <c r="K243" s="2" t="s">
        <v>30</v>
      </c>
      <c r="L243" s="2" t="s">
        <v>362</v>
      </c>
      <c r="M243" s="2" t="s">
        <v>31</v>
      </c>
      <c r="N243" s="2" t="s">
        <v>474</v>
      </c>
      <c r="O243" s="2" t="s">
        <v>155</v>
      </c>
      <c r="P243" s="2" t="s">
        <v>2192</v>
      </c>
      <c r="Q243" s="2" t="s">
        <v>101</v>
      </c>
      <c r="R243" s="2" t="s">
        <v>441</v>
      </c>
      <c r="S243" s="2" t="s">
        <v>34</v>
      </c>
      <c r="T243" s="151">
        <v>3.1059999999999999</v>
      </c>
      <c r="U243" s="2" t="s">
        <v>2417</v>
      </c>
      <c r="V243" s="162">
        <v>6.9500000000000006E-2</v>
      </c>
      <c r="W243" s="164">
        <v>6.3530000000000003E-2</v>
      </c>
      <c r="X243" s="4" t="s">
        <v>447</v>
      </c>
      <c r="Y243" s="4" t="s">
        <v>155</v>
      </c>
      <c r="Z243" s="151">
        <v>2200000</v>
      </c>
      <c r="AA243" s="158">
        <v>1</v>
      </c>
      <c r="AB243" s="175">
        <v>104.23</v>
      </c>
      <c r="AD243" s="151">
        <v>2293.06</v>
      </c>
      <c r="AG243" s="2" t="s">
        <v>36</v>
      </c>
      <c r="AH243" s="164">
        <v>3.9360000000000003E-3</v>
      </c>
      <c r="AI243" s="164">
        <v>1.3008348729864099E-2</v>
      </c>
      <c r="AJ243" s="164">
        <v>9.4989788700107405E-4</v>
      </c>
    </row>
    <row r="244" spans="1:36">
      <c r="A244" s="2">
        <v>424</v>
      </c>
      <c r="B244" s="2">
        <v>7228</v>
      </c>
      <c r="C244" s="2" t="s">
        <v>2523</v>
      </c>
      <c r="D244" s="2" t="s">
        <v>2524</v>
      </c>
      <c r="E244" s="4" t="s">
        <v>1342</v>
      </c>
      <c r="F244" s="2" t="s">
        <v>2525</v>
      </c>
      <c r="G244" s="2" t="s">
        <v>2526</v>
      </c>
      <c r="H244" s="2" t="s">
        <v>356</v>
      </c>
      <c r="I244" s="2" t="s">
        <v>208</v>
      </c>
      <c r="J244" s="2" t="s">
        <v>30</v>
      </c>
      <c r="K244" s="2" t="s">
        <v>30</v>
      </c>
      <c r="L244" s="2" t="s">
        <v>362</v>
      </c>
      <c r="M244" s="2" t="s">
        <v>31</v>
      </c>
      <c r="N244" s="2" t="s">
        <v>497</v>
      </c>
      <c r="O244" s="2" t="s">
        <v>155</v>
      </c>
      <c r="P244" s="2" t="s">
        <v>100</v>
      </c>
      <c r="Q244" s="2" t="s">
        <v>206</v>
      </c>
      <c r="R244" s="2" t="s">
        <v>441</v>
      </c>
      <c r="S244" s="2" t="s">
        <v>34</v>
      </c>
      <c r="T244" s="151">
        <v>1.3540000000000001</v>
      </c>
      <c r="U244" s="2" t="s">
        <v>2378</v>
      </c>
      <c r="V244" s="162">
        <v>8.3000000000000001E-3</v>
      </c>
      <c r="W244" s="164">
        <v>2.188E-2</v>
      </c>
      <c r="X244" s="4" t="s">
        <v>447</v>
      </c>
      <c r="Y244" s="4" t="s">
        <v>155</v>
      </c>
      <c r="Z244" s="151">
        <v>2092500</v>
      </c>
      <c r="AA244" s="158">
        <v>1</v>
      </c>
      <c r="AB244" s="175">
        <v>114.36</v>
      </c>
      <c r="AD244" s="151">
        <v>2392.9830000000002</v>
      </c>
      <c r="AG244" s="2" t="s">
        <v>36</v>
      </c>
      <c r="AH244" s="164">
        <v>1.763E-3</v>
      </c>
      <c r="AI244" s="164">
        <v>1.35752040368052E-2</v>
      </c>
      <c r="AJ244" s="164">
        <v>9.9129089309895496E-4</v>
      </c>
    </row>
    <row r="245" spans="1:36">
      <c r="A245" s="2">
        <v>424</v>
      </c>
      <c r="B245" s="2">
        <v>7228</v>
      </c>
      <c r="C245" s="2" t="s">
        <v>2418</v>
      </c>
      <c r="D245" s="2" t="s">
        <v>2419</v>
      </c>
      <c r="E245" s="4" t="s">
        <v>349</v>
      </c>
      <c r="F245" s="2" t="s">
        <v>2420</v>
      </c>
      <c r="G245" s="2" t="s">
        <v>2421</v>
      </c>
      <c r="H245" s="2" t="s">
        <v>356</v>
      </c>
      <c r="I245" s="2" t="s">
        <v>1000</v>
      </c>
      <c r="J245" s="2" t="s">
        <v>30</v>
      </c>
      <c r="K245" s="2" t="s">
        <v>30</v>
      </c>
      <c r="L245" s="2" t="s">
        <v>362</v>
      </c>
      <c r="M245" s="2" t="s">
        <v>85</v>
      </c>
      <c r="N245" s="2" t="s">
        <v>498</v>
      </c>
      <c r="O245" s="2" t="s">
        <v>155</v>
      </c>
      <c r="P245" s="2" t="s">
        <v>2211</v>
      </c>
      <c r="Q245" s="2" t="s">
        <v>206</v>
      </c>
      <c r="R245" s="2" t="s">
        <v>441</v>
      </c>
      <c r="S245" s="2" t="s">
        <v>34</v>
      </c>
      <c r="T245" s="151">
        <v>3.927</v>
      </c>
      <c r="U245" s="2" t="s">
        <v>2422</v>
      </c>
      <c r="V245" s="162">
        <v>6.25E-2</v>
      </c>
      <c r="W245" s="164">
        <v>6.166E-2</v>
      </c>
      <c r="X245" s="4" t="s">
        <v>447</v>
      </c>
      <c r="Y245" s="4" t="s">
        <v>155</v>
      </c>
      <c r="Z245" s="151">
        <v>3422632</v>
      </c>
      <c r="AA245" s="158">
        <v>1</v>
      </c>
      <c r="AB245" s="175">
        <v>103.18</v>
      </c>
      <c r="AD245" s="151">
        <v>3531.4720000000002</v>
      </c>
      <c r="AG245" s="2" t="s">
        <v>36</v>
      </c>
      <c r="AH245" s="164">
        <v>6.2230000000000002E-3</v>
      </c>
      <c r="AI245" s="164">
        <v>2.0033760726725899E-2</v>
      </c>
      <c r="AJ245" s="164">
        <v>1.4629087348583701E-3</v>
      </c>
    </row>
    <row r="246" spans="1:36">
      <c r="A246" s="2">
        <v>424</v>
      </c>
      <c r="B246" s="2">
        <v>7228</v>
      </c>
      <c r="C246" s="2" t="s">
        <v>2423</v>
      </c>
      <c r="D246" s="2" t="s">
        <v>2424</v>
      </c>
      <c r="E246" s="4" t="s">
        <v>349</v>
      </c>
      <c r="F246" s="2" t="s">
        <v>2425</v>
      </c>
      <c r="G246" s="2" t="s">
        <v>2426</v>
      </c>
      <c r="H246" s="2" t="s">
        <v>356</v>
      </c>
      <c r="I246" s="2" t="s">
        <v>1000</v>
      </c>
      <c r="J246" s="2" t="s">
        <v>30</v>
      </c>
      <c r="K246" s="2" t="s">
        <v>98</v>
      </c>
      <c r="L246" s="2" t="s">
        <v>362</v>
      </c>
      <c r="M246" s="2" t="s">
        <v>31</v>
      </c>
      <c r="N246" s="2" t="s">
        <v>498</v>
      </c>
      <c r="O246" s="2" t="s">
        <v>155</v>
      </c>
      <c r="P246" s="2" t="s">
        <v>2211</v>
      </c>
      <c r="Q246" s="2" t="s">
        <v>206</v>
      </c>
      <c r="R246" s="2" t="s">
        <v>441</v>
      </c>
      <c r="S246" s="2" t="s">
        <v>34</v>
      </c>
      <c r="T246" s="151">
        <v>2.1349999999999998</v>
      </c>
      <c r="U246" s="2" t="s">
        <v>1338</v>
      </c>
      <c r="V246" s="162">
        <v>3.49E-2</v>
      </c>
      <c r="W246" s="164">
        <v>6.4509999999999998E-2</v>
      </c>
      <c r="X246" s="4" t="s">
        <v>447</v>
      </c>
      <c r="Y246" s="4" t="s">
        <v>155</v>
      </c>
      <c r="Z246" s="151">
        <v>4891529</v>
      </c>
      <c r="AA246" s="158">
        <v>1</v>
      </c>
      <c r="AB246" s="175">
        <v>95.01</v>
      </c>
      <c r="AD246" s="151">
        <v>4647.442</v>
      </c>
      <c r="AG246" s="2" t="s">
        <v>36</v>
      </c>
      <c r="AH246" s="164">
        <v>5.1729999999999996E-3</v>
      </c>
      <c r="AI246" s="164">
        <v>2.6364570649279499E-2</v>
      </c>
      <c r="AJ246" s="164">
        <v>1.9251982301140801E-3</v>
      </c>
    </row>
    <row r="247" spans="1:36">
      <c r="A247" s="2">
        <v>424</v>
      </c>
      <c r="B247" s="2">
        <v>7228</v>
      </c>
      <c r="C247" s="2" t="s">
        <v>2423</v>
      </c>
      <c r="D247" s="2" t="s">
        <v>2424</v>
      </c>
      <c r="E247" s="4" t="s">
        <v>349</v>
      </c>
      <c r="F247" s="2" t="s">
        <v>2427</v>
      </c>
      <c r="G247" s="2" t="s">
        <v>2428</v>
      </c>
      <c r="H247" s="2" t="s">
        <v>356</v>
      </c>
      <c r="I247" s="2" t="s">
        <v>1000</v>
      </c>
      <c r="J247" s="2" t="s">
        <v>30</v>
      </c>
      <c r="K247" s="2" t="s">
        <v>98</v>
      </c>
      <c r="L247" s="2" t="s">
        <v>362</v>
      </c>
      <c r="M247" s="2" t="s">
        <v>85</v>
      </c>
      <c r="N247" s="2" t="s">
        <v>498</v>
      </c>
      <c r="O247" s="2" t="s">
        <v>155</v>
      </c>
      <c r="P247" s="2" t="s">
        <v>2211</v>
      </c>
      <c r="Q247" s="2" t="s">
        <v>206</v>
      </c>
      <c r="R247" s="2" t="s">
        <v>441</v>
      </c>
      <c r="S247" s="2" t="s">
        <v>34</v>
      </c>
      <c r="T247" s="151">
        <v>4.4989999999999997</v>
      </c>
      <c r="U247" s="2" t="s">
        <v>2429</v>
      </c>
      <c r="V247" s="162">
        <v>6.7400000000000002E-2</v>
      </c>
      <c r="W247" s="164">
        <v>6.7140000000000005E-2</v>
      </c>
      <c r="X247" s="4" t="s">
        <v>447</v>
      </c>
      <c r="Y247" s="4" t="s">
        <v>155</v>
      </c>
      <c r="Z247" s="151">
        <v>2289000</v>
      </c>
      <c r="AA247" s="158">
        <v>1</v>
      </c>
      <c r="AB247" s="175">
        <v>100.67</v>
      </c>
      <c r="AD247" s="151">
        <v>2304.3359999999998</v>
      </c>
      <c r="AG247" s="2" t="s">
        <v>36</v>
      </c>
      <c r="AH247" s="164">
        <v>8.0319999999999992E-3</v>
      </c>
      <c r="AI247" s="164">
        <v>1.3072318291403101E-2</v>
      </c>
      <c r="AJ247" s="164">
        <v>9.5456908336889203E-4</v>
      </c>
    </row>
    <row r="248" spans="1:36">
      <c r="A248" s="2">
        <v>424</v>
      </c>
      <c r="B248" s="2">
        <v>7228</v>
      </c>
      <c r="C248" s="2" t="s">
        <v>1946</v>
      </c>
      <c r="D248" s="2" t="s">
        <v>1947</v>
      </c>
      <c r="E248" s="4" t="s">
        <v>1342</v>
      </c>
      <c r="F248" s="2" t="s">
        <v>2430</v>
      </c>
      <c r="G248" s="2" t="s">
        <v>2431</v>
      </c>
      <c r="H248" s="2" t="s">
        <v>356</v>
      </c>
      <c r="I248" s="2" t="s">
        <v>1000</v>
      </c>
      <c r="J248" s="2" t="s">
        <v>30</v>
      </c>
      <c r="K248" s="2" t="s">
        <v>30</v>
      </c>
      <c r="L248" s="2" t="s">
        <v>362</v>
      </c>
      <c r="M248" s="2" t="s">
        <v>31</v>
      </c>
      <c r="N248" s="2" t="s">
        <v>518</v>
      </c>
      <c r="O248" s="2" t="s">
        <v>155</v>
      </c>
      <c r="P248" s="2" t="s">
        <v>1346</v>
      </c>
      <c r="Q248" s="2" t="s">
        <v>206</v>
      </c>
      <c r="R248" s="2" t="s">
        <v>441</v>
      </c>
      <c r="S248" s="2" t="s">
        <v>34</v>
      </c>
      <c r="T248" s="151">
        <v>2.6779999999999999</v>
      </c>
      <c r="U248" s="2" t="s">
        <v>2432</v>
      </c>
      <c r="V248" s="162">
        <v>4.7300000000000002E-2</v>
      </c>
      <c r="W248" s="164">
        <v>5.6509999999999998E-2</v>
      </c>
      <c r="X248" s="4" t="s">
        <v>447</v>
      </c>
      <c r="Y248" s="4" t="s">
        <v>155</v>
      </c>
      <c r="Z248" s="151">
        <v>1850000</v>
      </c>
      <c r="AA248" s="158">
        <v>1</v>
      </c>
      <c r="AB248" s="175">
        <v>98.44</v>
      </c>
      <c r="AD248" s="151">
        <v>1821.14</v>
      </c>
      <c r="AG248" s="2" t="s">
        <v>36</v>
      </c>
      <c r="AH248" s="164">
        <v>4.6849999999999999E-3</v>
      </c>
      <c r="AI248" s="164">
        <v>1.0331183748312199E-2</v>
      </c>
      <c r="AJ248" s="164">
        <v>7.5440548347323398E-4</v>
      </c>
    </row>
    <row r="249" spans="1:36">
      <c r="A249" s="2">
        <v>424</v>
      </c>
      <c r="B249" s="2">
        <v>7228</v>
      </c>
      <c r="C249" s="2" t="s">
        <v>1950</v>
      </c>
      <c r="D249" s="2" t="s">
        <v>1951</v>
      </c>
      <c r="E249" s="4" t="s">
        <v>1342</v>
      </c>
      <c r="F249" s="2" t="s">
        <v>2433</v>
      </c>
      <c r="G249" s="2" t="s">
        <v>2434</v>
      </c>
      <c r="H249" s="2" t="s">
        <v>356</v>
      </c>
      <c r="I249" s="2" t="s">
        <v>208</v>
      </c>
      <c r="J249" s="2" t="s">
        <v>30</v>
      </c>
      <c r="K249" s="2" t="s">
        <v>30</v>
      </c>
      <c r="L249" s="2" t="s">
        <v>362</v>
      </c>
      <c r="M249" s="2" t="s">
        <v>31</v>
      </c>
      <c r="N249" s="2" t="s">
        <v>497</v>
      </c>
      <c r="O249" s="2" t="s">
        <v>155</v>
      </c>
      <c r="P249" s="2" t="s">
        <v>1519</v>
      </c>
      <c r="Q249" s="2" t="s">
        <v>101</v>
      </c>
      <c r="R249" s="2" t="s">
        <v>441</v>
      </c>
      <c r="S249" s="2" t="s">
        <v>34</v>
      </c>
      <c r="T249" s="151">
        <v>2.456</v>
      </c>
      <c r="U249" s="2" t="s">
        <v>1481</v>
      </c>
      <c r="V249" s="162">
        <v>1.77E-2</v>
      </c>
      <c r="W249" s="164">
        <v>2.7099999999999999E-2</v>
      </c>
      <c r="X249" s="4" t="s">
        <v>447</v>
      </c>
      <c r="Y249" s="4" t="s">
        <v>155</v>
      </c>
      <c r="Z249" s="151">
        <v>2236800</v>
      </c>
      <c r="AA249" s="158">
        <v>1</v>
      </c>
      <c r="AB249" s="175">
        <v>113.19</v>
      </c>
      <c r="AD249" s="151">
        <v>2531.8339999999998</v>
      </c>
      <c r="AG249" s="2" t="s">
        <v>36</v>
      </c>
      <c r="AH249" s="164">
        <v>8.6200000000000003E-4</v>
      </c>
      <c r="AI249" s="164">
        <v>1.4362894367116E-2</v>
      </c>
      <c r="AJ249" s="164">
        <v>1.0488097524031801E-3</v>
      </c>
    </row>
    <row r="250" spans="1:36">
      <c r="A250" s="2">
        <v>424</v>
      </c>
      <c r="B250" s="2">
        <v>7228</v>
      </c>
      <c r="C250" s="2" t="s">
        <v>1950</v>
      </c>
      <c r="D250" s="2" t="s">
        <v>1951</v>
      </c>
      <c r="E250" s="4" t="s">
        <v>1342</v>
      </c>
      <c r="F250" s="2" t="s">
        <v>2435</v>
      </c>
      <c r="G250" s="2" t="s">
        <v>2436</v>
      </c>
      <c r="H250" s="2" t="s">
        <v>356</v>
      </c>
      <c r="I250" s="2" t="s">
        <v>208</v>
      </c>
      <c r="J250" s="2" t="s">
        <v>30</v>
      </c>
      <c r="K250" s="2" t="s">
        <v>30</v>
      </c>
      <c r="L250" s="2" t="s">
        <v>362</v>
      </c>
      <c r="M250" s="2" t="s">
        <v>31</v>
      </c>
      <c r="N250" s="2" t="s">
        <v>497</v>
      </c>
      <c r="O250" s="2" t="s">
        <v>155</v>
      </c>
      <c r="P250" s="2" t="s">
        <v>1519</v>
      </c>
      <c r="Q250" s="2" t="s">
        <v>206</v>
      </c>
      <c r="R250" s="2" t="s">
        <v>441</v>
      </c>
      <c r="S250" s="2" t="s">
        <v>34</v>
      </c>
      <c r="T250" s="151">
        <v>6.7329999999999997</v>
      </c>
      <c r="U250" s="2" t="s">
        <v>2437</v>
      </c>
      <c r="V250" s="162">
        <v>8.9999999999999993E-3</v>
      </c>
      <c r="W250" s="164">
        <v>3.3419999999999998E-2</v>
      </c>
      <c r="X250" s="4" t="s">
        <v>447</v>
      </c>
      <c r="Y250" s="4" t="s">
        <v>155</v>
      </c>
      <c r="Z250" s="151">
        <v>2800000</v>
      </c>
      <c r="AA250" s="158">
        <v>1</v>
      </c>
      <c r="AB250" s="175">
        <v>96.33</v>
      </c>
      <c r="AD250" s="151">
        <v>2697.24</v>
      </c>
      <c r="AG250" s="2" t="s">
        <v>36</v>
      </c>
      <c r="AH250" s="164">
        <v>1.018E-3</v>
      </c>
      <c r="AI250" s="164">
        <v>1.5301230028057999E-2</v>
      </c>
      <c r="AJ250" s="164">
        <v>1.11732906105151E-3</v>
      </c>
    </row>
    <row r="251" spans="1:36">
      <c r="A251" s="2">
        <v>424</v>
      </c>
      <c r="B251" s="2">
        <v>7228</v>
      </c>
      <c r="C251" s="2" t="s">
        <v>1950</v>
      </c>
      <c r="D251" s="2" t="s">
        <v>1951</v>
      </c>
      <c r="E251" s="4" t="s">
        <v>1342</v>
      </c>
      <c r="F251" s="2" t="s">
        <v>2438</v>
      </c>
      <c r="G251" s="2" t="s">
        <v>2439</v>
      </c>
      <c r="H251" s="2" t="s">
        <v>356</v>
      </c>
      <c r="I251" s="2" t="s">
        <v>208</v>
      </c>
      <c r="J251" s="2" t="s">
        <v>30</v>
      </c>
      <c r="K251" s="2" t="s">
        <v>30</v>
      </c>
      <c r="L251" s="2" t="s">
        <v>362</v>
      </c>
      <c r="M251" s="2" t="s">
        <v>31</v>
      </c>
      <c r="N251" s="2" t="s">
        <v>497</v>
      </c>
      <c r="O251" s="2" t="s">
        <v>155</v>
      </c>
      <c r="P251" s="2" t="s">
        <v>1519</v>
      </c>
      <c r="Q251" s="2" t="s">
        <v>206</v>
      </c>
      <c r="R251" s="2" t="s">
        <v>441</v>
      </c>
      <c r="S251" s="2" t="s">
        <v>34</v>
      </c>
      <c r="T251" s="151">
        <v>10.343</v>
      </c>
      <c r="U251" s="2" t="s">
        <v>2440</v>
      </c>
      <c r="V251" s="162">
        <v>1.6899999999999998E-2</v>
      </c>
      <c r="W251" s="164">
        <v>3.635E-2</v>
      </c>
      <c r="X251" s="4" t="s">
        <v>447</v>
      </c>
      <c r="Y251" s="4" t="s">
        <v>155</v>
      </c>
      <c r="Z251" s="151">
        <v>2367865</v>
      </c>
      <c r="AA251" s="158">
        <v>1</v>
      </c>
      <c r="AB251" s="175">
        <v>93.61</v>
      </c>
      <c r="AD251" s="151">
        <v>2216.558</v>
      </c>
      <c r="AG251" s="2" t="s">
        <v>36</v>
      </c>
      <c r="AH251" s="164">
        <v>5.4299999999999997E-4</v>
      </c>
      <c r="AI251" s="164">
        <v>1.2574361330288299E-2</v>
      </c>
      <c r="AJ251" s="164">
        <v>9.1820718417606805E-4</v>
      </c>
    </row>
    <row r="252" spans="1:36">
      <c r="A252" s="2">
        <v>424</v>
      </c>
      <c r="B252" s="2">
        <v>7228</v>
      </c>
      <c r="C252" s="2" t="s">
        <v>1217</v>
      </c>
      <c r="D252" s="2" t="s">
        <v>1954</v>
      </c>
      <c r="E252" s="4" t="s">
        <v>1342</v>
      </c>
      <c r="F252" s="2" t="s">
        <v>2441</v>
      </c>
      <c r="G252" s="2" t="s">
        <v>2442</v>
      </c>
      <c r="H252" s="2" t="s">
        <v>356</v>
      </c>
      <c r="I252" s="2" t="s">
        <v>208</v>
      </c>
      <c r="J252" s="2" t="s">
        <v>30</v>
      </c>
      <c r="K252" s="2" t="s">
        <v>30</v>
      </c>
      <c r="L252" s="2" t="s">
        <v>362</v>
      </c>
      <c r="M252" s="2" t="s">
        <v>31</v>
      </c>
      <c r="N252" s="2" t="s">
        <v>481</v>
      </c>
      <c r="O252" s="2" t="s">
        <v>155</v>
      </c>
      <c r="P252" s="2" t="s">
        <v>1353</v>
      </c>
      <c r="Q252" s="2" t="s">
        <v>206</v>
      </c>
      <c r="R252" s="2" t="s">
        <v>441</v>
      </c>
      <c r="S252" s="2" t="s">
        <v>34</v>
      </c>
      <c r="T252" s="151">
        <v>4.6829999999999998</v>
      </c>
      <c r="U252" s="2" t="s">
        <v>2443</v>
      </c>
      <c r="V252" s="162">
        <v>3.7100000000000001E-2</v>
      </c>
      <c r="W252" s="164">
        <v>3.1640000000000001E-2</v>
      </c>
      <c r="X252" s="4" t="s">
        <v>447</v>
      </c>
      <c r="Y252" s="4" t="s">
        <v>155</v>
      </c>
      <c r="Z252" s="151">
        <v>2150000</v>
      </c>
      <c r="AA252" s="158">
        <v>1</v>
      </c>
      <c r="AB252" s="175">
        <v>108.99</v>
      </c>
      <c r="AD252" s="151">
        <v>2343.2849999999999</v>
      </c>
      <c r="AG252" s="2" t="s">
        <v>36</v>
      </c>
      <c r="AH252" s="164">
        <v>5.5970000000000004E-3</v>
      </c>
      <c r="AI252" s="164">
        <v>1.3293271198075799E-2</v>
      </c>
      <c r="AJ252" s="164">
        <v>9.7070354467014E-4</v>
      </c>
    </row>
    <row r="253" spans="1:36">
      <c r="A253" s="2">
        <v>424</v>
      </c>
      <c r="B253" s="2">
        <v>7228</v>
      </c>
      <c r="C253" s="2" t="s">
        <v>2444</v>
      </c>
      <c r="D253" s="2" t="s">
        <v>2445</v>
      </c>
      <c r="E253" s="4" t="s">
        <v>1342</v>
      </c>
      <c r="F253" s="2" t="s">
        <v>2446</v>
      </c>
      <c r="G253" s="2" t="s">
        <v>2447</v>
      </c>
      <c r="H253" s="2" t="s">
        <v>356</v>
      </c>
      <c r="I253" s="2" t="s">
        <v>1000</v>
      </c>
      <c r="J253" s="2" t="s">
        <v>30</v>
      </c>
      <c r="K253" s="2" t="s">
        <v>30</v>
      </c>
      <c r="L253" s="2" t="s">
        <v>362</v>
      </c>
      <c r="M253" s="2" t="s">
        <v>85</v>
      </c>
      <c r="N253" s="2" t="s">
        <v>473</v>
      </c>
      <c r="O253" s="2" t="s">
        <v>155</v>
      </c>
      <c r="P253" s="2" t="s">
        <v>1353</v>
      </c>
      <c r="Q253" s="2" t="s">
        <v>206</v>
      </c>
      <c r="R253" s="2" t="s">
        <v>441</v>
      </c>
      <c r="S253" s="2" t="s">
        <v>34</v>
      </c>
      <c r="T253" s="151">
        <v>6.3849999999999998</v>
      </c>
      <c r="U253" s="2" t="s">
        <v>2448</v>
      </c>
      <c r="V253" s="162">
        <v>5.8599999999999999E-2</v>
      </c>
      <c r="W253" s="164">
        <v>5.9150000000000001E-2</v>
      </c>
      <c r="X253" s="4" t="s">
        <v>447</v>
      </c>
      <c r="Y253" s="4" t="s">
        <v>155</v>
      </c>
      <c r="Z253" s="151">
        <v>3401902</v>
      </c>
      <c r="AA253" s="158">
        <v>1</v>
      </c>
      <c r="AB253" s="175">
        <v>102.78</v>
      </c>
      <c r="AD253" s="151">
        <v>3496.4749999999999</v>
      </c>
      <c r="AG253" s="2" t="s">
        <v>36</v>
      </c>
      <c r="AH253" s="164">
        <v>1.7052000000000001E-2</v>
      </c>
      <c r="AI253" s="164">
        <v>1.98352265126133E-2</v>
      </c>
      <c r="AJ253" s="164">
        <v>1.4484113351961099E-3</v>
      </c>
    </row>
    <row r="254" spans="1:36">
      <c r="A254" s="2">
        <v>424</v>
      </c>
      <c r="B254" s="2">
        <v>7228</v>
      </c>
      <c r="C254" s="2" t="s">
        <v>2449</v>
      </c>
      <c r="D254" s="2" t="s">
        <v>2450</v>
      </c>
      <c r="E254" s="4" t="s">
        <v>1342</v>
      </c>
      <c r="F254" s="2" t="s">
        <v>2451</v>
      </c>
      <c r="G254" s="2" t="s">
        <v>2452</v>
      </c>
      <c r="H254" s="2" t="s">
        <v>356</v>
      </c>
      <c r="I254" s="2" t="s">
        <v>1000</v>
      </c>
      <c r="J254" s="2" t="s">
        <v>30</v>
      </c>
      <c r="K254" s="2" t="s">
        <v>30</v>
      </c>
      <c r="L254" s="2" t="s">
        <v>362</v>
      </c>
      <c r="M254" s="2" t="s">
        <v>31</v>
      </c>
      <c r="N254" s="2" t="s">
        <v>478</v>
      </c>
      <c r="O254" s="2" t="s">
        <v>155</v>
      </c>
      <c r="P254" s="2" t="s">
        <v>2211</v>
      </c>
      <c r="Q254" s="2" t="s">
        <v>206</v>
      </c>
      <c r="R254" s="2" t="s">
        <v>441</v>
      </c>
      <c r="S254" s="2" t="s">
        <v>34</v>
      </c>
      <c r="T254" s="151">
        <v>7.141</v>
      </c>
      <c r="U254" s="2" t="s">
        <v>2417</v>
      </c>
      <c r="V254" s="162">
        <v>4.6899999999999997E-2</v>
      </c>
      <c r="W254" s="164">
        <v>5.654E-2</v>
      </c>
      <c r="X254" s="4" t="s">
        <v>447</v>
      </c>
      <c r="Y254" s="4" t="s">
        <v>155</v>
      </c>
      <c r="Z254" s="151">
        <v>2999000</v>
      </c>
      <c r="AA254" s="158">
        <v>1</v>
      </c>
      <c r="AB254" s="175">
        <v>95.86</v>
      </c>
      <c r="AD254" s="151">
        <v>2874.8409999999999</v>
      </c>
      <c r="AG254" s="2" t="s">
        <v>36</v>
      </c>
      <c r="AH254" s="164">
        <v>5.9979999999999999E-3</v>
      </c>
      <c r="AI254" s="164">
        <v>1.63087487785975E-2</v>
      </c>
      <c r="AJ254" s="164">
        <v>1.1909002692137201E-3</v>
      </c>
    </row>
    <row r="255" spans="1:36">
      <c r="A255" s="2">
        <v>424</v>
      </c>
      <c r="B255" s="2">
        <v>7228</v>
      </c>
      <c r="C255" s="2" t="s">
        <v>1961</v>
      </c>
      <c r="D255" s="2" t="s">
        <v>1962</v>
      </c>
      <c r="E255" s="4" t="s">
        <v>1342</v>
      </c>
      <c r="F255" s="2" t="s">
        <v>2527</v>
      </c>
      <c r="G255" s="2" t="s">
        <v>2528</v>
      </c>
      <c r="H255" s="2" t="s">
        <v>356</v>
      </c>
      <c r="I255" s="2" t="s">
        <v>1000</v>
      </c>
      <c r="J255" s="2" t="s">
        <v>30</v>
      </c>
      <c r="K255" s="2" t="s">
        <v>30</v>
      </c>
      <c r="L255" s="2" t="s">
        <v>362</v>
      </c>
      <c r="M255" s="2" t="s">
        <v>31</v>
      </c>
      <c r="N255" s="2" t="s">
        <v>518</v>
      </c>
      <c r="O255" s="2" t="s">
        <v>155</v>
      </c>
      <c r="P255" s="2" t="s">
        <v>1353</v>
      </c>
      <c r="Q255" s="2" t="s">
        <v>206</v>
      </c>
      <c r="R255" s="2" t="s">
        <v>441</v>
      </c>
      <c r="S255" s="2" t="s">
        <v>34</v>
      </c>
      <c r="T255" s="151">
        <v>2.077</v>
      </c>
      <c r="U255" s="2" t="s">
        <v>2529</v>
      </c>
      <c r="V255" s="162">
        <v>0.04</v>
      </c>
      <c r="W255" s="164">
        <v>5.2440000000000001E-2</v>
      </c>
      <c r="X255" s="4" t="s">
        <v>447</v>
      </c>
      <c r="Y255" s="4" t="s">
        <v>155</v>
      </c>
      <c r="Z255" s="151">
        <v>426678.7</v>
      </c>
      <c r="AA255" s="158">
        <v>1</v>
      </c>
      <c r="AB255" s="175">
        <v>98.59</v>
      </c>
      <c r="AD255" s="151">
        <v>420.66300000000001</v>
      </c>
      <c r="AG255" s="2" t="s">
        <v>36</v>
      </c>
      <c r="AH255" s="164">
        <v>7.1599999999999995E-4</v>
      </c>
      <c r="AI255" s="164">
        <v>2.3863853942416198E-3</v>
      </c>
      <c r="AJ255" s="164">
        <v>1.7425904629664801E-4</v>
      </c>
    </row>
    <row r="256" spans="1:36">
      <c r="A256" s="2">
        <v>424</v>
      </c>
      <c r="B256" s="2">
        <v>7228</v>
      </c>
      <c r="C256" s="2" t="s">
        <v>2453</v>
      </c>
      <c r="D256" s="2" t="s">
        <v>2454</v>
      </c>
      <c r="E256" s="4" t="s">
        <v>1342</v>
      </c>
      <c r="F256" s="2" t="s">
        <v>2455</v>
      </c>
      <c r="G256" s="2" t="s">
        <v>2456</v>
      </c>
      <c r="H256" s="2" t="s">
        <v>356</v>
      </c>
      <c r="I256" s="2" t="s">
        <v>1000</v>
      </c>
      <c r="J256" s="2" t="s">
        <v>30</v>
      </c>
      <c r="K256" s="2" t="s">
        <v>30</v>
      </c>
      <c r="L256" s="2" t="s">
        <v>362</v>
      </c>
      <c r="M256" s="2" t="s">
        <v>31</v>
      </c>
      <c r="N256" s="2" t="s">
        <v>498</v>
      </c>
      <c r="O256" s="2" t="s">
        <v>155</v>
      </c>
      <c r="P256" s="2" t="s">
        <v>2181</v>
      </c>
      <c r="Q256" s="2" t="s">
        <v>101</v>
      </c>
      <c r="R256" s="2" t="s">
        <v>441</v>
      </c>
      <c r="S256" s="2" t="s">
        <v>34</v>
      </c>
      <c r="T256" s="151">
        <v>1.7050000000000001</v>
      </c>
      <c r="U256" s="2" t="s">
        <v>2457</v>
      </c>
      <c r="V256" s="162">
        <v>2.6499999999999999E-2</v>
      </c>
      <c r="W256" s="164">
        <v>5.5120000000000002E-2</v>
      </c>
      <c r="X256" s="4" t="s">
        <v>447</v>
      </c>
      <c r="Y256" s="4" t="s">
        <v>155</v>
      </c>
      <c r="Z256" s="151">
        <v>1585714.28</v>
      </c>
      <c r="AA256" s="158">
        <v>1</v>
      </c>
      <c r="AB256" s="175">
        <v>94.77</v>
      </c>
      <c r="AD256" s="151">
        <v>1502.7809999999999</v>
      </c>
      <c r="AG256" s="2" t="s">
        <v>36</v>
      </c>
      <c r="AH256" s="164">
        <v>3.0959999999999998E-3</v>
      </c>
      <c r="AI256" s="164">
        <v>8.5251606225631906E-3</v>
      </c>
      <c r="AJ256" s="164">
        <v>6.2252575095302803E-4</v>
      </c>
    </row>
    <row r="257" spans="1:36">
      <c r="A257" s="2">
        <v>424</v>
      </c>
      <c r="B257" s="2">
        <v>7228</v>
      </c>
      <c r="C257" s="2" t="s">
        <v>2458</v>
      </c>
      <c r="D257" s="2" t="s">
        <v>2459</v>
      </c>
      <c r="E257" s="4" t="s">
        <v>1342</v>
      </c>
      <c r="F257" s="2" t="s">
        <v>2460</v>
      </c>
      <c r="G257" s="2" t="s">
        <v>2461</v>
      </c>
      <c r="H257" s="2" t="s">
        <v>356</v>
      </c>
      <c r="I257" s="2" t="s">
        <v>1000</v>
      </c>
      <c r="J257" s="2" t="s">
        <v>30</v>
      </c>
      <c r="K257" s="2" t="s">
        <v>30</v>
      </c>
      <c r="L257" s="2" t="s">
        <v>362</v>
      </c>
      <c r="M257" s="2" t="s">
        <v>85</v>
      </c>
      <c r="N257" s="2" t="s">
        <v>480</v>
      </c>
      <c r="O257" s="2" t="s">
        <v>155</v>
      </c>
      <c r="P257" s="2" t="s">
        <v>2181</v>
      </c>
      <c r="Q257" s="2" t="s">
        <v>101</v>
      </c>
      <c r="R257" s="2" t="s">
        <v>441</v>
      </c>
      <c r="S257" s="2" t="s">
        <v>34</v>
      </c>
      <c r="T257" s="151">
        <v>3.6070000000000002</v>
      </c>
      <c r="U257" s="2" t="s">
        <v>92</v>
      </c>
      <c r="V257" s="162">
        <v>5.8200000000000002E-2</v>
      </c>
      <c r="W257" s="164">
        <v>5.8200000000000002E-2</v>
      </c>
      <c r="X257" s="4" t="s">
        <v>447</v>
      </c>
      <c r="Y257" s="4" t="s">
        <v>155</v>
      </c>
      <c r="Z257" s="151">
        <v>2199000</v>
      </c>
      <c r="AA257" s="158">
        <v>1</v>
      </c>
      <c r="AB257" s="175">
        <v>100.66</v>
      </c>
      <c r="AD257" s="151">
        <v>2213.5129999999999</v>
      </c>
      <c r="AG257" s="2" t="s">
        <v>36</v>
      </c>
      <c r="AH257" s="164">
        <v>1.2566000000000001E-2</v>
      </c>
      <c r="AI257" s="164">
        <v>1.25570871348448E-2</v>
      </c>
      <c r="AJ257" s="164">
        <v>9.1694578489379304E-4</v>
      </c>
    </row>
    <row r="258" spans="1:36">
      <c r="A258" s="2">
        <v>424</v>
      </c>
      <c r="B258" s="2">
        <v>7228</v>
      </c>
      <c r="C258" s="2" t="s">
        <v>2462</v>
      </c>
      <c r="D258" s="2" t="s">
        <v>2463</v>
      </c>
      <c r="E258" s="4" t="s">
        <v>349</v>
      </c>
      <c r="F258" s="2" t="s">
        <v>2464</v>
      </c>
      <c r="G258" s="2" t="s">
        <v>2465</v>
      </c>
      <c r="H258" s="2" t="s">
        <v>356</v>
      </c>
      <c r="I258" s="2" t="s">
        <v>204</v>
      </c>
      <c r="J258" s="2" t="s">
        <v>30</v>
      </c>
      <c r="K258" s="2" t="s">
        <v>271</v>
      </c>
      <c r="L258" s="2" t="s">
        <v>362</v>
      </c>
      <c r="M258" s="2" t="s">
        <v>31</v>
      </c>
      <c r="N258" s="2" t="s">
        <v>498</v>
      </c>
      <c r="O258" s="2" t="s">
        <v>155</v>
      </c>
      <c r="P258" s="2" t="s">
        <v>1353</v>
      </c>
      <c r="Q258" s="2" t="s">
        <v>101</v>
      </c>
      <c r="R258" s="2" t="s">
        <v>441</v>
      </c>
      <c r="S258" s="2" t="s">
        <v>34</v>
      </c>
      <c r="T258" s="151">
        <v>2.91</v>
      </c>
      <c r="U258" s="2" t="s">
        <v>2466</v>
      </c>
      <c r="V258" s="162">
        <v>4.2999999999999997E-2</v>
      </c>
      <c r="W258" s="164">
        <v>0.10149</v>
      </c>
      <c r="X258" s="4" t="s">
        <v>447</v>
      </c>
      <c r="Y258" s="4" t="s">
        <v>155</v>
      </c>
      <c r="Z258" s="151">
        <v>0.8</v>
      </c>
      <c r="AA258" s="158">
        <v>1</v>
      </c>
      <c r="AB258" s="175">
        <v>89.69</v>
      </c>
      <c r="AD258" s="151">
        <v>1E-3</v>
      </c>
      <c r="AG258" s="2" t="s">
        <v>36</v>
      </c>
      <c r="AH258" s="164">
        <v>0</v>
      </c>
      <c r="AI258" s="164">
        <v>4.0704344328766406E-9</v>
      </c>
      <c r="AJ258" s="164">
        <v>2.9723196596731502E-10</v>
      </c>
    </row>
    <row r="259" spans="1:36">
      <c r="A259" s="2">
        <v>424</v>
      </c>
      <c r="B259" s="2">
        <v>7228</v>
      </c>
      <c r="C259" s="2" t="s">
        <v>2167</v>
      </c>
      <c r="D259" s="2" t="s">
        <v>2168</v>
      </c>
      <c r="E259" s="4" t="s">
        <v>1342</v>
      </c>
      <c r="F259" s="2" t="s">
        <v>2467</v>
      </c>
      <c r="G259" s="2" t="s">
        <v>2468</v>
      </c>
      <c r="H259" s="2" t="s">
        <v>356</v>
      </c>
      <c r="I259" s="2" t="s">
        <v>1000</v>
      </c>
      <c r="J259" s="2" t="s">
        <v>30</v>
      </c>
      <c r="K259" s="2" t="s">
        <v>30</v>
      </c>
      <c r="L259" s="2" t="s">
        <v>362</v>
      </c>
      <c r="M259" s="2" t="s">
        <v>85</v>
      </c>
      <c r="N259" s="2" t="s">
        <v>495</v>
      </c>
      <c r="O259" s="2" t="s">
        <v>155</v>
      </c>
      <c r="P259" s="2" t="s">
        <v>1353</v>
      </c>
      <c r="Q259" s="2" t="s">
        <v>101</v>
      </c>
      <c r="R259" s="2" t="s">
        <v>441</v>
      </c>
      <c r="S259" s="2" t="s">
        <v>34</v>
      </c>
      <c r="T259" s="151">
        <v>4.5330000000000004</v>
      </c>
      <c r="U259" s="2" t="s">
        <v>2270</v>
      </c>
      <c r="V259" s="162">
        <v>5.8500000000000003E-2</v>
      </c>
      <c r="W259" s="164">
        <v>5.7729999999999997E-2</v>
      </c>
      <c r="X259" s="4" t="s">
        <v>447</v>
      </c>
      <c r="Y259" s="4" t="s">
        <v>155</v>
      </c>
      <c r="Z259" s="151">
        <v>1907000</v>
      </c>
      <c r="AA259" s="158">
        <v>1</v>
      </c>
      <c r="AB259" s="175">
        <v>101.6</v>
      </c>
      <c r="AD259" s="151">
        <v>1937.5119999999999</v>
      </c>
      <c r="AG259" s="2" t="s">
        <v>36</v>
      </c>
      <c r="AH259" s="164">
        <v>1.2303E-2</v>
      </c>
      <c r="AI259" s="164">
        <v>1.09913529363804E-2</v>
      </c>
      <c r="AJ259" s="164">
        <v>8.0261247191055801E-4</v>
      </c>
    </row>
    <row r="260" spans="1:36">
      <c r="A260" s="2">
        <v>424</v>
      </c>
      <c r="B260" s="2">
        <v>7228</v>
      </c>
      <c r="C260" s="2" t="s">
        <v>2473</v>
      </c>
      <c r="D260" s="2" t="s">
        <v>2474</v>
      </c>
      <c r="E260" s="4" t="s">
        <v>350</v>
      </c>
      <c r="F260" s="2" t="s">
        <v>2475</v>
      </c>
      <c r="G260" s="2" t="s">
        <v>2476</v>
      </c>
      <c r="H260" s="2" t="s">
        <v>356</v>
      </c>
      <c r="I260" s="2" t="s">
        <v>204</v>
      </c>
      <c r="J260" s="2" t="s">
        <v>97</v>
      </c>
      <c r="K260" s="2" t="s">
        <v>98</v>
      </c>
      <c r="L260" s="2" t="s">
        <v>362</v>
      </c>
      <c r="M260" s="2" t="s">
        <v>194</v>
      </c>
      <c r="N260" s="2" t="s">
        <v>570</v>
      </c>
      <c r="O260" s="2" t="s">
        <v>155</v>
      </c>
      <c r="P260" s="2" t="s">
        <v>1337</v>
      </c>
      <c r="Q260" s="2" t="s">
        <v>466</v>
      </c>
      <c r="R260" s="2" t="s">
        <v>441</v>
      </c>
      <c r="S260" s="2" t="s">
        <v>102</v>
      </c>
      <c r="T260" s="151">
        <v>0.26700000000000002</v>
      </c>
      <c r="U260" s="2" t="s">
        <v>2477</v>
      </c>
      <c r="V260" s="162">
        <v>0.04</v>
      </c>
      <c r="W260" s="164">
        <v>5.543E-2</v>
      </c>
      <c r="X260" s="4" t="s">
        <v>447</v>
      </c>
      <c r="Y260" s="4" t="s">
        <v>155</v>
      </c>
      <c r="Z260" s="151">
        <v>200000</v>
      </c>
      <c r="AA260" s="158">
        <v>3.71</v>
      </c>
      <c r="AB260" s="175">
        <v>100.485</v>
      </c>
      <c r="AD260" s="151">
        <v>745.596</v>
      </c>
      <c r="AG260" s="2" t="s">
        <v>36</v>
      </c>
      <c r="AH260" s="164">
        <v>8.0000000000000007E-5</v>
      </c>
      <c r="AI260" s="164">
        <v>4.2297100579788902E-3</v>
      </c>
      <c r="AJ260" s="164">
        <v>3.08862618164396E-4</v>
      </c>
    </row>
    <row r="261" spans="1:36">
      <c r="A261" s="2">
        <v>424</v>
      </c>
      <c r="B261" s="2">
        <v>7228</v>
      </c>
      <c r="C261" s="2" t="s">
        <v>2530</v>
      </c>
      <c r="D261" s="2" t="s">
        <v>2531</v>
      </c>
      <c r="E261" s="4" t="s">
        <v>350</v>
      </c>
      <c r="F261" s="2" t="s">
        <v>2532</v>
      </c>
      <c r="G261" s="2" t="s">
        <v>2533</v>
      </c>
      <c r="H261" s="2" t="s">
        <v>356</v>
      </c>
      <c r="I261" s="2" t="s">
        <v>204</v>
      </c>
      <c r="J261" s="2" t="s">
        <v>97</v>
      </c>
      <c r="K261" s="2" t="s">
        <v>276</v>
      </c>
      <c r="L261" s="2" t="s">
        <v>362</v>
      </c>
      <c r="M261" s="2" t="s">
        <v>194</v>
      </c>
      <c r="N261" s="2" t="s">
        <v>568</v>
      </c>
      <c r="O261" s="2" t="s">
        <v>155</v>
      </c>
      <c r="P261" s="2" t="s">
        <v>2534</v>
      </c>
      <c r="Q261" s="2" t="s">
        <v>466</v>
      </c>
      <c r="R261" s="2" t="s">
        <v>441</v>
      </c>
      <c r="S261" s="2" t="s">
        <v>1209</v>
      </c>
      <c r="T261" s="151">
        <v>9.4589999999999996</v>
      </c>
      <c r="U261" s="2" t="s">
        <v>2535</v>
      </c>
      <c r="V261" s="162">
        <v>4.4999999999999998E-2</v>
      </c>
      <c r="W261" s="164">
        <v>5.6919999999999998E-2</v>
      </c>
      <c r="X261" s="4" t="s">
        <v>447</v>
      </c>
      <c r="Y261" s="4" t="s">
        <v>155</v>
      </c>
      <c r="Z261" s="151">
        <v>300000</v>
      </c>
      <c r="AA261" s="158">
        <v>4.1524000000000001</v>
      </c>
      <c r="AB261" s="175">
        <v>99.119</v>
      </c>
      <c r="AD261" s="151">
        <v>1234.749</v>
      </c>
      <c r="AG261" s="2" t="s">
        <v>36</v>
      </c>
      <c r="AH261" s="164">
        <v>5.9999999999999995E-4</v>
      </c>
      <c r="AI261" s="164">
        <v>7.0046334840183598E-3</v>
      </c>
      <c r="AJ261" s="164">
        <v>5.1149355570478396E-4</v>
      </c>
    </row>
    <row r="262" spans="1:36">
      <c r="A262" s="2">
        <v>424</v>
      </c>
      <c r="B262" s="2">
        <v>7228</v>
      </c>
      <c r="C262" s="2" t="s">
        <v>2536</v>
      </c>
      <c r="D262" s="2" t="s">
        <v>2537</v>
      </c>
      <c r="E262" s="4" t="s">
        <v>350</v>
      </c>
      <c r="F262" s="2" t="s">
        <v>2538</v>
      </c>
      <c r="G262" s="2" t="s">
        <v>2539</v>
      </c>
      <c r="H262" s="2" t="s">
        <v>356</v>
      </c>
      <c r="I262" s="2" t="s">
        <v>204</v>
      </c>
      <c r="J262" s="2" t="s">
        <v>97</v>
      </c>
      <c r="K262" s="2" t="s">
        <v>98</v>
      </c>
      <c r="L262" s="2" t="s">
        <v>362</v>
      </c>
      <c r="M262" s="2" t="s">
        <v>194</v>
      </c>
      <c r="N262" s="2" t="s">
        <v>570</v>
      </c>
      <c r="O262" s="2" t="s">
        <v>155</v>
      </c>
      <c r="P262" s="2" t="s">
        <v>2297</v>
      </c>
      <c r="Q262" s="2" t="s">
        <v>466</v>
      </c>
      <c r="R262" s="2" t="s">
        <v>441</v>
      </c>
      <c r="S262" s="2" t="s">
        <v>102</v>
      </c>
      <c r="T262" s="151">
        <v>0.44400000000000001</v>
      </c>
      <c r="U262" s="2" t="s">
        <v>2540</v>
      </c>
      <c r="V262" s="162">
        <v>3.875E-2</v>
      </c>
      <c r="W262" s="164">
        <v>5.185E-2</v>
      </c>
      <c r="X262" s="4" t="s">
        <v>447</v>
      </c>
      <c r="Y262" s="4" t="s">
        <v>155</v>
      </c>
      <c r="Z262" s="151">
        <v>270000</v>
      </c>
      <c r="AA262" s="158">
        <v>3.71</v>
      </c>
      <c r="AB262" s="175">
        <v>99.525999999999996</v>
      </c>
      <c r="AD262" s="151">
        <v>996.95</v>
      </c>
      <c r="AG262" s="2" t="s">
        <v>36</v>
      </c>
      <c r="AH262" s="164">
        <v>2.7E-4</v>
      </c>
      <c r="AI262" s="164">
        <v>5.65561846071425E-3</v>
      </c>
      <c r="AJ262" s="164">
        <v>4.1298554774929101E-4</v>
      </c>
    </row>
    <row r="263" spans="1:36">
      <c r="A263" s="2">
        <v>424</v>
      </c>
      <c r="B263" s="2">
        <v>7228</v>
      </c>
      <c r="C263" s="2" t="s">
        <v>2541</v>
      </c>
      <c r="D263" s="2" t="s">
        <v>2542</v>
      </c>
      <c r="E263" s="4" t="s">
        <v>350</v>
      </c>
      <c r="F263" s="2" t="s">
        <v>2543</v>
      </c>
      <c r="G263" s="2" t="s">
        <v>2544</v>
      </c>
      <c r="H263" s="2" t="s">
        <v>356</v>
      </c>
      <c r="I263" s="2" t="s">
        <v>204</v>
      </c>
      <c r="J263" s="2" t="s">
        <v>97</v>
      </c>
      <c r="K263" s="2" t="s">
        <v>98</v>
      </c>
      <c r="L263" s="2" t="s">
        <v>362</v>
      </c>
      <c r="M263" s="2" t="s">
        <v>194</v>
      </c>
      <c r="N263" s="2" t="s">
        <v>546</v>
      </c>
      <c r="O263" s="2" t="s">
        <v>155</v>
      </c>
      <c r="P263" s="2" t="s">
        <v>2545</v>
      </c>
      <c r="Q263" s="2" t="s">
        <v>464</v>
      </c>
      <c r="R263" s="2" t="s">
        <v>441</v>
      </c>
      <c r="S263" s="2" t="s">
        <v>102</v>
      </c>
      <c r="T263" s="151">
        <v>1.55</v>
      </c>
      <c r="U263" s="2" t="s">
        <v>120</v>
      </c>
      <c r="V263" s="162">
        <v>0.05</v>
      </c>
      <c r="W263" s="164">
        <v>5.7549999999999997E-2</v>
      </c>
      <c r="X263" s="4" t="s">
        <v>447</v>
      </c>
      <c r="Y263" s="4" t="s">
        <v>155</v>
      </c>
      <c r="Z263" s="151">
        <v>263000</v>
      </c>
      <c r="AA263" s="158">
        <v>3.71</v>
      </c>
      <c r="AB263" s="175">
        <v>100.273</v>
      </c>
      <c r="AD263" s="151">
        <v>978.39</v>
      </c>
      <c r="AG263" s="2" t="s">
        <v>36</v>
      </c>
      <c r="AH263" s="164">
        <v>2.92E-4</v>
      </c>
      <c r="AI263" s="164">
        <v>5.55032848343078E-3</v>
      </c>
      <c r="AJ263" s="164">
        <v>4.0529704484850798E-4</v>
      </c>
    </row>
    <row r="264" spans="1:36">
      <c r="A264" s="2">
        <v>424</v>
      </c>
      <c r="B264" s="2">
        <v>7228</v>
      </c>
      <c r="C264" s="2" t="s">
        <v>2546</v>
      </c>
      <c r="D264" s="2" t="s">
        <v>2547</v>
      </c>
      <c r="E264" s="4" t="s">
        <v>350</v>
      </c>
      <c r="F264" s="2" t="s">
        <v>2548</v>
      </c>
      <c r="G264" s="2" t="s">
        <v>2549</v>
      </c>
      <c r="H264" s="2" t="s">
        <v>356</v>
      </c>
      <c r="I264" s="2" t="s">
        <v>204</v>
      </c>
      <c r="J264" s="2" t="s">
        <v>97</v>
      </c>
      <c r="K264" s="2" t="s">
        <v>98</v>
      </c>
      <c r="L264" s="2" t="s">
        <v>362</v>
      </c>
      <c r="M264" s="2" t="s">
        <v>194</v>
      </c>
      <c r="N264" s="2" t="s">
        <v>580</v>
      </c>
      <c r="O264" s="2" t="s">
        <v>155</v>
      </c>
      <c r="P264" s="2" t="s">
        <v>2297</v>
      </c>
      <c r="Q264" s="2" t="s">
        <v>466</v>
      </c>
      <c r="R264" s="2" t="s">
        <v>441</v>
      </c>
      <c r="S264" s="2" t="s">
        <v>102</v>
      </c>
      <c r="T264" s="151">
        <v>0.74099999999999999</v>
      </c>
      <c r="U264" s="2" t="s">
        <v>2550</v>
      </c>
      <c r="V264" s="162">
        <v>4.9000000000000002E-2</v>
      </c>
      <c r="W264" s="164">
        <v>4.9160000000000002E-2</v>
      </c>
      <c r="X264" s="4" t="s">
        <v>447</v>
      </c>
      <c r="Y264" s="4" t="s">
        <v>155</v>
      </c>
      <c r="Z264" s="151">
        <v>252000</v>
      </c>
      <c r="AA264" s="158">
        <v>3.71</v>
      </c>
      <c r="AB264" s="175">
        <v>102.357</v>
      </c>
      <c r="AD264" s="151">
        <v>956.96</v>
      </c>
      <c r="AG264" s="2" t="s">
        <v>36</v>
      </c>
      <c r="AH264" s="164">
        <v>1.01E-4</v>
      </c>
      <c r="AI264" s="164">
        <v>5.42875757805513E-3</v>
      </c>
      <c r="AJ264" s="164">
        <v>3.9641967320547798E-4</v>
      </c>
    </row>
    <row r="265" spans="1:36">
      <c r="A265" s="2">
        <v>424</v>
      </c>
      <c r="B265" s="2">
        <v>7228</v>
      </c>
      <c r="C265" s="2" t="s">
        <v>2478</v>
      </c>
      <c r="D265" s="2" t="s">
        <v>2479</v>
      </c>
      <c r="E265" s="4" t="s">
        <v>350</v>
      </c>
      <c r="F265" s="2" t="s">
        <v>2480</v>
      </c>
      <c r="G265" s="2" t="s">
        <v>2481</v>
      </c>
      <c r="H265" s="2" t="s">
        <v>356</v>
      </c>
      <c r="I265" s="2" t="s">
        <v>204</v>
      </c>
      <c r="J265" s="2" t="s">
        <v>97</v>
      </c>
      <c r="K265" s="2" t="s">
        <v>98</v>
      </c>
      <c r="L265" s="2" t="s">
        <v>362</v>
      </c>
      <c r="M265" s="2" t="s">
        <v>194</v>
      </c>
      <c r="N265" s="2" t="s">
        <v>580</v>
      </c>
      <c r="O265" s="2" t="s">
        <v>155</v>
      </c>
      <c r="P265" s="2" t="s">
        <v>2297</v>
      </c>
      <c r="Q265" s="2" t="s">
        <v>466</v>
      </c>
      <c r="R265" s="2" t="s">
        <v>441</v>
      </c>
      <c r="S265" s="2" t="s">
        <v>102</v>
      </c>
      <c r="T265" s="151">
        <v>0.56299999999999994</v>
      </c>
      <c r="U265" s="2" t="s">
        <v>2482</v>
      </c>
      <c r="V265" s="162">
        <v>7.4999999999999997E-2</v>
      </c>
      <c r="W265" s="164">
        <v>5.765E-2</v>
      </c>
      <c r="X265" s="4" t="s">
        <v>447</v>
      </c>
      <c r="Y265" s="4" t="s">
        <v>155</v>
      </c>
      <c r="Z265" s="151">
        <v>150000</v>
      </c>
      <c r="AA265" s="158">
        <v>3.71</v>
      </c>
      <c r="AB265" s="175">
        <v>104.35299999999999</v>
      </c>
      <c r="AD265" s="151">
        <v>580.726</v>
      </c>
      <c r="AG265" s="2" t="s">
        <v>36</v>
      </c>
      <c r="AH265" s="164">
        <v>3.7500000000000001E-4</v>
      </c>
      <c r="AI265" s="164">
        <v>3.2944134972285898E-3</v>
      </c>
      <c r="AJ265" s="164">
        <v>2.4056523121501099E-4</v>
      </c>
    </row>
    <row r="266" spans="1:36">
      <c r="A266" s="2">
        <v>424</v>
      </c>
      <c r="B266" s="2">
        <v>7228</v>
      </c>
      <c r="C266" s="2" t="s">
        <v>2551</v>
      </c>
      <c r="D266" s="2" t="s">
        <v>2552</v>
      </c>
      <c r="E266" s="4" t="s">
        <v>350</v>
      </c>
      <c r="F266" s="2" t="s">
        <v>2553</v>
      </c>
      <c r="G266" s="2" t="s">
        <v>2554</v>
      </c>
      <c r="H266" s="2" t="s">
        <v>356</v>
      </c>
      <c r="I266" s="2" t="s">
        <v>204</v>
      </c>
      <c r="J266" s="2" t="s">
        <v>97</v>
      </c>
      <c r="K266" s="2" t="s">
        <v>247</v>
      </c>
      <c r="L266" s="2" t="s">
        <v>362</v>
      </c>
      <c r="M266" s="2" t="s">
        <v>194</v>
      </c>
      <c r="N266" s="2" t="s">
        <v>543</v>
      </c>
      <c r="O266" s="2" t="s">
        <v>155</v>
      </c>
      <c r="P266" s="2" t="s">
        <v>1337</v>
      </c>
      <c r="Q266" s="2" t="s">
        <v>466</v>
      </c>
      <c r="R266" s="2" t="s">
        <v>441</v>
      </c>
      <c r="S266" s="2" t="s">
        <v>102</v>
      </c>
      <c r="T266" s="151">
        <v>1.48</v>
      </c>
      <c r="U266" s="2" t="s">
        <v>2555</v>
      </c>
      <c r="V266" s="162">
        <v>3.6249999999999998E-2</v>
      </c>
      <c r="W266" s="164">
        <v>4.8180000000000001E-2</v>
      </c>
      <c r="X266" s="4" t="s">
        <v>447</v>
      </c>
      <c r="Y266" s="4" t="s">
        <v>155</v>
      </c>
      <c r="Z266" s="151">
        <v>270000</v>
      </c>
      <c r="AA266" s="158">
        <v>3.71</v>
      </c>
      <c r="AB266" s="175">
        <v>100.24</v>
      </c>
      <c r="AD266" s="151">
        <v>1004.1</v>
      </c>
      <c r="AG266" s="2" t="s">
        <v>36</v>
      </c>
      <c r="AH266" s="164">
        <v>2.9999999999999997E-4</v>
      </c>
      <c r="AI266" s="164">
        <v>5.6961806110034999E-3</v>
      </c>
      <c r="AJ266" s="164">
        <v>4.15947484091259E-4</v>
      </c>
    </row>
    <row r="267" spans="1:36">
      <c r="A267" s="2">
        <v>424</v>
      </c>
      <c r="B267" s="2">
        <v>7228</v>
      </c>
      <c r="C267" s="2" t="s">
        <v>1884</v>
      </c>
      <c r="D267" s="2" t="s">
        <v>1885</v>
      </c>
      <c r="E267" s="4" t="s">
        <v>1342</v>
      </c>
      <c r="F267" s="2" t="s">
        <v>2483</v>
      </c>
      <c r="G267" s="2" t="s">
        <v>2484</v>
      </c>
      <c r="H267" s="2" t="s">
        <v>356</v>
      </c>
      <c r="I267" s="2" t="s">
        <v>204</v>
      </c>
      <c r="J267" s="2" t="s">
        <v>97</v>
      </c>
      <c r="K267" s="2" t="s">
        <v>98</v>
      </c>
      <c r="L267" s="2" t="s">
        <v>362</v>
      </c>
      <c r="M267" s="2" t="s">
        <v>194</v>
      </c>
      <c r="N267" s="2" t="s">
        <v>500</v>
      </c>
      <c r="O267" s="2" t="s">
        <v>155</v>
      </c>
      <c r="P267" s="2" t="s">
        <v>2485</v>
      </c>
      <c r="Q267" s="2" t="s">
        <v>466</v>
      </c>
      <c r="R267" s="2" t="s">
        <v>441</v>
      </c>
      <c r="S267" s="2" t="s">
        <v>1209</v>
      </c>
      <c r="T267" s="151">
        <v>4.7110000000000003</v>
      </c>
      <c r="U267" s="2" t="s">
        <v>2486</v>
      </c>
      <c r="V267" s="162">
        <v>4.3749999999999997E-2</v>
      </c>
      <c r="W267" s="164">
        <v>4.8250000000000001E-2</v>
      </c>
      <c r="X267" s="4" t="s">
        <v>447</v>
      </c>
      <c r="Y267" s="4" t="s">
        <v>155</v>
      </c>
      <c r="Z267" s="151">
        <v>640000</v>
      </c>
      <c r="AA267" s="158">
        <v>4.1524000000000001</v>
      </c>
      <c r="AB267" s="175">
        <v>101.48099999999999</v>
      </c>
      <c r="AD267" s="151">
        <v>2696.8910000000001</v>
      </c>
      <c r="AG267" s="2" t="s">
        <v>36</v>
      </c>
      <c r="AH267" s="164">
        <v>4.2700000000000002E-4</v>
      </c>
      <c r="AI267" s="164">
        <v>1.52992527349071E-2</v>
      </c>
      <c r="AJ267" s="164">
        <v>1.11718467480964E-3</v>
      </c>
    </row>
    <row r="268" spans="1:36">
      <c r="A268" s="2">
        <v>424</v>
      </c>
      <c r="B268" s="2">
        <v>7228</v>
      </c>
      <c r="C268" s="2" t="s">
        <v>2556</v>
      </c>
      <c r="D268" s="2" t="s">
        <v>2557</v>
      </c>
      <c r="E268" s="4" t="s">
        <v>350</v>
      </c>
      <c r="F268" s="2" t="s">
        <v>2558</v>
      </c>
      <c r="G268" s="2" t="s">
        <v>2559</v>
      </c>
      <c r="H268" s="2" t="s">
        <v>356</v>
      </c>
      <c r="I268" s="2" t="s">
        <v>204</v>
      </c>
      <c r="J268" s="2" t="s">
        <v>97</v>
      </c>
      <c r="K268" s="2" t="s">
        <v>98</v>
      </c>
      <c r="L268" s="2" t="s">
        <v>362</v>
      </c>
      <c r="M268" s="2" t="s">
        <v>194</v>
      </c>
      <c r="N268" s="2" t="s">
        <v>2017</v>
      </c>
      <c r="O268" s="2" t="s">
        <v>155</v>
      </c>
      <c r="P268" s="2" t="s">
        <v>2560</v>
      </c>
      <c r="Q268" s="2" t="s">
        <v>464</v>
      </c>
      <c r="R268" s="2" t="s">
        <v>441</v>
      </c>
      <c r="S268" s="2" t="s">
        <v>102</v>
      </c>
      <c r="T268" s="151">
        <v>1.573</v>
      </c>
      <c r="U268" s="2" t="s">
        <v>2561</v>
      </c>
      <c r="V268" s="162">
        <v>3.4500000000000003E-2</v>
      </c>
      <c r="W268" s="164">
        <v>6.1949999999999998E-2</v>
      </c>
      <c r="X268" s="4" t="s">
        <v>447</v>
      </c>
      <c r="Y268" s="4" t="s">
        <v>155</v>
      </c>
      <c r="Z268" s="151">
        <v>273000</v>
      </c>
      <c r="AA268" s="158">
        <v>3.71</v>
      </c>
      <c r="AB268" s="175">
        <v>97.441000000000003</v>
      </c>
      <c r="AD268" s="151">
        <v>986.91200000000003</v>
      </c>
      <c r="AG268" s="2" t="s">
        <v>36</v>
      </c>
      <c r="AH268" s="164">
        <v>1.44E-4</v>
      </c>
      <c r="AI268" s="164">
        <v>5.5986722122049002E-3</v>
      </c>
      <c r="AJ268" s="164">
        <v>4.0882720895818198E-4</v>
      </c>
    </row>
    <row r="269" spans="1:36">
      <c r="A269" s="2">
        <v>424</v>
      </c>
      <c r="B269" s="2">
        <v>7229</v>
      </c>
      <c r="C269" s="2" t="s">
        <v>2183</v>
      </c>
      <c r="D269" s="2" t="s">
        <v>2184</v>
      </c>
      <c r="E269" s="4" t="s">
        <v>1342</v>
      </c>
      <c r="F269" s="2" t="s">
        <v>2185</v>
      </c>
      <c r="G269" s="2" t="s">
        <v>2186</v>
      </c>
      <c r="H269" s="2" t="s">
        <v>356</v>
      </c>
      <c r="I269" s="2" t="s">
        <v>208</v>
      </c>
      <c r="J269" s="2" t="s">
        <v>30</v>
      </c>
      <c r="K269" s="2" t="s">
        <v>30</v>
      </c>
      <c r="L269" s="2" t="s">
        <v>362</v>
      </c>
      <c r="M269" s="2" t="s">
        <v>31</v>
      </c>
      <c r="N269" s="2" t="s">
        <v>489</v>
      </c>
      <c r="O269" s="2" t="s">
        <v>155</v>
      </c>
      <c r="P269" s="2" t="s">
        <v>1353</v>
      </c>
      <c r="Q269" s="2" t="s">
        <v>206</v>
      </c>
      <c r="R269" s="2" t="s">
        <v>441</v>
      </c>
      <c r="S269" s="2" t="s">
        <v>34</v>
      </c>
      <c r="T269" s="151">
        <v>4.1390000000000002</v>
      </c>
      <c r="U269" s="2" t="s">
        <v>2187</v>
      </c>
      <c r="V269" s="162">
        <v>5.1499999999999997E-2</v>
      </c>
      <c r="W269" s="164">
        <v>5.1479999999999998E-2</v>
      </c>
      <c r="X269" s="4" t="s">
        <v>447</v>
      </c>
      <c r="Y269" s="4" t="s">
        <v>155</v>
      </c>
      <c r="Z269" s="151">
        <v>0.28000000000000003</v>
      </c>
      <c r="AA269" s="158">
        <v>1</v>
      </c>
      <c r="AB269" s="175">
        <v>141.9</v>
      </c>
      <c r="AD269" s="151">
        <v>0</v>
      </c>
      <c r="AG269" s="2" t="s">
        <v>36</v>
      </c>
      <c r="AH269" s="164">
        <v>0</v>
      </c>
      <c r="AI269" s="164">
        <v>2.2027749198144601E-8</v>
      </c>
      <c r="AJ269" s="164">
        <v>2.7275771873681701E-9</v>
      </c>
    </row>
    <row r="270" spans="1:36">
      <c r="A270" s="2">
        <v>424</v>
      </c>
      <c r="B270" s="2">
        <v>7229</v>
      </c>
      <c r="C270" s="2" t="s">
        <v>2188</v>
      </c>
      <c r="D270" s="2" t="s">
        <v>2189</v>
      </c>
      <c r="E270" s="4" t="s">
        <v>1342</v>
      </c>
      <c r="F270" s="2" t="s">
        <v>2190</v>
      </c>
      <c r="G270" s="2" t="s">
        <v>2191</v>
      </c>
      <c r="H270" s="2" t="s">
        <v>356</v>
      </c>
      <c r="I270" s="2" t="s">
        <v>208</v>
      </c>
      <c r="J270" s="2" t="s">
        <v>30</v>
      </c>
      <c r="K270" s="2" t="s">
        <v>30</v>
      </c>
      <c r="L270" s="2" t="s">
        <v>362</v>
      </c>
      <c r="M270" s="2" t="s">
        <v>31</v>
      </c>
      <c r="N270" s="2" t="s">
        <v>473</v>
      </c>
      <c r="O270" s="2" t="s">
        <v>155</v>
      </c>
      <c r="P270" s="2" t="s">
        <v>2192</v>
      </c>
      <c r="Q270" s="2" t="s">
        <v>206</v>
      </c>
      <c r="R270" s="2" t="s">
        <v>441</v>
      </c>
      <c r="S270" s="2" t="s">
        <v>34</v>
      </c>
      <c r="T270" s="151">
        <v>2.9049999999999998</v>
      </c>
      <c r="U270" s="2" t="s">
        <v>2193</v>
      </c>
      <c r="V270" s="162">
        <v>2.75E-2</v>
      </c>
      <c r="W270" s="164">
        <v>3.1E-2</v>
      </c>
      <c r="X270" s="4" t="s">
        <v>447</v>
      </c>
      <c r="Y270" s="4" t="s">
        <v>155</v>
      </c>
      <c r="Z270" s="151">
        <v>302297.24</v>
      </c>
      <c r="AA270" s="158">
        <v>1</v>
      </c>
      <c r="AB270" s="175">
        <v>113.65</v>
      </c>
      <c r="AD270" s="151">
        <v>343.56099999999998</v>
      </c>
      <c r="AG270" s="2" t="s">
        <v>36</v>
      </c>
      <c r="AH270" s="164">
        <v>3.59E-4</v>
      </c>
      <c r="AI270" s="164">
        <v>1.9047295451529899E-2</v>
      </c>
      <c r="AJ270" s="164">
        <v>2.3585237005980799E-3</v>
      </c>
    </row>
    <row r="271" spans="1:36">
      <c r="A271" s="2">
        <v>424</v>
      </c>
      <c r="B271" s="2">
        <v>7229</v>
      </c>
      <c r="C271" s="2" t="s">
        <v>2188</v>
      </c>
      <c r="D271" s="2" t="s">
        <v>2189</v>
      </c>
      <c r="E271" s="4" t="s">
        <v>1342</v>
      </c>
      <c r="F271" s="2" t="s">
        <v>2194</v>
      </c>
      <c r="G271" s="2" t="s">
        <v>2195</v>
      </c>
      <c r="H271" s="2" t="s">
        <v>356</v>
      </c>
      <c r="I271" s="2" t="s">
        <v>1000</v>
      </c>
      <c r="J271" s="2" t="s">
        <v>30</v>
      </c>
      <c r="K271" s="2" t="s">
        <v>30</v>
      </c>
      <c r="L271" s="2" t="s">
        <v>362</v>
      </c>
      <c r="M271" s="2" t="s">
        <v>31</v>
      </c>
      <c r="N271" s="2" t="s">
        <v>473</v>
      </c>
      <c r="O271" s="2" t="s">
        <v>155</v>
      </c>
      <c r="P271" s="2" t="s">
        <v>2192</v>
      </c>
      <c r="Q271" s="2" t="s">
        <v>206</v>
      </c>
      <c r="R271" s="2" t="s">
        <v>441</v>
      </c>
      <c r="S271" s="2" t="s">
        <v>34</v>
      </c>
      <c r="T271" s="151">
        <v>2.4820000000000002</v>
      </c>
      <c r="U271" s="2" t="s">
        <v>2196</v>
      </c>
      <c r="V271" s="162">
        <v>2.5000000000000001E-2</v>
      </c>
      <c r="W271" s="164">
        <v>6.1120000000000001E-2</v>
      </c>
      <c r="X271" s="4" t="s">
        <v>447</v>
      </c>
      <c r="Y271" s="4" t="s">
        <v>155</v>
      </c>
      <c r="Z271" s="151">
        <v>247500</v>
      </c>
      <c r="AA271" s="158">
        <v>1</v>
      </c>
      <c r="AB271" s="175">
        <v>89.41</v>
      </c>
      <c r="AD271" s="151">
        <v>221.29</v>
      </c>
      <c r="AG271" s="2" t="s">
        <v>36</v>
      </c>
      <c r="AH271" s="164">
        <v>3.2299999999999999E-4</v>
      </c>
      <c r="AI271" s="164">
        <v>1.2268486643310501E-2</v>
      </c>
      <c r="AJ271" s="164">
        <v>1.5191404255975201E-3</v>
      </c>
    </row>
    <row r="272" spans="1:36">
      <c r="A272" s="2">
        <v>424</v>
      </c>
      <c r="B272" s="2">
        <v>7229</v>
      </c>
      <c r="C272" s="2" t="s">
        <v>2197</v>
      </c>
      <c r="D272" s="2" t="s">
        <v>2198</v>
      </c>
      <c r="E272" s="4" t="s">
        <v>1342</v>
      </c>
      <c r="F272" s="2" t="s">
        <v>2562</v>
      </c>
      <c r="G272" s="2" t="s">
        <v>2563</v>
      </c>
      <c r="H272" s="2" t="s">
        <v>356</v>
      </c>
      <c r="I272" s="2" t="s">
        <v>1000</v>
      </c>
      <c r="J272" s="2" t="s">
        <v>30</v>
      </c>
      <c r="K272" s="2" t="s">
        <v>30</v>
      </c>
      <c r="L272" s="2" t="s">
        <v>362</v>
      </c>
      <c r="M272" s="2" t="s">
        <v>31</v>
      </c>
      <c r="N272" s="2" t="s">
        <v>480</v>
      </c>
      <c r="O272" s="2" t="s">
        <v>155</v>
      </c>
      <c r="P272" s="2" t="s">
        <v>2181</v>
      </c>
      <c r="Q272" s="2" t="s">
        <v>101</v>
      </c>
      <c r="R272" s="2" t="s">
        <v>441</v>
      </c>
      <c r="S272" s="2" t="s">
        <v>34</v>
      </c>
      <c r="T272" s="151">
        <v>1.3640000000000001</v>
      </c>
      <c r="U272" s="2" t="s">
        <v>2378</v>
      </c>
      <c r="V272" s="162">
        <v>2.9499999999999998E-2</v>
      </c>
      <c r="W272" s="164">
        <v>5.9319999999999998E-2</v>
      </c>
      <c r="X272" s="4" t="s">
        <v>447</v>
      </c>
      <c r="Y272" s="4" t="s">
        <v>155</v>
      </c>
      <c r="Z272" s="151">
        <v>162400</v>
      </c>
      <c r="AA272" s="158">
        <v>1</v>
      </c>
      <c r="AB272" s="175">
        <v>96.89</v>
      </c>
      <c r="AD272" s="151">
        <v>157.34899999999999</v>
      </c>
      <c r="AG272" s="2" t="s">
        <v>36</v>
      </c>
      <c r="AH272" s="164">
        <v>5.2499999999999997E-4</v>
      </c>
      <c r="AI272" s="164">
        <v>8.7235785728595697E-3</v>
      </c>
      <c r="AJ272" s="164">
        <v>1.0801936091386799E-3</v>
      </c>
    </row>
    <row r="273" spans="1:36">
      <c r="A273" s="2">
        <v>424</v>
      </c>
      <c r="B273" s="2">
        <v>7229</v>
      </c>
      <c r="C273" s="2" t="s">
        <v>2197</v>
      </c>
      <c r="D273" s="2" t="s">
        <v>2198</v>
      </c>
      <c r="E273" s="4" t="s">
        <v>1342</v>
      </c>
      <c r="F273" s="2" t="s">
        <v>2199</v>
      </c>
      <c r="G273" s="2" t="s">
        <v>2200</v>
      </c>
      <c r="H273" s="2" t="s">
        <v>356</v>
      </c>
      <c r="I273" s="2" t="s">
        <v>1000</v>
      </c>
      <c r="J273" s="2" t="s">
        <v>30</v>
      </c>
      <c r="K273" s="2" t="s">
        <v>30</v>
      </c>
      <c r="L273" s="2" t="s">
        <v>362</v>
      </c>
      <c r="M273" s="2" t="s">
        <v>31</v>
      </c>
      <c r="N273" s="2" t="s">
        <v>480</v>
      </c>
      <c r="O273" s="2" t="s">
        <v>155</v>
      </c>
      <c r="P273" s="2" t="s">
        <v>2181</v>
      </c>
      <c r="Q273" s="2" t="s">
        <v>101</v>
      </c>
      <c r="R273" s="2" t="s">
        <v>441</v>
      </c>
      <c r="S273" s="2" t="s">
        <v>34</v>
      </c>
      <c r="T273" s="151">
        <v>2.2480000000000002</v>
      </c>
      <c r="U273" s="2" t="s">
        <v>2201</v>
      </c>
      <c r="V273" s="162">
        <v>2.5499999999999998E-2</v>
      </c>
      <c r="W273" s="164">
        <v>6.0019999999999997E-2</v>
      </c>
      <c r="X273" s="4" t="s">
        <v>447</v>
      </c>
      <c r="Y273" s="4" t="s">
        <v>155</v>
      </c>
      <c r="Z273" s="151">
        <v>152955</v>
      </c>
      <c r="AA273" s="158">
        <v>1</v>
      </c>
      <c r="AB273" s="175">
        <v>93.37</v>
      </c>
      <c r="AD273" s="151">
        <v>142.81399999999999</v>
      </c>
      <c r="AG273" s="2" t="s">
        <v>36</v>
      </c>
      <c r="AH273" s="164">
        <v>1.9900000000000001E-4</v>
      </c>
      <c r="AI273" s="164">
        <v>7.9177308298119392E-3</v>
      </c>
      <c r="AJ273" s="164">
        <v>9.8040983637746101E-4</v>
      </c>
    </row>
    <row r="274" spans="1:36">
      <c r="A274" s="2">
        <v>424</v>
      </c>
      <c r="B274" s="2">
        <v>7229</v>
      </c>
      <c r="C274" s="2" t="s">
        <v>2202</v>
      </c>
      <c r="D274" s="2" t="s">
        <v>2203</v>
      </c>
      <c r="E274" s="4" t="s">
        <v>1342</v>
      </c>
      <c r="F274" s="2" t="s">
        <v>2204</v>
      </c>
      <c r="G274" s="2" t="s">
        <v>2205</v>
      </c>
      <c r="H274" s="2" t="s">
        <v>356</v>
      </c>
      <c r="I274" s="2" t="s">
        <v>1000</v>
      </c>
      <c r="J274" s="2" t="s">
        <v>30</v>
      </c>
      <c r="K274" s="2" t="s">
        <v>30</v>
      </c>
      <c r="L274" s="2" t="s">
        <v>362</v>
      </c>
      <c r="M274" s="2" t="s">
        <v>31</v>
      </c>
      <c r="N274" s="2" t="s">
        <v>478</v>
      </c>
      <c r="O274" s="2" t="s">
        <v>155</v>
      </c>
      <c r="P274" s="2" t="s">
        <v>2181</v>
      </c>
      <c r="Q274" s="2" t="s">
        <v>101</v>
      </c>
      <c r="R274" s="2" t="s">
        <v>441</v>
      </c>
      <c r="S274" s="2" t="s">
        <v>34</v>
      </c>
      <c r="T274" s="151">
        <v>3.9980000000000002</v>
      </c>
      <c r="U274" s="2" t="s">
        <v>2206</v>
      </c>
      <c r="V274" s="162">
        <v>2.18E-2</v>
      </c>
      <c r="W274" s="164">
        <v>6.139E-2</v>
      </c>
      <c r="X274" s="4" t="s">
        <v>447</v>
      </c>
      <c r="Y274" s="4" t="s">
        <v>155</v>
      </c>
      <c r="Z274" s="151">
        <v>328903</v>
      </c>
      <c r="AA274" s="158">
        <v>1</v>
      </c>
      <c r="AB274" s="175">
        <v>86.45</v>
      </c>
      <c r="AD274" s="151">
        <v>284.33699999999999</v>
      </c>
      <c r="AG274" s="2" t="s">
        <v>36</v>
      </c>
      <c r="AH274" s="164">
        <v>2.0010000000000002E-3</v>
      </c>
      <c r="AI274" s="164">
        <v>1.57638585292969E-2</v>
      </c>
      <c r="AJ274" s="164">
        <v>1.9519534439329401E-3</v>
      </c>
    </row>
    <row r="275" spans="1:36">
      <c r="A275" s="2">
        <v>424</v>
      </c>
      <c r="B275" s="2">
        <v>7229</v>
      </c>
      <c r="C275" s="2" t="s">
        <v>1788</v>
      </c>
      <c r="D275" s="2" t="s">
        <v>1789</v>
      </c>
      <c r="E275" s="4" t="s">
        <v>1342</v>
      </c>
      <c r="F275" s="2" t="s">
        <v>2501</v>
      </c>
      <c r="G275" s="2" t="s">
        <v>2502</v>
      </c>
      <c r="H275" s="2" t="s">
        <v>356</v>
      </c>
      <c r="I275" s="2" t="s">
        <v>1000</v>
      </c>
      <c r="J275" s="2" t="s">
        <v>30</v>
      </c>
      <c r="K275" s="2" t="s">
        <v>30</v>
      </c>
      <c r="L275" s="2" t="s">
        <v>362</v>
      </c>
      <c r="M275" s="2" t="s">
        <v>31</v>
      </c>
      <c r="N275" s="2" t="s">
        <v>489</v>
      </c>
      <c r="O275" s="2" t="s">
        <v>155</v>
      </c>
      <c r="P275" s="2" t="s">
        <v>2211</v>
      </c>
      <c r="Q275" s="2" t="s">
        <v>206</v>
      </c>
      <c r="R275" s="2" t="s">
        <v>441</v>
      </c>
      <c r="S275" s="2" t="s">
        <v>34</v>
      </c>
      <c r="T275" s="151">
        <v>7.58</v>
      </c>
      <c r="U275" s="2" t="s">
        <v>2503</v>
      </c>
      <c r="V275" s="162">
        <v>2.4E-2</v>
      </c>
      <c r="W275" s="164">
        <v>5.6570000000000002E-2</v>
      </c>
      <c r="X275" s="4" t="s">
        <v>447</v>
      </c>
      <c r="Y275" s="4" t="s">
        <v>155</v>
      </c>
      <c r="Z275" s="151">
        <v>384000</v>
      </c>
      <c r="AA275" s="158">
        <v>1</v>
      </c>
      <c r="AB275" s="175">
        <v>79</v>
      </c>
      <c r="AD275" s="151">
        <v>303.36</v>
      </c>
      <c r="AG275" s="2" t="s">
        <v>36</v>
      </c>
      <c r="AH275" s="164">
        <v>5.22E-4</v>
      </c>
      <c r="AI275" s="164">
        <v>1.6818529137091399E-2</v>
      </c>
      <c r="AJ275" s="164">
        <v>2.08254760787277E-3</v>
      </c>
    </row>
    <row r="276" spans="1:36">
      <c r="A276" s="2">
        <v>424</v>
      </c>
      <c r="B276" s="2">
        <v>7229</v>
      </c>
      <c r="C276" s="2" t="s">
        <v>2207</v>
      </c>
      <c r="D276" s="2" t="s">
        <v>2208</v>
      </c>
      <c r="E276" s="4" t="s">
        <v>1342</v>
      </c>
      <c r="F276" s="2" t="s">
        <v>2209</v>
      </c>
      <c r="G276" s="2" t="s">
        <v>2210</v>
      </c>
      <c r="H276" s="2" t="s">
        <v>356</v>
      </c>
      <c r="I276" s="2" t="s">
        <v>208</v>
      </c>
      <c r="J276" s="2" t="s">
        <v>30</v>
      </c>
      <c r="K276" s="2" t="s">
        <v>30</v>
      </c>
      <c r="L276" s="2" t="s">
        <v>362</v>
      </c>
      <c r="M276" s="2" t="s">
        <v>31</v>
      </c>
      <c r="N276" s="2" t="s">
        <v>497</v>
      </c>
      <c r="O276" s="2" t="s">
        <v>155</v>
      </c>
      <c r="P276" s="2" t="s">
        <v>2211</v>
      </c>
      <c r="Q276" s="2" t="s">
        <v>206</v>
      </c>
      <c r="R276" s="2" t="s">
        <v>441</v>
      </c>
      <c r="S276" s="2" t="s">
        <v>34</v>
      </c>
      <c r="T276" s="151">
        <v>2.012</v>
      </c>
      <c r="U276" s="2" t="s">
        <v>61</v>
      </c>
      <c r="V276" s="162">
        <v>2.3400000000000001E-2</v>
      </c>
      <c r="W276" s="164">
        <v>2.664E-2</v>
      </c>
      <c r="X276" s="4" t="s">
        <v>447</v>
      </c>
      <c r="Y276" s="4" t="s">
        <v>155</v>
      </c>
      <c r="Z276" s="151">
        <v>154000.01999999999</v>
      </c>
      <c r="AA276" s="158">
        <v>1</v>
      </c>
      <c r="AB276" s="175">
        <v>115.87</v>
      </c>
      <c r="AD276" s="151">
        <v>178.44</v>
      </c>
      <c r="AG276" s="2" t="s">
        <v>36</v>
      </c>
      <c r="AH276" s="164">
        <v>7.2999999999999999E-5</v>
      </c>
      <c r="AI276" s="164">
        <v>9.8928512831927395E-3</v>
      </c>
      <c r="AJ276" s="164">
        <v>1.2249783323452399E-3</v>
      </c>
    </row>
    <row r="277" spans="1:36">
      <c r="A277" s="2">
        <v>424</v>
      </c>
      <c r="B277" s="2">
        <v>7229</v>
      </c>
      <c r="C277" s="2" t="s">
        <v>2212</v>
      </c>
      <c r="D277" s="2" t="s">
        <v>2213</v>
      </c>
      <c r="E277" s="4" t="s">
        <v>1342</v>
      </c>
      <c r="F277" s="2" t="s">
        <v>2214</v>
      </c>
      <c r="G277" s="2" t="s">
        <v>2215</v>
      </c>
      <c r="H277" s="2" t="s">
        <v>356</v>
      </c>
      <c r="I277" s="2" t="s">
        <v>1000</v>
      </c>
      <c r="J277" s="2" t="s">
        <v>30</v>
      </c>
      <c r="K277" s="2" t="s">
        <v>30</v>
      </c>
      <c r="L277" s="2" t="s">
        <v>362</v>
      </c>
      <c r="M277" s="2" t="s">
        <v>31</v>
      </c>
      <c r="N277" s="2" t="s">
        <v>497</v>
      </c>
      <c r="O277" s="2" t="s">
        <v>155</v>
      </c>
      <c r="P277" s="2" t="s">
        <v>1353</v>
      </c>
      <c r="Q277" s="2" t="s">
        <v>206</v>
      </c>
      <c r="R277" s="2" t="s">
        <v>441</v>
      </c>
      <c r="S277" s="2" t="s">
        <v>34</v>
      </c>
      <c r="T277" s="151">
        <v>3.9049999999999998</v>
      </c>
      <c r="U277" s="2" t="s">
        <v>2216</v>
      </c>
      <c r="V277" s="162">
        <v>2.41E-2</v>
      </c>
      <c r="W277" s="164">
        <v>6.3320000000000001E-2</v>
      </c>
      <c r="X277" s="4" t="s">
        <v>447</v>
      </c>
      <c r="Y277" s="4" t="s">
        <v>155</v>
      </c>
      <c r="Z277" s="151">
        <v>133333.32999999999</v>
      </c>
      <c r="AA277" s="158">
        <v>1</v>
      </c>
      <c r="AB277" s="175">
        <v>86.08</v>
      </c>
      <c r="AD277" s="151">
        <v>114.773</v>
      </c>
      <c r="AG277" s="2" t="s">
        <v>36</v>
      </c>
      <c r="AH277" s="164">
        <v>6.4999999999999994E-5</v>
      </c>
      <c r="AI277" s="164">
        <v>6.3631283048846202E-3</v>
      </c>
      <c r="AJ277" s="164">
        <v>7.8791180381524795E-4</v>
      </c>
    </row>
    <row r="278" spans="1:36">
      <c r="A278" s="2">
        <v>424</v>
      </c>
      <c r="B278" s="2">
        <v>7229</v>
      </c>
      <c r="C278" s="2" t="s">
        <v>2212</v>
      </c>
      <c r="D278" s="2" t="s">
        <v>2213</v>
      </c>
      <c r="E278" s="4" t="s">
        <v>1342</v>
      </c>
      <c r="F278" s="2" t="s">
        <v>2217</v>
      </c>
      <c r="G278" s="2" t="s">
        <v>2218</v>
      </c>
      <c r="H278" s="2" t="s">
        <v>356</v>
      </c>
      <c r="I278" s="2" t="s">
        <v>1000</v>
      </c>
      <c r="J278" s="2" t="s">
        <v>30</v>
      </c>
      <c r="K278" s="2" t="s">
        <v>30</v>
      </c>
      <c r="L278" s="2" t="s">
        <v>362</v>
      </c>
      <c r="M278" s="2" t="s">
        <v>31</v>
      </c>
      <c r="N278" s="2" t="s">
        <v>497</v>
      </c>
      <c r="O278" s="2" t="s">
        <v>155</v>
      </c>
      <c r="P278" s="2" t="s">
        <v>1353</v>
      </c>
      <c r="Q278" s="2" t="s">
        <v>206</v>
      </c>
      <c r="R278" s="2" t="s">
        <v>441</v>
      </c>
      <c r="S278" s="2" t="s">
        <v>34</v>
      </c>
      <c r="T278" s="151">
        <v>6.2430000000000003</v>
      </c>
      <c r="U278" s="2" t="s">
        <v>2219</v>
      </c>
      <c r="V278" s="162">
        <v>4.9399999999999999E-2</v>
      </c>
      <c r="W278" s="164">
        <v>6.6839999999999997E-2</v>
      </c>
      <c r="X278" s="4" t="s">
        <v>447</v>
      </c>
      <c r="Y278" s="4" t="s">
        <v>155</v>
      </c>
      <c r="Z278" s="151">
        <v>153881</v>
      </c>
      <c r="AA278" s="158">
        <v>1</v>
      </c>
      <c r="AB278" s="175">
        <v>92.67</v>
      </c>
      <c r="AD278" s="151">
        <v>142.602</v>
      </c>
      <c r="AG278" s="2" t="s">
        <v>36</v>
      </c>
      <c r="AH278" s="164">
        <v>1.7100000000000001E-4</v>
      </c>
      <c r="AI278" s="164">
        <v>7.9059462833713894E-3</v>
      </c>
      <c r="AJ278" s="164">
        <v>9.7895061965288404E-4</v>
      </c>
    </row>
    <row r="279" spans="1:36">
      <c r="A279" s="2">
        <v>424</v>
      </c>
      <c r="B279" s="2">
        <v>7229</v>
      </c>
      <c r="C279" s="2" t="s">
        <v>1808</v>
      </c>
      <c r="D279" s="2" t="s">
        <v>1809</v>
      </c>
      <c r="E279" s="4" t="s">
        <v>1342</v>
      </c>
      <c r="F279" s="2" t="s">
        <v>2220</v>
      </c>
      <c r="G279" s="2" t="s">
        <v>2221</v>
      </c>
      <c r="H279" s="2" t="s">
        <v>356</v>
      </c>
      <c r="I279" s="2" t="s">
        <v>1000</v>
      </c>
      <c r="J279" s="2" t="s">
        <v>30</v>
      </c>
      <c r="K279" s="2" t="s">
        <v>30</v>
      </c>
      <c r="L279" s="2" t="s">
        <v>362</v>
      </c>
      <c r="M279" s="2" t="s">
        <v>31</v>
      </c>
      <c r="N279" s="2" t="s">
        <v>484</v>
      </c>
      <c r="O279" s="2" t="s">
        <v>155</v>
      </c>
      <c r="P279" s="2" t="s">
        <v>1346</v>
      </c>
      <c r="Q279" s="2" t="s">
        <v>206</v>
      </c>
      <c r="R279" s="2" t="s">
        <v>441</v>
      </c>
      <c r="S279" s="2" t="s">
        <v>34</v>
      </c>
      <c r="T279" s="151">
        <v>2.2240000000000002</v>
      </c>
      <c r="U279" s="2" t="s">
        <v>2222</v>
      </c>
      <c r="V279" s="162">
        <v>0.04</v>
      </c>
      <c r="W279" s="164">
        <v>5.774E-2</v>
      </c>
      <c r="X279" s="4" t="s">
        <v>447</v>
      </c>
      <c r="Y279" s="4" t="s">
        <v>155</v>
      </c>
      <c r="Z279" s="151">
        <v>262500.03999999998</v>
      </c>
      <c r="AA279" s="158">
        <v>1</v>
      </c>
      <c r="AB279" s="175">
        <v>96.04</v>
      </c>
      <c r="AD279" s="151">
        <v>252.10499999999999</v>
      </c>
      <c r="AG279" s="2" t="s">
        <v>36</v>
      </c>
      <c r="AH279" s="164">
        <v>3.8699999999999997E-4</v>
      </c>
      <c r="AI279" s="164">
        <v>1.3976911702950401E-2</v>
      </c>
      <c r="AJ279" s="164">
        <v>1.73068547167033E-3</v>
      </c>
    </row>
    <row r="280" spans="1:36">
      <c r="A280" s="2">
        <v>424</v>
      </c>
      <c r="B280" s="2">
        <v>7229</v>
      </c>
      <c r="C280" s="2" t="s">
        <v>1808</v>
      </c>
      <c r="D280" s="2" t="s">
        <v>1809</v>
      </c>
      <c r="E280" s="4" t="s">
        <v>1342</v>
      </c>
      <c r="F280" s="2" t="s">
        <v>2223</v>
      </c>
      <c r="G280" s="2" t="s">
        <v>2224</v>
      </c>
      <c r="H280" s="2" t="s">
        <v>356</v>
      </c>
      <c r="I280" s="2" t="s">
        <v>1000</v>
      </c>
      <c r="J280" s="2" t="s">
        <v>30</v>
      </c>
      <c r="K280" s="2" t="s">
        <v>30</v>
      </c>
      <c r="L280" s="2" t="s">
        <v>362</v>
      </c>
      <c r="M280" s="2" t="s">
        <v>31</v>
      </c>
      <c r="N280" s="2" t="s">
        <v>484</v>
      </c>
      <c r="O280" s="2" t="s">
        <v>155</v>
      </c>
      <c r="P280" s="2" t="s">
        <v>1346</v>
      </c>
      <c r="Q280" s="2" t="s">
        <v>206</v>
      </c>
      <c r="R280" s="2" t="s">
        <v>441</v>
      </c>
      <c r="S280" s="2" t="s">
        <v>34</v>
      </c>
      <c r="T280" s="151">
        <v>3.7080000000000002</v>
      </c>
      <c r="U280" s="2" t="s">
        <v>2225</v>
      </c>
      <c r="V280" s="162">
        <v>2.07E-2</v>
      </c>
      <c r="W280" s="164">
        <v>5.9970000000000002E-2</v>
      </c>
      <c r="X280" s="4" t="s">
        <v>447</v>
      </c>
      <c r="Y280" s="4" t="s">
        <v>155</v>
      </c>
      <c r="Z280" s="151">
        <v>258481</v>
      </c>
      <c r="AA280" s="158">
        <v>1</v>
      </c>
      <c r="AB280" s="175">
        <v>83.35</v>
      </c>
      <c r="AD280" s="151">
        <v>215.44399999999999</v>
      </c>
      <c r="AG280" s="2" t="s">
        <v>36</v>
      </c>
      <c r="AH280" s="164">
        <v>6.29E-4</v>
      </c>
      <c r="AI280" s="164">
        <v>1.19443886359729E-2</v>
      </c>
      <c r="AJ280" s="164">
        <v>1.4790091201548399E-3</v>
      </c>
    </row>
    <row r="281" spans="1:36">
      <c r="A281" s="2">
        <v>424</v>
      </c>
      <c r="B281" s="2">
        <v>7229</v>
      </c>
      <c r="C281" s="2" t="s">
        <v>2564</v>
      </c>
      <c r="D281" s="2" t="s">
        <v>2565</v>
      </c>
      <c r="E281" s="4" t="s">
        <v>1342</v>
      </c>
      <c r="F281" s="2" t="s">
        <v>2566</v>
      </c>
      <c r="G281" s="2" t="s">
        <v>2567</v>
      </c>
      <c r="H281" s="2" t="s">
        <v>356</v>
      </c>
      <c r="I281" s="2" t="s">
        <v>208</v>
      </c>
      <c r="J281" s="2" t="s">
        <v>30</v>
      </c>
      <c r="K281" s="2" t="s">
        <v>30</v>
      </c>
      <c r="L281" s="2" t="s">
        <v>362</v>
      </c>
      <c r="M281" s="2" t="s">
        <v>31</v>
      </c>
      <c r="N281" s="2" t="s">
        <v>497</v>
      </c>
      <c r="O281" s="2" t="s">
        <v>155</v>
      </c>
      <c r="P281" s="2" t="s">
        <v>2211</v>
      </c>
      <c r="Q281" s="2" t="s">
        <v>206</v>
      </c>
      <c r="R281" s="2" t="s">
        <v>441</v>
      </c>
      <c r="S281" s="2" t="s">
        <v>34</v>
      </c>
      <c r="T281" s="151">
        <v>2.1819999999999999</v>
      </c>
      <c r="U281" s="2" t="s">
        <v>2568</v>
      </c>
      <c r="V281" s="162">
        <v>3.2000000000000001E-2</v>
      </c>
      <c r="W281" s="164">
        <v>2.647E-2</v>
      </c>
      <c r="X281" s="4" t="s">
        <v>447</v>
      </c>
      <c r="Y281" s="4" t="s">
        <v>155</v>
      </c>
      <c r="Z281" s="151">
        <v>292605.75</v>
      </c>
      <c r="AA281" s="158">
        <v>1</v>
      </c>
      <c r="AB281" s="175">
        <v>117.37</v>
      </c>
      <c r="AD281" s="151">
        <v>343.43099999999998</v>
      </c>
      <c r="AG281" s="2" t="s">
        <v>36</v>
      </c>
      <c r="AH281" s="164">
        <v>2.7799999999999998E-4</v>
      </c>
      <c r="AI281" s="164">
        <v>1.9040118942291399E-2</v>
      </c>
      <c r="AJ281" s="164">
        <v>2.3576350722272102E-3</v>
      </c>
    </row>
    <row r="282" spans="1:36">
      <c r="A282" s="2">
        <v>424</v>
      </c>
      <c r="B282" s="2">
        <v>7229</v>
      </c>
      <c r="C282" s="2" t="s">
        <v>2564</v>
      </c>
      <c r="D282" s="2" t="s">
        <v>2565</v>
      </c>
      <c r="E282" s="4" t="s">
        <v>1342</v>
      </c>
      <c r="F282" s="2" t="s">
        <v>2569</v>
      </c>
      <c r="G282" s="2" t="s">
        <v>2570</v>
      </c>
      <c r="H282" s="2" t="s">
        <v>356</v>
      </c>
      <c r="I282" s="2" t="s">
        <v>1000</v>
      </c>
      <c r="J282" s="2" t="s">
        <v>30</v>
      </c>
      <c r="K282" s="2" t="s">
        <v>30</v>
      </c>
      <c r="L282" s="2" t="s">
        <v>362</v>
      </c>
      <c r="M282" s="2" t="s">
        <v>31</v>
      </c>
      <c r="N282" s="2" t="s">
        <v>497</v>
      </c>
      <c r="O282" s="2" t="s">
        <v>155</v>
      </c>
      <c r="P282" s="2" t="s">
        <v>2211</v>
      </c>
      <c r="Q282" s="2" t="s">
        <v>206</v>
      </c>
      <c r="R282" s="2" t="s">
        <v>441</v>
      </c>
      <c r="S282" s="2" t="s">
        <v>34</v>
      </c>
      <c r="T282" s="151">
        <v>0.73699999999999999</v>
      </c>
      <c r="U282" s="2" t="s">
        <v>2571</v>
      </c>
      <c r="V282" s="162">
        <v>3.39E-2</v>
      </c>
      <c r="W282" s="164">
        <v>5.45E-2</v>
      </c>
      <c r="X282" s="4" t="s">
        <v>447</v>
      </c>
      <c r="Y282" s="4" t="s">
        <v>155</v>
      </c>
      <c r="Z282" s="151">
        <v>127234</v>
      </c>
      <c r="AA282" s="158">
        <v>1</v>
      </c>
      <c r="AB282" s="175">
        <v>101</v>
      </c>
      <c r="AD282" s="151">
        <v>128.506</v>
      </c>
      <c r="AG282" s="2" t="s">
        <v>36</v>
      </c>
      <c r="AH282" s="164">
        <v>2.9300000000000002E-4</v>
      </c>
      <c r="AI282" s="164">
        <v>7.1244977043478704E-3</v>
      </c>
      <c r="AJ282" s="164">
        <v>8.8218806356633796E-4</v>
      </c>
    </row>
    <row r="283" spans="1:36">
      <c r="A283" s="2">
        <v>424</v>
      </c>
      <c r="B283" s="2">
        <v>7229</v>
      </c>
      <c r="C283" s="2" t="s">
        <v>2226</v>
      </c>
      <c r="D283" s="2" t="s">
        <v>2227</v>
      </c>
      <c r="E283" s="4" t="s">
        <v>1342</v>
      </c>
      <c r="F283" s="2" t="s">
        <v>2228</v>
      </c>
      <c r="G283" s="2" t="s">
        <v>2229</v>
      </c>
      <c r="H283" s="2" t="s">
        <v>356</v>
      </c>
      <c r="I283" s="2" t="s">
        <v>208</v>
      </c>
      <c r="J283" s="2" t="s">
        <v>30</v>
      </c>
      <c r="K283" s="2" t="s">
        <v>30</v>
      </c>
      <c r="L283" s="2" t="s">
        <v>362</v>
      </c>
      <c r="M283" s="2" t="s">
        <v>31</v>
      </c>
      <c r="N283" s="2" t="s">
        <v>498</v>
      </c>
      <c r="O283" s="2" t="s">
        <v>155</v>
      </c>
      <c r="P283" s="2" t="s">
        <v>2181</v>
      </c>
      <c r="Q283" s="2" t="s">
        <v>101</v>
      </c>
      <c r="R283" s="2" t="s">
        <v>441</v>
      </c>
      <c r="S283" s="2" t="s">
        <v>34</v>
      </c>
      <c r="T283" s="151">
        <v>1.7330000000000001</v>
      </c>
      <c r="U283" s="2" t="s">
        <v>2230</v>
      </c>
      <c r="V283" s="162">
        <v>2.5700000000000001E-2</v>
      </c>
      <c r="W283" s="164">
        <v>3.109E-2</v>
      </c>
      <c r="X283" s="4" t="s">
        <v>447</v>
      </c>
      <c r="Y283" s="4" t="s">
        <v>155</v>
      </c>
      <c r="Z283" s="151">
        <v>330471</v>
      </c>
      <c r="AA283" s="158">
        <v>1</v>
      </c>
      <c r="AB283" s="175">
        <v>116.88</v>
      </c>
      <c r="AD283" s="151">
        <v>386.255</v>
      </c>
      <c r="AG283" s="2" t="s">
        <v>36</v>
      </c>
      <c r="AH283" s="164">
        <v>2.5799999999999998E-4</v>
      </c>
      <c r="AI283" s="164">
        <v>2.1414268998258199E-2</v>
      </c>
      <c r="AJ283" s="164">
        <v>2.6516132482902201E-3</v>
      </c>
    </row>
    <row r="284" spans="1:36">
      <c r="A284" s="2">
        <v>424</v>
      </c>
      <c r="B284" s="2">
        <v>7229</v>
      </c>
      <c r="C284" s="2" t="s">
        <v>2226</v>
      </c>
      <c r="D284" s="2" t="s">
        <v>2227</v>
      </c>
      <c r="E284" s="4" t="s">
        <v>1342</v>
      </c>
      <c r="F284" s="2" t="s">
        <v>2507</v>
      </c>
      <c r="G284" s="2" t="s">
        <v>2508</v>
      </c>
      <c r="H284" s="2" t="s">
        <v>356</v>
      </c>
      <c r="I284" s="2" t="s">
        <v>1000</v>
      </c>
      <c r="J284" s="2" t="s">
        <v>30</v>
      </c>
      <c r="K284" s="2" t="s">
        <v>30</v>
      </c>
      <c r="L284" s="2" t="s">
        <v>362</v>
      </c>
      <c r="M284" s="2" t="s">
        <v>31</v>
      </c>
      <c r="N284" s="2" t="s">
        <v>498</v>
      </c>
      <c r="O284" s="2" t="s">
        <v>155</v>
      </c>
      <c r="P284" s="2" t="s">
        <v>2181</v>
      </c>
      <c r="Q284" s="2" t="s">
        <v>101</v>
      </c>
      <c r="R284" s="2" t="s">
        <v>441</v>
      </c>
      <c r="S284" s="2" t="s">
        <v>34</v>
      </c>
      <c r="T284" s="151">
        <v>2.871</v>
      </c>
      <c r="U284" s="2" t="s">
        <v>2509</v>
      </c>
      <c r="V284" s="162">
        <v>3.2500000000000001E-2</v>
      </c>
      <c r="W284" s="164">
        <v>6.0850000000000001E-2</v>
      </c>
      <c r="X284" s="4" t="s">
        <v>447</v>
      </c>
      <c r="Y284" s="4" t="s">
        <v>155</v>
      </c>
      <c r="Z284" s="151">
        <v>255000</v>
      </c>
      <c r="AA284" s="158">
        <v>1</v>
      </c>
      <c r="AB284" s="175">
        <v>92.53</v>
      </c>
      <c r="AD284" s="151">
        <v>235.952</v>
      </c>
      <c r="AG284" s="2" t="s">
        <v>36</v>
      </c>
      <c r="AH284" s="164">
        <v>8.7399999999999999E-4</v>
      </c>
      <c r="AI284" s="164">
        <v>1.30813461817326E-2</v>
      </c>
      <c r="AJ284" s="164">
        <v>1.61979243110163E-3</v>
      </c>
    </row>
    <row r="285" spans="1:36">
      <c r="A285" s="2">
        <v>424</v>
      </c>
      <c r="B285" s="2">
        <v>7229</v>
      </c>
      <c r="C285" s="2" t="s">
        <v>2226</v>
      </c>
      <c r="D285" s="2" t="s">
        <v>2227</v>
      </c>
      <c r="E285" s="4" t="s">
        <v>1342</v>
      </c>
      <c r="F285" s="2" t="s">
        <v>2231</v>
      </c>
      <c r="G285" s="2" t="s">
        <v>2232</v>
      </c>
      <c r="H285" s="2" t="s">
        <v>356</v>
      </c>
      <c r="I285" s="2" t="s">
        <v>208</v>
      </c>
      <c r="J285" s="2" t="s">
        <v>30</v>
      </c>
      <c r="K285" s="2" t="s">
        <v>30</v>
      </c>
      <c r="L285" s="2" t="s">
        <v>362</v>
      </c>
      <c r="M285" s="2" t="s">
        <v>31</v>
      </c>
      <c r="N285" s="2" t="s">
        <v>498</v>
      </c>
      <c r="O285" s="2" t="s">
        <v>155</v>
      </c>
      <c r="P285" s="2" t="s">
        <v>2181</v>
      </c>
      <c r="Q285" s="2" t="s">
        <v>101</v>
      </c>
      <c r="R285" s="2" t="s">
        <v>441</v>
      </c>
      <c r="S285" s="2" t="s">
        <v>34</v>
      </c>
      <c r="T285" s="151">
        <v>3.3610000000000002</v>
      </c>
      <c r="U285" s="2" t="s">
        <v>2233</v>
      </c>
      <c r="V285" s="162">
        <v>1.54E-2</v>
      </c>
      <c r="W285" s="164">
        <v>3.662E-2</v>
      </c>
      <c r="X285" s="4" t="s">
        <v>447</v>
      </c>
      <c r="Y285" s="4" t="s">
        <v>155</v>
      </c>
      <c r="Z285" s="151">
        <v>228000</v>
      </c>
      <c r="AA285" s="158">
        <v>1</v>
      </c>
      <c r="AB285" s="175">
        <v>100.74</v>
      </c>
      <c r="AD285" s="151">
        <v>229.68700000000001</v>
      </c>
      <c r="AG285" s="2" t="s">
        <v>36</v>
      </c>
      <c r="AH285" s="164">
        <v>3.8200000000000002E-4</v>
      </c>
      <c r="AI285" s="164">
        <v>1.27340482120811E-2</v>
      </c>
      <c r="AJ285" s="164">
        <v>1.5767883996538599E-3</v>
      </c>
    </row>
    <row r="286" spans="1:36">
      <c r="A286" s="2">
        <v>424</v>
      </c>
      <c r="B286" s="2">
        <v>7229</v>
      </c>
      <c r="C286" s="2" t="s">
        <v>2226</v>
      </c>
      <c r="D286" s="2" t="s">
        <v>2227</v>
      </c>
      <c r="E286" s="4" t="s">
        <v>1342</v>
      </c>
      <c r="F286" s="2" t="s">
        <v>2234</v>
      </c>
      <c r="G286" s="2" t="s">
        <v>2235</v>
      </c>
      <c r="H286" s="2" t="s">
        <v>356</v>
      </c>
      <c r="I286" s="2" t="s">
        <v>208</v>
      </c>
      <c r="J286" s="2" t="s">
        <v>30</v>
      </c>
      <c r="K286" s="2" t="s">
        <v>30</v>
      </c>
      <c r="L286" s="2" t="s">
        <v>362</v>
      </c>
      <c r="M286" s="2" t="s">
        <v>85</v>
      </c>
      <c r="N286" s="2" t="s">
        <v>498</v>
      </c>
      <c r="O286" s="2" t="s">
        <v>155</v>
      </c>
      <c r="P286" s="2" t="s">
        <v>1346</v>
      </c>
      <c r="Q286" s="2" t="s">
        <v>206</v>
      </c>
      <c r="R286" s="2" t="s">
        <v>441</v>
      </c>
      <c r="S286" s="2" t="s">
        <v>34</v>
      </c>
      <c r="T286" s="151">
        <v>7.1020000000000003</v>
      </c>
      <c r="U286" s="2" t="s">
        <v>2236</v>
      </c>
      <c r="V286" s="162">
        <v>4.02E-2</v>
      </c>
      <c r="W286" s="164">
        <v>3.9660000000000001E-2</v>
      </c>
      <c r="X286" s="4" t="s">
        <v>447</v>
      </c>
      <c r="Y286" s="4" t="s">
        <v>155</v>
      </c>
      <c r="Z286" s="151">
        <v>199000</v>
      </c>
      <c r="AA286" s="158">
        <v>1</v>
      </c>
      <c r="AB286" s="175">
        <v>101.8</v>
      </c>
      <c r="AD286" s="151">
        <v>202.58199999999999</v>
      </c>
      <c r="AG286" s="2" t="s">
        <v>36</v>
      </c>
      <c r="AH286" s="164">
        <v>5.6899999999999995E-4</v>
      </c>
      <c r="AI286" s="164">
        <v>1.1231313520735199E-2</v>
      </c>
      <c r="AJ286" s="164">
        <v>1.39071288072943E-3</v>
      </c>
    </row>
    <row r="287" spans="1:36">
      <c r="A287" s="2">
        <v>424</v>
      </c>
      <c r="B287" s="2">
        <v>7229</v>
      </c>
      <c r="C287" s="2" t="s">
        <v>2237</v>
      </c>
      <c r="D287" s="2" t="s">
        <v>2238</v>
      </c>
      <c r="E287" s="4" t="s">
        <v>1342</v>
      </c>
      <c r="F287" s="2" t="s">
        <v>2239</v>
      </c>
      <c r="G287" s="2" t="s">
        <v>2240</v>
      </c>
      <c r="H287" s="2" t="s">
        <v>356</v>
      </c>
      <c r="I287" s="2" t="s">
        <v>1000</v>
      </c>
      <c r="J287" s="2" t="s">
        <v>30</v>
      </c>
      <c r="K287" s="2" t="s">
        <v>30</v>
      </c>
      <c r="L287" s="2" t="s">
        <v>362</v>
      </c>
      <c r="M287" s="2" t="s">
        <v>31</v>
      </c>
      <c r="N287" s="2" t="s">
        <v>484</v>
      </c>
      <c r="O287" s="2" t="s">
        <v>155</v>
      </c>
      <c r="P287" s="2" t="s">
        <v>2211</v>
      </c>
      <c r="Q287" s="2" t="s">
        <v>206</v>
      </c>
      <c r="R287" s="2" t="s">
        <v>441</v>
      </c>
      <c r="S287" s="2" t="s">
        <v>34</v>
      </c>
      <c r="T287" s="151">
        <v>5.5060000000000002</v>
      </c>
      <c r="U287" s="2" t="s">
        <v>2241</v>
      </c>
      <c r="V287" s="162">
        <v>5.3100000000000001E-2</v>
      </c>
      <c r="W287" s="164">
        <v>5.9760000000000001E-2</v>
      </c>
      <c r="X287" s="4" t="s">
        <v>447</v>
      </c>
      <c r="Y287" s="4" t="s">
        <v>155</v>
      </c>
      <c r="Z287" s="151">
        <v>35000</v>
      </c>
      <c r="AA287" s="158">
        <v>1</v>
      </c>
      <c r="AB287" s="175">
        <v>97.42</v>
      </c>
      <c r="AD287" s="151">
        <v>34.097000000000001</v>
      </c>
      <c r="AG287" s="2" t="s">
        <v>36</v>
      </c>
      <c r="AH287" s="164">
        <v>1.1E-4</v>
      </c>
      <c r="AI287" s="164">
        <v>1.8903658623002501E-3</v>
      </c>
      <c r="AJ287" s="164">
        <v>2.3407379280603101E-4</v>
      </c>
    </row>
    <row r="288" spans="1:36">
      <c r="A288" s="2">
        <v>424</v>
      </c>
      <c r="B288" s="2">
        <v>7229</v>
      </c>
      <c r="C288" s="2" t="s">
        <v>2242</v>
      </c>
      <c r="D288" s="2" t="s">
        <v>2243</v>
      </c>
      <c r="E288" s="4" t="s">
        <v>1342</v>
      </c>
      <c r="F288" s="2" t="s">
        <v>2244</v>
      </c>
      <c r="G288" s="2" t="s">
        <v>2245</v>
      </c>
      <c r="H288" s="2" t="s">
        <v>356</v>
      </c>
      <c r="I288" s="2" t="s">
        <v>208</v>
      </c>
      <c r="J288" s="2" t="s">
        <v>30</v>
      </c>
      <c r="K288" s="2" t="s">
        <v>30</v>
      </c>
      <c r="L288" s="2" t="s">
        <v>362</v>
      </c>
      <c r="M288" s="2" t="s">
        <v>31</v>
      </c>
      <c r="N288" s="2" t="s">
        <v>497</v>
      </c>
      <c r="O288" s="2" t="s">
        <v>155</v>
      </c>
      <c r="P288" s="2" t="s">
        <v>2181</v>
      </c>
      <c r="Q288" s="2" t="s">
        <v>206</v>
      </c>
      <c r="R288" s="2" t="s">
        <v>441</v>
      </c>
      <c r="S288" s="2" t="s">
        <v>34</v>
      </c>
      <c r="T288" s="151">
        <v>5.99</v>
      </c>
      <c r="U288" s="2" t="s">
        <v>2246</v>
      </c>
      <c r="V288" s="162">
        <v>3.6799999999999999E-2</v>
      </c>
      <c r="W288" s="164">
        <v>4.0779999999999997E-2</v>
      </c>
      <c r="X288" s="4" t="s">
        <v>447</v>
      </c>
      <c r="Y288" s="4" t="s">
        <v>155</v>
      </c>
      <c r="Z288" s="151">
        <v>248000</v>
      </c>
      <c r="AA288" s="158">
        <v>1</v>
      </c>
      <c r="AB288" s="175">
        <v>102.26</v>
      </c>
      <c r="AD288" s="151">
        <v>253.60499999999999</v>
      </c>
      <c r="AG288" s="2" t="s">
        <v>36</v>
      </c>
      <c r="AH288" s="164">
        <v>1.018E-3</v>
      </c>
      <c r="AI288" s="164">
        <v>1.4060059724770001E-2</v>
      </c>
      <c r="AJ288" s="164">
        <v>1.7409812420393299E-3</v>
      </c>
    </row>
    <row r="289" spans="1:36">
      <c r="A289" s="2">
        <v>424</v>
      </c>
      <c r="B289" s="2">
        <v>7229</v>
      </c>
      <c r="C289" s="2" t="s">
        <v>2242</v>
      </c>
      <c r="D289" s="2" t="s">
        <v>2243</v>
      </c>
      <c r="E289" s="4" t="s">
        <v>1342</v>
      </c>
      <c r="F289" s="2" t="s">
        <v>2247</v>
      </c>
      <c r="G289" s="2" t="s">
        <v>2248</v>
      </c>
      <c r="H289" s="2" t="s">
        <v>356</v>
      </c>
      <c r="I289" s="2" t="s">
        <v>208</v>
      </c>
      <c r="J289" s="2" t="s">
        <v>30</v>
      </c>
      <c r="K289" s="2" t="s">
        <v>30</v>
      </c>
      <c r="L289" s="2" t="s">
        <v>362</v>
      </c>
      <c r="M289" s="2" t="s">
        <v>31</v>
      </c>
      <c r="N289" s="2" t="s">
        <v>497</v>
      </c>
      <c r="O289" s="2" t="s">
        <v>155</v>
      </c>
      <c r="P289" s="2" t="s">
        <v>2181</v>
      </c>
      <c r="Q289" s="2" t="s">
        <v>206</v>
      </c>
      <c r="R289" s="2" t="s">
        <v>441</v>
      </c>
      <c r="S289" s="2" t="s">
        <v>34</v>
      </c>
      <c r="T289" s="151">
        <v>1.302</v>
      </c>
      <c r="U289" s="2" t="s">
        <v>2249</v>
      </c>
      <c r="V289" s="162">
        <v>3.4599999999999999E-2</v>
      </c>
      <c r="W289" s="164">
        <v>2.785E-2</v>
      </c>
      <c r="X289" s="4" t="s">
        <v>447</v>
      </c>
      <c r="Y289" s="4" t="s">
        <v>155</v>
      </c>
      <c r="Z289" s="151">
        <v>154545.45000000001</v>
      </c>
      <c r="AA289" s="158">
        <v>1</v>
      </c>
      <c r="AB289" s="175">
        <v>118.52</v>
      </c>
      <c r="AD289" s="151">
        <v>183.167</v>
      </c>
      <c r="AG289" s="2" t="s">
        <v>36</v>
      </c>
      <c r="AH289" s="164">
        <v>4.4299999999999998E-4</v>
      </c>
      <c r="AI289" s="164">
        <v>1.0154944695145E-2</v>
      </c>
      <c r="AJ289" s="164">
        <v>1.2574319436956399E-3</v>
      </c>
    </row>
    <row r="290" spans="1:36">
      <c r="A290" s="2">
        <v>424</v>
      </c>
      <c r="B290" s="2">
        <v>7229</v>
      </c>
      <c r="C290" s="2" t="s">
        <v>1828</v>
      </c>
      <c r="D290" s="2" t="s">
        <v>1829</v>
      </c>
      <c r="E290" s="4" t="s">
        <v>1342</v>
      </c>
      <c r="F290" s="2" t="s">
        <v>2487</v>
      </c>
      <c r="G290" s="2" t="s">
        <v>2488</v>
      </c>
      <c r="H290" s="2" t="s">
        <v>356</v>
      </c>
      <c r="I290" s="2" t="s">
        <v>1000</v>
      </c>
      <c r="J290" s="2" t="s">
        <v>30</v>
      </c>
      <c r="K290" s="2" t="s">
        <v>30</v>
      </c>
      <c r="L290" s="2" t="s">
        <v>362</v>
      </c>
      <c r="M290" s="2" t="s">
        <v>31</v>
      </c>
      <c r="N290" s="2" t="s">
        <v>480</v>
      </c>
      <c r="O290" s="2" t="s">
        <v>155</v>
      </c>
      <c r="P290" s="2" t="s">
        <v>2181</v>
      </c>
      <c r="Q290" s="2" t="s">
        <v>206</v>
      </c>
      <c r="R290" s="2" t="s">
        <v>441</v>
      </c>
      <c r="S290" s="2" t="s">
        <v>34</v>
      </c>
      <c r="T290" s="151">
        <v>1.61</v>
      </c>
      <c r="U290" s="2" t="s">
        <v>2489</v>
      </c>
      <c r="V290" s="162">
        <v>4.2999999999999997E-2</v>
      </c>
      <c r="W290" s="164">
        <v>6.1170000000000002E-2</v>
      </c>
      <c r="X290" s="4" t="s">
        <v>447</v>
      </c>
      <c r="Y290" s="4" t="s">
        <v>155</v>
      </c>
      <c r="Z290" s="151">
        <v>318623.08</v>
      </c>
      <c r="AA290" s="158">
        <v>1</v>
      </c>
      <c r="AB290" s="175">
        <v>97.33</v>
      </c>
      <c r="AD290" s="151">
        <v>310.11599999999999</v>
      </c>
      <c r="AG290" s="2" t="s">
        <v>36</v>
      </c>
      <c r="AH290" s="164">
        <v>3.5100000000000002E-4</v>
      </c>
      <c r="AI290" s="164">
        <v>1.7193078699296201E-2</v>
      </c>
      <c r="AJ290" s="164">
        <v>2.1289260568109298E-3</v>
      </c>
    </row>
    <row r="291" spans="1:36">
      <c r="A291" s="2">
        <v>424</v>
      </c>
      <c r="B291" s="2">
        <v>7229</v>
      </c>
      <c r="C291" s="2" t="s">
        <v>1836</v>
      </c>
      <c r="D291" s="2" t="s">
        <v>1837</v>
      </c>
      <c r="E291" s="4" t="s">
        <v>1342</v>
      </c>
      <c r="F291" s="2" t="s">
        <v>2250</v>
      </c>
      <c r="G291" s="2" t="s">
        <v>2251</v>
      </c>
      <c r="H291" s="2" t="s">
        <v>356</v>
      </c>
      <c r="I291" s="2" t="s">
        <v>1000</v>
      </c>
      <c r="J291" s="2" t="s">
        <v>30</v>
      </c>
      <c r="K291" s="2" t="s">
        <v>30</v>
      </c>
      <c r="L291" s="2" t="s">
        <v>362</v>
      </c>
      <c r="M291" s="2" t="s">
        <v>31</v>
      </c>
      <c r="N291" s="2" t="s">
        <v>473</v>
      </c>
      <c r="O291" s="2" t="s">
        <v>155</v>
      </c>
      <c r="P291" s="2" t="s">
        <v>1346</v>
      </c>
      <c r="Q291" s="2" t="s">
        <v>206</v>
      </c>
      <c r="R291" s="2" t="s">
        <v>441</v>
      </c>
      <c r="S291" s="2" t="s">
        <v>34</v>
      </c>
      <c r="T291" s="151">
        <v>2.3109999999999999</v>
      </c>
      <c r="U291" s="2" t="s">
        <v>2252</v>
      </c>
      <c r="V291" s="162">
        <v>2.7E-2</v>
      </c>
      <c r="W291" s="164">
        <v>5.9020000000000003E-2</v>
      </c>
      <c r="X291" s="4" t="s">
        <v>447</v>
      </c>
      <c r="Y291" s="4" t="s">
        <v>155</v>
      </c>
      <c r="Z291" s="151">
        <v>232500</v>
      </c>
      <c r="AA291" s="158">
        <v>1</v>
      </c>
      <c r="AB291" s="175">
        <v>93.07</v>
      </c>
      <c r="AD291" s="151">
        <v>216.38800000000001</v>
      </c>
      <c r="AG291" s="2" t="s">
        <v>36</v>
      </c>
      <c r="AH291" s="164">
        <v>3.4099999999999999E-4</v>
      </c>
      <c r="AI291" s="164">
        <v>1.1996715711645E-2</v>
      </c>
      <c r="AJ291" s="164">
        <v>1.4854884992598601E-3</v>
      </c>
    </row>
    <row r="292" spans="1:36">
      <c r="A292" s="2">
        <v>424</v>
      </c>
      <c r="B292" s="2">
        <v>7229</v>
      </c>
      <c r="C292" s="2" t="s">
        <v>2253</v>
      </c>
      <c r="D292" s="2" t="s">
        <v>2254</v>
      </c>
      <c r="E292" s="4" t="s">
        <v>1342</v>
      </c>
      <c r="F292" s="2" t="s">
        <v>2255</v>
      </c>
      <c r="G292" s="2" t="s">
        <v>2256</v>
      </c>
      <c r="H292" s="2" t="s">
        <v>356</v>
      </c>
      <c r="I292" s="2" t="s">
        <v>1000</v>
      </c>
      <c r="J292" s="2" t="s">
        <v>30</v>
      </c>
      <c r="K292" s="2" t="s">
        <v>30</v>
      </c>
      <c r="L292" s="2" t="s">
        <v>362</v>
      </c>
      <c r="M292" s="2" t="s">
        <v>85</v>
      </c>
      <c r="N292" s="2" t="s">
        <v>518</v>
      </c>
      <c r="O292" s="2" t="s">
        <v>155</v>
      </c>
      <c r="P292" s="2" t="s">
        <v>2192</v>
      </c>
      <c r="Q292" s="2" t="s">
        <v>101</v>
      </c>
      <c r="R292" s="2" t="s">
        <v>441</v>
      </c>
      <c r="S292" s="2" t="s">
        <v>34</v>
      </c>
      <c r="T292" s="151">
        <v>4.5069999999999997</v>
      </c>
      <c r="U292" s="2" t="s">
        <v>2257</v>
      </c>
      <c r="V292" s="162">
        <v>5.5E-2</v>
      </c>
      <c r="W292" s="164">
        <v>6.1679999999999999E-2</v>
      </c>
      <c r="X292" s="4" t="s">
        <v>447</v>
      </c>
      <c r="Y292" s="4" t="s">
        <v>155</v>
      </c>
      <c r="Z292" s="151">
        <v>482159.55</v>
      </c>
      <c r="AA292" s="158">
        <v>1</v>
      </c>
      <c r="AB292" s="175">
        <v>97.66</v>
      </c>
      <c r="AD292" s="151">
        <v>470.87700000000001</v>
      </c>
      <c r="AG292" s="2" t="s">
        <v>36</v>
      </c>
      <c r="AH292" s="164">
        <v>4.7800000000000002E-4</v>
      </c>
      <c r="AI292" s="164">
        <v>2.61058109918791E-2</v>
      </c>
      <c r="AJ292" s="164">
        <v>3.2325415492379201E-3</v>
      </c>
    </row>
    <row r="293" spans="1:36">
      <c r="A293" s="2">
        <v>424</v>
      </c>
      <c r="B293" s="2">
        <v>7229</v>
      </c>
      <c r="C293" s="2" t="s">
        <v>1844</v>
      </c>
      <c r="D293" s="2" t="s">
        <v>1845</v>
      </c>
      <c r="E293" s="4" t="s">
        <v>1342</v>
      </c>
      <c r="F293" s="2" t="s">
        <v>2258</v>
      </c>
      <c r="G293" s="2" t="s">
        <v>2259</v>
      </c>
      <c r="H293" s="2" t="s">
        <v>356</v>
      </c>
      <c r="I293" s="2" t="s">
        <v>208</v>
      </c>
      <c r="J293" s="2" t="s">
        <v>30</v>
      </c>
      <c r="K293" s="2" t="s">
        <v>30</v>
      </c>
      <c r="L293" s="2" t="s">
        <v>362</v>
      </c>
      <c r="M293" s="2" t="s">
        <v>31</v>
      </c>
      <c r="N293" s="2" t="s">
        <v>497</v>
      </c>
      <c r="O293" s="2" t="s">
        <v>155</v>
      </c>
      <c r="P293" s="2" t="s">
        <v>1353</v>
      </c>
      <c r="Q293" s="2" t="s">
        <v>101</v>
      </c>
      <c r="R293" s="2" t="s">
        <v>441</v>
      </c>
      <c r="S293" s="2" t="s">
        <v>34</v>
      </c>
      <c r="T293" s="151">
        <v>4.4729999999999999</v>
      </c>
      <c r="U293" s="2" t="s">
        <v>2260</v>
      </c>
      <c r="V293" s="162">
        <v>1.17E-2</v>
      </c>
      <c r="W293" s="164">
        <v>3.1579999999999997E-2</v>
      </c>
      <c r="X293" s="4" t="s">
        <v>447</v>
      </c>
      <c r="Y293" s="4" t="s">
        <v>155</v>
      </c>
      <c r="Z293" s="151">
        <v>419160</v>
      </c>
      <c r="AA293" s="158">
        <v>1</v>
      </c>
      <c r="AB293" s="175">
        <v>105.29</v>
      </c>
      <c r="AD293" s="151">
        <v>441.334</v>
      </c>
      <c r="AG293" s="2" t="s">
        <v>36</v>
      </c>
      <c r="AH293" s="164">
        <v>6.0899999999999995E-4</v>
      </c>
      <c r="AI293" s="164">
        <v>2.4467897564973601E-2</v>
      </c>
      <c r="AJ293" s="164">
        <v>3.0297275777365598E-3</v>
      </c>
    </row>
    <row r="294" spans="1:36">
      <c r="A294" s="2">
        <v>424</v>
      </c>
      <c r="B294" s="2">
        <v>7229</v>
      </c>
      <c r="C294" s="2" t="s">
        <v>1844</v>
      </c>
      <c r="D294" s="2" t="s">
        <v>1845</v>
      </c>
      <c r="E294" s="4" t="s">
        <v>1342</v>
      </c>
      <c r="F294" s="2" t="s">
        <v>2572</v>
      </c>
      <c r="G294" s="2" t="s">
        <v>2573</v>
      </c>
      <c r="H294" s="2" t="s">
        <v>356</v>
      </c>
      <c r="I294" s="2" t="s">
        <v>208</v>
      </c>
      <c r="J294" s="2" t="s">
        <v>30</v>
      </c>
      <c r="K294" s="2" t="s">
        <v>30</v>
      </c>
      <c r="L294" s="2" t="s">
        <v>362</v>
      </c>
      <c r="M294" s="2" t="s">
        <v>31</v>
      </c>
      <c r="N294" s="2" t="s">
        <v>497</v>
      </c>
      <c r="O294" s="2" t="s">
        <v>155</v>
      </c>
      <c r="P294" s="2" t="s">
        <v>1353</v>
      </c>
      <c r="Q294" s="2" t="s">
        <v>206</v>
      </c>
      <c r="R294" s="2" t="s">
        <v>441</v>
      </c>
      <c r="S294" s="2" t="s">
        <v>34</v>
      </c>
      <c r="T294" s="151">
        <v>2.754</v>
      </c>
      <c r="U294" s="2" t="s">
        <v>2574</v>
      </c>
      <c r="V294" s="162">
        <v>3.3500000000000002E-2</v>
      </c>
      <c r="W294" s="164">
        <v>2.743E-2</v>
      </c>
      <c r="X294" s="4" t="s">
        <v>447</v>
      </c>
      <c r="Y294" s="4" t="s">
        <v>155</v>
      </c>
      <c r="Z294" s="151">
        <v>114400</v>
      </c>
      <c r="AA294" s="158">
        <v>1</v>
      </c>
      <c r="AB294" s="175">
        <v>117.34</v>
      </c>
      <c r="AD294" s="151">
        <v>134.23699999999999</v>
      </c>
      <c r="AG294" s="2" t="s">
        <v>36</v>
      </c>
      <c r="AH294" s="164">
        <v>1.8000000000000001E-4</v>
      </c>
      <c r="AI294" s="164">
        <v>7.4422080136951696E-3</v>
      </c>
      <c r="AJ294" s="164">
        <v>9.2152841487378703E-4</v>
      </c>
    </row>
    <row r="295" spans="1:36">
      <c r="A295" s="2">
        <v>424</v>
      </c>
      <c r="B295" s="2">
        <v>7229</v>
      </c>
      <c r="C295" s="2" t="s">
        <v>1836</v>
      </c>
      <c r="D295" s="2" t="s">
        <v>1837</v>
      </c>
      <c r="E295" s="4" t="s">
        <v>1342</v>
      </c>
      <c r="F295" s="2" t="s">
        <v>2263</v>
      </c>
      <c r="G295" s="2" t="s">
        <v>2264</v>
      </c>
      <c r="H295" s="2" t="s">
        <v>356</v>
      </c>
      <c r="I295" s="2" t="s">
        <v>1000</v>
      </c>
      <c r="J295" s="2" t="s">
        <v>30</v>
      </c>
      <c r="K295" s="2" t="s">
        <v>30</v>
      </c>
      <c r="L295" s="2" t="s">
        <v>362</v>
      </c>
      <c r="M295" s="2" t="s">
        <v>31</v>
      </c>
      <c r="N295" s="2" t="s">
        <v>473</v>
      </c>
      <c r="O295" s="2" t="s">
        <v>155</v>
      </c>
      <c r="P295" s="2" t="s">
        <v>1346</v>
      </c>
      <c r="Q295" s="2" t="s">
        <v>206</v>
      </c>
      <c r="R295" s="2" t="s">
        <v>441</v>
      </c>
      <c r="S295" s="2" t="s">
        <v>34</v>
      </c>
      <c r="T295" s="151">
        <v>4.0220000000000002</v>
      </c>
      <c r="U295" s="2" t="s">
        <v>2265</v>
      </c>
      <c r="V295" s="162">
        <v>5.7500000000000002E-2</v>
      </c>
      <c r="W295" s="164">
        <v>6.4329999999999998E-2</v>
      </c>
      <c r="X295" s="4" t="s">
        <v>447</v>
      </c>
      <c r="Y295" s="4" t="s">
        <v>155</v>
      </c>
      <c r="Z295" s="151">
        <v>140252</v>
      </c>
      <c r="AA295" s="158">
        <v>1</v>
      </c>
      <c r="AB295" s="175">
        <v>97.51</v>
      </c>
      <c r="AD295" s="151">
        <v>136.76</v>
      </c>
      <c r="AG295" s="2" t="s">
        <v>36</v>
      </c>
      <c r="AH295" s="164">
        <v>2.6699999999999998E-4</v>
      </c>
      <c r="AI295" s="164">
        <v>7.5820722015322002E-3</v>
      </c>
      <c r="AJ295" s="164">
        <v>9.3884704169500599E-4</v>
      </c>
    </row>
    <row r="296" spans="1:36">
      <c r="A296" s="2">
        <v>424</v>
      </c>
      <c r="B296" s="2">
        <v>7229</v>
      </c>
      <c r="C296" s="2" t="s">
        <v>2266</v>
      </c>
      <c r="D296" s="2" t="s">
        <v>2267</v>
      </c>
      <c r="E296" s="4" t="s">
        <v>1342</v>
      </c>
      <c r="F296" s="2" t="s">
        <v>2268</v>
      </c>
      <c r="G296" s="2" t="s">
        <v>2269</v>
      </c>
      <c r="H296" s="2" t="s">
        <v>356</v>
      </c>
      <c r="I296" s="2" t="s">
        <v>1000</v>
      </c>
      <c r="J296" s="2" t="s">
        <v>30</v>
      </c>
      <c r="K296" s="2" t="s">
        <v>30</v>
      </c>
      <c r="L296" s="2" t="s">
        <v>362</v>
      </c>
      <c r="M296" s="2" t="s">
        <v>31</v>
      </c>
      <c r="N296" s="2" t="s">
        <v>497</v>
      </c>
      <c r="O296" s="2" t="s">
        <v>155</v>
      </c>
      <c r="P296" s="2" t="s">
        <v>2211</v>
      </c>
      <c r="Q296" s="2" t="s">
        <v>206</v>
      </c>
      <c r="R296" s="2" t="s">
        <v>441</v>
      </c>
      <c r="S296" s="2" t="s">
        <v>34</v>
      </c>
      <c r="T296" s="151">
        <v>5.14</v>
      </c>
      <c r="U296" s="2" t="s">
        <v>2270</v>
      </c>
      <c r="V296" s="162">
        <v>2.5499999999999998E-2</v>
      </c>
      <c r="W296" s="164">
        <v>6.0060000000000002E-2</v>
      </c>
      <c r="X296" s="4" t="s">
        <v>447</v>
      </c>
      <c r="Y296" s="4" t="s">
        <v>155</v>
      </c>
      <c r="Z296" s="151">
        <v>201760</v>
      </c>
      <c r="AA296" s="158">
        <v>1</v>
      </c>
      <c r="AB296" s="175">
        <v>84.61</v>
      </c>
      <c r="AD296" s="151">
        <v>170.709</v>
      </c>
      <c r="AG296" s="2" t="s">
        <v>36</v>
      </c>
      <c r="AH296" s="164">
        <v>1.16E-4</v>
      </c>
      <c r="AI296" s="164">
        <v>9.4642555965970907E-3</v>
      </c>
      <c r="AJ296" s="164">
        <v>1.1719076437856899E-3</v>
      </c>
    </row>
    <row r="297" spans="1:36">
      <c r="A297" s="2">
        <v>424</v>
      </c>
      <c r="B297" s="2">
        <v>7229</v>
      </c>
      <c r="C297" s="2" t="s">
        <v>2266</v>
      </c>
      <c r="D297" s="2" t="s">
        <v>2267</v>
      </c>
      <c r="E297" s="4" t="s">
        <v>1342</v>
      </c>
      <c r="F297" s="2" t="s">
        <v>2274</v>
      </c>
      <c r="G297" s="2" t="s">
        <v>2275</v>
      </c>
      <c r="H297" s="2" t="s">
        <v>356</v>
      </c>
      <c r="I297" s="2" t="s">
        <v>208</v>
      </c>
      <c r="J297" s="2" t="s">
        <v>30</v>
      </c>
      <c r="K297" s="2" t="s">
        <v>30</v>
      </c>
      <c r="L297" s="2" t="s">
        <v>362</v>
      </c>
      <c r="M297" s="2" t="s">
        <v>31</v>
      </c>
      <c r="N297" s="2" t="s">
        <v>497</v>
      </c>
      <c r="O297" s="2" t="s">
        <v>155</v>
      </c>
      <c r="P297" s="2" t="s">
        <v>2211</v>
      </c>
      <c r="Q297" s="2" t="s">
        <v>206</v>
      </c>
      <c r="R297" s="2" t="s">
        <v>441</v>
      </c>
      <c r="S297" s="2" t="s">
        <v>34</v>
      </c>
      <c r="T297" s="151">
        <v>5.1369999999999996</v>
      </c>
      <c r="U297" s="2" t="s">
        <v>2276</v>
      </c>
      <c r="V297" s="162">
        <v>5.8999999999999999E-3</v>
      </c>
      <c r="W297" s="164">
        <v>3.3239999999999999E-2</v>
      </c>
      <c r="X297" s="4" t="s">
        <v>447</v>
      </c>
      <c r="Y297" s="4" t="s">
        <v>155</v>
      </c>
      <c r="Z297" s="151">
        <v>224263</v>
      </c>
      <c r="AA297" s="158">
        <v>1</v>
      </c>
      <c r="AB297" s="175">
        <v>97.54</v>
      </c>
      <c r="AD297" s="151">
        <v>218.74600000000001</v>
      </c>
      <c r="AG297" s="2" t="s">
        <v>36</v>
      </c>
      <c r="AH297" s="164">
        <v>1.6000000000000001E-4</v>
      </c>
      <c r="AI297" s="164">
        <v>1.21274662592124E-2</v>
      </c>
      <c r="AJ297" s="164">
        <v>1.5016786332391701E-3</v>
      </c>
    </row>
    <row r="298" spans="1:36">
      <c r="A298" s="2">
        <v>424</v>
      </c>
      <c r="B298" s="2">
        <v>7229</v>
      </c>
      <c r="C298" s="2" t="s">
        <v>2266</v>
      </c>
      <c r="D298" s="2" t="s">
        <v>2267</v>
      </c>
      <c r="E298" s="4" t="s">
        <v>1342</v>
      </c>
      <c r="F298" s="2" t="s">
        <v>2277</v>
      </c>
      <c r="G298" s="2" t="s">
        <v>2278</v>
      </c>
      <c r="H298" s="2" t="s">
        <v>356</v>
      </c>
      <c r="I298" s="2" t="s">
        <v>208</v>
      </c>
      <c r="J298" s="2" t="s">
        <v>30</v>
      </c>
      <c r="K298" s="2" t="s">
        <v>30</v>
      </c>
      <c r="L298" s="2" t="s">
        <v>362</v>
      </c>
      <c r="M298" s="2" t="s">
        <v>85</v>
      </c>
      <c r="N298" s="2" t="s">
        <v>497</v>
      </c>
      <c r="O298" s="2" t="s">
        <v>155</v>
      </c>
      <c r="P298" s="2" t="s">
        <v>2211</v>
      </c>
      <c r="Q298" s="2" t="s">
        <v>206</v>
      </c>
      <c r="R298" s="2" t="s">
        <v>441</v>
      </c>
      <c r="S298" s="2" t="s">
        <v>34</v>
      </c>
      <c r="T298" s="151">
        <v>3.6840000000000002</v>
      </c>
      <c r="U298" s="2" t="s">
        <v>2279</v>
      </c>
      <c r="V298" s="162">
        <v>3.3399999999999999E-2</v>
      </c>
      <c r="W298" s="164">
        <v>3.0720000000000001E-2</v>
      </c>
      <c r="X298" s="4" t="s">
        <v>447</v>
      </c>
      <c r="Y298" s="4" t="s">
        <v>155</v>
      </c>
      <c r="Z298" s="151">
        <v>141584</v>
      </c>
      <c r="AA298" s="158">
        <v>1</v>
      </c>
      <c r="AB298" s="175">
        <v>103.53</v>
      </c>
      <c r="AD298" s="151">
        <v>146.58199999999999</v>
      </c>
      <c r="AG298" s="2" t="s">
        <v>36</v>
      </c>
      <c r="AH298" s="164">
        <v>1.9100000000000001E-4</v>
      </c>
      <c r="AI298" s="164">
        <v>8.1266225334976801E-3</v>
      </c>
      <c r="AJ298" s="164">
        <v>1.0062757675935101E-3</v>
      </c>
    </row>
    <row r="299" spans="1:36">
      <c r="A299" s="2">
        <v>424</v>
      </c>
      <c r="B299" s="2">
        <v>7229</v>
      </c>
      <c r="C299" s="2" t="s">
        <v>2266</v>
      </c>
      <c r="D299" s="2" t="s">
        <v>2267</v>
      </c>
      <c r="E299" s="4" t="s">
        <v>1342</v>
      </c>
      <c r="F299" s="2" t="s">
        <v>2280</v>
      </c>
      <c r="G299" s="2" t="s">
        <v>2281</v>
      </c>
      <c r="H299" s="2" t="s">
        <v>356</v>
      </c>
      <c r="I299" s="2" t="s">
        <v>208</v>
      </c>
      <c r="J299" s="2" t="s">
        <v>30</v>
      </c>
      <c r="K299" s="2" t="s">
        <v>30</v>
      </c>
      <c r="L299" s="2" t="s">
        <v>362</v>
      </c>
      <c r="M299" s="2" t="s">
        <v>31</v>
      </c>
      <c r="N299" s="2" t="s">
        <v>497</v>
      </c>
      <c r="O299" s="2" t="s">
        <v>155</v>
      </c>
      <c r="P299" s="2" t="s">
        <v>2211</v>
      </c>
      <c r="Q299" s="2" t="s">
        <v>206</v>
      </c>
      <c r="R299" s="2" t="s">
        <v>441</v>
      </c>
      <c r="S299" s="2" t="s">
        <v>34</v>
      </c>
      <c r="T299" s="151">
        <v>0.85199999999999998</v>
      </c>
      <c r="U299" s="2" t="s">
        <v>2282</v>
      </c>
      <c r="V299" s="162">
        <v>4.7500000000000001E-2</v>
      </c>
      <c r="W299" s="164">
        <v>2.555E-2</v>
      </c>
      <c r="X299" s="4" t="s">
        <v>447</v>
      </c>
      <c r="Y299" s="4" t="s">
        <v>155</v>
      </c>
      <c r="Z299" s="151">
        <v>394983.65</v>
      </c>
      <c r="AA299" s="158">
        <v>1</v>
      </c>
      <c r="AB299" s="175">
        <v>142.99</v>
      </c>
      <c r="AD299" s="151">
        <v>564.78700000000003</v>
      </c>
      <c r="AG299" s="2" t="s">
        <v>36</v>
      </c>
      <c r="AH299" s="164">
        <v>4.1300000000000001E-4</v>
      </c>
      <c r="AI299" s="164">
        <v>3.1312264810993397E-2</v>
      </c>
      <c r="AJ299" s="164">
        <v>3.8772285999375002E-3</v>
      </c>
    </row>
    <row r="300" spans="1:36">
      <c r="A300" s="2">
        <v>424</v>
      </c>
      <c r="B300" s="2">
        <v>7229</v>
      </c>
      <c r="C300" s="2" t="s">
        <v>2283</v>
      </c>
      <c r="D300" s="2" t="s">
        <v>2284</v>
      </c>
      <c r="E300" s="4" t="s">
        <v>1342</v>
      </c>
      <c r="F300" s="2" t="s">
        <v>2285</v>
      </c>
      <c r="G300" s="2" t="s">
        <v>2286</v>
      </c>
      <c r="H300" s="2" t="s">
        <v>356</v>
      </c>
      <c r="I300" s="2" t="s">
        <v>208</v>
      </c>
      <c r="J300" s="2" t="s">
        <v>30</v>
      </c>
      <c r="K300" s="2" t="s">
        <v>30</v>
      </c>
      <c r="L300" s="2" t="s">
        <v>362</v>
      </c>
      <c r="M300" s="2" t="s">
        <v>31</v>
      </c>
      <c r="N300" s="2" t="s">
        <v>484</v>
      </c>
      <c r="O300" s="2" t="s">
        <v>155</v>
      </c>
      <c r="P300" s="2" t="s">
        <v>1346</v>
      </c>
      <c r="Q300" s="2" t="s">
        <v>206</v>
      </c>
      <c r="R300" s="2" t="s">
        <v>441</v>
      </c>
      <c r="S300" s="2" t="s">
        <v>34</v>
      </c>
      <c r="T300" s="151">
        <v>4.702</v>
      </c>
      <c r="U300" s="2" t="s">
        <v>2287</v>
      </c>
      <c r="V300" s="162">
        <v>7.4999999999999997E-3</v>
      </c>
      <c r="W300" s="164">
        <v>3.6729999999999999E-2</v>
      </c>
      <c r="X300" s="4" t="s">
        <v>447</v>
      </c>
      <c r="Y300" s="4" t="s">
        <v>155</v>
      </c>
      <c r="Z300" s="151">
        <v>146766.6</v>
      </c>
      <c r="AA300" s="158">
        <v>1</v>
      </c>
      <c r="AB300" s="175">
        <v>97.72</v>
      </c>
      <c r="AD300" s="151">
        <v>143.41999999999999</v>
      </c>
      <c r="AG300" s="2" t="s">
        <v>36</v>
      </c>
      <c r="AH300" s="164">
        <v>1.3999999999999999E-4</v>
      </c>
      <c r="AI300" s="164">
        <v>7.9513411667165492E-3</v>
      </c>
      <c r="AJ300" s="164">
        <v>9.8457162283036308E-4</v>
      </c>
    </row>
    <row r="301" spans="1:36">
      <c r="A301" s="2">
        <v>424</v>
      </c>
      <c r="B301" s="2">
        <v>7229</v>
      </c>
      <c r="C301" s="2" t="s">
        <v>2288</v>
      </c>
      <c r="D301" s="2" t="s">
        <v>2289</v>
      </c>
      <c r="E301" s="4" t="s">
        <v>1342</v>
      </c>
      <c r="F301" s="2" t="s">
        <v>2290</v>
      </c>
      <c r="G301" s="2" t="s">
        <v>2291</v>
      </c>
      <c r="H301" s="2" t="s">
        <v>356</v>
      </c>
      <c r="I301" s="2" t="s">
        <v>208</v>
      </c>
      <c r="J301" s="2" t="s">
        <v>30</v>
      </c>
      <c r="K301" s="2" t="s">
        <v>30</v>
      </c>
      <c r="L301" s="2" t="s">
        <v>362</v>
      </c>
      <c r="M301" s="2" t="s">
        <v>31</v>
      </c>
      <c r="N301" s="2" t="s">
        <v>481</v>
      </c>
      <c r="O301" s="2" t="s">
        <v>155</v>
      </c>
      <c r="P301" s="2" t="s">
        <v>100</v>
      </c>
      <c r="Q301" s="2" t="s">
        <v>206</v>
      </c>
      <c r="R301" s="2" t="s">
        <v>441</v>
      </c>
      <c r="S301" s="2" t="s">
        <v>34</v>
      </c>
      <c r="T301" s="151">
        <v>4.9290000000000003</v>
      </c>
      <c r="U301" s="2" t="s">
        <v>2292</v>
      </c>
      <c r="V301" s="162">
        <v>2.47E-2</v>
      </c>
      <c r="W301" s="164">
        <v>2.5839999999999998E-2</v>
      </c>
      <c r="X301" s="4" t="s">
        <v>447</v>
      </c>
      <c r="Y301" s="4" t="s">
        <v>155</v>
      </c>
      <c r="Z301" s="151">
        <v>353921</v>
      </c>
      <c r="AA301" s="158">
        <v>1</v>
      </c>
      <c r="AB301" s="175">
        <v>102.7</v>
      </c>
      <c r="AD301" s="151">
        <v>363.47699999999998</v>
      </c>
      <c r="AG301" s="2" t="s">
        <v>36</v>
      </c>
      <c r="AH301" s="164">
        <v>1.2400000000000001E-4</v>
      </c>
      <c r="AI301" s="164">
        <v>2.01514579321538E-2</v>
      </c>
      <c r="AJ301" s="164">
        <v>2.49524617579093E-3</v>
      </c>
    </row>
    <row r="302" spans="1:36">
      <c r="A302" s="2">
        <v>424</v>
      </c>
      <c r="B302" s="2">
        <v>7229</v>
      </c>
      <c r="C302" s="2" t="s">
        <v>2293</v>
      </c>
      <c r="D302" s="2" t="s">
        <v>2294</v>
      </c>
      <c r="E302" s="4" t="s">
        <v>1342</v>
      </c>
      <c r="F302" s="2" t="s">
        <v>2295</v>
      </c>
      <c r="G302" s="2" t="s">
        <v>2296</v>
      </c>
      <c r="H302" s="2" t="s">
        <v>356</v>
      </c>
      <c r="I302" s="2" t="s">
        <v>208</v>
      </c>
      <c r="J302" s="2" t="s">
        <v>30</v>
      </c>
      <c r="K302" s="2" t="s">
        <v>30</v>
      </c>
      <c r="L302" s="2" t="s">
        <v>362</v>
      </c>
      <c r="M302" s="2" t="s">
        <v>31</v>
      </c>
      <c r="N302" s="2" t="s">
        <v>484</v>
      </c>
      <c r="O302" s="2" t="s">
        <v>155</v>
      </c>
      <c r="P302" s="2" t="s">
        <v>2297</v>
      </c>
      <c r="Q302" s="2" t="s">
        <v>206</v>
      </c>
      <c r="R302" s="2" t="s">
        <v>441</v>
      </c>
      <c r="S302" s="2" t="s">
        <v>34</v>
      </c>
      <c r="T302" s="151">
        <v>0.72899999999999998</v>
      </c>
      <c r="U302" s="2" t="s">
        <v>2298</v>
      </c>
      <c r="V302" s="162">
        <v>4.9500000000000002E-2</v>
      </c>
      <c r="W302" s="164">
        <v>3.5880000000000002E-2</v>
      </c>
      <c r="X302" s="4" t="s">
        <v>447</v>
      </c>
      <c r="Y302" s="4" t="s">
        <v>375</v>
      </c>
      <c r="Z302" s="151">
        <v>0.23</v>
      </c>
      <c r="AA302" s="158">
        <v>1</v>
      </c>
      <c r="AB302" s="175">
        <v>145.86000000000001</v>
      </c>
      <c r="AD302" s="151">
        <v>0</v>
      </c>
      <c r="AG302" s="2" t="s">
        <v>36</v>
      </c>
      <c r="AH302" s="164">
        <v>0</v>
      </c>
      <c r="AI302" s="164">
        <v>1.8599177603682599E-8</v>
      </c>
      <c r="AJ302" s="164">
        <v>2.3030356882711602E-9</v>
      </c>
    </row>
    <row r="303" spans="1:36">
      <c r="A303" s="2">
        <v>424</v>
      </c>
      <c r="B303" s="2">
        <v>7229</v>
      </c>
      <c r="C303" s="2" t="s">
        <v>2288</v>
      </c>
      <c r="D303" s="2" t="s">
        <v>2289</v>
      </c>
      <c r="E303" s="4" t="s">
        <v>1342</v>
      </c>
      <c r="F303" s="2" t="s">
        <v>2299</v>
      </c>
      <c r="G303" s="2" t="s">
        <v>2300</v>
      </c>
      <c r="H303" s="2" t="s">
        <v>356</v>
      </c>
      <c r="I303" s="2" t="s">
        <v>208</v>
      </c>
      <c r="J303" s="2" t="s">
        <v>30</v>
      </c>
      <c r="K303" s="2" t="s">
        <v>30</v>
      </c>
      <c r="L303" s="2" t="s">
        <v>362</v>
      </c>
      <c r="M303" s="2" t="s">
        <v>31</v>
      </c>
      <c r="N303" s="2" t="s">
        <v>481</v>
      </c>
      <c r="O303" s="2" t="s">
        <v>155</v>
      </c>
      <c r="P303" s="2" t="s">
        <v>1353</v>
      </c>
      <c r="Q303" s="2" t="s">
        <v>206</v>
      </c>
      <c r="R303" s="2" t="s">
        <v>441</v>
      </c>
      <c r="S303" s="2" t="s">
        <v>34</v>
      </c>
      <c r="T303" s="151">
        <v>3.87</v>
      </c>
      <c r="U303" s="2" t="s">
        <v>2301</v>
      </c>
      <c r="V303" s="162">
        <v>3.1699999999999999E-2</v>
      </c>
      <c r="W303" s="164">
        <v>3.0759999999999999E-2</v>
      </c>
      <c r="X303" s="4" t="s">
        <v>447</v>
      </c>
      <c r="Y303" s="4" t="s">
        <v>155</v>
      </c>
      <c r="Z303" s="151">
        <v>200000</v>
      </c>
      <c r="AA303" s="158">
        <v>1</v>
      </c>
      <c r="AB303" s="175">
        <v>110.29</v>
      </c>
      <c r="AD303" s="151">
        <v>220.58</v>
      </c>
      <c r="AG303" s="2" t="s">
        <v>36</v>
      </c>
      <c r="AH303" s="164">
        <v>2.3699999999999999E-4</v>
      </c>
      <c r="AI303" s="164">
        <v>1.22291375166786E-2</v>
      </c>
      <c r="AJ303" s="164">
        <v>1.5142680358141299E-3</v>
      </c>
    </row>
    <row r="304" spans="1:36">
      <c r="A304" s="2">
        <v>424</v>
      </c>
      <c r="B304" s="2">
        <v>7229</v>
      </c>
      <c r="C304" s="2" t="s">
        <v>2302</v>
      </c>
      <c r="D304" s="2" t="s">
        <v>2303</v>
      </c>
      <c r="E304" s="4" t="s">
        <v>1342</v>
      </c>
      <c r="F304" s="2" t="s">
        <v>2304</v>
      </c>
      <c r="G304" s="2" t="s">
        <v>2305</v>
      </c>
      <c r="H304" s="2" t="s">
        <v>356</v>
      </c>
      <c r="I304" s="2" t="s">
        <v>208</v>
      </c>
      <c r="J304" s="2" t="s">
        <v>30</v>
      </c>
      <c r="K304" s="2" t="s">
        <v>30</v>
      </c>
      <c r="L304" s="2" t="s">
        <v>362</v>
      </c>
      <c r="M304" s="2" t="s">
        <v>31</v>
      </c>
      <c r="N304" s="2" t="s">
        <v>473</v>
      </c>
      <c r="O304" s="2" t="s">
        <v>155</v>
      </c>
      <c r="P304" s="2" t="s">
        <v>2192</v>
      </c>
      <c r="Q304" s="2" t="s">
        <v>101</v>
      </c>
      <c r="R304" s="2" t="s">
        <v>441</v>
      </c>
      <c r="S304" s="2" t="s">
        <v>34</v>
      </c>
      <c r="T304" s="151">
        <v>3.4649999999999999</v>
      </c>
      <c r="U304" s="2" t="s">
        <v>2306</v>
      </c>
      <c r="V304" s="162">
        <v>1.7999999999999999E-2</v>
      </c>
      <c r="W304" s="164">
        <v>3.6589999999999998E-2</v>
      </c>
      <c r="X304" s="4" t="s">
        <v>447</v>
      </c>
      <c r="Y304" s="4" t="s">
        <v>155</v>
      </c>
      <c r="Z304" s="151">
        <v>116935.48</v>
      </c>
      <c r="AA304" s="158">
        <v>1</v>
      </c>
      <c r="AB304" s="175">
        <v>107.89</v>
      </c>
      <c r="AD304" s="151">
        <v>126.16200000000001</v>
      </c>
      <c r="AG304" s="2" t="s">
        <v>36</v>
      </c>
      <c r="AH304" s="164">
        <v>1.18E-4</v>
      </c>
      <c r="AI304" s="164">
        <v>6.9945083356001197E-3</v>
      </c>
      <c r="AJ304" s="164">
        <v>8.6609218224830396E-4</v>
      </c>
    </row>
    <row r="305" spans="1:36">
      <c r="A305" s="2">
        <v>424</v>
      </c>
      <c r="B305" s="2">
        <v>7229</v>
      </c>
      <c r="C305" s="2" t="s">
        <v>2302</v>
      </c>
      <c r="D305" s="2" t="s">
        <v>2303</v>
      </c>
      <c r="E305" s="4" t="s">
        <v>1342</v>
      </c>
      <c r="F305" s="2" t="s">
        <v>2307</v>
      </c>
      <c r="G305" s="2" t="s">
        <v>2308</v>
      </c>
      <c r="H305" s="2" t="s">
        <v>356</v>
      </c>
      <c r="I305" s="2" t="s">
        <v>208</v>
      </c>
      <c r="J305" s="2" t="s">
        <v>30</v>
      </c>
      <c r="K305" s="2" t="s">
        <v>30</v>
      </c>
      <c r="L305" s="2" t="s">
        <v>362</v>
      </c>
      <c r="M305" s="2" t="s">
        <v>31</v>
      </c>
      <c r="N305" s="2" t="s">
        <v>473</v>
      </c>
      <c r="O305" s="2" t="s">
        <v>155</v>
      </c>
      <c r="P305" s="2" t="s">
        <v>2192</v>
      </c>
      <c r="Q305" s="2" t="s">
        <v>206</v>
      </c>
      <c r="R305" s="2" t="s">
        <v>441</v>
      </c>
      <c r="S305" s="2" t="s">
        <v>34</v>
      </c>
      <c r="T305" s="151">
        <v>5.843</v>
      </c>
      <c r="U305" s="2" t="s">
        <v>2309</v>
      </c>
      <c r="V305" s="162">
        <v>3.3000000000000002E-2</v>
      </c>
      <c r="W305" s="164">
        <v>4.2569999999999997E-2</v>
      </c>
      <c r="X305" s="4" t="s">
        <v>447</v>
      </c>
      <c r="Y305" s="4" t="s">
        <v>155</v>
      </c>
      <c r="Z305" s="151">
        <v>276575</v>
      </c>
      <c r="AA305" s="158">
        <v>1</v>
      </c>
      <c r="AB305" s="175">
        <v>101.08</v>
      </c>
      <c r="AD305" s="151">
        <v>279.56200000000001</v>
      </c>
      <c r="AG305" s="2" t="s">
        <v>36</v>
      </c>
      <c r="AH305" s="164">
        <v>2.2100000000000001E-4</v>
      </c>
      <c r="AI305" s="164">
        <v>1.54991489016641E-2</v>
      </c>
      <c r="AJ305" s="164">
        <v>1.91917588072786E-3</v>
      </c>
    </row>
    <row r="306" spans="1:36">
      <c r="A306" s="2">
        <v>424</v>
      </c>
      <c r="B306" s="2">
        <v>7229</v>
      </c>
      <c r="C306" s="2" t="s">
        <v>2310</v>
      </c>
      <c r="D306" s="2" t="s">
        <v>2311</v>
      </c>
      <c r="E306" s="4" t="s">
        <v>1342</v>
      </c>
      <c r="F306" s="2" t="s">
        <v>2312</v>
      </c>
      <c r="G306" s="2" t="s">
        <v>2313</v>
      </c>
      <c r="H306" s="2" t="s">
        <v>356</v>
      </c>
      <c r="I306" s="2" t="s">
        <v>208</v>
      </c>
      <c r="J306" s="2" t="s">
        <v>30</v>
      </c>
      <c r="K306" s="2" t="s">
        <v>30</v>
      </c>
      <c r="L306" s="2" t="s">
        <v>362</v>
      </c>
      <c r="M306" s="2" t="s">
        <v>31</v>
      </c>
      <c r="N306" s="2" t="s">
        <v>497</v>
      </c>
      <c r="O306" s="2" t="s">
        <v>155</v>
      </c>
      <c r="P306" s="2" t="s">
        <v>2192</v>
      </c>
      <c r="Q306" s="2" t="s">
        <v>206</v>
      </c>
      <c r="R306" s="2" t="s">
        <v>441</v>
      </c>
      <c r="S306" s="2" t="s">
        <v>34</v>
      </c>
      <c r="T306" s="151">
        <v>3.8849999999999998</v>
      </c>
      <c r="U306" s="2" t="s">
        <v>2201</v>
      </c>
      <c r="V306" s="162">
        <v>3.6499999999999998E-2</v>
      </c>
      <c r="W306" s="164">
        <v>3.2820000000000002E-2</v>
      </c>
      <c r="X306" s="4" t="s">
        <v>447</v>
      </c>
      <c r="Y306" s="4" t="s">
        <v>155</v>
      </c>
      <c r="Z306" s="151">
        <v>280000</v>
      </c>
      <c r="AA306" s="158">
        <v>1</v>
      </c>
      <c r="AB306" s="175">
        <v>108.95</v>
      </c>
      <c r="AD306" s="151">
        <v>305.06</v>
      </c>
      <c r="AG306" s="2" t="s">
        <v>36</v>
      </c>
      <c r="AH306" s="164">
        <v>8.5899999999999995E-4</v>
      </c>
      <c r="AI306" s="164">
        <v>1.69127785421977E-2</v>
      </c>
      <c r="AJ306" s="164">
        <v>2.0942180025635099E-3</v>
      </c>
    </row>
    <row r="307" spans="1:36">
      <c r="A307" s="2">
        <v>424</v>
      </c>
      <c r="B307" s="2">
        <v>7229</v>
      </c>
      <c r="C307" s="2" t="s">
        <v>2310</v>
      </c>
      <c r="D307" s="2" t="s">
        <v>2311</v>
      </c>
      <c r="E307" s="4" t="s">
        <v>1342</v>
      </c>
      <c r="F307" s="2" t="s">
        <v>2314</v>
      </c>
      <c r="G307" s="2" t="s">
        <v>2315</v>
      </c>
      <c r="H307" s="2" t="s">
        <v>356</v>
      </c>
      <c r="I307" s="2" t="s">
        <v>208</v>
      </c>
      <c r="J307" s="2" t="s">
        <v>30</v>
      </c>
      <c r="K307" s="2" t="s">
        <v>30</v>
      </c>
      <c r="L307" s="2" t="s">
        <v>362</v>
      </c>
      <c r="M307" s="2" t="s">
        <v>31</v>
      </c>
      <c r="N307" s="2" t="s">
        <v>497</v>
      </c>
      <c r="O307" s="2" t="s">
        <v>155</v>
      </c>
      <c r="P307" s="2" t="s">
        <v>2181</v>
      </c>
      <c r="Q307" s="2" t="s">
        <v>206</v>
      </c>
      <c r="R307" s="2" t="s">
        <v>441</v>
      </c>
      <c r="S307" s="2" t="s">
        <v>34</v>
      </c>
      <c r="T307" s="151">
        <v>1.536</v>
      </c>
      <c r="U307" s="2" t="s">
        <v>1338</v>
      </c>
      <c r="V307" s="162">
        <v>1.7999999999999999E-2</v>
      </c>
      <c r="W307" s="164">
        <v>2.742E-2</v>
      </c>
      <c r="X307" s="4" t="s">
        <v>447</v>
      </c>
      <c r="Y307" s="4" t="s">
        <v>155</v>
      </c>
      <c r="Z307" s="151">
        <v>135437.18</v>
      </c>
      <c r="AA307" s="158">
        <v>1</v>
      </c>
      <c r="AB307" s="175">
        <v>113.45</v>
      </c>
      <c r="AD307" s="151">
        <v>153.65299999999999</v>
      </c>
      <c r="AG307" s="2" t="s">
        <v>36</v>
      </c>
      <c r="AH307" s="164">
        <v>1.7200000000000001E-4</v>
      </c>
      <c r="AI307" s="164">
        <v>8.5186759702552805E-3</v>
      </c>
      <c r="AJ307" s="164">
        <v>1.0548216267600699E-3</v>
      </c>
    </row>
    <row r="308" spans="1:36">
      <c r="A308" s="2">
        <v>424</v>
      </c>
      <c r="B308" s="2">
        <v>7229</v>
      </c>
      <c r="C308" s="2" t="s">
        <v>2316</v>
      </c>
      <c r="D308" s="2" t="s">
        <v>2317</v>
      </c>
      <c r="E308" s="4" t="s">
        <v>1342</v>
      </c>
      <c r="F308" s="2" t="s">
        <v>2318</v>
      </c>
      <c r="G308" s="2" t="s">
        <v>2319</v>
      </c>
      <c r="H308" s="2" t="s">
        <v>356</v>
      </c>
      <c r="I308" s="2" t="s">
        <v>1000</v>
      </c>
      <c r="J308" s="2" t="s">
        <v>30</v>
      </c>
      <c r="K308" s="2" t="s">
        <v>30</v>
      </c>
      <c r="L308" s="2" t="s">
        <v>362</v>
      </c>
      <c r="M308" s="2" t="s">
        <v>31</v>
      </c>
      <c r="N308" s="2" t="s">
        <v>478</v>
      </c>
      <c r="O308" s="2" t="s">
        <v>155</v>
      </c>
      <c r="P308" s="2" t="s">
        <v>1353</v>
      </c>
      <c r="Q308" s="2" t="s">
        <v>206</v>
      </c>
      <c r="R308" s="2" t="s">
        <v>441</v>
      </c>
      <c r="S308" s="2" t="s">
        <v>34</v>
      </c>
      <c r="T308" s="151">
        <v>8.5960000000000001</v>
      </c>
      <c r="U308" s="2" t="s">
        <v>2320</v>
      </c>
      <c r="V308" s="162">
        <v>3.0499999999999999E-2</v>
      </c>
      <c r="W308" s="164">
        <v>5.8979999999999998E-2</v>
      </c>
      <c r="X308" s="4" t="s">
        <v>447</v>
      </c>
      <c r="Y308" s="4" t="s">
        <v>155</v>
      </c>
      <c r="Z308" s="151">
        <v>166845</v>
      </c>
      <c r="AA308" s="158">
        <v>1</v>
      </c>
      <c r="AB308" s="175">
        <v>84.59</v>
      </c>
      <c r="AD308" s="151">
        <v>141.13399999999999</v>
      </c>
      <c r="AG308" s="2" t="s">
        <v>36</v>
      </c>
      <c r="AH308" s="164">
        <v>2.4399999999999999E-4</v>
      </c>
      <c r="AI308" s="164">
        <v>7.8245958962005792E-3</v>
      </c>
      <c r="AJ308" s="164">
        <v>9.6887744067146702E-4</v>
      </c>
    </row>
    <row r="309" spans="1:36">
      <c r="A309" s="2">
        <v>424</v>
      </c>
      <c r="B309" s="2">
        <v>7229</v>
      </c>
      <c r="C309" s="2" t="s">
        <v>2316</v>
      </c>
      <c r="D309" s="2" t="s">
        <v>2317</v>
      </c>
      <c r="E309" s="4" t="s">
        <v>1342</v>
      </c>
      <c r="F309" s="2" t="s">
        <v>2321</v>
      </c>
      <c r="G309" s="2" t="s">
        <v>2322</v>
      </c>
      <c r="H309" s="2" t="s">
        <v>356</v>
      </c>
      <c r="I309" s="2" t="s">
        <v>1000</v>
      </c>
      <c r="J309" s="2" t="s">
        <v>30</v>
      </c>
      <c r="K309" s="2" t="s">
        <v>30</v>
      </c>
      <c r="L309" s="2" t="s">
        <v>362</v>
      </c>
      <c r="M309" s="2" t="s">
        <v>85</v>
      </c>
      <c r="N309" s="2" t="s">
        <v>478</v>
      </c>
      <c r="O309" s="2" t="s">
        <v>155</v>
      </c>
      <c r="P309" s="2" t="s">
        <v>1353</v>
      </c>
      <c r="Q309" s="2" t="s">
        <v>206</v>
      </c>
      <c r="R309" s="2" t="s">
        <v>441</v>
      </c>
      <c r="S309" s="2" t="s">
        <v>34</v>
      </c>
      <c r="T309" s="151">
        <v>8.6649999999999991</v>
      </c>
      <c r="U309" s="2" t="s">
        <v>2323</v>
      </c>
      <c r="V309" s="162">
        <v>6.0199999999999997E-2</v>
      </c>
      <c r="W309" s="164">
        <v>5.9959999999999999E-2</v>
      </c>
      <c r="X309" s="4" t="s">
        <v>447</v>
      </c>
      <c r="Y309" s="4" t="s">
        <v>155</v>
      </c>
      <c r="Z309" s="151">
        <v>139622</v>
      </c>
      <c r="AA309" s="158">
        <v>1</v>
      </c>
      <c r="AB309" s="175">
        <v>102.28</v>
      </c>
      <c r="AD309" s="151">
        <v>142.80500000000001</v>
      </c>
      <c r="AG309" s="2" t="s">
        <v>36</v>
      </c>
      <c r="AH309" s="164">
        <v>2.7900000000000001E-4</v>
      </c>
      <c r="AI309" s="164">
        <v>7.9172483892835308E-3</v>
      </c>
      <c r="AJ309" s="164">
        <v>9.80350098373014E-4</v>
      </c>
    </row>
    <row r="310" spans="1:36">
      <c r="A310" s="2">
        <v>424</v>
      </c>
      <c r="B310" s="2">
        <v>7229</v>
      </c>
      <c r="C310" s="2" t="s">
        <v>2316</v>
      </c>
      <c r="D310" s="2" t="s">
        <v>2317</v>
      </c>
      <c r="E310" s="4" t="s">
        <v>1342</v>
      </c>
      <c r="F310" s="2" t="s">
        <v>2324</v>
      </c>
      <c r="G310" s="2" t="s">
        <v>2325</v>
      </c>
      <c r="H310" s="2" t="s">
        <v>356</v>
      </c>
      <c r="I310" s="2" t="s">
        <v>1000</v>
      </c>
      <c r="J310" s="2" t="s">
        <v>30</v>
      </c>
      <c r="K310" s="2" t="s">
        <v>30</v>
      </c>
      <c r="L310" s="2" t="s">
        <v>362</v>
      </c>
      <c r="M310" s="2" t="s">
        <v>31</v>
      </c>
      <c r="N310" s="2" t="s">
        <v>478</v>
      </c>
      <c r="O310" s="2" t="s">
        <v>155</v>
      </c>
      <c r="P310" s="2" t="s">
        <v>1353</v>
      </c>
      <c r="Q310" s="2" t="s">
        <v>206</v>
      </c>
      <c r="R310" s="2" t="s">
        <v>441</v>
      </c>
      <c r="S310" s="2" t="s">
        <v>34</v>
      </c>
      <c r="T310" s="151">
        <v>4.681</v>
      </c>
      <c r="U310" s="2" t="s">
        <v>2326</v>
      </c>
      <c r="V310" s="162">
        <v>4.3799999999999999E-2</v>
      </c>
      <c r="W310" s="164">
        <v>5.527E-2</v>
      </c>
      <c r="X310" s="4" t="s">
        <v>447</v>
      </c>
      <c r="Y310" s="4" t="s">
        <v>155</v>
      </c>
      <c r="Z310" s="151">
        <v>210000</v>
      </c>
      <c r="AA310" s="158">
        <v>1</v>
      </c>
      <c r="AB310" s="175">
        <v>96.24</v>
      </c>
      <c r="AD310" s="151">
        <v>202.10400000000001</v>
      </c>
      <c r="AG310" s="2" t="s">
        <v>36</v>
      </c>
      <c r="AH310" s="164">
        <v>4.2000000000000002E-4</v>
      </c>
      <c r="AI310" s="164">
        <v>1.12048128056524E-2</v>
      </c>
      <c r="AJ310" s="164">
        <v>1.3874314403399201E-3</v>
      </c>
    </row>
    <row r="311" spans="1:36">
      <c r="A311" s="2">
        <v>424</v>
      </c>
      <c r="B311" s="2">
        <v>7229</v>
      </c>
      <c r="C311" s="2" t="s">
        <v>2327</v>
      </c>
      <c r="D311" s="2" t="s">
        <v>2328</v>
      </c>
      <c r="E311" s="4" t="s">
        <v>1342</v>
      </c>
      <c r="F311" s="2" t="s">
        <v>2329</v>
      </c>
      <c r="G311" s="2" t="s">
        <v>2330</v>
      </c>
      <c r="H311" s="2" t="s">
        <v>356</v>
      </c>
      <c r="I311" s="2" t="s">
        <v>208</v>
      </c>
      <c r="J311" s="2" t="s">
        <v>30</v>
      </c>
      <c r="K311" s="2" t="s">
        <v>30</v>
      </c>
      <c r="L311" s="2" t="s">
        <v>362</v>
      </c>
      <c r="M311" s="2" t="s">
        <v>31</v>
      </c>
      <c r="N311" s="2" t="s">
        <v>473</v>
      </c>
      <c r="O311" s="2" t="s">
        <v>155</v>
      </c>
      <c r="P311" s="2" t="s">
        <v>1519</v>
      </c>
      <c r="Q311" s="2" t="s">
        <v>206</v>
      </c>
      <c r="R311" s="2" t="s">
        <v>441</v>
      </c>
      <c r="S311" s="2" t="s">
        <v>34</v>
      </c>
      <c r="T311" s="151">
        <v>7.5629999999999997</v>
      </c>
      <c r="U311" s="2" t="s">
        <v>2331</v>
      </c>
      <c r="V311" s="162">
        <v>0.03</v>
      </c>
      <c r="W311" s="164">
        <v>3.2599999999999997E-2</v>
      </c>
      <c r="X311" s="4" t="s">
        <v>447</v>
      </c>
      <c r="Y311" s="4" t="s">
        <v>155</v>
      </c>
      <c r="Z311" s="151">
        <v>280000</v>
      </c>
      <c r="AA311" s="158">
        <v>1</v>
      </c>
      <c r="AB311" s="175">
        <v>103.71</v>
      </c>
      <c r="AD311" s="151">
        <v>290.38799999999998</v>
      </c>
      <c r="AG311" s="2" t="s">
        <v>36</v>
      </c>
      <c r="AH311" s="164">
        <v>6.8999999999999997E-5</v>
      </c>
      <c r="AI311" s="164">
        <v>1.6099350735303601E-2</v>
      </c>
      <c r="AJ311" s="164">
        <v>1.99349563144435E-3</v>
      </c>
    </row>
    <row r="312" spans="1:36">
      <c r="A312" s="2">
        <v>424</v>
      </c>
      <c r="B312" s="2">
        <v>7229</v>
      </c>
      <c r="C312" s="2" t="s">
        <v>2327</v>
      </c>
      <c r="D312" s="2" t="s">
        <v>2328</v>
      </c>
      <c r="E312" s="4" t="s">
        <v>1342</v>
      </c>
      <c r="F312" s="2" t="s">
        <v>2332</v>
      </c>
      <c r="G312" s="2" t="s">
        <v>2333</v>
      </c>
      <c r="H312" s="2" t="s">
        <v>356</v>
      </c>
      <c r="I312" s="2" t="s">
        <v>208</v>
      </c>
      <c r="J312" s="2" t="s">
        <v>30</v>
      </c>
      <c r="K312" s="2" t="s">
        <v>30</v>
      </c>
      <c r="L312" s="2" t="s">
        <v>362</v>
      </c>
      <c r="M312" s="2" t="s">
        <v>31</v>
      </c>
      <c r="N312" s="2" t="s">
        <v>473</v>
      </c>
      <c r="O312" s="2" t="s">
        <v>155</v>
      </c>
      <c r="P312" s="2" t="s">
        <v>1519</v>
      </c>
      <c r="Q312" s="2" t="s">
        <v>101</v>
      </c>
      <c r="R312" s="2" t="s">
        <v>441</v>
      </c>
      <c r="S312" s="2" t="s">
        <v>34</v>
      </c>
      <c r="T312" s="151">
        <v>10.287000000000001</v>
      </c>
      <c r="U312" s="2" t="s">
        <v>2334</v>
      </c>
      <c r="V312" s="162">
        <v>3.2000000000000001E-2</v>
      </c>
      <c r="W312" s="164">
        <v>3.4759999999999999E-2</v>
      </c>
      <c r="X312" s="4" t="s">
        <v>447</v>
      </c>
      <c r="Y312" s="4" t="s">
        <v>155</v>
      </c>
      <c r="Z312" s="151">
        <v>280000</v>
      </c>
      <c r="AA312" s="158">
        <v>1</v>
      </c>
      <c r="AB312" s="175">
        <v>102.97</v>
      </c>
      <c r="AD312" s="151">
        <v>288.31599999999997</v>
      </c>
      <c r="AG312" s="2" t="s">
        <v>36</v>
      </c>
      <c r="AH312" s="164">
        <v>5.7000000000000003E-5</v>
      </c>
      <c r="AI312" s="164">
        <v>1.5984477342726899E-2</v>
      </c>
      <c r="AJ312" s="164">
        <v>1.97927147979775E-3</v>
      </c>
    </row>
    <row r="313" spans="1:36">
      <c r="A313" s="2">
        <v>424</v>
      </c>
      <c r="B313" s="2">
        <v>7229</v>
      </c>
      <c r="C313" s="2" t="s">
        <v>2335</v>
      </c>
      <c r="D313" s="2" t="s">
        <v>2336</v>
      </c>
      <c r="E313" s="4" t="s">
        <v>1342</v>
      </c>
      <c r="F313" s="2" t="s">
        <v>2337</v>
      </c>
      <c r="G313" s="2" t="s">
        <v>2338</v>
      </c>
      <c r="H313" s="2" t="s">
        <v>356</v>
      </c>
      <c r="I313" s="2" t="s">
        <v>208</v>
      </c>
      <c r="J313" s="2" t="s">
        <v>30</v>
      </c>
      <c r="K313" s="2" t="s">
        <v>30</v>
      </c>
      <c r="L313" s="2" t="s">
        <v>362</v>
      </c>
      <c r="M313" s="2" t="s">
        <v>31</v>
      </c>
      <c r="N313" s="2" t="s">
        <v>481</v>
      </c>
      <c r="O313" s="2" t="s">
        <v>155</v>
      </c>
      <c r="P313" s="2" t="s">
        <v>1353</v>
      </c>
      <c r="Q313" s="2" t="s">
        <v>206</v>
      </c>
      <c r="R313" s="2" t="s">
        <v>441</v>
      </c>
      <c r="S313" s="2" t="s">
        <v>34</v>
      </c>
      <c r="T313" s="151">
        <v>4.5019999999999998</v>
      </c>
      <c r="U313" s="2" t="s">
        <v>2339</v>
      </c>
      <c r="V313" s="162">
        <v>2.5899999999999999E-2</v>
      </c>
      <c r="W313" s="164">
        <v>2.647E-2</v>
      </c>
      <c r="X313" s="4" t="s">
        <v>447</v>
      </c>
      <c r="Y313" s="4" t="s">
        <v>155</v>
      </c>
      <c r="Z313" s="151">
        <v>327000</v>
      </c>
      <c r="AA313" s="158">
        <v>1</v>
      </c>
      <c r="AB313" s="175">
        <v>105.13</v>
      </c>
      <c r="AD313" s="151">
        <v>343.77499999999998</v>
      </c>
      <c r="AG313" s="2" t="s">
        <v>36</v>
      </c>
      <c r="AH313" s="164">
        <v>7.27E-4</v>
      </c>
      <c r="AI313" s="164">
        <v>1.9059175685510601E-2</v>
      </c>
      <c r="AJ313" s="164">
        <v>2.35999476579384E-3</v>
      </c>
    </row>
    <row r="314" spans="1:36">
      <c r="A314" s="2">
        <v>424</v>
      </c>
      <c r="B314" s="2">
        <v>7229</v>
      </c>
      <c r="C314" s="2" t="s">
        <v>2340</v>
      </c>
      <c r="D314" s="2" t="s">
        <v>2341</v>
      </c>
      <c r="E314" s="4" t="s">
        <v>348</v>
      </c>
      <c r="F314" s="2" t="s">
        <v>2342</v>
      </c>
      <c r="G314" s="2" t="s">
        <v>2343</v>
      </c>
      <c r="H314" s="2" t="s">
        <v>356</v>
      </c>
      <c r="I314" s="2" t="s">
        <v>1000</v>
      </c>
      <c r="J314" s="2" t="s">
        <v>30</v>
      </c>
      <c r="K314" s="2" t="s">
        <v>30</v>
      </c>
      <c r="L314" s="2" t="s">
        <v>362</v>
      </c>
      <c r="M314" s="2" t="s">
        <v>31</v>
      </c>
      <c r="N314" s="2" t="s">
        <v>487</v>
      </c>
      <c r="O314" s="2" t="s">
        <v>155</v>
      </c>
      <c r="P314" s="2" t="s">
        <v>2211</v>
      </c>
      <c r="Q314" s="2" t="s">
        <v>206</v>
      </c>
      <c r="R314" s="2" t="s">
        <v>441</v>
      </c>
      <c r="S314" s="2" t="s">
        <v>34</v>
      </c>
      <c r="T314" s="151">
        <v>3.2370000000000001</v>
      </c>
      <c r="U314" s="2" t="s">
        <v>2344</v>
      </c>
      <c r="V314" s="162">
        <v>2.24E-2</v>
      </c>
      <c r="W314" s="164">
        <v>5.6430000000000001E-2</v>
      </c>
      <c r="X314" s="4" t="s">
        <v>447</v>
      </c>
      <c r="Y314" s="4" t="s">
        <v>155</v>
      </c>
      <c r="Z314" s="151">
        <v>172963.64</v>
      </c>
      <c r="AA314" s="158">
        <v>1</v>
      </c>
      <c r="AB314" s="175">
        <v>90.78</v>
      </c>
      <c r="AD314" s="151">
        <v>157.01599999999999</v>
      </c>
      <c r="AG314" s="2" t="s">
        <v>36</v>
      </c>
      <c r="AH314" s="164">
        <v>2.9399999999999999E-4</v>
      </c>
      <c r="AI314" s="164">
        <v>8.7051185734632903E-3</v>
      </c>
      <c r="AJ314" s="164">
        <v>1.0779078071359799E-3</v>
      </c>
    </row>
    <row r="315" spans="1:36">
      <c r="A315" s="2">
        <v>424</v>
      </c>
      <c r="B315" s="2">
        <v>7229</v>
      </c>
      <c r="C315" s="2" t="s">
        <v>1896</v>
      </c>
      <c r="D315" s="2" t="s">
        <v>1897</v>
      </c>
      <c r="E315" s="4" t="s">
        <v>1342</v>
      </c>
      <c r="F315" s="2" t="s">
        <v>2345</v>
      </c>
      <c r="G315" s="2" t="s">
        <v>2346</v>
      </c>
      <c r="H315" s="2" t="s">
        <v>356</v>
      </c>
      <c r="I315" s="2" t="s">
        <v>1000</v>
      </c>
      <c r="J315" s="2" t="s">
        <v>30</v>
      </c>
      <c r="K315" s="2" t="s">
        <v>30</v>
      </c>
      <c r="L315" s="2" t="s">
        <v>362</v>
      </c>
      <c r="M315" s="2" t="s">
        <v>31</v>
      </c>
      <c r="N315" s="2" t="s">
        <v>478</v>
      </c>
      <c r="O315" s="2" t="s">
        <v>155</v>
      </c>
      <c r="P315" s="2" t="s">
        <v>1353</v>
      </c>
      <c r="Q315" s="2" t="s">
        <v>206</v>
      </c>
      <c r="R315" s="2" t="s">
        <v>441</v>
      </c>
      <c r="S315" s="2" t="s">
        <v>34</v>
      </c>
      <c r="T315" s="151">
        <v>3.105</v>
      </c>
      <c r="U315" s="2" t="s">
        <v>2347</v>
      </c>
      <c r="V315" s="162">
        <v>4.7E-2</v>
      </c>
      <c r="W315" s="164">
        <v>5.4760000000000003E-2</v>
      </c>
      <c r="X315" s="4" t="s">
        <v>447</v>
      </c>
      <c r="Y315" s="4" t="s">
        <v>155</v>
      </c>
      <c r="Z315" s="151">
        <v>183000</v>
      </c>
      <c r="AA315" s="158">
        <v>1</v>
      </c>
      <c r="AB315" s="175">
        <v>100.38</v>
      </c>
      <c r="AD315" s="151">
        <v>183.69499999999999</v>
      </c>
      <c r="AG315" s="2" t="s">
        <v>36</v>
      </c>
      <c r="AH315" s="164">
        <v>2.04E-4</v>
      </c>
      <c r="AI315" s="164">
        <v>1.01842248063346E-2</v>
      </c>
      <c r="AJ315" s="164">
        <v>1.2610575416905001E-3</v>
      </c>
    </row>
    <row r="316" spans="1:36">
      <c r="A316" s="2">
        <v>424</v>
      </c>
      <c r="B316" s="2">
        <v>7229</v>
      </c>
      <c r="C316" s="2" t="s">
        <v>2348</v>
      </c>
      <c r="D316" s="2" t="s">
        <v>2349</v>
      </c>
      <c r="E316" s="4" t="s">
        <v>1342</v>
      </c>
      <c r="F316" s="2" t="s">
        <v>2350</v>
      </c>
      <c r="G316" s="2" t="s">
        <v>2351</v>
      </c>
      <c r="H316" s="2" t="s">
        <v>356</v>
      </c>
      <c r="I316" s="2" t="s">
        <v>1000</v>
      </c>
      <c r="J316" s="2" t="s">
        <v>30</v>
      </c>
      <c r="K316" s="2" t="s">
        <v>30</v>
      </c>
      <c r="L316" s="2" t="s">
        <v>362</v>
      </c>
      <c r="M316" s="2" t="s">
        <v>31</v>
      </c>
      <c r="N316" s="2" t="s">
        <v>512</v>
      </c>
      <c r="O316" s="2" t="s">
        <v>155</v>
      </c>
      <c r="P316" s="2" t="s">
        <v>1353</v>
      </c>
      <c r="Q316" s="2" t="s">
        <v>206</v>
      </c>
      <c r="R316" s="2" t="s">
        <v>441</v>
      </c>
      <c r="S316" s="2" t="s">
        <v>34</v>
      </c>
      <c r="T316" s="151">
        <v>9.2230000000000008</v>
      </c>
      <c r="U316" s="2" t="s">
        <v>2352</v>
      </c>
      <c r="V316" s="162">
        <v>5.3100000000000001E-2</v>
      </c>
      <c r="W316" s="164">
        <v>6.1010000000000002E-2</v>
      </c>
      <c r="X316" s="4" t="s">
        <v>447</v>
      </c>
      <c r="Y316" s="4" t="s">
        <v>155</v>
      </c>
      <c r="Z316" s="151">
        <v>294997</v>
      </c>
      <c r="AA316" s="158">
        <v>1</v>
      </c>
      <c r="AB316" s="175">
        <v>95.72</v>
      </c>
      <c r="AD316" s="151">
        <v>282.37099999999998</v>
      </c>
      <c r="AG316" s="2" t="s">
        <v>36</v>
      </c>
      <c r="AH316" s="164">
        <v>2.32E-4</v>
      </c>
      <c r="AI316" s="164">
        <v>1.56548887475896E-2</v>
      </c>
      <c r="AJ316" s="164">
        <v>1.9384603045284601E-3</v>
      </c>
    </row>
    <row r="317" spans="1:36">
      <c r="A317" s="2">
        <v>424</v>
      </c>
      <c r="B317" s="2">
        <v>7229</v>
      </c>
      <c r="C317" s="2" t="s">
        <v>1212</v>
      </c>
      <c r="D317" s="2" t="s">
        <v>1900</v>
      </c>
      <c r="E317" s="4" t="s">
        <v>1342</v>
      </c>
      <c r="F317" s="2" t="s">
        <v>2353</v>
      </c>
      <c r="G317" s="2" t="s">
        <v>2354</v>
      </c>
      <c r="H317" s="2" t="s">
        <v>356</v>
      </c>
      <c r="I317" s="2" t="s">
        <v>208</v>
      </c>
      <c r="J317" s="2" t="s">
        <v>30</v>
      </c>
      <c r="K317" s="2" t="s">
        <v>30</v>
      </c>
      <c r="L317" s="2" t="s">
        <v>362</v>
      </c>
      <c r="M317" s="2" t="s">
        <v>31</v>
      </c>
      <c r="N317" s="2" t="s">
        <v>481</v>
      </c>
      <c r="O317" s="2" t="s">
        <v>155</v>
      </c>
      <c r="P317" s="2" t="s">
        <v>100</v>
      </c>
      <c r="Q317" s="2" t="s">
        <v>206</v>
      </c>
      <c r="R317" s="2" t="s">
        <v>441</v>
      </c>
      <c r="S317" s="2" t="s">
        <v>34</v>
      </c>
      <c r="T317" s="151">
        <v>1.7370000000000001</v>
      </c>
      <c r="U317" s="2" t="s">
        <v>2355</v>
      </c>
      <c r="V317" s="162">
        <v>8.3000000000000001E-3</v>
      </c>
      <c r="W317" s="164">
        <v>2.0449999999999999E-2</v>
      </c>
      <c r="X317" s="4" t="s">
        <v>447</v>
      </c>
      <c r="Y317" s="4" t="s">
        <v>155</v>
      </c>
      <c r="Z317" s="151">
        <v>85685</v>
      </c>
      <c r="AA317" s="158">
        <v>1</v>
      </c>
      <c r="AB317" s="175">
        <v>113.2</v>
      </c>
      <c r="AD317" s="151">
        <v>96.995000000000005</v>
      </c>
      <c r="AG317" s="2" t="s">
        <v>36</v>
      </c>
      <c r="AH317" s="164">
        <v>5.5999999999999999E-5</v>
      </c>
      <c r="AI317" s="164">
        <v>5.3775062547284204E-3</v>
      </c>
      <c r="AJ317" s="164">
        <v>6.6586754976138702E-4</v>
      </c>
    </row>
    <row r="318" spans="1:36">
      <c r="A318" s="2">
        <v>424</v>
      </c>
      <c r="B318" s="2">
        <v>7229</v>
      </c>
      <c r="C318" s="2" t="s">
        <v>1212</v>
      </c>
      <c r="D318" s="2" t="s">
        <v>1900</v>
      </c>
      <c r="E318" s="4" t="s">
        <v>1342</v>
      </c>
      <c r="F318" s="2" t="s">
        <v>2356</v>
      </c>
      <c r="G318" s="2" t="s">
        <v>2357</v>
      </c>
      <c r="H318" s="2" t="s">
        <v>356</v>
      </c>
      <c r="I318" s="2" t="s">
        <v>208</v>
      </c>
      <c r="J318" s="2" t="s">
        <v>30</v>
      </c>
      <c r="K318" s="2" t="s">
        <v>30</v>
      </c>
      <c r="L318" s="2" t="s">
        <v>362</v>
      </c>
      <c r="M318" s="2" t="s">
        <v>31</v>
      </c>
      <c r="N318" s="2" t="s">
        <v>481</v>
      </c>
      <c r="O318" s="2" t="s">
        <v>155</v>
      </c>
      <c r="P318" s="2" t="s">
        <v>100</v>
      </c>
      <c r="Q318" s="2" t="s">
        <v>206</v>
      </c>
      <c r="R318" s="2" t="s">
        <v>441</v>
      </c>
      <c r="S318" s="2" t="s">
        <v>34</v>
      </c>
      <c r="T318" s="151">
        <v>5.0449999999999999</v>
      </c>
      <c r="U318" s="2" t="s">
        <v>2358</v>
      </c>
      <c r="V318" s="162">
        <v>2.0199999999999999E-2</v>
      </c>
      <c r="W318" s="164">
        <v>2.5940000000000001E-2</v>
      </c>
      <c r="X318" s="4" t="s">
        <v>447</v>
      </c>
      <c r="Y318" s="4" t="s">
        <v>155</v>
      </c>
      <c r="Z318" s="151">
        <v>213000</v>
      </c>
      <c r="AA318" s="158">
        <v>1</v>
      </c>
      <c r="AB318" s="175">
        <v>101.35</v>
      </c>
      <c r="AD318" s="151">
        <v>215.875</v>
      </c>
      <c r="AG318" s="2" t="s">
        <v>36</v>
      </c>
      <c r="AH318" s="164">
        <v>6.0000000000000002E-5</v>
      </c>
      <c r="AI318" s="164">
        <v>1.1968316148253499E-2</v>
      </c>
      <c r="AJ318" s="164">
        <v>1.48197193474201E-3</v>
      </c>
    </row>
    <row r="319" spans="1:36">
      <c r="A319" s="2">
        <v>424</v>
      </c>
      <c r="B319" s="2">
        <v>7229</v>
      </c>
      <c r="C319" s="2" t="s">
        <v>1212</v>
      </c>
      <c r="D319" s="2" t="s">
        <v>1900</v>
      </c>
      <c r="E319" s="4" t="s">
        <v>1342</v>
      </c>
      <c r="F319" s="2" t="s">
        <v>2359</v>
      </c>
      <c r="G319" s="2" t="s">
        <v>2360</v>
      </c>
      <c r="H319" s="2" t="s">
        <v>356</v>
      </c>
      <c r="I319" s="2" t="s">
        <v>208</v>
      </c>
      <c r="J319" s="2" t="s">
        <v>30</v>
      </c>
      <c r="K319" s="2" t="s">
        <v>30</v>
      </c>
      <c r="L319" s="2" t="s">
        <v>362</v>
      </c>
      <c r="M319" s="2" t="s">
        <v>31</v>
      </c>
      <c r="N319" s="2" t="s">
        <v>481</v>
      </c>
      <c r="O319" s="2" t="s">
        <v>155</v>
      </c>
      <c r="P319" s="2" t="s">
        <v>100</v>
      </c>
      <c r="Q319" s="2" t="s">
        <v>206</v>
      </c>
      <c r="R319" s="2" t="s">
        <v>441</v>
      </c>
      <c r="S319" s="2" t="s">
        <v>34</v>
      </c>
      <c r="T319" s="151">
        <v>5.1369999999999996</v>
      </c>
      <c r="U319" s="2" t="s">
        <v>2361</v>
      </c>
      <c r="V319" s="162">
        <v>1E-3</v>
      </c>
      <c r="W319" s="164">
        <v>2.622E-2</v>
      </c>
      <c r="X319" s="4" t="s">
        <v>447</v>
      </c>
      <c r="Y319" s="4" t="s">
        <v>155</v>
      </c>
      <c r="Z319" s="151">
        <v>300000</v>
      </c>
      <c r="AA319" s="158">
        <v>1</v>
      </c>
      <c r="AB319" s="175">
        <v>99.1</v>
      </c>
      <c r="AD319" s="151">
        <v>297.3</v>
      </c>
      <c r="AG319" s="2" t="s">
        <v>36</v>
      </c>
      <c r="AH319" s="164">
        <v>1.21E-4</v>
      </c>
      <c r="AI319" s="164">
        <v>1.6482557728300599E-2</v>
      </c>
      <c r="AJ319" s="164">
        <v>2.0409460832693E-3</v>
      </c>
    </row>
    <row r="320" spans="1:36">
      <c r="A320" s="2">
        <v>424</v>
      </c>
      <c r="B320" s="2">
        <v>7229</v>
      </c>
      <c r="C320" s="2" t="s">
        <v>1903</v>
      </c>
      <c r="D320" s="2" t="s">
        <v>1904</v>
      </c>
      <c r="E320" s="4" t="s">
        <v>1342</v>
      </c>
      <c r="F320" s="2" t="s">
        <v>2362</v>
      </c>
      <c r="G320" s="2" t="s">
        <v>2363</v>
      </c>
      <c r="H320" s="2" t="s">
        <v>356</v>
      </c>
      <c r="I320" s="2" t="s">
        <v>208</v>
      </c>
      <c r="J320" s="2" t="s">
        <v>30</v>
      </c>
      <c r="K320" s="2" t="s">
        <v>30</v>
      </c>
      <c r="L320" s="2" t="s">
        <v>362</v>
      </c>
      <c r="M320" s="2" t="s">
        <v>31</v>
      </c>
      <c r="N320" s="2" t="s">
        <v>497</v>
      </c>
      <c r="O320" s="2" t="s">
        <v>155</v>
      </c>
      <c r="P320" s="2" t="s">
        <v>2211</v>
      </c>
      <c r="Q320" s="2" t="s">
        <v>206</v>
      </c>
      <c r="R320" s="2" t="s">
        <v>441</v>
      </c>
      <c r="S320" s="2" t="s">
        <v>34</v>
      </c>
      <c r="T320" s="151">
        <v>5.83</v>
      </c>
      <c r="U320" s="2" t="s">
        <v>2287</v>
      </c>
      <c r="V320" s="162">
        <v>3.5000000000000001E-3</v>
      </c>
      <c r="W320" s="164">
        <v>3.4130000000000001E-2</v>
      </c>
      <c r="X320" s="4" t="s">
        <v>447</v>
      </c>
      <c r="Y320" s="4" t="s">
        <v>155</v>
      </c>
      <c r="Z320" s="151">
        <v>200000</v>
      </c>
      <c r="AA320" s="158">
        <v>1</v>
      </c>
      <c r="AB320" s="175">
        <v>94.3</v>
      </c>
      <c r="AD320" s="151">
        <v>188.6</v>
      </c>
      <c r="AG320" s="2" t="s">
        <v>36</v>
      </c>
      <c r="AH320" s="164">
        <v>5.7000000000000003E-5</v>
      </c>
      <c r="AI320" s="164">
        <v>1.0456139884149E-2</v>
      </c>
      <c r="AJ320" s="164">
        <v>1.2947273168670999E-3</v>
      </c>
    </row>
    <row r="321" spans="1:36">
      <c r="A321" s="2">
        <v>424</v>
      </c>
      <c r="B321" s="2">
        <v>7229</v>
      </c>
      <c r="C321" s="2" t="s">
        <v>2364</v>
      </c>
      <c r="D321" s="2" t="s">
        <v>2365</v>
      </c>
      <c r="E321" s="4" t="s">
        <v>1342</v>
      </c>
      <c r="F321" s="2" t="s">
        <v>2366</v>
      </c>
      <c r="G321" s="2" t="s">
        <v>2367</v>
      </c>
      <c r="H321" s="2" t="s">
        <v>356</v>
      </c>
      <c r="I321" s="2" t="s">
        <v>1000</v>
      </c>
      <c r="J321" s="2" t="s">
        <v>30</v>
      </c>
      <c r="K321" s="2" t="s">
        <v>30</v>
      </c>
      <c r="L321" s="2" t="s">
        <v>362</v>
      </c>
      <c r="M321" s="2" t="s">
        <v>85</v>
      </c>
      <c r="N321" s="2" t="s">
        <v>478</v>
      </c>
      <c r="O321" s="2" t="s">
        <v>155</v>
      </c>
      <c r="P321" s="2" t="s">
        <v>1346</v>
      </c>
      <c r="Q321" s="2" t="s">
        <v>101</v>
      </c>
      <c r="R321" s="2" t="s">
        <v>441</v>
      </c>
      <c r="S321" s="2" t="s">
        <v>34</v>
      </c>
      <c r="T321" s="151">
        <v>9.5030000000000001</v>
      </c>
      <c r="U321" s="2" t="s">
        <v>2246</v>
      </c>
      <c r="V321" s="162">
        <v>6.0699999999999997E-2</v>
      </c>
      <c r="W321" s="164">
        <v>6.1519999999999998E-2</v>
      </c>
      <c r="X321" s="4" t="s">
        <v>447</v>
      </c>
      <c r="Y321" s="4" t="s">
        <v>155</v>
      </c>
      <c r="Z321" s="151">
        <v>142642</v>
      </c>
      <c r="AA321" s="158">
        <v>1</v>
      </c>
      <c r="AB321" s="175">
        <v>101.97</v>
      </c>
      <c r="AD321" s="151">
        <v>145.452</v>
      </c>
      <c r="AG321" s="2" t="s">
        <v>36</v>
      </c>
      <c r="AH321" s="164">
        <v>6.78E-4</v>
      </c>
      <c r="AI321" s="164">
        <v>8.0639817287924999E-3</v>
      </c>
      <c r="AJ321" s="164">
        <v>9.9851929513800801E-4</v>
      </c>
    </row>
    <row r="322" spans="1:36">
      <c r="A322" s="2">
        <v>424</v>
      </c>
      <c r="B322" s="2">
        <v>7229</v>
      </c>
      <c r="C322" s="2" t="s">
        <v>2364</v>
      </c>
      <c r="D322" s="2" t="s">
        <v>2365</v>
      </c>
      <c r="E322" s="4" t="s">
        <v>1342</v>
      </c>
      <c r="F322" s="2" t="s">
        <v>2518</v>
      </c>
      <c r="G322" s="2" t="s">
        <v>2519</v>
      </c>
      <c r="H322" s="2" t="s">
        <v>356</v>
      </c>
      <c r="I322" s="2" t="s">
        <v>1000</v>
      </c>
      <c r="J322" s="2" t="s">
        <v>30</v>
      </c>
      <c r="K322" s="2" t="s">
        <v>30</v>
      </c>
      <c r="L322" s="2" t="s">
        <v>362</v>
      </c>
      <c r="M322" s="2" t="s">
        <v>31</v>
      </c>
      <c r="N322" s="2" t="s">
        <v>478</v>
      </c>
      <c r="O322" s="2" t="s">
        <v>155</v>
      </c>
      <c r="P322" s="2" t="s">
        <v>1346</v>
      </c>
      <c r="Q322" s="2" t="s">
        <v>101</v>
      </c>
      <c r="R322" s="2" t="s">
        <v>441</v>
      </c>
      <c r="S322" s="2" t="s">
        <v>34</v>
      </c>
      <c r="T322" s="151">
        <v>2.13</v>
      </c>
      <c r="U322" s="2" t="s">
        <v>2378</v>
      </c>
      <c r="V322" s="162">
        <v>4.1000000000000002E-2</v>
      </c>
      <c r="W322" s="164">
        <v>5.416E-2</v>
      </c>
      <c r="X322" s="4" t="s">
        <v>447</v>
      </c>
      <c r="Y322" s="4" t="s">
        <v>155</v>
      </c>
      <c r="Z322" s="151">
        <v>200000</v>
      </c>
      <c r="AA322" s="158">
        <v>1</v>
      </c>
      <c r="AB322" s="175">
        <v>100.34</v>
      </c>
      <c r="AD322" s="151">
        <v>200.68</v>
      </c>
      <c r="AG322" s="2" t="s">
        <v>36</v>
      </c>
      <c r="AH322" s="164">
        <v>2.7999999999999998E-4</v>
      </c>
      <c r="AI322" s="164">
        <v>1.1125865068669199E-2</v>
      </c>
      <c r="AJ322" s="164">
        <v>1.37765576855191E-3</v>
      </c>
    </row>
    <row r="323" spans="1:36">
      <c r="A323" s="2">
        <v>424</v>
      </c>
      <c r="B323" s="2">
        <v>7229</v>
      </c>
      <c r="C323" s="2" t="s">
        <v>2364</v>
      </c>
      <c r="D323" s="2" t="s">
        <v>2365</v>
      </c>
      <c r="E323" s="4" t="s">
        <v>1342</v>
      </c>
      <c r="F323" s="2" t="s">
        <v>2368</v>
      </c>
      <c r="G323" s="2" t="s">
        <v>2369</v>
      </c>
      <c r="H323" s="2" t="s">
        <v>356</v>
      </c>
      <c r="I323" s="2" t="s">
        <v>1000</v>
      </c>
      <c r="J323" s="2" t="s">
        <v>30</v>
      </c>
      <c r="K323" s="2" t="s">
        <v>30</v>
      </c>
      <c r="L323" s="2" t="s">
        <v>362</v>
      </c>
      <c r="M323" s="2" t="s">
        <v>85</v>
      </c>
      <c r="N323" s="2" t="s">
        <v>478</v>
      </c>
      <c r="O323" s="2" t="s">
        <v>155</v>
      </c>
      <c r="P323" s="2" t="s">
        <v>1346</v>
      </c>
      <c r="Q323" s="2" t="s">
        <v>206</v>
      </c>
      <c r="R323" s="2" t="s">
        <v>441</v>
      </c>
      <c r="S323" s="2" t="s">
        <v>34</v>
      </c>
      <c r="T323" s="151">
        <v>9.0589999999999993</v>
      </c>
      <c r="U323" s="2" t="s">
        <v>2370</v>
      </c>
      <c r="V323" s="162">
        <v>6.0699999999999997E-2</v>
      </c>
      <c r="W323" s="164">
        <v>6.0609999999999997E-2</v>
      </c>
      <c r="X323" s="4" t="s">
        <v>447</v>
      </c>
      <c r="Y323" s="4" t="s">
        <v>155</v>
      </c>
      <c r="Z323" s="151">
        <v>141724</v>
      </c>
      <c r="AA323" s="158">
        <v>1</v>
      </c>
      <c r="AB323" s="175">
        <v>102.54</v>
      </c>
      <c r="AD323" s="151">
        <v>145.32400000000001</v>
      </c>
      <c r="AG323" s="2" t="s">
        <v>36</v>
      </c>
      <c r="AH323" s="164">
        <v>6.7400000000000001E-4</v>
      </c>
      <c r="AI323" s="164">
        <v>8.0568710103511906E-3</v>
      </c>
      <c r="AJ323" s="164">
        <v>9.9763881328614602E-4</v>
      </c>
    </row>
    <row r="324" spans="1:36">
      <c r="A324" s="2">
        <v>424</v>
      </c>
      <c r="B324" s="2">
        <v>7229</v>
      </c>
      <c r="C324" s="2" t="s">
        <v>1907</v>
      </c>
      <c r="D324" s="2" t="s">
        <v>1908</v>
      </c>
      <c r="E324" s="4" t="s">
        <v>1342</v>
      </c>
      <c r="F324" s="2" t="s">
        <v>2371</v>
      </c>
      <c r="G324" s="2" t="s">
        <v>2372</v>
      </c>
      <c r="H324" s="2" t="s">
        <v>356</v>
      </c>
      <c r="I324" s="2" t="s">
        <v>1000</v>
      </c>
      <c r="J324" s="2" t="s">
        <v>30</v>
      </c>
      <c r="K324" s="2" t="s">
        <v>30</v>
      </c>
      <c r="L324" s="2" t="s">
        <v>362</v>
      </c>
      <c r="M324" s="2" t="s">
        <v>31</v>
      </c>
      <c r="N324" s="2" t="s">
        <v>497</v>
      </c>
      <c r="O324" s="2" t="s">
        <v>155</v>
      </c>
      <c r="P324" s="2" t="s">
        <v>2181</v>
      </c>
      <c r="Q324" s="2" t="s">
        <v>101</v>
      </c>
      <c r="R324" s="2" t="s">
        <v>441</v>
      </c>
      <c r="S324" s="2" t="s">
        <v>34</v>
      </c>
      <c r="T324" s="151">
        <v>4.8710000000000004</v>
      </c>
      <c r="U324" s="2" t="s">
        <v>2373</v>
      </c>
      <c r="V324" s="162">
        <v>5.4800000000000001E-2</v>
      </c>
      <c r="W324" s="164">
        <v>6.2E-2</v>
      </c>
      <c r="X324" s="4" t="s">
        <v>447</v>
      </c>
      <c r="Y324" s="4" t="s">
        <v>155</v>
      </c>
      <c r="Z324" s="151">
        <v>223000</v>
      </c>
      <c r="AA324" s="158">
        <v>1</v>
      </c>
      <c r="AB324" s="175">
        <v>98.13</v>
      </c>
      <c r="AD324" s="151">
        <v>218.83</v>
      </c>
      <c r="AG324" s="2" t="s">
        <v>36</v>
      </c>
      <c r="AH324" s="164">
        <v>7.4299999999999995E-4</v>
      </c>
      <c r="AI324" s="164">
        <v>1.2132110526162899E-2</v>
      </c>
      <c r="AJ324" s="164">
        <v>1.5022537077269099E-3</v>
      </c>
    </row>
    <row r="325" spans="1:36">
      <c r="A325" s="2">
        <v>424</v>
      </c>
      <c r="B325" s="2">
        <v>7229</v>
      </c>
      <c r="C325" s="2" t="s">
        <v>2374</v>
      </c>
      <c r="D325" s="2" t="s">
        <v>2375</v>
      </c>
      <c r="E325" s="4" t="s">
        <v>1342</v>
      </c>
      <c r="F325" s="2" t="s">
        <v>2376</v>
      </c>
      <c r="G325" s="2" t="s">
        <v>2377</v>
      </c>
      <c r="H325" s="2" t="s">
        <v>356</v>
      </c>
      <c r="I325" s="2" t="s">
        <v>208</v>
      </c>
      <c r="J325" s="2" t="s">
        <v>30</v>
      </c>
      <c r="K325" s="2" t="s">
        <v>30</v>
      </c>
      <c r="L325" s="2" t="s">
        <v>362</v>
      </c>
      <c r="M325" s="2" t="s">
        <v>31</v>
      </c>
      <c r="N325" s="2" t="s">
        <v>497</v>
      </c>
      <c r="O325" s="2" t="s">
        <v>155</v>
      </c>
      <c r="P325" s="2" t="s">
        <v>2192</v>
      </c>
      <c r="Q325" s="2" t="s">
        <v>206</v>
      </c>
      <c r="R325" s="2" t="s">
        <v>441</v>
      </c>
      <c r="S325" s="2" t="s">
        <v>34</v>
      </c>
      <c r="T325" s="151">
        <v>2.2000000000000002</v>
      </c>
      <c r="U325" s="2" t="s">
        <v>2378</v>
      </c>
      <c r="V325" s="162">
        <v>3.0000000000000001E-3</v>
      </c>
      <c r="W325" s="164">
        <v>3.1710000000000002E-2</v>
      </c>
      <c r="X325" s="4" t="s">
        <v>447</v>
      </c>
      <c r="Y325" s="4" t="s">
        <v>155</v>
      </c>
      <c r="Z325" s="151">
        <v>138000</v>
      </c>
      <c r="AA325" s="158">
        <v>1</v>
      </c>
      <c r="AB325" s="175">
        <v>97.34</v>
      </c>
      <c r="AD325" s="151">
        <v>134.32900000000001</v>
      </c>
      <c r="AG325" s="2" t="s">
        <v>36</v>
      </c>
      <c r="AH325" s="164">
        <v>4.1800000000000002E-4</v>
      </c>
      <c r="AI325" s="164">
        <v>7.4473218755345899E-3</v>
      </c>
      <c r="AJ325" s="164">
        <v>9.2216163675983096E-4</v>
      </c>
    </row>
    <row r="326" spans="1:36">
      <c r="A326" s="2">
        <v>424</v>
      </c>
      <c r="B326" s="2">
        <v>7229</v>
      </c>
      <c r="C326" s="2" t="s">
        <v>2379</v>
      </c>
      <c r="D326" s="2" t="s">
        <v>2380</v>
      </c>
      <c r="E326" s="4" t="s">
        <v>1342</v>
      </c>
      <c r="F326" s="2" t="s">
        <v>2520</v>
      </c>
      <c r="G326" s="2" t="s">
        <v>2521</v>
      </c>
      <c r="H326" s="2" t="s">
        <v>356</v>
      </c>
      <c r="I326" s="2" t="s">
        <v>1000</v>
      </c>
      <c r="J326" s="2" t="s">
        <v>30</v>
      </c>
      <c r="K326" s="2" t="s">
        <v>30</v>
      </c>
      <c r="L326" s="2" t="s">
        <v>362</v>
      </c>
      <c r="M326" s="2" t="s">
        <v>31</v>
      </c>
      <c r="N326" s="2" t="s">
        <v>481</v>
      </c>
      <c r="O326" s="2" t="s">
        <v>155</v>
      </c>
      <c r="P326" s="2" t="s">
        <v>100</v>
      </c>
      <c r="Q326" s="2" t="s">
        <v>206</v>
      </c>
      <c r="R326" s="2" t="s">
        <v>441</v>
      </c>
      <c r="S326" s="2" t="s">
        <v>34</v>
      </c>
      <c r="T326" s="151">
        <v>0.68200000000000005</v>
      </c>
      <c r="U326" s="2" t="s">
        <v>2522</v>
      </c>
      <c r="V326" s="162">
        <v>2.98E-2</v>
      </c>
      <c r="W326" s="164">
        <v>4.4600000000000001E-2</v>
      </c>
      <c r="X326" s="4" t="s">
        <v>447</v>
      </c>
      <c r="Y326" s="4" t="s">
        <v>155</v>
      </c>
      <c r="Z326" s="151">
        <v>200000</v>
      </c>
      <c r="AA326" s="158">
        <v>1</v>
      </c>
      <c r="AB326" s="175">
        <v>99.95</v>
      </c>
      <c r="AD326" s="151">
        <v>199.9</v>
      </c>
      <c r="AG326" s="2" t="s">
        <v>36</v>
      </c>
      <c r="AH326" s="164">
        <v>7.8999999999999996E-5</v>
      </c>
      <c r="AI326" s="164">
        <v>1.10826212239734E-2</v>
      </c>
      <c r="AJ326" s="164">
        <v>1.37230111687027E-3</v>
      </c>
    </row>
    <row r="327" spans="1:36">
      <c r="A327" s="2">
        <v>424</v>
      </c>
      <c r="B327" s="2">
        <v>7229</v>
      </c>
      <c r="C327" s="2" t="s">
        <v>2379</v>
      </c>
      <c r="D327" s="2" t="s">
        <v>2380</v>
      </c>
      <c r="E327" s="4" t="s">
        <v>1342</v>
      </c>
      <c r="F327" s="2" t="s">
        <v>2381</v>
      </c>
      <c r="G327" s="2" t="s">
        <v>2382</v>
      </c>
      <c r="H327" s="2" t="s">
        <v>356</v>
      </c>
      <c r="I327" s="2" t="s">
        <v>208</v>
      </c>
      <c r="J327" s="2" t="s">
        <v>30</v>
      </c>
      <c r="K327" s="2" t="s">
        <v>30</v>
      </c>
      <c r="L327" s="2" t="s">
        <v>362</v>
      </c>
      <c r="M327" s="2" t="s">
        <v>31</v>
      </c>
      <c r="N327" s="2" t="s">
        <v>481</v>
      </c>
      <c r="O327" s="2" t="s">
        <v>155</v>
      </c>
      <c r="P327" s="2" t="s">
        <v>1353</v>
      </c>
      <c r="Q327" s="2" t="s">
        <v>206</v>
      </c>
      <c r="R327" s="2" t="s">
        <v>441</v>
      </c>
      <c r="S327" s="2" t="s">
        <v>34</v>
      </c>
      <c r="T327" s="151">
        <v>4.4210000000000003</v>
      </c>
      <c r="U327" s="2" t="s">
        <v>2383</v>
      </c>
      <c r="V327" s="162">
        <v>3.3599999999999998E-2</v>
      </c>
      <c r="W327" s="164">
        <v>3.0880000000000001E-2</v>
      </c>
      <c r="X327" s="4" t="s">
        <v>447</v>
      </c>
      <c r="Y327" s="4" t="s">
        <v>155</v>
      </c>
      <c r="Z327" s="151">
        <v>200000</v>
      </c>
      <c r="AA327" s="158">
        <v>1</v>
      </c>
      <c r="AB327" s="175">
        <v>105.66</v>
      </c>
      <c r="AD327" s="151">
        <v>211.32</v>
      </c>
      <c r="AG327" s="2" t="s">
        <v>36</v>
      </c>
      <c r="AH327" s="164">
        <v>1.7100000000000001E-4</v>
      </c>
      <c r="AI327" s="164">
        <v>1.17157554629818E-2</v>
      </c>
      <c r="AJ327" s="164">
        <v>1.45069870943985E-3</v>
      </c>
    </row>
    <row r="328" spans="1:36">
      <c r="A328" s="2">
        <v>424</v>
      </c>
      <c r="B328" s="2">
        <v>7229</v>
      </c>
      <c r="C328" s="2" t="s">
        <v>2379</v>
      </c>
      <c r="D328" s="2" t="s">
        <v>2380</v>
      </c>
      <c r="E328" s="4" t="s">
        <v>1342</v>
      </c>
      <c r="F328" s="2" t="s">
        <v>2384</v>
      </c>
      <c r="G328" s="2" t="s">
        <v>2385</v>
      </c>
      <c r="H328" s="2" t="s">
        <v>356</v>
      </c>
      <c r="I328" s="2" t="s">
        <v>208</v>
      </c>
      <c r="J328" s="2" t="s">
        <v>30</v>
      </c>
      <c r="K328" s="2" t="s">
        <v>30</v>
      </c>
      <c r="L328" s="2" t="s">
        <v>362</v>
      </c>
      <c r="M328" s="2" t="s">
        <v>31</v>
      </c>
      <c r="N328" s="2" t="s">
        <v>481</v>
      </c>
      <c r="O328" s="2" t="s">
        <v>155</v>
      </c>
      <c r="P328" s="2" t="s">
        <v>100</v>
      </c>
      <c r="Q328" s="2" t="s">
        <v>206</v>
      </c>
      <c r="R328" s="2" t="s">
        <v>441</v>
      </c>
      <c r="S328" s="2" t="s">
        <v>34</v>
      </c>
      <c r="T328" s="151">
        <v>5.5650000000000004</v>
      </c>
      <c r="U328" s="2" t="s">
        <v>2386</v>
      </c>
      <c r="V328" s="162">
        <v>2.2013000000000001E-2</v>
      </c>
      <c r="W328" s="164">
        <v>2.4819999999999998E-2</v>
      </c>
      <c r="X328" s="4" t="s">
        <v>447</v>
      </c>
      <c r="Y328" s="4" t="s">
        <v>155</v>
      </c>
      <c r="Z328" s="151">
        <v>300000</v>
      </c>
      <c r="AA328" s="158">
        <v>1</v>
      </c>
      <c r="AB328" s="175">
        <v>117</v>
      </c>
      <c r="AD328" s="151">
        <v>351</v>
      </c>
      <c r="AG328" s="2" t="s">
        <v>36</v>
      </c>
      <c r="AH328" s="164">
        <v>4.2700000000000002E-4</v>
      </c>
      <c r="AI328" s="164">
        <v>1.9459730113129799E-2</v>
      </c>
      <c r="AJ328" s="164">
        <v>2.4095932567357002E-3</v>
      </c>
    </row>
    <row r="329" spans="1:36">
      <c r="A329" s="2">
        <v>424</v>
      </c>
      <c r="B329" s="2">
        <v>7229</v>
      </c>
      <c r="C329" s="2" t="s">
        <v>1919</v>
      </c>
      <c r="D329" s="2" t="s">
        <v>1920</v>
      </c>
      <c r="E329" s="4" t="s">
        <v>1342</v>
      </c>
      <c r="F329" s="2" t="s">
        <v>2387</v>
      </c>
      <c r="G329" s="2" t="s">
        <v>2388</v>
      </c>
      <c r="H329" s="2" t="s">
        <v>356</v>
      </c>
      <c r="I329" s="2" t="s">
        <v>208</v>
      </c>
      <c r="J329" s="2" t="s">
        <v>30</v>
      </c>
      <c r="K329" s="2" t="s">
        <v>30</v>
      </c>
      <c r="L329" s="2" t="s">
        <v>362</v>
      </c>
      <c r="M329" s="2" t="s">
        <v>31</v>
      </c>
      <c r="N329" s="2" t="s">
        <v>497</v>
      </c>
      <c r="O329" s="2" t="s">
        <v>155</v>
      </c>
      <c r="P329" s="2" t="s">
        <v>2211</v>
      </c>
      <c r="Q329" s="2" t="s">
        <v>206</v>
      </c>
      <c r="R329" s="2" t="s">
        <v>441</v>
      </c>
      <c r="S329" s="2" t="s">
        <v>34</v>
      </c>
      <c r="T329" s="151">
        <v>5.92</v>
      </c>
      <c r="U329" s="2" t="s">
        <v>2389</v>
      </c>
      <c r="V329" s="162">
        <v>3.61E-2</v>
      </c>
      <c r="W329" s="164">
        <v>3.4549999999999997E-2</v>
      </c>
      <c r="X329" s="4" t="s">
        <v>447</v>
      </c>
      <c r="Y329" s="4" t="s">
        <v>155</v>
      </c>
      <c r="Z329" s="151">
        <v>98989.9</v>
      </c>
      <c r="AA329" s="158">
        <v>1</v>
      </c>
      <c r="AB329" s="175">
        <v>107.95</v>
      </c>
      <c r="AD329" s="151">
        <v>106.86</v>
      </c>
      <c r="AG329" s="2" t="s">
        <v>36</v>
      </c>
      <c r="AH329" s="164">
        <v>9.2999999999999997E-5</v>
      </c>
      <c r="AI329" s="164">
        <v>5.9243843834495902E-3</v>
      </c>
      <c r="AJ329" s="164">
        <v>7.3358451415719004E-4</v>
      </c>
    </row>
    <row r="330" spans="1:36">
      <c r="A330" s="2">
        <v>424</v>
      </c>
      <c r="B330" s="2">
        <v>7229</v>
      </c>
      <c r="C330" s="2" t="s">
        <v>2127</v>
      </c>
      <c r="D330" s="2" t="s">
        <v>2128</v>
      </c>
      <c r="E330" s="4" t="s">
        <v>1342</v>
      </c>
      <c r="F330" s="2" t="s">
        <v>2575</v>
      </c>
      <c r="G330" s="2" t="s">
        <v>2576</v>
      </c>
      <c r="H330" s="2" t="s">
        <v>356</v>
      </c>
      <c r="I330" s="2" t="s">
        <v>208</v>
      </c>
      <c r="J330" s="2" t="s">
        <v>30</v>
      </c>
      <c r="K330" s="2" t="s">
        <v>30</v>
      </c>
      <c r="L330" s="2" t="s">
        <v>362</v>
      </c>
      <c r="M330" s="2" t="s">
        <v>31</v>
      </c>
      <c r="N330" s="2" t="s">
        <v>497</v>
      </c>
      <c r="O330" s="2" t="s">
        <v>155</v>
      </c>
      <c r="P330" s="2" t="s">
        <v>1353</v>
      </c>
      <c r="Q330" s="2" t="s">
        <v>101</v>
      </c>
      <c r="R330" s="2" t="s">
        <v>441</v>
      </c>
      <c r="S330" s="2" t="s">
        <v>34</v>
      </c>
      <c r="T330" s="151">
        <v>2.7770000000000001</v>
      </c>
      <c r="U330" s="2" t="s">
        <v>1338</v>
      </c>
      <c r="V330" s="162">
        <v>2.75E-2</v>
      </c>
      <c r="W330" s="164">
        <v>2.7130000000000001E-2</v>
      </c>
      <c r="X330" s="4" t="s">
        <v>447</v>
      </c>
      <c r="Y330" s="4" t="s">
        <v>155</v>
      </c>
      <c r="Z330" s="151">
        <v>170000</v>
      </c>
      <c r="AA330" s="158">
        <v>1</v>
      </c>
      <c r="AB330" s="175">
        <v>115.62</v>
      </c>
      <c r="AD330" s="151">
        <v>196.554</v>
      </c>
      <c r="AG330" s="2" t="s">
        <v>36</v>
      </c>
      <c r="AH330" s="164">
        <v>3.1399999999999999E-4</v>
      </c>
      <c r="AI330" s="164">
        <v>1.08971162183935E-2</v>
      </c>
      <c r="AJ330" s="164">
        <v>1.3493310341436699E-3</v>
      </c>
    </row>
    <row r="331" spans="1:36">
      <c r="A331" s="2">
        <v>424</v>
      </c>
      <c r="B331" s="2">
        <v>7229</v>
      </c>
      <c r="C331" s="2" t="s">
        <v>1927</v>
      </c>
      <c r="D331" s="2" t="s">
        <v>1483</v>
      </c>
      <c r="E331" s="4" t="s">
        <v>1342</v>
      </c>
      <c r="F331" s="2" t="s">
        <v>2390</v>
      </c>
      <c r="G331" s="2" t="s">
        <v>2391</v>
      </c>
      <c r="H331" s="2" t="s">
        <v>356</v>
      </c>
      <c r="I331" s="2" t="s">
        <v>1000</v>
      </c>
      <c r="J331" s="2" t="s">
        <v>30</v>
      </c>
      <c r="K331" s="2" t="s">
        <v>30</v>
      </c>
      <c r="L331" s="2" t="s">
        <v>362</v>
      </c>
      <c r="M331" s="2" t="s">
        <v>31</v>
      </c>
      <c r="N331" s="2" t="s">
        <v>476</v>
      </c>
      <c r="O331" s="2" t="s">
        <v>155</v>
      </c>
      <c r="P331" s="2" t="s">
        <v>2192</v>
      </c>
      <c r="Q331" s="2" t="s">
        <v>101</v>
      </c>
      <c r="R331" s="2" t="s">
        <v>441</v>
      </c>
      <c r="S331" s="2" t="s">
        <v>34</v>
      </c>
      <c r="T331" s="151">
        <v>1.448</v>
      </c>
      <c r="U331" s="2" t="s">
        <v>2392</v>
      </c>
      <c r="V331" s="162">
        <v>0.114</v>
      </c>
      <c r="W331" s="164">
        <v>6.5989999999999993E-2</v>
      </c>
      <c r="X331" s="4" t="s">
        <v>447</v>
      </c>
      <c r="Y331" s="4" t="s">
        <v>155</v>
      </c>
      <c r="Z331" s="151">
        <v>324822.7</v>
      </c>
      <c r="AA331" s="158">
        <v>1</v>
      </c>
      <c r="AB331" s="175">
        <v>100.59</v>
      </c>
      <c r="AD331" s="151">
        <v>326.73899999999998</v>
      </c>
      <c r="AG331" s="2" t="s">
        <v>36</v>
      </c>
      <c r="AH331" s="164">
        <v>8.9999999999999998E-4</v>
      </c>
      <c r="AI331" s="164">
        <v>1.8114688754615901E-2</v>
      </c>
      <c r="AJ331" s="164">
        <v>2.2430440513426099E-3</v>
      </c>
    </row>
    <row r="332" spans="1:36">
      <c r="A332" s="2">
        <v>424</v>
      </c>
      <c r="B332" s="2">
        <v>7229</v>
      </c>
      <c r="C332" s="2" t="s">
        <v>2396</v>
      </c>
      <c r="D332" s="2" t="s">
        <v>2397</v>
      </c>
      <c r="E332" s="4" t="s">
        <v>1342</v>
      </c>
      <c r="F332" s="2" t="s">
        <v>2398</v>
      </c>
      <c r="G332" s="2" t="s">
        <v>2399</v>
      </c>
      <c r="H332" s="2" t="s">
        <v>356</v>
      </c>
      <c r="I332" s="2" t="s">
        <v>208</v>
      </c>
      <c r="J332" s="2" t="s">
        <v>30</v>
      </c>
      <c r="K332" s="2" t="s">
        <v>30</v>
      </c>
      <c r="L332" s="2" t="s">
        <v>362</v>
      </c>
      <c r="M332" s="2" t="s">
        <v>31</v>
      </c>
      <c r="N332" s="2" t="s">
        <v>480</v>
      </c>
      <c r="O332" s="2" t="s">
        <v>155</v>
      </c>
      <c r="P332" s="2" t="s">
        <v>1337</v>
      </c>
      <c r="Q332" s="2" t="s">
        <v>101</v>
      </c>
      <c r="R332" s="2" t="s">
        <v>441</v>
      </c>
      <c r="S332" s="2" t="s">
        <v>34</v>
      </c>
      <c r="T332" s="151">
        <v>3.5590000000000002</v>
      </c>
      <c r="U332" s="2" t="s">
        <v>2400</v>
      </c>
      <c r="V332" s="162">
        <v>2.07E-2</v>
      </c>
      <c r="W332" s="164">
        <v>4.965E-2</v>
      </c>
      <c r="X332" s="4" t="s">
        <v>447</v>
      </c>
      <c r="Y332" s="4" t="s">
        <v>155</v>
      </c>
      <c r="Z332" s="151">
        <v>274186.53999999998</v>
      </c>
      <c r="AA332" s="158">
        <v>1</v>
      </c>
      <c r="AB332" s="175">
        <v>101.96</v>
      </c>
      <c r="AD332" s="151">
        <v>279.56099999999998</v>
      </c>
      <c r="AG332" s="2" t="s">
        <v>36</v>
      </c>
      <c r="AH332" s="164">
        <v>5.7499999999999999E-4</v>
      </c>
      <c r="AI332" s="164">
        <v>1.54990705185365E-2</v>
      </c>
      <c r="AJ332" s="164">
        <v>1.9191661749686001E-3</v>
      </c>
    </row>
    <row r="333" spans="1:36">
      <c r="A333" s="2">
        <v>424</v>
      </c>
      <c r="B333" s="2">
        <v>7229</v>
      </c>
      <c r="C333" s="2" t="s">
        <v>2401</v>
      </c>
      <c r="D333" s="2" t="s">
        <v>2402</v>
      </c>
      <c r="E333" s="4" t="s">
        <v>1342</v>
      </c>
      <c r="F333" s="2" t="s">
        <v>2403</v>
      </c>
      <c r="G333" s="2" t="s">
        <v>2404</v>
      </c>
      <c r="H333" s="2" t="s">
        <v>356</v>
      </c>
      <c r="I333" s="2" t="s">
        <v>208</v>
      </c>
      <c r="J333" s="2" t="s">
        <v>30</v>
      </c>
      <c r="K333" s="2" t="s">
        <v>30</v>
      </c>
      <c r="L333" s="2" t="s">
        <v>362</v>
      </c>
      <c r="M333" s="2" t="s">
        <v>31</v>
      </c>
      <c r="N333" s="2" t="s">
        <v>511</v>
      </c>
      <c r="O333" s="2" t="s">
        <v>155</v>
      </c>
      <c r="P333" s="2" t="s">
        <v>100</v>
      </c>
      <c r="Q333" s="2" t="s">
        <v>206</v>
      </c>
      <c r="R333" s="2" t="s">
        <v>441</v>
      </c>
      <c r="S333" s="2" t="s">
        <v>34</v>
      </c>
      <c r="T333" s="151">
        <v>12.19</v>
      </c>
      <c r="U333" s="2" t="s">
        <v>2405</v>
      </c>
      <c r="V333" s="162">
        <v>2.07E-2</v>
      </c>
      <c r="W333" s="164">
        <v>3.286E-2</v>
      </c>
      <c r="X333" s="4" t="s">
        <v>447</v>
      </c>
      <c r="Y333" s="4" t="s">
        <v>155</v>
      </c>
      <c r="Z333" s="151">
        <v>144244.68</v>
      </c>
      <c r="AA333" s="158">
        <v>1</v>
      </c>
      <c r="AB333" s="175">
        <v>99.37</v>
      </c>
      <c r="AD333" s="151">
        <v>143.33600000000001</v>
      </c>
      <c r="AG333" s="2" t="s">
        <v>36</v>
      </c>
      <c r="AH333" s="164">
        <v>3.1999999999999999E-5</v>
      </c>
      <c r="AI333" s="164">
        <v>7.9466629032294393E-3</v>
      </c>
      <c r="AJ333" s="164">
        <v>9.8399233873514491E-4</v>
      </c>
    </row>
    <row r="334" spans="1:36">
      <c r="A334" s="2">
        <v>424</v>
      </c>
      <c r="B334" s="2">
        <v>7229</v>
      </c>
      <c r="C334" s="2" t="s">
        <v>2406</v>
      </c>
      <c r="D334" s="2" t="s">
        <v>2407</v>
      </c>
      <c r="E334" s="4" t="s">
        <v>348</v>
      </c>
      <c r="F334" s="2" t="s">
        <v>2408</v>
      </c>
      <c r="G334" s="2" t="s">
        <v>2409</v>
      </c>
      <c r="H334" s="2" t="s">
        <v>356</v>
      </c>
      <c r="I334" s="2" t="s">
        <v>1000</v>
      </c>
      <c r="J334" s="2" t="s">
        <v>30</v>
      </c>
      <c r="K334" s="2" t="s">
        <v>30</v>
      </c>
      <c r="L334" s="2" t="s">
        <v>362</v>
      </c>
      <c r="M334" s="2" t="s">
        <v>85</v>
      </c>
      <c r="N334" s="2" t="s">
        <v>487</v>
      </c>
      <c r="O334" s="2" t="s">
        <v>155</v>
      </c>
      <c r="P334" s="2" t="s">
        <v>2192</v>
      </c>
      <c r="Q334" s="2" t="s">
        <v>206</v>
      </c>
      <c r="R334" s="2" t="s">
        <v>441</v>
      </c>
      <c r="S334" s="2" t="s">
        <v>34</v>
      </c>
      <c r="T334" s="151">
        <v>3.4260000000000002</v>
      </c>
      <c r="U334" s="2" t="s">
        <v>2410</v>
      </c>
      <c r="V334" s="162">
        <v>6.7000000000000004E-2</v>
      </c>
      <c r="W334" s="164">
        <v>6.5699999999999995E-2</v>
      </c>
      <c r="X334" s="4" t="s">
        <v>447</v>
      </c>
      <c r="Y334" s="4" t="s">
        <v>155</v>
      </c>
      <c r="Z334" s="151">
        <v>67000</v>
      </c>
      <c r="AA334" s="158">
        <v>1</v>
      </c>
      <c r="AB334" s="175">
        <v>100.86</v>
      </c>
      <c r="AD334" s="151">
        <v>67.575999999999993</v>
      </c>
      <c r="AG334" s="2" t="s">
        <v>36</v>
      </c>
      <c r="AH334" s="164">
        <v>7.3999999999999996E-5</v>
      </c>
      <c r="AI334" s="164">
        <v>3.7464803819683302E-3</v>
      </c>
      <c r="AJ334" s="164">
        <v>4.6390642688268598E-4</v>
      </c>
    </row>
    <row r="335" spans="1:36">
      <c r="A335" s="2">
        <v>424</v>
      </c>
      <c r="B335" s="2">
        <v>7229</v>
      </c>
      <c r="C335" s="2" t="s">
        <v>2411</v>
      </c>
      <c r="D335" s="2" t="s">
        <v>2412</v>
      </c>
      <c r="E335" s="4" t="s">
        <v>1342</v>
      </c>
      <c r="F335" s="2" t="s">
        <v>2413</v>
      </c>
      <c r="G335" s="2" t="s">
        <v>2414</v>
      </c>
      <c r="H335" s="2" t="s">
        <v>356</v>
      </c>
      <c r="I335" s="2" t="s">
        <v>208</v>
      </c>
      <c r="J335" s="2" t="s">
        <v>30</v>
      </c>
      <c r="K335" s="2" t="s">
        <v>30</v>
      </c>
      <c r="L335" s="2" t="s">
        <v>362</v>
      </c>
      <c r="M335" s="2" t="s">
        <v>31</v>
      </c>
      <c r="N335" s="2" t="s">
        <v>474</v>
      </c>
      <c r="O335" s="2" t="s">
        <v>155</v>
      </c>
      <c r="P335" s="2" t="s">
        <v>2192</v>
      </c>
      <c r="Q335" s="2" t="s">
        <v>101</v>
      </c>
      <c r="R335" s="2" t="s">
        <v>441</v>
      </c>
      <c r="S335" s="2" t="s">
        <v>34</v>
      </c>
      <c r="T335" s="151">
        <v>2.3929999999999998</v>
      </c>
      <c r="U335" s="2" t="s">
        <v>1338</v>
      </c>
      <c r="V335" s="162">
        <v>1.4800000000000001E-2</v>
      </c>
      <c r="W335" s="164">
        <v>3.1379999999999998E-2</v>
      </c>
      <c r="X335" s="4" t="s">
        <v>447</v>
      </c>
      <c r="Y335" s="4" t="s">
        <v>155</v>
      </c>
      <c r="Z335" s="151">
        <v>117000</v>
      </c>
      <c r="AA335" s="158">
        <v>1</v>
      </c>
      <c r="AB335" s="175">
        <v>109.1</v>
      </c>
      <c r="AD335" s="151">
        <v>127.64700000000001</v>
      </c>
      <c r="AG335" s="2" t="s">
        <v>36</v>
      </c>
      <c r="AH335" s="164">
        <v>1.55E-4</v>
      </c>
      <c r="AI335" s="164">
        <v>7.0768551844748902E-3</v>
      </c>
      <c r="AJ335" s="164">
        <v>8.7628874769954802E-4</v>
      </c>
    </row>
    <row r="336" spans="1:36">
      <c r="A336" s="2">
        <v>424</v>
      </c>
      <c r="B336" s="2">
        <v>7229</v>
      </c>
      <c r="C336" s="2" t="s">
        <v>2411</v>
      </c>
      <c r="D336" s="2" t="s">
        <v>2412</v>
      </c>
      <c r="E336" s="4" t="s">
        <v>1342</v>
      </c>
      <c r="F336" s="2" t="s">
        <v>2415</v>
      </c>
      <c r="G336" s="2" t="s">
        <v>2416</v>
      </c>
      <c r="H336" s="2" t="s">
        <v>356</v>
      </c>
      <c r="I336" s="2" t="s">
        <v>1000</v>
      </c>
      <c r="J336" s="2" t="s">
        <v>30</v>
      </c>
      <c r="K336" s="2" t="s">
        <v>30</v>
      </c>
      <c r="L336" s="2" t="s">
        <v>362</v>
      </c>
      <c r="M336" s="2" t="s">
        <v>31</v>
      </c>
      <c r="N336" s="2" t="s">
        <v>474</v>
      </c>
      <c r="O336" s="2" t="s">
        <v>155</v>
      </c>
      <c r="P336" s="2" t="s">
        <v>2192</v>
      </c>
      <c r="Q336" s="2" t="s">
        <v>101</v>
      </c>
      <c r="R336" s="2" t="s">
        <v>441</v>
      </c>
      <c r="S336" s="2" t="s">
        <v>34</v>
      </c>
      <c r="T336" s="151">
        <v>3.1059999999999999</v>
      </c>
      <c r="U336" s="2" t="s">
        <v>2417</v>
      </c>
      <c r="V336" s="162">
        <v>6.9500000000000006E-2</v>
      </c>
      <c r="W336" s="164">
        <v>6.3530000000000003E-2</v>
      </c>
      <c r="X336" s="4" t="s">
        <v>447</v>
      </c>
      <c r="Y336" s="4" t="s">
        <v>155</v>
      </c>
      <c r="Z336" s="151">
        <v>140000</v>
      </c>
      <c r="AA336" s="158">
        <v>1</v>
      </c>
      <c r="AB336" s="175">
        <v>104.23</v>
      </c>
      <c r="AD336" s="151">
        <v>145.922</v>
      </c>
      <c r="AG336" s="2" t="s">
        <v>36</v>
      </c>
      <c r="AH336" s="164">
        <v>2.5000000000000001E-4</v>
      </c>
      <c r="AI336" s="164">
        <v>8.0900362893678995E-3</v>
      </c>
      <c r="AJ336" s="164">
        <v>1.00174549062503E-3</v>
      </c>
    </row>
    <row r="337" spans="1:36">
      <c r="A337" s="2">
        <v>424</v>
      </c>
      <c r="B337" s="2">
        <v>7229</v>
      </c>
      <c r="C337" s="2" t="s">
        <v>2523</v>
      </c>
      <c r="D337" s="2" t="s">
        <v>2524</v>
      </c>
      <c r="E337" s="4" t="s">
        <v>1342</v>
      </c>
      <c r="F337" s="2" t="s">
        <v>2525</v>
      </c>
      <c r="G337" s="2" t="s">
        <v>2526</v>
      </c>
      <c r="H337" s="2" t="s">
        <v>356</v>
      </c>
      <c r="I337" s="2" t="s">
        <v>208</v>
      </c>
      <c r="J337" s="2" t="s">
        <v>30</v>
      </c>
      <c r="K337" s="2" t="s">
        <v>30</v>
      </c>
      <c r="L337" s="2" t="s">
        <v>362</v>
      </c>
      <c r="M337" s="2" t="s">
        <v>31</v>
      </c>
      <c r="N337" s="2" t="s">
        <v>497</v>
      </c>
      <c r="O337" s="2" t="s">
        <v>155</v>
      </c>
      <c r="P337" s="2" t="s">
        <v>100</v>
      </c>
      <c r="Q337" s="2" t="s">
        <v>206</v>
      </c>
      <c r="R337" s="2" t="s">
        <v>441</v>
      </c>
      <c r="S337" s="2" t="s">
        <v>34</v>
      </c>
      <c r="T337" s="151">
        <v>1.3540000000000001</v>
      </c>
      <c r="U337" s="2" t="s">
        <v>2378</v>
      </c>
      <c r="V337" s="162">
        <v>8.3000000000000001E-3</v>
      </c>
      <c r="W337" s="164">
        <v>2.188E-2</v>
      </c>
      <c r="X337" s="4" t="s">
        <v>447</v>
      </c>
      <c r="Y337" s="4" t="s">
        <v>155</v>
      </c>
      <c r="Z337" s="151">
        <v>232500</v>
      </c>
      <c r="AA337" s="158">
        <v>1</v>
      </c>
      <c r="AB337" s="175">
        <v>114.36</v>
      </c>
      <c r="AD337" s="151">
        <v>265.887</v>
      </c>
      <c r="AG337" s="2" t="s">
        <v>36</v>
      </c>
      <c r="AH337" s="164">
        <v>1.9599999999999999E-4</v>
      </c>
      <c r="AI337" s="164">
        <v>1.4740995044415299E-2</v>
      </c>
      <c r="AJ337" s="164">
        <v>1.8252977841985299E-3</v>
      </c>
    </row>
    <row r="338" spans="1:36">
      <c r="A338" s="2">
        <v>424</v>
      </c>
      <c r="B338" s="2">
        <v>7229</v>
      </c>
      <c r="C338" s="2" t="s">
        <v>2418</v>
      </c>
      <c r="D338" s="2" t="s">
        <v>2419</v>
      </c>
      <c r="E338" s="4" t="s">
        <v>349</v>
      </c>
      <c r="F338" s="2" t="s">
        <v>2420</v>
      </c>
      <c r="G338" s="2" t="s">
        <v>2421</v>
      </c>
      <c r="H338" s="2" t="s">
        <v>356</v>
      </c>
      <c r="I338" s="2" t="s">
        <v>1000</v>
      </c>
      <c r="J338" s="2" t="s">
        <v>30</v>
      </c>
      <c r="K338" s="2" t="s">
        <v>30</v>
      </c>
      <c r="L338" s="2" t="s">
        <v>362</v>
      </c>
      <c r="M338" s="2" t="s">
        <v>85</v>
      </c>
      <c r="N338" s="2" t="s">
        <v>498</v>
      </c>
      <c r="O338" s="2" t="s">
        <v>155</v>
      </c>
      <c r="P338" s="2" t="s">
        <v>2211</v>
      </c>
      <c r="Q338" s="2" t="s">
        <v>206</v>
      </c>
      <c r="R338" s="2" t="s">
        <v>441</v>
      </c>
      <c r="S338" s="2" t="s">
        <v>34</v>
      </c>
      <c r="T338" s="151">
        <v>3.927</v>
      </c>
      <c r="U338" s="2" t="s">
        <v>2422</v>
      </c>
      <c r="V338" s="162">
        <v>6.25E-2</v>
      </c>
      <c r="W338" s="164">
        <v>6.166E-2</v>
      </c>
      <c r="X338" s="4" t="s">
        <v>447</v>
      </c>
      <c r="Y338" s="4" t="s">
        <v>155</v>
      </c>
      <c r="Z338" s="151">
        <v>215398</v>
      </c>
      <c r="AA338" s="158">
        <v>1</v>
      </c>
      <c r="AB338" s="175">
        <v>103.18</v>
      </c>
      <c r="AD338" s="151">
        <v>222.24799999999999</v>
      </c>
      <c r="AG338" s="2" t="s">
        <v>36</v>
      </c>
      <c r="AH338" s="164">
        <v>3.9199999999999999E-4</v>
      </c>
      <c r="AI338" s="164">
        <v>1.23215937658678E-2</v>
      </c>
      <c r="AJ338" s="164">
        <v>1.52571639369445E-3</v>
      </c>
    </row>
    <row r="339" spans="1:36">
      <c r="A339" s="2">
        <v>424</v>
      </c>
      <c r="B339" s="2">
        <v>7229</v>
      </c>
      <c r="C339" s="2" t="s">
        <v>2423</v>
      </c>
      <c r="D339" s="2" t="s">
        <v>2424</v>
      </c>
      <c r="E339" s="4" t="s">
        <v>349</v>
      </c>
      <c r="F339" s="2" t="s">
        <v>2425</v>
      </c>
      <c r="G339" s="2" t="s">
        <v>2426</v>
      </c>
      <c r="H339" s="2" t="s">
        <v>356</v>
      </c>
      <c r="I339" s="2" t="s">
        <v>1000</v>
      </c>
      <c r="J339" s="2" t="s">
        <v>30</v>
      </c>
      <c r="K339" s="2" t="s">
        <v>98</v>
      </c>
      <c r="L339" s="2" t="s">
        <v>362</v>
      </c>
      <c r="M339" s="2" t="s">
        <v>31</v>
      </c>
      <c r="N339" s="2" t="s">
        <v>498</v>
      </c>
      <c r="O339" s="2" t="s">
        <v>155</v>
      </c>
      <c r="P339" s="2" t="s">
        <v>2211</v>
      </c>
      <c r="Q339" s="2" t="s">
        <v>206</v>
      </c>
      <c r="R339" s="2" t="s">
        <v>441</v>
      </c>
      <c r="S339" s="2" t="s">
        <v>34</v>
      </c>
      <c r="T339" s="151">
        <v>2.1349999999999998</v>
      </c>
      <c r="U339" s="2" t="s">
        <v>1338</v>
      </c>
      <c r="V339" s="162">
        <v>3.49E-2</v>
      </c>
      <c r="W339" s="164">
        <v>6.4509999999999998E-2</v>
      </c>
      <c r="X339" s="4" t="s">
        <v>447</v>
      </c>
      <c r="Y339" s="4" t="s">
        <v>155</v>
      </c>
      <c r="Z339" s="151">
        <v>326575</v>
      </c>
      <c r="AA339" s="158">
        <v>1</v>
      </c>
      <c r="AB339" s="175">
        <v>95.01</v>
      </c>
      <c r="AD339" s="151">
        <v>310.279</v>
      </c>
      <c r="AG339" s="2" t="s">
        <v>36</v>
      </c>
      <c r="AH339" s="164">
        <v>3.4499999999999998E-4</v>
      </c>
      <c r="AI339" s="164">
        <v>1.7202119087597698E-2</v>
      </c>
      <c r="AJ339" s="164">
        <v>2.1300454792573201E-3</v>
      </c>
    </row>
    <row r="340" spans="1:36">
      <c r="A340" s="2">
        <v>424</v>
      </c>
      <c r="B340" s="2">
        <v>7229</v>
      </c>
      <c r="C340" s="2" t="s">
        <v>2423</v>
      </c>
      <c r="D340" s="2" t="s">
        <v>2424</v>
      </c>
      <c r="E340" s="4" t="s">
        <v>349</v>
      </c>
      <c r="F340" s="2" t="s">
        <v>2427</v>
      </c>
      <c r="G340" s="2" t="s">
        <v>2428</v>
      </c>
      <c r="H340" s="2" t="s">
        <v>356</v>
      </c>
      <c r="I340" s="2" t="s">
        <v>1000</v>
      </c>
      <c r="J340" s="2" t="s">
        <v>30</v>
      </c>
      <c r="K340" s="2" t="s">
        <v>98</v>
      </c>
      <c r="L340" s="2" t="s">
        <v>362</v>
      </c>
      <c r="M340" s="2" t="s">
        <v>85</v>
      </c>
      <c r="N340" s="2" t="s">
        <v>498</v>
      </c>
      <c r="O340" s="2" t="s">
        <v>155</v>
      </c>
      <c r="P340" s="2" t="s">
        <v>2211</v>
      </c>
      <c r="Q340" s="2" t="s">
        <v>206</v>
      </c>
      <c r="R340" s="2" t="s">
        <v>441</v>
      </c>
      <c r="S340" s="2" t="s">
        <v>34</v>
      </c>
      <c r="T340" s="151">
        <v>4.4989999999999997</v>
      </c>
      <c r="U340" s="2" t="s">
        <v>2429</v>
      </c>
      <c r="V340" s="162">
        <v>6.7400000000000002E-2</v>
      </c>
      <c r="W340" s="164">
        <v>6.7140000000000005E-2</v>
      </c>
      <c r="X340" s="4" t="s">
        <v>447</v>
      </c>
      <c r="Y340" s="4" t="s">
        <v>155</v>
      </c>
      <c r="Z340" s="151">
        <v>138000</v>
      </c>
      <c r="AA340" s="158">
        <v>1</v>
      </c>
      <c r="AB340" s="175">
        <v>100.67</v>
      </c>
      <c r="AD340" s="151">
        <v>138.92500000000001</v>
      </c>
      <c r="AG340" s="2" t="s">
        <v>36</v>
      </c>
      <c r="AH340" s="164">
        <v>4.84E-4</v>
      </c>
      <c r="AI340" s="164">
        <v>7.7020946497849503E-3</v>
      </c>
      <c r="AJ340" s="164">
        <v>9.5370877309032401E-4</v>
      </c>
    </row>
    <row r="341" spans="1:36">
      <c r="A341" s="2">
        <v>424</v>
      </c>
      <c r="B341" s="2">
        <v>7229</v>
      </c>
      <c r="C341" s="2" t="s">
        <v>1946</v>
      </c>
      <c r="D341" s="2" t="s">
        <v>1947</v>
      </c>
      <c r="E341" s="4" t="s">
        <v>1342</v>
      </c>
      <c r="F341" s="2" t="s">
        <v>2430</v>
      </c>
      <c r="G341" s="2" t="s">
        <v>2431</v>
      </c>
      <c r="H341" s="2" t="s">
        <v>356</v>
      </c>
      <c r="I341" s="2" t="s">
        <v>1000</v>
      </c>
      <c r="J341" s="2" t="s">
        <v>30</v>
      </c>
      <c r="K341" s="2" t="s">
        <v>30</v>
      </c>
      <c r="L341" s="2" t="s">
        <v>362</v>
      </c>
      <c r="M341" s="2" t="s">
        <v>31</v>
      </c>
      <c r="N341" s="2" t="s">
        <v>518</v>
      </c>
      <c r="O341" s="2" t="s">
        <v>155</v>
      </c>
      <c r="P341" s="2" t="s">
        <v>1346</v>
      </c>
      <c r="Q341" s="2" t="s">
        <v>206</v>
      </c>
      <c r="R341" s="2" t="s">
        <v>441</v>
      </c>
      <c r="S341" s="2" t="s">
        <v>34</v>
      </c>
      <c r="T341" s="151">
        <v>2.6779999999999999</v>
      </c>
      <c r="U341" s="2" t="s">
        <v>2432</v>
      </c>
      <c r="V341" s="162">
        <v>4.7300000000000002E-2</v>
      </c>
      <c r="W341" s="164">
        <v>5.6509999999999998E-2</v>
      </c>
      <c r="X341" s="4" t="s">
        <v>447</v>
      </c>
      <c r="Y341" s="4" t="s">
        <v>155</v>
      </c>
      <c r="Z341" s="151">
        <v>300000</v>
      </c>
      <c r="AA341" s="158">
        <v>1</v>
      </c>
      <c r="AB341" s="175">
        <v>98.44</v>
      </c>
      <c r="AD341" s="151">
        <v>295.32</v>
      </c>
      <c r="AG341" s="2" t="s">
        <v>36</v>
      </c>
      <c r="AH341" s="164">
        <v>7.6000000000000004E-4</v>
      </c>
      <c r="AI341" s="164">
        <v>1.6372784891765E-2</v>
      </c>
      <c r="AJ341" s="164">
        <v>2.0273535059236098E-3</v>
      </c>
    </row>
    <row r="342" spans="1:36">
      <c r="A342" s="2">
        <v>424</v>
      </c>
      <c r="B342" s="2">
        <v>7229</v>
      </c>
      <c r="C342" s="2" t="s">
        <v>1950</v>
      </c>
      <c r="D342" s="2" t="s">
        <v>1951</v>
      </c>
      <c r="E342" s="4" t="s">
        <v>1342</v>
      </c>
      <c r="F342" s="2" t="s">
        <v>2433</v>
      </c>
      <c r="G342" s="2" t="s">
        <v>2434</v>
      </c>
      <c r="H342" s="2" t="s">
        <v>356</v>
      </c>
      <c r="I342" s="2" t="s">
        <v>208</v>
      </c>
      <c r="J342" s="2" t="s">
        <v>30</v>
      </c>
      <c r="K342" s="2" t="s">
        <v>30</v>
      </c>
      <c r="L342" s="2" t="s">
        <v>362</v>
      </c>
      <c r="M342" s="2" t="s">
        <v>31</v>
      </c>
      <c r="N342" s="2" t="s">
        <v>497</v>
      </c>
      <c r="O342" s="2" t="s">
        <v>155</v>
      </c>
      <c r="P342" s="2" t="s">
        <v>1519</v>
      </c>
      <c r="Q342" s="2" t="s">
        <v>101</v>
      </c>
      <c r="R342" s="2" t="s">
        <v>441</v>
      </c>
      <c r="S342" s="2" t="s">
        <v>34</v>
      </c>
      <c r="T342" s="151">
        <v>2.456</v>
      </c>
      <c r="U342" s="2" t="s">
        <v>1481</v>
      </c>
      <c r="V342" s="162">
        <v>1.77E-2</v>
      </c>
      <c r="W342" s="164">
        <v>2.7099999999999999E-2</v>
      </c>
      <c r="X342" s="4" t="s">
        <v>447</v>
      </c>
      <c r="Y342" s="4" t="s">
        <v>155</v>
      </c>
      <c r="Z342" s="151">
        <v>160000</v>
      </c>
      <c r="AA342" s="158">
        <v>1</v>
      </c>
      <c r="AB342" s="175">
        <v>113.19</v>
      </c>
      <c r="AD342" s="151">
        <v>181.10400000000001</v>
      </c>
      <c r="AG342" s="2" t="s">
        <v>36</v>
      </c>
      <c r="AH342" s="164">
        <v>6.2000000000000003E-5</v>
      </c>
      <c r="AI342" s="164">
        <v>1.00405554484566E-2</v>
      </c>
      <c r="AJ342" s="164">
        <v>1.24326774121898E-3</v>
      </c>
    </row>
    <row r="343" spans="1:36">
      <c r="A343" s="2">
        <v>424</v>
      </c>
      <c r="B343" s="2">
        <v>7229</v>
      </c>
      <c r="C343" s="2" t="s">
        <v>1950</v>
      </c>
      <c r="D343" s="2" t="s">
        <v>1951</v>
      </c>
      <c r="E343" s="4" t="s">
        <v>1342</v>
      </c>
      <c r="F343" s="2" t="s">
        <v>2435</v>
      </c>
      <c r="G343" s="2" t="s">
        <v>2436</v>
      </c>
      <c r="H343" s="2" t="s">
        <v>356</v>
      </c>
      <c r="I343" s="2" t="s">
        <v>208</v>
      </c>
      <c r="J343" s="2" t="s">
        <v>30</v>
      </c>
      <c r="K343" s="2" t="s">
        <v>30</v>
      </c>
      <c r="L343" s="2" t="s">
        <v>362</v>
      </c>
      <c r="M343" s="2" t="s">
        <v>31</v>
      </c>
      <c r="N343" s="2" t="s">
        <v>497</v>
      </c>
      <c r="O343" s="2" t="s">
        <v>155</v>
      </c>
      <c r="P343" s="2" t="s">
        <v>1519</v>
      </c>
      <c r="Q343" s="2" t="s">
        <v>206</v>
      </c>
      <c r="R343" s="2" t="s">
        <v>441</v>
      </c>
      <c r="S343" s="2" t="s">
        <v>34</v>
      </c>
      <c r="T343" s="151">
        <v>6.7329999999999997</v>
      </c>
      <c r="U343" s="2" t="s">
        <v>2437</v>
      </c>
      <c r="V343" s="162">
        <v>8.9999999999999993E-3</v>
      </c>
      <c r="W343" s="164">
        <v>3.3419999999999998E-2</v>
      </c>
      <c r="X343" s="4" t="s">
        <v>447</v>
      </c>
      <c r="Y343" s="4" t="s">
        <v>155</v>
      </c>
      <c r="Z343" s="151">
        <v>215000</v>
      </c>
      <c r="AA343" s="158">
        <v>1</v>
      </c>
      <c r="AB343" s="175">
        <v>96.33</v>
      </c>
      <c r="AD343" s="151">
        <v>207.10900000000001</v>
      </c>
      <c r="AG343" s="2" t="s">
        <v>36</v>
      </c>
      <c r="AH343" s="164">
        <v>7.7999999999999999E-5</v>
      </c>
      <c r="AI343" s="164">
        <v>1.1482321862863999E-2</v>
      </c>
      <c r="AJ343" s="164">
        <v>1.4217938877661E-3</v>
      </c>
    </row>
    <row r="344" spans="1:36">
      <c r="A344" s="2">
        <v>424</v>
      </c>
      <c r="B344" s="2">
        <v>7229</v>
      </c>
      <c r="C344" s="2" t="s">
        <v>1950</v>
      </c>
      <c r="D344" s="2" t="s">
        <v>1951</v>
      </c>
      <c r="E344" s="4" t="s">
        <v>1342</v>
      </c>
      <c r="F344" s="2" t="s">
        <v>2438</v>
      </c>
      <c r="G344" s="2" t="s">
        <v>2439</v>
      </c>
      <c r="H344" s="2" t="s">
        <v>356</v>
      </c>
      <c r="I344" s="2" t="s">
        <v>208</v>
      </c>
      <c r="J344" s="2" t="s">
        <v>30</v>
      </c>
      <c r="K344" s="2" t="s">
        <v>30</v>
      </c>
      <c r="L344" s="2" t="s">
        <v>362</v>
      </c>
      <c r="M344" s="2" t="s">
        <v>31</v>
      </c>
      <c r="N344" s="2" t="s">
        <v>497</v>
      </c>
      <c r="O344" s="2" t="s">
        <v>155</v>
      </c>
      <c r="P344" s="2" t="s">
        <v>1519</v>
      </c>
      <c r="Q344" s="2" t="s">
        <v>206</v>
      </c>
      <c r="R344" s="2" t="s">
        <v>441</v>
      </c>
      <c r="S344" s="2" t="s">
        <v>34</v>
      </c>
      <c r="T344" s="151">
        <v>10.343</v>
      </c>
      <c r="U344" s="2" t="s">
        <v>2440</v>
      </c>
      <c r="V344" s="162">
        <v>1.6899999999999998E-2</v>
      </c>
      <c r="W344" s="164">
        <v>3.635E-2</v>
      </c>
      <c r="X344" s="4" t="s">
        <v>447</v>
      </c>
      <c r="Y344" s="4" t="s">
        <v>155</v>
      </c>
      <c r="Z344" s="151">
        <v>226074</v>
      </c>
      <c r="AA344" s="158">
        <v>1</v>
      </c>
      <c r="AB344" s="175">
        <v>93.61</v>
      </c>
      <c r="AD344" s="151">
        <v>211.62799999999999</v>
      </c>
      <c r="AG344" s="2" t="s">
        <v>36</v>
      </c>
      <c r="AH344" s="164">
        <v>5.1999999999999997E-5</v>
      </c>
      <c r="AI344" s="164">
        <v>1.17328241078637E-2</v>
      </c>
      <c r="AJ344" s="164">
        <v>1.4528122275292599E-3</v>
      </c>
    </row>
    <row r="345" spans="1:36">
      <c r="A345" s="2">
        <v>424</v>
      </c>
      <c r="B345" s="2">
        <v>7229</v>
      </c>
      <c r="C345" s="2" t="s">
        <v>1217</v>
      </c>
      <c r="D345" s="2" t="s">
        <v>1954</v>
      </c>
      <c r="E345" s="4" t="s">
        <v>1342</v>
      </c>
      <c r="F345" s="2" t="s">
        <v>2441</v>
      </c>
      <c r="G345" s="2" t="s">
        <v>2442</v>
      </c>
      <c r="H345" s="2" t="s">
        <v>356</v>
      </c>
      <c r="I345" s="2" t="s">
        <v>208</v>
      </c>
      <c r="J345" s="2" t="s">
        <v>30</v>
      </c>
      <c r="K345" s="2" t="s">
        <v>30</v>
      </c>
      <c r="L345" s="2" t="s">
        <v>362</v>
      </c>
      <c r="M345" s="2" t="s">
        <v>31</v>
      </c>
      <c r="N345" s="2" t="s">
        <v>481</v>
      </c>
      <c r="O345" s="2" t="s">
        <v>155</v>
      </c>
      <c r="P345" s="2" t="s">
        <v>1353</v>
      </c>
      <c r="Q345" s="2" t="s">
        <v>206</v>
      </c>
      <c r="R345" s="2" t="s">
        <v>441</v>
      </c>
      <c r="S345" s="2" t="s">
        <v>34</v>
      </c>
      <c r="T345" s="151">
        <v>4.6829999999999998</v>
      </c>
      <c r="U345" s="2" t="s">
        <v>2443</v>
      </c>
      <c r="V345" s="162">
        <v>3.7100000000000001E-2</v>
      </c>
      <c r="W345" s="164">
        <v>3.1640000000000001E-2</v>
      </c>
      <c r="X345" s="4" t="s">
        <v>447</v>
      </c>
      <c r="Y345" s="4" t="s">
        <v>155</v>
      </c>
      <c r="Z345" s="151">
        <v>300000</v>
      </c>
      <c r="AA345" s="158">
        <v>1</v>
      </c>
      <c r="AB345" s="175">
        <v>108.99</v>
      </c>
      <c r="AD345" s="151">
        <v>326.97000000000003</v>
      </c>
      <c r="AG345" s="2" t="s">
        <v>36</v>
      </c>
      <c r="AH345" s="164">
        <v>7.8100000000000001E-4</v>
      </c>
      <c r="AI345" s="164">
        <v>1.8127487051538601E-2</v>
      </c>
      <c r="AJ345" s="164">
        <v>2.2446287953130201E-3</v>
      </c>
    </row>
    <row r="346" spans="1:36">
      <c r="A346" s="2">
        <v>424</v>
      </c>
      <c r="B346" s="2">
        <v>7229</v>
      </c>
      <c r="C346" s="2" t="s">
        <v>2444</v>
      </c>
      <c r="D346" s="2" t="s">
        <v>2445</v>
      </c>
      <c r="E346" s="4" t="s">
        <v>1342</v>
      </c>
      <c r="F346" s="2" t="s">
        <v>2446</v>
      </c>
      <c r="G346" s="2" t="s">
        <v>2447</v>
      </c>
      <c r="H346" s="2" t="s">
        <v>356</v>
      </c>
      <c r="I346" s="2" t="s">
        <v>1000</v>
      </c>
      <c r="J346" s="2" t="s">
        <v>30</v>
      </c>
      <c r="K346" s="2" t="s">
        <v>30</v>
      </c>
      <c r="L346" s="2" t="s">
        <v>362</v>
      </c>
      <c r="M346" s="2" t="s">
        <v>85</v>
      </c>
      <c r="N346" s="2" t="s">
        <v>473</v>
      </c>
      <c r="O346" s="2" t="s">
        <v>155</v>
      </c>
      <c r="P346" s="2" t="s">
        <v>1353</v>
      </c>
      <c r="Q346" s="2" t="s">
        <v>206</v>
      </c>
      <c r="R346" s="2" t="s">
        <v>441</v>
      </c>
      <c r="S346" s="2" t="s">
        <v>34</v>
      </c>
      <c r="T346" s="151">
        <v>6.3849999999999998</v>
      </c>
      <c r="U346" s="2" t="s">
        <v>2448</v>
      </c>
      <c r="V346" s="162">
        <v>5.8599999999999999E-2</v>
      </c>
      <c r="W346" s="164">
        <v>5.9150000000000001E-2</v>
      </c>
      <c r="X346" s="4" t="s">
        <v>447</v>
      </c>
      <c r="Y346" s="4" t="s">
        <v>155</v>
      </c>
      <c r="Z346" s="151">
        <v>214093</v>
      </c>
      <c r="AA346" s="158">
        <v>1</v>
      </c>
      <c r="AB346" s="175">
        <v>102.78</v>
      </c>
      <c r="AD346" s="151">
        <v>220.04499999999999</v>
      </c>
      <c r="AG346" s="2" t="s">
        <v>36</v>
      </c>
      <c r="AH346" s="164">
        <v>1.073E-3</v>
      </c>
      <c r="AI346" s="164">
        <v>1.2199464776882E-2</v>
      </c>
      <c r="AJ346" s="164">
        <v>1.5105938207398699E-3</v>
      </c>
    </row>
    <row r="347" spans="1:36">
      <c r="A347" s="2">
        <v>424</v>
      </c>
      <c r="B347" s="2">
        <v>7229</v>
      </c>
      <c r="C347" s="2" t="s">
        <v>2449</v>
      </c>
      <c r="D347" s="2" t="s">
        <v>2450</v>
      </c>
      <c r="E347" s="4" t="s">
        <v>1342</v>
      </c>
      <c r="F347" s="2" t="s">
        <v>2451</v>
      </c>
      <c r="G347" s="2" t="s">
        <v>2452</v>
      </c>
      <c r="H347" s="2" t="s">
        <v>356</v>
      </c>
      <c r="I347" s="2" t="s">
        <v>1000</v>
      </c>
      <c r="J347" s="2" t="s">
        <v>30</v>
      </c>
      <c r="K347" s="2" t="s">
        <v>30</v>
      </c>
      <c r="L347" s="2" t="s">
        <v>362</v>
      </c>
      <c r="M347" s="2" t="s">
        <v>31</v>
      </c>
      <c r="N347" s="2" t="s">
        <v>478</v>
      </c>
      <c r="O347" s="2" t="s">
        <v>155</v>
      </c>
      <c r="P347" s="2" t="s">
        <v>2211</v>
      </c>
      <c r="Q347" s="2" t="s">
        <v>206</v>
      </c>
      <c r="R347" s="2" t="s">
        <v>441</v>
      </c>
      <c r="S347" s="2" t="s">
        <v>34</v>
      </c>
      <c r="T347" s="151">
        <v>7.141</v>
      </c>
      <c r="U347" s="2" t="s">
        <v>2417</v>
      </c>
      <c r="V347" s="162">
        <v>4.6899999999999997E-2</v>
      </c>
      <c r="W347" s="164">
        <v>5.654E-2</v>
      </c>
      <c r="X347" s="4" t="s">
        <v>447</v>
      </c>
      <c r="Y347" s="4" t="s">
        <v>155</v>
      </c>
      <c r="Z347" s="151">
        <v>210000</v>
      </c>
      <c r="AA347" s="158">
        <v>1</v>
      </c>
      <c r="AB347" s="175">
        <v>95.86</v>
      </c>
      <c r="AD347" s="151">
        <v>201.30600000000001</v>
      </c>
      <c r="AG347" s="2" t="s">
        <v>36</v>
      </c>
      <c r="AH347" s="164">
        <v>4.2000000000000002E-4</v>
      </c>
      <c r="AI347" s="164">
        <v>1.1160571026078999E-2</v>
      </c>
      <c r="AJ347" s="164">
        <v>1.38195321977332E-3</v>
      </c>
    </row>
    <row r="348" spans="1:36">
      <c r="A348" s="2">
        <v>424</v>
      </c>
      <c r="B348" s="2">
        <v>7229</v>
      </c>
      <c r="C348" s="2" t="s">
        <v>1961</v>
      </c>
      <c r="D348" s="2" t="s">
        <v>1962</v>
      </c>
      <c r="E348" s="4" t="s">
        <v>1342</v>
      </c>
      <c r="F348" s="2" t="s">
        <v>2527</v>
      </c>
      <c r="G348" s="2" t="s">
        <v>2528</v>
      </c>
      <c r="H348" s="2" t="s">
        <v>356</v>
      </c>
      <c r="I348" s="2" t="s">
        <v>1000</v>
      </c>
      <c r="J348" s="2" t="s">
        <v>30</v>
      </c>
      <c r="K348" s="2" t="s">
        <v>30</v>
      </c>
      <c r="L348" s="2" t="s">
        <v>362</v>
      </c>
      <c r="M348" s="2" t="s">
        <v>31</v>
      </c>
      <c r="N348" s="2" t="s">
        <v>518</v>
      </c>
      <c r="O348" s="2" t="s">
        <v>155</v>
      </c>
      <c r="P348" s="2" t="s">
        <v>1353</v>
      </c>
      <c r="Q348" s="2" t="s">
        <v>206</v>
      </c>
      <c r="R348" s="2" t="s">
        <v>441</v>
      </c>
      <c r="S348" s="2" t="s">
        <v>34</v>
      </c>
      <c r="T348" s="151">
        <v>2.077</v>
      </c>
      <c r="U348" s="2" t="s">
        <v>2529</v>
      </c>
      <c r="V348" s="162">
        <v>0.04</v>
      </c>
      <c r="W348" s="164">
        <v>5.2440000000000001E-2</v>
      </c>
      <c r="X348" s="4" t="s">
        <v>447</v>
      </c>
      <c r="Y348" s="4" t="s">
        <v>155</v>
      </c>
      <c r="Z348" s="151">
        <v>250894.7</v>
      </c>
      <c r="AA348" s="158">
        <v>1</v>
      </c>
      <c r="AB348" s="175">
        <v>98.59</v>
      </c>
      <c r="AD348" s="151">
        <v>247.357</v>
      </c>
      <c r="AG348" s="2" t="s">
        <v>36</v>
      </c>
      <c r="AH348" s="164">
        <v>4.2099999999999999E-4</v>
      </c>
      <c r="AI348" s="164">
        <v>1.3713681226257501E-2</v>
      </c>
      <c r="AJ348" s="164">
        <v>1.6980910637356399E-3</v>
      </c>
    </row>
    <row r="349" spans="1:36">
      <c r="A349" s="2">
        <v>424</v>
      </c>
      <c r="B349" s="2">
        <v>7229</v>
      </c>
      <c r="C349" s="2" t="s">
        <v>2453</v>
      </c>
      <c r="D349" s="2" t="s">
        <v>2454</v>
      </c>
      <c r="E349" s="4" t="s">
        <v>1342</v>
      </c>
      <c r="F349" s="2" t="s">
        <v>2455</v>
      </c>
      <c r="G349" s="2" t="s">
        <v>2456</v>
      </c>
      <c r="H349" s="2" t="s">
        <v>356</v>
      </c>
      <c r="I349" s="2" t="s">
        <v>1000</v>
      </c>
      <c r="J349" s="2" t="s">
        <v>30</v>
      </c>
      <c r="K349" s="2" t="s">
        <v>30</v>
      </c>
      <c r="L349" s="2" t="s">
        <v>362</v>
      </c>
      <c r="M349" s="2" t="s">
        <v>31</v>
      </c>
      <c r="N349" s="2" t="s">
        <v>498</v>
      </c>
      <c r="O349" s="2" t="s">
        <v>155</v>
      </c>
      <c r="P349" s="2" t="s">
        <v>2181</v>
      </c>
      <c r="Q349" s="2" t="s">
        <v>101</v>
      </c>
      <c r="R349" s="2" t="s">
        <v>441</v>
      </c>
      <c r="S349" s="2" t="s">
        <v>34</v>
      </c>
      <c r="T349" s="151">
        <v>1.7050000000000001</v>
      </c>
      <c r="U349" s="2" t="s">
        <v>2457</v>
      </c>
      <c r="V349" s="162">
        <v>2.6499999999999999E-2</v>
      </c>
      <c r="W349" s="164">
        <v>5.5120000000000002E-2</v>
      </c>
      <c r="X349" s="4" t="s">
        <v>447</v>
      </c>
      <c r="Y349" s="4" t="s">
        <v>155</v>
      </c>
      <c r="Z349" s="151">
        <v>235714.28</v>
      </c>
      <c r="AA349" s="158">
        <v>1</v>
      </c>
      <c r="AB349" s="175">
        <v>94.77</v>
      </c>
      <c r="AD349" s="151">
        <v>223.386</v>
      </c>
      <c r="AG349" s="2" t="s">
        <v>36</v>
      </c>
      <c r="AH349" s="164">
        <v>4.6000000000000001E-4</v>
      </c>
      <c r="AI349" s="164">
        <v>1.23847279360489E-2</v>
      </c>
      <c r="AJ349" s="164">
        <v>1.5335339569316399E-3</v>
      </c>
    </row>
    <row r="350" spans="1:36">
      <c r="A350" s="2">
        <v>424</v>
      </c>
      <c r="B350" s="2">
        <v>7229</v>
      </c>
      <c r="C350" s="2" t="s">
        <v>2577</v>
      </c>
      <c r="D350" s="2" t="s">
        <v>2578</v>
      </c>
      <c r="E350" s="4" t="s">
        <v>1342</v>
      </c>
      <c r="F350" s="2" t="s">
        <v>2579</v>
      </c>
      <c r="G350" s="2" t="s">
        <v>2580</v>
      </c>
      <c r="H350" s="2" t="s">
        <v>356</v>
      </c>
      <c r="I350" s="2" t="s">
        <v>208</v>
      </c>
      <c r="J350" s="2" t="s">
        <v>30</v>
      </c>
      <c r="K350" s="2" t="s">
        <v>30</v>
      </c>
      <c r="L350" s="2" t="s">
        <v>362</v>
      </c>
      <c r="M350" s="2" t="s">
        <v>31</v>
      </c>
      <c r="N350" s="2" t="s">
        <v>497</v>
      </c>
      <c r="O350" s="2" t="s">
        <v>155</v>
      </c>
      <c r="P350" s="2" t="s">
        <v>1353</v>
      </c>
      <c r="Q350" s="2" t="s">
        <v>206</v>
      </c>
      <c r="R350" s="2" t="s">
        <v>441</v>
      </c>
      <c r="S350" s="2" t="s">
        <v>34</v>
      </c>
      <c r="T350" s="151">
        <v>1.2090000000000001</v>
      </c>
      <c r="U350" s="2" t="s">
        <v>2581</v>
      </c>
      <c r="V350" s="162">
        <v>2.1499999999999998E-2</v>
      </c>
      <c r="W350" s="164">
        <v>2.6550000000000001E-2</v>
      </c>
      <c r="X350" s="4" t="s">
        <v>447</v>
      </c>
      <c r="Y350" s="4" t="s">
        <v>155</v>
      </c>
      <c r="Z350" s="151">
        <v>125300</v>
      </c>
      <c r="AA350" s="158">
        <v>1</v>
      </c>
      <c r="AB350" s="175">
        <v>117.11</v>
      </c>
      <c r="AD350" s="151">
        <v>146.739</v>
      </c>
      <c r="AG350" s="2" t="s">
        <v>36</v>
      </c>
      <c r="AH350" s="164">
        <v>6.3999999999999997E-5</v>
      </c>
      <c r="AI350" s="164">
        <v>8.1353220197049603E-3</v>
      </c>
      <c r="AJ350" s="164">
        <v>1.00735297797517E-3</v>
      </c>
    </row>
    <row r="351" spans="1:36">
      <c r="A351" s="2">
        <v>424</v>
      </c>
      <c r="B351" s="2">
        <v>7229</v>
      </c>
      <c r="C351" s="2" t="s">
        <v>2458</v>
      </c>
      <c r="D351" s="2" t="s">
        <v>2459</v>
      </c>
      <c r="E351" s="4" t="s">
        <v>1342</v>
      </c>
      <c r="F351" s="2" t="s">
        <v>2460</v>
      </c>
      <c r="G351" s="2" t="s">
        <v>2461</v>
      </c>
      <c r="H351" s="2" t="s">
        <v>356</v>
      </c>
      <c r="I351" s="2" t="s">
        <v>1000</v>
      </c>
      <c r="J351" s="2" t="s">
        <v>30</v>
      </c>
      <c r="K351" s="2" t="s">
        <v>30</v>
      </c>
      <c r="L351" s="2" t="s">
        <v>362</v>
      </c>
      <c r="M351" s="2" t="s">
        <v>85</v>
      </c>
      <c r="N351" s="2" t="s">
        <v>480</v>
      </c>
      <c r="O351" s="2" t="s">
        <v>155</v>
      </c>
      <c r="P351" s="2" t="s">
        <v>2181</v>
      </c>
      <c r="Q351" s="2" t="s">
        <v>101</v>
      </c>
      <c r="R351" s="2" t="s">
        <v>441</v>
      </c>
      <c r="S351" s="2" t="s">
        <v>34</v>
      </c>
      <c r="T351" s="151">
        <v>3.6070000000000002</v>
      </c>
      <c r="U351" s="2" t="s">
        <v>92</v>
      </c>
      <c r="V351" s="162">
        <v>5.8200000000000002E-2</v>
      </c>
      <c r="W351" s="164">
        <v>5.8200000000000002E-2</v>
      </c>
      <c r="X351" s="4" t="s">
        <v>447</v>
      </c>
      <c r="Y351" s="4" t="s">
        <v>155</v>
      </c>
      <c r="Z351" s="151">
        <v>133000</v>
      </c>
      <c r="AA351" s="158">
        <v>1</v>
      </c>
      <c r="AB351" s="175">
        <v>100.66</v>
      </c>
      <c r="AD351" s="151">
        <v>133.87799999999999</v>
      </c>
      <c r="AG351" s="2" t="s">
        <v>36</v>
      </c>
      <c r="AH351" s="164">
        <v>7.6000000000000004E-4</v>
      </c>
      <c r="AI351" s="164">
        <v>7.4222958864375299E-3</v>
      </c>
      <c r="AJ351" s="164">
        <v>9.1906280372253601E-4</v>
      </c>
    </row>
    <row r="352" spans="1:36">
      <c r="A352" s="2">
        <v>424</v>
      </c>
      <c r="B352" s="2">
        <v>7229</v>
      </c>
      <c r="C352" s="2" t="s">
        <v>2462</v>
      </c>
      <c r="D352" s="2" t="s">
        <v>2463</v>
      </c>
      <c r="E352" s="4" t="s">
        <v>349</v>
      </c>
      <c r="F352" s="2" t="s">
        <v>2464</v>
      </c>
      <c r="G352" s="2" t="s">
        <v>2465</v>
      </c>
      <c r="H352" s="2" t="s">
        <v>356</v>
      </c>
      <c r="I352" s="2" t="s">
        <v>204</v>
      </c>
      <c r="J352" s="2" t="s">
        <v>30</v>
      </c>
      <c r="K352" s="2" t="s">
        <v>271</v>
      </c>
      <c r="L352" s="2" t="s">
        <v>362</v>
      </c>
      <c r="M352" s="2" t="s">
        <v>31</v>
      </c>
      <c r="N352" s="2" t="s">
        <v>498</v>
      </c>
      <c r="O352" s="2" t="s">
        <v>155</v>
      </c>
      <c r="P352" s="2" t="s">
        <v>1353</v>
      </c>
      <c r="Q352" s="2" t="s">
        <v>101</v>
      </c>
      <c r="R352" s="2" t="s">
        <v>441</v>
      </c>
      <c r="S352" s="2" t="s">
        <v>34</v>
      </c>
      <c r="T352" s="151">
        <v>2.91</v>
      </c>
      <c r="U352" s="2" t="s">
        <v>2466</v>
      </c>
      <c r="V352" s="162">
        <v>4.2999999999999997E-2</v>
      </c>
      <c r="W352" s="164">
        <v>0.10149</v>
      </c>
      <c r="X352" s="4" t="s">
        <v>447</v>
      </c>
      <c r="Y352" s="4" t="s">
        <v>155</v>
      </c>
      <c r="Z352" s="151">
        <v>0.24</v>
      </c>
      <c r="AA352" s="158">
        <v>1</v>
      </c>
      <c r="AB352" s="175">
        <v>89.69</v>
      </c>
      <c r="AD352" s="151">
        <v>0</v>
      </c>
      <c r="AG352" s="2" t="s">
        <v>36</v>
      </c>
      <c r="AH352" s="164">
        <v>0</v>
      </c>
      <c r="AI352" s="164">
        <v>1.19339705562162E-8</v>
      </c>
      <c r="AJ352" s="164">
        <v>1.4777191056179502E-9</v>
      </c>
    </row>
    <row r="353" spans="1:36">
      <c r="A353" s="2">
        <v>424</v>
      </c>
      <c r="B353" s="2">
        <v>7229</v>
      </c>
      <c r="C353" s="2" t="s">
        <v>2167</v>
      </c>
      <c r="D353" s="2" t="s">
        <v>2168</v>
      </c>
      <c r="E353" s="4" t="s">
        <v>1342</v>
      </c>
      <c r="F353" s="2" t="s">
        <v>2467</v>
      </c>
      <c r="G353" s="2" t="s">
        <v>2468</v>
      </c>
      <c r="H353" s="2" t="s">
        <v>356</v>
      </c>
      <c r="I353" s="2" t="s">
        <v>1000</v>
      </c>
      <c r="J353" s="2" t="s">
        <v>30</v>
      </c>
      <c r="K353" s="2" t="s">
        <v>30</v>
      </c>
      <c r="L353" s="2" t="s">
        <v>362</v>
      </c>
      <c r="M353" s="2" t="s">
        <v>85</v>
      </c>
      <c r="N353" s="2" t="s">
        <v>495</v>
      </c>
      <c r="O353" s="2" t="s">
        <v>155</v>
      </c>
      <c r="P353" s="2" t="s">
        <v>1353</v>
      </c>
      <c r="Q353" s="2" t="s">
        <v>101</v>
      </c>
      <c r="R353" s="2" t="s">
        <v>441</v>
      </c>
      <c r="S353" s="2" t="s">
        <v>34</v>
      </c>
      <c r="T353" s="151">
        <v>4.5330000000000004</v>
      </c>
      <c r="U353" s="2" t="s">
        <v>2270</v>
      </c>
      <c r="V353" s="162">
        <v>5.8500000000000003E-2</v>
      </c>
      <c r="W353" s="164">
        <v>5.7729999999999997E-2</v>
      </c>
      <c r="X353" s="4" t="s">
        <v>447</v>
      </c>
      <c r="Y353" s="4" t="s">
        <v>155</v>
      </c>
      <c r="Z353" s="151">
        <v>116000</v>
      </c>
      <c r="AA353" s="158">
        <v>1</v>
      </c>
      <c r="AB353" s="175">
        <v>101.6</v>
      </c>
      <c r="AD353" s="151">
        <v>117.85599999999999</v>
      </c>
      <c r="AG353" s="2" t="s">
        <v>36</v>
      </c>
      <c r="AH353" s="164">
        <v>7.4799999999999997E-4</v>
      </c>
      <c r="AI353" s="164">
        <v>6.5340340518889803E-3</v>
      </c>
      <c r="AJ353" s="164">
        <v>8.0907413921892405E-4</v>
      </c>
    </row>
    <row r="354" spans="1:36">
      <c r="A354" s="2">
        <v>424</v>
      </c>
      <c r="B354" s="2">
        <v>9817</v>
      </c>
      <c r="C354" s="2" t="s">
        <v>2202</v>
      </c>
      <c r="D354" s="2" t="s">
        <v>2203</v>
      </c>
      <c r="E354" s="4" t="s">
        <v>1342</v>
      </c>
      <c r="F354" s="2" t="s">
        <v>2204</v>
      </c>
      <c r="G354" s="2" t="s">
        <v>2205</v>
      </c>
      <c r="H354" s="2" t="s">
        <v>356</v>
      </c>
      <c r="I354" s="2" t="s">
        <v>1000</v>
      </c>
      <c r="J354" s="2" t="s">
        <v>30</v>
      </c>
      <c r="K354" s="2" t="s">
        <v>30</v>
      </c>
      <c r="L354" s="2" t="s">
        <v>362</v>
      </c>
      <c r="M354" s="2" t="s">
        <v>31</v>
      </c>
      <c r="N354" s="2" t="s">
        <v>478</v>
      </c>
      <c r="O354" s="2" t="s">
        <v>155</v>
      </c>
      <c r="P354" s="2" t="s">
        <v>2181</v>
      </c>
      <c r="Q354" s="2" t="s">
        <v>101</v>
      </c>
      <c r="R354" s="2" t="s">
        <v>441</v>
      </c>
      <c r="S354" s="2" t="s">
        <v>34</v>
      </c>
      <c r="T354" s="151">
        <v>3.9980000000000002</v>
      </c>
      <c r="U354" s="2" t="s">
        <v>2206</v>
      </c>
      <c r="V354" s="162">
        <v>2.18E-2</v>
      </c>
      <c r="W354" s="164">
        <v>6.139E-2</v>
      </c>
      <c r="X354" s="4" t="s">
        <v>447</v>
      </c>
      <c r="Y354" s="4" t="s">
        <v>155</v>
      </c>
      <c r="Z354" s="151">
        <v>2364</v>
      </c>
      <c r="AA354" s="158">
        <v>1</v>
      </c>
      <c r="AB354" s="175">
        <v>86.45</v>
      </c>
      <c r="AD354" s="151">
        <v>2.044</v>
      </c>
      <c r="AG354" s="2" t="s">
        <v>36</v>
      </c>
      <c r="AH354" s="164">
        <v>1.4E-5</v>
      </c>
      <c r="AI354" s="164">
        <v>1.8229613991207299E-2</v>
      </c>
      <c r="AJ354" s="164">
        <v>1.33169889004844E-3</v>
      </c>
    </row>
    <row r="355" spans="1:36">
      <c r="A355" s="2">
        <v>424</v>
      </c>
      <c r="B355" s="2">
        <v>9817</v>
      </c>
      <c r="C355" s="2" t="s">
        <v>2212</v>
      </c>
      <c r="D355" s="2" t="s">
        <v>2213</v>
      </c>
      <c r="E355" s="4" t="s">
        <v>1342</v>
      </c>
      <c r="F355" s="2" t="s">
        <v>2504</v>
      </c>
      <c r="G355" s="2" t="s">
        <v>2505</v>
      </c>
      <c r="H355" s="2" t="s">
        <v>356</v>
      </c>
      <c r="I355" s="2" t="s">
        <v>1000</v>
      </c>
      <c r="J355" s="2" t="s">
        <v>30</v>
      </c>
      <c r="K355" s="2" t="s">
        <v>30</v>
      </c>
      <c r="L355" s="2" t="s">
        <v>362</v>
      </c>
      <c r="M355" s="2" t="s">
        <v>31</v>
      </c>
      <c r="N355" s="2" t="s">
        <v>497</v>
      </c>
      <c r="O355" s="2" t="s">
        <v>155</v>
      </c>
      <c r="P355" s="2" t="s">
        <v>1353</v>
      </c>
      <c r="Q355" s="2" t="s">
        <v>206</v>
      </c>
      <c r="R355" s="2" t="s">
        <v>441</v>
      </c>
      <c r="S355" s="2" t="s">
        <v>34</v>
      </c>
      <c r="T355" s="151">
        <v>1.353</v>
      </c>
      <c r="U355" s="2" t="s">
        <v>2506</v>
      </c>
      <c r="V355" s="162">
        <v>3.85E-2</v>
      </c>
      <c r="W355" s="164">
        <v>5.3539999999999997E-2</v>
      </c>
      <c r="X355" s="4" t="s">
        <v>447</v>
      </c>
      <c r="Y355" s="4" t="s">
        <v>155</v>
      </c>
      <c r="Z355" s="151">
        <v>2439.6999999999998</v>
      </c>
      <c r="AA355" s="158">
        <v>1</v>
      </c>
      <c r="AB355" s="175">
        <v>100.27</v>
      </c>
      <c r="AD355" s="151">
        <v>2.4460000000000002</v>
      </c>
      <c r="AG355" s="2" t="s">
        <v>36</v>
      </c>
      <c r="AH355" s="164">
        <v>5.0000000000000004E-6</v>
      </c>
      <c r="AI355" s="164">
        <v>2.1820889193569198E-2</v>
      </c>
      <c r="AJ355" s="164">
        <v>1.59404658447305E-3</v>
      </c>
    </row>
    <row r="356" spans="1:36">
      <c r="A356" s="2">
        <v>424</v>
      </c>
      <c r="B356" s="2">
        <v>9817</v>
      </c>
      <c r="C356" s="2" t="s">
        <v>2212</v>
      </c>
      <c r="D356" s="2" t="s">
        <v>2213</v>
      </c>
      <c r="E356" s="4" t="s">
        <v>1342</v>
      </c>
      <c r="F356" s="2" t="s">
        <v>2217</v>
      </c>
      <c r="G356" s="2" t="s">
        <v>2218</v>
      </c>
      <c r="H356" s="2" t="s">
        <v>356</v>
      </c>
      <c r="I356" s="2" t="s">
        <v>1000</v>
      </c>
      <c r="J356" s="2" t="s">
        <v>30</v>
      </c>
      <c r="K356" s="2" t="s">
        <v>30</v>
      </c>
      <c r="L356" s="2" t="s">
        <v>362</v>
      </c>
      <c r="M356" s="2" t="s">
        <v>31</v>
      </c>
      <c r="N356" s="2" t="s">
        <v>497</v>
      </c>
      <c r="O356" s="2" t="s">
        <v>155</v>
      </c>
      <c r="P356" s="2" t="s">
        <v>1353</v>
      </c>
      <c r="Q356" s="2" t="s">
        <v>206</v>
      </c>
      <c r="R356" s="2" t="s">
        <v>441</v>
      </c>
      <c r="S356" s="2" t="s">
        <v>34</v>
      </c>
      <c r="T356" s="151">
        <v>6.2430000000000003</v>
      </c>
      <c r="U356" s="2" t="s">
        <v>2219</v>
      </c>
      <c r="V356" s="162">
        <v>4.9399999999999999E-2</v>
      </c>
      <c r="W356" s="164">
        <v>6.6839999999999997E-2</v>
      </c>
      <c r="X356" s="4" t="s">
        <v>447</v>
      </c>
      <c r="Y356" s="4" t="s">
        <v>155</v>
      </c>
      <c r="Z356" s="151">
        <v>1538</v>
      </c>
      <c r="AA356" s="158">
        <v>1</v>
      </c>
      <c r="AB356" s="175">
        <v>92.67</v>
      </c>
      <c r="AD356" s="151">
        <v>1.425</v>
      </c>
      <c r="AG356" s="2" t="s">
        <v>36</v>
      </c>
      <c r="AH356" s="164">
        <v>1.9999999999999999E-6</v>
      </c>
      <c r="AI356" s="164">
        <v>1.27133645776548E-2</v>
      </c>
      <c r="AJ356" s="164">
        <v>9.2872912750703997E-4</v>
      </c>
    </row>
    <row r="357" spans="1:36">
      <c r="A357" s="2">
        <v>424</v>
      </c>
      <c r="B357" s="2">
        <v>9817</v>
      </c>
      <c r="C357" s="2" t="s">
        <v>1808</v>
      </c>
      <c r="D357" s="2" t="s">
        <v>1809</v>
      </c>
      <c r="E357" s="4" t="s">
        <v>1342</v>
      </c>
      <c r="F357" s="2" t="s">
        <v>2220</v>
      </c>
      <c r="G357" s="2" t="s">
        <v>2221</v>
      </c>
      <c r="H357" s="2" t="s">
        <v>356</v>
      </c>
      <c r="I357" s="2" t="s">
        <v>1000</v>
      </c>
      <c r="J357" s="2" t="s">
        <v>30</v>
      </c>
      <c r="K357" s="2" t="s">
        <v>30</v>
      </c>
      <c r="L357" s="2" t="s">
        <v>362</v>
      </c>
      <c r="M357" s="2" t="s">
        <v>31</v>
      </c>
      <c r="N357" s="2" t="s">
        <v>484</v>
      </c>
      <c r="O357" s="2" t="s">
        <v>155</v>
      </c>
      <c r="P357" s="2" t="s">
        <v>1346</v>
      </c>
      <c r="Q357" s="2" t="s">
        <v>206</v>
      </c>
      <c r="R357" s="2" t="s">
        <v>441</v>
      </c>
      <c r="S357" s="2" t="s">
        <v>34</v>
      </c>
      <c r="T357" s="151">
        <v>2.2240000000000002</v>
      </c>
      <c r="U357" s="2" t="s">
        <v>2222</v>
      </c>
      <c r="V357" s="162">
        <v>0.04</v>
      </c>
      <c r="W357" s="164">
        <v>5.774E-2</v>
      </c>
      <c r="X357" s="4" t="s">
        <v>447</v>
      </c>
      <c r="Y357" s="4" t="s">
        <v>155</v>
      </c>
      <c r="Z357" s="151">
        <v>2751.88</v>
      </c>
      <c r="AA357" s="158">
        <v>1</v>
      </c>
      <c r="AB357" s="175">
        <v>96.04</v>
      </c>
      <c r="AD357" s="151">
        <v>2.6429999999999998</v>
      </c>
      <c r="AG357" s="2" t="s">
        <v>36</v>
      </c>
      <c r="AH357" s="164">
        <v>3.9999999999999998E-6</v>
      </c>
      <c r="AI357" s="164">
        <v>2.3574725582101799E-2</v>
      </c>
      <c r="AJ357" s="164">
        <v>1.72216679442713E-3</v>
      </c>
    </row>
    <row r="358" spans="1:36">
      <c r="A358" s="2">
        <v>424</v>
      </c>
      <c r="B358" s="2">
        <v>9817</v>
      </c>
      <c r="C358" s="2" t="s">
        <v>2226</v>
      </c>
      <c r="D358" s="2" t="s">
        <v>2227</v>
      </c>
      <c r="E358" s="4" t="s">
        <v>1342</v>
      </c>
      <c r="F358" s="2" t="s">
        <v>2507</v>
      </c>
      <c r="G358" s="2" t="s">
        <v>2508</v>
      </c>
      <c r="H358" s="2" t="s">
        <v>356</v>
      </c>
      <c r="I358" s="2" t="s">
        <v>1000</v>
      </c>
      <c r="J358" s="2" t="s">
        <v>30</v>
      </c>
      <c r="K358" s="2" t="s">
        <v>30</v>
      </c>
      <c r="L358" s="2" t="s">
        <v>362</v>
      </c>
      <c r="M358" s="2" t="s">
        <v>31</v>
      </c>
      <c r="N358" s="2" t="s">
        <v>498</v>
      </c>
      <c r="O358" s="2" t="s">
        <v>155</v>
      </c>
      <c r="P358" s="2" t="s">
        <v>2181</v>
      </c>
      <c r="Q358" s="2" t="s">
        <v>101</v>
      </c>
      <c r="R358" s="2" t="s">
        <v>441</v>
      </c>
      <c r="S358" s="2" t="s">
        <v>34</v>
      </c>
      <c r="T358" s="151">
        <v>2.871</v>
      </c>
      <c r="U358" s="2" t="s">
        <v>2509</v>
      </c>
      <c r="V358" s="162">
        <v>3.2500000000000001E-2</v>
      </c>
      <c r="W358" s="164">
        <v>6.0850000000000001E-2</v>
      </c>
      <c r="X358" s="4" t="s">
        <v>447</v>
      </c>
      <c r="Y358" s="4" t="s">
        <v>155</v>
      </c>
      <c r="Z358" s="151">
        <v>2125</v>
      </c>
      <c r="AA358" s="158">
        <v>1</v>
      </c>
      <c r="AB358" s="175">
        <v>92.53</v>
      </c>
      <c r="AD358" s="151">
        <v>1.966</v>
      </c>
      <c r="AG358" s="2" t="s">
        <v>36</v>
      </c>
      <c r="AH358" s="164">
        <v>6.9999999999999999E-6</v>
      </c>
      <c r="AI358" s="164">
        <v>1.7539067495166202E-2</v>
      </c>
      <c r="AJ358" s="164">
        <v>1.2812534992273101E-3</v>
      </c>
    </row>
    <row r="359" spans="1:36">
      <c r="A359" s="2">
        <v>424</v>
      </c>
      <c r="B359" s="2">
        <v>9817</v>
      </c>
      <c r="C359" s="2" t="s">
        <v>1836</v>
      </c>
      <c r="D359" s="2" t="s">
        <v>1837</v>
      </c>
      <c r="E359" s="4" t="s">
        <v>1342</v>
      </c>
      <c r="F359" s="2" t="s">
        <v>2250</v>
      </c>
      <c r="G359" s="2" t="s">
        <v>2251</v>
      </c>
      <c r="H359" s="2" t="s">
        <v>356</v>
      </c>
      <c r="I359" s="2" t="s">
        <v>1000</v>
      </c>
      <c r="J359" s="2" t="s">
        <v>30</v>
      </c>
      <c r="K359" s="2" t="s">
        <v>30</v>
      </c>
      <c r="L359" s="2" t="s">
        <v>362</v>
      </c>
      <c r="M359" s="2" t="s">
        <v>31</v>
      </c>
      <c r="N359" s="2" t="s">
        <v>473</v>
      </c>
      <c r="O359" s="2" t="s">
        <v>155</v>
      </c>
      <c r="P359" s="2" t="s">
        <v>1346</v>
      </c>
      <c r="Q359" s="2" t="s">
        <v>206</v>
      </c>
      <c r="R359" s="2" t="s">
        <v>441</v>
      </c>
      <c r="S359" s="2" t="s">
        <v>34</v>
      </c>
      <c r="T359" s="151">
        <v>2.3109999999999999</v>
      </c>
      <c r="U359" s="2" t="s">
        <v>2252</v>
      </c>
      <c r="V359" s="162">
        <v>2.7E-2</v>
      </c>
      <c r="W359" s="164">
        <v>5.9020000000000003E-2</v>
      </c>
      <c r="X359" s="4" t="s">
        <v>447</v>
      </c>
      <c r="Y359" s="4" t="s">
        <v>155</v>
      </c>
      <c r="Z359" s="151">
        <v>1937.5</v>
      </c>
      <c r="AA359" s="158">
        <v>1</v>
      </c>
      <c r="AB359" s="175">
        <v>93.07</v>
      </c>
      <c r="AD359" s="151">
        <v>1.8029999999999999</v>
      </c>
      <c r="AG359" s="2" t="s">
        <v>36</v>
      </c>
      <c r="AH359" s="164">
        <v>3.0000000000000001E-6</v>
      </c>
      <c r="AI359" s="164">
        <v>1.60848282480812E-2</v>
      </c>
      <c r="AJ359" s="164">
        <v>1.1750192809853899E-3</v>
      </c>
    </row>
    <row r="360" spans="1:36">
      <c r="A360" s="2">
        <v>424</v>
      </c>
      <c r="B360" s="2">
        <v>9817</v>
      </c>
      <c r="C360" s="2" t="s">
        <v>2253</v>
      </c>
      <c r="D360" s="2" t="s">
        <v>2254</v>
      </c>
      <c r="E360" s="4" t="s">
        <v>1342</v>
      </c>
      <c r="F360" s="2" t="s">
        <v>2255</v>
      </c>
      <c r="G360" s="2" t="s">
        <v>2256</v>
      </c>
      <c r="H360" s="2" t="s">
        <v>356</v>
      </c>
      <c r="I360" s="2" t="s">
        <v>1000</v>
      </c>
      <c r="J360" s="2" t="s">
        <v>30</v>
      </c>
      <c r="K360" s="2" t="s">
        <v>30</v>
      </c>
      <c r="L360" s="2" t="s">
        <v>362</v>
      </c>
      <c r="M360" s="2" t="s">
        <v>85</v>
      </c>
      <c r="N360" s="2" t="s">
        <v>518</v>
      </c>
      <c r="O360" s="2" t="s">
        <v>155</v>
      </c>
      <c r="P360" s="2" t="s">
        <v>2192</v>
      </c>
      <c r="Q360" s="2" t="s">
        <v>101</v>
      </c>
      <c r="R360" s="2" t="s">
        <v>441</v>
      </c>
      <c r="S360" s="2" t="s">
        <v>34</v>
      </c>
      <c r="T360" s="151">
        <v>4.5069999999999997</v>
      </c>
      <c r="U360" s="2" t="s">
        <v>2257</v>
      </c>
      <c r="V360" s="162">
        <v>5.5E-2</v>
      </c>
      <c r="W360" s="164">
        <v>6.1679999999999999E-2</v>
      </c>
      <c r="X360" s="4" t="s">
        <v>447</v>
      </c>
      <c r="Y360" s="4" t="s">
        <v>155</v>
      </c>
      <c r="Z360" s="151">
        <v>5356.03</v>
      </c>
      <c r="AA360" s="158">
        <v>1</v>
      </c>
      <c r="AB360" s="175">
        <v>97.66</v>
      </c>
      <c r="AD360" s="151">
        <v>5.2309999999999999</v>
      </c>
      <c r="AG360" s="2" t="s">
        <v>36</v>
      </c>
      <c r="AH360" s="164">
        <v>5.0000000000000004E-6</v>
      </c>
      <c r="AI360" s="164">
        <v>4.6657850118645601E-2</v>
      </c>
      <c r="AJ360" s="164">
        <v>3.4084214424406401E-3</v>
      </c>
    </row>
    <row r="361" spans="1:36">
      <c r="A361" s="2">
        <v>424</v>
      </c>
      <c r="B361" s="2">
        <v>9817</v>
      </c>
      <c r="C361" s="2" t="s">
        <v>1844</v>
      </c>
      <c r="D361" s="2" t="s">
        <v>1845</v>
      </c>
      <c r="E361" s="4" t="s">
        <v>1342</v>
      </c>
      <c r="F361" s="2" t="s">
        <v>2572</v>
      </c>
      <c r="G361" s="2" t="s">
        <v>2573</v>
      </c>
      <c r="H361" s="2" t="s">
        <v>356</v>
      </c>
      <c r="I361" s="2" t="s">
        <v>208</v>
      </c>
      <c r="J361" s="2" t="s">
        <v>30</v>
      </c>
      <c r="K361" s="2" t="s">
        <v>30</v>
      </c>
      <c r="L361" s="2" t="s">
        <v>362</v>
      </c>
      <c r="M361" s="2" t="s">
        <v>31</v>
      </c>
      <c r="N361" s="2" t="s">
        <v>497</v>
      </c>
      <c r="O361" s="2" t="s">
        <v>155</v>
      </c>
      <c r="P361" s="2" t="s">
        <v>1353</v>
      </c>
      <c r="Q361" s="2" t="s">
        <v>206</v>
      </c>
      <c r="R361" s="2" t="s">
        <v>441</v>
      </c>
      <c r="S361" s="2" t="s">
        <v>34</v>
      </c>
      <c r="T361" s="151">
        <v>2.754</v>
      </c>
      <c r="U361" s="2" t="s">
        <v>2574</v>
      </c>
      <c r="V361" s="162">
        <v>3.3500000000000002E-2</v>
      </c>
      <c r="W361" s="164">
        <v>2.743E-2</v>
      </c>
      <c r="X361" s="4" t="s">
        <v>447</v>
      </c>
      <c r="Y361" s="4" t="s">
        <v>155</v>
      </c>
      <c r="Z361" s="151">
        <v>5391.7</v>
      </c>
      <c r="AA361" s="158">
        <v>1</v>
      </c>
      <c r="AB361" s="175">
        <v>117.34</v>
      </c>
      <c r="AD361" s="151">
        <v>6.327</v>
      </c>
      <c r="AG361" s="2" t="s">
        <v>36</v>
      </c>
      <c r="AH361" s="164">
        <v>7.9999999999999996E-6</v>
      </c>
      <c r="AI361" s="164">
        <v>5.6433476647569099E-2</v>
      </c>
      <c r="AJ361" s="164">
        <v>4.1225446819329603E-3</v>
      </c>
    </row>
    <row r="362" spans="1:36">
      <c r="A362" s="2">
        <v>424</v>
      </c>
      <c r="B362" s="2">
        <v>9817</v>
      </c>
      <c r="C362" s="2" t="s">
        <v>2266</v>
      </c>
      <c r="D362" s="2" t="s">
        <v>2267</v>
      </c>
      <c r="E362" s="4" t="s">
        <v>1342</v>
      </c>
      <c r="F362" s="2" t="s">
        <v>2271</v>
      </c>
      <c r="G362" s="2" t="s">
        <v>2272</v>
      </c>
      <c r="H362" s="2" t="s">
        <v>356</v>
      </c>
      <c r="I362" s="2" t="s">
        <v>208</v>
      </c>
      <c r="J362" s="2" t="s">
        <v>30</v>
      </c>
      <c r="K362" s="2" t="s">
        <v>30</v>
      </c>
      <c r="L362" s="2" t="s">
        <v>362</v>
      </c>
      <c r="M362" s="2" t="s">
        <v>31</v>
      </c>
      <c r="N362" s="2" t="s">
        <v>497</v>
      </c>
      <c r="O362" s="2" t="s">
        <v>155</v>
      </c>
      <c r="P362" s="2" t="s">
        <v>2211</v>
      </c>
      <c r="Q362" s="2" t="s">
        <v>206</v>
      </c>
      <c r="R362" s="2" t="s">
        <v>441</v>
      </c>
      <c r="S362" s="2" t="s">
        <v>34</v>
      </c>
      <c r="T362" s="151">
        <v>3.9689999999999999</v>
      </c>
      <c r="U362" s="2" t="s">
        <v>2273</v>
      </c>
      <c r="V362" s="162">
        <v>5.0000000000000001E-3</v>
      </c>
      <c r="W362" s="164">
        <v>3.1890000000000002E-2</v>
      </c>
      <c r="X362" s="4" t="s">
        <v>447</v>
      </c>
      <c r="Y362" s="4" t="s">
        <v>155</v>
      </c>
      <c r="Z362" s="151">
        <v>12433.63</v>
      </c>
      <c r="AA362" s="158">
        <v>1</v>
      </c>
      <c r="AB362" s="175">
        <v>103.53</v>
      </c>
      <c r="AD362" s="151">
        <v>12.872999999999999</v>
      </c>
      <c r="AG362" s="2" t="s">
        <v>36</v>
      </c>
      <c r="AH362" s="164">
        <v>7.9999999999999996E-6</v>
      </c>
      <c r="AI362" s="164">
        <v>0.114823070528454</v>
      </c>
      <c r="AJ362" s="164">
        <v>8.3879864734628506E-3</v>
      </c>
    </row>
    <row r="363" spans="1:36">
      <c r="A363" s="2">
        <v>424</v>
      </c>
      <c r="B363" s="2">
        <v>9817</v>
      </c>
      <c r="C363" s="2" t="s">
        <v>2266</v>
      </c>
      <c r="D363" s="2" t="s">
        <v>2267</v>
      </c>
      <c r="E363" s="4" t="s">
        <v>1342</v>
      </c>
      <c r="F363" s="2" t="s">
        <v>2274</v>
      </c>
      <c r="G363" s="2" t="s">
        <v>2275</v>
      </c>
      <c r="H363" s="2" t="s">
        <v>356</v>
      </c>
      <c r="I363" s="2" t="s">
        <v>208</v>
      </c>
      <c r="J363" s="2" t="s">
        <v>30</v>
      </c>
      <c r="K363" s="2" t="s">
        <v>30</v>
      </c>
      <c r="L363" s="2" t="s">
        <v>362</v>
      </c>
      <c r="M363" s="2" t="s">
        <v>31</v>
      </c>
      <c r="N363" s="2" t="s">
        <v>497</v>
      </c>
      <c r="O363" s="2" t="s">
        <v>155</v>
      </c>
      <c r="P363" s="2" t="s">
        <v>2211</v>
      </c>
      <c r="Q363" s="2" t="s">
        <v>206</v>
      </c>
      <c r="R363" s="2" t="s">
        <v>441</v>
      </c>
      <c r="S363" s="2" t="s">
        <v>34</v>
      </c>
      <c r="T363" s="151">
        <v>5.1369999999999996</v>
      </c>
      <c r="U363" s="2" t="s">
        <v>2276</v>
      </c>
      <c r="V363" s="162">
        <v>5.8999999999999999E-3</v>
      </c>
      <c r="W363" s="164">
        <v>3.3239999999999999E-2</v>
      </c>
      <c r="X363" s="4" t="s">
        <v>447</v>
      </c>
      <c r="Y363" s="4" t="s">
        <v>155</v>
      </c>
      <c r="Z363" s="151">
        <v>1557</v>
      </c>
      <c r="AA363" s="158">
        <v>1</v>
      </c>
      <c r="AB363" s="175">
        <v>97.54</v>
      </c>
      <c r="AD363" s="151">
        <v>1.5189999999999999</v>
      </c>
      <c r="AG363" s="2" t="s">
        <v>36</v>
      </c>
      <c r="AH363" s="164">
        <v>9.9999999999999995E-7</v>
      </c>
      <c r="AI363" s="164">
        <v>1.35467890065342E-2</v>
      </c>
      <c r="AJ363" s="164">
        <v>9.8961195187255891E-4</v>
      </c>
    </row>
    <row r="364" spans="1:36">
      <c r="A364" s="2">
        <v>424</v>
      </c>
      <c r="B364" s="2">
        <v>9817</v>
      </c>
      <c r="C364" s="2" t="s">
        <v>2266</v>
      </c>
      <c r="D364" s="2" t="s">
        <v>2267</v>
      </c>
      <c r="E364" s="4" t="s">
        <v>1342</v>
      </c>
      <c r="F364" s="2" t="s">
        <v>2280</v>
      </c>
      <c r="G364" s="2" t="s">
        <v>2281</v>
      </c>
      <c r="H364" s="2" t="s">
        <v>356</v>
      </c>
      <c r="I364" s="2" t="s">
        <v>208</v>
      </c>
      <c r="J364" s="2" t="s">
        <v>30</v>
      </c>
      <c r="K364" s="2" t="s">
        <v>30</v>
      </c>
      <c r="L364" s="2" t="s">
        <v>362</v>
      </c>
      <c r="M364" s="2" t="s">
        <v>31</v>
      </c>
      <c r="N364" s="2" t="s">
        <v>497</v>
      </c>
      <c r="O364" s="2" t="s">
        <v>155</v>
      </c>
      <c r="P364" s="2" t="s">
        <v>2211</v>
      </c>
      <c r="Q364" s="2" t="s">
        <v>206</v>
      </c>
      <c r="R364" s="2" t="s">
        <v>441</v>
      </c>
      <c r="S364" s="2" t="s">
        <v>34</v>
      </c>
      <c r="T364" s="151">
        <v>0.85199999999999998</v>
      </c>
      <c r="U364" s="2" t="s">
        <v>2282</v>
      </c>
      <c r="V364" s="162">
        <v>4.7500000000000001E-2</v>
      </c>
      <c r="W364" s="164">
        <v>2.555E-2</v>
      </c>
      <c r="X364" s="4" t="s">
        <v>447</v>
      </c>
      <c r="Y364" s="4" t="s">
        <v>155</v>
      </c>
      <c r="Z364" s="151">
        <v>912.67</v>
      </c>
      <c r="AA364" s="158">
        <v>1</v>
      </c>
      <c r="AB364" s="175">
        <v>142.99</v>
      </c>
      <c r="AD364" s="151">
        <v>1.3049999999999999</v>
      </c>
      <c r="AG364" s="2" t="s">
        <v>36</v>
      </c>
      <c r="AH364" s="164">
        <v>9.9999999999999995E-7</v>
      </c>
      <c r="AI364" s="164">
        <v>1.16408433294079E-2</v>
      </c>
      <c r="AJ364" s="164">
        <v>8.5037994487856196E-4</v>
      </c>
    </row>
    <row r="365" spans="1:36">
      <c r="A365" s="2">
        <v>424</v>
      </c>
      <c r="B365" s="2">
        <v>9817</v>
      </c>
      <c r="C365" s="2" t="s">
        <v>2283</v>
      </c>
      <c r="D365" s="2" t="s">
        <v>2284</v>
      </c>
      <c r="E365" s="4" t="s">
        <v>1342</v>
      </c>
      <c r="F365" s="2" t="s">
        <v>2285</v>
      </c>
      <c r="G365" s="2" t="s">
        <v>2286</v>
      </c>
      <c r="H365" s="2" t="s">
        <v>356</v>
      </c>
      <c r="I365" s="2" t="s">
        <v>208</v>
      </c>
      <c r="J365" s="2" t="s">
        <v>30</v>
      </c>
      <c r="K365" s="2" t="s">
        <v>30</v>
      </c>
      <c r="L365" s="2" t="s">
        <v>362</v>
      </c>
      <c r="M365" s="2" t="s">
        <v>31</v>
      </c>
      <c r="N365" s="2" t="s">
        <v>484</v>
      </c>
      <c r="O365" s="2" t="s">
        <v>155</v>
      </c>
      <c r="P365" s="2" t="s">
        <v>1346</v>
      </c>
      <c r="Q365" s="2" t="s">
        <v>206</v>
      </c>
      <c r="R365" s="2" t="s">
        <v>441</v>
      </c>
      <c r="S365" s="2" t="s">
        <v>34</v>
      </c>
      <c r="T365" s="151">
        <v>4.702</v>
      </c>
      <c r="U365" s="2" t="s">
        <v>2287</v>
      </c>
      <c r="V365" s="162">
        <v>7.4999999999999997E-3</v>
      </c>
      <c r="W365" s="164">
        <v>3.6729999999999999E-2</v>
      </c>
      <c r="X365" s="4" t="s">
        <v>447</v>
      </c>
      <c r="Y365" s="4" t="s">
        <v>155</v>
      </c>
      <c r="Z365" s="151">
        <v>1376.1</v>
      </c>
      <c r="AA365" s="158">
        <v>1</v>
      </c>
      <c r="AB365" s="175">
        <v>97.72</v>
      </c>
      <c r="AD365" s="151">
        <v>1.345</v>
      </c>
      <c r="AG365" s="2" t="s">
        <v>36</v>
      </c>
      <c r="AH365" s="164">
        <v>9.9999999999999995E-7</v>
      </c>
      <c r="AI365" s="164">
        <v>1.1994950386488E-2</v>
      </c>
      <c r="AJ365" s="164">
        <v>8.7624796244050005E-4</v>
      </c>
    </row>
    <row r="366" spans="1:36">
      <c r="A366" s="2">
        <v>424</v>
      </c>
      <c r="B366" s="2">
        <v>9817</v>
      </c>
      <c r="C366" s="2" t="s">
        <v>2302</v>
      </c>
      <c r="D366" s="2" t="s">
        <v>2303</v>
      </c>
      <c r="E366" s="4" t="s">
        <v>1342</v>
      </c>
      <c r="F366" s="2" t="s">
        <v>2304</v>
      </c>
      <c r="G366" s="2" t="s">
        <v>2305</v>
      </c>
      <c r="H366" s="2" t="s">
        <v>356</v>
      </c>
      <c r="I366" s="2" t="s">
        <v>208</v>
      </c>
      <c r="J366" s="2" t="s">
        <v>30</v>
      </c>
      <c r="K366" s="2" t="s">
        <v>30</v>
      </c>
      <c r="L366" s="2" t="s">
        <v>362</v>
      </c>
      <c r="M366" s="2" t="s">
        <v>31</v>
      </c>
      <c r="N366" s="2" t="s">
        <v>473</v>
      </c>
      <c r="O366" s="2" t="s">
        <v>155</v>
      </c>
      <c r="P366" s="2" t="s">
        <v>2192</v>
      </c>
      <c r="Q366" s="2" t="s">
        <v>101</v>
      </c>
      <c r="R366" s="2" t="s">
        <v>441</v>
      </c>
      <c r="S366" s="2" t="s">
        <v>34</v>
      </c>
      <c r="T366" s="151">
        <v>3.4649999999999999</v>
      </c>
      <c r="U366" s="2" t="s">
        <v>2306</v>
      </c>
      <c r="V366" s="162">
        <v>1.7999999999999999E-2</v>
      </c>
      <c r="W366" s="164">
        <v>3.6589999999999998E-2</v>
      </c>
      <c r="X366" s="4" t="s">
        <v>447</v>
      </c>
      <c r="Y366" s="4" t="s">
        <v>155</v>
      </c>
      <c r="Z366" s="151">
        <v>6986.41</v>
      </c>
      <c r="AA366" s="158">
        <v>1</v>
      </c>
      <c r="AB366" s="175">
        <v>107.89</v>
      </c>
      <c r="AD366" s="151">
        <v>7.5380000000000003</v>
      </c>
      <c r="AG366" s="2" t="s">
        <v>36</v>
      </c>
      <c r="AH366" s="164">
        <v>6.9999999999999999E-6</v>
      </c>
      <c r="AI366" s="164">
        <v>6.7235751703459398E-2</v>
      </c>
      <c r="AJ366" s="164">
        <v>4.91166603737502E-3</v>
      </c>
    </row>
    <row r="367" spans="1:36">
      <c r="A367" s="2">
        <v>424</v>
      </c>
      <c r="B367" s="2">
        <v>9817</v>
      </c>
      <c r="C367" s="2" t="s">
        <v>2316</v>
      </c>
      <c r="D367" s="2" t="s">
        <v>2317</v>
      </c>
      <c r="E367" s="4" t="s">
        <v>1342</v>
      </c>
      <c r="F367" s="2" t="s">
        <v>2582</v>
      </c>
      <c r="G367" s="2" t="s">
        <v>2583</v>
      </c>
      <c r="H367" s="2" t="s">
        <v>356</v>
      </c>
      <c r="I367" s="2" t="s">
        <v>1000</v>
      </c>
      <c r="J367" s="2" t="s">
        <v>30</v>
      </c>
      <c r="K367" s="2" t="s">
        <v>30</v>
      </c>
      <c r="L367" s="2" t="s">
        <v>362</v>
      </c>
      <c r="M367" s="2" t="s">
        <v>31</v>
      </c>
      <c r="N367" s="2" t="s">
        <v>478</v>
      </c>
      <c r="O367" s="2" t="s">
        <v>155</v>
      </c>
      <c r="P367" s="2" t="s">
        <v>1353</v>
      </c>
      <c r="Q367" s="2" t="s">
        <v>206</v>
      </c>
      <c r="R367" s="2" t="s">
        <v>441</v>
      </c>
      <c r="S367" s="2" t="s">
        <v>34</v>
      </c>
      <c r="T367" s="151">
        <v>3.1509999999999998</v>
      </c>
      <c r="U367" s="2" t="s">
        <v>1338</v>
      </c>
      <c r="V367" s="162">
        <v>1.7899999999999999E-2</v>
      </c>
      <c r="W367" s="164">
        <v>5.0180000000000002E-2</v>
      </c>
      <c r="X367" s="4" t="s">
        <v>447</v>
      </c>
      <c r="Y367" s="4" t="s">
        <v>155</v>
      </c>
      <c r="Z367" s="151">
        <v>6000</v>
      </c>
      <c r="AA367" s="158">
        <v>1</v>
      </c>
      <c r="AB367" s="175">
        <v>91.05</v>
      </c>
      <c r="AD367" s="151">
        <v>5.4630000000000001</v>
      </c>
      <c r="AG367" s="2" t="s">
        <v>36</v>
      </c>
      <c r="AH367" s="164">
        <v>1.7E-5</v>
      </c>
      <c r="AI367" s="164">
        <v>4.8729976656775399E-2</v>
      </c>
      <c r="AJ367" s="164">
        <v>3.5597931945906499E-3</v>
      </c>
    </row>
    <row r="368" spans="1:36">
      <c r="A368" s="2">
        <v>424</v>
      </c>
      <c r="B368" s="2">
        <v>9817</v>
      </c>
      <c r="C368" s="2" t="s">
        <v>2316</v>
      </c>
      <c r="D368" s="2" t="s">
        <v>2317</v>
      </c>
      <c r="E368" s="4" t="s">
        <v>1342</v>
      </c>
      <c r="F368" s="2" t="s">
        <v>2318</v>
      </c>
      <c r="G368" s="2" t="s">
        <v>2319</v>
      </c>
      <c r="H368" s="2" t="s">
        <v>356</v>
      </c>
      <c r="I368" s="2" t="s">
        <v>1000</v>
      </c>
      <c r="J368" s="2" t="s">
        <v>30</v>
      </c>
      <c r="K368" s="2" t="s">
        <v>30</v>
      </c>
      <c r="L368" s="2" t="s">
        <v>362</v>
      </c>
      <c r="M368" s="2" t="s">
        <v>31</v>
      </c>
      <c r="N368" s="2" t="s">
        <v>478</v>
      </c>
      <c r="O368" s="2" t="s">
        <v>155</v>
      </c>
      <c r="P368" s="2" t="s">
        <v>1353</v>
      </c>
      <c r="Q368" s="2" t="s">
        <v>206</v>
      </c>
      <c r="R368" s="2" t="s">
        <v>441</v>
      </c>
      <c r="S368" s="2" t="s">
        <v>34</v>
      </c>
      <c r="T368" s="151">
        <v>8.5960000000000001</v>
      </c>
      <c r="U368" s="2" t="s">
        <v>2320</v>
      </c>
      <c r="V368" s="162">
        <v>3.0499999999999999E-2</v>
      </c>
      <c r="W368" s="164">
        <v>5.8979999999999998E-2</v>
      </c>
      <c r="X368" s="4" t="s">
        <v>447</v>
      </c>
      <c r="Y368" s="4" t="s">
        <v>155</v>
      </c>
      <c r="Z368" s="151">
        <v>1546</v>
      </c>
      <c r="AA368" s="158">
        <v>1</v>
      </c>
      <c r="AB368" s="175">
        <v>84.59</v>
      </c>
      <c r="AD368" s="151">
        <v>1.3080000000000001</v>
      </c>
      <c r="AG368" s="2" t="s">
        <v>36</v>
      </c>
      <c r="AH368" s="164">
        <v>1.9999999999999999E-6</v>
      </c>
      <c r="AI368" s="164">
        <v>1.16652356753857E-2</v>
      </c>
      <c r="AJ368" s="164">
        <v>8.5216183999054299E-4</v>
      </c>
    </row>
    <row r="369" spans="1:36">
      <c r="A369" s="2">
        <v>424</v>
      </c>
      <c r="B369" s="2">
        <v>9817</v>
      </c>
      <c r="C369" s="2" t="s">
        <v>2316</v>
      </c>
      <c r="D369" s="2" t="s">
        <v>2317</v>
      </c>
      <c r="E369" s="4" t="s">
        <v>1342</v>
      </c>
      <c r="F369" s="2" t="s">
        <v>2493</v>
      </c>
      <c r="G369" s="2" t="s">
        <v>2494</v>
      </c>
      <c r="H369" s="2" t="s">
        <v>356</v>
      </c>
      <c r="I369" s="2" t="s">
        <v>1000</v>
      </c>
      <c r="J369" s="2" t="s">
        <v>30</v>
      </c>
      <c r="K369" s="2" t="s">
        <v>30</v>
      </c>
      <c r="L369" s="2" t="s">
        <v>362</v>
      </c>
      <c r="M369" s="2" t="s">
        <v>31</v>
      </c>
      <c r="N369" s="2" t="s">
        <v>478</v>
      </c>
      <c r="O369" s="2" t="s">
        <v>155</v>
      </c>
      <c r="P369" s="2" t="s">
        <v>1353</v>
      </c>
      <c r="Q369" s="2" t="s">
        <v>206</v>
      </c>
      <c r="R369" s="2" t="s">
        <v>441</v>
      </c>
      <c r="S369" s="2" t="s">
        <v>34</v>
      </c>
      <c r="T369" s="151">
        <v>7.2880000000000003</v>
      </c>
      <c r="U369" s="2" t="s">
        <v>2370</v>
      </c>
      <c r="V369" s="162">
        <v>2.63E-2</v>
      </c>
      <c r="W369" s="164">
        <v>6.003E-2</v>
      </c>
      <c r="X369" s="4" t="s">
        <v>447</v>
      </c>
      <c r="Y369" s="4" t="s">
        <v>155</v>
      </c>
      <c r="Z369" s="151">
        <v>1016</v>
      </c>
      <c r="AA369" s="158">
        <v>1</v>
      </c>
      <c r="AB369" s="175">
        <v>79.430000000000007</v>
      </c>
      <c r="AD369" s="151">
        <v>0.80700000000000005</v>
      </c>
      <c r="AG369" s="2" t="s">
        <v>36</v>
      </c>
      <c r="AH369" s="164">
        <v>9.9999999999999995E-7</v>
      </c>
      <c r="AI369" s="164">
        <v>7.1985209565828901E-3</v>
      </c>
      <c r="AJ369" s="164">
        <v>5.2586206007958398E-4</v>
      </c>
    </row>
    <row r="370" spans="1:36">
      <c r="A370" s="2">
        <v>424</v>
      </c>
      <c r="B370" s="2">
        <v>9817</v>
      </c>
      <c r="C370" s="2" t="s">
        <v>1212</v>
      </c>
      <c r="D370" s="2" t="s">
        <v>1900</v>
      </c>
      <c r="E370" s="4" t="s">
        <v>1342</v>
      </c>
      <c r="F370" s="2" t="s">
        <v>2584</v>
      </c>
      <c r="G370" s="2" t="s">
        <v>2585</v>
      </c>
      <c r="H370" s="2" t="s">
        <v>356</v>
      </c>
      <c r="I370" s="2" t="s">
        <v>1000</v>
      </c>
      <c r="J370" s="2" t="s">
        <v>30</v>
      </c>
      <c r="K370" s="2" t="s">
        <v>30</v>
      </c>
      <c r="L370" s="2" t="s">
        <v>362</v>
      </c>
      <c r="M370" s="2" t="s">
        <v>31</v>
      </c>
      <c r="N370" s="2" t="s">
        <v>481</v>
      </c>
      <c r="O370" s="2" t="s">
        <v>155</v>
      </c>
      <c r="P370" s="2" t="s">
        <v>100</v>
      </c>
      <c r="Q370" s="2" t="s">
        <v>206</v>
      </c>
      <c r="R370" s="2" t="s">
        <v>441</v>
      </c>
      <c r="S370" s="2" t="s">
        <v>34</v>
      </c>
      <c r="T370" s="151">
        <v>0.41099999999999998</v>
      </c>
      <c r="U370" s="2" t="s">
        <v>2586</v>
      </c>
      <c r="V370" s="162">
        <v>2.0199999999999999E-2</v>
      </c>
      <c r="W370" s="164">
        <v>4.4269999999999997E-2</v>
      </c>
      <c r="X370" s="4" t="s">
        <v>447</v>
      </c>
      <c r="Y370" s="4" t="s">
        <v>155</v>
      </c>
      <c r="Z370" s="151">
        <v>2860</v>
      </c>
      <c r="AA370" s="158">
        <v>1</v>
      </c>
      <c r="AB370" s="175">
        <v>100.22</v>
      </c>
      <c r="AD370" s="151">
        <v>2.8660000000000001</v>
      </c>
      <c r="AG370" s="2" t="s">
        <v>36</v>
      </c>
      <c r="AH370" s="164">
        <v>3.0000000000000001E-6</v>
      </c>
      <c r="AI370" s="164">
        <v>2.5567333379370699E-2</v>
      </c>
      <c r="AJ370" s="164">
        <v>1.8677295909408E-3</v>
      </c>
    </row>
    <row r="371" spans="1:36">
      <c r="A371" s="2">
        <v>424</v>
      </c>
      <c r="B371" s="2">
        <v>9817</v>
      </c>
      <c r="C371" s="2" t="s">
        <v>2379</v>
      </c>
      <c r="D371" s="2" t="s">
        <v>2380</v>
      </c>
      <c r="E371" s="4" t="s">
        <v>1342</v>
      </c>
      <c r="F371" s="2" t="s">
        <v>2520</v>
      </c>
      <c r="G371" s="2" t="s">
        <v>2521</v>
      </c>
      <c r="H371" s="2" t="s">
        <v>356</v>
      </c>
      <c r="I371" s="2" t="s">
        <v>1000</v>
      </c>
      <c r="J371" s="2" t="s">
        <v>30</v>
      </c>
      <c r="K371" s="2" t="s">
        <v>30</v>
      </c>
      <c r="L371" s="2" t="s">
        <v>362</v>
      </c>
      <c r="M371" s="2" t="s">
        <v>31</v>
      </c>
      <c r="N371" s="2" t="s">
        <v>481</v>
      </c>
      <c r="O371" s="2" t="s">
        <v>155</v>
      </c>
      <c r="P371" s="2" t="s">
        <v>100</v>
      </c>
      <c r="Q371" s="2" t="s">
        <v>206</v>
      </c>
      <c r="R371" s="2" t="s">
        <v>441</v>
      </c>
      <c r="S371" s="2" t="s">
        <v>34</v>
      </c>
      <c r="T371" s="151">
        <v>0.68200000000000005</v>
      </c>
      <c r="U371" s="2" t="s">
        <v>2522</v>
      </c>
      <c r="V371" s="162">
        <v>2.98E-2</v>
      </c>
      <c r="W371" s="164">
        <v>4.4600000000000001E-2</v>
      </c>
      <c r="X371" s="4" t="s">
        <v>447</v>
      </c>
      <c r="Y371" s="4" t="s">
        <v>155</v>
      </c>
      <c r="Z371" s="151">
        <v>2050</v>
      </c>
      <c r="AA371" s="158">
        <v>1</v>
      </c>
      <c r="AB371" s="175">
        <v>99.95</v>
      </c>
      <c r="AD371" s="151">
        <v>2.0489999999999999</v>
      </c>
      <c r="AG371" s="2" t="s">
        <v>36</v>
      </c>
      <c r="AH371" s="164">
        <v>9.9999999999999995E-7</v>
      </c>
      <c r="AI371" s="164">
        <v>1.8276863247357899E-2</v>
      </c>
      <c r="AJ371" s="164">
        <v>1.33515051453164E-3</v>
      </c>
    </row>
    <row r="372" spans="1:36">
      <c r="A372" s="2">
        <v>424</v>
      </c>
      <c r="B372" s="2">
        <v>9817</v>
      </c>
      <c r="C372" s="2" t="s">
        <v>2379</v>
      </c>
      <c r="D372" s="2" t="s">
        <v>2380</v>
      </c>
      <c r="E372" s="4" t="s">
        <v>1342</v>
      </c>
      <c r="F372" s="2" t="s">
        <v>2587</v>
      </c>
      <c r="G372" s="2" t="s">
        <v>2588</v>
      </c>
      <c r="H372" s="2" t="s">
        <v>356</v>
      </c>
      <c r="I372" s="2" t="s">
        <v>208</v>
      </c>
      <c r="J372" s="2" t="s">
        <v>30</v>
      </c>
      <c r="K372" s="2" t="s">
        <v>30</v>
      </c>
      <c r="L372" s="2" t="s">
        <v>362</v>
      </c>
      <c r="M372" s="2" t="s">
        <v>31</v>
      </c>
      <c r="N372" s="2" t="s">
        <v>481</v>
      </c>
      <c r="O372" s="2" t="s">
        <v>155</v>
      </c>
      <c r="P372" s="2" t="s">
        <v>100</v>
      </c>
      <c r="Q372" s="2" t="s">
        <v>206</v>
      </c>
      <c r="R372" s="2" t="s">
        <v>441</v>
      </c>
      <c r="S372" s="2" t="s">
        <v>34</v>
      </c>
      <c r="T372" s="151">
        <v>1.681</v>
      </c>
      <c r="U372" s="2" t="s">
        <v>2589</v>
      </c>
      <c r="V372" s="162">
        <v>3.8E-3</v>
      </c>
      <c r="W372" s="164">
        <v>2.1440000000000001E-2</v>
      </c>
      <c r="X372" s="4" t="s">
        <v>447</v>
      </c>
      <c r="Y372" s="4" t="s">
        <v>155</v>
      </c>
      <c r="Z372" s="151">
        <v>7012</v>
      </c>
      <c r="AA372" s="158">
        <v>1</v>
      </c>
      <c r="AB372" s="175">
        <v>110.39</v>
      </c>
      <c r="AD372" s="151">
        <v>7.7409999999999997</v>
      </c>
      <c r="AG372" s="2" t="s">
        <v>36</v>
      </c>
      <c r="AH372" s="164">
        <v>1.9999999999999999E-6</v>
      </c>
      <c r="AI372" s="164">
        <v>6.9045701057052405E-2</v>
      </c>
      <c r="AJ372" s="164">
        <v>5.0438853781897101E-3</v>
      </c>
    </row>
    <row r="373" spans="1:36">
      <c r="A373" s="2">
        <v>424</v>
      </c>
      <c r="B373" s="2">
        <v>9817</v>
      </c>
      <c r="C373" s="2" t="s">
        <v>1919</v>
      </c>
      <c r="D373" s="2" t="s">
        <v>1920</v>
      </c>
      <c r="E373" s="4" t="s">
        <v>1342</v>
      </c>
      <c r="F373" s="2" t="s">
        <v>2498</v>
      </c>
      <c r="G373" s="2" t="s">
        <v>2499</v>
      </c>
      <c r="H373" s="2" t="s">
        <v>356</v>
      </c>
      <c r="I373" s="2" t="s">
        <v>208</v>
      </c>
      <c r="J373" s="2" t="s">
        <v>30</v>
      </c>
      <c r="K373" s="2" t="s">
        <v>30</v>
      </c>
      <c r="L373" s="2" t="s">
        <v>362</v>
      </c>
      <c r="M373" s="2" t="s">
        <v>31</v>
      </c>
      <c r="N373" s="2" t="s">
        <v>497</v>
      </c>
      <c r="O373" s="2" t="s">
        <v>155</v>
      </c>
      <c r="P373" s="2" t="s">
        <v>2211</v>
      </c>
      <c r="Q373" s="2" t="s">
        <v>206</v>
      </c>
      <c r="R373" s="2" t="s">
        <v>441</v>
      </c>
      <c r="S373" s="2" t="s">
        <v>34</v>
      </c>
      <c r="T373" s="151">
        <v>0.72299999999999998</v>
      </c>
      <c r="U373" s="2" t="s">
        <v>2500</v>
      </c>
      <c r="V373" s="162">
        <v>2.3E-2</v>
      </c>
      <c r="W373" s="164">
        <v>2.6749999999999999E-2</v>
      </c>
      <c r="X373" s="4" t="s">
        <v>447</v>
      </c>
      <c r="Y373" s="4" t="s">
        <v>155</v>
      </c>
      <c r="Z373" s="151">
        <v>3965.62</v>
      </c>
      <c r="AA373" s="158">
        <v>1</v>
      </c>
      <c r="AB373" s="175">
        <v>117.49</v>
      </c>
      <c r="AD373" s="151">
        <v>4.6589999999999998</v>
      </c>
      <c r="AG373" s="2" t="s">
        <v>36</v>
      </c>
      <c r="AH373" s="164">
        <v>5.0000000000000004E-6</v>
      </c>
      <c r="AI373" s="164">
        <v>4.1560140092957297E-2</v>
      </c>
      <c r="AJ373" s="164">
        <v>3.0360265696653698E-3</v>
      </c>
    </row>
    <row r="374" spans="1:36">
      <c r="A374" s="2">
        <v>424</v>
      </c>
      <c r="B374" s="2">
        <v>9817</v>
      </c>
      <c r="C374" s="2" t="s">
        <v>1919</v>
      </c>
      <c r="D374" s="2" t="s">
        <v>1920</v>
      </c>
      <c r="E374" s="4" t="s">
        <v>1342</v>
      </c>
      <c r="F374" s="2" t="s">
        <v>2590</v>
      </c>
      <c r="G374" s="2" t="s">
        <v>2591</v>
      </c>
      <c r="H374" s="2" t="s">
        <v>356</v>
      </c>
      <c r="I374" s="2" t="s">
        <v>208</v>
      </c>
      <c r="J374" s="2" t="s">
        <v>30</v>
      </c>
      <c r="K374" s="2" t="s">
        <v>30</v>
      </c>
      <c r="L374" s="2" t="s">
        <v>362</v>
      </c>
      <c r="M374" s="2" t="s">
        <v>31</v>
      </c>
      <c r="N374" s="2" t="s">
        <v>497</v>
      </c>
      <c r="O374" s="2" t="s">
        <v>155</v>
      </c>
      <c r="P374" s="2" t="s">
        <v>2211</v>
      </c>
      <c r="Q374" s="2" t="s">
        <v>206</v>
      </c>
      <c r="R374" s="2" t="s">
        <v>441</v>
      </c>
      <c r="S374" s="2" t="s">
        <v>34</v>
      </c>
      <c r="T374" s="151">
        <v>1.5029999999999999</v>
      </c>
      <c r="U374" s="2" t="s">
        <v>2592</v>
      </c>
      <c r="V374" s="162">
        <v>2.1499999999999998E-2</v>
      </c>
      <c r="W374" s="164">
        <v>2.529E-2</v>
      </c>
      <c r="X374" s="4" t="s">
        <v>447</v>
      </c>
      <c r="Y374" s="4" t="s">
        <v>155</v>
      </c>
      <c r="Z374" s="151">
        <v>3693.72</v>
      </c>
      <c r="AA374" s="158">
        <v>1</v>
      </c>
      <c r="AB374" s="175">
        <v>117.88</v>
      </c>
      <c r="AD374" s="151">
        <v>4.3540000000000001</v>
      </c>
      <c r="AG374" s="2" t="s">
        <v>36</v>
      </c>
      <c r="AH374" s="164">
        <v>3.0000000000000001E-6</v>
      </c>
      <c r="AI374" s="164">
        <v>3.8839094929015501E-2</v>
      </c>
      <c r="AJ374" s="164">
        <v>2.8372504010454199E-3</v>
      </c>
    </row>
    <row r="375" spans="1:36">
      <c r="A375" s="2">
        <v>424</v>
      </c>
      <c r="B375" s="2">
        <v>9817</v>
      </c>
      <c r="C375" s="2" t="s">
        <v>1919</v>
      </c>
      <c r="D375" s="2" t="s">
        <v>1920</v>
      </c>
      <c r="E375" s="4" t="s">
        <v>1342</v>
      </c>
      <c r="F375" s="2" t="s">
        <v>2593</v>
      </c>
      <c r="G375" s="2" t="s">
        <v>2594</v>
      </c>
      <c r="H375" s="2" t="s">
        <v>356</v>
      </c>
      <c r="I375" s="2" t="s">
        <v>208</v>
      </c>
      <c r="J375" s="2" t="s">
        <v>30</v>
      </c>
      <c r="K375" s="2" t="s">
        <v>30</v>
      </c>
      <c r="L375" s="2" t="s">
        <v>362</v>
      </c>
      <c r="M375" s="2" t="s">
        <v>31</v>
      </c>
      <c r="N375" s="2" t="s">
        <v>497</v>
      </c>
      <c r="O375" s="2" t="s">
        <v>155</v>
      </c>
      <c r="P375" s="2" t="s">
        <v>2211</v>
      </c>
      <c r="Q375" s="2" t="s">
        <v>206</v>
      </c>
      <c r="R375" s="2" t="s">
        <v>441</v>
      </c>
      <c r="S375" s="2" t="s">
        <v>34</v>
      </c>
      <c r="T375" s="151">
        <v>2.3839999999999999</v>
      </c>
      <c r="U375" s="2" t="s">
        <v>2595</v>
      </c>
      <c r="V375" s="162">
        <v>2.35E-2</v>
      </c>
      <c r="W375" s="164">
        <v>2.3949999999999999E-2</v>
      </c>
      <c r="X375" s="4" t="s">
        <v>447</v>
      </c>
      <c r="Y375" s="4" t="s">
        <v>155</v>
      </c>
      <c r="Z375" s="151">
        <v>12993.32</v>
      </c>
      <c r="AA375" s="158">
        <v>1</v>
      </c>
      <c r="AB375" s="175">
        <v>116.64</v>
      </c>
      <c r="AC375" s="151">
        <v>0.36099999999999999</v>
      </c>
      <c r="AD375" s="151">
        <v>15.516</v>
      </c>
      <c r="AG375" s="2" t="s">
        <v>36</v>
      </c>
      <c r="AH375" s="164">
        <v>1.4E-5</v>
      </c>
      <c r="AI375" s="164">
        <v>0.13840516186551399</v>
      </c>
      <c r="AJ375" s="164">
        <v>1.0110691346628601E-2</v>
      </c>
    </row>
    <row r="376" spans="1:36">
      <c r="A376" s="2">
        <v>424</v>
      </c>
      <c r="B376" s="2">
        <v>9817</v>
      </c>
      <c r="C376" s="2" t="s">
        <v>2127</v>
      </c>
      <c r="D376" s="2" t="s">
        <v>2128</v>
      </c>
      <c r="E376" s="4" t="s">
        <v>1342</v>
      </c>
      <c r="F376" s="2" t="s">
        <v>2575</v>
      </c>
      <c r="G376" s="2" t="s">
        <v>2576</v>
      </c>
      <c r="H376" s="2" t="s">
        <v>356</v>
      </c>
      <c r="I376" s="2" t="s">
        <v>208</v>
      </c>
      <c r="J376" s="2" t="s">
        <v>30</v>
      </c>
      <c r="K376" s="2" t="s">
        <v>30</v>
      </c>
      <c r="L376" s="2" t="s">
        <v>362</v>
      </c>
      <c r="M376" s="2" t="s">
        <v>31</v>
      </c>
      <c r="N376" s="2" t="s">
        <v>497</v>
      </c>
      <c r="O376" s="2" t="s">
        <v>155</v>
      </c>
      <c r="P376" s="2" t="s">
        <v>1353</v>
      </c>
      <c r="Q376" s="2" t="s">
        <v>101</v>
      </c>
      <c r="R376" s="2" t="s">
        <v>441</v>
      </c>
      <c r="S376" s="2" t="s">
        <v>34</v>
      </c>
      <c r="T376" s="151">
        <v>2.7770000000000001</v>
      </c>
      <c r="U376" s="2" t="s">
        <v>1338</v>
      </c>
      <c r="V376" s="162">
        <v>2.75E-2</v>
      </c>
      <c r="W376" s="164">
        <v>2.7130000000000001E-2</v>
      </c>
      <c r="X376" s="4" t="s">
        <v>447</v>
      </c>
      <c r="Y376" s="4" t="s">
        <v>155</v>
      </c>
      <c r="Z376" s="151">
        <v>4250</v>
      </c>
      <c r="AA376" s="158">
        <v>1</v>
      </c>
      <c r="AB376" s="175">
        <v>115.62</v>
      </c>
      <c r="AD376" s="151">
        <v>4.9139999999999997</v>
      </c>
      <c r="AG376" s="2" t="s">
        <v>36</v>
      </c>
      <c r="AH376" s="164">
        <v>7.9999999999999996E-6</v>
      </c>
      <c r="AI376" s="164">
        <v>4.38315569824081E-2</v>
      </c>
      <c r="AJ376" s="164">
        <v>3.20195676171321E-3</v>
      </c>
    </row>
    <row r="377" spans="1:36">
      <c r="A377" s="2">
        <v>424</v>
      </c>
      <c r="B377" s="2">
        <v>9817</v>
      </c>
      <c r="C377" s="2" t="s">
        <v>1927</v>
      </c>
      <c r="D377" s="2" t="s">
        <v>1483</v>
      </c>
      <c r="E377" s="4" t="s">
        <v>1342</v>
      </c>
      <c r="F377" s="2" t="s">
        <v>2390</v>
      </c>
      <c r="G377" s="2" t="s">
        <v>2391</v>
      </c>
      <c r="H377" s="2" t="s">
        <v>356</v>
      </c>
      <c r="I377" s="2" t="s">
        <v>1000</v>
      </c>
      <c r="J377" s="2" t="s">
        <v>30</v>
      </c>
      <c r="K377" s="2" t="s">
        <v>30</v>
      </c>
      <c r="L377" s="2" t="s">
        <v>362</v>
      </c>
      <c r="M377" s="2" t="s">
        <v>31</v>
      </c>
      <c r="N377" s="2" t="s">
        <v>476</v>
      </c>
      <c r="O377" s="2" t="s">
        <v>155</v>
      </c>
      <c r="P377" s="2" t="s">
        <v>2192</v>
      </c>
      <c r="Q377" s="2" t="s">
        <v>101</v>
      </c>
      <c r="R377" s="2" t="s">
        <v>441</v>
      </c>
      <c r="S377" s="2" t="s">
        <v>34</v>
      </c>
      <c r="T377" s="151">
        <v>1.448</v>
      </c>
      <c r="U377" s="2" t="s">
        <v>2392</v>
      </c>
      <c r="V377" s="162">
        <v>0.114</v>
      </c>
      <c r="W377" s="164">
        <v>6.5989999999999993E-2</v>
      </c>
      <c r="X377" s="4" t="s">
        <v>447</v>
      </c>
      <c r="Y377" s="4" t="s">
        <v>155</v>
      </c>
      <c r="Z377" s="151">
        <v>1990.57</v>
      </c>
      <c r="AA377" s="158">
        <v>1</v>
      </c>
      <c r="AB377" s="175">
        <v>100.59</v>
      </c>
      <c r="AD377" s="151">
        <v>2.0019999999999998</v>
      </c>
      <c r="AG377" s="2" t="s">
        <v>36</v>
      </c>
      <c r="AH377" s="164">
        <v>6.0000000000000002E-6</v>
      </c>
      <c r="AI377" s="164">
        <v>1.7860650223048901E-2</v>
      </c>
      <c r="AJ377" s="164">
        <v>1.30474556888862E-3</v>
      </c>
    </row>
    <row r="378" spans="1:36">
      <c r="A378" s="2">
        <v>424</v>
      </c>
      <c r="B378" s="2">
        <v>9817</v>
      </c>
      <c r="C378" s="2" t="s">
        <v>2396</v>
      </c>
      <c r="D378" s="2" t="s">
        <v>2397</v>
      </c>
      <c r="E378" s="4" t="s">
        <v>1342</v>
      </c>
      <c r="F378" s="2" t="s">
        <v>2398</v>
      </c>
      <c r="G378" s="2" t="s">
        <v>2399</v>
      </c>
      <c r="H378" s="2" t="s">
        <v>356</v>
      </c>
      <c r="I378" s="2" t="s">
        <v>208</v>
      </c>
      <c r="J378" s="2" t="s">
        <v>30</v>
      </c>
      <c r="K378" s="2" t="s">
        <v>30</v>
      </c>
      <c r="L378" s="2" t="s">
        <v>362</v>
      </c>
      <c r="M378" s="2" t="s">
        <v>31</v>
      </c>
      <c r="N378" s="2" t="s">
        <v>480</v>
      </c>
      <c r="O378" s="2" t="s">
        <v>155</v>
      </c>
      <c r="P378" s="2" t="s">
        <v>1337</v>
      </c>
      <c r="Q378" s="2" t="s">
        <v>101</v>
      </c>
      <c r="R378" s="2" t="s">
        <v>441</v>
      </c>
      <c r="S378" s="2" t="s">
        <v>34</v>
      </c>
      <c r="T378" s="151">
        <v>3.5590000000000002</v>
      </c>
      <c r="U378" s="2" t="s">
        <v>2400</v>
      </c>
      <c r="V378" s="162">
        <v>2.07E-2</v>
      </c>
      <c r="W378" s="164">
        <v>4.965E-2</v>
      </c>
      <c r="X378" s="4" t="s">
        <v>447</v>
      </c>
      <c r="Y378" s="4" t="s">
        <v>155</v>
      </c>
      <c r="Z378" s="151">
        <v>2104.0300000000002</v>
      </c>
      <c r="AA378" s="158">
        <v>1</v>
      </c>
      <c r="AB378" s="175">
        <v>101.96</v>
      </c>
      <c r="AD378" s="151">
        <v>2.145</v>
      </c>
      <c r="AG378" s="2" t="s">
        <v>36</v>
      </c>
      <c r="AH378" s="164">
        <v>3.9999999999999998E-6</v>
      </c>
      <c r="AI378" s="164">
        <v>1.91358059139198E-2</v>
      </c>
      <c r="AJ378" s="164">
        <v>1.3978974819785399E-3</v>
      </c>
    </row>
    <row r="379" spans="1:36">
      <c r="A379" s="2">
        <v>424</v>
      </c>
      <c r="B379" s="2">
        <v>9817</v>
      </c>
      <c r="C379" s="2" t="s">
        <v>1950</v>
      </c>
      <c r="D379" s="2" t="s">
        <v>1951</v>
      </c>
      <c r="E379" s="4" t="s">
        <v>1342</v>
      </c>
      <c r="F379" s="2" t="s">
        <v>2438</v>
      </c>
      <c r="G379" s="2" t="s">
        <v>2439</v>
      </c>
      <c r="H379" s="2" t="s">
        <v>356</v>
      </c>
      <c r="I379" s="2" t="s">
        <v>208</v>
      </c>
      <c r="J379" s="2" t="s">
        <v>30</v>
      </c>
      <c r="K379" s="2" t="s">
        <v>30</v>
      </c>
      <c r="L379" s="2" t="s">
        <v>362</v>
      </c>
      <c r="M379" s="2" t="s">
        <v>31</v>
      </c>
      <c r="N379" s="2" t="s">
        <v>497</v>
      </c>
      <c r="O379" s="2" t="s">
        <v>155</v>
      </c>
      <c r="P379" s="2" t="s">
        <v>1519</v>
      </c>
      <c r="Q379" s="2" t="s">
        <v>206</v>
      </c>
      <c r="R379" s="2" t="s">
        <v>441</v>
      </c>
      <c r="S379" s="2" t="s">
        <v>34</v>
      </c>
      <c r="T379" s="151">
        <v>10.343</v>
      </c>
      <c r="U379" s="2" t="s">
        <v>2440</v>
      </c>
      <c r="V379" s="162">
        <v>1.6899999999999998E-2</v>
      </c>
      <c r="W379" s="164">
        <v>3.635E-2</v>
      </c>
      <c r="X379" s="4" t="s">
        <v>447</v>
      </c>
      <c r="Y379" s="4" t="s">
        <v>155</v>
      </c>
      <c r="Z379" s="151">
        <v>2131</v>
      </c>
      <c r="AA379" s="158">
        <v>1</v>
      </c>
      <c r="AB379" s="175">
        <v>93.61</v>
      </c>
      <c r="AD379" s="151">
        <v>1.9950000000000001</v>
      </c>
      <c r="AG379" s="2" t="s">
        <v>36</v>
      </c>
      <c r="AH379" s="164">
        <v>0</v>
      </c>
      <c r="AI379" s="164">
        <v>1.7793881654266201E-2</v>
      </c>
      <c r="AJ379" s="164">
        <v>1.29986803121936E-3</v>
      </c>
    </row>
    <row r="380" spans="1:36">
      <c r="A380" s="2">
        <v>424</v>
      </c>
      <c r="B380" s="2">
        <v>9817</v>
      </c>
      <c r="C380" s="2" t="s">
        <v>1217</v>
      </c>
      <c r="D380" s="2" t="s">
        <v>1954</v>
      </c>
      <c r="E380" s="4" t="s">
        <v>1342</v>
      </c>
      <c r="F380" s="2" t="s">
        <v>2596</v>
      </c>
      <c r="G380" s="2" t="s">
        <v>2597</v>
      </c>
      <c r="H380" s="2" t="s">
        <v>356</v>
      </c>
      <c r="I380" s="2" t="s">
        <v>208</v>
      </c>
      <c r="J380" s="2" t="s">
        <v>30</v>
      </c>
      <c r="K380" s="2" t="s">
        <v>30</v>
      </c>
      <c r="L380" s="2" t="s">
        <v>362</v>
      </c>
      <c r="M380" s="2" t="s">
        <v>31</v>
      </c>
      <c r="N380" s="2" t="s">
        <v>481</v>
      </c>
      <c r="O380" s="2" t="s">
        <v>155</v>
      </c>
      <c r="P380" s="2" t="s">
        <v>100</v>
      </c>
      <c r="Q380" s="2" t="s">
        <v>206</v>
      </c>
      <c r="R380" s="2" t="s">
        <v>441</v>
      </c>
      <c r="S380" s="2" t="s">
        <v>34</v>
      </c>
      <c r="T380" s="151">
        <v>2.786</v>
      </c>
      <c r="U380" s="2" t="s">
        <v>2598</v>
      </c>
      <c r="V380" s="162">
        <v>1.7500000000000002E-2</v>
      </c>
      <c r="W380" s="164">
        <v>2.3460000000000002E-2</v>
      </c>
      <c r="X380" s="4" t="s">
        <v>447</v>
      </c>
      <c r="Y380" s="4" t="s">
        <v>155</v>
      </c>
      <c r="Z380" s="151">
        <v>4512.28</v>
      </c>
      <c r="AA380" s="158">
        <v>1</v>
      </c>
      <c r="AB380" s="175">
        <v>114.28</v>
      </c>
      <c r="AD380" s="151">
        <v>5.157</v>
      </c>
      <c r="AG380" s="2" t="s">
        <v>36</v>
      </c>
      <c r="AH380" s="164">
        <v>1.9999999999999999E-6</v>
      </c>
      <c r="AI380" s="164">
        <v>4.5997187291939197E-2</v>
      </c>
      <c r="AJ380" s="164">
        <v>3.3601590956106099E-3</v>
      </c>
    </row>
    <row r="381" spans="1:36">
      <c r="A381" s="2">
        <v>424</v>
      </c>
      <c r="B381" s="2">
        <v>9817</v>
      </c>
      <c r="C381" s="2" t="s">
        <v>1961</v>
      </c>
      <c r="D381" s="2" t="s">
        <v>1962</v>
      </c>
      <c r="E381" s="4" t="s">
        <v>1342</v>
      </c>
      <c r="F381" s="2" t="s">
        <v>2527</v>
      </c>
      <c r="G381" s="2" t="s">
        <v>2528</v>
      </c>
      <c r="H381" s="2" t="s">
        <v>356</v>
      </c>
      <c r="I381" s="2" t="s">
        <v>1000</v>
      </c>
      <c r="J381" s="2" t="s">
        <v>30</v>
      </c>
      <c r="K381" s="2" t="s">
        <v>30</v>
      </c>
      <c r="L381" s="2" t="s">
        <v>362</v>
      </c>
      <c r="M381" s="2" t="s">
        <v>31</v>
      </c>
      <c r="N381" s="2" t="s">
        <v>518</v>
      </c>
      <c r="O381" s="2" t="s">
        <v>155</v>
      </c>
      <c r="P381" s="2" t="s">
        <v>1353</v>
      </c>
      <c r="Q381" s="2" t="s">
        <v>206</v>
      </c>
      <c r="R381" s="2" t="s">
        <v>441</v>
      </c>
      <c r="S381" s="2" t="s">
        <v>34</v>
      </c>
      <c r="T381" s="151">
        <v>2.077</v>
      </c>
      <c r="U381" s="2" t="s">
        <v>2529</v>
      </c>
      <c r="V381" s="162">
        <v>0.04</v>
      </c>
      <c r="W381" s="164">
        <v>5.2440000000000001E-2</v>
      </c>
      <c r="X381" s="4" t="s">
        <v>447</v>
      </c>
      <c r="Y381" s="4" t="s">
        <v>155</v>
      </c>
      <c r="Z381" s="151">
        <v>1750</v>
      </c>
      <c r="AA381" s="158">
        <v>1</v>
      </c>
      <c r="AB381" s="175">
        <v>98.59</v>
      </c>
      <c r="AD381" s="151">
        <v>1.7250000000000001</v>
      </c>
      <c r="AG381" s="2" t="s">
        <v>36</v>
      </c>
      <c r="AH381" s="164">
        <v>3.0000000000000001E-6</v>
      </c>
      <c r="AI381" s="164">
        <v>1.5389904260543799E-2</v>
      </c>
      <c r="AJ381" s="164">
        <v>1.12425410826599E-3</v>
      </c>
    </row>
    <row r="382" spans="1:36">
      <c r="A382" s="2">
        <v>424</v>
      </c>
      <c r="B382" s="2">
        <v>9817</v>
      </c>
      <c r="C382" s="2" t="s">
        <v>2599</v>
      </c>
      <c r="D382" s="2" t="s">
        <v>2600</v>
      </c>
      <c r="E382" s="4" t="s">
        <v>1342</v>
      </c>
      <c r="F382" s="2" t="s">
        <v>2601</v>
      </c>
      <c r="G382" s="2" t="s">
        <v>2602</v>
      </c>
      <c r="H382" s="2" t="s">
        <v>356</v>
      </c>
      <c r="I382" s="2" t="s">
        <v>208</v>
      </c>
      <c r="J382" s="2" t="s">
        <v>30</v>
      </c>
      <c r="K382" s="2" t="s">
        <v>30</v>
      </c>
      <c r="L382" s="2" t="s">
        <v>362</v>
      </c>
      <c r="M382" s="2" t="s">
        <v>31</v>
      </c>
      <c r="N382" s="2" t="s">
        <v>484</v>
      </c>
      <c r="O382" s="2" t="s">
        <v>155</v>
      </c>
      <c r="P382" s="2" t="s">
        <v>1346</v>
      </c>
      <c r="Q382" s="2" t="s">
        <v>206</v>
      </c>
      <c r="R382" s="2" t="s">
        <v>441</v>
      </c>
      <c r="S382" s="2" t="s">
        <v>34</v>
      </c>
      <c r="T382" s="151">
        <v>4.0110000000000001</v>
      </c>
      <c r="U382" s="2" t="s">
        <v>2320</v>
      </c>
      <c r="V382" s="162">
        <v>7.4999999999999997E-3</v>
      </c>
      <c r="W382" s="164">
        <v>3.4689999999999999E-2</v>
      </c>
      <c r="X382" s="4" t="s">
        <v>447</v>
      </c>
      <c r="Y382" s="4" t="s">
        <v>155</v>
      </c>
      <c r="Z382" s="151">
        <v>931.95</v>
      </c>
      <c r="AA382" s="158">
        <v>1</v>
      </c>
      <c r="AB382" s="175">
        <v>101.14</v>
      </c>
      <c r="AD382" s="151">
        <v>0.94299999999999995</v>
      </c>
      <c r="AG382" s="2" t="s">
        <v>36</v>
      </c>
      <c r="AH382" s="164">
        <v>9.9999999999999995E-7</v>
      </c>
      <c r="AI382" s="164">
        <v>8.4077650055240805E-3</v>
      </c>
      <c r="AJ382" s="164">
        <v>6.1419903520968701E-4</v>
      </c>
    </row>
    <row r="383" spans="1:36">
      <c r="A383" s="2">
        <v>969</v>
      </c>
      <c r="B383" s="2">
        <v>969</v>
      </c>
      <c r="C383" s="2" t="s">
        <v>2183</v>
      </c>
      <c r="D383" s="2" t="s">
        <v>2184</v>
      </c>
      <c r="E383" s="4" t="s">
        <v>1342</v>
      </c>
      <c r="F383" s="2" t="s">
        <v>2185</v>
      </c>
      <c r="G383" s="2" t="s">
        <v>2186</v>
      </c>
      <c r="H383" s="2" t="s">
        <v>356</v>
      </c>
      <c r="I383" s="2" t="s">
        <v>208</v>
      </c>
      <c r="J383" s="2" t="s">
        <v>30</v>
      </c>
      <c r="K383" s="2" t="s">
        <v>30</v>
      </c>
      <c r="L383" s="2" t="s">
        <v>362</v>
      </c>
      <c r="M383" s="2" t="s">
        <v>31</v>
      </c>
      <c r="N383" s="2" t="s">
        <v>489</v>
      </c>
      <c r="O383" s="2" t="s">
        <v>155</v>
      </c>
      <c r="P383" s="2" t="s">
        <v>1353</v>
      </c>
      <c r="Q383" s="2" t="s">
        <v>206</v>
      </c>
      <c r="R383" s="2" t="s">
        <v>441</v>
      </c>
      <c r="S383" s="2" t="s">
        <v>34</v>
      </c>
      <c r="T383" s="151">
        <v>4.1390000000000002</v>
      </c>
      <c r="U383" s="2" t="s">
        <v>2187</v>
      </c>
      <c r="V383" s="162">
        <v>5.1499999999999997E-2</v>
      </c>
      <c r="W383" s="164">
        <v>5.1479999999999998E-2</v>
      </c>
      <c r="X383" s="4" t="s">
        <v>447</v>
      </c>
      <c r="Y383" s="4" t="s">
        <v>155</v>
      </c>
      <c r="Z383" s="151">
        <v>0.15</v>
      </c>
      <c r="AA383" s="158">
        <v>1</v>
      </c>
      <c r="AB383" s="175">
        <v>141.9</v>
      </c>
      <c r="AD383" s="151">
        <v>0</v>
      </c>
      <c r="AG383" s="2" t="s">
        <v>36</v>
      </c>
      <c r="AH383" s="164">
        <v>0</v>
      </c>
      <c r="AI383" s="164">
        <v>3.0059123018040598E-8</v>
      </c>
      <c r="AJ383" s="164">
        <v>2.8133455786936901E-9</v>
      </c>
    </row>
    <row r="384" spans="1:36">
      <c r="A384" s="2">
        <v>969</v>
      </c>
      <c r="B384" s="2">
        <v>969</v>
      </c>
      <c r="C384" s="2" t="s">
        <v>2188</v>
      </c>
      <c r="D384" s="2" t="s">
        <v>2189</v>
      </c>
      <c r="E384" s="4" t="s">
        <v>1342</v>
      </c>
      <c r="F384" s="2" t="s">
        <v>2190</v>
      </c>
      <c r="G384" s="2" t="s">
        <v>2191</v>
      </c>
      <c r="H384" s="2" t="s">
        <v>356</v>
      </c>
      <c r="I384" s="2" t="s">
        <v>208</v>
      </c>
      <c r="J384" s="2" t="s">
        <v>30</v>
      </c>
      <c r="K384" s="2" t="s">
        <v>30</v>
      </c>
      <c r="L384" s="2" t="s">
        <v>362</v>
      </c>
      <c r="M384" s="2" t="s">
        <v>31</v>
      </c>
      <c r="N384" s="2" t="s">
        <v>473</v>
      </c>
      <c r="O384" s="2" t="s">
        <v>155</v>
      </c>
      <c r="P384" s="2" t="s">
        <v>2192</v>
      </c>
      <c r="Q384" s="2" t="s">
        <v>206</v>
      </c>
      <c r="R384" s="2" t="s">
        <v>441</v>
      </c>
      <c r="S384" s="2" t="s">
        <v>34</v>
      </c>
      <c r="T384" s="151">
        <v>2.9049999999999998</v>
      </c>
      <c r="U384" s="2" t="s">
        <v>2193</v>
      </c>
      <c r="V384" s="162">
        <v>2.75E-2</v>
      </c>
      <c r="W384" s="164">
        <v>3.1E-2</v>
      </c>
      <c r="X384" s="4" t="s">
        <v>447</v>
      </c>
      <c r="Y384" s="4" t="s">
        <v>155</v>
      </c>
      <c r="Z384" s="151">
        <v>53835.88</v>
      </c>
      <c r="AA384" s="158">
        <v>1</v>
      </c>
      <c r="AB384" s="175">
        <v>113.65</v>
      </c>
      <c r="AD384" s="151">
        <v>61.183999999999997</v>
      </c>
      <c r="AG384" s="2" t="s">
        <v>36</v>
      </c>
      <c r="AH384" s="164">
        <v>6.3999999999999997E-5</v>
      </c>
      <c r="AI384" s="164">
        <v>8.6406001389435407E-3</v>
      </c>
      <c r="AJ384" s="164">
        <v>8.0870603522156402E-4</v>
      </c>
    </row>
    <row r="385" spans="1:36">
      <c r="A385" s="2">
        <v>969</v>
      </c>
      <c r="B385" s="2">
        <v>969</v>
      </c>
      <c r="C385" s="2" t="s">
        <v>2188</v>
      </c>
      <c r="D385" s="2" t="s">
        <v>2189</v>
      </c>
      <c r="E385" s="4" t="s">
        <v>1342</v>
      </c>
      <c r="F385" s="2" t="s">
        <v>2194</v>
      </c>
      <c r="G385" s="2" t="s">
        <v>2195</v>
      </c>
      <c r="H385" s="2" t="s">
        <v>356</v>
      </c>
      <c r="I385" s="2" t="s">
        <v>1000</v>
      </c>
      <c r="J385" s="2" t="s">
        <v>30</v>
      </c>
      <c r="K385" s="2" t="s">
        <v>30</v>
      </c>
      <c r="L385" s="2" t="s">
        <v>362</v>
      </c>
      <c r="M385" s="2" t="s">
        <v>31</v>
      </c>
      <c r="N385" s="2" t="s">
        <v>473</v>
      </c>
      <c r="O385" s="2" t="s">
        <v>155</v>
      </c>
      <c r="P385" s="2" t="s">
        <v>2192</v>
      </c>
      <c r="Q385" s="2" t="s">
        <v>206</v>
      </c>
      <c r="R385" s="2" t="s">
        <v>441</v>
      </c>
      <c r="S385" s="2" t="s">
        <v>34</v>
      </c>
      <c r="T385" s="151">
        <v>2.4820000000000002</v>
      </c>
      <c r="U385" s="2" t="s">
        <v>2196</v>
      </c>
      <c r="V385" s="162">
        <v>2.5000000000000001E-2</v>
      </c>
      <c r="W385" s="164">
        <v>6.1120000000000001E-2</v>
      </c>
      <c r="X385" s="4" t="s">
        <v>447</v>
      </c>
      <c r="Y385" s="4" t="s">
        <v>155</v>
      </c>
      <c r="Z385" s="151">
        <v>88896.6</v>
      </c>
      <c r="AA385" s="158">
        <v>1</v>
      </c>
      <c r="AB385" s="175">
        <v>89.41</v>
      </c>
      <c r="AD385" s="151">
        <v>79.481999999999999</v>
      </c>
      <c r="AG385" s="2" t="s">
        <v>36</v>
      </c>
      <c r="AH385" s="164">
        <v>1.16E-4</v>
      </c>
      <c r="AI385" s="164">
        <v>1.12246781495363E-2</v>
      </c>
      <c r="AJ385" s="164">
        <v>1.05055954644136E-3</v>
      </c>
    </row>
    <row r="386" spans="1:36">
      <c r="A386" s="2">
        <v>969</v>
      </c>
      <c r="B386" s="2">
        <v>969</v>
      </c>
      <c r="C386" s="2" t="s">
        <v>2197</v>
      </c>
      <c r="D386" s="2" t="s">
        <v>2198</v>
      </c>
      <c r="E386" s="4" t="s">
        <v>1342</v>
      </c>
      <c r="F386" s="2" t="s">
        <v>2199</v>
      </c>
      <c r="G386" s="2" t="s">
        <v>2200</v>
      </c>
      <c r="H386" s="2" t="s">
        <v>356</v>
      </c>
      <c r="I386" s="2" t="s">
        <v>1000</v>
      </c>
      <c r="J386" s="2" t="s">
        <v>30</v>
      </c>
      <c r="K386" s="2" t="s">
        <v>30</v>
      </c>
      <c r="L386" s="2" t="s">
        <v>362</v>
      </c>
      <c r="M386" s="2" t="s">
        <v>31</v>
      </c>
      <c r="N386" s="2" t="s">
        <v>480</v>
      </c>
      <c r="O386" s="2" t="s">
        <v>155</v>
      </c>
      <c r="P386" s="2" t="s">
        <v>2181</v>
      </c>
      <c r="Q386" s="2" t="s">
        <v>101</v>
      </c>
      <c r="R386" s="2" t="s">
        <v>441</v>
      </c>
      <c r="S386" s="2" t="s">
        <v>34</v>
      </c>
      <c r="T386" s="151">
        <v>2.2480000000000002</v>
      </c>
      <c r="U386" s="2" t="s">
        <v>2201</v>
      </c>
      <c r="V386" s="162">
        <v>2.5499999999999998E-2</v>
      </c>
      <c r="W386" s="164">
        <v>6.0019999999999997E-2</v>
      </c>
      <c r="X386" s="4" t="s">
        <v>447</v>
      </c>
      <c r="Y386" s="4" t="s">
        <v>155</v>
      </c>
      <c r="Z386" s="151">
        <v>76477</v>
      </c>
      <c r="AA386" s="158">
        <v>1</v>
      </c>
      <c r="AB386" s="175">
        <v>93.37</v>
      </c>
      <c r="AD386" s="151">
        <v>71.406999999999996</v>
      </c>
      <c r="AG386" s="2" t="s">
        <v>36</v>
      </c>
      <c r="AH386" s="164">
        <v>9.8999999999999994E-5</v>
      </c>
      <c r="AI386" s="164">
        <v>1.0084186136791301E-2</v>
      </c>
      <c r="AJ386" s="164">
        <v>9.4381663981477396E-4</v>
      </c>
    </row>
    <row r="387" spans="1:36">
      <c r="A387" s="2">
        <v>969</v>
      </c>
      <c r="B387" s="2">
        <v>969</v>
      </c>
      <c r="C387" s="2" t="s">
        <v>2202</v>
      </c>
      <c r="D387" s="2" t="s">
        <v>2203</v>
      </c>
      <c r="E387" s="4" t="s">
        <v>1342</v>
      </c>
      <c r="F387" s="2" t="s">
        <v>2204</v>
      </c>
      <c r="G387" s="2" t="s">
        <v>2205</v>
      </c>
      <c r="H387" s="2" t="s">
        <v>356</v>
      </c>
      <c r="I387" s="2" t="s">
        <v>1000</v>
      </c>
      <c r="J387" s="2" t="s">
        <v>30</v>
      </c>
      <c r="K387" s="2" t="s">
        <v>30</v>
      </c>
      <c r="L387" s="2" t="s">
        <v>362</v>
      </c>
      <c r="M387" s="2" t="s">
        <v>31</v>
      </c>
      <c r="N387" s="2" t="s">
        <v>478</v>
      </c>
      <c r="O387" s="2" t="s">
        <v>155</v>
      </c>
      <c r="P387" s="2" t="s">
        <v>2181</v>
      </c>
      <c r="Q387" s="2" t="s">
        <v>101</v>
      </c>
      <c r="R387" s="2" t="s">
        <v>441</v>
      </c>
      <c r="S387" s="2" t="s">
        <v>34</v>
      </c>
      <c r="T387" s="151">
        <v>3.9980000000000002</v>
      </c>
      <c r="U387" s="2" t="s">
        <v>2206</v>
      </c>
      <c r="V387" s="162">
        <v>2.18E-2</v>
      </c>
      <c r="W387" s="164">
        <v>6.139E-2</v>
      </c>
      <c r="X387" s="4" t="s">
        <v>447</v>
      </c>
      <c r="Y387" s="4" t="s">
        <v>155</v>
      </c>
      <c r="Z387" s="151">
        <v>281740</v>
      </c>
      <c r="AA387" s="158">
        <v>1</v>
      </c>
      <c r="AB387" s="175">
        <v>86.45</v>
      </c>
      <c r="AD387" s="151">
        <v>243.56399999999999</v>
      </c>
      <c r="AG387" s="2" t="s">
        <v>36</v>
      </c>
      <c r="AH387" s="164">
        <v>1.714E-3</v>
      </c>
      <c r="AI387" s="164">
        <v>3.4396650938991503E-2</v>
      </c>
      <c r="AJ387" s="164">
        <v>3.21931101526161E-3</v>
      </c>
    </row>
    <row r="388" spans="1:36">
      <c r="A388" s="2">
        <v>969</v>
      </c>
      <c r="B388" s="2">
        <v>969</v>
      </c>
      <c r="C388" s="2" t="s">
        <v>2207</v>
      </c>
      <c r="D388" s="2" t="s">
        <v>2208</v>
      </c>
      <c r="E388" s="4" t="s">
        <v>1342</v>
      </c>
      <c r="F388" s="2" t="s">
        <v>2209</v>
      </c>
      <c r="G388" s="2" t="s">
        <v>2210</v>
      </c>
      <c r="H388" s="2" t="s">
        <v>356</v>
      </c>
      <c r="I388" s="2" t="s">
        <v>208</v>
      </c>
      <c r="J388" s="2" t="s">
        <v>30</v>
      </c>
      <c r="K388" s="2" t="s">
        <v>30</v>
      </c>
      <c r="L388" s="2" t="s">
        <v>362</v>
      </c>
      <c r="M388" s="2" t="s">
        <v>31</v>
      </c>
      <c r="N388" s="2" t="s">
        <v>497</v>
      </c>
      <c r="O388" s="2" t="s">
        <v>155</v>
      </c>
      <c r="P388" s="2" t="s">
        <v>2211</v>
      </c>
      <c r="Q388" s="2" t="s">
        <v>206</v>
      </c>
      <c r="R388" s="2" t="s">
        <v>441</v>
      </c>
      <c r="S388" s="2" t="s">
        <v>34</v>
      </c>
      <c r="T388" s="151">
        <v>2.012</v>
      </c>
      <c r="U388" s="2" t="s">
        <v>61</v>
      </c>
      <c r="V388" s="162">
        <v>2.3400000000000001E-2</v>
      </c>
      <c r="W388" s="164">
        <v>2.664E-2</v>
      </c>
      <c r="X388" s="4" t="s">
        <v>447</v>
      </c>
      <c r="Y388" s="4" t="s">
        <v>155</v>
      </c>
      <c r="Z388" s="151">
        <v>66000.02</v>
      </c>
      <c r="AA388" s="158">
        <v>1</v>
      </c>
      <c r="AB388" s="175">
        <v>115.87</v>
      </c>
      <c r="AD388" s="151">
        <v>76.474000000000004</v>
      </c>
      <c r="AG388" s="2" t="s">
        <v>36</v>
      </c>
      <c r="AH388" s="164">
        <v>3.1000000000000001E-5</v>
      </c>
      <c r="AI388" s="164">
        <v>1.07998500450851E-2</v>
      </c>
      <c r="AJ388" s="164">
        <v>1.01079829763029E-3</v>
      </c>
    </row>
    <row r="389" spans="1:36">
      <c r="A389" s="2">
        <v>969</v>
      </c>
      <c r="B389" s="2">
        <v>969</v>
      </c>
      <c r="C389" s="2" t="s">
        <v>2212</v>
      </c>
      <c r="D389" s="2" t="s">
        <v>2213</v>
      </c>
      <c r="E389" s="4" t="s">
        <v>1342</v>
      </c>
      <c r="F389" s="2" t="s">
        <v>2214</v>
      </c>
      <c r="G389" s="2" t="s">
        <v>2215</v>
      </c>
      <c r="H389" s="2" t="s">
        <v>356</v>
      </c>
      <c r="I389" s="2" t="s">
        <v>1000</v>
      </c>
      <c r="J389" s="2" t="s">
        <v>30</v>
      </c>
      <c r="K389" s="2" t="s">
        <v>30</v>
      </c>
      <c r="L389" s="2" t="s">
        <v>362</v>
      </c>
      <c r="M389" s="2" t="s">
        <v>31</v>
      </c>
      <c r="N389" s="2" t="s">
        <v>497</v>
      </c>
      <c r="O389" s="2" t="s">
        <v>155</v>
      </c>
      <c r="P389" s="2" t="s">
        <v>1353</v>
      </c>
      <c r="Q389" s="2" t="s">
        <v>206</v>
      </c>
      <c r="R389" s="2" t="s">
        <v>441</v>
      </c>
      <c r="S389" s="2" t="s">
        <v>34</v>
      </c>
      <c r="T389" s="151">
        <v>3.9049999999999998</v>
      </c>
      <c r="U389" s="2" t="s">
        <v>2216</v>
      </c>
      <c r="V389" s="162">
        <v>2.41E-2</v>
      </c>
      <c r="W389" s="164">
        <v>6.3320000000000001E-2</v>
      </c>
      <c r="X389" s="4" t="s">
        <v>447</v>
      </c>
      <c r="Y389" s="4" t="s">
        <v>155</v>
      </c>
      <c r="Z389" s="151">
        <v>62222.22</v>
      </c>
      <c r="AA389" s="158">
        <v>1</v>
      </c>
      <c r="AB389" s="175">
        <v>86.08</v>
      </c>
      <c r="AD389" s="151">
        <v>53.561</v>
      </c>
      <c r="AG389" s="2" t="s">
        <v>36</v>
      </c>
      <c r="AH389" s="164">
        <v>3.0000000000000001E-5</v>
      </c>
      <c r="AI389" s="164">
        <v>7.5639806932908298E-3</v>
      </c>
      <c r="AJ389" s="164">
        <v>7.0794120068048798E-4</v>
      </c>
    </row>
    <row r="390" spans="1:36">
      <c r="A390" s="2">
        <v>969</v>
      </c>
      <c r="B390" s="2">
        <v>969</v>
      </c>
      <c r="C390" s="2" t="s">
        <v>2212</v>
      </c>
      <c r="D390" s="2" t="s">
        <v>2213</v>
      </c>
      <c r="E390" s="4" t="s">
        <v>1342</v>
      </c>
      <c r="F390" s="2" t="s">
        <v>2217</v>
      </c>
      <c r="G390" s="2" t="s">
        <v>2218</v>
      </c>
      <c r="H390" s="2" t="s">
        <v>356</v>
      </c>
      <c r="I390" s="2" t="s">
        <v>1000</v>
      </c>
      <c r="J390" s="2" t="s">
        <v>30</v>
      </c>
      <c r="K390" s="2" t="s">
        <v>30</v>
      </c>
      <c r="L390" s="2" t="s">
        <v>362</v>
      </c>
      <c r="M390" s="2" t="s">
        <v>31</v>
      </c>
      <c r="N390" s="2" t="s">
        <v>497</v>
      </c>
      <c r="O390" s="2" t="s">
        <v>155</v>
      </c>
      <c r="P390" s="2" t="s">
        <v>1353</v>
      </c>
      <c r="Q390" s="2" t="s">
        <v>206</v>
      </c>
      <c r="R390" s="2" t="s">
        <v>441</v>
      </c>
      <c r="S390" s="2" t="s">
        <v>34</v>
      </c>
      <c r="T390" s="151">
        <v>6.2430000000000003</v>
      </c>
      <c r="U390" s="2" t="s">
        <v>2219</v>
      </c>
      <c r="V390" s="162">
        <v>4.9399999999999999E-2</v>
      </c>
      <c r="W390" s="164">
        <v>6.6839999999999997E-2</v>
      </c>
      <c r="X390" s="4" t="s">
        <v>447</v>
      </c>
      <c r="Y390" s="4" t="s">
        <v>155</v>
      </c>
      <c r="Z390" s="151">
        <v>71811</v>
      </c>
      <c r="AA390" s="158">
        <v>1</v>
      </c>
      <c r="AB390" s="175">
        <v>92.67</v>
      </c>
      <c r="AD390" s="151">
        <v>66.546999999999997</v>
      </c>
      <c r="AG390" s="2" t="s">
        <v>36</v>
      </c>
      <c r="AH390" s="164">
        <v>8.0000000000000007E-5</v>
      </c>
      <c r="AI390" s="164">
        <v>9.3979426144282802E-3</v>
      </c>
      <c r="AJ390" s="164">
        <v>8.7958854578859395E-4</v>
      </c>
    </row>
    <row r="391" spans="1:36">
      <c r="A391" s="2">
        <v>969</v>
      </c>
      <c r="B391" s="2">
        <v>969</v>
      </c>
      <c r="C391" s="2" t="s">
        <v>1808</v>
      </c>
      <c r="D391" s="2" t="s">
        <v>1809</v>
      </c>
      <c r="E391" s="4" t="s">
        <v>1342</v>
      </c>
      <c r="F391" s="2" t="s">
        <v>2220</v>
      </c>
      <c r="G391" s="2" t="s">
        <v>2221</v>
      </c>
      <c r="H391" s="2" t="s">
        <v>356</v>
      </c>
      <c r="I391" s="2" t="s">
        <v>1000</v>
      </c>
      <c r="J391" s="2" t="s">
        <v>30</v>
      </c>
      <c r="K391" s="2" t="s">
        <v>30</v>
      </c>
      <c r="L391" s="2" t="s">
        <v>362</v>
      </c>
      <c r="M391" s="2" t="s">
        <v>31</v>
      </c>
      <c r="N391" s="2" t="s">
        <v>484</v>
      </c>
      <c r="O391" s="2" t="s">
        <v>155</v>
      </c>
      <c r="P391" s="2" t="s">
        <v>1346</v>
      </c>
      <c r="Q391" s="2" t="s">
        <v>206</v>
      </c>
      <c r="R391" s="2" t="s">
        <v>441</v>
      </c>
      <c r="S391" s="2" t="s">
        <v>34</v>
      </c>
      <c r="T391" s="151">
        <v>2.2240000000000002</v>
      </c>
      <c r="U391" s="2" t="s">
        <v>2222</v>
      </c>
      <c r="V391" s="162">
        <v>0.04</v>
      </c>
      <c r="W391" s="164">
        <v>5.774E-2</v>
      </c>
      <c r="X391" s="4" t="s">
        <v>447</v>
      </c>
      <c r="Y391" s="4" t="s">
        <v>155</v>
      </c>
      <c r="Z391" s="151">
        <v>61250.01</v>
      </c>
      <c r="AA391" s="158">
        <v>1</v>
      </c>
      <c r="AB391" s="175">
        <v>96.04</v>
      </c>
      <c r="AD391" s="151">
        <v>58.825000000000003</v>
      </c>
      <c r="AG391" s="2" t="s">
        <v>36</v>
      </c>
      <c r="AH391" s="164">
        <v>9.0000000000000006E-5</v>
      </c>
      <c r="AI391" s="164">
        <v>8.3073205105123199E-3</v>
      </c>
      <c r="AJ391" s="164">
        <v>7.7751315016790195E-4</v>
      </c>
    </row>
    <row r="392" spans="1:36">
      <c r="A392" s="2">
        <v>969</v>
      </c>
      <c r="B392" s="2">
        <v>969</v>
      </c>
      <c r="C392" s="2" t="s">
        <v>1808</v>
      </c>
      <c r="D392" s="2" t="s">
        <v>1809</v>
      </c>
      <c r="E392" s="4" t="s">
        <v>1342</v>
      </c>
      <c r="F392" s="2" t="s">
        <v>2223</v>
      </c>
      <c r="G392" s="2" t="s">
        <v>2224</v>
      </c>
      <c r="H392" s="2" t="s">
        <v>356</v>
      </c>
      <c r="I392" s="2" t="s">
        <v>1000</v>
      </c>
      <c r="J392" s="2" t="s">
        <v>30</v>
      </c>
      <c r="K392" s="2" t="s">
        <v>30</v>
      </c>
      <c r="L392" s="2" t="s">
        <v>362</v>
      </c>
      <c r="M392" s="2" t="s">
        <v>31</v>
      </c>
      <c r="N392" s="2" t="s">
        <v>484</v>
      </c>
      <c r="O392" s="2" t="s">
        <v>155</v>
      </c>
      <c r="P392" s="2" t="s">
        <v>1346</v>
      </c>
      <c r="Q392" s="2" t="s">
        <v>206</v>
      </c>
      <c r="R392" s="2" t="s">
        <v>441</v>
      </c>
      <c r="S392" s="2" t="s">
        <v>34</v>
      </c>
      <c r="T392" s="151">
        <v>3.7080000000000002</v>
      </c>
      <c r="U392" s="2" t="s">
        <v>2225</v>
      </c>
      <c r="V392" s="162">
        <v>2.07E-2</v>
      </c>
      <c r="W392" s="164">
        <v>5.9970000000000002E-2</v>
      </c>
      <c r="X392" s="4" t="s">
        <v>447</v>
      </c>
      <c r="Y392" s="4" t="s">
        <v>155</v>
      </c>
      <c r="Z392" s="151">
        <v>131932</v>
      </c>
      <c r="AA392" s="158">
        <v>1</v>
      </c>
      <c r="AB392" s="175">
        <v>83.35</v>
      </c>
      <c r="AD392" s="151">
        <v>109.965</v>
      </c>
      <c r="AG392" s="2" t="s">
        <v>36</v>
      </c>
      <c r="AH392" s="164">
        <v>3.21E-4</v>
      </c>
      <c r="AI392" s="164">
        <v>1.55295332004531E-2</v>
      </c>
      <c r="AJ392" s="164">
        <v>1.4534670070863399E-3</v>
      </c>
    </row>
    <row r="393" spans="1:36">
      <c r="A393" s="2">
        <v>969</v>
      </c>
      <c r="B393" s="2">
        <v>969</v>
      </c>
      <c r="C393" s="2" t="s">
        <v>2564</v>
      </c>
      <c r="D393" s="2" t="s">
        <v>2565</v>
      </c>
      <c r="E393" s="4" t="s">
        <v>1342</v>
      </c>
      <c r="F393" s="2" t="s">
        <v>2566</v>
      </c>
      <c r="G393" s="2" t="s">
        <v>2567</v>
      </c>
      <c r="H393" s="2" t="s">
        <v>356</v>
      </c>
      <c r="I393" s="2" t="s">
        <v>208</v>
      </c>
      <c r="J393" s="2" t="s">
        <v>30</v>
      </c>
      <c r="K393" s="2" t="s">
        <v>30</v>
      </c>
      <c r="L393" s="2" t="s">
        <v>362</v>
      </c>
      <c r="M393" s="2" t="s">
        <v>31</v>
      </c>
      <c r="N393" s="2" t="s">
        <v>497</v>
      </c>
      <c r="O393" s="2" t="s">
        <v>155</v>
      </c>
      <c r="P393" s="2" t="s">
        <v>2211</v>
      </c>
      <c r="Q393" s="2" t="s">
        <v>206</v>
      </c>
      <c r="R393" s="2" t="s">
        <v>441</v>
      </c>
      <c r="S393" s="2" t="s">
        <v>34</v>
      </c>
      <c r="T393" s="151">
        <v>2.1819999999999999</v>
      </c>
      <c r="U393" s="2" t="s">
        <v>2568</v>
      </c>
      <c r="V393" s="162">
        <v>3.2000000000000001E-2</v>
      </c>
      <c r="W393" s="164">
        <v>2.647E-2</v>
      </c>
      <c r="X393" s="4" t="s">
        <v>447</v>
      </c>
      <c r="Y393" s="4" t="s">
        <v>155</v>
      </c>
      <c r="Z393" s="151">
        <v>90000</v>
      </c>
      <c r="AA393" s="158">
        <v>1</v>
      </c>
      <c r="AB393" s="175">
        <v>117.37</v>
      </c>
      <c r="AD393" s="151">
        <v>105.633</v>
      </c>
      <c r="AG393" s="2" t="s">
        <v>36</v>
      </c>
      <c r="AH393" s="164">
        <v>8.6000000000000003E-5</v>
      </c>
      <c r="AI393" s="164">
        <v>1.49177136094183E-2</v>
      </c>
      <c r="AJ393" s="164">
        <v>1.39620452672845E-3</v>
      </c>
    </row>
    <row r="394" spans="1:36">
      <c r="A394" s="2">
        <v>969</v>
      </c>
      <c r="B394" s="2">
        <v>969</v>
      </c>
      <c r="C394" s="2" t="s">
        <v>2226</v>
      </c>
      <c r="D394" s="2" t="s">
        <v>2227</v>
      </c>
      <c r="E394" s="4" t="s">
        <v>1342</v>
      </c>
      <c r="F394" s="2" t="s">
        <v>2228</v>
      </c>
      <c r="G394" s="2" t="s">
        <v>2229</v>
      </c>
      <c r="H394" s="2" t="s">
        <v>356</v>
      </c>
      <c r="I394" s="2" t="s">
        <v>208</v>
      </c>
      <c r="J394" s="2" t="s">
        <v>30</v>
      </c>
      <c r="K394" s="2" t="s">
        <v>30</v>
      </c>
      <c r="L394" s="2" t="s">
        <v>362</v>
      </c>
      <c r="M394" s="2" t="s">
        <v>31</v>
      </c>
      <c r="N394" s="2" t="s">
        <v>498</v>
      </c>
      <c r="O394" s="2" t="s">
        <v>155</v>
      </c>
      <c r="P394" s="2" t="s">
        <v>2181</v>
      </c>
      <c r="Q394" s="2" t="s">
        <v>101</v>
      </c>
      <c r="R394" s="2" t="s">
        <v>441</v>
      </c>
      <c r="S394" s="2" t="s">
        <v>34</v>
      </c>
      <c r="T394" s="151">
        <v>1.7330000000000001</v>
      </c>
      <c r="U394" s="2" t="s">
        <v>2230</v>
      </c>
      <c r="V394" s="162">
        <v>2.5700000000000001E-2</v>
      </c>
      <c r="W394" s="164">
        <v>3.109E-2</v>
      </c>
      <c r="X394" s="4" t="s">
        <v>447</v>
      </c>
      <c r="Y394" s="4" t="s">
        <v>155</v>
      </c>
      <c r="Z394" s="151">
        <v>128455</v>
      </c>
      <c r="AA394" s="158">
        <v>1</v>
      </c>
      <c r="AB394" s="175">
        <v>116.88</v>
      </c>
      <c r="AD394" s="151">
        <v>150.13800000000001</v>
      </c>
      <c r="AG394" s="2" t="s">
        <v>36</v>
      </c>
      <c r="AH394" s="164">
        <v>1E-4</v>
      </c>
      <c r="AI394" s="164">
        <v>2.12028317770434E-2</v>
      </c>
      <c r="AJ394" s="164">
        <v>1.9844522077350798E-3</v>
      </c>
    </row>
    <row r="395" spans="1:36">
      <c r="A395" s="2">
        <v>969</v>
      </c>
      <c r="B395" s="2">
        <v>969</v>
      </c>
      <c r="C395" s="2" t="s">
        <v>2226</v>
      </c>
      <c r="D395" s="2" t="s">
        <v>2227</v>
      </c>
      <c r="E395" s="4" t="s">
        <v>1342</v>
      </c>
      <c r="F395" s="2" t="s">
        <v>2507</v>
      </c>
      <c r="G395" s="2" t="s">
        <v>2508</v>
      </c>
      <c r="H395" s="2" t="s">
        <v>356</v>
      </c>
      <c r="I395" s="2" t="s">
        <v>1000</v>
      </c>
      <c r="J395" s="2" t="s">
        <v>30</v>
      </c>
      <c r="K395" s="2" t="s">
        <v>30</v>
      </c>
      <c r="L395" s="2" t="s">
        <v>362</v>
      </c>
      <c r="M395" s="2" t="s">
        <v>31</v>
      </c>
      <c r="N395" s="2" t="s">
        <v>498</v>
      </c>
      <c r="O395" s="2" t="s">
        <v>155</v>
      </c>
      <c r="P395" s="2" t="s">
        <v>2181</v>
      </c>
      <c r="Q395" s="2" t="s">
        <v>101</v>
      </c>
      <c r="R395" s="2" t="s">
        <v>441</v>
      </c>
      <c r="S395" s="2" t="s">
        <v>34</v>
      </c>
      <c r="T395" s="151">
        <v>2.871</v>
      </c>
      <c r="U395" s="2" t="s">
        <v>2509</v>
      </c>
      <c r="V395" s="162">
        <v>3.2500000000000001E-2</v>
      </c>
      <c r="W395" s="164">
        <v>6.0850000000000001E-2</v>
      </c>
      <c r="X395" s="4" t="s">
        <v>447</v>
      </c>
      <c r="Y395" s="4" t="s">
        <v>155</v>
      </c>
      <c r="Z395" s="151">
        <v>36493.050000000003</v>
      </c>
      <c r="AA395" s="158">
        <v>1</v>
      </c>
      <c r="AB395" s="175">
        <v>92.53</v>
      </c>
      <c r="AD395" s="151">
        <v>33.767000000000003</v>
      </c>
      <c r="AG395" s="2" t="s">
        <v>36</v>
      </c>
      <c r="AH395" s="164">
        <v>1.25E-4</v>
      </c>
      <c r="AI395" s="164">
        <v>4.7686492038208602E-3</v>
      </c>
      <c r="AJ395" s="164">
        <v>4.4631568744899099E-4</v>
      </c>
    </row>
    <row r="396" spans="1:36">
      <c r="A396" s="2">
        <v>969</v>
      </c>
      <c r="B396" s="2">
        <v>969</v>
      </c>
      <c r="C396" s="2" t="s">
        <v>2226</v>
      </c>
      <c r="D396" s="2" t="s">
        <v>2227</v>
      </c>
      <c r="E396" s="4" t="s">
        <v>1342</v>
      </c>
      <c r="F396" s="2" t="s">
        <v>2231</v>
      </c>
      <c r="G396" s="2" t="s">
        <v>2232</v>
      </c>
      <c r="H396" s="2" t="s">
        <v>356</v>
      </c>
      <c r="I396" s="2" t="s">
        <v>208</v>
      </c>
      <c r="J396" s="2" t="s">
        <v>30</v>
      </c>
      <c r="K396" s="2" t="s">
        <v>30</v>
      </c>
      <c r="L396" s="2" t="s">
        <v>362</v>
      </c>
      <c r="M396" s="2" t="s">
        <v>31</v>
      </c>
      <c r="N396" s="2" t="s">
        <v>498</v>
      </c>
      <c r="O396" s="2" t="s">
        <v>155</v>
      </c>
      <c r="P396" s="2" t="s">
        <v>2181</v>
      </c>
      <c r="Q396" s="2" t="s">
        <v>101</v>
      </c>
      <c r="R396" s="2" t="s">
        <v>441</v>
      </c>
      <c r="S396" s="2" t="s">
        <v>34</v>
      </c>
      <c r="T396" s="151">
        <v>3.3610000000000002</v>
      </c>
      <c r="U396" s="2" t="s">
        <v>2233</v>
      </c>
      <c r="V396" s="162">
        <v>1.54E-2</v>
      </c>
      <c r="W396" s="164">
        <v>3.662E-2</v>
      </c>
      <c r="X396" s="4" t="s">
        <v>447</v>
      </c>
      <c r="Y396" s="4" t="s">
        <v>155</v>
      </c>
      <c r="Z396" s="151">
        <v>109000</v>
      </c>
      <c r="AA396" s="158">
        <v>1</v>
      </c>
      <c r="AB396" s="175">
        <v>100.74</v>
      </c>
      <c r="AD396" s="151">
        <v>109.807</v>
      </c>
      <c r="AG396" s="2" t="s">
        <v>36</v>
      </c>
      <c r="AH396" s="164">
        <v>1.83E-4</v>
      </c>
      <c r="AI396" s="164">
        <v>1.5507118147018E-2</v>
      </c>
      <c r="AJ396" s="164">
        <v>1.4513690985266E-3</v>
      </c>
    </row>
    <row r="397" spans="1:36">
      <c r="A397" s="2">
        <v>969</v>
      </c>
      <c r="B397" s="2">
        <v>969</v>
      </c>
      <c r="C397" s="2" t="s">
        <v>2226</v>
      </c>
      <c r="D397" s="2" t="s">
        <v>2227</v>
      </c>
      <c r="E397" s="4" t="s">
        <v>1342</v>
      </c>
      <c r="F397" s="2" t="s">
        <v>2234</v>
      </c>
      <c r="G397" s="2" t="s">
        <v>2235</v>
      </c>
      <c r="H397" s="2" t="s">
        <v>356</v>
      </c>
      <c r="I397" s="2" t="s">
        <v>208</v>
      </c>
      <c r="J397" s="2" t="s">
        <v>30</v>
      </c>
      <c r="K397" s="2" t="s">
        <v>30</v>
      </c>
      <c r="L397" s="2" t="s">
        <v>362</v>
      </c>
      <c r="M397" s="2" t="s">
        <v>85</v>
      </c>
      <c r="N397" s="2" t="s">
        <v>498</v>
      </c>
      <c r="O397" s="2" t="s">
        <v>155</v>
      </c>
      <c r="P397" s="2" t="s">
        <v>1346</v>
      </c>
      <c r="Q397" s="2" t="s">
        <v>206</v>
      </c>
      <c r="R397" s="2" t="s">
        <v>441</v>
      </c>
      <c r="S397" s="2" t="s">
        <v>34</v>
      </c>
      <c r="T397" s="151">
        <v>7.1020000000000003</v>
      </c>
      <c r="U397" s="2" t="s">
        <v>2236</v>
      </c>
      <c r="V397" s="162">
        <v>4.02E-2</v>
      </c>
      <c r="W397" s="164">
        <v>3.9660000000000001E-2</v>
      </c>
      <c r="X397" s="4" t="s">
        <v>447</v>
      </c>
      <c r="Y397" s="4" t="s">
        <v>155</v>
      </c>
      <c r="Z397" s="151">
        <v>72000</v>
      </c>
      <c r="AA397" s="158">
        <v>1</v>
      </c>
      <c r="AB397" s="175">
        <v>101.8</v>
      </c>
      <c r="AD397" s="151">
        <v>73.296000000000006</v>
      </c>
      <c r="AG397" s="2" t="s">
        <v>36</v>
      </c>
      <c r="AH397" s="164">
        <v>2.0599999999999999E-4</v>
      </c>
      <c r="AI397" s="164">
        <v>1.03510147086225E-2</v>
      </c>
      <c r="AJ397" s="164">
        <v>9.6879012232056695E-4</v>
      </c>
    </row>
    <row r="398" spans="1:36">
      <c r="A398" s="2">
        <v>969</v>
      </c>
      <c r="B398" s="2">
        <v>969</v>
      </c>
      <c r="C398" s="2" t="s">
        <v>2237</v>
      </c>
      <c r="D398" s="2" t="s">
        <v>2238</v>
      </c>
      <c r="E398" s="4" t="s">
        <v>1342</v>
      </c>
      <c r="F398" s="2" t="s">
        <v>2239</v>
      </c>
      <c r="G398" s="2" t="s">
        <v>2240</v>
      </c>
      <c r="H398" s="2" t="s">
        <v>356</v>
      </c>
      <c r="I398" s="2" t="s">
        <v>1000</v>
      </c>
      <c r="J398" s="2" t="s">
        <v>30</v>
      </c>
      <c r="K398" s="2" t="s">
        <v>30</v>
      </c>
      <c r="L398" s="2" t="s">
        <v>362</v>
      </c>
      <c r="M398" s="2" t="s">
        <v>31</v>
      </c>
      <c r="N398" s="2" t="s">
        <v>484</v>
      </c>
      <c r="O398" s="2" t="s">
        <v>155</v>
      </c>
      <c r="P398" s="2" t="s">
        <v>2211</v>
      </c>
      <c r="Q398" s="2" t="s">
        <v>206</v>
      </c>
      <c r="R398" s="2" t="s">
        <v>441</v>
      </c>
      <c r="S398" s="2" t="s">
        <v>34</v>
      </c>
      <c r="T398" s="151">
        <v>5.5060000000000002</v>
      </c>
      <c r="U398" s="2" t="s">
        <v>2241</v>
      </c>
      <c r="V398" s="162">
        <v>5.3100000000000001E-2</v>
      </c>
      <c r="W398" s="164">
        <v>5.9760000000000001E-2</v>
      </c>
      <c r="X398" s="4" t="s">
        <v>447</v>
      </c>
      <c r="Y398" s="4" t="s">
        <v>155</v>
      </c>
      <c r="Z398" s="151">
        <v>17000</v>
      </c>
      <c r="AA398" s="158">
        <v>1</v>
      </c>
      <c r="AB398" s="175">
        <v>97.42</v>
      </c>
      <c r="AD398" s="151">
        <v>16.561</v>
      </c>
      <c r="AG398" s="2" t="s">
        <v>36</v>
      </c>
      <c r="AH398" s="164">
        <v>5.3000000000000001E-5</v>
      </c>
      <c r="AI398" s="164">
        <v>2.33883561170297E-3</v>
      </c>
      <c r="AJ398" s="164">
        <v>2.1890035925289E-4</v>
      </c>
    </row>
    <row r="399" spans="1:36">
      <c r="A399" s="2">
        <v>969</v>
      </c>
      <c r="B399" s="2">
        <v>969</v>
      </c>
      <c r="C399" s="2" t="s">
        <v>2242</v>
      </c>
      <c r="D399" s="2" t="s">
        <v>2243</v>
      </c>
      <c r="E399" s="4" t="s">
        <v>1342</v>
      </c>
      <c r="F399" s="2" t="s">
        <v>2244</v>
      </c>
      <c r="G399" s="2" t="s">
        <v>2245</v>
      </c>
      <c r="H399" s="2" t="s">
        <v>356</v>
      </c>
      <c r="I399" s="2" t="s">
        <v>208</v>
      </c>
      <c r="J399" s="2" t="s">
        <v>30</v>
      </c>
      <c r="K399" s="2" t="s">
        <v>30</v>
      </c>
      <c r="L399" s="2" t="s">
        <v>362</v>
      </c>
      <c r="M399" s="2" t="s">
        <v>31</v>
      </c>
      <c r="N399" s="2" t="s">
        <v>497</v>
      </c>
      <c r="O399" s="2" t="s">
        <v>155</v>
      </c>
      <c r="P399" s="2" t="s">
        <v>2181</v>
      </c>
      <c r="Q399" s="2" t="s">
        <v>206</v>
      </c>
      <c r="R399" s="2" t="s">
        <v>441</v>
      </c>
      <c r="S399" s="2" t="s">
        <v>34</v>
      </c>
      <c r="T399" s="151">
        <v>5.99</v>
      </c>
      <c r="U399" s="2" t="s">
        <v>2246</v>
      </c>
      <c r="V399" s="162">
        <v>3.6799999999999999E-2</v>
      </c>
      <c r="W399" s="164">
        <v>4.0779999999999997E-2</v>
      </c>
      <c r="X399" s="4" t="s">
        <v>447</v>
      </c>
      <c r="Y399" s="4" t="s">
        <v>155</v>
      </c>
      <c r="Z399" s="151">
        <v>89000</v>
      </c>
      <c r="AA399" s="158">
        <v>1</v>
      </c>
      <c r="AB399" s="175">
        <v>102.26</v>
      </c>
      <c r="AD399" s="151">
        <v>91.010999999999996</v>
      </c>
      <c r="AG399" s="2" t="s">
        <v>36</v>
      </c>
      <c r="AH399" s="164">
        <v>3.6499999999999998E-4</v>
      </c>
      <c r="AI399" s="164">
        <v>1.2852820618483E-2</v>
      </c>
      <c r="AJ399" s="164">
        <v>1.20294348038864E-3</v>
      </c>
    </row>
    <row r="400" spans="1:36">
      <c r="A400" s="2">
        <v>969</v>
      </c>
      <c r="B400" s="2">
        <v>969</v>
      </c>
      <c r="C400" s="2" t="s">
        <v>2242</v>
      </c>
      <c r="D400" s="2" t="s">
        <v>2243</v>
      </c>
      <c r="E400" s="4" t="s">
        <v>1342</v>
      </c>
      <c r="F400" s="2" t="s">
        <v>2247</v>
      </c>
      <c r="G400" s="2" t="s">
        <v>2248</v>
      </c>
      <c r="H400" s="2" t="s">
        <v>356</v>
      </c>
      <c r="I400" s="2" t="s">
        <v>208</v>
      </c>
      <c r="J400" s="2" t="s">
        <v>30</v>
      </c>
      <c r="K400" s="2" t="s">
        <v>30</v>
      </c>
      <c r="L400" s="2" t="s">
        <v>362</v>
      </c>
      <c r="M400" s="2" t="s">
        <v>31</v>
      </c>
      <c r="N400" s="2" t="s">
        <v>497</v>
      </c>
      <c r="O400" s="2" t="s">
        <v>155</v>
      </c>
      <c r="P400" s="2" t="s">
        <v>2181</v>
      </c>
      <c r="Q400" s="2" t="s">
        <v>206</v>
      </c>
      <c r="R400" s="2" t="s">
        <v>441</v>
      </c>
      <c r="S400" s="2" t="s">
        <v>34</v>
      </c>
      <c r="T400" s="151">
        <v>1.302</v>
      </c>
      <c r="U400" s="2" t="s">
        <v>2249</v>
      </c>
      <c r="V400" s="162">
        <v>3.4599999999999999E-2</v>
      </c>
      <c r="W400" s="164">
        <v>2.785E-2</v>
      </c>
      <c r="X400" s="4" t="s">
        <v>447</v>
      </c>
      <c r="Y400" s="4" t="s">
        <v>155</v>
      </c>
      <c r="Z400" s="151">
        <v>46363.64</v>
      </c>
      <c r="AA400" s="158">
        <v>1</v>
      </c>
      <c r="AB400" s="175">
        <v>118.52</v>
      </c>
      <c r="AD400" s="151">
        <v>54.95</v>
      </c>
      <c r="AG400" s="2" t="s">
        <v>36</v>
      </c>
      <c r="AH400" s="164">
        <v>1.3300000000000001E-4</v>
      </c>
      <c r="AI400" s="164">
        <v>7.7601804307530203E-3</v>
      </c>
      <c r="AJ400" s="164">
        <v>7.2630426681514701E-4</v>
      </c>
    </row>
    <row r="401" spans="1:36">
      <c r="A401" s="2">
        <v>969</v>
      </c>
      <c r="B401" s="2">
        <v>969</v>
      </c>
      <c r="C401" s="2" t="s">
        <v>1828</v>
      </c>
      <c r="D401" s="2" t="s">
        <v>1829</v>
      </c>
      <c r="E401" s="4" t="s">
        <v>1342</v>
      </c>
      <c r="F401" s="2" t="s">
        <v>2603</v>
      </c>
      <c r="G401" s="2" t="s">
        <v>2604</v>
      </c>
      <c r="H401" s="2" t="s">
        <v>356</v>
      </c>
      <c r="I401" s="2" t="s">
        <v>1000</v>
      </c>
      <c r="J401" s="2" t="s">
        <v>30</v>
      </c>
      <c r="K401" s="2" t="s">
        <v>30</v>
      </c>
      <c r="L401" s="2" t="s">
        <v>362</v>
      </c>
      <c r="M401" s="2" t="s">
        <v>31</v>
      </c>
      <c r="N401" s="2" t="s">
        <v>480</v>
      </c>
      <c r="O401" s="2" t="s">
        <v>155</v>
      </c>
      <c r="P401" s="2" t="s">
        <v>2181</v>
      </c>
      <c r="Q401" s="2" t="s">
        <v>206</v>
      </c>
      <c r="R401" s="2" t="s">
        <v>441</v>
      </c>
      <c r="S401" s="2" t="s">
        <v>34</v>
      </c>
      <c r="T401" s="151">
        <v>0.59799999999999998</v>
      </c>
      <c r="U401" s="2" t="s">
        <v>2605</v>
      </c>
      <c r="V401" s="162">
        <v>4.2000000000000003E-2</v>
      </c>
      <c r="W401" s="164">
        <v>6.1260000000000002E-2</v>
      </c>
      <c r="X401" s="4" t="s">
        <v>447</v>
      </c>
      <c r="Y401" s="4" t="s">
        <v>155</v>
      </c>
      <c r="Z401" s="151">
        <v>17827.099999999999</v>
      </c>
      <c r="AA401" s="158">
        <v>1</v>
      </c>
      <c r="AB401" s="175">
        <v>100.56</v>
      </c>
      <c r="AD401" s="151">
        <v>17.927</v>
      </c>
      <c r="AG401" s="2" t="s">
        <v>36</v>
      </c>
      <c r="AH401" s="164">
        <v>1.4799999999999999E-4</v>
      </c>
      <c r="AI401" s="164">
        <v>2.5316788682633799E-3</v>
      </c>
      <c r="AJ401" s="164">
        <v>2.3694927980521201E-4</v>
      </c>
    </row>
    <row r="402" spans="1:36">
      <c r="A402" s="2">
        <v>969</v>
      </c>
      <c r="B402" s="2">
        <v>969</v>
      </c>
      <c r="C402" s="2" t="s">
        <v>1836</v>
      </c>
      <c r="D402" s="2" t="s">
        <v>1837</v>
      </c>
      <c r="E402" s="4" t="s">
        <v>1342</v>
      </c>
      <c r="F402" s="2" t="s">
        <v>2250</v>
      </c>
      <c r="G402" s="2" t="s">
        <v>2251</v>
      </c>
      <c r="H402" s="2" t="s">
        <v>356</v>
      </c>
      <c r="I402" s="2" t="s">
        <v>1000</v>
      </c>
      <c r="J402" s="2" t="s">
        <v>30</v>
      </c>
      <c r="K402" s="2" t="s">
        <v>30</v>
      </c>
      <c r="L402" s="2" t="s">
        <v>362</v>
      </c>
      <c r="M402" s="2" t="s">
        <v>31</v>
      </c>
      <c r="N402" s="2" t="s">
        <v>473</v>
      </c>
      <c r="O402" s="2" t="s">
        <v>155</v>
      </c>
      <c r="P402" s="2" t="s">
        <v>1346</v>
      </c>
      <c r="Q402" s="2" t="s">
        <v>206</v>
      </c>
      <c r="R402" s="2" t="s">
        <v>441</v>
      </c>
      <c r="S402" s="2" t="s">
        <v>34</v>
      </c>
      <c r="T402" s="151">
        <v>2.3109999999999999</v>
      </c>
      <c r="U402" s="2" t="s">
        <v>2252</v>
      </c>
      <c r="V402" s="162">
        <v>2.7E-2</v>
      </c>
      <c r="W402" s="164">
        <v>5.9020000000000003E-2</v>
      </c>
      <c r="X402" s="4" t="s">
        <v>447</v>
      </c>
      <c r="Y402" s="4" t="s">
        <v>155</v>
      </c>
      <c r="Z402" s="151">
        <v>116250</v>
      </c>
      <c r="AA402" s="158">
        <v>1</v>
      </c>
      <c r="AB402" s="175">
        <v>93.07</v>
      </c>
      <c r="AD402" s="151">
        <v>108.194</v>
      </c>
      <c r="AG402" s="2" t="s">
        <v>36</v>
      </c>
      <c r="AH402" s="164">
        <v>1.7100000000000001E-4</v>
      </c>
      <c r="AI402" s="164">
        <v>1.5279365743121999E-2</v>
      </c>
      <c r="AJ402" s="164">
        <v>1.4300529005073399E-3</v>
      </c>
    </row>
    <row r="403" spans="1:36">
      <c r="A403" s="2">
        <v>969</v>
      </c>
      <c r="B403" s="2">
        <v>969</v>
      </c>
      <c r="C403" s="2" t="s">
        <v>2253</v>
      </c>
      <c r="D403" s="2" t="s">
        <v>2254</v>
      </c>
      <c r="E403" s="4" t="s">
        <v>1342</v>
      </c>
      <c r="F403" s="2" t="s">
        <v>2255</v>
      </c>
      <c r="G403" s="2" t="s">
        <v>2256</v>
      </c>
      <c r="H403" s="2" t="s">
        <v>356</v>
      </c>
      <c r="I403" s="2" t="s">
        <v>1000</v>
      </c>
      <c r="J403" s="2" t="s">
        <v>30</v>
      </c>
      <c r="K403" s="2" t="s">
        <v>30</v>
      </c>
      <c r="L403" s="2" t="s">
        <v>362</v>
      </c>
      <c r="M403" s="2" t="s">
        <v>85</v>
      </c>
      <c r="N403" s="2" t="s">
        <v>518</v>
      </c>
      <c r="O403" s="2" t="s">
        <v>155</v>
      </c>
      <c r="P403" s="2" t="s">
        <v>2192</v>
      </c>
      <c r="Q403" s="2" t="s">
        <v>101</v>
      </c>
      <c r="R403" s="2" t="s">
        <v>441</v>
      </c>
      <c r="S403" s="2" t="s">
        <v>34</v>
      </c>
      <c r="T403" s="151">
        <v>4.5069999999999997</v>
      </c>
      <c r="U403" s="2" t="s">
        <v>2257</v>
      </c>
      <c r="V403" s="162">
        <v>5.5E-2</v>
      </c>
      <c r="W403" s="164">
        <v>6.1679999999999999E-2</v>
      </c>
      <c r="X403" s="4" t="s">
        <v>447</v>
      </c>
      <c r="Y403" s="4" t="s">
        <v>155</v>
      </c>
      <c r="Z403" s="151">
        <v>167105.32999999999</v>
      </c>
      <c r="AA403" s="158">
        <v>1</v>
      </c>
      <c r="AB403" s="175">
        <v>97.66</v>
      </c>
      <c r="AD403" s="151">
        <v>163.19499999999999</v>
      </c>
      <c r="AG403" s="2" t="s">
        <v>36</v>
      </c>
      <c r="AH403" s="164">
        <v>1.66E-4</v>
      </c>
      <c r="AI403" s="164">
        <v>2.3046749086815001E-2</v>
      </c>
      <c r="AJ403" s="164">
        <v>2.1570313148437398E-3</v>
      </c>
    </row>
    <row r="404" spans="1:36">
      <c r="A404" s="2">
        <v>969</v>
      </c>
      <c r="B404" s="2">
        <v>969</v>
      </c>
      <c r="C404" s="2" t="s">
        <v>1844</v>
      </c>
      <c r="D404" s="2" t="s">
        <v>1845</v>
      </c>
      <c r="E404" s="4" t="s">
        <v>1342</v>
      </c>
      <c r="F404" s="2" t="s">
        <v>2258</v>
      </c>
      <c r="G404" s="2" t="s">
        <v>2259</v>
      </c>
      <c r="H404" s="2" t="s">
        <v>356</v>
      </c>
      <c r="I404" s="2" t="s">
        <v>208</v>
      </c>
      <c r="J404" s="2" t="s">
        <v>30</v>
      </c>
      <c r="K404" s="2" t="s">
        <v>30</v>
      </c>
      <c r="L404" s="2" t="s">
        <v>362</v>
      </c>
      <c r="M404" s="2" t="s">
        <v>31</v>
      </c>
      <c r="N404" s="2" t="s">
        <v>497</v>
      </c>
      <c r="O404" s="2" t="s">
        <v>155</v>
      </c>
      <c r="P404" s="2" t="s">
        <v>1353</v>
      </c>
      <c r="Q404" s="2" t="s">
        <v>101</v>
      </c>
      <c r="R404" s="2" t="s">
        <v>441</v>
      </c>
      <c r="S404" s="2" t="s">
        <v>34</v>
      </c>
      <c r="T404" s="151">
        <v>4.4729999999999999</v>
      </c>
      <c r="U404" s="2" t="s">
        <v>2260</v>
      </c>
      <c r="V404" s="162">
        <v>1.17E-2</v>
      </c>
      <c r="W404" s="164">
        <v>3.1579999999999997E-2</v>
      </c>
      <c r="X404" s="4" t="s">
        <v>447</v>
      </c>
      <c r="Y404" s="4" t="s">
        <v>155</v>
      </c>
      <c r="Z404" s="151">
        <v>120553.13</v>
      </c>
      <c r="AA404" s="158">
        <v>1</v>
      </c>
      <c r="AB404" s="175">
        <v>105.29</v>
      </c>
      <c r="AD404" s="151">
        <v>126.93</v>
      </c>
      <c r="AG404" s="2" t="s">
        <v>36</v>
      </c>
      <c r="AH404" s="164">
        <v>1.75E-4</v>
      </c>
      <c r="AI404" s="164">
        <v>1.79253757344702E-2</v>
      </c>
      <c r="AJ404" s="164">
        <v>1.6777028570902799E-3</v>
      </c>
    </row>
    <row r="405" spans="1:36">
      <c r="A405" s="2">
        <v>969</v>
      </c>
      <c r="B405" s="2">
        <v>969</v>
      </c>
      <c r="C405" s="2" t="s">
        <v>1844</v>
      </c>
      <c r="D405" s="2" t="s">
        <v>1845</v>
      </c>
      <c r="E405" s="4" t="s">
        <v>1342</v>
      </c>
      <c r="F405" s="2" t="s">
        <v>2261</v>
      </c>
      <c r="G405" s="2" t="s">
        <v>2262</v>
      </c>
      <c r="H405" s="2" t="s">
        <v>356</v>
      </c>
      <c r="I405" s="2" t="s">
        <v>208</v>
      </c>
      <c r="J405" s="2" t="s">
        <v>30</v>
      </c>
      <c r="K405" s="2" t="s">
        <v>30</v>
      </c>
      <c r="L405" s="2" t="s">
        <v>362</v>
      </c>
      <c r="M405" s="2" t="s">
        <v>31</v>
      </c>
      <c r="N405" s="2" t="s">
        <v>497</v>
      </c>
      <c r="O405" s="2" t="s">
        <v>155</v>
      </c>
      <c r="P405" s="2" t="s">
        <v>1353</v>
      </c>
      <c r="Q405" s="2" t="s">
        <v>101</v>
      </c>
      <c r="R405" s="2" t="s">
        <v>441</v>
      </c>
      <c r="S405" s="2" t="s">
        <v>34</v>
      </c>
      <c r="T405" s="151">
        <v>4.3570000000000002</v>
      </c>
      <c r="U405" s="2" t="s">
        <v>2233</v>
      </c>
      <c r="V405" s="162">
        <v>1.3299999999999999E-2</v>
      </c>
      <c r="W405" s="164">
        <v>3.1530000000000002E-2</v>
      </c>
      <c r="X405" s="4" t="s">
        <v>447</v>
      </c>
      <c r="Y405" s="4" t="s">
        <v>155</v>
      </c>
      <c r="Z405" s="151">
        <v>66500</v>
      </c>
      <c r="AA405" s="158">
        <v>1</v>
      </c>
      <c r="AB405" s="175">
        <v>106.76</v>
      </c>
      <c r="AD405" s="151">
        <v>70.995000000000005</v>
      </c>
      <c r="AG405" s="2" t="s">
        <v>36</v>
      </c>
      <c r="AH405" s="164">
        <v>5.5999999999999999E-5</v>
      </c>
      <c r="AI405" s="164">
        <v>1.0026119155814001E-2</v>
      </c>
      <c r="AJ405" s="164">
        <v>9.3838193421465796E-4</v>
      </c>
    </row>
    <row r="406" spans="1:36">
      <c r="A406" s="2">
        <v>969</v>
      </c>
      <c r="B406" s="2">
        <v>969</v>
      </c>
      <c r="C406" s="2" t="s">
        <v>1836</v>
      </c>
      <c r="D406" s="2" t="s">
        <v>1837</v>
      </c>
      <c r="E406" s="4" t="s">
        <v>1342</v>
      </c>
      <c r="F406" s="2" t="s">
        <v>2263</v>
      </c>
      <c r="G406" s="2" t="s">
        <v>2264</v>
      </c>
      <c r="H406" s="2" t="s">
        <v>356</v>
      </c>
      <c r="I406" s="2" t="s">
        <v>1000</v>
      </c>
      <c r="J406" s="2" t="s">
        <v>30</v>
      </c>
      <c r="K406" s="2" t="s">
        <v>30</v>
      </c>
      <c r="L406" s="2" t="s">
        <v>362</v>
      </c>
      <c r="M406" s="2" t="s">
        <v>31</v>
      </c>
      <c r="N406" s="2" t="s">
        <v>473</v>
      </c>
      <c r="O406" s="2" t="s">
        <v>155</v>
      </c>
      <c r="P406" s="2" t="s">
        <v>1346</v>
      </c>
      <c r="Q406" s="2" t="s">
        <v>206</v>
      </c>
      <c r="R406" s="2" t="s">
        <v>441</v>
      </c>
      <c r="S406" s="2" t="s">
        <v>34</v>
      </c>
      <c r="T406" s="151">
        <v>4.0220000000000002</v>
      </c>
      <c r="U406" s="2" t="s">
        <v>2265</v>
      </c>
      <c r="V406" s="162">
        <v>5.7500000000000002E-2</v>
      </c>
      <c r="W406" s="164">
        <v>6.4329999999999998E-2</v>
      </c>
      <c r="X406" s="4" t="s">
        <v>447</v>
      </c>
      <c r="Y406" s="4" t="s">
        <v>155</v>
      </c>
      <c r="Z406" s="151">
        <v>70828</v>
      </c>
      <c r="AA406" s="158">
        <v>1</v>
      </c>
      <c r="AB406" s="175">
        <v>97.51</v>
      </c>
      <c r="AD406" s="151">
        <v>69.063999999999993</v>
      </c>
      <c r="AG406" s="2" t="s">
        <v>36</v>
      </c>
      <c r="AH406" s="164">
        <v>1.35E-4</v>
      </c>
      <c r="AI406" s="164">
        <v>9.7534168604662894E-3</v>
      </c>
      <c r="AJ406" s="164">
        <v>9.1285870798960998E-4</v>
      </c>
    </row>
    <row r="407" spans="1:36">
      <c r="A407" s="2">
        <v>969</v>
      </c>
      <c r="B407" s="2">
        <v>969</v>
      </c>
      <c r="C407" s="2" t="s">
        <v>2266</v>
      </c>
      <c r="D407" s="2" t="s">
        <v>2267</v>
      </c>
      <c r="E407" s="4" t="s">
        <v>1342</v>
      </c>
      <c r="F407" s="2" t="s">
        <v>2268</v>
      </c>
      <c r="G407" s="2" t="s">
        <v>2269</v>
      </c>
      <c r="H407" s="2" t="s">
        <v>356</v>
      </c>
      <c r="I407" s="2" t="s">
        <v>1000</v>
      </c>
      <c r="J407" s="2" t="s">
        <v>30</v>
      </c>
      <c r="K407" s="2" t="s">
        <v>30</v>
      </c>
      <c r="L407" s="2" t="s">
        <v>362</v>
      </c>
      <c r="M407" s="2" t="s">
        <v>31</v>
      </c>
      <c r="N407" s="2" t="s">
        <v>497</v>
      </c>
      <c r="O407" s="2" t="s">
        <v>155</v>
      </c>
      <c r="P407" s="2" t="s">
        <v>2211</v>
      </c>
      <c r="Q407" s="2" t="s">
        <v>206</v>
      </c>
      <c r="R407" s="2" t="s">
        <v>441</v>
      </c>
      <c r="S407" s="2" t="s">
        <v>34</v>
      </c>
      <c r="T407" s="151">
        <v>5.14</v>
      </c>
      <c r="U407" s="2" t="s">
        <v>2270</v>
      </c>
      <c r="V407" s="162">
        <v>2.5499999999999998E-2</v>
      </c>
      <c r="W407" s="164">
        <v>6.0060000000000002E-2</v>
      </c>
      <c r="X407" s="4" t="s">
        <v>447</v>
      </c>
      <c r="Y407" s="4" t="s">
        <v>155</v>
      </c>
      <c r="Z407" s="151">
        <v>87598.32</v>
      </c>
      <c r="AA407" s="158">
        <v>1</v>
      </c>
      <c r="AB407" s="175">
        <v>84.61</v>
      </c>
      <c r="AD407" s="151">
        <v>74.117000000000004</v>
      </c>
      <c r="AG407" s="2" t="s">
        <v>36</v>
      </c>
      <c r="AH407" s="164">
        <v>5.1E-5</v>
      </c>
      <c r="AI407" s="164">
        <v>1.04669493711775E-2</v>
      </c>
      <c r="AJ407" s="164">
        <v>9.7964088034569407E-4</v>
      </c>
    </row>
    <row r="408" spans="1:36">
      <c r="A408" s="2">
        <v>969</v>
      </c>
      <c r="B408" s="2">
        <v>969</v>
      </c>
      <c r="C408" s="2" t="s">
        <v>2266</v>
      </c>
      <c r="D408" s="2" t="s">
        <v>2267</v>
      </c>
      <c r="E408" s="4" t="s">
        <v>1342</v>
      </c>
      <c r="F408" s="2" t="s">
        <v>2274</v>
      </c>
      <c r="G408" s="2" t="s">
        <v>2275</v>
      </c>
      <c r="H408" s="2" t="s">
        <v>356</v>
      </c>
      <c r="I408" s="2" t="s">
        <v>208</v>
      </c>
      <c r="J408" s="2" t="s">
        <v>30</v>
      </c>
      <c r="K408" s="2" t="s">
        <v>30</v>
      </c>
      <c r="L408" s="2" t="s">
        <v>362</v>
      </c>
      <c r="M408" s="2" t="s">
        <v>31</v>
      </c>
      <c r="N408" s="2" t="s">
        <v>497</v>
      </c>
      <c r="O408" s="2" t="s">
        <v>155</v>
      </c>
      <c r="P408" s="2" t="s">
        <v>2211</v>
      </c>
      <c r="Q408" s="2" t="s">
        <v>206</v>
      </c>
      <c r="R408" s="2" t="s">
        <v>441</v>
      </c>
      <c r="S408" s="2" t="s">
        <v>34</v>
      </c>
      <c r="T408" s="151">
        <v>5.1369999999999996</v>
      </c>
      <c r="U408" s="2" t="s">
        <v>2276</v>
      </c>
      <c r="V408" s="162">
        <v>5.8999999999999999E-3</v>
      </c>
      <c r="W408" s="164">
        <v>3.3239999999999999E-2</v>
      </c>
      <c r="X408" s="4" t="s">
        <v>447</v>
      </c>
      <c r="Y408" s="4" t="s">
        <v>155</v>
      </c>
      <c r="Z408" s="151">
        <v>112131</v>
      </c>
      <c r="AA408" s="158">
        <v>1</v>
      </c>
      <c r="AB408" s="175">
        <v>97.54</v>
      </c>
      <c r="AD408" s="151">
        <v>109.373</v>
      </c>
      <c r="AG408" s="2" t="s">
        <v>36</v>
      </c>
      <c r="AH408" s="164">
        <v>8.0000000000000007E-5</v>
      </c>
      <c r="AI408" s="164">
        <v>1.54458245659703E-2</v>
      </c>
      <c r="AJ408" s="164">
        <v>1.4456324033761999E-3</v>
      </c>
    </row>
    <row r="409" spans="1:36">
      <c r="A409" s="2">
        <v>969</v>
      </c>
      <c r="B409" s="2">
        <v>969</v>
      </c>
      <c r="C409" s="2" t="s">
        <v>2266</v>
      </c>
      <c r="D409" s="2" t="s">
        <v>2267</v>
      </c>
      <c r="E409" s="4" t="s">
        <v>1342</v>
      </c>
      <c r="F409" s="2" t="s">
        <v>2277</v>
      </c>
      <c r="G409" s="2" t="s">
        <v>2278</v>
      </c>
      <c r="H409" s="2" t="s">
        <v>356</v>
      </c>
      <c r="I409" s="2" t="s">
        <v>208</v>
      </c>
      <c r="J409" s="2" t="s">
        <v>30</v>
      </c>
      <c r="K409" s="2" t="s">
        <v>30</v>
      </c>
      <c r="L409" s="2" t="s">
        <v>362</v>
      </c>
      <c r="M409" s="2" t="s">
        <v>85</v>
      </c>
      <c r="N409" s="2" t="s">
        <v>497</v>
      </c>
      <c r="O409" s="2" t="s">
        <v>155</v>
      </c>
      <c r="P409" s="2" t="s">
        <v>2211</v>
      </c>
      <c r="Q409" s="2" t="s">
        <v>206</v>
      </c>
      <c r="R409" s="2" t="s">
        <v>441</v>
      </c>
      <c r="S409" s="2" t="s">
        <v>34</v>
      </c>
      <c r="T409" s="151">
        <v>3.6840000000000002</v>
      </c>
      <c r="U409" s="2" t="s">
        <v>2279</v>
      </c>
      <c r="V409" s="162">
        <v>3.3399999999999999E-2</v>
      </c>
      <c r="W409" s="164">
        <v>3.0720000000000001E-2</v>
      </c>
      <c r="X409" s="4" t="s">
        <v>447</v>
      </c>
      <c r="Y409" s="4" t="s">
        <v>155</v>
      </c>
      <c r="Z409" s="151">
        <v>70297</v>
      </c>
      <c r="AA409" s="158">
        <v>1</v>
      </c>
      <c r="AB409" s="175">
        <v>103.53</v>
      </c>
      <c r="AD409" s="151">
        <v>72.778000000000006</v>
      </c>
      <c r="AG409" s="2" t="s">
        <v>36</v>
      </c>
      <c r="AH409" s="164">
        <v>9.5000000000000005E-5</v>
      </c>
      <c r="AI409" s="164">
        <v>1.0277930028792201E-2</v>
      </c>
      <c r="AJ409" s="164">
        <v>9.6194985420138099E-4</v>
      </c>
    </row>
    <row r="410" spans="1:36">
      <c r="A410" s="2">
        <v>969</v>
      </c>
      <c r="B410" s="2">
        <v>969</v>
      </c>
      <c r="C410" s="2" t="s">
        <v>2266</v>
      </c>
      <c r="D410" s="2" t="s">
        <v>2267</v>
      </c>
      <c r="E410" s="4" t="s">
        <v>1342</v>
      </c>
      <c r="F410" s="2" t="s">
        <v>2280</v>
      </c>
      <c r="G410" s="2" t="s">
        <v>2281</v>
      </c>
      <c r="H410" s="2" t="s">
        <v>356</v>
      </c>
      <c r="I410" s="2" t="s">
        <v>208</v>
      </c>
      <c r="J410" s="2" t="s">
        <v>30</v>
      </c>
      <c r="K410" s="2" t="s">
        <v>30</v>
      </c>
      <c r="L410" s="2" t="s">
        <v>362</v>
      </c>
      <c r="M410" s="2" t="s">
        <v>31</v>
      </c>
      <c r="N410" s="2" t="s">
        <v>497</v>
      </c>
      <c r="O410" s="2" t="s">
        <v>155</v>
      </c>
      <c r="P410" s="2" t="s">
        <v>2211</v>
      </c>
      <c r="Q410" s="2" t="s">
        <v>206</v>
      </c>
      <c r="R410" s="2" t="s">
        <v>441</v>
      </c>
      <c r="S410" s="2" t="s">
        <v>34</v>
      </c>
      <c r="T410" s="151">
        <v>0.85199999999999998</v>
      </c>
      <c r="U410" s="2" t="s">
        <v>2282</v>
      </c>
      <c r="V410" s="162">
        <v>4.7500000000000001E-2</v>
      </c>
      <c r="W410" s="164">
        <v>2.555E-2</v>
      </c>
      <c r="X410" s="4" t="s">
        <v>447</v>
      </c>
      <c r="Y410" s="4" t="s">
        <v>155</v>
      </c>
      <c r="Z410" s="151">
        <v>71646.39</v>
      </c>
      <c r="AA410" s="158">
        <v>1</v>
      </c>
      <c r="AB410" s="175">
        <v>142.99</v>
      </c>
      <c r="AD410" s="151">
        <v>102.447</v>
      </c>
      <c r="AG410" s="2" t="s">
        <v>36</v>
      </c>
      <c r="AH410" s="164">
        <v>7.4999999999999993E-5</v>
      </c>
      <c r="AI410" s="164">
        <v>1.4467804453329101E-2</v>
      </c>
      <c r="AJ410" s="164">
        <v>1.3540958486297E-3</v>
      </c>
    </row>
    <row r="411" spans="1:36">
      <c r="A411" s="2">
        <v>969</v>
      </c>
      <c r="B411" s="2">
        <v>969</v>
      </c>
      <c r="C411" s="2" t="s">
        <v>2283</v>
      </c>
      <c r="D411" s="2" t="s">
        <v>2284</v>
      </c>
      <c r="E411" s="4" t="s">
        <v>1342</v>
      </c>
      <c r="F411" s="2" t="s">
        <v>2285</v>
      </c>
      <c r="G411" s="2" t="s">
        <v>2286</v>
      </c>
      <c r="H411" s="2" t="s">
        <v>356</v>
      </c>
      <c r="I411" s="2" t="s">
        <v>208</v>
      </c>
      <c r="J411" s="2" t="s">
        <v>30</v>
      </c>
      <c r="K411" s="2" t="s">
        <v>30</v>
      </c>
      <c r="L411" s="2" t="s">
        <v>362</v>
      </c>
      <c r="M411" s="2" t="s">
        <v>31</v>
      </c>
      <c r="N411" s="2" t="s">
        <v>484</v>
      </c>
      <c r="O411" s="2" t="s">
        <v>155</v>
      </c>
      <c r="P411" s="2" t="s">
        <v>1346</v>
      </c>
      <c r="Q411" s="2" t="s">
        <v>206</v>
      </c>
      <c r="R411" s="2" t="s">
        <v>441</v>
      </c>
      <c r="S411" s="2" t="s">
        <v>34</v>
      </c>
      <c r="T411" s="151">
        <v>4.702</v>
      </c>
      <c r="U411" s="2" t="s">
        <v>2287</v>
      </c>
      <c r="V411" s="162">
        <v>7.4999999999999997E-3</v>
      </c>
      <c r="W411" s="164">
        <v>3.6729999999999999E-2</v>
      </c>
      <c r="X411" s="4" t="s">
        <v>447</v>
      </c>
      <c r="Y411" s="4" t="s">
        <v>155</v>
      </c>
      <c r="Z411" s="151">
        <v>64210.5</v>
      </c>
      <c r="AA411" s="158">
        <v>1</v>
      </c>
      <c r="AB411" s="175">
        <v>97.72</v>
      </c>
      <c r="AD411" s="151">
        <v>62.747</v>
      </c>
      <c r="AG411" s="2" t="s">
        <v>36</v>
      </c>
      <c r="AH411" s="164">
        <v>6.0999999999999999E-5</v>
      </c>
      <c r="AI411" s="164">
        <v>8.8611922973312607E-3</v>
      </c>
      <c r="AJ411" s="164">
        <v>8.2935207912384701E-4</v>
      </c>
    </row>
    <row r="412" spans="1:36">
      <c r="A412" s="2">
        <v>969</v>
      </c>
      <c r="B412" s="2">
        <v>969</v>
      </c>
      <c r="C412" s="2" t="s">
        <v>2288</v>
      </c>
      <c r="D412" s="2" t="s">
        <v>2289</v>
      </c>
      <c r="E412" s="4" t="s">
        <v>1342</v>
      </c>
      <c r="F412" s="2" t="s">
        <v>2290</v>
      </c>
      <c r="G412" s="2" t="s">
        <v>2291</v>
      </c>
      <c r="H412" s="2" t="s">
        <v>356</v>
      </c>
      <c r="I412" s="2" t="s">
        <v>208</v>
      </c>
      <c r="J412" s="2" t="s">
        <v>30</v>
      </c>
      <c r="K412" s="2" t="s">
        <v>30</v>
      </c>
      <c r="L412" s="2" t="s">
        <v>362</v>
      </c>
      <c r="M412" s="2" t="s">
        <v>31</v>
      </c>
      <c r="N412" s="2" t="s">
        <v>481</v>
      </c>
      <c r="O412" s="2" t="s">
        <v>155</v>
      </c>
      <c r="P412" s="2" t="s">
        <v>100</v>
      </c>
      <c r="Q412" s="2" t="s">
        <v>206</v>
      </c>
      <c r="R412" s="2" t="s">
        <v>441</v>
      </c>
      <c r="S412" s="2" t="s">
        <v>34</v>
      </c>
      <c r="T412" s="151">
        <v>4.9290000000000003</v>
      </c>
      <c r="U412" s="2" t="s">
        <v>2292</v>
      </c>
      <c r="V412" s="162">
        <v>2.47E-2</v>
      </c>
      <c r="W412" s="164">
        <v>2.5839999999999998E-2</v>
      </c>
      <c r="X412" s="4" t="s">
        <v>447</v>
      </c>
      <c r="Y412" s="4" t="s">
        <v>155</v>
      </c>
      <c r="Z412" s="151">
        <v>174915</v>
      </c>
      <c r="AA412" s="158">
        <v>1</v>
      </c>
      <c r="AB412" s="175">
        <v>102.7</v>
      </c>
      <c r="AD412" s="151">
        <v>179.63800000000001</v>
      </c>
      <c r="AG412" s="2" t="s">
        <v>36</v>
      </c>
      <c r="AH412" s="164">
        <v>6.0999999999999999E-5</v>
      </c>
      <c r="AI412" s="164">
        <v>2.5368813123201699E-2</v>
      </c>
      <c r="AJ412" s="164">
        <v>2.37436195972953E-3</v>
      </c>
    </row>
    <row r="413" spans="1:36">
      <c r="A413" s="2">
        <v>969</v>
      </c>
      <c r="B413" s="2">
        <v>969</v>
      </c>
      <c r="C413" s="2" t="s">
        <v>2288</v>
      </c>
      <c r="D413" s="2" t="s">
        <v>2289</v>
      </c>
      <c r="E413" s="4" t="s">
        <v>1342</v>
      </c>
      <c r="F413" s="2" t="s">
        <v>2299</v>
      </c>
      <c r="G413" s="2" t="s">
        <v>2300</v>
      </c>
      <c r="H413" s="2" t="s">
        <v>356</v>
      </c>
      <c r="I413" s="2" t="s">
        <v>208</v>
      </c>
      <c r="J413" s="2" t="s">
        <v>30</v>
      </c>
      <c r="K413" s="2" t="s">
        <v>30</v>
      </c>
      <c r="L413" s="2" t="s">
        <v>362</v>
      </c>
      <c r="M413" s="2" t="s">
        <v>31</v>
      </c>
      <c r="N413" s="2" t="s">
        <v>481</v>
      </c>
      <c r="O413" s="2" t="s">
        <v>155</v>
      </c>
      <c r="P413" s="2" t="s">
        <v>1353</v>
      </c>
      <c r="Q413" s="2" t="s">
        <v>206</v>
      </c>
      <c r="R413" s="2" t="s">
        <v>441</v>
      </c>
      <c r="S413" s="2" t="s">
        <v>34</v>
      </c>
      <c r="T413" s="151">
        <v>3.87</v>
      </c>
      <c r="U413" s="2" t="s">
        <v>2301</v>
      </c>
      <c r="V413" s="162">
        <v>3.1699999999999999E-2</v>
      </c>
      <c r="W413" s="164">
        <v>3.0759999999999999E-2</v>
      </c>
      <c r="X413" s="4" t="s">
        <v>447</v>
      </c>
      <c r="Y413" s="4" t="s">
        <v>155</v>
      </c>
      <c r="Z413" s="151">
        <v>100000</v>
      </c>
      <c r="AA413" s="158">
        <v>1</v>
      </c>
      <c r="AB413" s="175">
        <v>110.29</v>
      </c>
      <c r="AD413" s="151">
        <v>110.29</v>
      </c>
      <c r="AG413" s="2" t="s">
        <v>36</v>
      </c>
      <c r="AH413" s="164">
        <v>1.18E-4</v>
      </c>
      <c r="AI413" s="164">
        <v>1.55753849079619E-2</v>
      </c>
      <c r="AJ413" s="164">
        <v>1.45775843962474E-3</v>
      </c>
    </row>
    <row r="414" spans="1:36">
      <c r="A414" s="2">
        <v>969</v>
      </c>
      <c r="B414" s="2">
        <v>969</v>
      </c>
      <c r="C414" s="2" t="s">
        <v>2302</v>
      </c>
      <c r="D414" s="2" t="s">
        <v>2303</v>
      </c>
      <c r="E414" s="4" t="s">
        <v>1342</v>
      </c>
      <c r="F414" s="2" t="s">
        <v>2304</v>
      </c>
      <c r="G414" s="2" t="s">
        <v>2305</v>
      </c>
      <c r="H414" s="2" t="s">
        <v>356</v>
      </c>
      <c r="I414" s="2" t="s">
        <v>208</v>
      </c>
      <c r="J414" s="2" t="s">
        <v>30</v>
      </c>
      <c r="K414" s="2" t="s">
        <v>30</v>
      </c>
      <c r="L414" s="2" t="s">
        <v>362</v>
      </c>
      <c r="M414" s="2" t="s">
        <v>31</v>
      </c>
      <c r="N414" s="2" t="s">
        <v>473</v>
      </c>
      <c r="O414" s="2" t="s">
        <v>155</v>
      </c>
      <c r="P414" s="2" t="s">
        <v>2192</v>
      </c>
      <c r="Q414" s="2" t="s">
        <v>101</v>
      </c>
      <c r="R414" s="2" t="s">
        <v>441</v>
      </c>
      <c r="S414" s="2" t="s">
        <v>34</v>
      </c>
      <c r="T414" s="151">
        <v>3.4649999999999999</v>
      </c>
      <c r="U414" s="2" t="s">
        <v>2306</v>
      </c>
      <c r="V414" s="162">
        <v>1.7999999999999999E-2</v>
      </c>
      <c r="W414" s="164">
        <v>3.6589999999999998E-2</v>
      </c>
      <c r="X414" s="4" t="s">
        <v>447</v>
      </c>
      <c r="Y414" s="4" t="s">
        <v>155</v>
      </c>
      <c r="Z414" s="151">
        <v>52419.360000000001</v>
      </c>
      <c r="AA414" s="158">
        <v>1</v>
      </c>
      <c r="AB414" s="175">
        <v>107.89</v>
      </c>
      <c r="AD414" s="151">
        <v>56.555</v>
      </c>
      <c r="AG414" s="2" t="s">
        <v>36</v>
      </c>
      <c r="AH414" s="164">
        <v>5.3000000000000001E-5</v>
      </c>
      <c r="AI414" s="164">
        <v>7.98685056160898E-3</v>
      </c>
      <c r="AJ414" s="164">
        <v>7.4751917085884799E-4</v>
      </c>
    </row>
    <row r="415" spans="1:36">
      <c r="A415" s="2">
        <v>969</v>
      </c>
      <c r="B415" s="2">
        <v>969</v>
      </c>
      <c r="C415" s="2" t="s">
        <v>2302</v>
      </c>
      <c r="D415" s="2" t="s">
        <v>2303</v>
      </c>
      <c r="E415" s="4" t="s">
        <v>1342</v>
      </c>
      <c r="F415" s="2" t="s">
        <v>2307</v>
      </c>
      <c r="G415" s="2" t="s">
        <v>2308</v>
      </c>
      <c r="H415" s="2" t="s">
        <v>356</v>
      </c>
      <c r="I415" s="2" t="s">
        <v>208</v>
      </c>
      <c r="J415" s="2" t="s">
        <v>30</v>
      </c>
      <c r="K415" s="2" t="s">
        <v>30</v>
      </c>
      <c r="L415" s="2" t="s">
        <v>362</v>
      </c>
      <c r="M415" s="2" t="s">
        <v>31</v>
      </c>
      <c r="N415" s="2" t="s">
        <v>473</v>
      </c>
      <c r="O415" s="2" t="s">
        <v>155</v>
      </c>
      <c r="P415" s="2" t="s">
        <v>2192</v>
      </c>
      <c r="Q415" s="2" t="s">
        <v>206</v>
      </c>
      <c r="R415" s="2" t="s">
        <v>441</v>
      </c>
      <c r="S415" s="2" t="s">
        <v>34</v>
      </c>
      <c r="T415" s="151">
        <v>5.843</v>
      </c>
      <c r="U415" s="2" t="s">
        <v>2309</v>
      </c>
      <c r="V415" s="162">
        <v>3.3000000000000002E-2</v>
      </c>
      <c r="W415" s="164">
        <v>4.2569999999999997E-2</v>
      </c>
      <c r="X415" s="4" t="s">
        <v>447</v>
      </c>
      <c r="Y415" s="4" t="s">
        <v>155</v>
      </c>
      <c r="Z415" s="151">
        <v>159621.79999999999</v>
      </c>
      <c r="AA415" s="158">
        <v>1</v>
      </c>
      <c r="AB415" s="175">
        <v>101.08</v>
      </c>
      <c r="AD415" s="151">
        <v>161.346</v>
      </c>
      <c r="AG415" s="2" t="s">
        <v>36</v>
      </c>
      <c r="AH415" s="164">
        <v>1.27E-4</v>
      </c>
      <c r="AI415" s="164">
        <v>2.2785580027459399E-2</v>
      </c>
      <c r="AJ415" s="164">
        <v>2.1325875272459201E-3</v>
      </c>
    </row>
    <row r="416" spans="1:36">
      <c r="A416" s="2">
        <v>969</v>
      </c>
      <c r="B416" s="2">
        <v>969</v>
      </c>
      <c r="C416" s="2" t="s">
        <v>2310</v>
      </c>
      <c r="D416" s="2" t="s">
        <v>2311</v>
      </c>
      <c r="E416" s="4" t="s">
        <v>1342</v>
      </c>
      <c r="F416" s="2" t="s">
        <v>2312</v>
      </c>
      <c r="G416" s="2" t="s">
        <v>2313</v>
      </c>
      <c r="H416" s="2" t="s">
        <v>356</v>
      </c>
      <c r="I416" s="2" t="s">
        <v>208</v>
      </c>
      <c r="J416" s="2" t="s">
        <v>30</v>
      </c>
      <c r="K416" s="2" t="s">
        <v>30</v>
      </c>
      <c r="L416" s="2" t="s">
        <v>362</v>
      </c>
      <c r="M416" s="2" t="s">
        <v>31</v>
      </c>
      <c r="N416" s="2" t="s">
        <v>497</v>
      </c>
      <c r="O416" s="2" t="s">
        <v>155</v>
      </c>
      <c r="P416" s="2" t="s">
        <v>2192</v>
      </c>
      <c r="Q416" s="2" t="s">
        <v>206</v>
      </c>
      <c r="R416" s="2" t="s">
        <v>441</v>
      </c>
      <c r="S416" s="2" t="s">
        <v>34</v>
      </c>
      <c r="T416" s="151">
        <v>3.8849999999999998</v>
      </c>
      <c r="U416" s="2" t="s">
        <v>2201</v>
      </c>
      <c r="V416" s="162">
        <v>3.6499999999999998E-2</v>
      </c>
      <c r="W416" s="164">
        <v>3.2820000000000002E-2</v>
      </c>
      <c r="X416" s="4" t="s">
        <v>447</v>
      </c>
      <c r="Y416" s="4" t="s">
        <v>155</v>
      </c>
      <c r="Z416" s="151">
        <v>80000</v>
      </c>
      <c r="AA416" s="158">
        <v>1</v>
      </c>
      <c r="AB416" s="175">
        <v>108.95</v>
      </c>
      <c r="AD416" s="151">
        <v>87.16</v>
      </c>
      <c r="AG416" s="2" t="s">
        <v>36</v>
      </c>
      <c r="AH416" s="164">
        <v>2.4499999999999999E-4</v>
      </c>
      <c r="AI416" s="164">
        <v>1.2308917840039599E-2</v>
      </c>
      <c r="AJ416" s="164">
        <v>1.15203758815571E-3</v>
      </c>
    </row>
    <row r="417" spans="1:36">
      <c r="A417" s="2">
        <v>969</v>
      </c>
      <c r="B417" s="2">
        <v>969</v>
      </c>
      <c r="C417" s="2" t="s">
        <v>2310</v>
      </c>
      <c r="D417" s="2" t="s">
        <v>2311</v>
      </c>
      <c r="E417" s="4" t="s">
        <v>1342</v>
      </c>
      <c r="F417" s="2" t="s">
        <v>2314</v>
      </c>
      <c r="G417" s="2" t="s">
        <v>2315</v>
      </c>
      <c r="H417" s="2" t="s">
        <v>356</v>
      </c>
      <c r="I417" s="2" t="s">
        <v>208</v>
      </c>
      <c r="J417" s="2" t="s">
        <v>30</v>
      </c>
      <c r="K417" s="2" t="s">
        <v>30</v>
      </c>
      <c r="L417" s="2" t="s">
        <v>362</v>
      </c>
      <c r="M417" s="2" t="s">
        <v>31</v>
      </c>
      <c r="N417" s="2" t="s">
        <v>497</v>
      </c>
      <c r="O417" s="2" t="s">
        <v>155</v>
      </c>
      <c r="P417" s="2" t="s">
        <v>2181</v>
      </c>
      <c r="Q417" s="2" t="s">
        <v>206</v>
      </c>
      <c r="R417" s="2" t="s">
        <v>441</v>
      </c>
      <c r="S417" s="2" t="s">
        <v>34</v>
      </c>
      <c r="T417" s="151">
        <v>1.536</v>
      </c>
      <c r="U417" s="2" t="s">
        <v>1338</v>
      </c>
      <c r="V417" s="162">
        <v>1.7999999999999999E-2</v>
      </c>
      <c r="W417" s="164">
        <v>2.742E-2</v>
      </c>
      <c r="X417" s="4" t="s">
        <v>447</v>
      </c>
      <c r="Y417" s="4" t="s">
        <v>155</v>
      </c>
      <c r="Z417" s="151">
        <v>60495.06</v>
      </c>
      <c r="AA417" s="158">
        <v>1</v>
      </c>
      <c r="AB417" s="175">
        <v>113.45</v>
      </c>
      <c r="AD417" s="151">
        <v>68.632000000000005</v>
      </c>
      <c r="AG417" s="2" t="s">
        <v>36</v>
      </c>
      <c r="AH417" s="164">
        <v>7.7000000000000001E-5</v>
      </c>
      <c r="AI417" s="164">
        <v>9.6923048020633902E-3</v>
      </c>
      <c r="AJ417" s="164">
        <v>9.0713900222143197E-4</v>
      </c>
    </row>
    <row r="418" spans="1:36">
      <c r="A418" s="2">
        <v>969</v>
      </c>
      <c r="B418" s="2">
        <v>969</v>
      </c>
      <c r="C418" s="2" t="s">
        <v>2316</v>
      </c>
      <c r="D418" s="2" t="s">
        <v>2317</v>
      </c>
      <c r="E418" s="4" t="s">
        <v>1342</v>
      </c>
      <c r="F418" s="2" t="s">
        <v>2318</v>
      </c>
      <c r="G418" s="2" t="s">
        <v>2319</v>
      </c>
      <c r="H418" s="2" t="s">
        <v>356</v>
      </c>
      <c r="I418" s="2" t="s">
        <v>1000</v>
      </c>
      <c r="J418" s="2" t="s">
        <v>30</v>
      </c>
      <c r="K418" s="2" t="s">
        <v>30</v>
      </c>
      <c r="L418" s="2" t="s">
        <v>362</v>
      </c>
      <c r="M418" s="2" t="s">
        <v>31</v>
      </c>
      <c r="N418" s="2" t="s">
        <v>478</v>
      </c>
      <c r="O418" s="2" t="s">
        <v>155</v>
      </c>
      <c r="P418" s="2" t="s">
        <v>1353</v>
      </c>
      <c r="Q418" s="2" t="s">
        <v>206</v>
      </c>
      <c r="R418" s="2" t="s">
        <v>441</v>
      </c>
      <c r="S418" s="2" t="s">
        <v>34</v>
      </c>
      <c r="T418" s="151">
        <v>8.5960000000000001</v>
      </c>
      <c r="U418" s="2" t="s">
        <v>2320</v>
      </c>
      <c r="V418" s="162">
        <v>3.0499999999999999E-2</v>
      </c>
      <c r="W418" s="164">
        <v>5.8979999999999998E-2</v>
      </c>
      <c r="X418" s="4" t="s">
        <v>447</v>
      </c>
      <c r="Y418" s="4" t="s">
        <v>155</v>
      </c>
      <c r="Z418" s="151">
        <v>73032</v>
      </c>
      <c r="AA418" s="158">
        <v>1</v>
      </c>
      <c r="AB418" s="175">
        <v>84.59</v>
      </c>
      <c r="AD418" s="151">
        <v>61.777999999999999</v>
      </c>
      <c r="AG418" s="2" t="s">
        <v>36</v>
      </c>
      <c r="AH418" s="164">
        <v>1.07E-4</v>
      </c>
      <c r="AI418" s="164">
        <v>8.7243859625993504E-3</v>
      </c>
      <c r="AJ418" s="164">
        <v>8.1654786335466699E-4</v>
      </c>
    </row>
    <row r="419" spans="1:36">
      <c r="A419" s="2">
        <v>969</v>
      </c>
      <c r="B419" s="2">
        <v>969</v>
      </c>
      <c r="C419" s="2" t="s">
        <v>2316</v>
      </c>
      <c r="D419" s="2" t="s">
        <v>2317</v>
      </c>
      <c r="E419" s="4" t="s">
        <v>1342</v>
      </c>
      <c r="F419" s="2" t="s">
        <v>2321</v>
      </c>
      <c r="G419" s="2" t="s">
        <v>2322</v>
      </c>
      <c r="H419" s="2" t="s">
        <v>356</v>
      </c>
      <c r="I419" s="2" t="s">
        <v>1000</v>
      </c>
      <c r="J419" s="2" t="s">
        <v>30</v>
      </c>
      <c r="K419" s="2" t="s">
        <v>30</v>
      </c>
      <c r="L419" s="2" t="s">
        <v>362</v>
      </c>
      <c r="M419" s="2" t="s">
        <v>85</v>
      </c>
      <c r="N419" s="2" t="s">
        <v>478</v>
      </c>
      <c r="O419" s="2" t="s">
        <v>155</v>
      </c>
      <c r="P419" s="2" t="s">
        <v>1353</v>
      </c>
      <c r="Q419" s="2" t="s">
        <v>206</v>
      </c>
      <c r="R419" s="2" t="s">
        <v>441</v>
      </c>
      <c r="S419" s="2" t="s">
        <v>34</v>
      </c>
      <c r="T419" s="151">
        <v>8.6649999999999991</v>
      </c>
      <c r="U419" s="2" t="s">
        <v>2323</v>
      </c>
      <c r="V419" s="162">
        <v>6.0199999999999997E-2</v>
      </c>
      <c r="W419" s="164">
        <v>5.9959999999999999E-2</v>
      </c>
      <c r="X419" s="4" t="s">
        <v>447</v>
      </c>
      <c r="Y419" s="4" t="s">
        <v>155</v>
      </c>
      <c r="Z419" s="151">
        <v>72761</v>
      </c>
      <c r="AA419" s="158">
        <v>1</v>
      </c>
      <c r="AB419" s="175">
        <v>102.28</v>
      </c>
      <c r="AD419" s="151">
        <v>74.42</v>
      </c>
      <c r="AG419" s="2" t="s">
        <v>36</v>
      </c>
      <c r="AH419" s="164">
        <v>1.46E-4</v>
      </c>
      <c r="AI419" s="164">
        <v>1.05097413957892E-2</v>
      </c>
      <c r="AJ419" s="164">
        <v>9.8364594573540905E-4</v>
      </c>
    </row>
    <row r="420" spans="1:36">
      <c r="A420" s="2">
        <v>969</v>
      </c>
      <c r="B420" s="2">
        <v>969</v>
      </c>
      <c r="C420" s="2" t="s">
        <v>2316</v>
      </c>
      <c r="D420" s="2" t="s">
        <v>2317</v>
      </c>
      <c r="E420" s="4" t="s">
        <v>1342</v>
      </c>
      <c r="F420" s="2" t="s">
        <v>2324</v>
      </c>
      <c r="G420" s="2" t="s">
        <v>2325</v>
      </c>
      <c r="H420" s="2" t="s">
        <v>356</v>
      </c>
      <c r="I420" s="2" t="s">
        <v>1000</v>
      </c>
      <c r="J420" s="2" t="s">
        <v>30</v>
      </c>
      <c r="K420" s="2" t="s">
        <v>30</v>
      </c>
      <c r="L420" s="2" t="s">
        <v>362</v>
      </c>
      <c r="M420" s="2" t="s">
        <v>31</v>
      </c>
      <c r="N420" s="2" t="s">
        <v>478</v>
      </c>
      <c r="O420" s="2" t="s">
        <v>155</v>
      </c>
      <c r="P420" s="2" t="s">
        <v>1353</v>
      </c>
      <c r="Q420" s="2" t="s">
        <v>206</v>
      </c>
      <c r="R420" s="2" t="s">
        <v>441</v>
      </c>
      <c r="S420" s="2" t="s">
        <v>34</v>
      </c>
      <c r="T420" s="151">
        <v>4.681</v>
      </c>
      <c r="U420" s="2" t="s">
        <v>2326</v>
      </c>
      <c r="V420" s="162">
        <v>4.3799999999999999E-2</v>
      </c>
      <c r="W420" s="164">
        <v>5.527E-2</v>
      </c>
      <c r="X420" s="4" t="s">
        <v>447</v>
      </c>
      <c r="Y420" s="4" t="s">
        <v>155</v>
      </c>
      <c r="Z420" s="151">
        <v>32000</v>
      </c>
      <c r="AA420" s="158">
        <v>1</v>
      </c>
      <c r="AB420" s="175">
        <v>96.24</v>
      </c>
      <c r="AD420" s="151">
        <v>30.797000000000001</v>
      </c>
      <c r="AG420" s="2" t="s">
        <v>36</v>
      </c>
      <c r="AH420" s="164">
        <v>6.3999999999999997E-5</v>
      </c>
      <c r="AI420" s="164">
        <v>4.3491886293727704E-3</v>
      </c>
      <c r="AJ420" s="164">
        <v>4.0705680581589799E-4</v>
      </c>
    </row>
    <row r="421" spans="1:36">
      <c r="A421" s="2">
        <v>969</v>
      </c>
      <c r="B421" s="2">
        <v>969</v>
      </c>
      <c r="C421" s="2" t="s">
        <v>2327</v>
      </c>
      <c r="D421" s="2" t="s">
        <v>2328</v>
      </c>
      <c r="E421" s="4" t="s">
        <v>1342</v>
      </c>
      <c r="F421" s="2" t="s">
        <v>2329</v>
      </c>
      <c r="G421" s="2" t="s">
        <v>2330</v>
      </c>
      <c r="H421" s="2" t="s">
        <v>356</v>
      </c>
      <c r="I421" s="2" t="s">
        <v>208</v>
      </c>
      <c r="J421" s="2" t="s">
        <v>30</v>
      </c>
      <c r="K421" s="2" t="s">
        <v>30</v>
      </c>
      <c r="L421" s="2" t="s">
        <v>362</v>
      </c>
      <c r="M421" s="2" t="s">
        <v>31</v>
      </c>
      <c r="N421" s="2" t="s">
        <v>473</v>
      </c>
      <c r="O421" s="2" t="s">
        <v>155</v>
      </c>
      <c r="P421" s="2" t="s">
        <v>1519</v>
      </c>
      <c r="Q421" s="2" t="s">
        <v>206</v>
      </c>
      <c r="R421" s="2" t="s">
        <v>441</v>
      </c>
      <c r="S421" s="2" t="s">
        <v>34</v>
      </c>
      <c r="T421" s="151">
        <v>7.5629999999999997</v>
      </c>
      <c r="U421" s="2" t="s">
        <v>2331</v>
      </c>
      <c r="V421" s="162">
        <v>0.03</v>
      </c>
      <c r="W421" s="164">
        <v>3.2599999999999997E-2</v>
      </c>
      <c r="X421" s="4" t="s">
        <v>447</v>
      </c>
      <c r="Y421" s="4" t="s">
        <v>155</v>
      </c>
      <c r="Z421" s="151">
        <v>185000</v>
      </c>
      <c r="AA421" s="158">
        <v>1</v>
      </c>
      <c r="AB421" s="175">
        <v>103.71</v>
      </c>
      <c r="AD421" s="151">
        <v>191.863</v>
      </c>
      <c r="AG421" s="2" t="s">
        <v>36</v>
      </c>
      <c r="AH421" s="164">
        <v>4.5000000000000003E-5</v>
      </c>
      <c r="AI421" s="164">
        <v>2.7095365511730501E-2</v>
      </c>
      <c r="AJ421" s="164">
        <v>2.5359564455611802E-3</v>
      </c>
    </row>
    <row r="422" spans="1:36">
      <c r="A422" s="2">
        <v>969</v>
      </c>
      <c r="B422" s="2">
        <v>969</v>
      </c>
      <c r="C422" s="2" t="s">
        <v>2327</v>
      </c>
      <c r="D422" s="2" t="s">
        <v>2328</v>
      </c>
      <c r="E422" s="4" t="s">
        <v>1342</v>
      </c>
      <c r="F422" s="2" t="s">
        <v>2332</v>
      </c>
      <c r="G422" s="2" t="s">
        <v>2333</v>
      </c>
      <c r="H422" s="2" t="s">
        <v>356</v>
      </c>
      <c r="I422" s="2" t="s">
        <v>208</v>
      </c>
      <c r="J422" s="2" t="s">
        <v>30</v>
      </c>
      <c r="K422" s="2" t="s">
        <v>30</v>
      </c>
      <c r="L422" s="2" t="s">
        <v>362</v>
      </c>
      <c r="M422" s="2" t="s">
        <v>31</v>
      </c>
      <c r="N422" s="2" t="s">
        <v>473</v>
      </c>
      <c r="O422" s="2" t="s">
        <v>155</v>
      </c>
      <c r="P422" s="2" t="s">
        <v>1519</v>
      </c>
      <c r="Q422" s="2" t="s">
        <v>101</v>
      </c>
      <c r="R422" s="2" t="s">
        <v>441</v>
      </c>
      <c r="S422" s="2" t="s">
        <v>34</v>
      </c>
      <c r="T422" s="151">
        <v>10.287000000000001</v>
      </c>
      <c r="U422" s="2" t="s">
        <v>2334</v>
      </c>
      <c r="V422" s="162">
        <v>3.2000000000000001E-2</v>
      </c>
      <c r="W422" s="164">
        <v>3.4759999999999999E-2</v>
      </c>
      <c r="X422" s="4" t="s">
        <v>447</v>
      </c>
      <c r="Y422" s="4" t="s">
        <v>155</v>
      </c>
      <c r="Z422" s="151">
        <v>185000</v>
      </c>
      <c r="AA422" s="158">
        <v>1</v>
      </c>
      <c r="AB422" s="175">
        <v>102.97</v>
      </c>
      <c r="AD422" s="151">
        <v>190.494</v>
      </c>
      <c r="AG422" s="2" t="s">
        <v>36</v>
      </c>
      <c r="AH422" s="164">
        <v>3.8000000000000002E-5</v>
      </c>
      <c r="AI422" s="164">
        <v>2.6902032463049799E-2</v>
      </c>
      <c r="AJ422" s="164">
        <v>2.51786168353519E-3</v>
      </c>
    </row>
    <row r="423" spans="1:36">
      <c r="A423" s="2">
        <v>969</v>
      </c>
      <c r="B423" s="2">
        <v>969</v>
      </c>
      <c r="C423" s="2" t="s">
        <v>2335</v>
      </c>
      <c r="D423" s="2" t="s">
        <v>2336</v>
      </c>
      <c r="E423" s="4" t="s">
        <v>1342</v>
      </c>
      <c r="F423" s="2" t="s">
        <v>2337</v>
      </c>
      <c r="G423" s="2" t="s">
        <v>2338</v>
      </c>
      <c r="H423" s="2" t="s">
        <v>356</v>
      </c>
      <c r="I423" s="2" t="s">
        <v>208</v>
      </c>
      <c r="J423" s="2" t="s">
        <v>30</v>
      </c>
      <c r="K423" s="2" t="s">
        <v>30</v>
      </c>
      <c r="L423" s="2" t="s">
        <v>362</v>
      </c>
      <c r="M423" s="2" t="s">
        <v>31</v>
      </c>
      <c r="N423" s="2" t="s">
        <v>481</v>
      </c>
      <c r="O423" s="2" t="s">
        <v>155</v>
      </c>
      <c r="P423" s="2" t="s">
        <v>1353</v>
      </c>
      <c r="Q423" s="2" t="s">
        <v>206</v>
      </c>
      <c r="R423" s="2" t="s">
        <v>441</v>
      </c>
      <c r="S423" s="2" t="s">
        <v>34</v>
      </c>
      <c r="T423" s="151">
        <v>4.5019999999999998</v>
      </c>
      <c r="U423" s="2" t="s">
        <v>2339</v>
      </c>
      <c r="V423" s="162">
        <v>2.5899999999999999E-2</v>
      </c>
      <c r="W423" s="164">
        <v>2.647E-2</v>
      </c>
      <c r="X423" s="4" t="s">
        <v>447</v>
      </c>
      <c r="Y423" s="4" t="s">
        <v>155</v>
      </c>
      <c r="Z423" s="151">
        <v>93000</v>
      </c>
      <c r="AA423" s="158">
        <v>1</v>
      </c>
      <c r="AB423" s="175">
        <v>105.13</v>
      </c>
      <c r="AD423" s="151">
        <v>97.771000000000001</v>
      </c>
      <c r="AG423" s="2" t="s">
        <v>36</v>
      </c>
      <c r="AH423" s="164">
        <v>2.0699999999999999E-4</v>
      </c>
      <c r="AI423" s="164">
        <v>1.38074113727252E-2</v>
      </c>
      <c r="AJ423" s="164">
        <v>1.29228719398592E-3</v>
      </c>
    </row>
    <row r="424" spans="1:36">
      <c r="A424" s="2">
        <v>969</v>
      </c>
      <c r="B424" s="2">
        <v>969</v>
      </c>
      <c r="C424" s="2" t="s">
        <v>2340</v>
      </c>
      <c r="D424" s="2" t="s">
        <v>2341</v>
      </c>
      <c r="E424" s="4" t="s">
        <v>348</v>
      </c>
      <c r="F424" s="2" t="s">
        <v>2342</v>
      </c>
      <c r="G424" s="2" t="s">
        <v>2343</v>
      </c>
      <c r="H424" s="2" t="s">
        <v>356</v>
      </c>
      <c r="I424" s="2" t="s">
        <v>1000</v>
      </c>
      <c r="J424" s="2" t="s">
        <v>30</v>
      </c>
      <c r="K424" s="2" t="s">
        <v>30</v>
      </c>
      <c r="L424" s="2" t="s">
        <v>362</v>
      </c>
      <c r="M424" s="2" t="s">
        <v>31</v>
      </c>
      <c r="N424" s="2" t="s">
        <v>487</v>
      </c>
      <c r="O424" s="2" t="s">
        <v>155</v>
      </c>
      <c r="P424" s="2" t="s">
        <v>2211</v>
      </c>
      <c r="Q424" s="2" t="s">
        <v>206</v>
      </c>
      <c r="R424" s="2" t="s">
        <v>441</v>
      </c>
      <c r="S424" s="2" t="s">
        <v>34</v>
      </c>
      <c r="T424" s="151">
        <v>3.2370000000000001</v>
      </c>
      <c r="U424" s="2" t="s">
        <v>2344</v>
      </c>
      <c r="V424" s="162">
        <v>2.24E-2</v>
      </c>
      <c r="W424" s="164">
        <v>5.6430000000000001E-2</v>
      </c>
      <c r="X424" s="4" t="s">
        <v>447</v>
      </c>
      <c r="Y424" s="4" t="s">
        <v>155</v>
      </c>
      <c r="Z424" s="151">
        <v>76872.72</v>
      </c>
      <c r="AA424" s="158">
        <v>1</v>
      </c>
      <c r="AB424" s="175">
        <v>90.78</v>
      </c>
      <c r="AD424" s="151">
        <v>69.784999999999997</v>
      </c>
      <c r="AG424" s="2" t="s">
        <v>36</v>
      </c>
      <c r="AH424" s="164">
        <v>1.3100000000000001E-4</v>
      </c>
      <c r="AI424" s="164">
        <v>9.8551917291919301E-3</v>
      </c>
      <c r="AJ424" s="164">
        <v>9.2238419803067199E-4</v>
      </c>
    </row>
    <row r="425" spans="1:36">
      <c r="A425" s="2">
        <v>969</v>
      </c>
      <c r="B425" s="2">
        <v>969</v>
      </c>
      <c r="C425" s="2" t="s">
        <v>1896</v>
      </c>
      <c r="D425" s="2" t="s">
        <v>1897</v>
      </c>
      <c r="E425" s="4" t="s">
        <v>1342</v>
      </c>
      <c r="F425" s="2" t="s">
        <v>2345</v>
      </c>
      <c r="G425" s="2" t="s">
        <v>2346</v>
      </c>
      <c r="H425" s="2" t="s">
        <v>356</v>
      </c>
      <c r="I425" s="2" t="s">
        <v>1000</v>
      </c>
      <c r="J425" s="2" t="s">
        <v>30</v>
      </c>
      <c r="K425" s="2" t="s">
        <v>30</v>
      </c>
      <c r="L425" s="2" t="s">
        <v>362</v>
      </c>
      <c r="M425" s="2" t="s">
        <v>31</v>
      </c>
      <c r="N425" s="2" t="s">
        <v>478</v>
      </c>
      <c r="O425" s="2" t="s">
        <v>155</v>
      </c>
      <c r="P425" s="2" t="s">
        <v>1353</v>
      </c>
      <c r="Q425" s="2" t="s">
        <v>206</v>
      </c>
      <c r="R425" s="2" t="s">
        <v>441</v>
      </c>
      <c r="S425" s="2" t="s">
        <v>34</v>
      </c>
      <c r="T425" s="151">
        <v>3.105</v>
      </c>
      <c r="U425" s="2" t="s">
        <v>2347</v>
      </c>
      <c r="V425" s="162">
        <v>4.7E-2</v>
      </c>
      <c r="W425" s="164">
        <v>5.4760000000000003E-2</v>
      </c>
      <c r="X425" s="4" t="s">
        <v>447</v>
      </c>
      <c r="Y425" s="4" t="s">
        <v>155</v>
      </c>
      <c r="Z425" s="151">
        <v>61000</v>
      </c>
      <c r="AA425" s="158">
        <v>1</v>
      </c>
      <c r="AB425" s="175">
        <v>100.38</v>
      </c>
      <c r="AD425" s="151">
        <v>61.231999999999999</v>
      </c>
      <c r="AG425" s="2" t="s">
        <v>36</v>
      </c>
      <c r="AH425" s="164">
        <v>6.7999999999999999E-5</v>
      </c>
      <c r="AI425" s="164">
        <v>8.6472831046091603E-3</v>
      </c>
      <c r="AJ425" s="164">
        <v>8.0933151893566402E-4</v>
      </c>
    </row>
    <row r="426" spans="1:36">
      <c r="A426" s="2">
        <v>969</v>
      </c>
      <c r="B426" s="2">
        <v>969</v>
      </c>
      <c r="C426" s="2" t="s">
        <v>2348</v>
      </c>
      <c r="D426" s="2" t="s">
        <v>2349</v>
      </c>
      <c r="E426" s="4" t="s">
        <v>1342</v>
      </c>
      <c r="F426" s="2" t="s">
        <v>2350</v>
      </c>
      <c r="G426" s="2" t="s">
        <v>2351</v>
      </c>
      <c r="H426" s="2" t="s">
        <v>356</v>
      </c>
      <c r="I426" s="2" t="s">
        <v>1000</v>
      </c>
      <c r="J426" s="2" t="s">
        <v>30</v>
      </c>
      <c r="K426" s="2" t="s">
        <v>30</v>
      </c>
      <c r="L426" s="2" t="s">
        <v>362</v>
      </c>
      <c r="M426" s="2" t="s">
        <v>31</v>
      </c>
      <c r="N426" s="2" t="s">
        <v>512</v>
      </c>
      <c r="O426" s="2" t="s">
        <v>155</v>
      </c>
      <c r="P426" s="2" t="s">
        <v>1353</v>
      </c>
      <c r="Q426" s="2" t="s">
        <v>206</v>
      </c>
      <c r="R426" s="2" t="s">
        <v>441</v>
      </c>
      <c r="S426" s="2" t="s">
        <v>34</v>
      </c>
      <c r="T426" s="151">
        <v>9.2230000000000008</v>
      </c>
      <c r="U426" s="2" t="s">
        <v>2352</v>
      </c>
      <c r="V426" s="162">
        <v>5.3100000000000001E-2</v>
      </c>
      <c r="W426" s="164">
        <v>6.1010000000000002E-2</v>
      </c>
      <c r="X426" s="4" t="s">
        <v>447</v>
      </c>
      <c r="Y426" s="4" t="s">
        <v>155</v>
      </c>
      <c r="Z426" s="151">
        <v>109850</v>
      </c>
      <c r="AA426" s="158">
        <v>1</v>
      </c>
      <c r="AB426" s="175">
        <v>95.72</v>
      </c>
      <c r="AD426" s="151">
        <v>105.148</v>
      </c>
      <c r="AG426" s="2" t="s">
        <v>36</v>
      </c>
      <c r="AH426" s="164">
        <v>8.6000000000000003E-5</v>
      </c>
      <c r="AI426" s="164">
        <v>1.4849280206401701E-2</v>
      </c>
      <c r="AJ426" s="164">
        <v>1.3897995889763999E-3</v>
      </c>
    </row>
    <row r="427" spans="1:36">
      <c r="A427" s="2">
        <v>969</v>
      </c>
      <c r="B427" s="2">
        <v>969</v>
      </c>
      <c r="C427" s="2" t="s">
        <v>1212</v>
      </c>
      <c r="D427" s="2" t="s">
        <v>1900</v>
      </c>
      <c r="E427" s="4" t="s">
        <v>1342</v>
      </c>
      <c r="F427" s="2" t="s">
        <v>2353</v>
      </c>
      <c r="G427" s="2" t="s">
        <v>2354</v>
      </c>
      <c r="H427" s="2" t="s">
        <v>356</v>
      </c>
      <c r="I427" s="2" t="s">
        <v>208</v>
      </c>
      <c r="J427" s="2" t="s">
        <v>30</v>
      </c>
      <c r="K427" s="2" t="s">
        <v>30</v>
      </c>
      <c r="L427" s="2" t="s">
        <v>362</v>
      </c>
      <c r="M427" s="2" t="s">
        <v>31</v>
      </c>
      <c r="N427" s="2" t="s">
        <v>481</v>
      </c>
      <c r="O427" s="2" t="s">
        <v>155</v>
      </c>
      <c r="P427" s="2" t="s">
        <v>100</v>
      </c>
      <c r="Q427" s="2" t="s">
        <v>206</v>
      </c>
      <c r="R427" s="2" t="s">
        <v>441</v>
      </c>
      <c r="S427" s="2" t="s">
        <v>34</v>
      </c>
      <c r="T427" s="151">
        <v>1.7370000000000001</v>
      </c>
      <c r="U427" s="2" t="s">
        <v>2355</v>
      </c>
      <c r="V427" s="162">
        <v>8.3000000000000001E-3</v>
      </c>
      <c r="W427" s="164">
        <v>2.0449999999999999E-2</v>
      </c>
      <c r="X427" s="4" t="s">
        <v>447</v>
      </c>
      <c r="Y427" s="4" t="s">
        <v>155</v>
      </c>
      <c r="Z427" s="151">
        <v>39368.5</v>
      </c>
      <c r="AA427" s="158">
        <v>1</v>
      </c>
      <c r="AB427" s="175">
        <v>113.2</v>
      </c>
      <c r="AD427" s="151">
        <v>44.564999999999998</v>
      </c>
      <c r="AG427" s="2" t="s">
        <v>36</v>
      </c>
      <c r="AH427" s="164">
        <v>2.5999999999999998E-5</v>
      </c>
      <c r="AI427" s="164">
        <v>6.29358273758256E-3</v>
      </c>
      <c r="AJ427" s="164">
        <v>5.8903991171978601E-4</v>
      </c>
    </row>
    <row r="428" spans="1:36">
      <c r="A428" s="2">
        <v>969</v>
      </c>
      <c r="B428" s="2">
        <v>969</v>
      </c>
      <c r="C428" s="2" t="s">
        <v>1212</v>
      </c>
      <c r="D428" s="2" t="s">
        <v>1900</v>
      </c>
      <c r="E428" s="4" t="s">
        <v>1342</v>
      </c>
      <c r="F428" s="2" t="s">
        <v>2356</v>
      </c>
      <c r="G428" s="2" t="s">
        <v>2357</v>
      </c>
      <c r="H428" s="2" t="s">
        <v>356</v>
      </c>
      <c r="I428" s="2" t="s">
        <v>208</v>
      </c>
      <c r="J428" s="2" t="s">
        <v>30</v>
      </c>
      <c r="K428" s="2" t="s">
        <v>30</v>
      </c>
      <c r="L428" s="2" t="s">
        <v>362</v>
      </c>
      <c r="M428" s="2" t="s">
        <v>31</v>
      </c>
      <c r="N428" s="2" t="s">
        <v>481</v>
      </c>
      <c r="O428" s="2" t="s">
        <v>155</v>
      </c>
      <c r="P428" s="2" t="s">
        <v>100</v>
      </c>
      <c r="Q428" s="2" t="s">
        <v>206</v>
      </c>
      <c r="R428" s="2" t="s">
        <v>441</v>
      </c>
      <c r="S428" s="2" t="s">
        <v>34</v>
      </c>
      <c r="T428" s="151">
        <v>5.0449999999999999</v>
      </c>
      <c r="U428" s="2" t="s">
        <v>2358</v>
      </c>
      <c r="V428" s="162">
        <v>2.0199999999999999E-2</v>
      </c>
      <c r="W428" s="164">
        <v>2.5940000000000001E-2</v>
      </c>
      <c r="X428" s="4" t="s">
        <v>447</v>
      </c>
      <c r="Y428" s="4" t="s">
        <v>155</v>
      </c>
      <c r="Z428" s="151">
        <v>111000</v>
      </c>
      <c r="AA428" s="158">
        <v>1</v>
      </c>
      <c r="AB428" s="175">
        <v>101.35</v>
      </c>
      <c r="AD428" s="151">
        <v>112.499</v>
      </c>
      <c r="AG428" s="2" t="s">
        <v>36</v>
      </c>
      <c r="AH428" s="164">
        <v>3.1000000000000001E-5</v>
      </c>
      <c r="AI428" s="164">
        <v>1.58872739057789E-2</v>
      </c>
      <c r="AJ428" s="164">
        <v>1.48694929567617E-3</v>
      </c>
    </row>
    <row r="429" spans="1:36">
      <c r="A429" s="2">
        <v>969</v>
      </c>
      <c r="B429" s="2">
        <v>969</v>
      </c>
      <c r="C429" s="2" t="s">
        <v>1212</v>
      </c>
      <c r="D429" s="2" t="s">
        <v>1900</v>
      </c>
      <c r="E429" s="4" t="s">
        <v>1342</v>
      </c>
      <c r="F429" s="2" t="s">
        <v>2359</v>
      </c>
      <c r="G429" s="2" t="s">
        <v>2360</v>
      </c>
      <c r="H429" s="2" t="s">
        <v>356</v>
      </c>
      <c r="I429" s="2" t="s">
        <v>208</v>
      </c>
      <c r="J429" s="2" t="s">
        <v>30</v>
      </c>
      <c r="K429" s="2" t="s">
        <v>30</v>
      </c>
      <c r="L429" s="2" t="s">
        <v>362</v>
      </c>
      <c r="M429" s="2" t="s">
        <v>31</v>
      </c>
      <c r="N429" s="2" t="s">
        <v>481</v>
      </c>
      <c r="O429" s="2" t="s">
        <v>155</v>
      </c>
      <c r="P429" s="2" t="s">
        <v>100</v>
      </c>
      <c r="Q429" s="2" t="s">
        <v>206</v>
      </c>
      <c r="R429" s="2" t="s">
        <v>441</v>
      </c>
      <c r="S429" s="2" t="s">
        <v>34</v>
      </c>
      <c r="T429" s="151">
        <v>5.1369999999999996</v>
      </c>
      <c r="U429" s="2" t="s">
        <v>2361</v>
      </c>
      <c r="V429" s="162">
        <v>1E-3</v>
      </c>
      <c r="W429" s="164">
        <v>2.622E-2</v>
      </c>
      <c r="X429" s="4" t="s">
        <v>447</v>
      </c>
      <c r="Y429" s="4" t="s">
        <v>155</v>
      </c>
      <c r="Z429" s="151">
        <v>102000</v>
      </c>
      <c r="AA429" s="158">
        <v>1</v>
      </c>
      <c r="AB429" s="175">
        <v>99.1</v>
      </c>
      <c r="AD429" s="151">
        <v>101.08199999999999</v>
      </c>
      <c r="AG429" s="2" t="s">
        <v>36</v>
      </c>
      <c r="AH429" s="164">
        <v>4.1E-5</v>
      </c>
      <c r="AI429" s="164">
        <v>1.42750118529931E-2</v>
      </c>
      <c r="AJ429" s="164">
        <v>1.3360516691825999E-3</v>
      </c>
    </row>
    <row r="430" spans="1:36">
      <c r="A430" s="2">
        <v>969</v>
      </c>
      <c r="B430" s="2">
        <v>969</v>
      </c>
      <c r="C430" s="2" t="s">
        <v>2364</v>
      </c>
      <c r="D430" s="2" t="s">
        <v>2365</v>
      </c>
      <c r="E430" s="4" t="s">
        <v>1342</v>
      </c>
      <c r="F430" s="2" t="s">
        <v>2366</v>
      </c>
      <c r="G430" s="2" t="s">
        <v>2367</v>
      </c>
      <c r="H430" s="2" t="s">
        <v>356</v>
      </c>
      <c r="I430" s="2" t="s">
        <v>1000</v>
      </c>
      <c r="J430" s="2" t="s">
        <v>30</v>
      </c>
      <c r="K430" s="2" t="s">
        <v>30</v>
      </c>
      <c r="L430" s="2" t="s">
        <v>362</v>
      </c>
      <c r="M430" s="2" t="s">
        <v>85</v>
      </c>
      <c r="N430" s="2" t="s">
        <v>478</v>
      </c>
      <c r="O430" s="2" t="s">
        <v>155</v>
      </c>
      <c r="P430" s="2" t="s">
        <v>1346</v>
      </c>
      <c r="Q430" s="2" t="s">
        <v>101</v>
      </c>
      <c r="R430" s="2" t="s">
        <v>441</v>
      </c>
      <c r="S430" s="2" t="s">
        <v>34</v>
      </c>
      <c r="T430" s="151">
        <v>9.5030000000000001</v>
      </c>
      <c r="U430" s="2" t="s">
        <v>2246</v>
      </c>
      <c r="V430" s="162">
        <v>6.0699999999999997E-2</v>
      </c>
      <c r="W430" s="164">
        <v>6.1519999999999998E-2</v>
      </c>
      <c r="X430" s="4" t="s">
        <v>447</v>
      </c>
      <c r="Y430" s="4" t="s">
        <v>155</v>
      </c>
      <c r="Z430" s="151">
        <v>70822</v>
      </c>
      <c r="AA430" s="158">
        <v>1</v>
      </c>
      <c r="AB430" s="175">
        <v>101.97</v>
      </c>
      <c r="AD430" s="151">
        <v>72.216999999999999</v>
      </c>
      <c r="AG430" s="2" t="s">
        <v>36</v>
      </c>
      <c r="AH430" s="164">
        <v>3.3700000000000001E-4</v>
      </c>
      <c r="AI430" s="164">
        <v>1.01986633799776E-2</v>
      </c>
      <c r="AJ430" s="164">
        <v>9.5453099251847299E-4</v>
      </c>
    </row>
    <row r="431" spans="1:36">
      <c r="A431" s="2">
        <v>969</v>
      </c>
      <c r="B431" s="2">
        <v>969</v>
      </c>
      <c r="C431" s="2" t="s">
        <v>2364</v>
      </c>
      <c r="D431" s="2" t="s">
        <v>2365</v>
      </c>
      <c r="E431" s="4" t="s">
        <v>1342</v>
      </c>
      <c r="F431" s="2" t="s">
        <v>2518</v>
      </c>
      <c r="G431" s="2" t="s">
        <v>2519</v>
      </c>
      <c r="H431" s="2" t="s">
        <v>356</v>
      </c>
      <c r="I431" s="2" t="s">
        <v>1000</v>
      </c>
      <c r="J431" s="2" t="s">
        <v>30</v>
      </c>
      <c r="K431" s="2" t="s">
        <v>30</v>
      </c>
      <c r="L431" s="2" t="s">
        <v>362</v>
      </c>
      <c r="M431" s="2" t="s">
        <v>31</v>
      </c>
      <c r="N431" s="2" t="s">
        <v>478</v>
      </c>
      <c r="O431" s="2" t="s">
        <v>155</v>
      </c>
      <c r="P431" s="2" t="s">
        <v>1346</v>
      </c>
      <c r="Q431" s="2" t="s">
        <v>101</v>
      </c>
      <c r="R431" s="2" t="s">
        <v>441</v>
      </c>
      <c r="S431" s="2" t="s">
        <v>34</v>
      </c>
      <c r="T431" s="151">
        <v>2.13</v>
      </c>
      <c r="U431" s="2" t="s">
        <v>2378</v>
      </c>
      <c r="V431" s="162">
        <v>4.1000000000000002E-2</v>
      </c>
      <c r="W431" s="164">
        <v>5.416E-2</v>
      </c>
      <c r="X431" s="4" t="s">
        <v>447</v>
      </c>
      <c r="Y431" s="4" t="s">
        <v>155</v>
      </c>
      <c r="Z431" s="151">
        <v>69900</v>
      </c>
      <c r="AA431" s="158">
        <v>1</v>
      </c>
      <c r="AB431" s="175">
        <v>100.34</v>
      </c>
      <c r="AD431" s="151">
        <v>70.138000000000005</v>
      </c>
      <c r="AG431" s="2" t="s">
        <v>36</v>
      </c>
      <c r="AH431" s="164">
        <v>9.7999999999999997E-5</v>
      </c>
      <c r="AI431" s="164">
        <v>9.9049873156566003E-3</v>
      </c>
      <c r="AJ431" s="164">
        <v>9.2704475292892301E-4</v>
      </c>
    </row>
    <row r="432" spans="1:36">
      <c r="A432" s="2">
        <v>969</v>
      </c>
      <c r="B432" s="2">
        <v>969</v>
      </c>
      <c r="C432" s="2" t="s">
        <v>2364</v>
      </c>
      <c r="D432" s="2" t="s">
        <v>2365</v>
      </c>
      <c r="E432" s="4" t="s">
        <v>1342</v>
      </c>
      <c r="F432" s="2" t="s">
        <v>2368</v>
      </c>
      <c r="G432" s="2" t="s">
        <v>2369</v>
      </c>
      <c r="H432" s="2" t="s">
        <v>356</v>
      </c>
      <c r="I432" s="2" t="s">
        <v>1000</v>
      </c>
      <c r="J432" s="2" t="s">
        <v>30</v>
      </c>
      <c r="K432" s="2" t="s">
        <v>30</v>
      </c>
      <c r="L432" s="2" t="s">
        <v>362</v>
      </c>
      <c r="M432" s="2" t="s">
        <v>85</v>
      </c>
      <c r="N432" s="2" t="s">
        <v>478</v>
      </c>
      <c r="O432" s="2" t="s">
        <v>155</v>
      </c>
      <c r="P432" s="2" t="s">
        <v>1346</v>
      </c>
      <c r="Q432" s="2" t="s">
        <v>206</v>
      </c>
      <c r="R432" s="2" t="s">
        <v>441</v>
      </c>
      <c r="S432" s="2" t="s">
        <v>34</v>
      </c>
      <c r="T432" s="151">
        <v>9.0589999999999993</v>
      </c>
      <c r="U432" s="2" t="s">
        <v>2370</v>
      </c>
      <c r="V432" s="162">
        <v>6.0699999999999997E-2</v>
      </c>
      <c r="W432" s="164">
        <v>6.0609999999999997E-2</v>
      </c>
      <c r="X432" s="4" t="s">
        <v>447</v>
      </c>
      <c r="Y432" s="4" t="s">
        <v>155</v>
      </c>
      <c r="Z432" s="151">
        <v>70366</v>
      </c>
      <c r="AA432" s="158">
        <v>1</v>
      </c>
      <c r="AB432" s="175">
        <v>102.54</v>
      </c>
      <c r="AD432" s="151">
        <v>72.153000000000006</v>
      </c>
      <c r="AG432" s="2" t="s">
        <v>36</v>
      </c>
      <c r="AH432" s="164">
        <v>3.3500000000000001E-4</v>
      </c>
      <c r="AI432" s="164">
        <v>1.01896397117442E-2</v>
      </c>
      <c r="AJ432" s="164">
        <v>9.5368643370972604E-4</v>
      </c>
    </row>
    <row r="433" spans="1:36">
      <c r="A433" s="2">
        <v>969</v>
      </c>
      <c r="B433" s="2">
        <v>969</v>
      </c>
      <c r="C433" s="2" t="s">
        <v>1907</v>
      </c>
      <c r="D433" s="2" t="s">
        <v>1908</v>
      </c>
      <c r="E433" s="4" t="s">
        <v>1342</v>
      </c>
      <c r="F433" s="2" t="s">
        <v>2371</v>
      </c>
      <c r="G433" s="2" t="s">
        <v>2372</v>
      </c>
      <c r="H433" s="2" t="s">
        <v>356</v>
      </c>
      <c r="I433" s="2" t="s">
        <v>1000</v>
      </c>
      <c r="J433" s="2" t="s">
        <v>30</v>
      </c>
      <c r="K433" s="2" t="s">
        <v>30</v>
      </c>
      <c r="L433" s="2" t="s">
        <v>362</v>
      </c>
      <c r="M433" s="2" t="s">
        <v>31</v>
      </c>
      <c r="N433" s="2" t="s">
        <v>497</v>
      </c>
      <c r="O433" s="2" t="s">
        <v>155</v>
      </c>
      <c r="P433" s="2" t="s">
        <v>2181</v>
      </c>
      <c r="Q433" s="2" t="s">
        <v>101</v>
      </c>
      <c r="R433" s="2" t="s">
        <v>441</v>
      </c>
      <c r="S433" s="2" t="s">
        <v>34</v>
      </c>
      <c r="T433" s="151">
        <v>4.8710000000000004</v>
      </c>
      <c r="U433" s="2" t="s">
        <v>2373</v>
      </c>
      <c r="V433" s="162">
        <v>5.4800000000000001E-2</v>
      </c>
      <c r="W433" s="164">
        <v>6.2E-2</v>
      </c>
      <c r="X433" s="4" t="s">
        <v>447</v>
      </c>
      <c r="Y433" s="4" t="s">
        <v>155</v>
      </c>
      <c r="Z433" s="151">
        <v>100000</v>
      </c>
      <c r="AA433" s="158">
        <v>1</v>
      </c>
      <c r="AB433" s="175">
        <v>98.13</v>
      </c>
      <c r="AD433" s="151">
        <v>98.13</v>
      </c>
      <c r="AG433" s="2" t="s">
        <v>36</v>
      </c>
      <c r="AH433" s="164">
        <v>3.3300000000000002E-4</v>
      </c>
      <c r="AI433" s="164">
        <v>1.38581242272038E-2</v>
      </c>
      <c r="AJ433" s="164">
        <v>1.29703359942312E-3</v>
      </c>
    </row>
    <row r="434" spans="1:36">
      <c r="A434" s="2">
        <v>969</v>
      </c>
      <c r="B434" s="2">
        <v>969</v>
      </c>
      <c r="C434" s="2" t="s">
        <v>2374</v>
      </c>
      <c r="D434" s="2" t="s">
        <v>2375</v>
      </c>
      <c r="E434" s="4" t="s">
        <v>1342</v>
      </c>
      <c r="F434" s="2" t="s">
        <v>2376</v>
      </c>
      <c r="G434" s="2" t="s">
        <v>2377</v>
      </c>
      <c r="H434" s="2" t="s">
        <v>356</v>
      </c>
      <c r="I434" s="2" t="s">
        <v>208</v>
      </c>
      <c r="J434" s="2" t="s">
        <v>30</v>
      </c>
      <c r="K434" s="2" t="s">
        <v>30</v>
      </c>
      <c r="L434" s="2" t="s">
        <v>362</v>
      </c>
      <c r="M434" s="2" t="s">
        <v>31</v>
      </c>
      <c r="N434" s="2" t="s">
        <v>497</v>
      </c>
      <c r="O434" s="2" t="s">
        <v>155</v>
      </c>
      <c r="P434" s="2" t="s">
        <v>2192</v>
      </c>
      <c r="Q434" s="2" t="s">
        <v>206</v>
      </c>
      <c r="R434" s="2" t="s">
        <v>441</v>
      </c>
      <c r="S434" s="2" t="s">
        <v>34</v>
      </c>
      <c r="T434" s="151">
        <v>2.2000000000000002</v>
      </c>
      <c r="U434" s="2" t="s">
        <v>2378</v>
      </c>
      <c r="V434" s="162">
        <v>3.0000000000000001E-3</v>
      </c>
      <c r="W434" s="164">
        <v>3.1710000000000002E-2</v>
      </c>
      <c r="X434" s="4" t="s">
        <v>447</v>
      </c>
      <c r="Y434" s="4" t="s">
        <v>155</v>
      </c>
      <c r="Z434" s="151">
        <v>69000</v>
      </c>
      <c r="AA434" s="158">
        <v>1</v>
      </c>
      <c r="AB434" s="175">
        <v>97.34</v>
      </c>
      <c r="AD434" s="151">
        <v>67.165000000000006</v>
      </c>
      <c r="AG434" s="2" t="s">
        <v>36</v>
      </c>
      <c r="AH434" s="164">
        <v>2.0900000000000001E-4</v>
      </c>
      <c r="AI434" s="164">
        <v>9.4851255525369594E-3</v>
      </c>
      <c r="AJ434" s="164">
        <v>8.8774832254982403E-4</v>
      </c>
    </row>
    <row r="435" spans="1:36">
      <c r="A435" s="2">
        <v>969</v>
      </c>
      <c r="B435" s="2">
        <v>969</v>
      </c>
      <c r="C435" s="2" t="s">
        <v>2379</v>
      </c>
      <c r="D435" s="2" t="s">
        <v>2380</v>
      </c>
      <c r="E435" s="4" t="s">
        <v>1342</v>
      </c>
      <c r="F435" s="2" t="s">
        <v>2520</v>
      </c>
      <c r="G435" s="2" t="s">
        <v>2521</v>
      </c>
      <c r="H435" s="2" t="s">
        <v>356</v>
      </c>
      <c r="I435" s="2" t="s">
        <v>1000</v>
      </c>
      <c r="J435" s="2" t="s">
        <v>30</v>
      </c>
      <c r="K435" s="2" t="s">
        <v>30</v>
      </c>
      <c r="L435" s="2" t="s">
        <v>362</v>
      </c>
      <c r="M435" s="2" t="s">
        <v>31</v>
      </c>
      <c r="N435" s="2" t="s">
        <v>481</v>
      </c>
      <c r="O435" s="2" t="s">
        <v>155</v>
      </c>
      <c r="P435" s="2" t="s">
        <v>100</v>
      </c>
      <c r="Q435" s="2" t="s">
        <v>206</v>
      </c>
      <c r="R435" s="2" t="s">
        <v>441</v>
      </c>
      <c r="S435" s="2" t="s">
        <v>34</v>
      </c>
      <c r="T435" s="151">
        <v>0.68200000000000005</v>
      </c>
      <c r="U435" s="2" t="s">
        <v>2522</v>
      </c>
      <c r="V435" s="162">
        <v>2.98E-2</v>
      </c>
      <c r="W435" s="164">
        <v>4.4600000000000001E-2</v>
      </c>
      <c r="X435" s="4" t="s">
        <v>447</v>
      </c>
      <c r="Y435" s="4" t="s">
        <v>155</v>
      </c>
      <c r="Z435" s="151">
        <v>150000</v>
      </c>
      <c r="AA435" s="158">
        <v>1</v>
      </c>
      <c r="AB435" s="175">
        <v>99.95</v>
      </c>
      <c r="AD435" s="151">
        <v>149.92500000000001</v>
      </c>
      <c r="AG435" s="2" t="s">
        <v>36</v>
      </c>
      <c r="AH435" s="164">
        <v>5.8999999999999998E-5</v>
      </c>
      <c r="AI435" s="164">
        <v>2.1172722661403499E-2</v>
      </c>
      <c r="AJ435" s="164">
        <v>1.98163418316021E-3</v>
      </c>
    </row>
    <row r="436" spans="1:36">
      <c r="A436" s="2">
        <v>969</v>
      </c>
      <c r="B436" s="2">
        <v>969</v>
      </c>
      <c r="C436" s="2" t="s">
        <v>2379</v>
      </c>
      <c r="D436" s="2" t="s">
        <v>2380</v>
      </c>
      <c r="E436" s="4" t="s">
        <v>1342</v>
      </c>
      <c r="F436" s="2" t="s">
        <v>2381</v>
      </c>
      <c r="G436" s="2" t="s">
        <v>2382</v>
      </c>
      <c r="H436" s="2" t="s">
        <v>356</v>
      </c>
      <c r="I436" s="2" t="s">
        <v>208</v>
      </c>
      <c r="J436" s="2" t="s">
        <v>30</v>
      </c>
      <c r="K436" s="2" t="s">
        <v>30</v>
      </c>
      <c r="L436" s="2" t="s">
        <v>362</v>
      </c>
      <c r="M436" s="2" t="s">
        <v>31</v>
      </c>
      <c r="N436" s="2" t="s">
        <v>481</v>
      </c>
      <c r="O436" s="2" t="s">
        <v>155</v>
      </c>
      <c r="P436" s="2" t="s">
        <v>1353</v>
      </c>
      <c r="Q436" s="2" t="s">
        <v>206</v>
      </c>
      <c r="R436" s="2" t="s">
        <v>441</v>
      </c>
      <c r="S436" s="2" t="s">
        <v>34</v>
      </c>
      <c r="T436" s="151">
        <v>4.4210000000000003</v>
      </c>
      <c r="U436" s="2" t="s">
        <v>2383</v>
      </c>
      <c r="V436" s="162">
        <v>3.3599999999999998E-2</v>
      </c>
      <c r="W436" s="164">
        <v>3.0880000000000001E-2</v>
      </c>
      <c r="X436" s="4" t="s">
        <v>447</v>
      </c>
      <c r="Y436" s="4" t="s">
        <v>155</v>
      </c>
      <c r="Z436" s="151">
        <v>100000</v>
      </c>
      <c r="AA436" s="158">
        <v>1</v>
      </c>
      <c r="AB436" s="175">
        <v>105.66</v>
      </c>
      <c r="AD436" s="151">
        <v>105.66</v>
      </c>
      <c r="AG436" s="2" t="s">
        <v>36</v>
      </c>
      <c r="AH436" s="164">
        <v>8.6000000000000003E-5</v>
      </c>
      <c r="AI436" s="164">
        <v>1.49215266059956E-2</v>
      </c>
      <c r="AJ436" s="164">
        <v>1.3965613993177099E-3</v>
      </c>
    </row>
    <row r="437" spans="1:36">
      <c r="A437" s="2">
        <v>969</v>
      </c>
      <c r="B437" s="2">
        <v>969</v>
      </c>
      <c r="C437" s="2" t="s">
        <v>2379</v>
      </c>
      <c r="D437" s="2" t="s">
        <v>2380</v>
      </c>
      <c r="E437" s="4" t="s">
        <v>1342</v>
      </c>
      <c r="F437" s="2" t="s">
        <v>2384</v>
      </c>
      <c r="G437" s="2" t="s">
        <v>2385</v>
      </c>
      <c r="H437" s="2" t="s">
        <v>356</v>
      </c>
      <c r="I437" s="2" t="s">
        <v>208</v>
      </c>
      <c r="J437" s="2" t="s">
        <v>30</v>
      </c>
      <c r="K437" s="2" t="s">
        <v>30</v>
      </c>
      <c r="L437" s="2" t="s">
        <v>362</v>
      </c>
      <c r="M437" s="2" t="s">
        <v>31</v>
      </c>
      <c r="N437" s="2" t="s">
        <v>481</v>
      </c>
      <c r="O437" s="2" t="s">
        <v>155</v>
      </c>
      <c r="P437" s="2" t="s">
        <v>100</v>
      </c>
      <c r="Q437" s="2" t="s">
        <v>206</v>
      </c>
      <c r="R437" s="2" t="s">
        <v>441</v>
      </c>
      <c r="S437" s="2" t="s">
        <v>34</v>
      </c>
      <c r="T437" s="151">
        <v>5.5650000000000004</v>
      </c>
      <c r="U437" s="2" t="s">
        <v>2386</v>
      </c>
      <c r="V437" s="162">
        <v>2.2013000000000001E-2</v>
      </c>
      <c r="W437" s="164">
        <v>2.4819999999999998E-2</v>
      </c>
      <c r="X437" s="4" t="s">
        <v>447</v>
      </c>
      <c r="Y437" s="4" t="s">
        <v>155</v>
      </c>
      <c r="Z437" s="151">
        <v>210000</v>
      </c>
      <c r="AA437" s="158">
        <v>1</v>
      </c>
      <c r="AB437" s="175">
        <v>117</v>
      </c>
      <c r="AD437" s="151">
        <v>245.7</v>
      </c>
      <c r="AG437" s="2" t="s">
        <v>36</v>
      </c>
      <c r="AH437" s="164">
        <v>2.99E-4</v>
      </c>
      <c r="AI437" s="164">
        <v>3.4698268853805898E-2</v>
      </c>
      <c r="AJ437" s="164">
        <v>3.2475405622975802E-3</v>
      </c>
    </row>
    <row r="438" spans="1:36">
      <c r="A438" s="2">
        <v>969</v>
      </c>
      <c r="B438" s="2">
        <v>969</v>
      </c>
      <c r="C438" s="2" t="s">
        <v>1919</v>
      </c>
      <c r="D438" s="2" t="s">
        <v>1920</v>
      </c>
      <c r="E438" s="4" t="s">
        <v>1342</v>
      </c>
      <c r="F438" s="2" t="s">
        <v>2387</v>
      </c>
      <c r="G438" s="2" t="s">
        <v>2388</v>
      </c>
      <c r="H438" s="2" t="s">
        <v>356</v>
      </c>
      <c r="I438" s="2" t="s">
        <v>208</v>
      </c>
      <c r="J438" s="2" t="s">
        <v>30</v>
      </c>
      <c r="K438" s="2" t="s">
        <v>30</v>
      </c>
      <c r="L438" s="2" t="s">
        <v>362</v>
      </c>
      <c r="M438" s="2" t="s">
        <v>31</v>
      </c>
      <c r="N438" s="2" t="s">
        <v>497</v>
      </c>
      <c r="O438" s="2" t="s">
        <v>155</v>
      </c>
      <c r="P438" s="2" t="s">
        <v>2211</v>
      </c>
      <c r="Q438" s="2" t="s">
        <v>206</v>
      </c>
      <c r="R438" s="2" t="s">
        <v>441</v>
      </c>
      <c r="S438" s="2" t="s">
        <v>34</v>
      </c>
      <c r="T438" s="151">
        <v>5.92</v>
      </c>
      <c r="U438" s="2" t="s">
        <v>2389</v>
      </c>
      <c r="V438" s="162">
        <v>3.61E-2</v>
      </c>
      <c r="W438" s="164">
        <v>3.4549999999999997E-2</v>
      </c>
      <c r="X438" s="4" t="s">
        <v>447</v>
      </c>
      <c r="Y438" s="4" t="s">
        <v>155</v>
      </c>
      <c r="Z438" s="151">
        <v>69292.929999999993</v>
      </c>
      <c r="AA438" s="158">
        <v>1</v>
      </c>
      <c r="AB438" s="175">
        <v>107.95</v>
      </c>
      <c r="AD438" s="151">
        <v>74.802000000000007</v>
      </c>
      <c r="AG438" s="2" t="s">
        <v>36</v>
      </c>
      <c r="AH438" s="164">
        <v>6.4999999999999994E-5</v>
      </c>
      <c r="AI438" s="164">
        <v>1.05636553505705E-2</v>
      </c>
      <c r="AJ438" s="164">
        <v>9.8869195410441406E-4</v>
      </c>
    </row>
    <row r="439" spans="1:36">
      <c r="A439" s="2">
        <v>969</v>
      </c>
      <c r="B439" s="2">
        <v>969</v>
      </c>
      <c r="C439" s="2" t="s">
        <v>1927</v>
      </c>
      <c r="D439" s="2" t="s">
        <v>1483</v>
      </c>
      <c r="E439" s="4" t="s">
        <v>1342</v>
      </c>
      <c r="F439" s="2" t="s">
        <v>2390</v>
      </c>
      <c r="G439" s="2" t="s">
        <v>2391</v>
      </c>
      <c r="H439" s="2" t="s">
        <v>356</v>
      </c>
      <c r="I439" s="2" t="s">
        <v>1000</v>
      </c>
      <c r="J439" s="2" t="s">
        <v>30</v>
      </c>
      <c r="K439" s="2" t="s">
        <v>30</v>
      </c>
      <c r="L439" s="2" t="s">
        <v>362</v>
      </c>
      <c r="M439" s="2" t="s">
        <v>31</v>
      </c>
      <c r="N439" s="2" t="s">
        <v>476</v>
      </c>
      <c r="O439" s="2" t="s">
        <v>155</v>
      </c>
      <c r="P439" s="2" t="s">
        <v>2192</v>
      </c>
      <c r="Q439" s="2" t="s">
        <v>101</v>
      </c>
      <c r="R439" s="2" t="s">
        <v>441</v>
      </c>
      <c r="S439" s="2" t="s">
        <v>34</v>
      </c>
      <c r="T439" s="151">
        <v>1.448</v>
      </c>
      <c r="U439" s="2" t="s">
        <v>2392</v>
      </c>
      <c r="V439" s="162">
        <v>0.114</v>
      </c>
      <c r="W439" s="164">
        <v>6.5989999999999993E-2</v>
      </c>
      <c r="X439" s="4" t="s">
        <v>447</v>
      </c>
      <c r="Y439" s="4" t="s">
        <v>155</v>
      </c>
      <c r="Z439" s="151">
        <v>114023.95</v>
      </c>
      <c r="AA439" s="158">
        <v>1</v>
      </c>
      <c r="AB439" s="175">
        <v>100.59</v>
      </c>
      <c r="AD439" s="151">
        <v>114.697</v>
      </c>
      <c r="AG439" s="2" t="s">
        <v>36</v>
      </c>
      <c r="AH439" s="164">
        <v>3.1599999999999998E-4</v>
      </c>
      <c r="AI439" s="164">
        <v>1.6197707088086599E-2</v>
      </c>
      <c r="AJ439" s="164">
        <v>1.5160038965173401E-3</v>
      </c>
    </row>
    <row r="440" spans="1:36">
      <c r="A440" s="2">
        <v>969</v>
      </c>
      <c r="B440" s="2">
        <v>969</v>
      </c>
      <c r="C440" s="2" t="s">
        <v>2396</v>
      </c>
      <c r="D440" s="2" t="s">
        <v>2397</v>
      </c>
      <c r="E440" s="4" t="s">
        <v>1342</v>
      </c>
      <c r="F440" s="2" t="s">
        <v>2398</v>
      </c>
      <c r="G440" s="2" t="s">
        <v>2399</v>
      </c>
      <c r="H440" s="2" t="s">
        <v>356</v>
      </c>
      <c r="I440" s="2" t="s">
        <v>208</v>
      </c>
      <c r="J440" s="2" t="s">
        <v>30</v>
      </c>
      <c r="K440" s="2" t="s">
        <v>30</v>
      </c>
      <c r="L440" s="2" t="s">
        <v>362</v>
      </c>
      <c r="M440" s="2" t="s">
        <v>31</v>
      </c>
      <c r="N440" s="2" t="s">
        <v>480</v>
      </c>
      <c r="O440" s="2" t="s">
        <v>155</v>
      </c>
      <c r="P440" s="2" t="s">
        <v>1337</v>
      </c>
      <c r="Q440" s="2" t="s">
        <v>101</v>
      </c>
      <c r="R440" s="2" t="s">
        <v>441</v>
      </c>
      <c r="S440" s="2" t="s">
        <v>34</v>
      </c>
      <c r="T440" s="151">
        <v>3.5590000000000002</v>
      </c>
      <c r="U440" s="2" t="s">
        <v>2400</v>
      </c>
      <c r="V440" s="162">
        <v>2.07E-2</v>
      </c>
      <c r="W440" s="164">
        <v>4.965E-2</v>
      </c>
      <c r="X440" s="4" t="s">
        <v>447</v>
      </c>
      <c r="Y440" s="4" t="s">
        <v>155</v>
      </c>
      <c r="Z440" s="151">
        <v>123143.76</v>
      </c>
      <c r="AA440" s="158">
        <v>1</v>
      </c>
      <c r="AB440" s="175">
        <v>101.96</v>
      </c>
      <c r="AD440" s="151">
        <v>125.557</v>
      </c>
      <c r="AG440" s="2" t="s">
        <v>36</v>
      </c>
      <c r="AH440" s="164">
        <v>2.5799999999999998E-4</v>
      </c>
      <c r="AI440" s="164">
        <v>1.7731475978325799E-2</v>
      </c>
      <c r="AJ440" s="164">
        <v>1.6595550547964101E-3</v>
      </c>
    </row>
    <row r="441" spans="1:36">
      <c r="A441" s="2">
        <v>969</v>
      </c>
      <c r="B441" s="2">
        <v>969</v>
      </c>
      <c r="C441" s="2" t="s">
        <v>2401</v>
      </c>
      <c r="D441" s="2" t="s">
        <v>2402</v>
      </c>
      <c r="E441" s="4" t="s">
        <v>1342</v>
      </c>
      <c r="F441" s="2" t="s">
        <v>2403</v>
      </c>
      <c r="G441" s="2" t="s">
        <v>2404</v>
      </c>
      <c r="H441" s="2" t="s">
        <v>356</v>
      </c>
      <c r="I441" s="2" t="s">
        <v>208</v>
      </c>
      <c r="J441" s="2" t="s">
        <v>30</v>
      </c>
      <c r="K441" s="2" t="s">
        <v>30</v>
      </c>
      <c r="L441" s="2" t="s">
        <v>362</v>
      </c>
      <c r="M441" s="2" t="s">
        <v>31</v>
      </c>
      <c r="N441" s="2" t="s">
        <v>511</v>
      </c>
      <c r="O441" s="2" t="s">
        <v>155</v>
      </c>
      <c r="P441" s="2" t="s">
        <v>100</v>
      </c>
      <c r="Q441" s="2" t="s">
        <v>206</v>
      </c>
      <c r="R441" s="2" t="s">
        <v>441</v>
      </c>
      <c r="S441" s="2" t="s">
        <v>34</v>
      </c>
      <c r="T441" s="151">
        <v>12.19</v>
      </c>
      <c r="U441" s="2" t="s">
        <v>2405</v>
      </c>
      <c r="V441" s="162">
        <v>2.07E-2</v>
      </c>
      <c r="W441" s="164">
        <v>3.286E-2</v>
      </c>
      <c r="X441" s="4" t="s">
        <v>447</v>
      </c>
      <c r="Y441" s="4" t="s">
        <v>155</v>
      </c>
      <c r="Z441" s="151">
        <v>65829.789999999994</v>
      </c>
      <c r="AA441" s="158">
        <v>1</v>
      </c>
      <c r="AB441" s="175">
        <v>99.37</v>
      </c>
      <c r="AD441" s="151">
        <v>65.415000000000006</v>
      </c>
      <c r="AG441" s="2" t="s">
        <v>36</v>
      </c>
      <c r="AH441" s="164">
        <v>1.4E-5</v>
      </c>
      <c r="AI441" s="164">
        <v>9.2380521757098998E-3</v>
      </c>
      <c r="AJ441" s="164">
        <v>8.6462380252000999E-4</v>
      </c>
    </row>
    <row r="442" spans="1:36">
      <c r="A442" s="2">
        <v>969</v>
      </c>
      <c r="B442" s="2">
        <v>969</v>
      </c>
      <c r="C442" s="2" t="s">
        <v>2406</v>
      </c>
      <c r="D442" s="2" t="s">
        <v>2407</v>
      </c>
      <c r="E442" s="4" t="s">
        <v>348</v>
      </c>
      <c r="F442" s="2" t="s">
        <v>2408</v>
      </c>
      <c r="G442" s="2" t="s">
        <v>2409</v>
      </c>
      <c r="H442" s="2" t="s">
        <v>356</v>
      </c>
      <c r="I442" s="2" t="s">
        <v>1000</v>
      </c>
      <c r="J442" s="2" t="s">
        <v>30</v>
      </c>
      <c r="K442" s="2" t="s">
        <v>30</v>
      </c>
      <c r="L442" s="2" t="s">
        <v>362</v>
      </c>
      <c r="M442" s="2" t="s">
        <v>85</v>
      </c>
      <c r="N442" s="2" t="s">
        <v>487</v>
      </c>
      <c r="O442" s="2" t="s">
        <v>155</v>
      </c>
      <c r="P442" s="2" t="s">
        <v>2192</v>
      </c>
      <c r="Q442" s="2" t="s">
        <v>206</v>
      </c>
      <c r="R442" s="2" t="s">
        <v>441</v>
      </c>
      <c r="S442" s="2" t="s">
        <v>34</v>
      </c>
      <c r="T442" s="151">
        <v>3.4260000000000002</v>
      </c>
      <c r="U442" s="2" t="s">
        <v>2410</v>
      </c>
      <c r="V442" s="162">
        <v>6.7000000000000004E-2</v>
      </c>
      <c r="W442" s="164">
        <v>6.5699999999999995E-2</v>
      </c>
      <c r="X442" s="4" t="s">
        <v>447</v>
      </c>
      <c r="Y442" s="4" t="s">
        <v>155</v>
      </c>
      <c r="Z442" s="151">
        <v>48000</v>
      </c>
      <c r="AA442" s="158">
        <v>1</v>
      </c>
      <c r="AB442" s="175">
        <v>100.86</v>
      </c>
      <c r="AD442" s="151">
        <v>48.412999999999997</v>
      </c>
      <c r="AG442" s="2" t="s">
        <v>36</v>
      </c>
      <c r="AH442" s="164">
        <v>5.3000000000000001E-5</v>
      </c>
      <c r="AI442" s="164">
        <v>6.8369570629447799E-3</v>
      </c>
      <c r="AJ442" s="164">
        <v>6.3989634405535304E-4</v>
      </c>
    </row>
    <row r="443" spans="1:36">
      <c r="A443" s="2">
        <v>969</v>
      </c>
      <c r="B443" s="2">
        <v>969</v>
      </c>
      <c r="C443" s="2" t="s">
        <v>2411</v>
      </c>
      <c r="D443" s="2" t="s">
        <v>2412</v>
      </c>
      <c r="E443" s="4" t="s">
        <v>1342</v>
      </c>
      <c r="F443" s="2" t="s">
        <v>2413</v>
      </c>
      <c r="G443" s="2" t="s">
        <v>2414</v>
      </c>
      <c r="H443" s="2" t="s">
        <v>356</v>
      </c>
      <c r="I443" s="2" t="s">
        <v>208</v>
      </c>
      <c r="J443" s="2" t="s">
        <v>30</v>
      </c>
      <c r="K443" s="2" t="s">
        <v>30</v>
      </c>
      <c r="L443" s="2" t="s">
        <v>362</v>
      </c>
      <c r="M443" s="2" t="s">
        <v>31</v>
      </c>
      <c r="N443" s="2" t="s">
        <v>474</v>
      </c>
      <c r="O443" s="2" t="s">
        <v>155</v>
      </c>
      <c r="P443" s="2" t="s">
        <v>2192</v>
      </c>
      <c r="Q443" s="2" t="s">
        <v>101</v>
      </c>
      <c r="R443" s="2" t="s">
        <v>441</v>
      </c>
      <c r="S443" s="2" t="s">
        <v>34</v>
      </c>
      <c r="T443" s="151">
        <v>2.3929999999999998</v>
      </c>
      <c r="U443" s="2" t="s">
        <v>1338</v>
      </c>
      <c r="V443" s="162">
        <v>1.4800000000000001E-2</v>
      </c>
      <c r="W443" s="164">
        <v>3.1379999999999998E-2</v>
      </c>
      <c r="X443" s="4" t="s">
        <v>447</v>
      </c>
      <c r="Y443" s="4" t="s">
        <v>155</v>
      </c>
      <c r="Z443" s="151">
        <v>52591.5</v>
      </c>
      <c r="AA443" s="158">
        <v>1</v>
      </c>
      <c r="AB443" s="175">
        <v>109.1</v>
      </c>
      <c r="AD443" s="151">
        <v>57.377000000000002</v>
      </c>
      <c r="AG443" s="2" t="s">
        <v>36</v>
      </c>
      <c r="AH443" s="164">
        <v>6.9999999999999994E-5</v>
      </c>
      <c r="AI443" s="164">
        <v>8.1029462800553502E-3</v>
      </c>
      <c r="AJ443" s="164">
        <v>7.5838500270631497E-4</v>
      </c>
    </row>
    <row r="444" spans="1:36">
      <c r="A444" s="2">
        <v>969</v>
      </c>
      <c r="B444" s="2">
        <v>969</v>
      </c>
      <c r="C444" s="2" t="s">
        <v>2411</v>
      </c>
      <c r="D444" s="2" t="s">
        <v>2412</v>
      </c>
      <c r="E444" s="4" t="s">
        <v>1342</v>
      </c>
      <c r="F444" s="2" t="s">
        <v>2415</v>
      </c>
      <c r="G444" s="2" t="s">
        <v>2416</v>
      </c>
      <c r="H444" s="2" t="s">
        <v>356</v>
      </c>
      <c r="I444" s="2" t="s">
        <v>1000</v>
      </c>
      <c r="J444" s="2" t="s">
        <v>30</v>
      </c>
      <c r="K444" s="2" t="s">
        <v>30</v>
      </c>
      <c r="L444" s="2" t="s">
        <v>362</v>
      </c>
      <c r="M444" s="2" t="s">
        <v>31</v>
      </c>
      <c r="N444" s="2" t="s">
        <v>474</v>
      </c>
      <c r="O444" s="2" t="s">
        <v>155</v>
      </c>
      <c r="P444" s="2" t="s">
        <v>2192</v>
      </c>
      <c r="Q444" s="2" t="s">
        <v>101</v>
      </c>
      <c r="R444" s="2" t="s">
        <v>441</v>
      </c>
      <c r="S444" s="2" t="s">
        <v>34</v>
      </c>
      <c r="T444" s="151">
        <v>3.1059999999999999</v>
      </c>
      <c r="U444" s="2" t="s">
        <v>2417</v>
      </c>
      <c r="V444" s="162">
        <v>6.9500000000000006E-2</v>
      </c>
      <c r="W444" s="164">
        <v>6.3530000000000003E-2</v>
      </c>
      <c r="X444" s="4" t="s">
        <v>447</v>
      </c>
      <c r="Y444" s="4" t="s">
        <v>155</v>
      </c>
      <c r="Z444" s="151">
        <v>70000</v>
      </c>
      <c r="AA444" s="158">
        <v>1</v>
      </c>
      <c r="AB444" s="175">
        <v>104.23</v>
      </c>
      <c r="AD444" s="151">
        <v>72.960999999999999</v>
      </c>
      <c r="AG444" s="2" t="s">
        <v>36</v>
      </c>
      <c r="AH444" s="164">
        <v>1.25E-4</v>
      </c>
      <c r="AI444" s="164">
        <v>1.0303705306644401E-2</v>
      </c>
      <c r="AJ444" s="164">
        <v>9.6436225871303805E-4</v>
      </c>
    </row>
    <row r="445" spans="1:36">
      <c r="A445" s="2">
        <v>969</v>
      </c>
      <c r="B445" s="2">
        <v>969</v>
      </c>
      <c r="C445" s="2" t="s">
        <v>2418</v>
      </c>
      <c r="D445" s="2" t="s">
        <v>2419</v>
      </c>
      <c r="E445" s="4" t="s">
        <v>349</v>
      </c>
      <c r="F445" s="2" t="s">
        <v>2420</v>
      </c>
      <c r="G445" s="2" t="s">
        <v>2421</v>
      </c>
      <c r="H445" s="2" t="s">
        <v>356</v>
      </c>
      <c r="I445" s="2" t="s">
        <v>1000</v>
      </c>
      <c r="J445" s="2" t="s">
        <v>30</v>
      </c>
      <c r="K445" s="2" t="s">
        <v>30</v>
      </c>
      <c r="L445" s="2" t="s">
        <v>362</v>
      </c>
      <c r="M445" s="2" t="s">
        <v>85</v>
      </c>
      <c r="N445" s="2" t="s">
        <v>498</v>
      </c>
      <c r="O445" s="2" t="s">
        <v>155</v>
      </c>
      <c r="P445" s="2" t="s">
        <v>2211</v>
      </c>
      <c r="Q445" s="2" t="s">
        <v>206</v>
      </c>
      <c r="R445" s="2" t="s">
        <v>441</v>
      </c>
      <c r="S445" s="2" t="s">
        <v>34</v>
      </c>
      <c r="T445" s="151">
        <v>3.927</v>
      </c>
      <c r="U445" s="2" t="s">
        <v>2422</v>
      </c>
      <c r="V445" s="162">
        <v>6.25E-2</v>
      </c>
      <c r="W445" s="164">
        <v>6.166E-2</v>
      </c>
      <c r="X445" s="4" t="s">
        <v>447</v>
      </c>
      <c r="Y445" s="4" t="s">
        <v>155</v>
      </c>
      <c r="Z445" s="151">
        <v>109942</v>
      </c>
      <c r="AA445" s="158">
        <v>1</v>
      </c>
      <c r="AB445" s="175">
        <v>103.18</v>
      </c>
      <c r="AD445" s="151">
        <v>113.438</v>
      </c>
      <c r="AG445" s="2" t="s">
        <v>36</v>
      </c>
      <c r="AH445" s="164">
        <v>2.0000000000000001E-4</v>
      </c>
      <c r="AI445" s="164">
        <v>1.6019974038618899E-2</v>
      </c>
      <c r="AJ445" s="164">
        <v>1.4993691966757199E-3</v>
      </c>
    </row>
    <row r="446" spans="1:36">
      <c r="A446" s="2">
        <v>969</v>
      </c>
      <c r="B446" s="2">
        <v>969</v>
      </c>
      <c r="C446" s="2" t="s">
        <v>2423</v>
      </c>
      <c r="D446" s="2" t="s">
        <v>2424</v>
      </c>
      <c r="E446" s="4" t="s">
        <v>349</v>
      </c>
      <c r="F446" s="2" t="s">
        <v>2425</v>
      </c>
      <c r="G446" s="2" t="s">
        <v>2426</v>
      </c>
      <c r="H446" s="2" t="s">
        <v>356</v>
      </c>
      <c r="I446" s="2" t="s">
        <v>1000</v>
      </c>
      <c r="J446" s="2" t="s">
        <v>30</v>
      </c>
      <c r="K446" s="2" t="s">
        <v>98</v>
      </c>
      <c r="L446" s="2" t="s">
        <v>362</v>
      </c>
      <c r="M446" s="2" t="s">
        <v>31</v>
      </c>
      <c r="N446" s="2" t="s">
        <v>498</v>
      </c>
      <c r="O446" s="2" t="s">
        <v>155</v>
      </c>
      <c r="P446" s="2" t="s">
        <v>2211</v>
      </c>
      <c r="Q446" s="2" t="s">
        <v>206</v>
      </c>
      <c r="R446" s="2" t="s">
        <v>441</v>
      </c>
      <c r="S446" s="2" t="s">
        <v>34</v>
      </c>
      <c r="T446" s="151">
        <v>2.1349999999999998</v>
      </c>
      <c r="U446" s="2" t="s">
        <v>1338</v>
      </c>
      <c r="V446" s="162">
        <v>3.49E-2</v>
      </c>
      <c r="W446" s="164">
        <v>6.4509999999999998E-2</v>
      </c>
      <c r="X446" s="4" t="s">
        <v>447</v>
      </c>
      <c r="Y446" s="4" t="s">
        <v>155</v>
      </c>
      <c r="Z446" s="151">
        <v>87800</v>
      </c>
      <c r="AA446" s="158">
        <v>1</v>
      </c>
      <c r="AB446" s="175">
        <v>95.01</v>
      </c>
      <c r="AD446" s="151">
        <v>83.418999999999997</v>
      </c>
      <c r="AG446" s="2" t="s">
        <v>36</v>
      </c>
      <c r="AH446" s="164">
        <v>9.2999999999999997E-5</v>
      </c>
      <c r="AI446" s="164">
        <v>1.1780574912073599E-2</v>
      </c>
      <c r="AJ446" s="164">
        <v>1.10258800043703E-3</v>
      </c>
    </row>
    <row r="447" spans="1:36">
      <c r="A447" s="2">
        <v>969</v>
      </c>
      <c r="B447" s="2">
        <v>969</v>
      </c>
      <c r="C447" s="2" t="s">
        <v>2423</v>
      </c>
      <c r="D447" s="2" t="s">
        <v>2424</v>
      </c>
      <c r="E447" s="4" t="s">
        <v>349</v>
      </c>
      <c r="F447" s="2" t="s">
        <v>2427</v>
      </c>
      <c r="G447" s="2" t="s">
        <v>2428</v>
      </c>
      <c r="H447" s="2" t="s">
        <v>356</v>
      </c>
      <c r="I447" s="2" t="s">
        <v>1000</v>
      </c>
      <c r="J447" s="2" t="s">
        <v>30</v>
      </c>
      <c r="K447" s="2" t="s">
        <v>98</v>
      </c>
      <c r="L447" s="2" t="s">
        <v>362</v>
      </c>
      <c r="M447" s="2" t="s">
        <v>85</v>
      </c>
      <c r="N447" s="2" t="s">
        <v>498</v>
      </c>
      <c r="O447" s="2" t="s">
        <v>155</v>
      </c>
      <c r="P447" s="2" t="s">
        <v>2211</v>
      </c>
      <c r="Q447" s="2" t="s">
        <v>206</v>
      </c>
      <c r="R447" s="2" t="s">
        <v>441</v>
      </c>
      <c r="S447" s="2" t="s">
        <v>34</v>
      </c>
      <c r="T447" s="151">
        <v>4.4989999999999997</v>
      </c>
      <c r="U447" s="2" t="s">
        <v>2429</v>
      </c>
      <c r="V447" s="162">
        <v>6.7400000000000002E-2</v>
      </c>
      <c r="W447" s="164">
        <v>6.7140000000000005E-2</v>
      </c>
      <c r="X447" s="4" t="s">
        <v>447</v>
      </c>
      <c r="Y447" s="4" t="s">
        <v>155</v>
      </c>
      <c r="Z447" s="151">
        <v>95000</v>
      </c>
      <c r="AA447" s="158">
        <v>1</v>
      </c>
      <c r="AB447" s="175">
        <v>100.67</v>
      </c>
      <c r="AD447" s="151">
        <v>95.635999999999996</v>
      </c>
      <c r="AG447" s="2" t="s">
        <v>36</v>
      </c>
      <c r="AH447" s="164">
        <v>3.3300000000000002E-4</v>
      </c>
      <c r="AI447" s="164">
        <v>1.35059869321815E-2</v>
      </c>
      <c r="AJ447" s="164">
        <v>1.26407575492948E-3</v>
      </c>
    </row>
    <row r="448" spans="1:36">
      <c r="A448" s="2">
        <v>969</v>
      </c>
      <c r="B448" s="2">
        <v>969</v>
      </c>
      <c r="C448" s="2" t="s">
        <v>1946</v>
      </c>
      <c r="D448" s="2" t="s">
        <v>1947</v>
      </c>
      <c r="E448" s="4" t="s">
        <v>1342</v>
      </c>
      <c r="F448" s="2" t="s">
        <v>2430</v>
      </c>
      <c r="G448" s="2" t="s">
        <v>2431</v>
      </c>
      <c r="H448" s="2" t="s">
        <v>356</v>
      </c>
      <c r="I448" s="2" t="s">
        <v>1000</v>
      </c>
      <c r="J448" s="2" t="s">
        <v>30</v>
      </c>
      <c r="K448" s="2" t="s">
        <v>30</v>
      </c>
      <c r="L448" s="2" t="s">
        <v>362</v>
      </c>
      <c r="M448" s="2" t="s">
        <v>31</v>
      </c>
      <c r="N448" s="2" t="s">
        <v>518</v>
      </c>
      <c r="O448" s="2" t="s">
        <v>155</v>
      </c>
      <c r="P448" s="2" t="s">
        <v>1346</v>
      </c>
      <c r="Q448" s="2" t="s">
        <v>206</v>
      </c>
      <c r="R448" s="2" t="s">
        <v>441</v>
      </c>
      <c r="S448" s="2" t="s">
        <v>34</v>
      </c>
      <c r="T448" s="151">
        <v>2.6779999999999999</v>
      </c>
      <c r="U448" s="2" t="s">
        <v>2432</v>
      </c>
      <c r="V448" s="162">
        <v>4.7300000000000002E-2</v>
      </c>
      <c r="W448" s="164">
        <v>5.6509999999999998E-2</v>
      </c>
      <c r="X448" s="4" t="s">
        <v>447</v>
      </c>
      <c r="Y448" s="4" t="s">
        <v>155</v>
      </c>
      <c r="Z448" s="151">
        <v>70000</v>
      </c>
      <c r="AA448" s="158">
        <v>1</v>
      </c>
      <c r="AB448" s="175">
        <v>98.44</v>
      </c>
      <c r="AD448" s="151">
        <v>68.908000000000001</v>
      </c>
      <c r="AG448" s="2" t="s">
        <v>36</v>
      </c>
      <c r="AH448" s="164">
        <v>1.7699999999999999E-4</v>
      </c>
      <c r="AI448" s="164">
        <v>9.7313321537568394E-3</v>
      </c>
      <c r="AJ448" s="164">
        <v>9.107917178136E-4</v>
      </c>
    </row>
    <row r="449" spans="1:36">
      <c r="A449" s="2">
        <v>969</v>
      </c>
      <c r="B449" s="2">
        <v>969</v>
      </c>
      <c r="C449" s="2" t="s">
        <v>1950</v>
      </c>
      <c r="D449" s="2" t="s">
        <v>1951</v>
      </c>
      <c r="E449" s="4" t="s">
        <v>1342</v>
      </c>
      <c r="F449" s="2" t="s">
        <v>2433</v>
      </c>
      <c r="G449" s="2" t="s">
        <v>2434</v>
      </c>
      <c r="H449" s="2" t="s">
        <v>356</v>
      </c>
      <c r="I449" s="2" t="s">
        <v>208</v>
      </c>
      <c r="J449" s="2" t="s">
        <v>30</v>
      </c>
      <c r="K449" s="2" t="s">
        <v>30</v>
      </c>
      <c r="L449" s="2" t="s">
        <v>362</v>
      </c>
      <c r="M449" s="2" t="s">
        <v>31</v>
      </c>
      <c r="N449" s="2" t="s">
        <v>497</v>
      </c>
      <c r="O449" s="2" t="s">
        <v>155</v>
      </c>
      <c r="P449" s="2" t="s">
        <v>1519</v>
      </c>
      <c r="Q449" s="2" t="s">
        <v>101</v>
      </c>
      <c r="R449" s="2" t="s">
        <v>441</v>
      </c>
      <c r="S449" s="2" t="s">
        <v>34</v>
      </c>
      <c r="T449" s="151">
        <v>2.456</v>
      </c>
      <c r="U449" s="2" t="s">
        <v>1481</v>
      </c>
      <c r="V449" s="162">
        <v>1.77E-2</v>
      </c>
      <c r="W449" s="164">
        <v>2.7099999999999999E-2</v>
      </c>
      <c r="X449" s="4" t="s">
        <v>447</v>
      </c>
      <c r="Y449" s="4" t="s">
        <v>155</v>
      </c>
      <c r="Z449" s="151">
        <v>112000</v>
      </c>
      <c r="AA449" s="158">
        <v>1</v>
      </c>
      <c r="AB449" s="175">
        <v>113.19</v>
      </c>
      <c r="AD449" s="151">
        <v>126.773</v>
      </c>
      <c r="AG449" s="2" t="s">
        <v>36</v>
      </c>
      <c r="AH449" s="164">
        <v>4.3000000000000002E-5</v>
      </c>
      <c r="AI449" s="164">
        <v>1.7903120462962E-2</v>
      </c>
      <c r="AJ449" s="164">
        <v>1.6756199031177799E-3</v>
      </c>
    </row>
    <row r="450" spans="1:36">
      <c r="A450" s="2">
        <v>969</v>
      </c>
      <c r="B450" s="2">
        <v>969</v>
      </c>
      <c r="C450" s="2" t="s">
        <v>1950</v>
      </c>
      <c r="D450" s="2" t="s">
        <v>1951</v>
      </c>
      <c r="E450" s="4" t="s">
        <v>1342</v>
      </c>
      <c r="F450" s="2" t="s">
        <v>2435</v>
      </c>
      <c r="G450" s="2" t="s">
        <v>2436</v>
      </c>
      <c r="H450" s="2" t="s">
        <v>356</v>
      </c>
      <c r="I450" s="2" t="s">
        <v>208</v>
      </c>
      <c r="J450" s="2" t="s">
        <v>30</v>
      </c>
      <c r="K450" s="2" t="s">
        <v>30</v>
      </c>
      <c r="L450" s="2" t="s">
        <v>362</v>
      </c>
      <c r="M450" s="2" t="s">
        <v>31</v>
      </c>
      <c r="N450" s="2" t="s">
        <v>497</v>
      </c>
      <c r="O450" s="2" t="s">
        <v>155</v>
      </c>
      <c r="P450" s="2" t="s">
        <v>1519</v>
      </c>
      <c r="Q450" s="2" t="s">
        <v>206</v>
      </c>
      <c r="R450" s="2" t="s">
        <v>441</v>
      </c>
      <c r="S450" s="2" t="s">
        <v>34</v>
      </c>
      <c r="T450" s="151">
        <v>6.7329999999999997</v>
      </c>
      <c r="U450" s="2" t="s">
        <v>2437</v>
      </c>
      <c r="V450" s="162">
        <v>8.9999999999999993E-3</v>
      </c>
      <c r="W450" s="164">
        <v>3.3419999999999998E-2</v>
      </c>
      <c r="X450" s="4" t="s">
        <v>447</v>
      </c>
      <c r="Y450" s="4" t="s">
        <v>155</v>
      </c>
      <c r="Z450" s="151">
        <v>100000</v>
      </c>
      <c r="AA450" s="158">
        <v>1</v>
      </c>
      <c r="AB450" s="175">
        <v>96.33</v>
      </c>
      <c r="AD450" s="151">
        <v>96.33</v>
      </c>
      <c r="AG450" s="2" t="s">
        <v>36</v>
      </c>
      <c r="AH450" s="164">
        <v>3.6000000000000001E-5</v>
      </c>
      <c r="AI450" s="164">
        <v>1.3603924455381E-2</v>
      </c>
      <c r="AJ450" s="164">
        <v>1.2732420934722199E-3</v>
      </c>
    </row>
    <row r="451" spans="1:36">
      <c r="A451" s="2">
        <v>969</v>
      </c>
      <c r="B451" s="2">
        <v>969</v>
      </c>
      <c r="C451" s="2" t="s">
        <v>1950</v>
      </c>
      <c r="D451" s="2" t="s">
        <v>1951</v>
      </c>
      <c r="E451" s="4" t="s">
        <v>1342</v>
      </c>
      <c r="F451" s="2" t="s">
        <v>2438</v>
      </c>
      <c r="G451" s="2" t="s">
        <v>2439</v>
      </c>
      <c r="H451" s="2" t="s">
        <v>356</v>
      </c>
      <c r="I451" s="2" t="s">
        <v>208</v>
      </c>
      <c r="J451" s="2" t="s">
        <v>30</v>
      </c>
      <c r="K451" s="2" t="s">
        <v>30</v>
      </c>
      <c r="L451" s="2" t="s">
        <v>362</v>
      </c>
      <c r="M451" s="2" t="s">
        <v>31</v>
      </c>
      <c r="N451" s="2" t="s">
        <v>497</v>
      </c>
      <c r="O451" s="2" t="s">
        <v>155</v>
      </c>
      <c r="P451" s="2" t="s">
        <v>1519</v>
      </c>
      <c r="Q451" s="2" t="s">
        <v>206</v>
      </c>
      <c r="R451" s="2" t="s">
        <v>441</v>
      </c>
      <c r="S451" s="2" t="s">
        <v>34</v>
      </c>
      <c r="T451" s="151">
        <v>10.343</v>
      </c>
      <c r="U451" s="2" t="s">
        <v>2440</v>
      </c>
      <c r="V451" s="162">
        <v>1.6899999999999998E-2</v>
      </c>
      <c r="W451" s="164">
        <v>3.635E-2</v>
      </c>
      <c r="X451" s="4" t="s">
        <v>447</v>
      </c>
      <c r="Y451" s="4" t="s">
        <v>155</v>
      </c>
      <c r="Z451" s="151">
        <v>111422</v>
      </c>
      <c r="AA451" s="158">
        <v>1</v>
      </c>
      <c r="AB451" s="175">
        <v>93.61</v>
      </c>
      <c r="AD451" s="151">
        <v>104.30200000000001</v>
      </c>
      <c r="AG451" s="2" t="s">
        <v>36</v>
      </c>
      <c r="AH451" s="164">
        <v>2.5999999999999998E-5</v>
      </c>
      <c r="AI451" s="164">
        <v>1.47297659523701E-2</v>
      </c>
      <c r="AJ451" s="164">
        <v>1.37861380361703E-3</v>
      </c>
    </row>
    <row r="452" spans="1:36">
      <c r="A452" s="2">
        <v>969</v>
      </c>
      <c r="B452" s="2">
        <v>969</v>
      </c>
      <c r="C452" s="2" t="s">
        <v>1217</v>
      </c>
      <c r="D452" s="2" t="s">
        <v>1954</v>
      </c>
      <c r="E452" s="4" t="s">
        <v>1342</v>
      </c>
      <c r="F452" s="2" t="s">
        <v>2441</v>
      </c>
      <c r="G452" s="2" t="s">
        <v>2442</v>
      </c>
      <c r="H452" s="2" t="s">
        <v>356</v>
      </c>
      <c r="I452" s="2" t="s">
        <v>208</v>
      </c>
      <c r="J452" s="2" t="s">
        <v>30</v>
      </c>
      <c r="K452" s="2" t="s">
        <v>30</v>
      </c>
      <c r="L452" s="2" t="s">
        <v>362</v>
      </c>
      <c r="M452" s="2" t="s">
        <v>31</v>
      </c>
      <c r="N452" s="2" t="s">
        <v>481</v>
      </c>
      <c r="O452" s="2" t="s">
        <v>155</v>
      </c>
      <c r="P452" s="2" t="s">
        <v>1353</v>
      </c>
      <c r="Q452" s="2" t="s">
        <v>206</v>
      </c>
      <c r="R452" s="2" t="s">
        <v>441</v>
      </c>
      <c r="S452" s="2" t="s">
        <v>34</v>
      </c>
      <c r="T452" s="151">
        <v>4.6829999999999998</v>
      </c>
      <c r="U452" s="2" t="s">
        <v>2443</v>
      </c>
      <c r="V452" s="162">
        <v>3.7100000000000001E-2</v>
      </c>
      <c r="W452" s="164">
        <v>3.1640000000000001E-2</v>
      </c>
      <c r="X452" s="4" t="s">
        <v>447</v>
      </c>
      <c r="Y452" s="4" t="s">
        <v>155</v>
      </c>
      <c r="Z452" s="151">
        <v>100000</v>
      </c>
      <c r="AA452" s="158">
        <v>1</v>
      </c>
      <c r="AB452" s="175">
        <v>108.99</v>
      </c>
      <c r="AD452" s="151">
        <v>108.99</v>
      </c>
      <c r="AG452" s="2" t="s">
        <v>36</v>
      </c>
      <c r="AH452" s="164">
        <v>2.5999999999999998E-4</v>
      </c>
      <c r="AI452" s="164">
        <v>1.53917961838677E-2</v>
      </c>
      <c r="AJ452" s="164">
        <v>1.4405756853268701E-3</v>
      </c>
    </row>
    <row r="453" spans="1:36">
      <c r="A453" s="2">
        <v>969</v>
      </c>
      <c r="B453" s="2">
        <v>969</v>
      </c>
      <c r="C453" s="2" t="s">
        <v>2444</v>
      </c>
      <c r="D453" s="2" t="s">
        <v>2445</v>
      </c>
      <c r="E453" s="4" t="s">
        <v>1342</v>
      </c>
      <c r="F453" s="2" t="s">
        <v>2446</v>
      </c>
      <c r="G453" s="2" t="s">
        <v>2447</v>
      </c>
      <c r="H453" s="2" t="s">
        <v>356</v>
      </c>
      <c r="I453" s="2" t="s">
        <v>1000</v>
      </c>
      <c r="J453" s="2" t="s">
        <v>30</v>
      </c>
      <c r="K453" s="2" t="s">
        <v>30</v>
      </c>
      <c r="L453" s="2" t="s">
        <v>362</v>
      </c>
      <c r="M453" s="2" t="s">
        <v>85</v>
      </c>
      <c r="N453" s="2" t="s">
        <v>473</v>
      </c>
      <c r="O453" s="2" t="s">
        <v>155</v>
      </c>
      <c r="P453" s="2" t="s">
        <v>1353</v>
      </c>
      <c r="Q453" s="2" t="s">
        <v>206</v>
      </c>
      <c r="R453" s="2" t="s">
        <v>441</v>
      </c>
      <c r="S453" s="2" t="s">
        <v>34</v>
      </c>
      <c r="T453" s="151">
        <v>6.3849999999999998</v>
      </c>
      <c r="U453" s="2" t="s">
        <v>2448</v>
      </c>
      <c r="V453" s="162">
        <v>5.8599999999999999E-2</v>
      </c>
      <c r="W453" s="164">
        <v>5.9150000000000001E-2</v>
      </c>
      <c r="X453" s="4" t="s">
        <v>447</v>
      </c>
      <c r="Y453" s="4" t="s">
        <v>155</v>
      </c>
      <c r="Z453" s="151">
        <v>109276</v>
      </c>
      <c r="AA453" s="158">
        <v>1</v>
      </c>
      <c r="AB453" s="175">
        <v>102.78</v>
      </c>
      <c r="AD453" s="151">
        <v>112.31399999999999</v>
      </c>
      <c r="AG453" s="2" t="s">
        <v>36</v>
      </c>
      <c r="AH453" s="164">
        <v>5.4799999999999998E-4</v>
      </c>
      <c r="AI453" s="164">
        <v>1.5861200465716499E-2</v>
      </c>
      <c r="AJ453" s="164">
        <v>1.4845089850497801E-3</v>
      </c>
    </row>
    <row r="454" spans="1:36">
      <c r="A454" s="2">
        <v>969</v>
      </c>
      <c r="B454" s="2">
        <v>969</v>
      </c>
      <c r="C454" s="2" t="s">
        <v>2449</v>
      </c>
      <c r="D454" s="2" t="s">
        <v>2450</v>
      </c>
      <c r="E454" s="4" t="s">
        <v>1342</v>
      </c>
      <c r="F454" s="2" t="s">
        <v>2451</v>
      </c>
      <c r="G454" s="2" t="s">
        <v>2452</v>
      </c>
      <c r="H454" s="2" t="s">
        <v>356</v>
      </c>
      <c r="I454" s="2" t="s">
        <v>1000</v>
      </c>
      <c r="J454" s="2" t="s">
        <v>30</v>
      </c>
      <c r="K454" s="2" t="s">
        <v>30</v>
      </c>
      <c r="L454" s="2" t="s">
        <v>362</v>
      </c>
      <c r="M454" s="2" t="s">
        <v>31</v>
      </c>
      <c r="N454" s="2" t="s">
        <v>478</v>
      </c>
      <c r="O454" s="2" t="s">
        <v>155</v>
      </c>
      <c r="P454" s="2" t="s">
        <v>2211</v>
      </c>
      <c r="Q454" s="2" t="s">
        <v>206</v>
      </c>
      <c r="R454" s="2" t="s">
        <v>441</v>
      </c>
      <c r="S454" s="2" t="s">
        <v>34</v>
      </c>
      <c r="T454" s="151">
        <v>7.141</v>
      </c>
      <c r="U454" s="2" t="s">
        <v>2417</v>
      </c>
      <c r="V454" s="162">
        <v>4.6899999999999997E-2</v>
      </c>
      <c r="W454" s="164">
        <v>5.654E-2</v>
      </c>
      <c r="X454" s="4" t="s">
        <v>447</v>
      </c>
      <c r="Y454" s="4" t="s">
        <v>155</v>
      </c>
      <c r="Z454" s="151">
        <v>100000</v>
      </c>
      <c r="AA454" s="158">
        <v>1</v>
      </c>
      <c r="AB454" s="175">
        <v>95.86</v>
      </c>
      <c r="AD454" s="151">
        <v>95.86</v>
      </c>
      <c r="AG454" s="2" t="s">
        <v>36</v>
      </c>
      <c r="AH454" s="164">
        <v>2.0000000000000001E-4</v>
      </c>
      <c r="AI454" s="164">
        <v>1.3537550070516199E-2</v>
      </c>
      <c r="AJ454" s="164">
        <v>1.26702986691838E-3</v>
      </c>
    </row>
    <row r="455" spans="1:36">
      <c r="A455" s="2">
        <v>969</v>
      </c>
      <c r="B455" s="2">
        <v>969</v>
      </c>
      <c r="C455" s="2" t="s">
        <v>1961</v>
      </c>
      <c r="D455" s="2" t="s">
        <v>1962</v>
      </c>
      <c r="E455" s="4" t="s">
        <v>1342</v>
      </c>
      <c r="F455" s="2" t="s">
        <v>2527</v>
      </c>
      <c r="G455" s="2" t="s">
        <v>2528</v>
      </c>
      <c r="H455" s="2" t="s">
        <v>356</v>
      </c>
      <c r="I455" s="2" t="s">
        <v>1000</v>
      </c>
      <c r="J455" s="2" t="s">
        <v>30</v>
      </c>
      <c r="K455" s="2" t="s">
        <v>30</v>
      </c>
      <c r="L455" s="2" t="s">
        <v>362</v>
      </c>
      <c r="M455" s="2" t="s">
        <v>31</v>
      </c>
      <c r="N455" s="2" t="s">
        <v>518</v>
      </c>
      <c r="O455" s="2" t="s">
        <v>155</v>
      </c>
      <c r="P455" s="2" t="s">
        <v>1353</v>
      </c>
      <c r="Q455" s="2" t="s">
        <v>206</v>
      </c>
      <c r="R455" s="2" t="s">
        <v>441</v>
      </c>
      <c r="S455" s="2" t="s">
        <v>34</v>
      </c>
      <c r="T455" s="151">
        <v>2.077</v>
      </c>
      <c r="U455" s="2" t="s">
        <v>2529</v>
      </c>
      <c r="V455" s="162">
        <v>0.04</v>
      </c>
      <c r="W455" s="164">
        <v>5.2440000000000001E-2</v>
      </c>
      <c r="X455" s="4" t="s">
        <v>447</v>
      </c>
      <c r="Y455" s="4" t="s">
        <v>155</v>
      </c>
      <c r="Z455" s="151">
        <v>25663.4</v>
      </c>
      <c r="AA455" s="158">
        <v>1</v>
      </c>
      <c r="AB455" s="175">
        <v>98.59</v>
      </c>
      <c r="AD455" s="151">
        <v>25.302</v>
      </c>
      <c r="AG455" s="2" t="s">
        <v>36</v>
      </c>
      <c r="AH455" s="164">
        <v>4.3000000000000002E-5</v>
      </c>
      <c r="AI455" s="164">
        <v>3.5731373528971599E-3</v>
      </c>
      <c r="AJ455" s="164">
        <v>3.3442326869633898E-4</v>
      </c>
    </row>
    <row r="456" spans="1:36">
      <c r="A456" s="2">
        <v>969</v>
      </c>
      <c r="B456" s="2">
        <v>969</v>
      </c>
      <c r="C456" s="2" t="s">
        <v>2453</v>
      </c>
      <c r="D456" s="2" t="s">
        <v>2454</v>
      </c>
      <c r="E456" s="4" t="s">
        <v>1342</v>
      </c>
      <c r="F456" s="2" t="s">
        <v>2455</v>
      </c>
      <c r="G456" s="2" t="s">
        <v>2456</v>
      </c>
      <c r="H456" s="2" t="s">
        <v>356</v>
      </c>
      <c r="I456" s="2" t="s">
        <v>1000</v>
      </c>
      <c r="J456" s="2" t="s">
        <v>30</v>
      </c>
      <c r="K456" s="2" t="s">
        <v>30</v>
      </c>
      <c r="L456" s="2" t="s">
        <v>362</v>
      </c>
      <c r="M456" s="2" t="s">
        <v>31</v>
      </c>
      <c r="N456" s="2" t="s">
        <v>498</v>
      </c>
      <c r="O456" s="2" t="s">
        <v>155</v>
      </c>
      <c r="P456" s="2" t="s">
        <v>2181</v>
      </c>
      <c r="Q456" s="2" t="s">
        <v>101</v>
      </c>
      <c r="R456" s="2" t="s">
        <v>441</v>
      </c>
      <c r="S456" s="2" t="s">
        <v>34</v>
      </c>
      <c r="T456" s="151">
        <v>1.7050000000000001</v>
      </c>
      <c r="U456" s="2" t="s">
        <v>2457</v>
      </c>
      <c r="V456" s="162">
        <v>2.6499999999999999E-2</v>
      </c>
      <c r="W456" s="164">
        <v>5.5120000000000002E-2</v>
      </c>
      <c r="X456" s="4" t="s">
        <v>447</v>
      </c>
      <c r="Y456" s="4" t="s">
        <v>155</v>
      </c>
      <c r="Z456" s="151">
        <v>53571.43</v>
      </c>
      <c r="AA456" s="158">
        <v>1</v>
      </c>
      <c r="AB456" s="175">
        <v>94.77</v>
      </c>
      <c r="AD456" s="151">
        <v>50.77</v>
      </c>
      <c r="AG456" s="2" t="s">
        <v>36</v>
      </c>
      <c r="AH456" s="164">
        <v>1.05E-4</v>
      </c>
      <c r="AI456" s="164">
        <v>7.1697955410881002E-3</v>
      </c>
      <c r="AJ456" s="164">
        <v>6.7104794020609996E-4</v>
      </c>
    </row>
    <row r="457" spans="1:36">
      <c r="A457" s="2">
        <v>969</v>
      </c>
      <c r="B457" s="2">
        <v>969</v>
      </c>
      <c r="C457" s="2" t="s">
        <v>2458</v>
      </c>
      <c r="D457" s="2" t="s">
        <v>2459</v>
      </c>
      <c r="E457" s="4" t="s">
        <v>1342</v>
      </c>
      <c r="F457" s="2" t="s">
        <v>2460</v>
      </c>
      <c r="G457" s="2" t="s">
        <v>2461</v>
      </c>
      <c r="H457" s="2" t="s">
        <v>356</v>
      </c>
      <c r="I457" s="2" t="s">
        <v>1000</v>
      </c>
      <c r="J457" s="2" t="s">
        <v>30</v>
      </c>
      <c r="K457" s="2" t="s">
        <v>30</v>
      </c>
      <c r="L457" s="2" t="s">
        <v>362</v>
      </c>
      <c r="M457" s="2" t="s">
        <v>85</v>
      </c>
      <c r="N457" s="2" t="s">
        <v>480</v>
      </c>
      <c r="O457" s="2" t="s">
        <v>155</v>
      </c>
      <c r="P457" s="2" t="s">
        <v>2181</v>
      </c>
      <c r="Q457" s="2" t="s">
        <v>101</v>
      </c>
      <c r="R457" s="2" t="s">
        <v>441</v>
      </c>
      <c r="S457" s="2" t="s">
        <v>34</v>
      </c>
      <c r="T457" s="151">
        <v>3.6070000000000002</v>
      </c>
      <c r="U457" s="2" t="s">
        <v>92</v>
      </c>
      <c r="V457" s="162">
        <v>5.8200000000000002E-2</v>
      </c>
      <c r="W457" s="164">
        <v>5.8200000000000002E-2</v>
      </c>
      <c r="X457" s="4" t="s">
        <v>447</v>
      </c>
      <c r="Y457" s="4" t="s">
        <v>155</v>
      </c>
      <c r="Z457" s="151">
        <v>70000</v>
      </c>
      <c r="AA457" s="158">
        <v>1</v>
      </c>
      <c r="AB457" s="175">
        <v>100.66</v>
      </c>
      <c r="AD457" s="151">
        <v>70.462000000000003</v>
      </c>
      <c r="AG457" s="2" t="s">
        <v>36</v>
      </c>
      <c r="AH457" s="164">
        <v>4.0000000000000002E-4</v>
      </c>
      <c r="AI457" s="164">
        <v>9.9507912900971499E-3</v>
      </c>
      <c r="AJ457" s="164">
        <v>9.3133171795120801E-4</v>
      </c>
    </row>
    <row r="458" spans="1:36">
      <c r="A458" s="2">
        <v>969</v>
      </c>
      <c r="B458" s="2">
        <v>969</v>
      </c>
      <c r="C458" s="2" t="s">
        <v>2462</v>
      </c>
      <c r="D458" s="2" t="s">
        <v>2463</v>
      </c>
      <c r="E458" s="4" t="s">
        <v>349</v>
      </c>
      <c r="F458" s="2" t="s">
        <v>2464</v>
      </c>
      <c r="G458" s="2" t="s">
        <v>2465</v>
      </c>
      <c r="H458" s="2" t="s">
        <v>356</v>
      </c>
      <c r="I458" s="2" t="s">
        <v>204</v>
      </c>
      <c r="J458" s="2" t="s">
        <v>30</v>
      </c>
      <c r="K458" s="2" t="s">
        <v>271</v>
      </c>
      <c r="L458" s="2" t="s">
        <v>362</v>
      </c>
      <c r="M458" s="2" t="s">
        <v>31</v>
      </c>
      <c r="N458" s="2" t="s">
        <v>498</v>
      </c>
      <c r="O458" s="2" t="s">
        <v>155</v>
      </c>
      <c r="P458" s="2" t="s">
        <v>1353</v>
      </c>
      <c r="Q458" s="2" t="s">
        <v>101</v>
      </c>
      <c r="R458" s="2" t="s">
        <v>441</v>
      </c>
      <c r="S458" s="2" t="s">
        <v>34</v>
      </c>
      <c r="T458" s="151">
        <v>2.91</v>
      </c>
      <c r="U458" s="2" t="s">
        <v>2466</v>
      </c>
      <c r="V458" s="162">
        <v>4.2999999999999997E-2</v>
      </c>
      <c r="W458" s="164">
        <v>0.10149</v>
      </c>
      <c r="X458" s="4" t="s">
        <v>447</v>
      </c>
      <c r="Y458" s="4" t="s">
        <v>155</v>
      </c>
      <c r="Z458" s="151">
        <v>0.74</v>
      </c>
      <c r="AA458" s="158">
        <v>1</v>
      </c>
      <c r="AB458" s="175">
        <v>89.69</v>
      </c>
      <c r="AD458" s="151">
        <v>1E-3</v>
      </c>
      <c r="AG458" s="2" t="s">
        <v>36</v>
      </c>
      <c r="AH458" s="164">
        <v>0</v>
      </c>
      <c r="AI458" s="164">
        <v>9.3729952087440301E-8</v>
      </c>
      <c r="AJ458" s="164">
        <v>8.772536249248171E-9</v>
      </c>
    </row>
    <row r="459" spans="1:36">
      <c r="A459" s="2">
        <v>969</v>
      </c>
      <c r="B459" s="2">
        <v>969</v>
      </c>
      <c r="C459" s="2" t="s">
        <v>2167</v>
      </c>
      <c r="D459" s="2" t="s">
        <v>2168</v>
      </c>
      <c r="E459" s="4" t="s">
        <v>1342</v>
      </c>
      <c r="F459" s="2" t="s">
        <v>2467</v>
      </c>
      <c r="G459" s="2" t="s">
        <v>2468</v>
      </c>
      <c r="H459" s="2" t="s">
        <v>356</v>
      </c>
      <c r="I459" s="2" t="s">
        <v>1000</v>
      </c>
      <c r="J459" s="2" t="s">
        <v>30</v>
      </c>
      <c r="K459" s="2" t="s">
        <v>30</v>
      </c>
      <c r="L459" s="2" t="s">
        <v>362</v>
      </c>
      <c r="M459" s="2" t="s">
        <v>85</v>
      </c>
      <c r="N459" s="2" t="s">
        <v>495</v>
      </c>
      <c r="O459" s="2" t="s">
        <v>155</v>
      </c>
      <c r="P459" s="2" t="s">
        <v>1353</v>
      </c>
      <c r="Q459" s="2" t="s">
        <v>101</v>
      </c>
      <c r="R459" s="2" t="s">
        <v>441</v>
      </c>
      <c r="S459" s="2" t="s">
        <v>34</v>
      </c>
      <c r="T459" s="151">
        <v>4.5330000000000004</v>
      </c>
      <c r="U459" s="2" t="s">
        <v>2270</v>
      </c>
      <c r="V459" s="162">
        <v>5.8500000000000003E-2</v>
      </c>
      <c r="W459" s="164">
        <v>5.7729999999999997E-2</v>
      </c>
      <c r="X459" s="4" t="s">
        <v>447</v>
      </c>
      <c r="Y459" s="4" t="s">
        <v>155</v>
      </c>
      <c r="Z459" s="151">
        <v>59000</v>
      </c>
      <c r="AA459" s="158">
        <v>1</v>
      </c>
      <c r="AB459" s="175">
        <v>101.6</v>
      </c>
      <c r="AD459" s="151">
        <v>59.944000000000003</v>
      </c>
      <c r="AG459" s="2" t="s">
        <v>36</v>
      </c>
      <c r="AH459" s="164">
        <v>3.8099999999999999E-4</v>
      </c>
      <c r="AI459" s="164">
        <v>8.4654172900795292E-3</v>
      </c>
      <c r="AJ459" s="164">
        <v>7.9231001817812801E-4</v>
      </c>
    </row>
    <row r="460" spans="1:36">
      <c r="A460" s="2">
        <v>969</v>
      </c>
      <c r="B460" s="2">
        <v>969</v>
      </c>
      <c r="C460" s="2" t="s">
        <v>2469</v>
      </c>
      <c r="D460" s="2" t="s">
        <v>1994</v>
      </c>
      <c r="E460" s="4" t="s">
        <v>350</v>
      </c>
      <c r="F460" s="2" t="s">
        <v>2470</v>
      </c>
      <c r="G460" s="2" t="s">
        <v>2471</v>
      </c>
      <c r="H460" s="2" t="s">
        <v>356</v>
      </c>
      <c r="I460" s="2" t="s">
        <v>204</v>
      </c>
      <c r="J460" s="2" t="s">
        <v>97</v>
      </c>
      <c r="K460" s="2" t="s">
        <v>98</v>
      </c>
      <c r="L460" s="2" t="s">
        <v>362</v>
      </c>
      <c r="M460" s="2" t="s">
        <v>194</v>
      </c>
      <c r="N460" s="2" t="s">
        <v>580</v>
      </c>
      <c r="O460" s="2" t="s">
        <v>155</v>
      </c>
      <c r="P460" s="2" t="s">
        <v>1519</v>
      </c>
      <c r="Q460" s="2" t="s">
        <v>466</v>
      </c>
      <c r="R460" s="2" t="s">
        <v>441</v>
      </c>
      <c r="S460" s="2" t="s">
        <v>102</v>
      </c>
      <c r="T460" s="151">
        <v>0.56699999999999995</v>
      </c>
      <c r="U460" s="2" t="s">
        <v>2472</v>
      </c>
      <c r="V460" s="162">
        <v>3.2000000000000001E-2</v>
      </c>
      <c r="W460" s="164">
        <v>4.7789999999999999E-2</v>
      </c>
      <c r="X460" s="4" t="s">
        <v>447</v>
      </c>
      <c r="Y460" s="4" t="s">
        <v>155</v>
      </c>
      <c r="Z460" s="151">
        <v>10000</v>
      </c>
      <c r="AA460" s="158">
        <v>3.71</v>
      </c>
      <c r="AB460" s="175">
        <v>100.542</v>
      </c>
      <c r="AD460" s="151">
        <v>37.301000000000002</v>
      </c>
      <c r="AG460" s="2" t="s">
        <v>36</v>
      </c>
      <c r="AH460" s="164">
        <v>5.0000000000000004E-6</v>
      </c>
      <c r="AI460" s="164">
        <v>5.2677212448373504E-3</v>
      </c>
      <c r="AJ460" s="164">
        <v>4.9302570354629004E-4</v>
      </c>
    </row>
    <row r="461" spans="1:36">
      <c r="A461" s="2">
        <v>969</v>
      </c>
      <c r="B461" s="2">
        <v>969</v>
      </c>
      <c r="C461" s="2" t="s">
        <v>2473</v>
      </c>
      <c r="D461" s="2" t="s">
        <v>2474</v>
      </c>
      <c r="E461" s="4" t="s">
        <v>350</v>
      </c>
      <c r="F461" s="2" t="s">
        <v>2475</v>
      </c>
      <c r="G461" s="2" t="s">
        <v>2476</v>
      </c>
      <c r="H461" s="2" t="s">
        <v>356</v>
      </c>
      <c r="I461" s="2" t="s">
        <v>204</v>
      </c>
      <c r="J461" s="2" t="s">
        <v>97</v>
      </c>
      <c r="K461" s="2" t="s">
        <v>98</v>
      </c>
      <c r="L461" s="2" t="s">
        <v>362</v>
      </c>
      <c r="M461" s="2" t="s">
        <v>194</v>
      </c>
      <c r="N461" s="2" t="s">
        <v>570</v>
      </c>
      <c r="O461" s="2" t="s">
        <v>155</v>
      </c>
      <c r="P461" s="2" t="s">
        <v>1337</v>
      </c>
      <c r="Q461" s="2" t="s">
        <v>466</v>
      </c>
      <c r="R461" s="2" t="s">
        <v>441</v>
      </c>
      <c r="S461" s="2" t="s">
        <v>102</v>
      </c>
      <c r="T461" s="151">
        <v>0.26700000000000002</v>
      </c>
      <c r="U461" s="2" t="s">
        <v>2477</v>
      </c>
      <c r="V461" s="162">
        <v>0.04</v>
      </c>
      <c r="W461" s="164">
        <v>5.543E-2</v>
      </c>
      <c r="X461" s="4" t="s">
        <v>447</v>
      </c>
      <c r="Y461" s="4" t="s">
        <v>155</v>
      </c>
      <c r="Z461" s="151">
        <v>20000</v>
      </c>
      <c r="AA461" s="158">
        <v>3.71</v>
      </c>
      <c r="AB461" s="175">
        <v>100.485</v>
      </c>
      <c r="AD461" s="151">
        <v>74.56</v>
      </c>
      <c r="AG461" s="2" t="s">
        <v>36</v>
      </c>
      <c r="AH461" s="164">
        <v>7.9999999999999996E-6</v>
      </c>
      <c r="AI461" s="164">
        <v>1.05294696423694E-2</v>
      </c>
      <c r="AJ461" s="164">
        <v>9.8549238600775389E-4</v>
      </c>
    </row>
    <row r="462" spans="1:36">
      <c r="A462" s="2">
        <v>969</v>
      </c>
      <c r="B462" s="2">
        <v>969</v>
      </c>
      <c r="C462" s="2" t="s">
        <v>2478</v>
      </c>
      <c r="D462" s="2" t="s">
        <v>2479</v>
      </c>
      <c r="E462" s="4" t="s">
        <v>350</v>
      </c>
      <c r="F462" s="2" t="s">
        <v>2480</v>
      </c>
      <c r="G462" s="2" t="s">
        <v>2481</v>
      </c>
      <c r="H462" s="2" t="s">
        <v>356</v>
      </c>
      <c r="I462" s="2" t="s">
        <v>204</v>
      </c>
      <c r="J462" s="2" t="s">
        <v>97</v>
      </c>
      <c r="K462" s="2" t="s">
        <v>98</v>
      </c>
      <c r="L462" s="2" t="s">
        <v>362</v>
      </c>
      <c r="M462" s="2" t="s">
        <v>194</v>
      </c>
      <c r="N462" s="2" t="s">
        <v>580</v>
      </c>
      <c r="O462" s="2" t="s">
        <v>155</v>
      </c>
      <c r="P462" s="2" t="s">
        <v>2297</v>
      </c>
      <c r="Q462" s="2" t="s">
        <v>466</v>
      </c>
      <c r="R462" s="2" t="s">
        <v>441</v>
      </c>
      <c r="S462" s="2" t="s">
        <v>102</v>
      </c>
      <c r="T462" s="151">
        <v>0.56299999999999994</v>
      </c>
      <c r="U462" s="2" t="s">
        <v>2482</v>
      </c>
      <c r="V462" s="162">
        <v>7.4999999999999997E-2</v>
      </c>
      <c r="W462" s="164">
        <v>5.765E-2</v>
      </c>
      <c r="X462" s="4" t="s">
        <v>447</v>
      </c>
      <c r="Y462" s="4" t="s">
        <v>155</v>
      </c>
      <c r="Z462" s="151">
        <v>20000</v>
      </c>
      <c r="AA462" s="158">
        <v>3.71</v>
      </c>
      <c r="AB462" s="175">
        <v>104.35299999999999</v>
      </c>
      <c r="AD462" s="151">
        <v>77.430000000000007</v>
      </c>
      <c r="AG462" s="2" t="s">
        <v>36</v>
      </c>
      <c r="AH462" s="164">
        <v>5.0000000000000002E-5</v>
      </c>
      <c r="AI462" s="164">
        <v>1.09348478368455E-2</v>
      </c>
      <c r="AJ462" s="164">
        <v>1.0234332451087901E-3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X513"/>
  <sheetViews>
    <sheetView rightToLeft="1" zoomScale="70" zoomScaleNormal="70" workbookViewId="0"/>
  </sheetViews>
  <sheetFormatPr defaultColWidth="9" defaultRowHeight="14.25"/>
  <cols>
    <col min="1" max="11" width="11.625" style="4" customWidth="1"/>
    <col min="12" max="13" width="11.625" style="2" customWidth="1"/>
    <col min="14" max="19" width="11.625" style="4" customWidth="1"/>
    <col min="20" max="20" width="11.625" style="2" customWidth="1"/>
    <col min="21" max="26" width="11.625" style="4" customWidth="1"/>
    <col min="27" max="27" width="9" style="4" customWidth="1"/>
    <col min="28" max="16384" width="9" style="4"/>
  </cols>
  <sheetData>
    <row r="1" spans="1:24" ht="66.75" customHeight="1">
      <c r="A1" s="19" t="s">
        <v>0</v>
      </c>
      <c r="B1" s="19" t="s">
        <v>1</v>
      </c>
      <c r="C1" s="19" t="s">
        <v>2</v>
      </c>
      <c r="D1" s="19" t="s">
        <v>173</v>
      </c>
      <c r="E1" s="19" t="s">
        <v>174</v>
      </c>
      <c r="F1" s="19" t="s">
        <v>3</v>
      </c>
      <c r="G1" s="19" t="s">
        <v>4</v>
      </c>
      <c r="H1" s="19" t="s">
        <v>175</v>
      </c>
      <c r="I1" s="19" t="s">
        <v>5</v>
      </c>
      <c r="J1" s="19" t="s">
        <v>6</v>
      </c>
      <c r="K1" s="19" t="s">
        <v>7</v>
      </c>
      <c r="L1" s="19" t="s">
        <v>361</v>
      </c>
      <c r="M1" s="19" t="s">
        <v>8</v>
      </c>
      <c r="N1" s="19" t="s">
        <v>176</v>
      </c>
      <c r="O1" s="19" t="s">
        <v>141</v>
      </c>
      <c r="P1" s="19" t="s">
        <v>11</v>
      </c>
      <c r="Q1" s="19" t="s">
        <v>17</v>
      </c>
      <c r="R1" s="157" t="s">
        <v>18</v>
      </c>
      <c r="S1" s="168" t="s">
        <v>19</v>
      </c>
      <c r="T1" s="19" t="s">
        <v>16</v>
      </c>
      <c r="U1" s="19" t="s">
        <v>20</v>
      </c>
      <c r="V1" s="163" t="s">
        <v>23</v>
      </c>
      <c r="W1" s="163" t="s">
        <v>24</v>
      </c>
      <c r="X1" s="163" t="s">
        <v>25</v>
      </c>
    </row>
    <row r="2" spans="1:24">
      <c r="A2" s="18">
        <v>1182</v>
      </c>
      <c r="B2" s="18">
        <v>1182</v>
      </c>
      <c r="C2" s="18" t="s">
        <v>1784</v>
      </c>
      <c r="D2" s="18" t="s">
        <v>1785</v>
      </c>
      <c r="E2" s="18" t="s">
        <v>349</v>
      </c>
      <c r="F2" s="18" t="s">
        <v>1786</v>
      </c>
      <c r="G2" s="18" t="s">
        <v>1787</v>
      </c>
      <c r="H2" s="18" t="s">
        <v>356</v>
      </c>
      <c r="I2" s="18" t="s">
        <v>965</v>
      </c>
      <c r="J2" s="18" t="s">
        <v>30</v>
      </c>
      <c r="K2" s="18" t="s">
        <v>98</v>
      </c>
      <c r="L2" s="20" t="s">
        <v>362</v>
      </c>
      <c r="M2" s="18" t="s">
        <v>31</v>
      </c>
      <c r="N2" s="20" t="s">
        <v>474</v>
      </c>
      <c r="O2" s="20" t="s">
        <v>155</v>
      </c>
      <c r="P2" s="18" t="s">
        <v>34</v>
      </c>
      <c r="Q2" s="154">
        <v>2795.5</v>
      </c>
      <c r="R2" s="176">
        <v>1</v>
      </c>
      <c r="S2" s="177">
        <v>28560</v>
      </c>
      <c r="T2" s="20"/>
      <c r="U2" s="154">
        <v>798.39499999999998</v>
      </c>
      <c r="V2" s="178">
        <v>5.0000000000000002E-5</v>
      </c>
      <c r="W2" s="178">
        <v>1.6055574259547602E-2</v>
      </c>
      <c r="X2" s="178">
        <v>1.9381729509585701E-3</v>
      </c>
    </row>
    <row r="3" spans="1:24">
      <c r="A3" s="18">
        <v>1182</v>
      </c>
      <c r="B3" s="18">
        <v>1182</v>
      </c>
      <c r="C3" s="18" t="s">
        <v>1788</v>
      </c>
      <c r="D3" s="18" t="s">
        <v>1789</v>
      </c>
      <c r="E3" s="18" t="s">
        <v>1342</v>
      </c>
      <c r="F3" s="18" t="s">
        <v>1790</v>
      </c>
      <c r="G3" s="18" t="s">
        <v>1791</v>
      </c>
      <c r="H3" s="18" t="s">
        <v>356</v>
      </c>
      <c r="I3" s="18" t="s">
        <v>965</v>
      </c>
      <c r="J3" s="18" t="s">
        <v>30</v>
      </c>
      <c r="K3" s="18" t="s">
        <v>30</v>
      </c>
      <c r="L3" s="20" t="s">
        <v>362</v>
      </c>
      <c r="M3" s="18" t="s">
        <v>31</v>
      </c>
      <c r="N3" s="20" t="s">
        <v>489</v>
      </c>
      <c r="O3" s="20" t="s">
        <v>155</v>
      </c>
      <c r="P3" s="18" t="s">
        <v>34</v>
      </c>
      <c r="Q3" s="154">
        <v>48411</v>
      </c>
      <c r="R3" s="176">
        <v>1</v>
      </c>
      <c r="S3" s="177">
        <v>1588</v>
      </c>
      <c r="T3" s="20"/>
      <c r="U3" s="154">
        <v>768.76700000000005</v>
      </c>
      <c r="V3" s="178">
        <v>3.8000000000000002E-5</v>
      </c>
      <c r="W3" s="178">
        <v>1.54597581534924E-2</v>
      </c>
      <c r="X3" s="178">
        <v>1.8662481077960701E-3</v>
      </c>
    </row>
    <row r="4" spans="1:24">
      <c r="A4" s="18">
        <v>1182</v>
      </c>
      <c r="B4" s="18">
        <v>1182</v>
      </c>
      <c r="C4" s="18" t="s">
        <v>1792</v>
      </c>
      <c r="D4" s="18" t="s">
        <v>1793</v>
      </c>
      <c r="E4" s="18" t="s">
        <v>1342</v>
      </c>
      <c r="F4" s="18" t="s">
        <v>1794</v>
      </c>
      <c r="G4" s="18" t="s">
        <v>1795</v>
      </c>
      <c r="H4" s="18" t="s">
        <v>356</v>
      </c>
      <c r="I4" s="18" t="s">
        <v>965</v>
      </c>
      <c r="J4" s="18" t="s">
        <v>30</v>
      </c>
      <c r="K4" s="18" t="s">
        <v>30</v>
      </c>
      <c r="L4" s="20" t="s">
        <v>362</v>
      </c>
      <c r="M4" s="18" t="s">
        <v>31</v>
      </c>
      <c r="N4" s="20" t="s">
        <v>478</v>
      </c>
      <c r="O4" s="20" t="s">
        <v>155</v>
      </c>
      <c r="P4" s="18" t="s">
        <v>34</v>
      </c>
      <c r="Q4" s="154">
        <v>2680</v>
      </c>
      <c r="R4" s="176">
        <v>1</v>
      </c>
      <c r="S4" s="177">
        <v>12010</v>
      </c>
      <c r="T4" s="20"/>
      <c r="U4" s="154">
        <v>321.86799999999999</v>
      </c>
      <c r="V4" s="178">
        <v>1.8200000000000001E-4</v>
      </c>
      <c r="W4" s="178">
        <v>6.4727069562227598E-3</v>
      </c>
      <c r="X4" s="178">
        <v>7.8136261831757104E-4</v>
      </c>
    </row>
    <row r="5" spans="1:24">
      <c r="A5" s="18">
        <v>1182</v>
      </c>
      <c r="B5" s="18">
        <v>1182</v>
      </c>
      <c r="C5" s="18" t="s">
        <v>1796</v>
      </c>
      <c r="D5" s="18" t="s">
        <v>1797</v>
      </c>
      <c r="E5" s="18" t="s">
        <v>1342</v>
      </c>
      <c r="F5" s="18" t="s">
        <v>1798</v>
      </c>
      <c r="G5" s="18" t="s">
        <v>1799</v>
      </c>
      <c r="H5" s="18" t="s">
        <v>356</v>
      </c>
      <c r="I5" s="18" t="s">
        <v>965</v>
      </c>
      <c r="J5" s="18" t="s">
        <v>30</v>
      </c>
      <c r="K5" s="18" t="s">
        <v>30</v>
      </c>
      <c r="L5" s="20" t="s">
        <v>362</v>
      </c>
      <c r="M5" s="18" t="s">
        <v>31</v>
      </c>
      <c r="N5" s="20" t="s">
        <v>496</v>
      </c>
      <c r="O5" s="20" t="s">
        <v>155</v>
      </c>
      <c r="P5" s="18" t="s">
        <v>34</v>
      </c>
      <c r="Q5" s="154">
        <v>15773</v>
      </c>
      <c r="R5" s="176">
        <v>1</v>
      </c>
      <c r="S5" s="177">
        <v>1271</v>
      </c>
      <c r="T5" s="20"/>
      <c r="U5" s="154">
        <v>200.47499999999999</v>
      </c>
      <c r="V5" s="178">
        <v>1.08E-4</v>
      </c>
      <c r="W5" s="178">
        <v>4.0315123798842301E-3</v>
      </c>
      <c r="X5" s="178">
        <v>4.86670119662625E-4</v>
      </c>
    </row>
    <row r="6" spans="1:24">
      <c r="A6" s="18">
        <v>1182</v>
      </c>
      <c r="B6" s="18">
        <v>1182</v>
      </c>
      <c r="C6" s="18" t="s">
        <v>1800</v>
      </c>
      <c r="D6" s="18" t="s">
        <v>1801</v>
      </c>
      <c r="E6" s="18" t="s">
        <v>1342</v>
      </c>
      <c r="F6" s="18" t="s">
        <v>1802</v>
      </c>
      <c r="G6" s="18" t="s">
        <v>1803</v>
      </c>
      <c r="H6" s="18" t="s">
        <v>356</v>
      </c>
      <c r="I6" s="18" t="s">
        <v>965</v>
      </c>
      <c r="J6" s="18" t="s">
        <v>30</v>
      </c>
      <c r="K6" s="18" t="s">
        <v>30</v>
      </c>
      <c r="L6" s="20" t="s">
        <v>362</v>
      </c>
      <c r="M6" s="18" t="s">
        <v>31</v>
      </c>
      <c r="N6" s="20" t="s">
        <v>511</v>
      </c>
      <c r="O6" s="20" t="s">
        <v>155</v>
      </c>
      <c r="P6" s="18" t="s">
        <v>34</v>
      </c>
      <c r="Q6" s="154">
        <v>0</v>
      </c>
      <c r="R6" s="176">
        <v>1</v>
      </c>
      <c r="S6" s="177">
        <v>0</v>
      </c>
      <c r="T6" s="153">
        <v>1E-3</v>
      </c>
      <c r="U6" s="154">
        <v>1E-3</v>
      </c>
      <c r="V6" s="178">
        <v>0</v>
      </c>
      <c r="W6" s="178">
        <v>1.0457105450793E-8</v>
      </c>
      <c r="X6" s="178">
        <v>1.2623453139956001E-9</v>
      </c>
    </row>
    <row r="7" spans="1:24">
      <c r="A7" s="18">
        <v>1182</v>
      </c>
      <c r="B7" s="18">
        <v>1182</v>
      </c>
      <c r="C7" s="18" t="s">
        <v>1804</v>
      </c>
      <c r="D7" s="18" t="s">
        <v>1805</v>
      </c>
      <c r="E7" s="18" t="s">
        <v>1342</v>
      </c>
      <c r="F7" s="18" t="s">
        <v>1806</v>
      </c>
      <c r="G7" s="18" t="s">
        <v>1807</v>
      </c>
      <c r="H7" s="18" t="s">
        <v>356</v>
      </c>
      <c r="I7" s="18" t="s">
        <v>965</v>
      </c>
      <c r="J7" s="18" t="s">
        <v>30</v>
      </c>
      <c r="K7" s="18" t="s">
        <v>30</v>
      </c>
      <c r="L7" s="20" t="s">
        <v>362</v>
      </c>
      <c r="M7" s="18" t="s">
        <v>31</v>
      </c>
      <c r="N7" s="20" t="s">
        <v>479</v>
      </c>
      <c r="O7" s="20" t="s">
        <v>155</v>
      </c>
      <c r="P7" s="18" t="s">
        <v>34</v>
      </c>
      <c r="Q7" s="154">
        <v>1241</v>
      </c>
      <c r="R7" s="176">
        <v>1</v>
      </c>
      <c r="S7" s="177">
        <v>74080</v>
      </c>
      <c r="T7" s="20"/>
      <c r="U7" s="154">
        <v>919.33299999999997</v>
      </c>
      <c r="V7" s="178">
        <v>2.8E-5</v>
      </c>
      <c r="W7" s="178">
        <v>1.84876154499477E-2</v>
      </c>
      <c r="X7" s="178">
        <v>2.2317604847739599E-3</v>
      </c>
    </row>
    <row r="8" spans="1:24">
      <c r="A8" s="18">
        <v>1182</v>
      </c>
      <c r="B8" s="18">
        <v>1182</v>
      </c>
      <c r="C8" s="18" t="s">
        <v>1808</v>
      </c>
      <c r="D8" s="18" t="s">
        <v>1809</v>
      </c>
      <c r="E8" s="18" t="s">
        <v>1342</v>
      </c>
      <c r="F8" s="18" t="s">
        <v>1810</v>
      </c>
      <c r="G8" s="18" t="s">
        <v>1811</v>
      </c>
      <c r="H8" s="18" t="s">
        <v>356</v>
      </c>
      <c r="I8" s="18" t="s">
        <v>965</v>
      </c>
      <c r="J8" s="18" t="s">
        <v>30</v>
      </c>
      <c r="K8" s="18" t="s">
        <v>30</v>
      </c>
      <c r="L8" s="20" t="s">
        <v>362</v>
      </c>
      <c r="M8" s="18" t="s">
        <v>31</v>
      </c>
      <c r="N8" s="20" t="s">
        <v>484</v>
      </c>
      <c r="O8" s="20" t="s">
        <v>155</v>
      </c>
      <c r="P8" s="18" t="s">
        <v>34</v>
      </c>
      <c r="Q8" s="154">
        <v>283</v>
      </c>
      <c r="R8" s="176">
        <v>1</v>
      </c>
      <c r="S8" s="177">
        <v>148500</v>
      </c>
      <c r="T8" s="153">
        <v>3.17</v>
      </c>
      <c r="U8" s="154">
        <v>423.42500000000001</v>
      </c>
      <c r="V8" s="178">
        <v>7.3999999999999996E-5</v>
      </c>
      <c r="W8" s="178">
        <v>8.5150049891335403E-3</v>
      </c>
      <c r="X8" s="178">
        <v>1.0279017169007099E-3</v>
      </c>
    </row>
    <row r="9" spans="1:24">
      <c r="A9" s="18">
        <v>1182</v>
      </c>
      <c r="B9" s="18">
        <v>1182</v>
      </c>
      <c r="C9" s="18" t="s">
        <v>1812</v>
      </c>
      <c r="D9" s="18" t="s">
        <v>1813</v>
      </c>
      <c r="E9" s="18" t="s">
        <v>1342</v>
      </c>
      <c r="F9" s="18" t="s">
        <v>1814</v>
      </c>
      <c r="G9" s="18" t="s">
        <v>1815</v>
      </c>
      <c r="H9" s="18" t="s">
        <v>356</v>
      </c>
      <c r="I9" s="18" t="s">
        <v>965</v>
      </c>
      <c r="J9" s="18" t="s">
        <v>30</v>
      </c>
      <c r="K9" s="18" t="s">
        <v>98</v>
      </c>
      <c r="L9" s="20" t="s">
        <v>362</v>
      </c>
      <c r="M9" s="18" t="s">
        <v>31</v>
      </c>
      <c r="N9" s="20" t="s">
        <v>474</v>
      </c>
      <c r="O9" s="20" t="s">
        <v>155</v>
      </c>
      <c r="P9" s="18" t="s">
        <v>34</v>
      </c>
      <c r="Q9" s="154">
        <v>7995.5</v>
      </c>
      <c r="R9" s="176">
        <v>1</v>
      </c>
      <c r="S9" s="177">
        <v>6254</v>
      </c>
      <c r="T9" s="20"/>
      <c r="U9" s="154">
        <v>500.03899999999999</v>
      </c>
      <c r="V9" s="178">
        <v>6.7000000000000002E-5</v>
      </c>
      <c r="W9" s="178">
        <v>1.0055684722987899E-2</v>
      </c>
      <c r="X9" s="178">
        <v>1.2138872031856999E-3</v>
      </c>
    </row>
    <row r="10" spans="1:24">
      <c r="A10" s="18">
        <v>1182</v>
      </c>
      <c r="B10" s="18">
        <v>1182</v>
      </c>
      <c r="C10" s="18" t="s">
        <v>1816</v>
      </c>
      <c r="D10" s="18" t="s">
        <v>1817</v>
      </c>
      <c r="E10" s="18" t="s">
        <v>349</v>
      </c>
      <c r="F10" s="18" t="s">
        <v>1818</v>
      </c>
      <c r="G10" s="18" t="s">
        <v>1819</v>
      </c>
      <c r="H10" s="18" t="s">
        <v>356</v>
      </c>
      <c r="I10" s="18" t="s">
        <v>965</v>
      </c>
      <c r="J10" s="18" t="s">
        <v>30</v>
      </c>
      <c r="K10" s="18" t="s">
        <v>271</v>
      </c>
      <c r="L10" s="20" t="s">
        <v>362</v>
      </c>
      <c r="M10" s="18" t="s">
        <v>31</v>
      </c>
      <c r="N10" s="20" t="s">
        <v>487</v>
      </c>
      <c r="O10" s="20" t="s">
        <v>155</v>
      </c>
      <c r="P10" s="18" t="s">
        <v>34</v>
      </c>
      <c r="Q10" s="154">
        <v>9932</v>
      </c>
      <c r="R10" s="176">
        <v>1</v>
      </c>
      <c r="S10" s="177">
        <v>4556</v>
      </c>
      <c r="T10" s="20"/>
      <c r="U10" s="154">
        <v>452.50200000000001</v>
      </c>
      <c r="V10" s="178">
        <v>5.3999999999999998E-5</v>
      </c>
      <c r="W10" s="178">
        <v>9.0997313348582503E-3</v>
      </c>
      <c r="X10" s="178">
        <v>1.09848784285772E-3</v>
      </c>
    </row>
    <row r="11" spans="1:24">
      <c r="A11" s="18">
        <v>1182</v>
      </c>
      <c r="B11" s="18">
        <v>1182</v>
      </c>
      <c r="C11" s="18" t="s">
        <v>1820</v>
      </c>
      <c r="D11" s="18" t="s">
        <v>1821</v>
      </c>
      <c r="E11" s="18" t="s">
        <v>1342</v>
      </c>
      <c r="F11" s="18" t="s">
        <v>1822</v>
      </c>
      <c r="G11" s="18" t="s">
        <v>1823</v>
      </c>
      <c r="H11" s="18" t="s">
        <v>356</v>
      </c>
      <c r="I11" s="18" t="s">
        <v>965</v>
      </c>
      <c r="J11" s="18" t="s">
        <v>30</v>
      </c>
      <c r="K11" s="18" t="s">
        <v>30</v>
      </c>
      <c r="L11" s="20" t="s">
        <v>362</v>
      </c>
      <c r="M11" s="18" t="s">
        <v>31</v>
      </c>
      <c r="N11" s="20" t="s">
        <v>474</v>
      </c>
      <c r="O11" s="20" t="s">
        <v>155</v>
      </c>
      <c r="P11" s="18" t="s">
        <v>34</v>
      </c>
      <c r="Q11" s="154">
        <v>18518</v>
      </c>
      <c r="R11" s="176">
        <v>1</v>
      </c>
      <c r="S11" s="177">
        <v>1348</v>
      </c>
      <c r="T11" s="20"/>
      <c r="U11" s="154">
        <v>249.62299999999999</v>
      </c>
      <c r="V11" s="178">
        <v>3.4E-5</v>
      </c>
      <c r="W11" s="178">
        <v>5.0198659026641102E-3</v>
      </c>
      <c r="X11" s="178">
        <v>6.0598071129079102E-4</v>
      </c>
    </row>
    <row r="12" spans="1:24">
      <c r="A12" s="18">
        <v>1182</v>
      </c>
      <c r="B12" s="18">
        <v>1182</v>
      </c>
      <c r="C12" s="18" t="s">
        <v>1824</v>
      </c>
      <c r="D12" s="18" t="s">
        <v>1825</v>
      </c>
      <c r="E12" s="18" t="s">
        <v>1342</v>
      </c>
      <c r="F12" s="18" t="s">
        <v>1826</v>
      </c>
      <c r="G12" s="18" t="s">
        <v>1827</v>
      </c>
      <c r="H12" s="18" t="s">
        <v>356</v>
      </c>
      <c r="I12" s="18" t="s">
        <v>965</v>
      </c>
      <c r="J12" s="18" t="s">
        <v>30</v>
      </c>
      <c r="K12" s="18" t="s">
        <v>30</v>
      </c>
      <c r="L12" s="20" t="s">
        <v>362</v>
      </c>
      <c r="M12" s="18" t="s">
        <v>31</v>
      </c>
      <c r="N12" s="20" t="s">
        <v>496</v>
      </c>
      <c r="O12" s="20" t="s">
        <v>155</v>
      </c>
      <c r="P12" s="18" t="s">
        <v>34</v>
      </c>
      <c r="Q12" s="154">
        <v>250</v>
      </c>
      <c r="R12" s="176">
        <v>1</v>
      </c>
      <c r="S12" s="177">
        <v>0</v>
      </c>
      <c r="T12" s="20"/>
      <c r="U12" s="154">
        <v>0</v>
      </c>
      <c r="V12" s="178">
        <v>0</v>
      </c>
      <c r="W12" s="178">
        <v>5.0274545436504794E-12</v>
      </c>
      <c r="X12" s="178">
        <v>6.0689678557480895E-13</v>
      </c>
    </row>
    <row r="13" spans="1:24">
      <c r="A13" s="18">
        <v>1182</v>
      </c>
      <c r="B13" s="18">
        <v>1182</v>
      </c>
      <c r="C13" s="18" t="s">
        <v>1828</v>
      </c>
      <c r="D13" s="18" t="s">
        <v>1829</v>
      </c>
      <c r="E13" s="18" t="s">
        <v>1342</v>
      </c>
      <c r="F13" s="18" t="s">
        <v>1830</v>
      </c>
      <c r="G13" s="18" t="s">
        <v>1831</v>
      </c>
      <c r="H13" s="18" t="s">
        <v>356</v>
      </c>
      <c r="I13" s="18" t="s">
        <v>965</v>
      </c>
      <c r="J13" s="18" t="s">
        <v>30</v>
      </c>
      <c r="K13" s="18" t="s">
        <v>30</v>
      </c>
      <c r="L13" s="20" t="s">
        <v>362</v>
      </c>
      <c r="M13" s="18" t="s">
        <v>31</v>
      </c>
      <c r="N13" s="20" t="s">
        <v>480</v>
      </c>
      <c r="O13" s="20" t="s">
        <v>155</v>
      </c>
      <c r="P13" s="18" t="s">
        <v>34</v>
      </c>
      <c r="Q13" s="154">
        <v>12160</v>
      </c>
      <c r="R13" s="176">
        <v>1</v>
      </c>
      <c r="S13" s="177">
        <v>5176</v>
      </c>
      <c r="T13" s="20"/>
      <c r="U13" s="154">
        <v>629.40200000000004</v>
      </c>
      <c r="V13" s="178">
        <v>1.2E-4</v>
      </c>
      <c r="W13" s="178">
        <v>1.2657151734803499E-2</v>
      </c>
      <c r="X13" s="178">
        <v>1.52792723150257E-3</v>
      </c>
    </row>
    <row r="14" spans="1:24">
      <c r="A14" s="18">
        <v>1182</v>
      </c>
      <c r="B14" s="18">
        <v>1182</v>
      </c>
      <c r="C14" s="18" t="s">
        <v>1832</v>
      </c>
      <c r="D14" s="18" t="s">
        <v>1833</v>
      </c>
      <c r="E14" s="18" t="s">
        <v>1342</v>
      </c>
      <c r="F14" s="18" t="s">
        <v>1834</v>
      </c>
      <c r="G14" s="18" t="s">
        <v>1835</v>
      </c>
      <c r="H14" s="18" t="s">
        <v>356</v>
      </c>
      <c r="I14" s="18" t="s">
        <v>965</v>
      </c>
      <c r="J14" s="18" t="s">
        <v>30</v>
      </c>
      <c r="K14" s="18" t="s">
        <v>98</v>
      </c>
      <c r="L14" s="20" t="s">
        <v>362</v>
      </c>
      <c r="M14" s="18" t="s">
        <v>31</v>
      </c>
      <c r="N14" s="20" t="s">
        <v>498</v>
      </c>
      <c r="O14" s="20" t="s">
        <v>155</v>
      </c>
      <c r="P14" s="18" t="s">
        <v>34</v>
      </c>
      <c r="Q14" s="154">
        <v>9400</v>
      </c>
      <c r="R14" s="176">
        <v>1</v>
      </c>
      <c r="S14" s="177">
        <v>843.5</v>
      </c>
      <c r="T14" s="20"/>
      <c r="U14" s="154">
        <v>79.289000000000001</v>
      </c>
      <c r="V14" s="178">
        <v>1.7000000000000001E-4</v>
      </c>
      <c r="W14" s="178">
        <v>1.59448737324601E-3</v>
      </c>
      <c r="X14" s="178">
        <v>1.92480956925764E-4</v>
      </c>
    </row>
    <row r="15" spans="1:24">
      <c r="A15" s="18">
        <v>1182</v>
      </c>
      <c r="B15" s="18">
        <v>1182</v>
      </c>
      <c r="C15" s="18" t="s">
        <v>1836</v>
      </c>
      <c r="D15" s="18" t="s">
        <v>1837</v>
      </c>
      <c r="E15" s="18" t="s">
        <v>1342</v>
      </c>
      <c r="F15" s="18" t="s">
        <v>1838</v>
      </c>
      <c r="G15" s="18" t="s">
        <v>1839</v>
      </c>
      <c r="H15" s="18" t="s">
        <v>356</v>
      </c>
      <c r="I15" s="18" t="s">
        <v>965</v>
      </c>
      <c r="J15" s="18" t="s">
        <v>30</v>
      </c>
      <c r="K15" s="18" t="s">
        <v>30</v>
      </c>
      <c r="L15" s="20" t="s">
        <v>362</v>
      </c>
      <c r="M15" s="18" t="s">
        <v>31</v>
      </c>
      <c r="N15" s="20" t="s">
        <v>473</v>
      </c>
      <c r="O15" s="20" t="s">
        <v>155</v>
      </c>
      <c r="P15" s="18" t="s">
        <v>34</v>
      </c>
      <c r="Q15" s="154">
        <v>136064</v>
      </c>
      <c r="R15" s="176">
        <v>1</v>
      </c>
      <c r="S15" s="177">
        <v>96.1</v>
      </c>
      <c r="T15" s="20"/>
      <c r="U15" s="154">
        <v>130.75800000000001</v>
      </c>
      <c r="V15" s="178">
        <v>4.3999999999999999E-5</v>
      </c>
      <c r="W15" s="178">
        <v>2.62950963040478E-3</v>
      </c>
      <c r="X15" s="178">
        <v>3.1742523546954098E-4</v>
      </c>
    </row>
    <row r="16" spans="1:24">
      <c r="A16" s="18">
        <v>1182</v>
      </c>
      <c r="B16" s="18">
        <v>1182</v>
      </c>
      <c r="C16" s="18" t="s">
        <v>1840</v>
      </c>
      <c r="D16" s="18" t="s">
        <v>1841</v>
      </c>
      <c r="E16" s="18" t="s">
        <v>1342</v>
      </c>
      <c r="F16" s="18" t="s">
        <v>1842</v>
      </c>
      <c r="G16" s="18" t="s">
        <v>1843</v>
      </c>
      <c r="H16" s="18" t="s">
        <v>356</v>
      </c>
      <c r="I16" s="18" t="s">
        <v>965</v>
      </c>
      <c r="J16" s="18" t="s">
        <v>30</v>
      </c>
      <c r="K16" s="18" t="s">
        <v>30</v>
      </c>
      <c r="L16" s="20" t="s">
        <v>362</v>
      </c>
      <c r="M16" s="18" t="s">
        <v>31</v>
      </c>
      <c r="N16" s="20" t="s">
        <v>518</v>
      </c>
      <c r="O16" s="20" t="s">
        <v>155</v>
      </c>
      <c r="P16" s="18" t="s">
        <v>34</v>
      </c>
      <c r="Q16" s="154">
        <v>156937</v>
      </c>
      <c r="R16" s="176">
        <v>1</v>
      </c>
      <c r="S16" s="177">
        <v>428.6</v>
      </c>
      <c r="T16" s="153">
        <v>23.076000000000001</v>
      </c>
      <c r="U16" s="154">
        <v>695.70799999999997</v>
      </c>
      <c r="V16" s="178">
        <v>5.7000000000000003E-5</v>
      </c>
      <c r="W16" s="178">
        <v>1.39905569986756E-2</v>
      </c>
      <c r="X16" s="178">
        <v>1.6888912663807201E-3</v>
      </c>
    </row>
    <row r="17" spans="1:24">
      <c r="A17" s="18">
        <v>1182</v>
      </c>
      <c r="B17" s="18">
        <v>1182</v>
      </c>
      <c r="C17" s="18" t="s">
        <v>1844</v>
      </c>
      <c r="D17" s="18" t="s">
        <v>1845</v>
      </c>
      <c r="E17" s="18" t="s">
        <v>1342</v>
      </c>
      <c r="F17" s="18" t="s">
        <v>1846</v>
      </c>
      <c r="G17" s="18" t="s">
        <v>1847</v>
      </c>
      <c r="H17" s="18" t="s">
        <v>356</v>
      </c>
      <c r="I17" s="18" t="s">
        <v>965</v>
      </c>
      <c r="J17" s="18" t="s">
        <v>30</v>
      </c>
      <c r="K17" s="18" t="s">
        <v>30</v>
      </c>
      <c r="L17" s="20" t="s">
        <v>362</v>
      </c>
      <c r="M17" s="18" t="s">
        <v>31</v>
      </c>
      <c r="N17" s="20" t="s">
        <v>497</v>
      </c>
      <c r="O17" s="20" t="s">
        <v>155</v>
      </c>
      <c r="P17" s="18" t="s">
        <v>34</v>
      </c>
      <c r="Q17" s="154">
        <v>1178.76</v>
      </c>
      <c r="R17" s="176">
        <v>1</v>
      </c>
      <c r="S17" s="177">
        <v>41490</v>
      </c>
      <c r="T17" s="20"/>
      <c r="U17" s="154">
        <v>489.06799999999998</v>
      </c>
      <c r="V17" s="178">
        <v>4.8000000000000001E-5</v>
      </c>
      <c r="W17" s="178">
        <v>9.8350589827427507E-3</v>
      </c>
      <c r="X17" s="178">
        <v>1.1872540329785201E-3</v>
      </c>
    </row>
    <row r="18" spans="1:24">
      <c r="A18" s="18">
        <v>1182</v>
      </c>
      <c r="B18" s="18">
        <v>1182</v>
      </c>
      <c r="C18" s="18" t="s">
        <v>1848</v>
      </c>
      <c r="D18" s="18" t="s">
        <v>1849</v>
      </c>
      <c r="E18" s="18" t="s">
        <v>1342</v>
      </c>
      <c r="F18" s="18" t="s">
        <v>1850</v>
      </c>
      <c r="G18" s="18" t="s">
        <v>1851</v>
      </c>
      <c r="H18" s="18" t="s">
        <v>356</v>
      </c>
      <c r="I18" s="18" t="s">
        <v>965</v>
      </c>
      <c r="J18" s="18" t="s">
        <v>30</v>
      </c>
      <c r="K18" s="18" t="s">
        <v>30</v>
      </c>
      <c r="L18" s="20" t="s">
        <v>362</v>
      </c>
      <c r="M18" s="18" t="s">
        <v>31</v>
      </c>
      <c r="N18" s="20" t="s">
        <v>481</v>
      </c>
      <c r="O18" s="20" t="s">
        <v>155</v>
      </c>
      <c r="P18" s="18" t="s">
        <v>34</v>
      </c>
      <c r="Q18" s="154">
        <v>501</v>
      </c>
      <c r="R18" s="176">
        <v>1</v>
      </c>
      <c r="S18" s="177">
        <v>15410</v>
      </c>
      <c r="T18" s="20"/>
      <c r="U18" s="154">
        <v>77.203999999999994</v>
      </c>
      <c r="V18" s="178">
        <v>5.0000000000000004E-6</v>
      </c>
      <c r="W18" s="178">
        <v>1.5525604133337801E-3</v>
      </c>
      <c r="X18" s="178">
        <v>1.8741968049278501E-4</v>
      </c>
    </row>
    <row r="19" spans="1:24">
      <c r="A19" s="18">
        <v>1182</v>
      </c>
      <c r="B19" s="18">
        <v>1182</v>
      </c>
      <c r="C19" s="18" t="s">
        <v>1852</v>
      </c>
      <c r="D19" s="18" t="s">
        <v>1853</v>
      </c>
      <c r="E19" s="18" t="s">
        <v>1342</v>
      </c>
      <c r="F19" s="18" t="s">
        <v>1854</v>
      </c>
      <c r="G19" s="18" t="s">
        <v>1855</v>
      </c>
      <c r="H19" s="18" t="s">
        <v>356</v>
      </c>
      <c r="I19" s="18" t="s">
        <v>965</v>
      </c>
      <c r="J19" s="18" t="s">
        <v>30</v>
      </c>
      <c r="K19" s="18" t="s">
        <v>30</v>
      </c>
      <c r="L19" s="20" t="s">
        <v>362</v>
      </c>
      <c r="M19" s="18" t="s">
        <v>31</v>
      </c>
      <c r="N19" s="20" t="s">
        <v>497</v>
      </c>
      <c r="O19" s="20" t="s">
        <v>155</v>
      </c>
      <c r="P19" s="18" t="s">
        <v>34</v>
      </c>
      <c r="Q19" s="154">
        <v>6000</v>
      </c>
      <c r="R19" s="176">
        <v>1</v>
      </c>
      <c r="S19" s="177">
        <v>2028</v>
      </c>
      <c r="T19" s="20"/>
      <c r="U19" s="154">
        <v>121.68</v>
      </c>
      <c r="V19" s="178">
        <v>3.3399999999999999E-4</v>
      </c>
      <c r="W19" s="178">
        <v>2.4469626754855599E-3</v>
      </c>
      <c r="X19" s="178">
        <v>2.9538880347497102E-4</v>
      </c>
    </row>
    <row r="20" spans="1:24">
      <c r="A20" s="4">
        <v>1182</v>
      </c>
      <c r="B20" s="4">
        <v>1182</v>
      </c>
      <c r="C20" s="4" t="s">
        <v>1856</v>
      </c>
      <c r="D20" s="4" t="s">
        <v>1857</v>
      </c>
      <c r="E20" s="18" t="s">
        <v>1342</v>
      </c>
      <c r="F20" s="4" t="s">
        <v>1858</v>
      </c>
      <c r="G20" s="4" t="s">
        <v>1859</v>
      </c>
      <c r="H20" s="18" t="s">
        <v>356</v>
      </c>
      <c r="I20" s="4" t="s">
        <v>965</v>
      </c>
      <c r="J20" s="4" t="s">
        <v>30</v>
      </c>
      <c r="K20" s="18" t="s">
        <v>30</v>
      </c>
      <c r="L20" s="20" t="s">
        <v>362</v>
      </c>
      <c r="M20" s="18" t="s">
        <v>31</v>
      </c>
      <c r="N20" s="20" t="s">
        <v>481</v>
      </c>
      <c r="O20" s="4" t="s">
        <v>155</v>
      </c>
      <c r="P20" s="4" t="s">
        <v>34</v>
      </c>
      <c r="Q20" s="152">
        <v>52079</v>
      </c>
      <c r="R20" s="167">
        <v>1</v>
      </c>
      <c r="S20" s="169">
        <v>2085</v>
      </c>
      <c r="U20" s="152">
        <v>1085.847</v>
      </c>
      <c r="V20" s="166">
        <v>4.1999999999999998E-5</v>
      </c>
      <c r="W20" s="166">
        <v>2.1836188751909701E-2</v>
      </c>
      <c r="X20" s="166">
        <v>2.6359885798422698E-3</v>
      </c>
    </row>
    <row r="21" spans="1:24">
      <c r="A21" s="4">
        <v>1182</v>
      </c>
      <c r="B21" s="4">
        <v>1182</v>
      </c>
      <c r="C21" s="4" t="s">
        <v>1860</v>
      </c>
      <c r="D21" s="4" t="s">
        <v>1861</v>
      </c>
      <c r="E21" s="4" t="s">
        <v>1342</v>
      </c>
      <c r="F21" s="4" t="s">
        <v>1862</v>
      </c>
      <c r="G21" s="4" t="s">
        <v>1863</v>
      </c>
      <c r="H21" s="4" t="s">
        <v>356</v>
      </c>
      <c r="I21" s="4" t="s">
        <v>965</v>
      </c>
      <c r="J21" s="4" t="s">
        <v>30</v>
      </c>
      <c r="K21" s="4" t="s">
        <v>30</v>
      </c>
      <c r="L21" s="2" t="s">
        <v>362</v>
      </c>
      <c r="M21" s="4" t="s">
        <v>31</v>
      </c>
      <c r="N21" s="20" t="s">
        <v>470</v>
      </c>
      <c r="O21" s="4" t="s">
        <v>155</v>
      </c>
      <c r="P21" s="4" t="s">
        <v>34</v>
      </c>
      <c r="Q21" s="152">
        <v>4338</v>
      </c>
      <c r="R21" s="167">
        <v>1</v>
      </c>
      <c r="S21" s="169">
        <v>16850</v>
      </c>
      <c r="U21" s="152">
        <v>730.95299999999997</v>
      </c>
      <c r="V21" s="166">
        <v>1.6699999999999999E-4</v>
      </c>
      <c r="W21" s="166">
        <v>1.46993319241798E-2</v>
      </c>
      <c r="X21" s="166">
        <v>1.7744521044250499E-3</v>
      </c>
    </row>
    <row r="22" spans="1:24">
      <c r="A22" s="4">
        <v>1182</v>
      </c>
      <c r="B22" s="4">
        <v>1182</v>
      </c>
      <c r="C22" s="4" t="s">
        <v>1864</v>
      </c>
      <c r="D22" s="4" t="s">
        <v>1865</v>
      </c>
      <c r="E22" s="4" t="s">
        <v>1342</v>
      </c>
      <c r="F22" s="4" t="s">
        <v>1866</v>
      </c>
      <c r="G22" s="4" t="s">
        <v>1867</v>
      </c>
      <c r="H22" s="4" t="s">
        <v>356</v>
      </c>
      <c r="I22" s="4" t="s">
        <v>965</v>
      </c>
      <c r="J22" s="4" t="s">
        <v>30</v>
      </c>
      <c r="K22" s="4" t="s">
        <v>30</v>
      </c>
      <c r="L22" s="2" t="s">
        <v>362</v>
      </c>
      <c r="M22" s="4" t="s">
        <v>31</v>
      </c>
      <c r="N22" s="4" t="s">
        <v>478</v>
      </c>
      <c r="O22" s="4" t="s">
        <v>155</v>
      </c>
      <c r="P22" s="4" t="s">
        <v>34</v>
      </c>
      <c r="Q22" s="152">
        <v>15658</v>
      </c>
      <c r="R22" s="167">
        <v>1</v>
      </c>
      <c r="S22" s="169">
        <v>4200</v>
      </c>
      <c r="U22" s="152">
        <v>657.63599999999997</v>
      </c>
      <c r="V22" s="166">
        <v>6.2000000000000003E-5</v>
      </c>
      <c r="W22" s="166">
        <v>1.3224940385072499E-2</v>
      </c>
      <c r="X22" s="166">
        <v>1.5964686979130999E-3</v>
      </c>
    </row>
    <row r="23" spans="1:24">
      <c r="A23" s="4">
        <v>1182</v>
      </c>
      <c r="B23" s="4">
        <v>1182</v>
      </c>
      <c r="C23" s="4" t="s">
        <v>1868</v>
      </c>
      <c r="D23" s="4" t="s">
        <v>1869</v>
      </c>
      <c r="E23" s="4" t="s">
        <v>1342</v>
      </c>
      <c r="F23" s="4" t="s">
        <v>1870</v>
      </c>
      <c r="G23" s="4" t="s">
        <v>1871</v>
      </c>
      <c r="H23" s="4" t="s">
        <v>356</v>
      </c>
      <c r="I23" s="4" t="s">
        <v>965</v>
      </c>
      <c r="J23" s="4" t="s">
        <v>30</v>
      </c>
      <c r="K23" s="4" t="s">
        <v>30</v>
      </c>
      <c r="L23" s="2" t="s">
        <v>362</v>
      </c>
      <c r="M23" s="2" t="s">
        <v>31</v>
      </c>
      <c r="N23" s="4" t="s">
        <v>484</v>
      </c>
      <c r="O23" s="4" t="s">
        <v>155</v>
      </c>
      <c r="P23" s="4" t="s">
        <v>34</v>
      </c>
      <c r="Q23" s="152">
        <v>190</v>
      </c>
      <c r="R23" s="167">
        <v>1</v>
      </c>
      <c r="S23" s="169">
        <v>81100</v>
      </c>
      <c r="U23" s="152">
        <v>154.09</v>
      </c>
      <c r="V23" s="166">
        <v>2.5000000000000001E-5</v>
      </c>
      <c r="W23" s="166">
        <v>3.0987218825244099E-3</v>
      </c>
      <c r="X23" s="166">
        <v>3.7406690275688898E-4</v>
      </c>
    </row>
    <row r="24" spans="1:24">
      <c r="A24" s="4">
        <v>1182</v>
      </c>
      <c r="B24" s="4">
        <v>1182</v>
      </c>
      <c r="C24" s="4" t="s">
        <v>1872</v>
      </c>
      <c r="D24" s="4" t="s">
        <v>1873</v>
      </c>
      <c r="E24" s="4" t="s">
        <v>1342</v>
      </c>
      <c r="F24" s="4" t="s">
        <v>1874</v>
      </c>
      <c r="G24" s="4" t="s">
        <v>1875</v>
      </c>
      <c r="H24" s="4" t="s">
        <v>356</v>
      </c>
      <c r="I24" s="4" t="s">
        <v>965</v>
      </c>
      <c r="J24" s="4" t="s">
        <v>30</v>
      </c>
      <c r="K24" s="4" t="s">
        <v>30</v>
      </c>
      <c r="L24" s="2" t="s">
        <v>362</v>
      </c>
      <c r="M24" s="2" t="s">
        <v>31</v>
      </c>
      <c r="N24" s="4" t="s">
        <v>510</v>
      </c>
      <c r="O24" s="4" t="s">
        <v>155</v>
      </c>
      <c r="P24" s="4" t="s">
        <v>34</v>
      </c>
      <c r="Q24" s="152">
        <v>1406</v>
      </c>
      <c r="R24" s="167">
        <v>1</v>
      </c>
      <c r="S24" s="169">
        <v>19560</v>
      </c>
      <c r="U24" s="152">
        <v>275.01400000000001</v>
      </c>
      <c r="V24" s="166">
        <v>6.0999999999999999E-5</v>
      </c>
      <c r="W24" s="166">
        <v>5.5304734915426999E-3</v>
      </c>
      <c r="X24" s="166">
        <v>6.6761947931742499E-4</v>
      </c>
    </row>
    <row r="25" spans="1:24">
      <c r="A25" s="4">
        <v>1182</v>
      </c>
      <c r="B25" s="4">
        <v>1182</v>
      </c>
      <c r="C25" s="4" t="s">
        <v>1876</v>
      </c>
      <c r="D25" s="4" t="s">
        <v>1877</v>
      </c>
      <c r="E25" s="4" t="s">
        <v>1342</v>
      </c>
      <c r="F25" s="4" t="s">
        <v>1878</v>
      </c>
      <c r="G25" s="4" t="s">
        <v>1879</v>
      </c>
      <c r="H25" s="4" t="s">
        <v>356</v>
      </c>
      <c r="I25" s="4" t="s">
        <v>965</v>
      </c>
      <c r="J25" s="4" t="s">
        <v>30</v>
      </c>
      <c r="K25" s="4" t="s">
        <v>30</v>
      </c>
      <c r="L25" s="2" t="s">
        <v>362</v>
      </c>
      <c r="M25" s="2" t="s">
        <v>31</v>
      </c>
      <c r="N25" s="4" t="s">
        <v>518</v>
      </c>
      <c r="O25" s="4" t="s">
        <v>155</v>
      </c>
      <c r="P25" s="4" t="s">
        <v>34</v>
      </c>
      <c r="Q25" s="152">
        <v>15254</v>
      </c>
      <c r="R25" s="167">
        <v>1</v>
      </c>
      <c r="S25" s="169">
        <v>29.8</v>
      </c>
      <c r="U25" s="152">
        <v>4.5460000000000003</v>
      </c>
      <c r="V25" s="166">
        <v>4.8099999999999998E-4</v>
      </c>
      <c r="W25" s="166">
        <v>9.1413039597742403E-5</v>
      </c>
      <c r="X25" s="166">
        <v>1.10350634520525E-5</v>
      </c>
    </row>
    <row r="26" spans="1:24">
      <c r="A26" s="4">
        <v>1182</v>
      </c>
      <c r="B26" s="4">
        <v>1182</v>
      </c>
      <c r="C26" s="4" t="s">
        <v>1880</v>
      </c>
      <c r="D26" s="4" t="s">
        <v>1881</v>
      </c>
      <c r="E26" s="4" t="s">
        <v>1342</v>
      </c>
      <c r="F26" s="4" t="s">
        <v>1882</v>
      </c>
      <c r="G26" s="4" t="s">
        <v>1883</v>
      </c>
      <c r="H26" s="4" t="s">
        <v>356</v>
      </c>
      <c r="I26" s="4" t="s">
        <v>965</v>
      </c>
      <c r="J26" s="4" t="s">
        <v>30</v>
      </c>
      <c r="K26" s="4" t="s">
        <v>334</v>
      </c>
      <c r="L26" s="2" t="s">
        <v>362</v>
      </c>
      <c r="M26" s="2" t="s">
        <v>31</v>
      </c>
      <c r="N26" s="4" t="s">
        <v>491</v>
      </c>
      <c r="O26" s="4" t="s">
        <v>155</v>
      </c>
      <c r="P26" s="4" t="s">
        <v>34</v>
      </c>
      <c r="Q26" s="152">
        <v>263</v>
      </c>
      <c r="R26" s="167">
        <v>1</v>
      </c>
      <c r="S26" s="169">
        <v>16470</v>
      </c>
      <c r="U26" s="152">
        <v>43.316000000000003</v>
      </c>
      <c r="V26" s="166">
        <v>1.9999999999999999E-6</v>
      </c>
      <c r="W26" s="166">
        <v>8.7107889503287297E-4</v>
      </c>
      <c r="X26" s="166">
        <v>1.05153607414548E-4</v>
      </c>
    </row>
    <row r="27" spans="1:24">
      <c r="A27" s="4">
        <v>1182</v>
      </c>
      <c r="B27" s="4">
        <v>1182</v>
      </c>
      <c r="C27" s="4" t="s">
        <v>1884</v>
      </c>
      <c r="D27" s="4" t="s">
        <v>1885</v>
      </c>
      <c r="E27" s="4" t="s">
        <v>1342</v>
      </c>
      <c r="F27" s="4" t="s">
        <v>1886</v>
      </c>
      <c r="G27" s="4" t="s">
        <v>1887</v>
      </c>
      <c r="H27" s="4" t="s">
        <v>356</v>
      </c>
      <c r="I27" s="4" t="s">
        <v>965</v>
      </c>
      <c r="J27" s="4" t="s">
        <v>30</v>
      </c>
      <c r="K27" s="4" t="s">
        <v>98</v>
      </c>
      <c r="L27" s="2" t="s">
        <v>362</v>
      </c>
      <c r="M27" s="2" t="s">
        <v>31</v>
      </c>
      <c r="N27" s="4" t="s">
        <v>500</v>
      </c>
      <c r="O27" s="4" t="s">
        <v>155</v>
      </c>
      <c r="P27" s="4" t="s">
        <v>34</v>
      </c>
      <c r="Q27" s="152">
        <v>12347</v>
      </c>
      <c r="R27" s="167">
        <v>1</v>
      </c>
      <c r="S27" s="169">
        <v>6629</v>
      </c>
      <c r="U27" s="152">
        <v>818.48299999999995</v>
      </c>
      <c r="V27" s="166">
        <v>1.1E-5</v>
      </c>
      <c r="W27" s="166">
        <v>1.6459536868370001E-2</v>
      </c>
      <c r="X27" s="166">
        <v>1.9869379087832598E-3</v>
      </c>
    </row>
    <row r="28" spans="1:24">
      <c r="A28" s="4">
        <v>1182</v>
      </c>
      <c r="B28" s="4">
        <v>1182</v>
      </c>
      <c r="C28" s="4" t="s">
        <v>1888</v>
      </c>
      <c r="D28" s="4" t="s">
        <v>1889</v>
      </c>
      <c r="E28" s="4" t="s">
        <v>1342</v>
      </c>
      <c r="F28" s="4" t="s">
        <v>1890</v>
      </c>
      <c r="G28" s="4" t="s">
        <v>1891</v>
      </c>
      <c r="H28" s="4" t="s">
        <v>356</v>
      </c>
      <c r="I28" s="4" t="s">
        <v>965</v>
      </c>
      <c r="J28" s="4" t="s">
        <v>30</v>
      </c>
      <c r="K28" s="4" t="s">
        <v>30</v>
      </c>
      <c r="L28" s="2" t="s">
        <v>362</v>
      </c>
      <c r="M28" s="2" t="s">
        <v>31</v>
      </c>
      <c r="N28" s="4" t="s">
        <v>509</v>
      </c>
      <c r="O28" s="4" t="s">
        <v>155</v>
      </c>
      <c r="P28" s="4" t="s">
        <v>34</v>
      </c>
      <c r="Q28" s="152">
        <v>57152</v>
      </c>
      <c r="R28" s="167">
        <v>1</v>
      </c>
      <c r="S28" s="169">
        <v>598</v>
      </c>
      <c r="U28" s="152">
        <v>341.76900000000001</v>
      </c>
      <c r="V28" s="166">
        <v>5.3700000000000004E-4</v>
      </c>
      <c r="W28" s="166">
        <v>6.8729116433227898E-3</v>
      </c>
      <c r="X28" s="166">
        <v>8.2967393293298202E-4</v>
      </c>
    </row>
    <row r="29" spans="1:24">
      <c r="A29" s="4">
        <v>1182</v>
      </c>
      <c r="B29" s="4">
        <v>1182</v>
      </c>
      <c r="C29" s="4" t="s">
        <v>1892</v>
      </c>
      <c r="D29" s="4" t="s">
        <v>1893</v>
      </c>
      <c r="E29" s="4" t="s">
        <v>1342</v>
      </c>
      <c r="F29" s="4" t="s">
        <v>1894</v>
      </c>
      <c r="G29" s="4" t="s">
        <v>1895</v>
      </c>
      <c r="H29" s="4" t="s">
        <v>356</v>
      </c>
      <c r="I29" s="4" t="s">
        <v>965</v>
      </c>
      <c r="J29" s="4" t="s">
        <v>30</v>
      </c>
      <c r="K29" s="4" t="s">
        <v>30</v>
      </c>
      <c r="L29" s="2" t="s">
        <v>362</v>
      </c>
      <c r="M29" s="2" t="s">
        <v>31</v>
      </c>
      <c r="N29" s="4" t="s">
        <v>512</v>
      </c>
      <c r="O29" s="4" t="s">
        <v>155</v>
      </c>
      <c r="P29" s="4" t="s">
        <v>34</v>
      </c>
      <c r="Q29" s="152">
        <v>111878</v>
      </c>
      <c r="R29" s="167">
        <v>1</v>
      </c>
      <c r="S29" s="169">
        <v>1373</v>
      </c>
      <c r="U29" s="152">
        <v>1536.085</v>
      </c>
      <c r="V29" s="166">
        <v>5.5800000000000001E-4</v>
      </c>
      <c r="W29" s="166">
        <v>3.0890388844144301E-2</v>
      </c>
      <c r="X29" s="166">
        <v>3.7289800498234902E-3</v>
      </c>
    </row>
    <row r="30" spans="1:24">
      <c r="A30" s="4">
        <v>1182</v>
      </c>
      <c r="B30" s="4">
        <v>1182</v>
      </c>
      <c r="C30" s="4" t="s">
        <v>1896</v>
      </c>
      <c r="D30" s="4" t="s">
        <v>1897</v>
      </c>
      <c r="E30" s="4" t="s">
        <v>1342</v>
      </c>
      <c r="F30" s="4" t="s">
        <v>1898</v>
      </c>
      <c r="G30" s="4" t="s">
        <v>1899</v>
      </c>
      <c r="H30" s="4" t="s">
        <v>356</v>
      </c>
      <c r="I30" s="4" t="s">
        <v>965</v>
      </c>
      <c r="J30" s="4" t="s">
        <v>30</v>
      </c>
      <c r="K30" s="4" t="s">
        <v>30</v>
      </c>
      <c r="L30" s="2" t="s">
        <v>362</v>
      </c>
      <c r="M30" s="2" t="s">
        <v>31</v>
      </c>
      <c r="N30" s="4" t="s">
        <v>478</v>
      </c>
      <c r="O30" s="4" t="s">
        <v>155</v>
      </c>
      <c r="P30" s="4" t="s">
        <v>34</v>
      </c>
      <c r="Q30" s="152">
        <v>11533</v>
      </c>
      <c r="R30" s="167">
        <v>1</v>
      </c>
      <c r="S30" s="169">
        <v>6329</v>
      </c>
      <c r="U30" s="152">
        <v>729.92399999999998</v>
      </c>
      <c r="V30" s="166">
        <v>1.46E-4</v>
      </c>
      <c r="W30" s="166">
        <v>1.46786302740563E-2</v>
      </c>
      <c r="X30" s="166">
        <v>1.77195307339316E-3</v>
      </c>
    </row>
    <row r="31" spans="1:24">
      <c r="A31" s="4">
        <v>1182</v>
      </c>
      <c r="B31" s="4">
        <v>1182</v>
      </c>
      <c r="C31" s="4" t="s">
        <v>1212</v>
      </c>
      <c r="D31" s="4" t="s">
        <v>1900</v>
      </c>
      <c r="E31" s="4" t="s">
        <v>1342</v>
      </c>
      <c r="F31" s="4" t="s">
        <v>1901</v>
      </c>
      <c r="G31" s="4" t="s">
        <v>1902</v>
      </c>
      <c r="H31" s="4" t="s">
        <v>356</v>
      </c>
      <c r="I31" s="4" t="s">
        <v>965</v>
      </c>
      <c r="J31" s="4" t="s">
        <v>30</v>
      </c>
      <c r="K31" s="4" t="s">
        <v>30</v>
      </c>
      <c r="L31" s="2" t="s">
        <v>362</v>
      </c>
      <c r="M31" s="2" t="s">
        <v>31</v>
      </c>
      <c r="N31" s="4" t="s">
        <v>481</v>
      </c>
      <c r="O31" s="4" t="s">
        <v>155</v>
      </c>
      <c r="P31" s="4" t="s">
        <v>34</v>
      </c>
      <c r="Q31" s="152">
        <v>66405</v>
      </c>
      <c r="R31" s="167">
        <v>1</v>
      </c>
      <c r="S31" s="169">
        <v>3644</v>
      </c>
      <c r="U31" s="152">
        <v>2419.7979999999998</v>
      </c>
      <c r="V31" s="166">
        <v>4.3999999999999999E-5</v>
      </c>
      <c r="W31" s="166">
        <v>4.8661701821229003E-2</v>
      </c>
      <c r="X31" s="166">
        <v>5.8742709972788403E-3</v>
      </c>
    </row>
    <row r="32" spans="1:24">
      <c r="A32" s="4">
        <v>1182</v>
      </c>
      <c r="B32" s="4">
        <v>1182</v>
      </c>
      <c r="C32" s="4" t="s">
        <v>1903</v>
      </c>
      <c r="D32" s="4" t="s">
        <v>1904</v>
      </c>
      <c r="E32" s="4" t="s">
        <v>1342</v>
      </c>
      <c r="F32" s="4" t="s">
        <v>1905</v>
      </c>
      <c r="G32" s="4" t="s">
        <v>1906</v>
      </c>
      <c r="H32" s="4" t="s">
        <v>356</v>
      </c>
      <c r="I32" s="4" t="s">
        <v>965</v>
      </c>
      <c r="J32" s="4" t="s">
        <v>30</v>
      </c>
      <c r="K32" s="4" t="s">
        <v>30</v>
      </c>
      <c r="L32" s="2" t="s">
        <v>362</v>
      </c>
      <c r="M32" s="2" t="s">
        <v>31</v>
      </c>
      <c r="N32" s="4" t="s">
        <v>497</v>
      </c>
      <c r="O32" s="4" t="s">
        <v>155</v>
      </c>
      <c r="P32" s="4" t="s">
        <v>34</v>
      </c>
      <c r="Q32" s="152">
        <v>87124</v>
      </c>
      <c r="R32" s="167">
        <v>1</v>
      </c>
      <c r="S32" s="169">
        <v>954</v>
      </c>
      <c r="U32" s="152">
        <v>831.16300000000001</v>
      </c>
      <c r="V32" s="166">
        <v>1.17E-4</v>
      </c>
      <c r="W32" s="166">
        <v>1.67145359990639E-2</v>
      </c>
      <c r="X32" s="166">
        <v>2.0177205148513701E-3</v>
      </c>
    </row>
    <row r="33" spans="1:24">
      <c r="A33" s="4">
        <v>1182</v>
      </c>
      <c r="B33" s="4">
        <v>1182</v>
      </c>
      <c r="C33" s="4" t="s">
        <v>1907</v>
      </c>
      <c r="D33" s="4" t="s">
        <v>1908</v>
      </c>
      <c r="E33" s="4" t="s">
        <v>1342</v>
      </c>
      <c r="F33" s="4" t="s">
        <v>1909</v>
      </c>
      <c r="G33" s="4" t="s">
        <v>1910</v>
      </c>
      <c r="H33" s="4" t="s">
        <v>356</v>
      </c>
      <c r="I33" s="4" t="s">
        <v>965</v>
      </c>
      <c r="J33" s="4" t="s">
        <v>30</v>
      </c>
      <c r="K33" s="4" t="s">
        <v>30</v>
      </c>
      <c r="L33" s="2" t="s">
        <v>362</v>
      </c>
      <c r="M33" s="2" t="s">
        <v>31</v>
      </c>
      <c r="N33" s="4" t="s">
        <v>497</v>
      </c>
      <c r="O33" s="4" t="s">
        <v>155</v>
      </c>
      <c r="P33" s="4" t="s">
        <v>34</v>
      </c>
      <c r="Q33" s="152">
        <v>12893</v>
      </c>
      <c r="R33" s="167">
        <v>1</v>
      </c>
      <c r="S33" s="169">
        <v>768.4</v>
      </c>
      <c r="U33" s="152">
        <v>99.07</v>
      </c>
      <c r="V33" s="166">
        <v>8.6000000000000003E-5</v>
      </c>
      <c r="W33" s="166">
        <v>1.9922759059119899E-3</v>
      </c>
      <c r="X33" s="166">
        <v>2.4050060180120299E-4</v>
      </c>
    </row>
    <row r="34" spans="1:24">
      <c r="A34" s="4">
        <v>1182</v>
      </c>
      <c r="B34" s="4">
        <v>1182</v>
      </c>
      <c r="C34" s="4" t="s">
        <v>1911</v>
      </c>
      <c r="D34" s="4" t="s">
        <v>1912</v>
      </c>
      <c r="E34" s="4" t="s">
        <v>1342</v>
      </c>
      <c r="F34" s="4" t="s">
        <v>1913</v>
      </c>
      <c r="G34" s="4" t="s">
        <v>1914</v>
      </c>
      <c r="H34" s="4" t="s">
        <v>356</v>
      </c>
      <c r="I34" s="4" t="s">
        <v>965</v>
      </c>
      <c r="J34" s="4" t="s">
        <v>30</v>
      </c>
      <c r="K34" s="4" t="s">
        <v>30</v>
      </c>
      <c r="L34" s="2" t="s">
        <v>362</v>
      </c>
      <c r="M34" s="2" t="s">
        <v>31</v>
      </c>
      <c r="N34" s="4" t="s">
        <v>492</v>
      </c>
      <c r="O34" s="4" t="s">
        <v>155</v>
      </c>
      <c r="P34" s="4" t="s">
        <v>34</v>
      </c>
      <c r="Q34" s="152">
        <v>1860</v>
      </c>
      <c r="R34" s="167">
        <v>1</v>
      </c>
      <c r="S34" s="169">
        <v>15960</v>
      </c>
      <c r="U34" s="152">
        <v>296.85599999999999</v>
      </c>
      <c r="V34" s="166">
        <v>5.5400000000000002E-4</v>
      </c>
      <c r="W34" s="166">
        <v>5.9697201840396199E-3</v>
      </c>
      <c r="X34" s="166">
        <v>7.2064380871438201E-4</v>
      </c>
    </row>
    <row r="35" spans="1:24">
      <c r="A35" s="4">
        <v>1182</v>
      </c>
      <c r="B35" s="4">
        <v>1182</v>
      </c>
      <c r="C35" s="4" t="s">
        <v>1915</v>
      </c>
      <c r="D35" s="4" t="s">
        <v>1916</v>
      </c>
      <c r="E35" s="4" t="s">
        <v>1342</v>
      </c>
      <c r="F35" s="4" t="s">
        <v>1917</v>
      </c>
      <c r="G35" s="4" t="s">
        <v>1918</v>
      </c>
      <c r="H35" s="4" t="s">
        <v>356</v>
      </c>
      <c r="I35" s="4" t="s">
        <v>965</v>
      </c>
      <c r="J35" s="4" t="s">
        <v>30</v>
      </c>
      <c r="K35" s="4" t="s">
        <v>30</v>
      </c>
      <c r="L35" s="2" t="s">
        <v>362</v>
      </c>
      <c r="M35" s="2" t="s">
        <v>31</v>
      </c>
      <c r="N35" s="4" t="s">
        <v>510</v>
      </c>
      <c r="O35" s="4" t="s">
        <v>155</v>
      </c>
      <c r="P35" s="4" t="s">
        <v>34</v>
      </c>
      <c r="Q35" s="152">
        <v>3508</v>
      </c>
      <c r="R35" s="167">
        <v>1</v>
      </c>
      <c r="S35" s="169">
        <v>7125</v>
      </c>
      <c r="T35" s="151">
        <v>2.8769999999999998</v>
      </c>
      <c r="U35" s="152">
        <v>252.822</v>
      </c>
      <c r="V35" s="166">
        <v>5.5000000000000002E-5</v>
      </c>
      <c r="W35" s="166">
        <v>5.0841956022192004E-3</v>
      </c>
      <c r="X35" s="166">
        <v>6.1374636835203505E-4</v>
      </c>
    </row>
    <row r="36" spans="1:24">
      <c r="A36" s="4">
        <v>1182</v>
      </c>
      <c r="B36" s="4">
        <v>1182</v>
      </c>
      <c r="C36" s="4" t="s">
        <v>1919</v>
      </c>
      <c r="D36" s="4" t="s">
        <v>1920</v>
      </c>
      <c r="E36" s="4" t="s">
        <v>1342</v>
      </c>
      <c r="F36" s="4" t="s">
        <v>1921</v>
      </c>
      <c r="G36" s="4" t="s">
        <v>1922</v>
      </c>
      <c r="H36" s="4" t="s">
        <v>356</v>
      </c>
      <c r="I36" s="4" t="s">
        <v>965</v>
      </c>
      <c r="J36" s="4" t="s">
        <v>30</v>
      </c>
      <c r="K36" s="4" t="s">
        <v>30</v>
      </c>
      <c r="L36" s="2" t="s">
        <v>362</v>
      </c>
      <c r="M36" s="2" t="s">
        <v>31</v>
      </c>
      <c r="N36" s="4" t="s">
        <v>497</v>
      </c>
      <c r="O36" s="4" t="s">
        <v>155</v>
      </c>
      <c r="P36" s="4" t="s">
        <v>34</v>
      </c>
      <c r="Q36" s="152">
        <v>898.75</v>
      </c>
      <c r="R36" s="167">
        <v>1</v>
      </c>
      <c r="S36" s="169">
        <v>28210</v>
      </c>
      <c r="U36" s="152">
        <v>253.53700000000001</v>
      </c>
      <c r="V36" s="166">
        <v>1.9000000000000001E-5</v>
      </c>
      <c r="W36" s="166">
        <v>5.0985905117158599E-3</v>
      </c>
      <c r="X36" s="166">
        <v>6.1548407164229997E-4</v>
      </c>
    </row>
    <row r="37" spans="1:24">
      <c r="A37" s="4">
        <v>1182</v>
      </c>
      <c r="B37" s="4">
        <v>1182</v>
      </c>
      <c r="C37" s="4" t="s">
        <v>1923</v>
      </c>
      <c r="D37" s="4" t="s">
        <v>1924</v>
      </c>
      <c r="E37" s="4" t="s">
        <v>1342</v>
      </c>
      <c r="F37" s="4" t="s">
        <v>1925</v>
      </c>
      <c r="G37" s="4" t="s">
        <v>1926</v>
      </c>
      <c r="H37" s="4" t="s">
        <v>356</v>
      </c>
      <c r="I37" s="4" t="s">
        <v>965</v>
      </c>
      <c r="J37" s="4" t="s">
        <v>30</v>
      </c>
      <c r="K37" s="4" t="s">
        <v>30</v>
      </c>
      <c r="L37" s="2" t="s">
        <v>362</v>
      </c>
      <c r="M37" s="2" t="s">
        <v>31</v>
      </c>
      <c r="N37" s="4" t="s">
        <v>478</v>
      </c>
      <c r="O37" s="4" t="s">
        <v>155</v>
      </c>
      <c r="P37" s="4" t="s">
        <v>34</v>
      </c>
      <c r="Q37" s="152">
        <v>8659</v>
      </c>
      <c r="R37" s="167">
        <v>1</v>
      </c>
      <c r="S37" s="169">
        <v>10880</v>
      </c>
      <c r="U37" s="152">
        <v>942.09900000000005</v>
      </c>
      <c r="V37" s="166">
        <v>1.3999999999999999E-4</v>
      </c>
      <c r="W37" s="166">
        <v>1.8945443614437899E-2</v>
      </c>
      <c r="X37" s="166">
        <v>2.2870279046903999E-3</v>
      </c>
    </row>
    <row r="38" spans="1:24">
      <c r="A38" s="4">
        <v>1182</v>
      </c>
      <c r="B38" s="4">
        <v>1182</v>
      </c>
      <c r="C38" s="4" t="s">
        <v>1927</v>
      </c>
      <c r="D38" s="4" t="s">
        <v>1483</v>
      </c>
      <c r="E38" s="4" t="s">
        <v>1342</v>
      </c>
      <c r="F38" s="4" t="s">
        <v>1928</v>
      </c>
      <c r="G38" s="4" t="s">
        <v>1929</v>
      </c>
      <c r="H38" s="4" t="s">
        <v>356</v>
      </c>
      <c r="I38" s="4" t="s">
        <v>965</v>
      </c>
      <c r="J38" s="4" t="s">
        <v>30</v>
      </c>
      <c r="K38" s="4" t="s">
        <v>30</v>
      </c>
      <c r="L38" s="2" t="s">
        <v>362</v>
      </c>
      <c r="M38" s="2" t="s">
        <v>31</v>
      </c>
      <c r="N38" s="4" t="s">
        <v>476</v>
      </c>
      <c r="O38" s="4" t="s">
        <v>155</v>
      </c>
      <c r="P38" s="4" t="s">
        <v>34</v>
      </c>
      <c r="Q38" s="152">
        <v>60804</v>
      </c>
      <c r="R38" s="167">
        <v>1</v>
      </c>
      <c r="S38" s="169">
        <v>1350</v>
      </c>
      <c r="U38" s="152">
        <v>820.85400000000004</v>
      </c>
      <c r="V38" s="166">
        <v>1.005E-3</v>
      </c>
      <c r="W38" s="166">
        <v>1.65072246878947E-2</v>
      </c>
      <c r="X38" s="166">
        <v>1.9926946161048999E-3</v>
      </c>
    </row>
    <row r="39" spans="1:24">
      <c r="A39" s="4">
        <v>1182</v>
      </c>
      <c r="B39" s="4">
        <v>1182</v>
      </c>
      <c r="C39" s="4" t="s">
        <v>1930</v>
      </c>
      <c r="D39" s="4" t="s">
        <v>1931</v>
      </c>
      <c r="E39" s="4" t="s">
        <v>1342</v>
      </c>
      <c r="F39" s="4" t="s">
        <v>1932</v>
      </c>
      <c r="G39" s="4" t="s">
        <v>1933</v>
      </c>
      <c r="H39" s="4" t="s">
        <v>356</v>
      </c>
      <c r="I39" s="4" t="s">
        <v>965</v>
      </c>
      <c r="J39" s="4" t="s">
        <v>30</v>
      </c>
      <c r="K39" s="4" t="s">
        <v>30</v>
      </c>
      <c r="L39" s="2" t="s">
        <v>362</v>
      </c>
      <c r="M39" s="2" t="s">
        <v>31</v>
      </c>
      <c r="N39" s="4" t="s">
        <v>509</v>
      </c>
      <c r="O39" s="4" t="s">
        <v>155</v>
      </c>
      <c r="P39" s="4" t="s">
        <v>34</v>
      </c>
      <c r="Q39" s="152">
        <v>47143</v>
      </c>
      <c r="R39" s="167">
        <v>1</v>
      </c>
      <c r="S39" s="169">
        <v>1049</v>
      </c>
      <c r="U39" s="152">
        <v>494.53</v>
      </c>
      <c r="V39" s="166">
        <v>3.3799999999999998E-4</v>
      </c>
      <c r="W39" s="166">
        <v>9.94490978957315E-3</v>
      </c>
      <c r="X39" s="166">
        <v>1.2005148394123399E-3</v>
      </c>
    </row>
    <row r="40" spans="1:24">
      <c r="A40" s="4">
        <v>1182</v>
      </c>
      <c r="B40" s="4">
        <v>1182</v>
      </c>
      <c r="C40" s="4" t="s">
        <v>1934</v>
      </c>
      <c r="D40" s="4" t="s">
        <v>1935</v>
      </c>
      <c r="E40" s="4" t="s">
        <v>348</v>
      </c>
      <c r="F40" s="4" t="s">
        <v>1936</v>
      </c>
      <c r="G40" s="4" t="s">
        <v>1937</v>
      </c>
      <c r="H40" s="4" t="s">
        <v>356</v>
      </c>
      <c r="I40" s="4" t="s">
        <v>965</v>
      </c>
      <c r="J40" s="4" t="s">
        <v>30</v>
      </c>
      <c r="K40" s="4" t="s">
        <v>30</v>
      </c>
      <c r="L40" s="2" t="s">
        <v>362</v>
      </c>
      <c r="M40" s="2" t="s">
        <v>31</v>
      </c>
      <c r="N40" s="4" t="s">
        <v>487</v>
      </c>
      <c r="O40" s="4" t="s">
        <v>155</v>
      </c>
      <c r="P40" s="4" t="s">
        <v>34</v>
      </c>
      <c r="Q40" s="152">
        <v>39086.21</v>
      </c>
      <c r="R40" s="167">
        <v>1</v>
      </c>
      <c r="S40" s="169">
        <v>1025</v>
      </c>
      <c r="U40" s="152">
        <v>400.63400000000001</v>
      </c>
      <c r="V40" s="166">
        <v>3.3000000000000003E-5</v>
      </c>
      <c r="W40" s="166">
        <v>8.0566699064016402E-3</v>
      </c>
      <c r="X40" s="166">
        <v>9.7257310358138003E-4</v>
      </c>
    </row>
    <row r="41" spans="1:24">
      <c r="A41" s="4">
        <v>1182</v>
      </c>
      <c r="B41" s="4">
        <v>1182</v>
      </c>
      <c r="C41" s="4" t="s">
        <v>1938</v>
      </c>
      <c r="D41" s="4" t="s">
        <v>1939</v>
      </c>
      <c r="E41" s="4" t="s">
        <v>1342</v>
      </c>
      <c r="F41" s="4" t="s">
        <v>1940</v>
      </c>
      <c r="G41" s="4" t="s">
        <v>1941</v>
      </c>
      <c r="H41" s="4" t="s">
        <v>356</v>
      </c>
      <c r="I41" s="4" t="s">
        <v>965</v>
      </c>
      <c r="J41" s="4" t="s">
        <v>30</v>
      </c>
      <c r="K41" s="4" t="s">
        <v>98</v>
      </c>
      <c r="L41" s="2" t="s">
        <v>362</v>
      </c>
      <c r="M41" s="2" t="s">
        <v>31</v>
      </c>
      <c r="N41" s="4" t="s">
        <v>514</v>
      </c>
      <c r="O41" s="4" t="s">
        <v>155</v>
      </c>
      <c r="P41" s="4" t="s">
        <v>34</v>
      </c>
      <c r="Q41" s="152">
        <v>1873</v>
      </c>
      <c r="R41" s="167">
        <v>1</v>
      </c>
      <c r="S41" s="169">
        <v>64880</v>
      </c>
      <c r="U41" s="152">
        <v>1215.202</v>
      </c>
      <c r="V41" s="166">
        <v>3.0000000000000001E-5</v>
      </c>
      <c r="W41" s="166">
        <v>2.4437499309339802E-2</v>
      </c>
      <c r="X41" s="166">
        <v>2.9500097215311698E-3</v>
      </c>
    </row>
    <row r="42" spans="1:24">
      <c r="A42" s="4">
        <v>1182</v>
      </c>
      <c r="B42" s="4">
        <v>1182</v>
      </c>
      <c r="C42" s="4" t="s">
        <v>1942</v>
      </c>
      <c r="D42" s="4" t="s">
        <v>1943</v>
      </c>
      <c r="E42" s="4" t="s">
        <v>1342</v>
      </c>
      <c r="F42" s="4" t="s">
        <v>1944</v>
      </c>
      <c r="G42" s="4" t="s">
        <v>1945</v>
      </c>
      <c r="H42" s="4" t="s">
        <v>356</v>
      </c>
      <c r="I42" s="4" t="s">
        <v>965</v>
      </c>
      <c r="J42" s="4" t="s">
        <v>30</v>
      </c>
      <c r="K42" s="4" t="s">
        <v>30</v>
      </c>
      <c r="L42" s="2" t="s">
        <v>362</v>
      </c>
      <c r="M42" s="2" t="s">
        <v>31</v>
      </c>
      <c r="N42" s="4" t="s">
        <v>514</v>
      </c>
      <c r="O42" s="4" t="s">
        <v>155</v>
      </c>
      <c r="P42" s="4" t="s">
        <v>34</v>
      </c>
      <c r="Q42" s="152">
        <v>5600</v>
      </c>
      <c r="R42" s="167">
        <v>1</v>
      </c>
      <c r="S42" s="169">
        <v>48</v>
      </c>
      <c r="U42" s="152">
        <v>2.6880000000000002</v>
      </c>
      <c r="V42" s="166">
        <v>3.8000000000000002E-5</v>
      </c>
      <c r="W42" s="166">
        <v>5.4055191253329901E-5</v>
      </c>
      <c r="X42" s="166">
        <v>6.5253542385003496E-6</v>
      </c>
    </row>
    <row r="43" spans="1:24">
      <c r="A43" s="4">
        <v>1182</v>
      </c>
      <c r="B43" s="4">
        <v>1182</v>
      </c>
      <c r="C43" s="4" t="s">
        <v>1946</v>
      </c>
      <c r="D43" s="4" t="s">
        <v>1947</v>
      </c>
      <c r="E43" s="4" t="s">
        <v>1342</v>
      </c>
      <c r="F43" s="4" t="s">
        <v>1948</v>
      </c>
      <c r="G43" s="4" t="s">
        <v>1949</v>
      </c>
      <c r="H43" s="4" t="s">
        <v>356</v>
      </c>
      <c r="I43" s="4" t="s">
        <v>965</v>
      </c>
      <c r="J43" s="4" t="s">
        <v>30</v>
      </c>
      <c r="K43" s="4" t="s">
        <v>30</v>
      </c>
      <c r="L43" s="2" t="s">
        <v>362</v>
      </c>
      <c r="M43" s="2" t="s">
        <v>31</v>
      </c>
      <c r="N43" s="4" t="s">
        <v>518</v>
      </c>
      <c r="O43" s="4" t="s">
        <v>155</v>
      </c>
      <c r="P43" s="4" t="s">
        <v>34</v>
      </c>
      <c r="Q43" s="152">
        <v>17338</v>
      </c>
      <c r="R43" s="167">
        <v>1</v>
      </c>
      <c r="S43" s="169">
        <v>1670</v>
      </c>
      <c r="U43" s="152">
        <v>289.54500000000002</v>
      </c>
      <c r="V43" s="166">
        <v>1.05E-4</v>
      </c>
      <c r="W43" s="166">
        <v>5.82268925943784E-3</v>
      </c>
      <c r="X43" s="166">
        <v>7.0289474808217598E-4</v>
      </c>
    </row>
    <row r="44" spans="1:24">
      <c r="A44" s="4">
        <v>1182</v>
      </c>
      <c r="B44" s="4">
        <v>1182</v>
      </c>
      <c r="C44" s="4" t="s">
        <v>1950</v>
      </c>
      <c r="D44" s="4" t="s">
        <v>1951</v>
      </c>
      <c r="E44" s="4" t="s">
        <v>1342</v>
      </c>
      <c r="F44" s="4" t="s">
        <v>1952</v>
      </c>
      <c r="G44" s="4" t="s">
        <v>1953</v>
      </c>
      <c r="H44" s="4" t="s">
        <v>356</v>
      </c>
      <c r="I44" s="4" t="s">
        <v>965</v>
      </c>
      <c r="J44" s="4" t="s">
        <v>30</v>
      </c>
      <c r="K44" s="4" t="s">
        <v>30</v>
      </c>
      <c r="L44" s="2" t="s">
        <v>362</v>
      </c>
      <c r="M44" s="2" t="s">
        <v>31</v>
      </c>
      <c r="N44" s="4" t="s">
        <v>497</v>
      </c>
      <c r="O44" s="4" t="s">
        <v>155</v>
      </c>
      <c r="P44" s="4" t="s">
        <v>34</v>
      </c>
      <c r="Q44" s="152">
        <v>684</v>
      </c>
      <c r="R44" s="167">
        <v>1</v>
      </c>
      <c r="S44" s="169">
        <v>25940</v>
      </c>
      <c r="U44" s="152">
        <v>177.43</v>
      </c>
      <c r="V44" s="166">
        <v>6.0000000000000002E-6</v>
      </c>
      <c r="W44" s="166">
        <v>3.56807699479234E-3</v>
      </c>
      <c r="X44" s="166">
        <v>4.30725815623297E-4</v>
      </c>
    </row>
    <row r="45" spans="1:24">
      <c r="A45" s="4">
        <v>1182</v>
      </c>
      <c r="B45" s="4">
        <v>1182</v>
      </c>
      <c r="C45" s="4" t="s">
        <v>1217</v>
      </c>
      <c r="D45" s="4" t="s">
        <v>1954</v>
      </c>
      <c r="E45" s="4" t="s">
        <v>1342</v>
      </c>
      <c r="F45" s="4" t="s">
        <v>1955</v>
      </c>
      <c r="G45" s="4" t="s">
        <v>1956</v>
      </c>
      <c r="H45" s="4" t="s">
        <v>356</v>
      </c>
      <c r="I45" s="4" t="s">
        <v>965</v>
      </c>
      <c r="J45" s="4" t="s">
        <v>30</v>
      </c>
      <c r="K45" s="4" t="s">
        <v>30</v>
      </c>
      <c r="L45" s="2" t="s">
        <v>362</v>
      </c>
      <c r="M45" s="2" t="s">
        <v>31</v>
      </c>
      <c r="N45" s="4" t="s">
        <v>481</v>
      </c>
      <c r="O45" s="4" t="s">
        <v>155</v>
      </c>
      <c r="P45" s="4" t="s">
        <v>34</v>
      </c>
      <c r="Q45" s="152">
        <v>57490</v>
      </c>
      <c r="R45" s="167">
        <v>1</v>
      </c>
      <c r="S45" s="169">
        <v>3729</v>
      </c>
      <c r="U45" s="152">
        <v>2143.8020000000001</v>
      </c>
      <c r="V45" s="166">
        <v>4.3000000000000002E-5</v>
      </c>
      <c r="W45" s="166">
        <v>4.3111470433329697E-2</v>
      </c>
      <c r="X45" s="166">
        <v>5.2042664135940999E-3</v>
      </c>
    </row>
    <row r="46" spans="1:24">
      <c r="A46" s="4">
        <v>1182</v>
      </c>
      <c r="B46" s="4">
        <v>1182</v>
      </c>
      <c r="C46" s="4" t="s">
        <v>1957</v>
      </c>
      <c r="D46" s="4" t="s">
        <v>1958</v>
      </c>
      <c r="E46" s="4" t="s">
        <v>1342</v>
      </c>
      <c r="F46" s="4" t="s">
        <v>1959</v>
      </c>
      <c r="G46" s="4" t="s">
        <v>1960</v>
      </c>
      <c r="H46" s="4" t="s">
        <v>356</v>
      </c>
      <c r="I46" s="4" t="s">
        <v>965</v>
      </c>
      <c r="J46" s="4" t="s">
        <v>30</v>
      </c>
      <c r="K46" s="4" t="s">
        <v>30</v>
      </c>
      <c r="L46" s="2" t="s">
        <v>362</v>
      </c>
      <c r="M46" s="2" t="s">
        <v>31</v>
      </c>
      <c r="N46" s="4" t="s">
        <v>493</v>
      </c>
      <c r="O46" s="4" t="s">
        <v>155</v>
      </c>
      <c r="P46" s="4" t="s">
        <v>34</v>
      </c>
      <c r="Q46" s="152">
        <v>5600</v>
      </c>
      <c r="R46" s="167">
        <v>1</v>
      </c>
      <c r="S46" s="169">
        <v>402.3</v>
      </c>
      <c r="U46" s="152">
        <v>22.529</v>
      </c>
      <c r="V46" s="166">
        <v>1.12E-4</v>
      </c>
      <c r="W46" s="166">
        <v>4.5305007169197103E-4</v>
      </c>
      <c r="X46" s="166">
        <v>5.4690625211431E-5</v>
      </c>
    </row>
    <row r="47" spans="1:24">
      <c r="A47" s="4">
        <v>1182</v>
      </c>
      <c r="B47" s="4">
        <v>1182</v>
      </c>
      <c r="C47" s="4" t="s">
        <v>1961</v>
      </c>
      <c r="D47" s="4" t="s">
        <v>1962</v>
      </c>
      <c r="E47" s="4" t="s">
        <v>1342</v>
      </c>
      <c r="F47" s="4" t="s">
        <v>1963</v>
      </c>
      <c r="G47" s="4" t="s">
        <v>1964</v>
      </c>
      <c r="H47" s="4" t="s">
        <v>356</v>
      </c>
      <c r="I47" s="4" t="s">
        <v>965</v>
      </c>
      <c r="J47" s="4" t="s">
        <v>30</v>
      </c>
      <c r="K47" s="4" t="s">
        <v>30</v>
      </c>
      <c r="L47" s="2" t="s">
        <v>362</v>
      </c>
      <c r="M47" s="2" t="s">
        <v>31</v>
      </c>
      <c r="N47" s="4" t="s">
        <v>518</v>
      </c>
      <c r="O47" s="4" t="s">
        <v>155</v>
      </c>
      <c r="P47" s="4" t="s">
        <v>34</v>
      </c>
      <c r="Q47" s="152">
        <v>34260</v>
      </c>
      <c r="R47" s="167">
        <v>1</v>
      </c>
      <c r="S47" s="169">
        <v>1606</v>
      </c>
      <c r="U47" s="152">
        <v>550.21600000000001</v>
      </c>
      <c r="V47" s="166">
        <v>1.84E-4</v>
      </c>
      <c r="W47" s="166">
        <v>1.10647356728295E-2</v>
      </c>
      <c r="X47" s="166">
        <v>1.33569631605246E-3</v>
      </c>
    </row>
    <row r="48" spans="1:24">
      <c r="A48" s="4">
        <v>1182</v>
      </c>
      <c r="B48" s="4">
        <v>1182</v>
      </c>
      <c r="C48" s="4" t="s">
        <v>1965</v>
      </c>
      <c r="D48" s="4" t="s">
        <v>1966</v>
      </c>
      <c r="E48" s="4" t="s">
        <v>1342</v>
      </c>
      <c r="F48" s="4" t="s">
        <v>1967</v>
      </c>
      <c r="G48" s="4" t="s">
        <v>1968</v>
      </c>
      <c r="H48" s="4" t="s">
        <v>356</v>
      </c>
      <c r="I48" s="4" t="s">
        <v>965</v>
      </c>
      <c r="J48" s="4" t="s">
        <v>30</v>
      </c>
      <c r="K48" s="4" t="s">
        <v>30</v>
      </c>
      <c r="L48" s="2" t="s">
        <v>362</v>
      </c>
      <c r="M48" s="2" t="s">
        <v>31</v>
      </c>
      <c r="N48" s="4" t="s">
        <v>511</v>
      </c>
      <c r="O48" s="4" t="s">
        <v>155</v>
      </c>
      <c r="P48" s="4" t="s">
        <v>34</v>
      </c>
      <c r="Q48" s="152">
        <v>1068</v>
      </c>
      <c r="R48" s="167">
        <v>1</v>
      </c>
      <c r="S48" s="169">
        <v>4798</v>
      </c>
      <c r="U48" s="152">
        <v>51.243000000000002</v>
      </c>
      <c r="V48" s="166">
        <v>6.5399999999999996E-4</v>
      </c>
      <c r="W48" s="166">
        <v>1.0304801731865799E-3</v>
      </c>
      <c r="X48" s="166">
        <v>1.2439597400146899E-4</v>
      </c>
    </row>
    <row r="49" spans="1:24">
      <c r="A49" s="4">
        <v>1182</v>
      </c>
      <c r="B49" s="4">
        <v>1182</v>
      </c>
      <c r="C49" s="4" t="s">
        <v>1969</v>
      </c>
      <c r="D49" s="4" t="s">
        <v>1970</v>
      </c>
      <c r="E49" s="4" t="s">
        <v>1342</v>
      </c>
      <c r="F49" s="4" t="s">
        <v>1971</v>
      </c>
      <c r="G49" s="4" t="s">
        <v>1972</v>
      </c>
      <c r="H49" s="4" t="s">
        <v>356</v>
      </c>
      <c r="I49" s="4" t="s">
        <v>965</v>
      </c>
      <c r="J49" s="4" t="s">
        <v>30</v>
      </c>
      <c r="K49" s="4" t="s">
        <v>30</v>
      </c>
      <c r="L49" s="2" t="s">
        <v>362</v>
      </c>
      <c r="M49" s="2" t="s">
        <v>31</v>
      </c>
      <c r="N49" s="4" t="s">
        <v>496</v>
      </c>
      <c r="O49" s="4" t="s">
        <v>155</v>
      </c>
      <c r="P49" s="4" t="s">
        <v>34</v>
      </c>
      <c r="Q49" s="152">
        <v>102313</v>
      </c>
      <c r="R49" s="167">
        <v>1</v>
      </c>
      <c r="S49" s="169">
        <v>551.79999999999995</v>
      </c>
      <c r="U49" s="152">
        <v>564.56299999999999</v>
      </c>
      <c r="V49" s="166">
        <v>3.5599999999999998E-4</v>
      </c>
      <c r="W49" s="166">
        <v>1.13532619728234E-2</v>
      </c>
      <c r="X49" s="166">
        <v>1.3705262051145601E-3</v>
      </c>
    </row>
    <row r="50" spans="1:24">
      <c r="A50" s="4">
        <v>1182</v>
      </c>
      <c r="B50" s="4">
        <v>1182</v>
      </c>
      <c r="C50" s="4" t="s">
        <v>1973</v>
      </c>
      <c r="D50" s="4" t="s">
        <v>1974</v>
      </c>
      <c r="E50" s="4" t="s">
        <v>1342</v>
      </c>
      <c r="F50" s="4" t="s">
        <v>1975</v>
      </c>
      <c r="G50" s="4" t="s">
        <v>1976</v>
      </c>
      <c r="H50" s="4" t="s">
        <v>356</v>
      </c>
      <c r="I50" s="4" t="s">
        <v>965</v>
      </c>
      <c r="J50" s="4" t="s">
        <v>30</v>
      </c>
      <c r="K50" s="4" t="s">
        <v>30</v>
      </c>
      <c r="L50" s="2" t="s">
        <v>362</v>
      </c>
      <c r="M50" s="2" t="s">
        <v>31</v>
      </c>
      <c r="N50" s="4" t="s">
        <v>497</v>
      </c>
      <c r="O50" s="4" t="s">
        <v>155</v>
      </c>
      <c r="P50" s="4" t="s">
        <v>34</v>
      </c>
      <c r="Q50" s="152">
        <v>23731</v>
      </c>
      <c r="R50" s="167">
        <v>1</v>
      </c>
      <c r="S50" s="169">
        <v>339.9</v>
      </c>
      <c r="U50" s="152">
        <v>80.662000000000006</v>
      </c>
      <c r="V50" s="166">
        <v>2.5099999999999998E-4</v>
      </c>
      <c r="W50" s="166">
        <v>1.62209149724992E-3</v>
      </c>
      <c r="X50" s="166">
        <v>1.9581323054079699E-4</v>
      </c>
    </row>
    <row r="51" spans="1:24">
      <c r="A51" s="4">
        <v>1182</v>
      </c>
      <c r="B51" s="4">
        <v>1182</v>
      </c>
      <c r="C51" s="4" t="s">
        <v>1977</v>
      </c>
      <c r="D51" s="4" t="s">
        <v>1978</v>
      </c>
      <c r="E51" s="4" t="s">
        <v>1342</v>
      </c>
      <c r="F51" s="4" t="s">
        <v>1979</v>
      </c>
      <c r="G51" s="4" t="s">
        <v>1980</v>
      </c>
      <c r="H51" s="4" t="s">
        <v>356</v>
      </c>
      <c r="I51" s="4" t="s">
        <v>965</v>
      </c>
      <c r="J51" s="4" t="s">
        <v>30</v>
      </c>
      <c r="K51" s="4" t="s">
        <v>30</v>
      </c>
      <c r="L51" s="2" t="s">
        <v>362</v>
      </c>
      <c r="M51" s="2" t="s">
        <v>31</v>
      </c>
      <c r="N51" s="4" t="s">
        <v>492</v>
      </c>
      <c r="O51" s="4" t="s">
        <v>155</v>
      </c>
      <c r="P51" s="4" t="s">
        <v>34</v>
      </c>
      <c r="Q51" s="152">
        <v>10024</v>
      </c>
      <c r="R51" s="167">
        <v>1</v>
      </c>
      <c r="S51" s="169">
        <v>5930</v>
      </c>
      <c r="U51" s="152">
        <v>594.423</v>
      </c>
      <c r="V51" s="166">
        <v>8.6000000000000003E-5</v>
      </c>
      <c r="W51" s="166">
        <v>1.1953742470765E-2</v>
      </c>
      <c r="X51" s="166">
        <v>1.4430141174043699E-3</v>
      </c>
    </row>
    <row r="52" spans="1:24">
      <c r="A52" s="4">
        <v>1182</v>
      </c>
      <c r="B52" s="4">
        <v>1182</v>
      </c>
      <c r="C52" s="4" t="s">
        <v>1981</v>
      </c>
      <c r="D52" s="4" t="s">
        <v>1982</v>
      </c>
      <c r="E52" s="4" t="s">
        <v>1342</v>
      </c>
      <c r="F52" s="4" t="s">
        <v>1983</v>
      </c>
      <c r="G52" s="4" t="s">
        <v>1984</v>
      </c>
      <c r="H52" s="4" t="s">
        <v>356</v>
      </c>
      <c r="I52" s="4" t="s">
        <v>965</v>
      </c>
      <c r="J52" s="4" t="s">
        <v>30</v>
      </c>
      <c r="K52" s="4" t="s">
        <v>30</v>
      </c>
      <c r="L52" s="2" t="s">
        <v>362</v>
      </c>
      <c r="M52" s="2" t="s">
        <v>31</v>
      </c>
      <c r="N52" s="4" t="s">
        <v>496</v>
      </c>
      <c r="O52" s="4" t="s">
        <v>155</v>
      </c>
      <c r="P52" s="4" t="s">
        <v>34</v>
      </c>
      <c r="Q52" s="152">
        <v>23723</v>
      </c>
      <c r="R52" s="167">
        <v>1</v>
      </c>
      <c r="S52" s="169">
        <v>2140</v>
      </c>
      <c r="U52" s="152">
        <v>507.67200000000003</v>
      </c>
      <c r="V52" s="166">
        <v>6.6000000000000005E-5</v>
      </c>
      <c r="W52" s="166">
        <v>1.0209195634300099E-2</v>
      </c>
      <c r="X52" s="166">
        <v>1.23241850522277E-3</v>
      </c>
    </row>
    <row r="53" spans="1:24">
      <c r="A53" s="4">
        <v>1182</v>
      </c>
      <c r="B53" s="4">
        <v>1182</v>
      </c>
      <c r="C53" s="4" t="s">
        <v>1985</v>
      </c>
      <c r="D53" s="4" t="s">
        <v>1986</v>
      </c>
      <c r="E53" s="4" t="s">
        <v>1342</v>
      </c>
      <c r="F53" s="4" t="s">
        <v>1987</v>
      </c>
      <c r="G53" s="4" t="s">
        <v>1988</v>
      </c>
      <c r="H53" s="4" t="s">
        <v>356</v>
      </c>
      <c r="I53" s="4" t="s">
        <v>965</v>
      </c>
      <c r="J53" s="4" t="s">
        <v>30</v>
      </c>
      <c r="K53" s="4" t="s">
        <v>334</v>
      </c>
      <c r="L53" s="2" t="s">
        <v>362</v>
      </c>
      <c r="M53" s="2" t="s">
        <v>31</v>
      </c>
      <c r="N53" s="4" t="s">
        <v>488</v>
      </c>
      <c r="O53" s="4" t="s">
        <v>155</v>
      </c>
      <c r="P53" s="4" t="s">
        <v>34</v>
      </c>
      <c r="Q53" s="152">
        <v>8750</v>
      </c>
      <c r="R53" s="167">
        <v>1</v>
      </c>
      <c r="S53" s="169">
        <v>6800</v>
      </c>
      <c r="U53" s="152">
        <v>595</v>
      </c>
      <c r="V53" s="166">
        <v>8.2000000000000001E-5</v>
      </c>
      <c r="W53" s="166">
        <v>1.19653418138881E-2</v>
      </c>
      <c r="X53" s="166">
        <v>1.4444143496680499E-3</v>
      </c>
    </row>
    <row r="54" spans="1:24">
      <c r="A54" s="4">
        <v>1182</v>
      </c>
      <c r="B54" s="4">
        <v>1182</v>
      </c>
      <c r="C54" s="4" t="s">
        <v>1989</v>
      </c>
      <c r="D54" s="4" t="s">
        <v>1990</v>
      </c>
      <c r="E54" s="4" t="s">
        <v>350</v>
      </c>
      <c r="F54" s="4" t="s">
        <v>1991</v>
      </c>
      <c r="G54" s="4" t="s">
        <v>1992</v>
      </c>
      <c r="H54" s="4" t="s">
        <v>356</v>
      </c>
      <c r="I54" s="4" t="s">
        <v>965</v>
      </c>
      <c r="J54" s="4" t="s">
        <v>97</v>
      </c>
      <c r="K54" s="4" t="s">
        <v>98</v>
      </c>
      <c r="L54" s="2" t="s">
        <v>362</v>
      </c>
      <c r="M54" s="2" t="s">
        <v>381</v>
      </c>
      <c r="N54" s="4" t="s">
        <v>549</v>
      </c>
      <c r="O54" s="4" t="s">
        <v>155</v>
      </c>
      <c r="P54" s="4" t="s">
        <v>102</v>
      </c>
      <c r="Q54" s="152">
        <v>1977</v>
      </c>
      <c r="R54" s="167">
        <v>3.71</v>
      </c>
      <c r="S54" s="169">
        <v>18633</v>
      </c>
      <c r="U54" s="152">
        <v>1366.6690000000001</v>
      </c>
      <c r="V54" s="166">
        <v>0</v>
      </c>
      <c r="W54" s="166">
        <v>2.7483466323574901E-2</v>
      </c>
      <c r="X54" s="166">
        <v>3.3177082405045299E-3</v>
      </c>
    </row>
    <row r="55" spans="1:24">
      <c r="A55" s="4">
        <v>1182</v>
      </c>
      <c r="B55" s="4">
        <v>1182</v>
      </c>
      <c r="C55" s="4" t="s">
        <v>1993</v>
      </c>
      <c r="D55" s="4" t="s">
        <v>1994</v>
      </c>
      <c r="E55" s="4" t="s">
        <v>350</v>
      </c>
      <c r="F55" s="4" t="s">
        <v>1995</v>
      </c>
      <c r="G55" s="4" t="s">
        <v>1996</v>
      </c>
      <c r="H55" s="4" t="s">
        <v>356</v>
      </c>
      <c r="I55" s="4" t="s">
        <v>965</v>
      </c>
      <c r="J55" s="4" t="s">
        <v>97</v>
      </c>
      <c r="K55" s="4" t="s">
        <v>98</v>
      </c>
      <c r="L55" s="2" t="s">
        <v>362</v>
      </c>
      <c r="M55" s="2" t="s">
        <v>381</v>
      </c>
      <c r="N55" s="4" t="s">
        <v>580</v>
      </c>
      <c r="O55" s="4" t="s">
        <v>155</v>
      </c>
      <c r="P55" s="4" t="s">
        <v>102</v>
      </c>
      <c r="Q55" s="152">
        <v>1077</v>
      </c>
      <c r="R55" s="167">
        <v>3.71</v>
      </c>
      <c r="S55" s="169">
        <v>23300</v>
      </c>
      <c r="U55" s="152">
        <v>930.99099999999999</v>
      </c>
      <c r="V55" s="166">
        <v>0</v>
      </c>
      <c r="W55" s="166">
        <v>1.8722061944270799E-2</v>
      </c>
      <c r="X55" s="166">
        <v>2.26006204823089E-3</v>
      </c>
    </row>
    <row r="56" spans="1:24">
      <c r="A56" s="4">
        <v>1182</v>
      </c>
      <c r="B56" s="4">
        <v>1182</v>
      </c>
      <c r="C56" s="4" t="s">
        <v>1997</v>
      </c>
      <c r="D56" s="4" t="s">
        <v>1998</v>
      </c>
      <c r="E56" s="4" t="s">
        <v>350</v>
      </c>
      <c r="F56" s="4" t="s">
        <v>1999</v>
      </c>
      <c r="G56" s="4" t="s">
        <v>2000</v>
      </c>
      <c r="H56" s="4" t="s">
        <v>356</v>
      </c>
      <c r="I56" s="4" t="s">
        <v>965</v>
      </c>
      <c r="J56" s="4" t="s">
        <v>97</v>
      </c>
      <c r="K56" s="4" t="s">
        <v>98</v>
      </c>
      <c r="L56" s="2" t="s">
        <v>362</v>
      </c>
      <c r="M56" s="2" t="s">
        <v>381</v>
      </c>
      <c r="N56" s="4" t="s">
        <v>2001</v>
      </c>
      <c r="O56" s="4" t="s">
        <v>155</v>
      </c>
      <c r="P56" s="4" t="s">
        <v>102</v>
      </c>
      <c r="Q56" s="152">
        <v>494</v>
      </c>
      <c r="R56" s="167">
        <v>3.71</v>
      </c>
      <c r="S56" s="169">
        <v>46026</v>
      </c>
      <c r="U56" s="152">
        <v>843.53700000000003</v>
      </c>
      <c r="V56" s="166">
        <v>0</v>
      </c>
      <c r="W56" s="166">
        <v>1.69633739319291E-2</v>
      </c>
      <c r="X56" s="166">
        <v>2.0477593625970402E-3</v>
      </c>
    </row>
    <row r="57" spans="1:24">
      <c r="A57" s="4">
        <v>1182</v>
      </c>
      <c r="B57" s="4">
        <v>1182</v>
      </c>
      <c r="C57" s="4" t="s">
        <v>2002</v>
      </c>
      <c r="D57" s="4" t="s">
        <v>2003</v>
      </c>
      <c r="E57" s="4" t="s">
        <v>350</v>
      </c>
      <c r="F57" s="4" t="s">
        <v>2004</v>
      </c>
      <c r="G57" s="4" t="s">
        <v>2005</v>
      </c>
      <c r="H57" s="4" t="s">
        <v>356</v>
      </c>
      <c r="I57" s="4" t="s">
        <v>965</v>
      </c>
      <c r="J57" s="4" t="s">
        <v>97</v>
      </c>
      <c r="K57" s="4" t="s">
        <v>98</v>
      </c>
      <c r="L57" s="2" t="s">
        <v>362</v>
      </c>
      <c r="M57" s="2" t="s">
        <v>381</v>
      </c>
      <c r="N57" s="4" t="s">
        <v>568</v>
      </c>
      <c r="O57" s="4" t="s">
        <v>155</v>
      </c>
      <c r="P57" s="4" t="s">
        <v>102</v>
      </c>
      <c r="Q57" s="152">
        <v>592</v>
      </c>
      <c r="R57" s="167">
        <v>3.71</v>
      </c>
      <c r="S57" s="169">
        <v>19384</v>
      </c>
      <c r="U57" s="152">
        <v>425.73500000000001</v>
      </c>
      <c r="V57" s="166">
        <v>3.0000000000000001E-6</v>
      </c>
      <c r="W57" s="166">
        <v>8.5614467801923607E-3</v>
      </c>
      <c r="X57" s="166">
        <v>1.0335080080099001E-3</v>
      </c>
    </row>
    <row r="58" spans="1:24">
      <c r="A58" s="4">
        <v>1182</v>
      </c>
      <c r="B58" s="4">
        <v>1182</v>
      </c>
      <c r="C58" s="4" t="s">
        <v>2006</v>
      </c>
      <c r="D58" s="4" t="s">
        <v>2007</v>
      </c>
      <c r="E58" s="4" t="s">
        <v>1342</v>
      </c>
      <c r="F58" s="4" t="s">
        <v>2008</v>
      </c>
      <c r="G58" s="4" t="s">
        <v>2009</v>
      </c>
      <c r="H58" s="4" t="s">
        <v>356</v>
      </c>
      <c r="I58" s="4" t="s">
        <v>965</v>
      </c>
      <c r="J58" s="4" t="s">
        <v>97</v>
      </c>
      <c r="K58" s="4" t="s">
        <v>98</v>
      </c>
      <c r="L58" s="2" t="s">
        <v>362</v>
      </c>
      <c r="M58" s="2" t="s">
        <v>379</v>
      </c>
      <c r="N58" s="4" t="s">
        <v>568</v>
      </c>
      <c r="O58" s="4" t="s">
        <v>155</v>
      </c>
      <c r="P58" s="4" t="s">
        <v>102</v>
      </c>
      <c r="Q58" s="152">
        <v>10747</v>
      </c>
      <c r="R58" s="167">
        <v>3.71</v>
      </c>
      <c r="S58" s="169">
        <v>100</v>
      </c>
      <c r="U58" s="152">
        <v>39.871000000000002</v>
      </c>
      <c r="V58" s="166">
        <v>0</v>
      </c>
      <c r="W58" s="166">
        <v>8.0180600107227699E-4</v>
      </c>
      <c r="X58" s="166">
        <v>9.6791225157855497E-5</v>
      </c>
    </row>
    <row r="59" spans="1:24">
      <c r="A59" s="4">
        <v>1182</v>
      </c>
      <c r="B59" s="4">
        <v>1182</v>
      </c>
      <c r="C59" s="4" t="s">
        <v>2010</v>
      </c>
      <c r="D59" s="4" t="s">
        <v>2011</v>
      </c>
      <c r="E59" s="4" t="s">
        <v>350</v>
      </c>
      <c r="F59" s="4" t="s">
        <v>2010</v>
      </c>
      <c r="G59" s="4" t="s">
        <v>2012</v>
      </c>
      <c r="H59" s="4" t="s">
        <v>356</v>
      </c>
      <c r="I59" s="4" t="s">
        <v>965</v>
      </c>
      <c r="J59" s="4" t="s">
        <v>97</v>
      </c>
      <c r="K59" s="4" t="s">
        <v>98</v>
      </c>
      <c r="L59" s="2" t="s">
        <v>362</v>
      </c>
      <c r="M59" s="2" t="s">
        <v>1528</v>
      </c>
      <c r="N59" s="4" t="s">
        <v>564</v>
      </c>
      <c r="O59" s="4" t="s">
        <v>155</v>
      </c>
      <c r="P59" s="4" t="s">
        <v>102</v>
      </c>
      <c r="Q59" s="152">
        <v>600</v>
      </c>
      <c r="R59" s="167">
        <v>3.71</v>
      </c>
      <c r="S59" s="169">
        <v>27802</v>
      </c>
      <c r="T59" s="151">
        <v>0.122</v>
      </c>
      <c r="U59" s="152">
        <v>619.32500000000005</v>
      </c>
      <c r="V59" s="166">
        <v>0</v>
      </c>
      <c r="W59" s="166">
        <v>1.24545079124326E-2</v>
      </c>
      <c r="X59" s="166">
        <v>1.5034647757318201E-3</v>
      </c>
    </row>
    <row r="60" spans="1:24">
      <c r="A60" s="4">
        <v>1182</v>
      </c>
      <c r="B60" s="4">
        <v>1182</v>
      </c>
      <c r="C60" s="4" t="s">
        <v>2013</v>
      </c>
      <c r="D60" s="4" t="s">
        <v>2014</v>
      </c>
      <c r="E60" s="4" t="s">
        <v>350</v>
      </c>
      <c r="F60" s="4" t="s">
        <v>2015</v>
      </c>
      <c r="G60" s="4" t="s">
        <v>2016</v>
      </c>
      <c r="H60" s="4" t="s">
        <v>356</v>
      </c>
      <c r="I60" s="4" t="s">
        <v>965</v>
      </c>
      <c r="J60" s="4" t="s">
        <v>97</v>
      </c>
      <c r="K60" s="4" t="s">
        <v>98</v>
      </c>
      <c r="L60" s="2" t="s">
        <v>362</v>
      </c>
      <c r="M60" s="2" t="s">
        <v>379</v>
      </c>
      <c r="N60" s="4" t="s">
        <v>2017</v>
      </c>
      <c r="O60" s="4" t="s">
        <v>155</v>
      </c>
      <c r="P60" s="4" t="s">
        <v>102</v>
      </c>
      <c r="Q60" s="152">
        <v>306</v>
      </c>
      <c r="R60" s="167">
        <v>3.71</v>
      </c>
      <c r="S60" s="169">
        <v>41733</v>
      </c>
      <c r="U60" s="152">
        <v>473.77800000000002</v>
      </c>
      <c r="V60" s="166">
        <v>9.9999999999999995E-7</v>
      </c>
      <c r="W60" s="166">
        <v>9.5275905572543892E-3</v>
      </c>
      <c r="X60" s="166">
        <v>1.1501375165636101E-3</v>
      </c>
    </row>
    <row r="61" spans="1:24">
      <c r="A61" s="4">
        <v>1182</v>
      </c>
      <c r="B61" s="4">
        <v>1182</v>
      </c>
      <c r="C61" s="4" t="s">
        <v>2018</v>
      </c>
      <c r="D61" s="4" t="s">
        <v>2019</v>
      </c>
      <c r="E61" s="4" t="s">
        <v>350</v>
      </c>
      <c r="F61" s="4" t="s">
        <v>2018</v>
      </c>
      <c r="G61" s="4" t="s">
        <v>2020</v>
      </c>
      <c r="H61" s="4" t="s">
        <v>356</v>
      </c>
      <c r="I61" s="4" t="s">
        <v>965</v>
      </c>
      <c r="J61" s="4" t="s">
        <v>97</v>
      </c>
      <c r="K61" s="4" t="s">
        <v>98</v>
      </c>
      <c r="L61" s="2" t="s">
        <v>362</v>
      </c>
      <c r="M61" s="2" t="s">
        <v>381</v>
      </c>
      <c r="N61" s="4" t="s">
        <v>580</v>
      </c>
      <c r="O61" s="4" t="s">
        <v>155</v>
      </c>
      <c r="P61" s="4" t="s">
        <v>102</v>
      </c>
      <c r="Q61" s="152">
        <v>5000</v>
      </c>
      <c r="R61" s="167">
        <v>3.71</v>
      </c>
      <c r="S61" s="169">
        <v>3343</v>
      </c>
      <c r="U61" s="152">
        <v>620.12599999999998</v>
      </c>
      <c r="V61" s="166">
        <v>1.2E-5</v>
      </c>
      <c r="W61" s="166">
        <v>1.24706311602523E-2</v>
      </c>
      <c r="X61" s="166">
        <v>1.5054111179990299E-3</v>
      </c>
    </row>
    <row r="62" spans="1:24">
      <c r="A62" s="4">
        <v>1182</v>
      </c>
      <c r="B62" s="4">
        <v>1182</v>
      </c>
      <c r="C62" s="4" t="s">
        <v>2021</v>
      </c>
      <c r="D62" s="4" t="s">
        <v>2022</v>
      </c>
      <c r="E62" s="4" t="s">
        <v>350</v>
      </c>
      <c r="F62" s="4" t="s">
        <v>2023</v>
      </c>
      <c r="G62" s="4" t="s">
        <v>2024</v>
      </c>
      <c r="H62" s="4" t="s">
        <v>356</v>
      </c>
      <c r="I62" s="4" t="s">
        <v>965</v>
      </c>
      <c r="J62" s="4" t="s">
        <v>97</v>
      </c>
      <c r="K62" s="4" t="s">
        <v>98</v>
      </c>
      <c r="L62" s="2" t="s">
        <v>362</v>
      </c>
      <c r="M62" s="2" t="s">
        <v>381</v>
      </c>
      <c r="N62" s="4" t="s">
        <v>583</v>
      </c>
      <c r="O62" s="4" t="s">
        <v>155</v>
      </c>
      <c r="P62" s="4" t="s">
        <v>102</v>
      </c>
      <c r="Q62" s="152">
        <v>1403</v>
      </c>
      <c r="R62" s="167">
        <v>3.71</v>
      </c>
      <c r="S62" s="169">
        <v>16719</v>
      </c>
      <c r="U62" s="152">
        <v>870.24599999999998</v>
      </c>
      <c r="V62" s="166">
        <v>0</v>
      </c>
      <c r="W62" s="166">
        <v>1.75004824865489E-2</v>
      </c>
      <c r="X62" s="166">
        <v>2.1125972348191198E-3</v>
      </c>
    </row>
    <row r="63" spans="1:24">
      <c r="A63" s="4">
        <v>1182</v>
      </c>
      <c r="B63" s="4">
        <v>1182</v>
      </c>
      <c r="C63" s="4" t="s">
        <v>2025</v>
      </c>
      <c r="D63" s="4" t="s">
        <v>2026</v>
      </c>
      <c r="E63" s="4" t="s">
        <v>350</v>
      </c>
      <c r="F63" s="4" t="s">
        <v>2027</v>
      </c>
      <c r="G63" s="4" t="s">
        <v>2028</v>
      </c>
      <c r="H63" s="4" t="s">
        <v>356</v>
      </c>
      <c r="I63" s="4" t="s">
        <v>965</v>
      </c>
      <c r="J63" s="4" t="s">
        <v>97</v>
      </c>
      <c r="K63" s="4" t="s">
        <v>319</v>
      </c>
      <c r="L63" s="2" t="s">
        <v>362</v>
      </c>
      <c r="M63" s="2" t="s">
        <v>401</v>
      </c>
      <c r="N63" s="4" t="s">
        <v>2029</v>
      </c>
      <c r="O63" s="4" t="s">
        <v>155</v>
      </c>
      <c r="P63" s="4" t="s">
        <v>1209</v>
      </c>
      <c r="Q63" s="152">
        <v>369</v>
      </c>
      <c r="R63" s="167">
        <v>4.1524000000000001</v>
      </c>
      <c r="S63" s="169">
        <v>68850</v>
      </c>
      <c r="U63" s="152">
        <v>1054.944</v>
      </c>
      <c r="V63" s="166">
        <v>9.9999999999999995E-7</v>
      </c>
      <c r="W63" s="166">
        <v>2.1214736259514901E-2</v>
      </c>
      <c r="X63" s="166">
        <v>2.5609690014955799E-3</v>
      </c>
    </row>
    <row r="64" spans="1:24">
      <c r="A64" s="4">
        <v>1182</v>
      </c>
      <c r="B64" s="4">
        <v>1182</v>
      </c>
      <c r="C64" s="4" t="s">
        <v>2030</v>
      </c>
      <c r="D64" s="4" t="s">
        <v>2031</v>
      </c>
      <c r="E64" s="4" t="s">
        <v>350</v>
      </c>
      <c r="F64" s="4" t="s">
        <v>2032</v>
      </c>
      <c r="G64" s="4" t="s">
        <v>2033</v>
      </c>
      <c r="H64" s="4" t="s">
        <v>356</v>
      </c>
      <c r="I64" s="4" t="s">
        <v>965</v>
      </c>
      <c r="J64" s="4" t="s">
        <v>97</v>
      </c>
      <c r="K64" s="4" t="s">
        <v>98</v>
      </c>
      <c r="L64" s="2" t="s">
        <v>362</v>
      </c>
      <c r="M64" s="2" t="s">
        <v>379</v>
      </c>
      <c r="N64" s="4" t="s">
        <v>2001</v>
      </c>
      <c r="O64" s="4" t="s">
        <v>155</v>
      </c>
      <c r="P64" s="4" t="s">
        <v>102</v>
      </c>
      <c r="Q64" s="152">
        <v>380</v>
      </c>
      <c r="R64" s="167">
        <v>3.71</v>
      </c>
      <c r="S64" s="169">
        <v>49380</v>
      </c>
      <c r="U64" s="152">
        <v>696.15899999999999</v>
      </c>
      <c r="V64" s="166">
        <v>0</v>
      </c>
      <c r="W64" s="166">
        <v>1.3999635736969E-2</v>
      </c>
      <c r="X64" s="166">
        <v>1.6899872200168099E-3</v>
      </c>
    </row>
    <row r="65" spans="1:24">
      <c r="A65" s="4">
        <v>1182</v>
      </c>
      <c r="B65" s="4">
        <v>1182</v>
      </c>
      <c r="C65" s="4" t="s">
        <v>2034</v>
      </c>
      <c r="D65" s="4" t="s">
        <v>2035</v>
      </c>
      <c r="E65" s="4" t="s">
        <v>350</v>
      </c>
      <c r="F65" s="4" t="s">
        <v>2036</v>
      </c>
      <c r="G65" s="4" t="s">
        <v>2037</v>
      </c>
      <c r="H65" s="4" t="s">
        <v>356</v>
      </c>
      <c r="I65" s="4" t="s">
        <v>965</v>
      </c>
      <c r="J65" s="4" t="s">
        <v>97</v>
      </c>
      <c r="K65" s="4" t="s">
        <v>98</v>
      </c>
      <c r="L65" s="2" t="s">
        <v>362</v>
      </c>
      <c r="M65" s="2" t="s">
        <v>379</v>
      </c>
      <c r="N65" s="4" t="s">
        <v>568</v>
      </c>
      <c r="O65" s="4" t="s">
        <v>155</v>
      </c>
      <c r="P65" s="4" t="s">
        <v>102</v>
      </c>
      <c r="Q65" s="152">
        <v>418</v>
      </c>
      <c r="R65" s="167">
        <v>3.71</v>
      </c>
      <c r="S65" s="169">
        <v>11356</v>
      </c>
      <c r="T65" s="151">
        <v>0.22600000000000001</v>
      </c>
      <c r="U65" s="152">
        <v>176.94499999999999</v>
      </c>
      <c r="V65" s="166">
        <v>0</v>
      </c>
      <c r="W65" s="166">
        <v>3.5583347290262398E-3</v>
      </c>
      <c r="X65" s="166">
        <v>4.29549763263931E-4</v>
      </c>
    </row>
    <row r="66" spans="1:24">
      <c r="A66" s="4">
        <v>1182</v>
      </c>
      <c r="B66" s="4">
        <v>1182</v>
      </c>
      <c r="C66" s="4" t="s">
        <v>2038</v>
      </c>
      <c r="D66" s="4" t="s">
        <v>2039</v>
      </c>
      <c r="E66" s="4" t="s">
        <v>350</v>
      </c>
      <c r="F66" s="4" t="s">
        <v>2040</v>
      </c>
      <c r="G66" s="4" t="s">
        <v>2041</v>
      </c>
      <c r="H66" s="4" t="s">
        <v>356</v>
      </c>
      <c r="I66" s="4" t="s">
        <v>965</v>
      </c>
      <c r="J66" s="4" t="s">
        <v>97</v>
      </c>
      <c r="K66" s="4" t="s">
        <v>98</v>
      </c>
      <c r="L66" s="2" t="s">
        <v>362</v>
      </c>
      <c r="M66" s="2" t="s">
        <v>381</v>
      </c>
      <c r="N66" s="4" t="s">
        <v>578</v>
      </c>
      <c r="O66" s="4" t="s">
        <v>155</v>
      </c>
      <c r="P66" s="4" t="s">
        <v>102</v>
      </c>
      <c r="Q66" s="152">
        <v>1167</v>
      </c>
      <c r="R66" s="167">
        <v>3.71</v>
      </c>
      <c r="S66" s="169">
        <v>43030</v>
      </c>
      <c r="U66" s="152">
        <v>1863.0139999999999</v>
      </c>
      <c r="V66" s="166">
        <v>0</v>
      </c>
      <c r="W66" s="166">
        <v>3.7464872213553102E-2</v>
      </c>
      <c r="X66" s="166">
        <v>4.52262876192344E-3</v>
      </c>
    </row>
    <row r="67" spans="1:24">
      <c r="A67" s="4">
        <v>1182</v>
      </c>
      <c r="B67" s="4">
        <v>1182</v>
      </c>
      <c r="C67" s="4" t="s">
        <v>2042</v>
      </c>
      <c r="D67" s="4" t="s">
        <v>2043</v>
      </c>
      <c r="E67" s="4" t="s">
        <v>350</v>
      </c>
      <c r="F67" s="4" t="s">
        <v>2042</v>
      </c>
      <c r="G67" s="4" t="s">
        <v>2044</v>
      </c>
      <c r="H67" s="4" t="s">
        <v>356</v>
      </c>
      <c r="I67" s="4" t="s">
        <v>965</v>
      </c>
      <c r="J67" s="4" t="s">
        <v>97</v>
      </c>
      <c r="K67" s="4" t="s">
        <v>98</v>
      </c>
      <c r="L67" s="2" t="s">
        <v>362</v>
      </c>
      <c r="M67" s="2" t="s">
        <v>381</v>
      </c>
      <c r="N67" s="4" t="s">
        <v>568</v>
      </c>
      <c r="O67" s="4" t="s">
        <v>155</v>
      </c>
      <c r="P67" s="4" t="s">
        <v>102</v>
      </c>
      <c r="Q67" s="152">
        <v>2677</v>
      </c>
      <c r="R67" s="167">
        <v>3.71</v>
      </c>
      <c r="S67" s="169">
        <v>6683</v>
      </c>
      <c r="U67" s="152">
        <v>663.73400000000004</v>
      </c>
      <c r="V67" s="166">
        <v>6.9999999999999999E-6</v>
      </c>
      <c r="W67" s="166">
        <v>1.3347560124062E-2</v>
      </c>
      <c r="X67" s="166">
        <v>1.61127092532155E-3</v>
      </c>
    </row>
    <row r="68" spans="1:24">
      <c r="A68" s="4">
        <v>1182</v>
      </c>
      <c r="B68" s="4">
        <v>1182</v>
      </c>
      <c r="C68" s="4" t="s">
        <v>2045</v>
      </c>
      <c r="D68" s="4" t="s">
        <v>2046</v>
      </c>
      <c r="E68" s="4" t="s">
        <v>350</v>
      </c>
      <c r="F68" s="4" t="s">
        <v>2047</v>
      </c>
      <c r="G68" s="4" t="s">
        <v>2048</v>
      </c>
      <c r="H68" s="4" t="s">
        <v>356</v>
      </c>
      <c r="I68" s="4" t="s">
        <v>965</v>
      </c>
      <c r="J68" s="4" t="s">
        <v>97</v>
      </c>
      <c r="K68" s="4" t="s">
        <v>98</v>
      </c>
      <c r="L68" s="2" t="s">
        <v>362</v>
      </c>
      <c r="M68" s="2" t="s">
        <v>381</v>
      </c>
      <c r="N68" s="4" t="s">
        <v>583</v>
      </c>
      <c r="O68" s="4" t="s">
        <v>155</v>
      </c>
      <c r="P68" s="4" t="s">
        <v>102</v>
      </c>
      <c r="Q68" s="152">
        <v>365</v>
      </c>
      <c r="R68" s="167">
        <v>3.71</v>
      </c>
      <c r="S68" s="169">
        <v>70927</v>
      </c>
      <c r="U68" s="152">
        <v>960.45799999999997</v>
      </c>
      <c r="V68" s="166">
        <v>9.9999999999999995E-7</v>
      </c>
      <c r="W68" s="166">
        <v>1.93146351511022E-2</v>
      </c>
      <c r="X68" s="166">
        <v>2.3315954199046199E-3</v>
      </c>
    </row>
    <row r="69" spans="1:24">
      <c r="A69" s="4">
        <v>1182</v>
      </c>
      <c r="B69" s="4">
        <v>1182</v>
      </c>
      <c r="C69" s="4" t="s">
        <v>2049</v>
      </c>
      <c r="D69" s="4" t="s">
        <v>2050</v>
      </c>
      <c r="E69" s="4" t="s">
        <v>350</v>
      </c>
      <c r="F69" s="4" t="s">
        <v>2049</v>
      </c>
      <c r="G69" s="4" t="s">
        <v>2051</v>
      </c>
      <c r="H69" s="4" t="s">
        <v>356</v>
      </c>
      <c r="I69" s="4" t="s">
        <v>965</v>
      </c>
      <c r="J69" s="4" t="s">
        <v>97</v>
      </c>
      <c r="K69" s="4" t="s">
        <v>98</v>
      </c>
      <c r="L69" s="2" t="s">
        <v>362</v>
      </c>
      <c r="M69" s="2" t="s">
        <v>379</v>
      </c>
      <c r="N69" s="4" t="s">
        <v>549</v>
      </c>
      <c r="O69" s="4" t="s">
        <v>155</v>
      </c>
      <c r="P69" s="4" t="s">
        <v>102</v>
      </c>
      <c r="Q69" s="152">
        <v>1670</v>
      </c>
      <c r="R69" s="167">
        <v>3.71</v>
      </c>
      <c r="S69" s="169">
        <v>8840</v>
      </c>
      <c r="T69" s="151">
        <v>0.61799999999999999</v>
      </c>
      <c r="U69" s="152">
        <v>549.99199999999996</v>
      </c>
      <c r="V69" s="166">
        <v>9.9999999999999995E-7</v>
      </c>
      <c r="W69" s="166">
        <v>1.10602449292231E-2</v>
      </c>
      <c r="X69" s="166">
        <v>1.33515420914013E-3</v>
      </c>
    </row>
    <row r="70" spans="1:24">
      <c r="A70" s="4">
        <v>1182</v>
      </c>
      <c r="B70" s="4">
        <v>1182</v>
      </c>
      <c r="C70" s="4" t="s">
        <v>2052</v>
      </c>
      <c r="D70" s="4" t="s">
        <v>2053</v>
      </c>
      <c r="E70" s="4" t="s">
        <v>350</v>
      </c>
      <c r="F70" s="4" t="s">
        <v>2054</v>
      </c>
      <c r="G70" s="4" t="s">
        <v>2055</v>
      </c>
      <c r="H70" s="4" t="s">
        <v>356</v>
      </c>
      <c r="I70" s="4" t="s">
        <v>965</v>
      </c>
      <c r="J70" s="4" t="s">
        <v>97</v>
      </c>
      <c r="K70" s="4" t="s">
        <v>98</v>
      </c>
      <c r="L70" s="2" t="s">
        <v>362</v>
      </c>
      <c r="M70" s="2" t="s">
        <v>379</v>
      </c>
      <c r="N70" s="4" t="s">
        <v>2017</v>
      </c>
      <c r="O70" s="4" t="s">
        <v>155</v>
      </c>
      <c r="P70" s="4" t="s">
        <v>102</v>
      </c>
      <c r="Q70" s="152">
        <v>126</v>
      </c>
      <c r="R70" s="167">
        <v>3.71</v>
      </c>
      <c r="S70" s="169">
        <v>52807</v>
      </c>
      <c r="U70" s="152">
        <v>246.852</v>
      </c>
      <c r="V70" s="166">
        <v>9.9999999999999995E-7</v>
      </c>
      <c r="W70" s="166">
        <v>4.9641408363511599E-3</v>
      </c>
      <c r="X70" s="166">
        <v>5.9925377555668604E-4</v>
      </c>
    </row>
    <row r="71" spans="1:24">
      <c r="A71" s="4">
        <v>1182</v>
      </c>
      <c r="B71" s="4">
        <v>1182</v>
      </c>
      <c r="C71" s="4" t="s">
        <v>2056</v>
      </c>
      <c r="D71" s="4" t="s">
        <v>2057</v>
      </c>
      <c r="E71" s="4" t="s">
        <v>350</v>
      </c>
      <c r="F71" s="4" t="s">
        <v>2058</v>
      </c>
      <c r="G71" s="4" t="s">
        <v>2059</v>
      </c>
      <c r="H71" s="4" t="s">
        <v>356</v>
      </c>
      <c r="I71" s="4" t="s">
        <v>965</v>
      </c>
      <c r="J71" s="4" t="s">
        <v>97</v>
      </c>
      <c r="K71" s="4" t="s">
        <v>279</v>
      </c>
      <c r="L71" s="2" t="s">
        <v>362</v>
      </c>
      <c r="M71" s="2" t="s">
        <v>401</v>
      </c>
      <c r="N71" s="4" t="s">
        <v>568</v>
      </c>
      <c r="O71" s="4" t="s">
        <v>155</v>
      </c>
      <c r="P71" s="4" t="s">
        <v>102</v>
      </c>
      <c r="Q71" s="152">
        <v>2297</v>
      </c>
      <c r="R71" s="167">
        <v>3.71</v>
      </c>
      <c r="S71" s="169">
        <v>11907</v>
      </c>
      <c r="U71" s="152">
        <v>1014.699</v>
      </c>
      <c r="V71" s="166">
        <v>9.9999999999999995E-7</v>
      </c>
      <c r="W71" s="166">
        <v>2.04054136166383E-2</v>
      </c>
      <c r="X71" s="166">
        <v>2.4632703935439501E-3</v>
      </c>
    </row>
    <row r="72" spans="1:24">
      <c r="A72" s="4">
        <v>1182</v>
      </c>
      <c r="B72" s="4">
        <v>1182</v>
      </c>
      <c r="C72" s="4" t="s">
        <v>2060</v>
      </c>
      <c r="D72" s="4" t="s">
        <v>2061</v>
      </c>
      <c r="E72" s="4" t="s">
        <v>350</v>
      </c>
      <c r="F72" s="4" t="s">
        <v>2062</v>
      </c>
      <c r="G72" s="4" t="s">
        <v>2063</v>
      </c>
      <c r="H72" s="4" t="s">
        <v>356</v>
      </c>
      <c r="I72" s="4" t="s">
        <v>965</v>
      </c>
      <c r="J72" s="4" t="s">
        <v>97</v>
      </c>
      <c r="K72" s="4" t="s">
        <v>98</v>
      </c>
      <c r="L72" s="2" t="s">
        <v>362</v>
      </c>
      <c r="M72" s="2" t="s">
        <v>381</v>
      </c>
      <c r="N72" s="4" t="s">
        <v>582</v>
      </c>
      <c r="O72" s="4" t="s">
        <v>155</v>
      </c>
      <c r="P72" s="4" t="s">
        <v>102</v>
      </c>
      <c r="Q72" s="152">
        <v>5249</v>
      </c>
      <c r="R72" s="167">
        <v>3.71</v>
      </c>
      <c r="S72" s="169">
        <v>12144</v>
      </c>
      <c r="T72" s="151">
        <v>3.6999999999999998E-2</v>
      </c>
      <c r="U72" s="152">
        <v>2365.0340000000001</v>
      </c>
      <c r="V72" s="166">
        <v>0</v>
      </c>
      <c r="W72" s="166">
        <v>4.7560399847622399E-2</v>
      </c>
      <c r="X72" s="166">
        <v>5.7413256624327703E-3</v>
      </c>
    </row>
    <row r="73" spans="1:24">
      <c r="A73" s="4">
        <v>1182</v>
      </c>
      <c r="B73" s="4">
        <v>1182</v>
      </c>
      <c r="C73" s="4" t="s">
        <v>2064</v>
      </c>
      <c r="D73" s="4" t="s">
        <v>2065</v>
      </c>
      <c r="E73" s="4" t="s">
        <v>350</v>
      </c>
      <c r="F73" s="4" t="s">
        <v>2066</v>
      </c>
      <c r="G73" s="4" t="s">
        <v>2067</v>
      </c>
      <c r="H73" s="4" t="s">
        <v>356</v>
      </c>
      <c r="I73" s="4" t="s">
        <v>965</v>
      </c>
      <c r="J73" s="4" t="s">
        <v>97</v>
      </c>
      <c r="K73" s="4" t="s">
        <v>98</v>
      </c>
      <c r="L73" s="2" t="s">
        <v>362</v>
      </c>
      <c r="M73" s="2" t="s">
        <v>381</v>
      </c>
      <c r="N73" s="4" t="s">
        <v>568</v>
      </c>
      <c r="O73" s="4" t="s">
        <v>155</v>
      </c>
      <c r="P73" s="4" t="s">
        <v>102</v>
      </c>
      <c r="Q73" s="152">
        <v>1001</v>
      </c>
      <c r="R73" s="167">
        <v>3.71</v>
      </c>
      <c r="S73" s="169">
        <v>604.96</v>
      </c>
      <c r="U73" s="152">
        <v>22.466000000000001</v>
      </c>
      <c r="V73" s="166">
        <v>3.1999999999999999E-5</v>
      </c>
      <c r="W73" s="166">
        <v>4.5179642594872401E-4</v>
      </c>
      <c r="X73" s="166">
        <v>5.4539289467821499E-5</v>
      </c>
    </row>
    <row r="74" spans="1:24">
      <c r="A74" s="4">
        <v>1182</v>
      </c>
      <c r="B74" s="4">
        <v>1182</v>
      </c>
      <c r="C74" s="4" t="s">
        <v>2068</v>
      </c>
      <c r="D74" s="4" t="s">
        <v>2069</v>
      </c>
      <c r="E74" s="4" t="s">
        <v>350</v>
      </c>
      <c r="F74" s="4" t="s">
        <v>2070</v>
      </c>
      <c r="G74" s="4" t="s">
        <v>2071</v>
      </c>
      <c r="H74" s="4" t="s">
        <v>356</v>
      </c>
      <c r="I74" s="4" t="s">
        <v>965</v>
      </c>
      <c r="J74" s="4" t="s">
        <v>97</v>
      </c>
      <c r="K74" s="4" t="s">
        <v>98</v>
      </c>
      <c r="L74" s="2" t="s">
        <v>362</v>
      </c>
      <c r="M74" s="2" t="s">
        <v>379</v>
      </c>
      <c r="N74" s="4" t="s">
        <v>602</v>
      </c>
      <c r="O74" s="4" t="s">
        <v>155</v>
      </c>
      <c r="P74" s="4" t="s">
        <v>102</v>
      </c>
      <c r="Q74" s="152">
        <v>1200</v>
      </c>
      <c r="R74" s="167">
        <v>3.71</v>
      </c>
      <c r="S74" s="169">
        <v>12628</v>
      </c>
      <c r="U74" s="152">
        <v>562.19899999999996</v>
      </c>
      <c r="V74" s="166">
        <v>9.9999999999999995E-7</v>
      </c>
      <c r="W74" s="166">
        <v>1.1305710819623E-2</v>
      </c>
      <c r="X74" s="166">
        <v>1.3647859956751501E-3</v>
      </c>
    </row>
    <row r="75" spans="1:24">
      <c r="A75" s="4">
        <v>1182</v>
      </c>
      <c r="B75" s="4">
        <v>1182</v>
      </c>
      <c r="C75" s="4" t="s">
        <v>2072</v>
      </c>
      <c r="D75" s="4" t="s">
        <v>2073</v>
      </c>
      <c r="E75" s="4" t="s">
        <v>350</v>
      </c>
      <c r="F75" s="4" t="s">
        <v>2074</v>
      </c>
      <c r="G75" s="4" t="s">
        <v>2075</v>
      </c>
      <c r="H75" s="4" t="s">
        <v>356</v>
      </c>
      <c r="I75" s="4" t="s">
        <v>965</v>
      </c>
      <c r="J75" s="4" t="s">
        <v>97</v>
      </c>
      <c r="K75" s="4" t="s">
        <v>276</v>
      </c>
      <c r="L75" s="2" t="s">
        <v>362</v>
      </c>
      <c r="M75" s="2" t="s">
        <v>2076</v>
      </c>
      <c r="N75" s="4" t="s">
        <v>2077</v>
      </c>
      <c r="O75" s="4" t="s">
        <v>155</v>
      </c>
      <c r="P75" s="4" t="s">
        <v>1209</v>
      </c>
      <c r="Q75" s="152">
        <v>300</v>
      </c>
      <c r="R75" s="167">
        <v>4.1524000000000001</v>
      </c>
      <c r="S75" s="169">
        <v>48640</v>
      </c>
      <c r="U75" s="152">
        <v>605.91800000000001</v>
      </c>
      <c r="V75" s="166">
        <v>0</v>
      </c>
      <c r="W75" s="166">
        <v>1.2184904991560601E-2</v>
      </c>
      <c r="X75" s="166">
        <v>1.47091925102579E-3</v>
      </c>
    </row>
    <row r="76" spans="1:24">
      <c r="A76" s="4">
        <v>1182</v>
      </c>
      <c r="B76" s="4">
        <v>1182</v>
      </c>
      <c r="C76" s="4" t="s">
        <v>2078</v>
      </c>
      <c r="D76" s="4" t="s">
        <v>2079</v>
      </c>
      <c r="E76" s="4" t="s">
        <v>350</v>
      </c>
      <c r="F76" s="4" t="s">
        <v>2080</v>
      </c>
      <c r="G76" s="4" t="s">
        <v>2081</v>
      </c>
      <c r="H76" s="4" t="s">
        <v>356</v>
      </c>
      <c r="I76" s="4" t="s">
        <v>965</v>
      </c>
      <c r="J76" s="4" t="s">
        <v>97</v>
      </c>
      <c r="K76" s="4" t="s">
        <v>98</v>
      </c>
      <c r="L76" s="2" t="s">
        <v>362</v>
      </c>
      <c r="M76" s="2" t="s">
        <v>379</v>
      </c>
      <c r="N76" s="4" t="s">
        <v>520</v>
      </c>
      <c r="O76" s="4" t="s">
        <v>155</v>
      </c>
      <c r="P76" s="4" t="s">
        <v>102</v>
      </c>
      <c r="Q76" s="152">
        <v>4975</v>
      </c>
      <c r="R76" s="167">
        <v>3.71</v>
      </c>
      <c r="S76" s="169">
        <v>4195</v>
      </c>
      <c r="T76" s="151">
        <v>1.373</v>
      </c>
      <c r="U76" s="152">
        <v>779.37400000000002</v>
      </c>
      <c r="V76" s="166">
        <v>3.0000000000000001E-6</v>
      </c>
      <c r="W76" s="166">
        <v>1.5673065759970399E-2</v>
      </c>
      <c r="X76" s="166">
        <v>1.8919978584076699E-3</v>
      </c>
    </row>
    <row r="77" spans="1:24">
      <c r="A77" s="4">
        <v>1182</v>
      </c>
      <c r="B77" s="4">
        <v>1182</v>
      </c>
      <c r="C77" s="4" t="s">
        <v>2082</v>
      </c>
      <c r="D77" s="4" t="s">
        <v>2083</v>
      </c>
      <c r="E77" s="4" t="s">
        <v>350</v>
      </c>
      <c r="F77" s="4" t="s">
        <v>2084</v>
      </c>
      <c r="G77" s="4" t="s">
        <v>2085</v>
      </c>
      <c r="H77" s="4" t="s">
        <v>356</v>
      </c>
      <c r="I77" s="4" t="s">
        <v>965</v>
      </c>
      <c r="J77" s="4" t="s">
        <v>97</v>
      </c>
      <c r="K77" s="4" t="s">
        <v>306</v>
      </c>
      <c r="L77" s="2" t="s">
        <v>362</v>
      </c>
      <c r="M77" s="2" t="s">
        <v>379</v>
      </c>
      <c r="N77" s="4" t="s">
        <v>582</v>
      </c>
      <c r="O77" s="4" t="s">
        <v>155</v>
      </c>
      <c r="P77" s="4" t="s">
        <v>102</v>
      </c>
      <c r="Q77" s="152">
        <v>4436</v>
      </c>
      <c r="R77" s="167">
        <v>3.71</v>
      </c>
      <c r="S77" s="169">
        <v>17367</v>
      </c>
      <c r="T77" s="151">
        <v>2.2010000000000001</v>
      </c>
      <c r="U77" s="152">
        <v>2866.35</v>
      </c>
      <c r="V77" s="166">
        <v>9.9999999999999995E-7</v>
      </c>
      <c r="W77" s="166">
        <v>5.7641770390904797E-2</v>
      </c>
      <c r="X77" s="166">
        <v>6.9583135682973699E-3</v>
      </c>
    </row>
    <row r="78" spans="1:24">
      <c r="A78" s="4">
        <v>1182</v>
      </c>
      <c r="B78" s="4">
        <v>1182</v>
      </c>
      <c r="C78" s="4" t="s">
        <v>2086</v>
      </c>
      <c r="D78" s="4" t="s">
        <v>2087</v>
      </c>
      <c r="E78" s="4" t="s">
        <v>350</v>
      </c>
      <c r="F78" s="4" t="s">
        <v>2086</v>
      </c>
      <c r="G78" s="4" t="s">
        <v>2088</v>
      </c>
      <c r="H78" s="4" t="s">
        <v>356</v>
      </c>
      <c r="I78" s="4" t="s">
        <v>965</v>
      </c>
      <c r="J78" s="4" t="s">
        <v>97</v>
      </c>
      <c r="K78" s="4" t="s">
        <v>98</v>
      </c>
      <c r="L78" s="2" t="s">
        <v>362</v>
      </c>
      <c r="M78" s="2" t="s">
        <v>381</v>
      </c>
      <c r="N78" s="4" t="s">
        <v>546</v>
      </c>
      <c r="O78" s="4" t="s">
        <v>155</v>
      </c>
      <c r="P78" s="4" t="s">
        <v>102</v>
      </c>
      <c r="Q78" s="152">
        <v>1084</v>
      </c>
      <c r="R78" s="167">
        <v>3.71</v>
      </c>
      <c r="S78" s="169">
        <v>26163</v>
      </c>
      <c r="U78" s="152">
        <v>1052.182</v>
      </c>
      <c r="V78" s="166">
        <v>0</v>
      </c>
      <c r="W78" s="166">
        <v>2.1159182134700399E-2</v>
      </c>
      <c r="X78" s="166">
        <v>2.55426270122322E-3</v>
      </c>
    </row>
    <row r="79" spans="1:24">
      <c r="A79" s="4">
        <v>1182</v>
      </c>
      <c r="B79" s="4">
        <v>1182</v>
      </c>
      <c r="C79" s="4" t="s">
        <v>2089</v>
      </c>
      <c r="D79" s="4" t="s">
        <v>2090</v>
      </c>
      <c r="E79" s="4" t="s">
        <v>350</v>
      </c>
      <c r="F79" s="4" t="s">
        <v>2091</v>
      </c>
      <c r="G79" s="4" t="s">
        <v>2092</v>
      </c>
      <c r="H79" s="4" t="s">
        <v>356</v>
      </c>
      <c r="I79" s="4" t="s">
        <v>965</v>
      </c>
      <c r="J79" s="4" t="s">
        <v>97</v>
      </c>
      <c r="K79" s="4" t="s">
        <v>310</v>
      </c>
      <c r="L79" s="2" t="s">
        <v>362</v>
      </c>
      <c r="M79" s="2" t="s">
        <v>429</v>
      </c>
      <c r="N79" s="4" t="s">
        <v>602</v>
      </c>
      <c r="O79" s="4" t="s">
        <v>155</v>
      </c>
      <c r="P79" s="4" t="s">
        <v>1209</v>
      </c>
      <c r="Q79" s="152">
        <v>2205</v>
      </c>
      <c r="R79" s="167">
        <v>4.1524000000000001</v>
      </c>
      <c r="S79" s="169">
        <v>645</v>
      </c>
      <c r="U79" s="152">
        <v>59.055999999999997</v>
      </c>
      <c r="V79" s="166">
        <v>6.11E-4</v>
      </c>
      <c r="W79" s="166">
        <v>1.18761489183267E-3</v>
      </c>
      <c r="X79" s="166">
        <v>1.43364729426409E-4</v>
      </c>
    </row>
    <row r="80" spans="1:24">
      <c r="A80" s="4">
        <v>1182</v>
      </c>
      <c r="B80" s="4">
        <v>1182</v>
      </c>
      <c r="C80" s="4" t="s">
        <v>2093</v>
      </c>
      <c r="D80" s="4" t="s">
        <v>2094</v>
      </c>
      <c r="E80" s="4" t="s">
        <v>350</v>
      </c>
      <c r="F80" s="4" t="s">
        <v>2095</v>
      </c>
      <c r="G80" s="4" t="s">
        <v>2096</v>
      </c>
      <c r="H80" s="4" t="s">
        <v>356</v>
      </c>
      <c r="I80" s="4" t="s">
        <v>965</v>
      </c>
      <c r="J80" s="4" t="s">
        <v>97</v>
      </c>
      <c r="K80" s="4" t="s">
        <v>98</v>
      </c>
      <c r="L80" s="2" t="s">
        <v>362</v>
      </c>
      <c r="M80" s="2" t="s">
        <v>379</v>
      </c>
      <c r="N80" s="4" t="s">
        <v>2001</v>
      </c>
      <c r="O80" s="4" t="s">
        <v>155</v>
      </c>
      <c r="P80" s="4" t="s">
        <v>102</v>
      </c>
      <c r="Q80" s="152">
        <v>645</v>
      </c>
      <c r="R80" s="167">
        <v>3.71</v>
      </c>
      <c r="S80" s="169">
        <v>27495</v>
      </c>
      <c r="U80" s="152">
        <v>657.94200000000001</v>
      </c>
      <c r="V80" s="166">
        <v>0</v>
      </c>
      <c r="W80" s="166">
        <v>1.3231085995781201E-2</v>
      </c>
      <c r="X80" s="166">
        <v>1.5972105746127601E-3</v>
      </c>
    </row>
    <row r="81" spans="1:24">
      <c r="A81" s="4">
        <v>1182</v>
      </c>
      <c r="B81" s="4">
        <v>1182</v>
      </c>
      <c r="C81" s="4" t="s">
        <v>2097</v>
      </c>
      <c r="D81" s="4" t="s">
        <v>2098</v>
      </c>
      <c r="E81" s="4" t="s">
        <v>350</v>
      </c>
      <c r="F81" s="4" t="s">
        <v>2099</v>
      </c>
      <c r="G81" s="4" t="s">
        <v>2100</v>
      </c>
      <c r="H81" s="4" t="s">
        <v>356</v>
      </c>
      <c r="I81" s="4" t="s">
        <v>965</v>
      </c>
      <c r="J81" s="4" t="s">
        <v>97</v>
      </c>
      <c r="K81" s="4" t="s">
        <v>98</v>
      </c>
      <c r="L81" s="2" t="s">
        <v>362</v>
      </c>
      <c r="M81" s="2" t="s">
        <v>379</v>
      </c>
      <c r="N81" s="4" t="s">
        <v>583</v>
      </c>
      <c r="O81" s="4" t="s">
        <v>155</v>
      </c>
      <c r="P81" s="4" t="s">
        <v>102</v>
      </c>
      <c r="Q81" s="152">
        <v>1395</v>
      </c>
      <c r="R81" s="167">
        <v>3.71</v>
      </c>
      <c r="S81" s="169">
        <v>9619</v>
      </c>
      <c r="U81" s="152">
        <v>497.827</v>
      </c>
      <c r="V81" s="166">
        <v>9.9999999999999995E-7</v>
      </c>
      <c r="W81" s="166">
        <v>1.0011201111397E-2</v>
      </c>
      <c r="X81" s="166">
        <v>1.20851729667517E-3</v>
      </c>
    </row>
    <row r="82" spans="1:24">
      <c r="A82" s="4">
        <v>1182</v>
      </c>
      <c r="B82" s="4">
        <v>14769</v>
      </c>
      <c r="C82" s="4" t="s">
        <v>1784</v>
      </c>
      <c r="D82" s="4" t="s">
        <v>1785</v>
      </c>
      <c r="E82" s="4" t="s">
        <v>349</v>
      </c>
      <c r="F82" s="4" t="s">
        <v>1786</v>
      </c>
      <c r="G82" s="4" t="s">
        <v>1787</v>
      </c>
      <c r="H82" s="4" t="s">
        <v>356</v>
      </c>
      <c r="I82" s="4" t="s">
        <v>965</v>
      </c>
      <c r="J82" s="4" t="s">
        <v>30</v>
      </c>
      <c r="K82" s="4" t="s">
        <v>98</v>
      </c>
      <c r="L82" s="2" t="s">
        <v>362</v>
      </c>
      <c r="M82" s="2" t="s">
        <v>31</v>
      </c>
      <c r="N82" s="4" t="s">
        <v>474</v>
      </c>
      <c r="O82" s="4" t="s">
        <v>155</v>
      </c>
      <c r="P82" s="4" t="s">
        <v>34</v>
      </c>
      <c r="Q82" s="152">
        <v>74</v>
      </c>
      <c r="R82" s="167">
        <v>1</v>
      </c>
      <c r="S82" s="169">
        <v>28560</v>
      </c>
      <c r="U82" s="152">
        <v>21.134</v>
      </c>
      <c r="V82" s="166">
        <v>9.9999999999999995E-7</v>
      </c>
      <c r="W82" s="166">
        <v>7.9402851153056696E-3</v>
      </c>
      <c r="X82" s="166">
        <v>1.2312767845667899E-3</v>
      </c>
    </row>
    <row r="83" spans="1:24">
      <c r="A83" s="4">
        <v>1182</v>
      </c>
      <c r="B83" s="4">
        <v>14769</v>
      </c>
      <c r="C83" s="4" t="s">
        <v>1788</v>
      </c>
      <c r="D83" s="4" t="s">
        <v>1789</v>
      </c>
      <c r="E83" s="4" t="s">
        <v>1342</v>
      </c>
      <c r="F83" s="4" t="s">
        <v>1790</v>
      </c>
      <c r="G83" s="4" t="s">
        <v>1791</v>
      </c>
      <c r="H83" s="4" t="s">
        <v>356</v>
      </c>
      <c r="I83" s="4" t="s">
        <v>965</v>
      </c>
      <c r="J83" s="4" t="s">
        <v>30</v>
      </c>
      <c r="K83" s="4" t="s">
        <v>30</v>
      </c>
      <c r="L83" s="2" t="s">
        <v>362</v>
      </c>
      <c r="M83" s="2" t="s">
        <v>31</v>
      </c>
      <c r="N83" s="4" t="s">
        <v>489</v>
      </c>
      <c r="O83" s="4" t="s">
        <v>155</v>
      </c>
      <c r="P83" s="4" t="s">
        <v>34</v>
      </c>
      <c r="Q83" s="152">
        <v>4448</v>
      </c>
      <c r="R83" s="167">
        <v>1</v>
      </c>
      <c r="S83" s="169">
        <v>1588</v>
      </c>
      <c r="U83" s="152">
        <v>70.634</v>
      </c>
      <c r="V83" s="166">
        <v>3.0000000000000001E-6</v>
      </c>
      <c r="W83" s="166">
        <v>2.65375882212378E-2</v>
      </c>
      <c r="X83" s="166">
        <v>4.1151061732303202E-3</v>
      </c>
    </row>
    <row r="84" spans="1:24">
      <c r="A84" s="4">
        <v>1182</v>
      </c>
      <c r="B84" s="4">
        <v>14769</v>
      </c>
      <c r="C84" s="4" t="s">
        <v>1792</v>
      </c>
      <c r="D84" s="4" t="s">
        <v>1793</v>
      </c>
      <c r="E84" s="4" t="s">
        <v>1342</v>
      </c>
      <c r="F84" s="4" t="s">
        <v>1794</v>
      </c>
      <c r="G84" s="4" t="s">
        <v>1795</v>
      </c>
      <c r="H84" s="4" t="s">
        <v>356</v>
      </c>
      <c r="I84" s="4" t="s">
        <v>965</v>
      </c>
      <c r="J84" s="4" t="s">
        <v>30</v>
      </c>
      <c r="K84" s="4" t="s">
        <v>30</v>
      </c>
      <c r="L84" s="2" t="s">
        <v>362</v>
      </c>
      <c r="M84" s="2" t="s">
        <v>31</v>
      </c>
      <c r="N84" s="4" t="s">
        <v>478</v>
      </c>
      <c r="O84" s="4" t="s">
        <v>155</v>
      </c>
      <c r="P84" s="4" t="s">
        <v>34</v>
      </c>
      <c r="Q84" s="152">
        <v>82</v>
      </c>
      <c r="R84" s="167">
        <v>1</v>
      </c>
      <c r="S84" s="169">
        <v>12010</v>
      </c>
      <c r="U84" s="152">
        <v>9.8480000000000008</v>
      </c>
      <c r="V84" s="166">
        <v>6.0000000000000002E-6</v>
      </c>
      <c r="W84" s="166">
        <v>3.7000111605985202E-3</v>
      </c>
      <c r="X84" s="166">
        <v>5.7374990677618802E-4</v>
      </c>
    </row>
    <row r="85" spans="1:24">
      <c r="A85" s="4">
        <v>1182</v>
      </c>
      <c r="B85" s="4">
        <v>14769</v>
      </c>
      <c r="C85" s="4" t="s">
        <v>1796</v>
      </c>
      <c r="D85" s="4" t="s">
        <v>1797</v>
      </c>
      <c r="E85" s="4" t="s">
        <v>1342</v>
      </c>
      <c r="F85" s="4" t="s">
        <v>1798</v>
      </c>
      <c r="G85" s="4" t="s">
        <v>1799</v>
      </c>
      <c r="H85" s="4" t="s">
        <v>356</v>
      </c>
      <c r="I85" s="4" t="s">
        <v>965</v>
      </c>
      <c r="J85" s="4" t="s">
        <v>30</v>
      </c>
      <c r="K85" s="4" t="s">
        <v>30</v>
      </c>
      <c r="L85" s="2" t="s">
        <v>362</v>
      </c>
      <c r="M85" s="2" t="s">
        <v>31</v>
      </c>
      <c r="N85" s="4" t="s">
        <v>496</v>
      </c>
      <c r="O85" s="4" t="s">
        <v>155</v>
      </c>
      <c r="P85" s="4" t="s">
        <v>34</v>
      </c>
      <c r="Q85" s="152">
        <v>111</v>
      </c>
      <c r="R85" s="167">
        <v>1</v>
      </c>
      <c r="S85" s="169">
        <v>1271</v>
      </c>
      <c r="U85" s="152">
        <v>1.411</v>
      </c>
      <c r="V85" s="166">
        <v>9.9999999999999995E-7</v>
      </c>
      <c r="W85" s="166">
        <v>5.3004739398915496E-4</v>
      </c>
      <c r="X85" s="166">
        <v>8.2192898801701104E-5</v>
      </c>
    </row>
    <row r="86" spans="1:24">
      <c r="A86" s="4">
        <v>1182</v>
      </c>
      <c r="B86" s="4">
        <v>14769</v>
      </c>
      <c r="C86" s="4" t="s">
        <v>1804</v>
      </c>
      <c r="D86" s="4" t="s">
        <v>1805</v>
      </c>
      <c r="E86" s="4" t="s">
        <v>1342</v>
      </c>
      <c r="F86" s="4" t="s">
        <v>1806</v>
      </c>
      <c r="G86" s="4" t="s">
        <v>1807</v>
      </c>
      <c r="H86" s="4" t="s">
        <v>356</v>
      </c>
      <c r="I86" s="4" t="s">
        <v>965</v>
      </c>
      <c r="J86" s="4" t="s">
        <v>30</v>
      </c>
      <c r="K86" s="4" t="s">
        <v>30</v>
      </c>
      <c r="L86" s="2" t="s">
        <v>362</v>
      </c>
      <c r="M86" s="2" t="s">
        <v>31</v>
      </c>
      <c r="N86" s="4" t="s">
        <v>479</v>
      </c>
      <c r="O86" s="4" t="s">
        <v>155</v>
      </c>
      <c r="P86" s="4" t="s">
        <v>34</v>
      </c>
      <c r="Q86" s="152">
        <v>55</v>
      </c>
      <c r="R86" s="167">
        <v>1</v>
      </c>
      <c r="S86" s="169">
        <v>74080</v>
      </c>
      <c r="U86" s="152">
        <v>40.744</v>
      </c>
      <c r="V86" s="166">
        <v>9.9999999999999995E-7</v>
      </c>
      <c r="W86" s="166">
        <v>1.5307696302616299E-2</v>
      </c>
      <c r="X86" s="166">
        <v>2.3737196849870001E-3</v>
      </c>
    </row>
    <row r="87" spans="1:24">
      <c r="A87" s="4">
        <v>1182</v>
      </c>
      <c r="B87" s="4">
        <v>14769</v>
      </c>
      <c r="C87" s="4" t="s">
        <v>1808</v>
      </c>
      <c r="D87" s="4" t="s">
        <v>1809</v>
      </c>
      <c r="E87" s="4" t="s">
        <v>1342</v>
      </c>
      <c r="F87" s="4" t="s">
        <v>1810</v>
      </c>
      <c r="G87" s="4" t="s">
        <v>1811</v>
      </c>
      <c r="H87" s="4" t="s">
        <v>356</v>
      </c>
      <c r="I87" s="4" t="s">
        <v>965</v>
      </c>
      <c r="J87" s="4" t="s">
        <v>30</v>
      </c>
      <c r="K87" s="4" t="s">
        <v>30</v>
      </c>
      <c r="L87" s="2" t="s">
        <v>362</v>
      </c>
      <c r="M87" s="2" t="s">
        <v>31</v>
      </c>
      <c r="N87" s="4" t="s">
        <v>484</v>
      </c>
      <c r="O87" s="4" t="s">
        <v>155</v>
      </c>
      <c r="P87" s="4" t="s">
        <v>34</v>
      </c>
      <c r="Q87" s="152">
        <v>10</v>
      </c>
      <c r="R87" s="167">
        <v>1</v>
      </c>
      <c r="S87" s="169">
        <v>148500</v>
      </c>
      <c r="T87" s="151">
        <v>0.112</v>
      </c>
      <c r="U87" s="152">
        <v>14.962</v>
      </c>
      <c r="V87" s="166">
        <v>3.0000000000000001E-6</v>
      </c>
      <c r="W87" s="166">
        <v>5.6212953621066E-3</v>
      </c>
      <c r="X87" s="166">
        <v>8.7167782743886705E-4</v>
      </c>
    </row>
    <row r="88" spans="1:24">
      <c r="A88" s="4">
        <v>1182</v>
      </c>
      <c r="B88" s="4">
        <v>14769</v>
      </c>
      <c r="C88" s="4" t="s">
        <v>1812</v>
      </c>
      <c r="D88" s="4" t="s">
        <v>1813</v>
      </c>
      <c r="E88" s="4" t="s">
        <v>1342</v>
      </c>
      <c r="F88" s="4" t="s">
        <v>1814</v>
      </c>
      <c r="G88" s="4" t="s">
        <v>1815</v>
      </c>
      <c r="H88" s="4" t="s">
        <v>356</v>
      </c>
      <c r="I88" s="4" t="s">
        <v>965</v>
      </c>
      <c r="J88" s="4" t="s">
        <v>30</v>
      </c>
      <c r="K88" s="4" t="s">
        <v>98</v>
      </c>
      <c r="L88" s="2" t="s">
        <v>362</v>
      </c>
      <c r="M88" s="2" t="s">
        <v>31</v>
      </c>
      <c r="N88" s="4" t="s">
        <v>474</v>
      </c>
      <c r="O88" s="4" t="s">
        <v>155</v>
      </c>
      <c r="P88" s="4" t="s">
        <v>34</v>
      </c>
      <c r="Q88" s="152">
        <v>802</v>
      </c>
      <c r="R88" s="167">
        <v>1</v>
      </c>
      <c r="S88" s="169">
        <v>6254</v>
      </c>
      <c r="U88" s="152">
        <v>50.156999999999996</v>
      </c>
      <c r="V88" s="166">
        <v>6.9999999999999999E-6</v>
      </c>
      <c r="W88" s="166">
        <v>1.8844231004958498E-2</v>
      </c>
      <c r="X88" s="166">
        <v>2.9221197756103402E-3</v>
      </c>
    </row>
    <row r="89" spans="1:24">
      <c r="A89" s="4">
        <v>1182</v>
      </c>
      <c r="B89" s="4">
        <v>14769</v>
      </c>
      <c r="C89" s="4" t="s">
        <v>1816</v>
      </c>
      <c r="D89" s="4" t="s">
        <v>1817</v>
      </c>
      <c r="E89" s="4" t="s">
        <v>349</v>
      </c>
      <c r="F89" s="4" t="s">
        <v>1818</v>
      </c>
      <c r="G89" s="4" t="s">
        <v>1819</v>
      </c>
      <c r="H89" s="4" t="s">
        <v>356</v>
      </c>
      <c r="I89" s="4" t="s">
        <v>965</v>
      </c>
      <c r="J89" s="4" t="s">
        <v>30</v>
      </c>
      <c r="K89" s="4" t="s">
        <v>271</v>
      </c>
      <c r="L89" s="2" t="s">
        <v>362</v>
      </c>
      <c r="M89" s="2" t="s">
        <v>31</v>
      </c>
      <c r="N89" s="4" t="s">
        <v>487</v>
      </c>
      <c r="O89" s="4" t="s">
        <v>155</v>
      </c>
      <c r="P89" s="4" t="s">
        <v>34</v>
      </c>
      <c r="Q89" s="152">
        <v>876</v>
      </c>
      <c r="R89" s="167">
        <v>1</v>
      </c>
      <c r="S89" s="169">
        <v>4556</v>
      </c>
      <c r="U89" s="152">
        <v>39.911000000000001</v>
      </c>
      <c r="V89" s="166">
        <v>5.0000000000000004E-6</v>
      </c>
      <c r="W89" s="166">
        <v>1.4994569304617801E-2</v>
      </c>
      <c r="X89" s="166">
        <v>2.3251639974193701E-3</v>
      </c>
    </row>
    <row r="90" spans="1:24">
      <c r="A90" s="4">
        <v>1182</v>
      </c>
      <c r="B90" s="4">
        <v>14769</v>
      </c>
      <c r="C90" s="4" t="s">
        <v>1820</v>
      </c>
      <c r="D90" s="4" t="s">
        <v>1821</v>
      </c>
      <c r="E90" s="4" t="s">
        <v>1342</v>
      </c>
      <c r="F90" s="4" t="s">
        <v>1822</v>
      </c>
      <c r="G90" s="4" t="s">
        <v>1823</v>
      </c>
      <c r="H90" s="4" t="s">
        <v>356</v>
      </c>
      <c r="I90" s="4" t="s">
        <v>965</v>
      </c>
      <c r="J90" s="4" t="s">
        <v>30</v>
      </c>
      <c r="K90" s="4" t="s">
        <v>30</v>
      </c>
      <c r="L90" s="2" t="s">
        <v>362</v>
      </c>
      <c r="M90" s="2" t="s">
        <v>31</v>
      </c>
      <c r="N90" s="4" t="s">
        <v>474</v>
      </c>
      <c r="O90" s="4" t="s">
        <v>155</v>
      </c>
      <c r="P90" s="4" t="s">
        <v>34</v>
      </c>
      <c r="Q90" s="152">
        <v>1793</v>
      </c>
      <c r="R90" s="167">
        <v>1</v>
      </c>
      <c r="S90" s="169">
        <v>1348</v>
      </c>
      <c r="U90" s="152">
        <v>24.17</v>
      </c>
      <c r="V90" s="166">
        <v>3.0000000000000001E-6</v>
      </c>
      <c r="W90" s="166">
        <v>9.0806378574407893E-3</v>
      </c>
      <c r="X90" s="166">
        <v>1.4081079483371599E-3</v>
      </c>
    </row>
    <row r="91" spans="1:24">
      <c r="A91" s="4">
        <v>1182</v>
      </c>
      <c r="B91" s="4">
        <v>14769</v>
      </c>
      <c r="C91" s="4" t="s">
        <v>1828</v>
      </c>
      <c r="D91" s="4" t="s">
        <v>1829</v>
      </c>
      <c r="E91" s="4" t="s">
        <v>1342</v>
      </c>
      <c r="F91" s="4" t="s">
        <v>1830</v>
      </c>
      <c r="G91" s="4" t="s">
        <v>1831</v>
      </c>
      <c r="H91" s="4" t="s">
        <v>356</v>
      </c>
      <c r="I91" s="4" t="s">
        <v>965</v>
      </c>
      <c r="J91" s="4" t="s">
        <v>30</v>
      </c>
      <c r="K91" s="4" t="s">
        <v>30</v>
      </c>
      <c r="L91" s="2" t="s">
        <v>362</v>
      </c>
      <c r="M91" s="2" t="s">
        <v>31</v>
      </c>
      <c r="N91" s="4" t="s">
        <v>480</v>
      </c>
      <c r="O91" s="4" t="s">
        <v>155</v>
      </c>
      <c r="P91" s="4" t="s">
        <v>34</v>
      </c>
      <c r="Q91" s="152">
        <v>411</v>
      </c>
      <c r="R91" s="167">
        <v>1</v>
      </c>
      <c r="S91" s="169">
        <v>5176</v>
      </c>
      <c r="U91" s="152">
        <v>21.273</v>
      </c>
      <c r="V91" s="166">
        <v>3.9999999999999998E-6</v>
      </c>
      <c r="W91" s="166">
        <v>7.9924929858684896E-3</v>
      </c>
      <c r="X91" s="166">
        <v>1.23937250632768E-3</v>
      </c>
    </row>
    <row r="92" spans="1:24">
      <c r="A92" s="4">
        <v>1182</v>
      </c>
      <c r="B92" s="4">
        <v>14769</v>
      </c>
      <c r="C92" s="4" t="s">
        <v>1836</v>
      </c>
      <c r="D92" s="4" t="s">
        <v>1837</v>
      </c>
      <c r="E92" s="4" t="s">
        <v>1342</v>
      </c>
      <c r="F92" s="4" t="s">
        <v>1838</v>
      </c>
      <c r="G92" s="4" t="s">
        <v>1839</v>
      </c>
      <c r="H92" s="4" t="s">
        <v>356</v>
      </c>
      <c r="I92" s="4" t="s">
        <v>965</v>
      </c>
      <c r="J92" s="4" t="s">
        <v>30</v>
      </c>
      <c r="K92" s="4" t="s">
        <v>30</v>
      </c>
      <c r="L92" s="2" t="s">
        <v>362</v>
      </c>
      <c r="M92" s="2" t="s">
        <v>31</v>
      </c>
      <c r="N92" s="4" t="s">
        <v>473</v>
      </c>
      <c r="O92" s="4" t="s">
        <v>155</v>
      </c>
      <c r="P92" s="4" t="s">
        <v>34</v>
      </c>
      <c r="Q92" s="152">
        <v>973</v>
      </c>
      <c r="R92" s="167">
        <v>1</v>
      </c>
      <c r="S92" s="169">
        <v>96.1</v>
      </c>
      <c r="U92" s="152">
        <v>0.93500000000000005</v>
      </c>
      <c r="V92" s="166">
        <v>0</v>
      </c>
      <c r="W92" s="166">
        <v>3.51303439791142E-4</v>
      </c>
      <c r="X92" s="166">
        <v>5.4475596716231802E-5</v>
      </c>
    </row>
    <row r="93" spans="1:24">
      <c r="A93" s="4">
        <v>1182</v>
      </c>
      <c r="B93" s="4">
        <v>14769</v>
      </c>
      <c r="C93" s="4" t="s">
        <v>1840</v>
      </c>
      <c r="D93" s="4" t="s">
        <v>1841</v>
      </c>
      <c r="E93" s="4" t="s">
        <v>1342</v>
      </c>
      <c r="F93" s="4" t="s">
        <v>1842</v>
      </c>
      <c r="G93" s="4" t="s">
        <v>1843</v>
      </c>
      <c r="H93" s="4" t="s">
        <v>356</v>
      </c>
      <c r="I93" s="4" t="s">
        <v>965</v>
      </c>
      <c r="J93" s="4" t="s">
        <v>30</v>
      </c>
      <c r="K93" s="4" t="s">
        <v>30</v>
      </c>
      <c r="L93" s="2" t="s">
        <v>362</v>
      </c>
      <c r="M93" s="2" t="s">
        <v>31</v>
      </c>
      <c r="N93" s="4" t="s">
        <v>518</v>
      </c>
      <c r="O93" s="4" t="s">
        <v>155</v>
      </c>
      <c r="P93" s="4" t="s">
        <v>34</v>
      </c>
      <c r="Q93" s="152">
        <v>13523</v>
      </c>
      <c r="R93" s="167">
        <v>1</v>
      </c>
      <c r="S93" s="169">
        <v>428.6</v>
      </c>
      <c r="T93" s="151">
        <v>1.988</v>
      </c>
      <c r="U93" s="152">
        <v>59.948</v>
      </c>
      <c r="V93" s="166">
        <v>5.0000000000000004E-6</v>
      </c>
      <c r="W93" s="166">
        <v>2.2522713557331701E-2</v>
      </c>
      <c r="X93" s="166">
        <v>3.4925313040881502E-3</v>
      </c>
    </row>
    <row r="94" spans="1:24">
      <c r="A94" s="4">
        <v>1182</v>
      </c>
      <c r="B94" s="4">
        <v>14769</v>
      </c>
      <c r="C94" s="4" t="s">
        <v>1844</v>
      </c>
      <c r="D94" s="4" t="s">
        <v>1845</v>
      </c>
      <c r="E94" s="4" t="s">
        <v>1342</v>
      </c>
      <c r="F94" s="4" t="s">
        <v>1846</v>
      </c>
      <c r="G94" s="4" t="s">
        <v>1847</v>
      </c>
      <c r="H94" s="4" t="s">
        <v>356</v>
      </c>
      <c r="I94" s="4" t="s">
        <v>965</v>
      </c>
      <c r="J94" s="4" t="s">
        <v>30</v>
      </c>
      <c r="K94" s="4" t="s">
        <v>30</v>
      </c>
      <c r="L94" s="2" t="s">
        <v>362</v>
      </c>
      <c r="M94" s="2" t="s">
        <v>31</v>
      </c>
      <c r="N94" s="4" t="s">
        <v>497</v>
      </c>
      <c r="O94" s="4" t="s">
        <v>155</v>
      </c>
      <c r="P94" s="4" t="s">
        <v>34</v>
      </c>
      <c r="Q94" s="152">
        <v>54</v>
      </c>
      <c r="R94" s="167">
        <v>1</v>
      </c>
      <c r="S94" s="169">
        <v>41490</v>
      </c>
      <c r="U94" s="152">
        <v>22.405000000000001</v>
      </c>
      <c r="V94" s="166">
        <v>1.9999999999999999E-6</v>
      </c>
      <c r="W94" s="166">
        <v>8.4175047266247197E-3</v>
      </c>
      <c r="X94" s="166">
        <v>1.3052778336505901E-3</v>
      </c>
    </row>
    <row r="95" spans="1:24">
      <c r="A95" s="4">
        <v>1182</v>
      </c>
      <c r="B95" s="4">
        <v>14769</v>
      </c>
      <c r="C95" s="4" t="s">
        <v>1848</v>
      </c>
      <c r="D95" s="4" t="s">
        <v>1849</v>
      </c>
      <c r="E95" s="4" t="s">
        <v>1342</v>
      </c>
      <c r="F95" s="4" t="s">
        <v>1850</v>
      </c>
      <c r="G95" s="4" t="s">
        <v>1851</v>
      </c>
      <c r="H95" s="4" t="s">
        <v>356</v>
      </c>
      <c r="I95" s="4" t="s">
        <v>965</v>
      </c>
      <c r="J95" s="4" t="s">
        <v>30</v>
      </c>
      <c r="K95" s="4" t="s">
        <v>30</v>
      </c>
      <c r="L95" s="2" t="s">
        <v>362</v>
      </c>
      <c r="M95" s="2" t="s">
        <v>31</v>
      </c>
      <c r="N95" s="4" t="s">
        <v>481</v>
      </c>
      <c r="O95" s="4" t="s">
        <v>155</v>
      </c>
      <c r="P95" s="4" t="s">
        <v>34</v>
      </c>
      <c r="Q95" s="152">
        <v>241</v>
      </c>
      <c r="R95" s="167">
        <v>1</v>
      </c>
      <c r="S95" s="169">
        <v>15410</v>
      </c>
      <c r="U95" s="152">
        <v>37.137999999999998</v>
      </c>
      <c r="V95" s="166">
        <v>1.9999999999999999E-6</v>
      </c>
      <c r="W95" s="166">
        <v>1.39529441403936E-2</v>
      </c>
      <c r="X95" s="166">
        <v>2.16364223034105E-3</v>
      </c>
    </row>
    <row r="96" spans="1:24">
      <c r="A96" s="4">
        <v>1182</v>
      </c>
      <c r="B96" s="4">
        <v>14769</v>
      </c>
      <c r="C96" s="4" t="s">
        <v>1856</v>
      </c>
      <c r="D96" s="4" t="s">
        <v>1857</v>
      </c>
      <c r="E96" s="4" t="s">
        <v>1342</v>
      </c>
      <c r="F96" s="4" t="s">
        <v>1858</v>
      </c>
      <c r="G96" s="4" t="s">
        <v>1859</v>
      </c>
      <c r="H96" s="4" t="s">
        <v>356</v>
      </c>
      <c r="I96" s="4" t="s">
        <v>965</v>
      </c>
      <c r="J96" s="4" t="s">
        <v>30</v>
      </c>
      <c r="K96" s="4" t="s">
        <v>30</v>
      </c>
      <c r="L96" s="2" t="s">
        <v>362</v>
      </c>
      <c r="M96" s="2" t="s">
        <v>31</v>
      </c>
      <c r="N96" s="4" t="s">
        <v>481</v>
      </c>
      <c r="O96" s="4" t="s">
        <v>155</v>
      </c>
      <c r="P96" s="4" t="s">
        <v>34</v>
      </c>
      <c r="Q96" s="152">
        <v>4749</v>
      </c>
      <c r="R96" s="167">
        <v>1</v>
      </c>
      <c r="S96" s="169">
        <v>2085</v>
      </c>
      <c r="U96" s="152">
        <v>99.016999999999996</v>
      </c>
      <c r="V96" s="166">
        <v>3.9999999999999998E-6</v>
      </c>
      <c r="W96" s="166">
        <v>3.7200981913961699E-2</v>
      </c>
      <c r="X96" s="166">
        <v>5.7686474388000198E-3</v>
      </c>
    </row>
    <row r="97" spans="1:24">
      <c r="A97" s="4">
        <v>1182</v>
      </c>
      <c r="B97" s="4">
        <v>14769</v>
      </c>
      <c r="C97" s="4" t="s">
        <v>2101</v>
      </c>
      <c r="D97" s="4" t="s">
        <v>2102</v>
      </c>
      <c r="E97" s="4" t="s">
        <v>1342</v>
      </c>
      <c r="F97" s="4" t="s">
        <v>2103</v>
      </c>
      <c r="G97" s="4" t="s">
        <v>2104</v>
      </c>
      <c r="H97" s="4" t="s">
        <v>356</v>
      </c>
      <c r="I97" s="4" t="s">
        <v>965</v>
      </c>
      <c r="J97" s="4" t="s">
        <v>30</v>
      </c>
      <c r="K97" s="4" t="s">
        <v>30</v>
      </c>
      <c r="L97" s="2" t="s">
        <v>362</v>
      </c>
      <c r="M97" s="2" t="s">
        <v>31</v>
      </c>
      <c r="N97" s="4" t="s">
        <v>487</v>
      </c>
      <c r="O97" s="4" t="s">
        <v>155</v>
      </c>
      <c r="P97" s="4" t="s">
        <v>34</v>
      </c>
      <c r="Q97" s="152">
        <v>105</v>
      </c>
      <c r="R97" s="167">
        <v>1</v>
      </c>
      <c r="S97" s="169">
        <v>43600</v>
      </c>
      <c r="U97" s="152">
        <v>45.78</v>
      </c>
      <c r="V97" s="166">
        <v>6.0000000000000002E-6</v>
      </c>
      <c r="W97" s="166">
        <v>1.71997431949189E-2</v>
      </c>
      <c r="X97" s="166">
        <v>2.6671138616411001E-3</v>
      </c>
    </row>
    <row r="98" spans="1:24">
      <c r="A98" s="4">
        <v>1182</v>
      </c>
      <c r="B98" s="4">
        <v>14769</v>
      </c>
      <c r="C98" s="4" t="s">
        <v>1860</v>
      </c>
      <c r="D98" s="4" t="s">
        <v>1861</v>
      </c>
      <c r="E98" s="4" t="s">
        <v>1342</v>
      </c>
      <c r="F98" s="4" t="s">
        <v>1862</v>
      </c>
      <c r="G98" s="4" t="s">
        <v>1863</v>
      </c>
      <c r="H98" s="4" t="s">
        <v>356</v>
      </c>
      <c r="I98" s="4" t="s">
        <v>965</v>
      </c>
      <c r="J98" s="4" t="s">
        <v>30</v>
      </c>
      <c r="K98" s="4" t="s">
        <v>30</v>
      </c>
      <c r="L98" s="2" t="s">
        <v>362</v>
      </c>
      <c r="M98" s="2" t="s">
        <v>31</v>
      </c>
      <c r="N98" s="4" t="s">
        <v>470</v>
      </c>
      <c r="O98" s="4" t="s">
        <v>155</v>
      </c>
      <c r="P98" s="4" t="s">
        <v>34</v>
      </c>
      <c r="Q98" s="152">
        <v>158</v>
      </c>
      <c r="R98" s="167">
        <v>1</v>
      </c>
      <c r="S98" s="169">
        <v>16850</v>
      </c>
      <c r="U98" s="152">
        <v>26.623000000000001</v>
      </c>
      <c r="V98" s="166">
        <v>6.0000000000000002E-6</v>
      </c>
      <c r="W98" s="166">
        <v>1.0002375777158699E-2</v>
      </c>
      <c r="X98" s="166">
        <v>1.55103915112431E-3</v>
      </c>
    </row>
    <row r="99" spans="1:24">
      <c r="A99" s="4">
        <v>1182</v>
      </c>
      <c r="B99" s="4">
        <v>14769</v>
      </c>
      <c r="C99" s="4" t="s">
        <v>1864</v>
      </c>
      <c r="D99" s="4" t="s">
        <v>1865</v>
      </c>
      <c r="E99" s="4" t="s">
        <v>1342</v>
      </c>
      <c r="F99" s="4" t="s">
        <v>1866</v>
      </c>
      <c r="G99" s="4" t="s">
        <v>1867</v>
      </c>
      <c r="H99" s="4" t="s">
        <v>356</v>
      </c>
      <c r="I99" s="4" t="s">
        <v>965</v>
      </c>
      <c r="J99" s="4" t="s">
        <v>30</v>
      </c>
      <c r="K99" s="4" t="s">
        <v>30</v>
      </c>
      <c r="L99" s="2" t="s">
        <v>362</v>
      </c>
      <c r="M99" s="2" t="s">
        <v>31</v>
      </c>
      <c r="N99" s="4" t="s">
        <v>478</v>
      </c>
      <c r="O99" s="4" t="s">
        <v>155</v>
      </c>
      <c r="P99" s="4" t="s">
        <v>34</v>
      </c>
      <c r="Q99" s="152">
        <v>347</v>
      </c>
      <c r="R99" s="167">
        <v>1</v>
      </c>
      <c r="S99" s="169">
        <v>4200</v>
      </c>
      <c r="U99" s="152">
        <v>14.574</v>
      </c>
      <c r="V99" s="166">
        <v>9.9999999999999995E-7</v>
      </c>
      <c r="W99" s="166">
        <v>5.4755145767310604E-3</v>
      </c>
      <c r="X99" s="166">
        <v>8.4907202751326703E-4</v>
      </c>
    </row>
    <row r="100" spans="1:24">
      <c r="A100" s="4">
        <v>1182</v>
      </c>
      <c r="B100" s="4">
        <v>14769</v>
      </c>
      <c r="C100" s="4" t="s">
        <v>2105</v>
      </c>
      <c r="D100" s="4" t="s">
        <v>2106</v>
      </c>
      <c r="E100" s="4" t="s">
        <v>1342</v>
      </c>
      <c r="F100" s="4" t="s">
        <v>2107</v>
      </c>
      <c r="G100" s="4" t="s">
        <v>2108</v>
      </c>
      <c r="H100" s="4" t="s">
        <v>356</v>
      </c>
      <c r="I100" s="4" t="s">
        <v>965</v>
      </c>
      <c r="J100" s="4" t="s">
        <v>30</v>
      </c>
      <c r="K100" s="4" t="s">
        <v>30</v>
      </c>
      <c r="L100" s="2" t="s">
        <v>362</v>
      </c>
      <c r="M100" s="2" t="s">
        <v>31</v>
      </c>
      <c r="N100" s="4" t="s">
        <v>478</v>
      </c>
      <c r="O100" s="4" t="s">
        <v>155</v>
      </c>
      <c r="P100" s="4" t="s">
        <v>34</v>
      </c>
      <c r="Q100" s="152">
        <v>438</v>
      </c>
      <c r="R100" s="167">
        <v>1</v>
      </c>
      <c r="S100" s="169">
        <v>3619</v>
      </c>
      <c r="U100" s="152">
        <v>15.851000000000001</v>
      </c>
      <c r="V100" s="166">
        <v>1.9999999999999999E-6</v>
      </c>
      <c r="W100" s="166">
        <v>5.9553716322883797E-3</v>
      </c>
      <c r="X100" s="166">
        <v>9.2348205735960198E-4</v>
      </c>
    </row>
    <row r="101" spans="1:24">
      <c r="A101" s="4">
        <v>1182</v>
      </c>
      <c r="B101" s="4">
        <v>14769</v>
      </c>
      <c r="C101" s="4" t="s">
        <v>1872</v>
      </c>
      <c r="D101" s="4" t="s">
        <v>1873</v>
      </c>
      <c r="E101" s="4" t="s">
        <v>1342</v>
      </c>
      <c r="F101" s="4" t="s">
        <v>1874</v>
      </c>
      <c r="G101" s="4" t="s">
        <v>1875</v>
      </c>
      <c r="H101" s="4" t="s">
        <v>356</v>
      </c>
      <c r="I101" s="4" t="s">
        <v>965</v>
      </c>
      <c r="J101" s="4" t="s">
        <v>30</v>
      </c>
      <c r="K101" s="4" t="s">
        <v>30</v>
      </c>
      <c r="L101" s="2" t="s">
        <v>362</v>
      </c>
      <c r="M101" s="2" t="s">
        <v>31</v>
      </c>
      <c r="N101" s="4" t="s">
        <v>510</v>
      </c>
      <c r="O101" s="4" t="s">
        <v>155</v>
      </c>
      <c r="P101" s="4" t="s">
        <v>34</v>
      </c>
      <c r="Q101" s="152">
        <v>65</v>
      </c>
      <c r="R101" s="167">
        <v>1</v>
      </c>
      <c r="S101" s="169">
        <v>19560</v>
      </c>
      <c r="U101" s="152">
        <v>12.714</v>
      </c>
      <c r="V101" s="166">
        <v>3.0000000000000001E-6</v>
      </c>
      <c r="W101" s="166">
        <v>4.7767045648798301E-3</v>
      </c>
      <c r="X101" s="166">
        <v>7.4070960325262004E-4</v>
      </c>
    </row>
    <row r="102" spans="1:24">
      <c r="A102" s="4">
        <v>1182</v>
      </c>
      <c r="B102" s="4">
        <v>14769</v>
      </c>
      <c r="C102" s="4" t="s">
        <v>1880</v>
      </c>
      <c r="D102" s="4" t="s">
        <v>1881</v>
      </c>
      <c r="E102" s="4" t="s">
        <v>1342</v>
      </c>
      <c r="F102" s="4" t="s">
        <v>1882</v>
      </c>
      <c r="G102" s="4" t="s">
        <v>1883</v>
      </c>
      <c r="H102" s="4" t="s">
        <v>356</v>
      </c>
      <c r="I102" s="4" t="s">
        <v>965</v>
      </c>
      <c r="J102" s="4" t="s">
        <v>30</v>
      </c>
      <c r="K102" s="4" t="s">
        <v>334</v>
      </c>
      <c r="L102" s="2" t="s">
        <v>362</v>
      </c>
      <c r="M102" s="2" t="s">
        <v>31</v>
      </c>
      <c r="N102" s="4" t="s">
        <v>491</v>
      </c>
      <c r="O102" s="4" t="s">
        <v>155</v>
      </c>
      <c r="P102" s="4" t="s">
        <v>34</v>
      </c>
      <c r="Q102" s="152">
        <v>400</v>
      </c>
      <c r="R102" s="167">
        <v>1</v>
      </c>
      <c r="S102" s="169">
        <v>16470</v>
      </c>
      <c r="U102" s="152">
        <v>65.88</v>
      </c>
      <c r="V102" s="166">
        <v>3.9999999999999998E-6</v>
      </c>
      <c r="W102" s="166">
        <v>2.4751399774601501E-2</v>
      </c>
      <c r="X102" s="166">
        <v>3.83812715607068E-3</v>
      </c>
    </row>
    <row r="103" spans="1:24">
      <c r="A103" s="4">
        <v>1182</v>
      </c>
      <c r="B103" s="4">
        <v>14769</v>
      </c>
      <c r="C103" s="4" t="s">
        <v>1884</v>
      </c>
      <c r="D103" s="4" t="s">
        <v>1885</v>
      </c>
      <c r="E103" s="4" t="s">
        <v>1342</v>
      </c>
      <c r="F103" s="4" t="s">
        <v>1886</v>
      </c>
      <c r="G103" s="4" t="s">
        <v>1887</v>
      </c>
      <c r="H103" s="4" t="s">
        <v>356</v>
      </c>
      <c r="I103" s="4" t="s">
        <v>965</v>
      </c>
      <c r="J103" s="4" t="s">
        <v>30</v>
      </c>
      <c r="K103" s="4" t="s">
        <v>98</v>
      </c>
      <c r="L103" s="2" t="s">
        <v>362</v>
      </c>
      <c r="M103" s="2" t="s">
        <v>31</v>
      </c>
      <c r="N103" s="4" t="s">
        <v>500</v>
      </c>
      <c r="O103" s="4" t="s">
        <v>155</v>
      </c>
      <c r="P103" s="4" t="s">
        <v>34</v>
      </c>
      <c r="Q103" s="152">
        <v>1253</v>
      </c>
      <c r="R103" s="167">
        <v>1</v>
      </c>
      <c r="S103" s="169">
        <v>6629</v>
      </c>
      <c r="U103" s="152">
        <v>83.061000000000007</v>
      </c>
      <c r="V103" s="166">
        <v>9.9999999999999995E-7</v>
      </c>
      <c r="W103" s="166">
        <v>3.12065144914404E-2</v>
      </c>
      <c r="X103" s="166">
        <v>4.8391029116186101E-3</v>
      </c>
    </row>
    <row r="104" spans="1:24">
      <c r="A104" s="4">
        <v>1182</v>
      </c>
      <c r="B104" s="4">
        <v>14769</v>
      </c>
      <c r="C104" s="4" t="s">
        <v>1888</v>
      </c>
      <c r="D104" s="4" t="s">
        <v>1889</v>
      </c>
      <c r="E104" s="4" t="s">
        <v>1342</v>
      </c>
      <c r="F104" s="4" t="s">
        <v>1890</v>
      </c>
      <c r="G104" s="4" t="s">
        <v>1891</v>
      </c>
      <c r="H104" s="4" t="s">
        <v>356</v>
      </c>
      <c r="I104" s="4" t="s">
        <v>965</v>
      </c>
      <c r="J104" s="4" t="s">
        <v>30</v>
      </c>
      <c r="K104" s="4" t="s">
        <v>30</v>
      </c>
      <c r="L104" s="2" t="s">
        <v>362</v>
      </c>
      <c r="M104" s="2" t="s">
        <v>31</v>
      </c>
      <c r="N104" s="4" t="s">
        <v>509</v>
      </c>
      <c r="O104" s="4" t="s">
        <v>155</v>
      </c>
      <c r="P104" s="4" t="s">
        <v>34</v>
      </c>
      <c r="Q104" s="152">
        <v>5251</v>
      </c>
      <c r="R104" s="167">
        <v>1</v>
      </c>
      <c r="S104" s="169">
        <v>598</v>
      </c>
      <c r="U104" s="152">
        <v>31.401</v>
      </c>
      <c r="V104" s="166">
        <v>4.8999999999999998E-5</v>
      </c>
      <c r="W104" s="166">
        <v>1.17974834440538E-2</v>
      </c>
      <c r="X104" s="166">
        <v>1.8294012456774799E-3</v>
      </c>
    </row>
    <row r="105" spans="1:24">
      <c r="A105" s="4">
        <v>1182</v>
      </c>
      <c r="B105" s="4">
        <v>14769</v>
      </c>
      <c r="C105" s="4" t="s">
        <v>1892</v>
      </c>
      <c r="D105" s="4" t="s">
        <v>1893</v>
      </c>
      <c r="E105" s="4" t="s">
        <v>1342</v>
      </c>
      <c r="F105" s="4" t="s">
        <v>1894</v>
      </c>
      <c r="G105" s="4" t="s">
        <v>1895</v>
      </c>
      <c r="H105" s="4" t="s">
        <v>356</v>
      </c>
      <c r="I105" s="4" t="s">
        <v>965</v>
      </c>
      <c r="J105" s="4" t="s">
        <v>30</v>
      </c>
      <c r="K105" s="4" t="s">
        <v>30</v>
      </c>
      <c r="L105" s="2" t="s">
        <v>362</v>
      </c>
      <c r="M105" s="2" t="s">
        <v>31</v>
      </c>
      <c r="N105" s="4" t="s">
        <v>512</v>
      </c>
      <c r="O105" s="4" t="s">
        <v>155</v>
      </c>
      <c r="P105" s="4" t="s">
        <v>34</v>
      </c>
      <c r="Q105" s="152">
        <v>9634</v>
      </c>
      <c r="R105" s="167">
        <v>1</v>
      </c>
      <c r="S105" s="169">
        <v>1373</v>
      </c>
      <c r="U105" s="152">
        <v>132.27500000000001</v>
      </c>
      <c r="V105" s="166">
        <v>4.8000000000000001E-5</v>
      </c>
      <c r="W105" s="166">
        <v>4.9696219640762797E-2</v>
      </c>
      <c r="X105" s="166">
        <v>7.7062473999143996E-3</v>
      </c>
    </row>
    <row r="106" spans="1:24">
      <c r="A106" s="4">
        <v>1182</v>
      </c>
      <c r="B106" s="4">
        <v>14769</v>
      </c>
      <c r="C106" s="4" t="s">
        <v>1896</v>
      </c>
      <c r="D106" s="4" t="s">
        <v>1897</v>
      </c>
      <c r="E106" s="4" t="s">
        <v>1342</v>
      </c>
      <c r="F106" s="4" t="s">
        <v>1898</v>
      </c>
      <c r="G106" s="4" t="s">
        <v>1899</v>
      </c>
      <c r="H106" s="4" t="s">
        <v>356</v>
      </c>
      <c r="I106" s="4" t="s">
        <v>965</v>
      </c>
      <c r="J106" s="4" t="s">
        <v>30</v>
      </c>
      <c r="K106" s="4" t="s">
        <v>30</v>
      </c>
      <c r="L106" s="2" t="s">
        <v>362</v>
      </c>
      <c r="M106" s="2" t="s">
        <v>31</v>
      </c>
      <c r="N106" s="4" t="s">
        <v>478</v>
      </c>
      <c r="O106" s="4" t="s">
        <v>155</v>
      </c>
      <c r="P106" s="4" t="s">
        <v>34</v>
      </c>
      <c r="Q106" s="152">
        <v>311</v>
      </c>
      <c r="R106" s="167">
        <v>1</v>
      </c>
      <c r="S106" s="169">
        <v>6329</v>
      </c>
      <c r="U106" s="152">
        <v>19.683</v>
      </c>
      <c r="V106" s="166">
        <v>3.9999999999999998E-6</v>
      </c>
      <c r="W106" s="166">
        <v>7.3950592672956603E-3</v>
      </c>
      <c r="X106" s="166">
        <v>1.14673020730265E-3</v>
      </c>
    </row>
    <row r="107" spans="1:24">
      <c r="A107" s="4">
        <v>1182</v>
      </c>
      <c r="B107" s="4">
        <v>14769</v>
      </c>
      <c r="C107" s="4" t="s">
        <v>1212</v>
      </c>
      <c r="D107" s="4" t="s">
        <v>1900</v>
      </c>
      <c r="E107" s="4" t="s">
        <v>1342</v>
      </c>
      <c r="F107" s="4" t="s">
        <v>1901</v>
      </c>
      <c r="G107" s="4" t="s">
        <v>1902</v>
      </c>
      <c r="H107" s="4" t="s">
        <v>356</v>
      </c>
      <c r="I107" s="4" t="s">
        <v>965</v>
      </c>
      <c r="J107" s="4" t="s">
        <v>30</v>
      </c>
      <c r="K107" s="4" t="s">
        <v>30</v>
      </c>
      <c r="L107" s="2" t="s">
        <v>362</v>
      </c>
      <c r="M107" s="2" t="s">
        <v>31</v>
      </c>
      <c r="N107" s="4" t="s">
        <v>481</v>
      </c>
      <c r="O107" s="4" t="s">
        <v>155</v>
      </c>
      <c r="P107" s="4" t="s">
        <v>34</v>
      </c>
      <c r="Q107" s="152">
        <v>3857</v>
      </c>
      <c r="R107" s="167">
        <v>1</v>
      </c>
      <c r="S107" s="169">
        <v>3644</v>
      </c>
      <c r="U107" s="152">
        <v>140.54900000000001</v>
      </c>
      <c r="V107" s="166">
        <v>3.0000000000000001E-6</v>
      </c>
      <c r="W107" s="166">
        <v>5.2804894763698297E-2</v>
      </c>
      <c r="X107" s="166">
        <v>8.1883005572062802E-3</v>
      </c>
    </row>
    <row r="108" spans="1:24">
      <c r="A108" s="4">
        <v>1182</v>
      </c>
      <c r="B108" s="4">
        <v>14769</v>
      </c>
      <c r="C108" s="4" t="s">
        <v>2109</v>
      </c>
      <c r="D108" s="4" t="s">
        <v>2110</v>
      </c>
      <c r="E108" s="4" t="s">
        <v>1342</v>
      </c>
      <c r="F108" s="4" t="s">
        <v>2111</v>
      </c>
      <c r="G108" s="4" t="s">
        <v>2112</v>
      </c>
      <c r="H108" s="4" t="s">
        <v>356</v>
      </c>
      <c r="I108" s="4" t="s">
        <v>965</v>
      </c>
      <c r="J108" s="4" t="s">
        <v>30</v>
      </c>
      <c r="K108" s="4" t="s">
        <v>30</v>
      </c>
      <c r="L108" s="2" t="s">
        <v>362</v>
      </c>
      <c r="M108" s="2" t="s">
        <v>31</v>
      </c>
      <c r="N108" s="4" t="s">
        <v>509</v>
      </c>
      <c r="O108" s="4" t="s">
        <v>155</v>
      </c>
      <c r="P108" s="4" t="s">
        <v>34</v>
      </c>
      <c r="Q108" s="152">
        <v>49</v>
      </c>
      <c r="R108" s="167">
        <v>1</v>
      </c>
      <c r="S108" s="169">
        <v>22390</v>
      </c>
      <c r="U108" s="152">
        <v>10.971</v>
      </c>
      <c r="V108" s="166">
        <v>3.0000000000000001E-6</v>
      </c>
      <c r="W108" s="166">
        <v>4.1218895274306401E-3</v>
      </c>
      <c r="X108" s="166">
        <v>6.3916935097096202E-4</v>
      </c>
    </row>
    <row r="109" spans="1:24">
      <c r="A109" s="4">
        <v>1182</v>
      </c>
      <c r="B109" s="4">
        <v>14769</v>
      </c>
      <c r="C109" s="4" t="s">
        <v>1903</v>
      </c>
      <c r="D109" s="4" t="s">
        <v>1904</v>
      </c>
      <c r="E109" s="4" t="s">
        <v>1342</v>
      </c>
      <c r="F109" s="4" t="s">
        <v>1905</v>
      </c>
      <c r="G109" s="4" t="s">
        <v>1906</v>
      </c>
      <c r="H109" s="4" t="s">
        <v>356</v>
      </c>
      <c r="I109" s="4" t="s">
        <v>965</v>
      </c>
      <c r="J109" s="4" t="s">
        <v>30</v>
      </c>
      <c r="K109" s="4" t="s">
        <v>30</v>
      </c>
      <c r="L109" s="2" t="s">
        <v>362</v>
      </c>
      <c r="M109" s="2" t="s">
        <v>31</v>
      </c>
      <c r="N109" s="4" t="s">
        <v>497</v>
      </c>
      <c r="O109" s="4" t="s">
        <v>155</v>
      </c>
      <c r="P109" s="4" t="s">
        <v>34</v>
      </c>
      <c r="Q109" s="152">
        <v>5768</v>
      </c>
      <c r="R109" s="167">
        <v>1</v>
      </c>
      <c r="S109" s="169">
        <v>954</v>
      </c>
      <c r="U109" s="152">
        <v>55.027000000000001</v>
      </c>
      <c r="V109" s="166">
        <v>7.9999999999999996E-6</v>
      </c>
      <c r="W109" s="166">
        <v>2.0673775728674199E-2</v>
      </c>
      <c r="X109" s="166">
        <v>3.2058219238235799E-3</v>
      </c>
    </row>
    <row r="110" spans="1:24">
      <c r="A110" s="4">
        <v>1182</v>
      </c>
      <c r="B110" s="4">
        <v>14769</v>
      </c>
      <c r="C110" s="4" t="s">
        <v>2113</v>
      </c>
      <c r="D110" s="4" t="s">
        <v>1486</v>
      </c>
      <c r="E110" s="4" t="s">
        <v>1342</v>
      </c>
      <c r="F110" s="4" t="s">
        <v>2114</v>
      </c>
      <c r="G110" s="4" t="s">
        <v>2115</v>
      </c>
      <c r="H110" s="4" t="s">
        <v>356</v>
      </c>
      <c r="I110" s="4" t="s">
        <v>965</v>
      </c>
      <c r="J110" s="4" t="s">
        <v>30</v>
      </c>
      <c r="K110" s="4" t="s">
        <v>30</v>
      </c>
      <c r="L110" s="2" t="s">
        <v>362</v>
      </c>
      <c r="M110" s="2" t="s">
        <v>31</v>
      </c>
      <c r="N110" s="4" t="s">
        <v>481</v>
      </c>
      <c r="O110" s="4" t="s">
        <v>155</v>
      </c>
      <c r="P110" s="4" t="s">
        <v>34</v>
      </c>
      <c r="Q110" s="152">
        <v>250</v>
      </c>
      <c r="R110" s="167">
        <v>1</v>
      </c>
      <c r="S110" s="169">
        <v>14550</v>
      </c>
      <c r="U110" s="152">
        <v>36.375</v>
      </c>
      <c r="V110" s="166">
        <v>9.9999999999999995E-7</v>
      </c>
      <c r="W110" s="166">
        <v>1.3666244183380799E-2</v>
      </c>
      <c r="X110" s="166">
        <v>2.1191845067102398E-3</v>
      </c>
    </row>
    <row r="111" spans="1:24">
      <c r="A111" s="4">
        <v>1182</v>
      </c>
      <c r="B111" s="4">
        <v>14769</v>
      </c>
      <c r="C111" s="4" t="s">
        <v>1919</v>
      </c>
      <c r="D111" s="4" t="s">
        <v>1920</v>
      </c>
      <c r="E111" s="4" t="s">
        <v>1342</v>
      </c>
      <c r="F111" s="4" t="s">
        <v>1921</v>
      </c>
      <c r="G111" s="4" t="s">
        <v>1922</v>
      </c>
      <c r="H111" s="4" t="s">
        <v>356</v>
      </c>
      <c r="I111" s="4" t="s">
        <v>965</v>
      </c>
      <c r="J111" s="4" t="s">
        <v>30</v>
      </c>
      <c r="K111" s="4" t="s">
        <v>30</v>
      </c>
      <c r="L111" s="2" t="s">
        <v>362</v>
      </c>
      <c r="M111" s="2" t="s">
        <v>31</v>
      </c>
      <c r="N111" s="4" t="s">
        <v>497</v>
      </c>
      <c r="O111" s="4" t="s">
        <v>155</v>
      </c>
      <c r="P111" s="4" t="s">
        <v>34</v>
      </c>
      <c r="Q111" s="152">
        <v>57</v>
      </c>
      <c r="R111" s="167">
        <v>1</v>
      </c>
      <c r="S111" s="169">
        <v>28210</v>
      </c>
      <c r="U111" s="152">
        <v>16.079999999999998</v>
      </c>
      <c r="V111" s="166">
        <v>9.9999999999999995E-7</v>
      </c>
      <c r="W111" s="166">
        <v>6.0412125524538498E-3</v>
      </c>
      <c r="X111" s="166">
        <v>9.3679315773329799E-4</v>
      </c>
    </row>
    <row r="112" spans="1:24">
      <c r="A112" s="4">
        <v>1182</v>
      </c>
      <c r="B112" s="4">
        <v>14769</v>
      </c>
      <c r="C112" s="4" t="s">
        <v>1923</v>
      </c>
      <c r="D112" s="4" t="s">
        <v>1924</v>
      </c>
      <c r="E112" s="4" t="s">
        <v>1342</v>
      </c>
      <c r="F112" s="4" t="s">
        <v>1925</v>
      </c>
      <c r="G112" s="4" t="s">
        <v>1926</v>
      </c>
      <c r="H112" s="4" t="s">
        <v>356</v>
      </c>
      <c r="I112" s="4" t="s">
        <v>965</v>
      </c>
      <c r="J112" s="4" t="s">
        <v>30</v>
      </c>
      <c r="K112" s="4" t="s">
        <v>30</v>
      </c>
      <c r="L112" s="2" t="s">
        <v>362</v>
      </c>
      <c r="M112" s="2" t="s">
        <v>31</v>
      </c>
      <c r="N112" s="4" t="s">
        <v>478</v>
      </c>
      <c r="O112" s="4" t="s">
        <v>155</v>
      </c>
      <c r="P112" s="4" t="s">
        <v>34</v>
      </c>
      <c r="Q112" s="152">
        <v>433</v>
      </c>
      <c r="R112" s="167">
        <v>1</v>
      </c>
      <c r="S112" s="169">
        <v>10880</v>
      </c>
      <c r="U112" s="152">
        <v>47.11</v>
      </c>
      <c r="V112" s="166">
        <v>6.9999999999999999E-6</v>
      </c>
      <c r="W112" s="166">
        <v>1.7699580205546201E-2</v>
      </c>
      <c r="X112" s="166">
        <v>2.7446221246713999E-3</v>
      </c>
    </row>
    <row r="113" spans="1:24">
      <c r="A113" s="4">
        <v>1182</v>
      </c>
      <c r="B113" s="4">
        <v>14769</v>
      </c>
      <c r="C113" s="4" t="s">
        <v>1927</v>
      </c>
      <c r="D113" s="4" t="s">
        <v>1483</v>
      </c>
      <c r="E113" s="4" t="s">
        <v>1342</v>
      </c>
      <c r="F113" s="4" t="s">
        <v>1928</v>
      </c>
      <c r="G113" s="4" t="s">
        <v>1929</v>
      </c>
      <c r="H113" s="4" t="s">
        <v>356</v>
      </c>
      <c r="I113" s="4" t="s">
        <v>965</v>
      </c>
      <c r="J113" s="4" t="s">
        <v>30</v>
      </c>
      <c r="K113" s="4" t="s">
        <v>30</v>
      </c>
      <c r="L113" s="2" t="s">
        <v>362</v>
      </c>
      <c r="M113" s="2" t="s">
        <v>31</v>
      </c>
      <c r="N113" s="4" t="s">
        <v>476</v>
      </c>
      <c r="O113" s="4" t="s">
        <v>155</v>
      </c>
      <c r="P113" s="4" t="s">
        <v>34</v>
      </c>
      <c r="Q113" s="152">
        <v>198</v>
      </c>
      <c r="R113" s="167">
        <v>1</v>
      </c>
      <c r="S113" s="169">
        <v>1350</v>
      </c>
      <c r="U113" s="152">
        <v>2.673</v>
      </c>
      <c r="V113" s="166">
        <v>3.0000000000000001E-6</v>
      </c>
      <c r="W113" s="166">
        <v>1.0042576138055499E-3</v>
      </c>
      <c r="X113" s="166">
        <v>1.5572729034876899E-4</v>
      </c>
    </row>
    <row r="114" spans="1:24">
      <c r="A114" s="4">
        <v>1182</v>
      </c>
      <c r="B114" s="4">
        <v>14769</v>
      </c>
      <c r="C114" s="4" t="s">
        <v>1930</v>
      </c>
      <c r="D114" s="4" t="s">
        <v>1931</v>
      </c>
      <c r="E114" s="4" t="s">
        <v>1342</v>
      </c>
      <c r="F114" s="4" t="s">
        <v>1932</v>
      </c>
      <c r="G114" s="4" t="s">
        <v>1933</v>
      </c>
      <c r="H114" s="4" t="s">
        <v>356</v>
      </c>
      <c r="I114" s="4" t="s">
        <v>965</v>
      </c>
      <c r="J114" s="4" t="s">
        <v>30</v>
      </c>
      <c r="K114" s="4" t="s">
        <v>30</v>
      </c>
      <c r="L114" s="2" t="s">
        <v>362</v>
      </c>
      <c r="M114" s="2" t="s">
        <v>31</v>
      </c>
      <c r="N114" s="4" t="s">
        <v>509</v>
      </c>
      <c r="O114" s="4" t="s">
        <v>155</v>
      </c>
      <c r="P114" s="4" t="s">
        <v>34</v>
      </c>
      <c r="Q114" s="152">
        <v>950</v>
      </c>
      <c r="R114" s="167">
        <v>1</v>
      </c>
      <c r="S114" s="169">
        <v>1049</v>
      </c>
      <c r="U114" s="152">
        <v>9.9659999999999993</v>
      </c>
      <c r="V114" s="166">
        <v>6.9999999999999999E-6</v>
      </c>
      <c r="W114" s="166">
        <v>3.74408127586204E-3</v>
      </c>
      <c r="X114" s="166">
        <v>5.8058373062875397E-4</v>
      </c>
    </row>
    <row r="115" spans="1:24">
      <c r="A115" s="4">
        <v>1182</v>
      </c>
      <c r="B115" s="4">
        <v>14769</v>
      </c>
      <c r="C115" s="4" t="s">
        <v>1934</v>
      </c>
      <c r="D115" s="4" t="s">
        <v>1935</v>
      </c>
      <c r="E115" s="4" t="s">
        <v>348</v>
      </c>
      <c r="F115" s="4" t="s">
        <v>1936</v>
      </c>
      <c r="G115" s="4" t="s">
        <v>1937</v>
      </c>
      <c r="H115" s="4" t="s">
        <v>356</v>
      </c>
      <c r="I115" s="4" t="s">
        <v>965</v>
      </c>
      <c r="J115" s="4" t="s">
        <v>30</v>
      </c>
      <c r="K115" s="4" t="s">
        <v>30</v>
      </c>
      <c r="L115" s="2" t="s">
        <v>362</v>
      </c>
      <c r="M115" s="2" t="s">
        <v>31</v>
      </c>
      <c r="N115" s="4" t="s">
        <v>487</v>
      </c>
      <c r="O115" s="4" t="s">
        <v>155</v>
      </c>
      <c r="P115" s="4" t="s">
        <v>34</v>
      </c>
      <c r="Q115" s="152">
        <v>5251</v>
      </c>
      <c r="R115" s="167">
        <v>1</v>
      </c>
      <c r="S115" s="169">
        <v>1025</v>
      </c>
      <c r="U115" s="152">
        <v>53.823</v>
      </c>
      <c r="V115" s="166">
        <v>3.9999999999999998E-6</v>
      </c>
      <c r="W115" s="166">
        <v>2.0221439013637401E-2</v>
      </c>
      <c r="X115" s="166">
        <v>3.1356793926746E-3</v>
      </c>
    </row>
    <row r="116" spans="1:24">
      <c r="A116" s="4">
        <v>1182</v>
      </c>
      <c r="B116" s="4">
        <v>14769</v>
      </c>
      <c r="C116" s="4" t="s">
        <v>1938</v>
      </c>
      <c r="D116" s="4" t="s">
        <v>1939</v>
      </c>
      <c r="E116" s="4" t="s">
        <v>1342</v>
      </c>
      <c r="F116" s="4" t="s">
        <v>1940</v>
      </c>
      <c r="G116" s="4" t="s">
        <v>1941</v>
      </c>
      <c r="H116" s="4" t="s">
        <v>356</v>
      </c>
      <c r="I116" s="4" t="s">
        <v>965</v>
      </c>
      <c r="J116" s="4" t="s">
        <v>30</v>
      </c>
      <c r="K116" s="4" t="s">
        <v>98</v>
      </c>
      <c r="L116" s="2" t="s">
        <v>362</v>
      </c>
      <c r="M116" s="2" t="s">
        <v>31</v>
      </c>
      <c r="N116" s="4" t="s">
        <v>514</v>
      </c>
      <c r="O116" s="4" t="s">
        <v>155</v>
      </c>
      <c r="P116" s="4" t="s">
        <v>34</v>
      </c>
      <c r="Q116" s="152">
        <v>181</v>
      </c>
      <c r="R116" s="167">
        <v>1</v>
      </c>
      <c r="S116" s="169">
        <v>64880</v>
      </c>
      <c r="U116" s="152">
        <v>117.43300000000001</v>
      </c>
      <c r="V116" s="166">
        <v>3.0000000000000001E-6</v>
      </c>
      <c r="W116" s="166">
        <v>4.4120008795549802E-2</v>
      </c>
      <c r="X116" s="166">
        <v>6.8415606966213804E-3</v>
      </c>
    </row>
    <row r="117" spans="1:24">
      <c r="A117" s="4">
        <v>1182</v>
      </c>
      <c r="B117" s="4">
        <v>14769</v>
      </c>
      <c r="C117" s="4" t="s">
        <v>2116</v>
      </c>
      <c r="D117" s="4" t="s">
        <v>2117</v>
      </c>
      <c r="E117" s="4" t="s">
        <v>1342</v>
      </c>
      <c r="F117" s="4" t="s">
        <v>2116</v>
      </c>
      <c r="G117" s="4" t="s">
        <v>2118</v>
      </c>
      <c r="H117" s="4" t="s">
        <v>356</v>
      </c>
      <c r="I117" s="4" t="s">
        <v>965</v>
      </c>
      <c r="J117" s="4" t="s">
        <v>30</v>
      </c>
      <c r="K117" s="4" t="s">
        <v>30</v>
      </c>
      <c r="L117" s="2" t="s">
        <v>362</v>
      </c>
      <c r="M117" s="2" t="s">
        <v>31</v>
      </c>
      <c r="N117" s="4" t="s">
        <v>472</v>
      </c>
      <c r="O117" s="4" t="s">
        <v>155</v>
      </c>
      <c r="P117" s="4" t="s">
        <v>34</v>
      </c>
      <c r="Q117" s="152">
        <v>51</v>
      </c>
      <c r="R117" s="167">
        <v>1</v>
      </c>
      <c r="S117" s="169">
        <v>3950</v>
      </c>
      <c r="U117" s="152">
        <v>2.0139999999999998</v>
      </c>
      <c r="V117" s="166">
        <v>9.9999999999999995E-7</v>
      </c>
      <c r="W117" s="166">
        <v>7.5685632735177099E-4</v>
      </c>
      <c r="X117" s="166">
        <v>1.1736349659842701E-4</v>
      </c>
    </row>
    <row r="118" spans="1:24">
      <c r="A118" s="4">
        <v>1182</v>
      </c>
      <c r="B118" s="4">
        <v>14769</v>
      </c>
      <c r="C118" s="4" t="s">
        <v>1946</v>
      </c>
      <c r="D118" s="4" t="s">
        <v>1947</v>
      </c>
      <c r="E118" s="4" t="s">
        <v>1342</v>
      </c>
      <c r="F118" s="4" t="s">
        <v>1948</v>
      </c>
      <c r="G118" s="4" t="s">
        <v>1949</v>
      </c>
      <c r="H118" s="4" t="s">
        <v>356</v>
      </c>
      <c r="I118" s="4" t="s">
        <v>965</v>
      </c>
      <c r="J118" s="4" t="s">
        <v>30</v>
      </c>
      <c r="K118" s="4" t="s">
        <v>30</v>
      </c>
      <c r="L118" s="2" t="s">
        <v>362</v>
      </c>
      <c r="M118" s="2" t="s">
        <v>31</v>
      </c>
      <c r="N118" s="4" t="s">
        <v>518</v>
      </c>
      <c r="O118" s="4" t="s">
        <v>155</v>
      </c>
      <c r="P118" s="4" t="s">
        <v>34</v>
      </c>
      <c r="Q118" s="152">
        <v>851</v>
      </c>
      <c r="R118" s="167">
        <v>1</v>
      </c>
      <c r="S118" s="169">
        <v>1670</v>
      </c>
      <c r="U118" s="152">
        <v>14.212</v>
      </c>
      <c r="V118" s="166">
        <v>5.0000000000000004E-6</v>
      </c>
      <c r="W118" s="166">
        <v>5.3393969061430501E-3</v>
      </c>
      <c r="X118" s="166">
        <v>8.2796465852959396E-4</v>
      </c>
    </row>
    <row r="119" spans="1:24">
      <c r="A119" s="4">
        <v>1182</v>
      </c>
      <c r="B119" s="4">
        <v>14769</v>
      </c>
      <c r="C119" s="4" t="s">
        <v>1950</v>
      </c>
      <c r="D119" s="4" t="s">
        <v>1951</v>
      </c>
      <c r="E119" s="4" t="s">
        <v>1342</v>
      </c>
      <c r="F119" s="4" t="s">
        <v>1952</v>
      </c>
      <c r="G119" s="4" t="s">
        <v>1953</v>
      </c>
      <c r="H119" s="4" t="s">
        <v>356</v>
      </c>
      <c r="I119" s="4" t="s">
        <v>965</v>
      </c>
      <c r="J119" s="4" t="s">
        <v>30</v>
      </c>
      <c r="K119" s="4" t="s">
        <v>30</v>
      </c>
      <c r="L119" s="2" t="s">
        <v>362</v>
      </c>
      <c r="M119" s="2" t="s">
        <v>31</v>
      </c>
      <c r="N119" s="4" t="s">
        <v>497</v>
      </c>
      <c r="O119" s="4" t="s">
        <v>155</v>
      </c>
      <c r="P119" s="4" t="s">
        <v>34</v>
      </c>
      <c r="Q119" s="152">
        <v>56</v>
      </c>
      <c r="R119" s="167">
        <v>1</v>
      </c>
      <c r="S119" s="169">
        <v>25940</v>
      </c>
      <c r="U119" s="152">
        <v>14.526</v>
      </c>
      <c r="V119" s="166">
        <v>0</v>
      </c>
      <c r="W119" s="166">
        <v>5.4576310516965803E-3</v>
      </c>
      <c r="X119" s="166">
        <v>8.4629888160207996E-4</v>
      </c>
    </row>
    <row r="120" spans="1:24">
      <c r="A120" s="4">
        <v>1182</v>
      </c>
      <c r="B120" s="4">
        <v>14769</v>
      </c>
      <c r="C120" s="4" t="s">
        <v>1217</v>
      </c>
      <c r="D120" s="4" t="s">
        <v>1954</v>
      </c>
      <c r="E120" s="4" t="s">
        <v>1342</v>
      </c>
      <c r="F120" s="4" t="s">
        <v>1955</v>
      </c>
      <c r="G120" s="4" t="s">
        <v>1956</v>
      </c>
      <c r="H120" s="4" t="s">
        <v>356</v>
      </c>
      <c r="I120" s="4" t="s">
        <v>965</v>
      </c>
      <c r="J120" s="4" t="s">
        <v>30</v>
      </c>
      <c r="K120" s="4" t="s">
        <v>30</v>
      </c>
      <c r="L120" s="2" t="s">
        <v>362</v>
      </c>
      <c r="M120" s="2" t="s">
        <v>31</v>
      </c>
      <c r="N120" s="4" t="s">
        <v>481</v>
      </c>
      <c r="O120" s="4" t="s">
        <v>155</v>
      </c>
      <c r="P120" s="4" t="s">
        <v>34</v>
      </c>
      <c r="Q120" s="152">
        <v>3256</v>
      </c>
      <c r="R120" s="167">
        <v>1</v>
      </c>
      <c r="S120" s="169">
        <v>3729</v>
      </c>
      <c r="U120" s="152">
        <v>121.416</v>
      </c>
      <c r="V120" s="166">
        <v>1.9999999999999999E-6</v>
      </c>
      <c r="W120" s="166">
        <v>4.5616604362006097E-2</v>
      </c>
      <c r="X120" s="166">
        <v>7.0736333930175302E-3</v>
      </c>
    </row>
    <row r="121" spans="1:24">
      <c r="A121" s="4">
        <v>1182</v>
      </c>
      <c r="B121" s="4">
        <v>14769</v>
      </c>
      <c r="C121" s="4" t="s">
        <v>1961</v>
      </c>
      <c r="D121" s="4" t="s">
        <v>1962</v>
      </c>
      <c r="E121" s="4" t="s">
        <v>1342</v>
      </c>
      <c r="F121" s="4" t="s">
        <v>1963</v>
      </c>
      <c r="G121" s="4" t="s">
        <v>1964</v>
      </c>
      <c r="H121" s="4" t="s">
        <v>356</v>
      </c>
      <c r="I121" s="4" t="s">
        <v>965</v>
      </c>
      <c r="J121" s="4" t="s">
        <v>30</v>
      </c>
      <c r="K121" s="4" t="s">
        <v>30</v>
      </c>
      <c r="L121" s="2" t="s">
        <v>362</v>
      </c>
      <c r="M121" s="2" t="s">
        <v>31</v>
      </c>
      <c r="N121" s="4" t="s">
        <v>518</v>
      </c>
      <c r="O121" s="4" t="s">
        <v>155</v>
      </c>
      <c r="P121" s="4" t="s">
        <v>34</v>
      </c>
      <c r="Q121" s="152">
        <v>849</v>
      </c>
      <c r="R121" s="167">
        <v>1</v>
      </c>
      <c r="S121" s="169">
        <v>1606</v>
      </c>
      <c r="U121" s="152">
        <v>13.635</v>
      </c>
      <c r="V121" s="166">
        <v>5.0000000000000004E-6</v>
      </c>
      <c r="W121" s="166">
        <v>5.1227056897799796E-3</v>
      </c>
      <c r="X121" s="166">
        <v>7.9436298550993197E-4</v>
      </c>
    </row>
    <row r="122" spans="1:24">
      <c r="A122" s="4">
        <v>1182</v>
      </c>
      <c r="B122" s="4">
        <v>14769</v>
      </c>
      <c r="C122" s="4" t="s">
        <v>2119</v>
      </c>
      <c r="D122" s="4" t="s">
        <v>2120</v>
      </c>
      <c r="E122" s="4" t="s">
        <v>1342</v>
      </c>
      <c r="F122" s="4" t="s">
        <v>2121</v>
      </c>
      <c r="G122" s="4" t="s">
        <v>2122</v>
      </c>
      <c r="H122" s="4" t="s">
        <v>356</v>
      </c>
      <c r="I122" s="4" t="s">
        <v>965</v>
      </c>
      <c r="J122" s="4" t="s">
        <v>30</v>
      </c>
      <c r="K122" s="4" t="s">
        <v>30</v>
      </c>
      <c r="L122" s="2" t="s">
        <v>362</v>
      </c>
      <c r="M122" s="2" t="s">
        <v>31</v>
      </c>
      <c r="N122" s="4" t="s">
        <v>494</v>
      </c>
      <c r="O122" s="4" t="s">
        <v>155</v>
      </c>
      <c r="P122" s="4" t="s">
        <v>34</v>
      </c>
      <c r="Q122" s="152">
        <v>8</v>
      </c>
      <c r="R122" s="167">
        <v>1</v>
      </c>
      <c r="S122" s="169">
        <v>42630</v>
      </c>
      <c r="U122" s="152">
        <v>3.41</v>
      </c>
      <c r="V122" s="166">
        <v>0</v>
      </c>
      <c r="W122" s="166">
        <v>1.2813019701168899E-3</v>
      </c>
      <c r="X122" s="166">
        <v>1.9868774822500701E-4</v>
      </c>
    </row>
    <row r="123" spans="1:24">
      <c r="A123" s="4">
        <v>1182</v>
      </c>
      <c r="B123" s="4">
        <v>14769</v>
      </c>
      <c r="C123" s="4" t="s">
        <v>1969</v>
      </c>
      <c r="D123" s="4" t="s">
        <v>1970</v>
      </c>
      <c r="E123" s="4" t="s">
        <v>1342</v>
      </c>
      <c r="F123" s="4" t="s">
        <v>1971</v>
      </c>
      <c r="G123" s="4" t="s">
        <v>1972</v>
      </c>
      <c r="H123" s="4" t="s">
        <v>356</v>
      </c>
      <c r="I123" s="4" t="s">
        <v>965</v>
      </c>
      <c r="J123" s="4" t="s">
        <v>30</v>
      </c>
      <c r="K123" s="4" t="s">
        <v>30</v>
      </c>
      <c r="L123" s="2" t="s">
        <v>362</v>
      </c>
      <c r="M123" s="2" t="s">
        <v>31</v>
      </c>
      <c r="N123" s="4" t="s">
        <v>496</v>
      </c>
      <c r="O123" s="4" t="s">
        <v>155</v>
      </c>
      <c r="P123" s="4" t="s">
        <v>34</v>
      </c>
      <c r="Q123" s="152">
        <v>291</v>
      </c>
      <c r="R123" s="167">
        <v>1</v>
      </c>
      <c r="S123" s="169">
        <v>551.79999999999995</v>
      </c>
      <c r="U123" s="152">
        <v>1.6060000000000001</v>
      </c>
      <c r="V123" s="166">
        <v>9.9999999999999995E-7</v>
      </c>
      <c r="W123" s="166">
        <v>6.0328268323116296E-4</v>
      </c>
      <c r="X123" s="166">
        <v>9.3549280864216997E-5</v>
      </c>
    </row>
    <row r="124" spans="1:24">
      <c r="A124" s="4">
        <v>1182</v>
      </c>
      <c r="B124" s="4">
        <v>14769</v>
      </c>
      <c r="C124" s="4" t="s">
        <v>2123</v>
      </c>
      <c r="D124" s="4" t="s">
        <v>2124</v>
      </c>
      <c r="E124" s="4" t="s">
        <v>1342</v>
      </c>
      <c r="F124" s="4" t="s">
        <v>2125</v>
      </c>
      <c r="G124" s="4" t="s">
        <v>2126</v>
      </c>
      <c r="H124" s="4" t="s">
        <v>356</v>
      </c>
      <c r="I124" s="4" t="s">
        <v>965</v>
      </c>
      <c r="J124" s="4" t="s">
        <v>30</v>
      </c>
      <c r="K124" s="4" t="s">
        <v>30</v>
      </c>
      <c r="L124" s="2" t="s">
        <v>362</v>
      </c>
      <c r="M124" s="2" t="s">
        <v>31</v>
      </c>
      <c r="N124" s="4" t="s">
        <v>509</v>
      </c>
      <c r="O124" s="4" t="s">
        <v>155</v>
      </c>
      <c r="P124" s="4" t="s">
        <v>34</v>
      </c>
      <c r="Q124" s="152">
        <v>4</v>
      </c>
      <c r="R124" s="167">
        <v>1</v>
      </c>
      <c r="S124" s="169">
        <v>20800</v>
      </c>
      <c r="U124" s="152">
        <v>0.83199999999999996</v>
      </c>
      <c r="V124" s="166">
        <v>0</v>
      </c>
      <c r="W124" s="166">
        <v>3.1258598379581699E-4</v>
      </c>
      <c r="X124" s="166">
        <v>4.8471794077881003E-5</v>
      </c>
    </row>
    <row r="125" spans="1:24">
      <c r="A125" s="4">
        <v>1182</v>
      </c>
      <c r="B125" s="4">
        <v>14769</v>
      </c>
      <c r="C125" s="4" t="s">
        <v>1977</v>
      </c>
      <c r="D125" s="4" t="s">
        <v>1978</v>
      </c>
      <c r="E125" s="4" t="s">
        <v>1342</v>
      </c>
      <c r="F125" s="4" t="s">
        <v>1979</v>
      </c>
      <c r="G125" s="4" t="s">
        <v>1980</v>
      </c>
      <c r="H125" s="4" t="s">
        <v>356</v>
      </c>
      <c r="I125" s="4" t="s">
        <v>965</v>
      </c>
      <c r="J125" s="4" t="s">
        <v>30</v>
      </c>
      <c r="K125" s="4" t="s">
        <v>30</v>
      </c>
      <c r="L125" s="2" t="s">
        <v>362</v>
      </c>
      <c r="M125" s="2" t="s">
        <v>31</v>
      </c>
      <c r="N125" s="4" t="s">
        <v>492</v>
      </c>
      <c r="O125" s="4" t="s">
        <v>155</v>
      </c>
      <c r="P125" s="4" t="s">
        <v>34</v>
      </c>
      <c r="Q125" s="152">
        <v>550</v>
      </c>
      <c r="R125" s="167">
        <v>1</v>
      </c>
      <c r="S125" s="169">
        <v>5930</v>
      </c>
      <c r="U125" s="152">
        <v>32.615000000000002</v>
      </c>
      <c r="V125" s="166">
        <v>5.0000000000000004E-6</v>
      </c>
      <c r="W125" s="166">
        <v>1.2253595987380499E-2</v>
      </c>
      <c r="X125" s="166">
        <v>1.9001292834736701E-3</v>
      </c>
    </row>
    <row r="126" spans="1:24">
      <c r="A126" s="4">
        <v>1182</v>
      </c>
      <c r="B126" s="4">
        <v>14769</v>
      </c>
      <c r="C126" s="4" t="s">
        <v>1981</v>
      </c>
      <c r="D126" s="4" t="s">
        <v>1982</v>
      </c>
      <c r="E126" s="4" t="s">
        <v>1342</v>
      </c>
      <c r="F126" s="4" t="s">
        <v>1983</v>
      </c>
      <c r="G126" s="4" t="s">
        <v>1984</v>
      </c>
      <c r="H126" s="4" t="s">
        <v>356</v>
      </c>
      <c r="I126" s="4" t="s">
        <v>965</v>
      </c>
      <c r="J126" s="4" t="s">
        <v>30</v>
      </c>
      <c r="K126" s="4" t="s">
        <v>30</v>
      </c>
      <c r="L126" s="2" t="s">
        <v>362</v>
      </c>
      <c r="M126" s="2" t="s">
        <v>31</v>
      </c>
      <c r="N126" s="4" t="s">
        <v>496</v>
      </c>
      <c r="O126" s="4" t="s">
        <v>155</v>
      </c>
      <c r="P126" s="4" t="s">
        <v>34</v>
      </c>
      <c r="Q126" s="152">
        <v>1649</v>
      </c>
      <c r="R126" s="167">
        <v>1</v>
      </c>
      <c r="S126" s="169">
        <v>2140</v>
      </c>
      <c r="U126" s="152">
        <v>35.289000000000001</v>
      </c>
      <c r="V126" s="166">
        <v>5.0000000000000004E-6</v>
      </c>
      <c r="W126" s="166">
        <v>1.32580790237705E-2</v>
      </c>
      <c r="X126" s="166">
        <v>2.0558915294431601E-3</v>
      </c>
    </row>
    <row r="127" spans="1:24">
      <c r="A127" s="4">
        <v>1182</v>
      </c>
      <c r="B127" s="4">
        <v>14769</v>
      </c>
      <c r="C127" s="4" t="s">
        <v>1985</v>
      </c>
      <c r="D127" s="4" t="s">
        <v>1986</v>
      </c>
      <c r="E127" s="4" t="s">
        <v>1342</v>
      </c>
      <c r="F127" s="4" t="s">
        <v>1987</v>
      </c>
      <c r="G127" s="4" t="s">
        <v>1988</v>
      </c>
      <c r="H127" s="4" t="s">
        <v>356</v>
      </c>
      <c r="I127" s="4" t="s">
        <v>965</v>
      </c>
      <c r="J127" s="4" t="s">
        <v>30</v>
      </c>
      <c r="K127" s="4" t="s">
        <v>334</v>
      </c>
      <c r="L127" s="2" t="s">
        <v>362</v>
      </c>
      <c r="M127" s="2" t="s">
        <v>31</v>
      </c>
      <c r="N127" s="4" t="s">
        <v>488</v>
      </c>
      <c r="O127" s="4" t="s">
        <v>155</v>
      </c>
      <c r="P127" s="4" t="s">
        <v>34</v>
      </c>
      <c r="Q127" s="152">
        <v>510</v>
      </c>
      <c r="R127" s="167">
        <v>1</v>
      </c>
      <c r="S127" s="169">
        <v>6800</v>
      </c>
      <c r="U127" s="152">
        <v>34.68</v>
      </c>
      <c r="V127" s="166">
        <v>5.0000000000000004E-6</v>
      </c>
      <c r="W127" s="166">
        <v>1.30294253822583E-2</v>
      </c>
      <c r="X127" s="166">
        <v>2.02043487815014E-3</v>
      </c>
    </row>
    <row r="128" spans="1:24">
      <c r="A128" s="4">
        <v>1182</v>
      </c>
      <c r="B128" s="4">
        <v>14769</v>
      </c>
      <c r="C128" s="4" t="s">
        <v>1989</v>
      </c>
      <c r="D128" s="4" t="s">
        <v>1990</v>
      </c>
      <c r="E128" s="4" t="s">
        <v>350</v>
      </c>
      <c r="F128" s="4" t="s">
        <v>1991</v>
      </c>
      <c r="G128" s="4" t="s">
        <v>1992</v>
      </c>
      <c r="H128" s="4" t="s">
        <v>356</v>
      </c>
      <c r="I128" s="4" t="s">
        <v>965</v>
      </c>
      <c r="J128" s="4" t="s">
        <v>97</v>
      </c>
      <c r="K128" s="4" t="s">
        <v>98</v>
      </c>
      <c r="L128" s="2" t="s">
        <v>362</v>
      </c>
      <c r="M128" s="2" t="s">
        <v>381</v>
      </c>
      <c r="N128" s="4" t="s">
        <v>549</v>
      </c>
      <c r="O128" s="4" t="s">
        <v>155</v>
      </c>
      <c r="P128" s="4" t="s">
        <v>102</v>
      </c>
      <c r="Q128" s="152">
        <v>76</v>
      </c>
      <c r="R128" s="167">
        <v>3.71</v>
      </c>
      <c r="S128" s="169">
        <v>18633</v>
      </c>
      <c r="U128" s="152">
        <v>52.537999999999997</v>
      </c>
      <c r="V128" s="166">
        <v>0</v>
      </c>
      <c r="W128" s="166">
        <v>1.97386051777113E-2</v>
      </c>
      <c r="X128" s="166">
        <v>3.0608077622046701E-3</v>
      </c>
    </row>
    <row r="129" spans="1:24">
      <c r="A129" s="4">
        <v>1182</v>
      </c>
      <c r="B129" s="4">
        <v>14769</v>
      </c>
      <c r="C129" s="4" t="s">
        <v>1993</v>
      </c>
      <c r="D129" s="4" t="s">
        <v>1994</v>
      </c>
      <c r="E129" s="4" t="s">
        <v>350</v>
      </c>
      <c r="F129" s="4" t="s">
        <v>1995</v>
      </c>
      <c r="G129" s="4" t="s">
        <v>1996</v>
      </c>
      <c r="H129" s="4" t="s">
        <v>356</v>
      </c>
      <c r="I129" s="4" t="s">
        <v>965</v>
      </c>
      <c r="J129" s="4" t="s">
        <v>97</v>
      </c>
      <c r="K129" s="4" t="s">
        <v>98</v>
      </c>
      <c r="L129" s="2" t="s">
        <v>362</v>
      </c>
      <c r="M129" s="2" t="s">
        <v>381</v>
      </c>
      <c r="N129" s="4" t="s">
        <v>580</v>
      </c>
      <c r="O129" s="4" t="s">
        <v>155</v>
      </c>
      <c r="P129" s="4" t="s">
        <v>102</v>
      </c>
      <c r="Q129" s="152">
        <v>59</v>
      </c>
      <c r="R129" s="167">
        <v>3.71</v>
      </c>
      <c r="S129" s="169">
        <v>23300</v>
      </c>
      <c r="U129" s="152">
        <v>51.000999999999998</v>
      </c>
      <c r="V129" s="166">
        <v>0</v>
      </c>
      <c r="W129" s="166">
        <v>1.9161434394692901E-2</v>
      </c>
      <c r="X129" s="166">
        <v>2.9713075773194898E-3</v>
      </c>
    </row>
    <row r="130" spans="1:24">
      <c r="A130" s="4">
        <v>1182</v>
      </c>
      <c r="B130" s="4">
        <v>14769</v>
      </c>
      <c r="C130" s="4" t="s">
        <v>1997</v>
      </c>
      <c r="D130" s="4" t="s">
        <v>1998</v>
      </c>
      <c r="E130" s="4" t="s">
        <v>350</v>
      </c>
      <c r="F130" s="4" t="s">
        <v>1999</v>
      </c>
      <c r="G130" s="4" t="s">
        <v>2000</v>
      </c>
      <c r="H130" s="4" t="s">
        <v>356</v>
      </c>
      <c r="I130" s="4" t="s">
        <v>965</v>
      </c>
      <c r="J130" s="4" t="s">
        <v>97</v>
      </c>
      <c r="K130" s="4" t="s">
        <v>98</v>
      </c>
      <c r="L130" s="2" t="s">
        <v>362</v>
      </c>
      <c r="M130" s="2" t="s">
        <v>381</v>
      </c>
      <c r="N130" s="4" t="s">
        <v>2001</v>
      </c>
      <c r="O130" s="4" t="s">
        <v>155</v>
      </c>
      <c r="P130" s="4" t="s">
        <v>102</v>
      </c>
      <c r="Q130" s="152">
        <v>30</v>
      </c>
      <c r="R130" s="167">
        <v>3.71</v>
      </c>
      <c r="S130" s="169">
        <v>46026</v>
      </c>
      <c r="U130" s="152">
        <v>51.226999999999997</v>
      </c>
      <c r="V130" s="166">
        <v>0</v>
      </c>
      <c r="W130" s="166">
        <v>1.9246181263915099E-2</v>
      </c>
      <c r="X130" s="166">
        <v>2.9844490264139198E-3</v>
      </c>
    </row>
    <row r="131" spans="1:24">
      <c r="A131" s="4">
        <v>1182</v>
      </c>
      <c r="B131" s="4">
        <v>14769</v>
      </c>
      <c r="C131" s="4" t="s">
        <v>2002</v>
      </c>
      <c r="D131" s="4" t="s">
        <v>2003</v>
      </c>
      <c r="E131" s="4" t="s">
        <v>350</v>
      </c>
      <c r="F131" s="4" t="s">
        <v>2004</v>
      </c>
      <c r="G131" s="4" t="s">
        <v>2005</v>
      </c>
      <c r="H131" s="4" t="s">
        <v>356</v>
      </c>
      <c r="I131" s="4" t="s">
        <v>965</v>
      </c>
      <c r="J131" s="4" t="s">
        <v>97</v>
      </c>
      <c r="K131" s="4" t="s">
        <v>98</v>
      </c>
      <c r="L131" s="2" t="s">
        <v>362</v>
      </c>
      <c r="M131" s="2" t="s">
        <v>381</v>
      </c>
      <c r="N131" s="4" t="s">
        <v>568</v>
      </c>
      <c r="O131" s="4" t="s">
        <v>155</v>
      </c>
      <c r="P131" s="4" t="s">
        <v>102</v>
      </c>
      <c r="Q131" s="152">
        <v>29</v>
      </c>
      <c r="R131" s="167">
        <v>3.71</v>
      </c>
      <c r="S131" s="169">
        <v>19384</v>
      </c>
      <c r="U131" s="152">
        <v>20.855</v>
      </c>
      <c r="V131" s="166">
        <v>0</v>
      </c>
      <c r="W131" s="166">
        <v>7.8354056047829201E-3</v>
      </c>
      <c r="X131" s="166">
        <v>1.2150134256812899E-3</v>
      </c>
    </row>
    <row r="132" spans="1:24">
      <c r="A132" s="4">
        <v>1182</v>
      </c>
      <c r="B132" s="4">
        <v>14769</v>
      </c>
      <c r="C132" s="4" t="s">
        <v>2010</v>
      </c>
      <c r="D132" s="4" t="s">
        <v>2011</v>
      </c>
      <c r="E132" s="4" t="s">
        <v>350</v>
      </c>
      <c r="F132" s="4" t="s">
        <v>2010</v>
      </c>
      <c r="G132" s="4" t="s">
        <v>2012</v>
      </c>
      <c r="H132" s="4" t="s">
        <v>356</v>
      </c>
      <c r="I132" s="4" t="s">
        <v>965</v>
      </c>
      <c r="J132" s="4" t="s">
        <v>97</v>
      </c>
      <c r="K132" s="4" t="s">
        <v>98</v>
      </c>
      <c r="L132" s="2" t="s">
        <v>362</v>
      </c>
      <c r="M132" s="2" t="s">
        <v>1528</v>
      </c>
      <c r="N132" s="4" t="s">
        <v>564</v>
      </c>
      <c r="O132" s="4" t="s">
        <v>155</v>
      </c>
      <c r="P132" s="4" t="s">
        <v>102</v>
      </c>
      <c r="Q132" s="152">
        <v>25</v>
      </c>
      <c r="R132" s="167">
        <v>3.71</v>
      </c>
      <c r="S132" s="169">
        <v>27802</v>
      </c>
      <c r="T132" s="151">
        <v>5.0000000000000001E-3</v>
      </c>
      <c r="U132" s="152">
        <v>25.805</v>
      </c>
      <c r="V132" s="166">
        <v>0</v>
      </c>
      <c r="W132" s="166">
        <v>9.6951191589640193E-3</v>
      </c>
      <c r="X132" s="166">
        <v>1.5033937661798401E-3</v>
      </c>
    </row>
    <row r="133" spans="1:24">
      <c r="A133" s="4">
        <v>1182</v>
      </c>
      <c r="B133" s="4">
        <v>14769</v>
      </c>
      <c r="C133" s="4" t="s">
        <v>2013</v>
      </c>
      <c r="D133" s="4" t="s">
        <v>2014</v>
      </c>
      <c r="E133" s="4" t="s">
        <v>350</v>
      </c>
      <c r="F133" s="4" t="s">
        <v>2015</v>
      </c>
      <c r="G133" s="4" t="s">
        <v>2016</v>
      </c>
      <c r="H133" s="4" t="s">
        <v>356</v>
      </c>
      <c r="I133" s="4" t="s">
        <v>965</v>
      </c>
      <c r="J133" s="4" t="s">
        <v>97</v>
      </c>
      <c r="K133" s="4" t="s">
        <v>98</v>
      </c>
      <c r="L133" s="2" t="s">
        <v>362</v>
      </c>
      <c r="M133" s="2" t="s">
        <v>379</v>
      </c>
      <c r="N133" s="4" t="s">
        <v>2017</v>
      </c>
      <c r="O133" s="4" t="s">
        <v>155</v>
      </c>
      <c r="P133" s="4" t="s">
        <v>102</v>
      </c>
      <c r="Q133" s="152">
        <v>13</v>
      </c>
      <c r="R133" s="167">
        <v>3.71</v>
      </c>
      <c r="S133" s="169">
        <v>41733</v>
      </c>
      <c r="U133" s="152">
        <v>20.128</v>
      </c>
      <c r="V133" s="166">
        <v>0</v>
      </c>
      <c r="W133" s="166">
        <v>7.5621108901711897E-3</v>
      </c>
      <c r="X133" s="166">
        <v>1.17263441377433E-3</v>
      </c>
    </row>
    <row r="134" spans="1:24">
      <c r="A134" s="4">
        <v>1182</v>
      </c>
      <c r="B134" s="4">
        <v>14769</v>
      </c>
      <c r="C134" s="4" t="s">
        <v>2018</v>
      </c>
      <c r="D134" s="4" t="s">
        <v>2019</v>
      </c>
      <c r="E134" s="4" t="s">
        <v>350</v>
      </c>
      <c r="F134" s="4" t="s">
        <v>2018</v>
      </c>
      <c r="G134" s="4" t="s">
        <v>2020</v>
      </c>
      <c r="H134" s="4" t="s">
        <v>356</v>
      </c>
      <c r="I134" s="4" t="s">
        <v>965</v>
      </c>
      <c r="J134" s="4" t="s">
        <v>97</v>
      </c>
      <c r="K134" s="4" t="s">
        <v>98</v>
      </c>
      <c r="L134" s="2" t="s">
        <v>362</v>
      </c>
      <c r="M134" s="2" t="s">
        <v>381</v>
      </c>
      <c r="N134" s="4" t="s">
        <v>580</v>
      </c>
      <c r="O134" s="4" t="s">
        <v>155</v>
      </c>
      <c r="P134" s="4" t="s">
        <v>102</v>
      </c>
      <c r="Q134" s="152">
        <v>114</v>
      </c>
      <c r="R134" s="167">
        <v>3.71</v>
      </c>
      <c r="S134" s="169">
        <v>3343</v>
      </c>
      <c r="U134" s="152">
        <v>14.138999999999999</v>
      </c>
      <c r="V134" s="166">
        <v>0</v>
      </c>
      <c r="W134" s="166">
        <v>5.3120396964328603E-3</v>
      </c>
      <c r="X134" s="166">
        <v>8.2372245604976602E-4</v>
      </c>
    </row>
    <row r="135" spans="1:24">
      <c r="A135" s="4">
        <v>1182</v>
      </c>
      <c r="B135" s="4">
        <v>14769</v>
      </c>
      <c r="C135" s="4" t="s">
        <v>2021</v>
      </c>
      <c r="D135" s="4" t="s">
        <v>2022</v>
      </c>
      <c r="E135" s="4" t="s">
        <v>350</v>
      </c>
      <c r="F135" s="4" t="s">
        <v>2023</v>
      </c>
      <c r="G135" s="4" t="s">
        <v>2024</v>
      </c>
      <c r="H135" s="4" t="s">
        <v>356</v>
      </c>
      <c r="I135" s="4" t="s">
        <v>965</v>
      </c>
      <c r="J135" s="4" t="s">
        <v>97</v>
      </c>
      <c r="K135" s="4" t="s">
        <v>98</v>
      </c>
      <c r="L135" s="2" t="s">
        <v>362</v>
      </c>
      <c r="M135" s="2" t="s">
        <v>381</v>
      </c>
      <c r="N135" s="4" t="s">
        <v>583</v>
      </c>
      <c r="O135" s="4" t="s">
        <v>155</v>
      </c>
      <c r="P135" s="4" t="s">
        <v>102</v>
      </c>
      <c r="Q135" s="152">
        <v>107</v>
      </c>
      <c r="R135" s="167">
        <v>3.71</v>
      </c>
      <c r="S135" s="169">
        <v>16719</v>
      </c>
      <c r="U135" s="152">
        <v>66.369</v>
      </c>
      <c r="V135" s="166">
        <v>0</v>
      </c>
      <c r="W135" s="166">
        <v>2.4935274835237602E-2</v>
      </c>
      <c r="X135" s="166">
        <v>3.8666401238211202E-3</v>
      </c>
    </row>
    <row r="136" spans="1:24">
      <c r="A136" s="4">
        <v>1182</v>
      </c>
      <c r="B136" s="4">
        <v>14769</v>
      </c>
      <c r="C136" s="4" t="s">
        <v>2025</v>
      </c>
      <c r="D136" s="4" t="s">
        <v>2026</v>
      </c>
      <c r="E136" s="4" t="s">
        <v>350</v>
      </c>
      <c r="F136" s="4" t="s">
        <v>2027</v>
      </c>
      <c r="G136" s="4" t="s">
        <v>2028</v>
      </c>
      <c r="H136" s="4" t="s">
        <v>356</v>
      </c>
      <c r="I136" s="4" t="s">
        <v>965</v>
      </c>
      <c r="J136" s="4" t="s">
        <v>97</v>
      </c>
      <c r="K136" s="4" t="s">
        <v>319</v>
      </c>
      <c r="L136" s="2" t="s">
        <v>362</v>
      </c>
      <c r="M136" s="2" t="s">
        <v>401</v>
      </c>
      <c r="N136" s="4" t="s">
        <v>2029</v>
      </c>
      <c r="O136" s="4" t="s">
        <v>155</v>
      </c>
      <c r="P136" s="4" t="s">
        <v>1209</v>
      </c>
      <c r="Q136" s="152">
        <v>12</v>
      </c>
      <c r="R136" s="167">
        <v>4.1524000000000001</v>
      </c>
      <c r="S136" s="169">
        <v>68850</v>
      </c>
      <c r="U136" s="152">
        <v>34.307000000000002</v>
      </c>
      <c r="V136" s="166">
        <v>0</v>
      </c>
      <c r="W136" s="166">
        <v>1.2889336066295399E-2</v>
      </c>
      <c r="X136" s="166">
        <v>1.99871163773671E-3</v>
      </c>
    </row>
    <row r="137" spans="1:24">
      <c r="A137" s="4">
        <v>1182</v>
      </c>
      <c r="B137" s="4">
        <v>14769</v>
      </c>
      <c r="C137" s="4" t="s">
        <v>2030</v>
      </c>
      <c r="D137" s="4" t="s">
        <v>2031</v>
      </c>
      <c r="E137" s="4" t="s">
        <v>350</v>
      </c>
      <c r="F137" s="4" t="s">
        <v>2032</v>
      </c>
      <c r="G137" s="4" t="s">
        <v>2033</v>
      </c>
      <c r="H137" s="4" t="s">
        <v>356</v>
      </c>
      <c r="I137" s="4" t="s">
        <v>965</v>
      </c>
      <c r="J137" s="4" t="s">
        <v>97</v>
      </c>
      <c r="K137" s="4" t="s">
        <v>98</v>
      </c>
      <c r="L137" s="2" t="s">
        <v>362</v>
      </c>
      <c r="M137" s="2" t="s">
        <v>379</v>
      </c>
      <c r="N137" s="4" t="s">
        <v>2001</v>
      </c>
      <c r="O137" s="4" t="s">
        <v>155</v>
      </c>
      <c r="P137" s="4" t="s">
        <v>102</v>
      </c>
      <c r="Q137" s="152">
        <v>12</v>
      </c>
      <c r="R137" s="167">
        <v>3.71</v>
      </c>
      <c r="S137" s="169">
        <v>49380</v>
      </c>
      <c r="U137" s="152">
        <v>21.984000000000002</v>
      </c>
      <c r="V137" s="166">
        <v>0</v>
      </c>
      <c r="W137" s="166">
        <v>8.2594744780091801E-3</v>
      </c>
      <c r="X137" s="166">
        <v>1.28077254529457E-3</v>
      </c>
    </row>
    <row r="138" spans="1:24">
      <c r="A138" s="4">
        <v>1182</v>
      </c>
      <c r="B138" s="4">
        <v>14769</v>
      </c>
      <c r="C138" s="4" t="s">
        <v>2034</v>
      </c>
      <c r="D138" s="4" t="s">
        <v>2035</v>
      </c>
      <c r="E138" s="4" t="s">
        <v>350</v>
      </c>
      <c r="F138" s="4" t="s">
        <v>2036</v>
      </c>
      <c r="G138" s="4" t="s">
        <v>2037</v>
      </c>
      <c r="H138" s="4" t="s">
        <v>356</v>
      </c>
      <c r="I138" s="4" t="s">
        <v>965</v>
      </c>
      <c r="J138" s="4" t="s">
        <v>97</v>
      </c>
      <c r="K138" s="4" t="s">
        <v>98</v>
      </c>
      <c r="L138" s="2" t="s">
        <v>362</v>
      </c>
      <c r="M138" s="2" t="s">
        <v>379</v>
      </c>
      <c r="N138" s="4" t="s">
        <v>568</v>
      </c>
      <c r="O138" s="4" t="s">
        <v>155</v>
      </c>
      <c r="P138" s="4" t="s">
        <v>102</v>
      </c>
      <c r="Q138" s="152">
        <v>14</v>
      </c>
      <c r="R138" s="167">
        <v>3.71</v>
      </c>
      <c r="S138" s="169">
        <v>11356</v>
      </c>
      <c r="T138" s="151">
        <v>8.0000000000000002E-3</v>
      </c>
      <c r="U138" s="152">
        <v>5.9279999999999999</v>
      </c>
      <c r="V138" s="166">
        <v>0</v>
      </c>
      <c r="W138" s="166">
        <v>2.2273165496465202E-3</v>
      </c>
      <c r="X138" s="166">
        <v>3.4538346163097297E-4</v>
      </c>
    </row>
    <row r="139" spans="1:24">
      <c r="A139" s="4">
        <v>1182</v>
      </c>
      <c r="B139" s="4">
        <v>14769</v>
      </c>
      <c r="C139" s="4" t="s">
        <v>2038</v>
      </c>
      <c r="D139" s="4" t="s">
        <v>2039</v>
      </c>
      <c r="E139" s="4" t="s">
        <v>350</v>
      </c>
      <c r="F139" s="4" t="s">
        <v>2040</v>
      </c>
      <c r="G139" s="4" t="s">
        <v>2041</v>
      </c>
      <c r="H139" s="4" t="s">
        <v>356</v>
      </c>
      <c r="I139" s="4" t="s">
        <v>965</v>
      </c>
      <c r="J139" s="4" t="s">
        <v>97</v>
      </c>
      <c r="K139" s="4" t="s">
        <v>98</v>
      </c>
      <c r="L139" s="2" t="s">
        <v>362</v>
      </c>
      <c r="M139" s="2" t="s">
        <v>381</v>
      </c>
      <c r="N139" s="4" t="s">
        <v>578</v>
      </c>
      <c r="O139" s="4" t="s">
        <v>155</v>
      </c>
      <c r="P139" s="4" t="s">
        <v>102</v>
      </c>
      <c r="Q139" s="152">
        <v>22</v>
      </c>
      <c r="R139" s="167">
        <v>3.71</v>
      </c>
      <c r="S139" s="169">
        <v>43030</v>
      </c>
      <c r="U139" s="152">
        <v>35.121000000000002</v>
      </c>
      <c r="V139" s="166">
        <v>0</v>
      </c>
      <c r="W139" s="166">
        <v>1.3195143292412901E-2</v>
      </c>
      <c r="X139" s="166">
        <v>2.0461322696917702E-3</v>
      </c>
    </row>
    <row r="140" spans="1:24">
      <c r="A140" s="4">
        <v>1182</v>
      </c>
      <c r="B140" s="4">
        <v>14769</v>
      </c>
      <c r="C140" s="4" t="s">
        <v>2042</v>
      </c>
      <c r="D140" s="4" t="s">
        <v>2043</v>
      </c>
      <c r="E140" s="4" t="s">
        <v>350</v>
      </c>
      <c r="F140" s="4" t="s">
        <v>2042</v>
      </c>
      <c r="G140" s="4" t="s">
        <v>2044</v>
      </c>
      <c r="H140" s="4" t="s">
        <v>356</v>
      </c>
      <c r="I140" s="4" t="s">
        <v>965</v>
      </c>
      <c r="J140" s="4" t="s">
        <v>97</v>
      </c>
      <c r="K140" s="4" t="s">
        <v>98</v>
      </c>
      <c r="L140" s="2" t="s">
        <v>362</v>
      </c>
      <c r="M140" s="2" t="s">
        <v>381</v>
      </c>
      <c r="N140" s="4" t="s">
        <v>568</v>
      </c>
      <c r="O140" s="4" t="s">
        <v>155</v>
      </c>
      <c r="P140" s="4" t="s">
        <v>102</v>
      </c>
      <c r="Q140" s="152">
        <v>209</v>
      </c>
      <c r="R140" s="167">
        <v>3.71</v>
      </c>
      <c r="S140" s="169">
        <v>6683</v>
      </c>
      <c r="U140" s="152">
        <v>51.819000000000003</v>
      </c>
      <c r="V140" s="166">
        <v>9.9999999999999995E-7</v>
      </c>
      <c r="W140" s="166">
        <v>1.9468739366031901E-2</v>
      </c>
      <c r="X140" s="166">
        <v>3.01896046024461E-3</v>
      </c>
    </row>
    <row r="141" spans="1:24">
      <c r="A141" s="4">
        <v>1182</v>
      </c>
      <c r="B141" s="4">
        <v>14769</v>
      </c>
      <c r="C141" s="4" t="s">
        <v>2045</v>
      </c>
      <c r="D141" s="4" t="s">
        <v>2046</v>
      </c>
      <c r="E141" s="4" t="s">
        <v>350</v>
      </c>
      <c r="F141" s="4" t="s">
        <v>2047</v>
      </c>
      <c r="G141" s="4" t="s">
        <v>2048</v>
      </c>
      <c r="H141" s="4" t="s">
        <v>356</v>
      </c>
      <c r="I141" s="4" t="s">
        <v>965</v>
      </c>
      <c r="J141" s="4" t="s">
        <v>97</v>
      </c>
      <c r="K141" s="4" t="s">
        <v>98</v>
      </c>
      <c r="L141" s="2" t="s">
        <v>362</v>
      </c>
      <c r="M141" s="2" t="s">
        <v>381</v>
      </c>
      <c r="N141" s="4" t="s">
        <v>583</v>
      </c>
      <c r="O141" s="4" t="s">
        <v>155</v>
      </c>
      <c r="P141" s="4" t="s">
        <v>102</v>
      </c>
      <c r="Q141" s="152">
        <v>7</v>
      </c>
      <c r="R141" s="167">
        <v>3.71</v>
      </c>
      <c r="S141" s="169">
        <v>70927</v>
      </c>
      <c r="U141" s="152">
        <v>18.420000000000002</v>
      </c>
      <c r="V141" s="166">
        <v>0</v>
      </c>
      <c r="W141" s="166">
        <v>6.9203763738900697E-3</v>
      </c>
      <c r="X141" s="166">
        <v>1.0731225196448501E-3</v>
      </c>
    </row>
    <row r="142" spans="1:24">
      <c r="A142" s="4">
        <v>1182</v>
      </c>
      <c r="B142" s="4">
        <v>14769</v>
      </c>
      <c r="C142" s="4" t="s">
        <v>2049</v>
      </c>
      <c r="D142" s="4" t="s">
        <v>2050</v>
      </c>
      <c r="E142" s="4" t="s">
        <v>350</v>
      </c>
      <c r="F142" s="4" t="s">
        <v>2049</v>
      </c>
      <c r="G142" s="4" t="s">
        <v>2051</v>
      </c>
      <c r="H142" s="4" t="s">
        <v>356</v>
      </c>
      <c r="I142" s="4" t="s">
        <v>965</v>
      </c>
      <c r="J142" s="4" t="s">
        <v>97</v>
      </c>
      <c r="K142" s="4" t="s">
        <v>98</v>
      </c>
      <c r="L142" s="2" t="s">
        <v>362</v>
      </c>
      <c r="M142" s="2" t="s">
        <v>379</v>
      </c>
      <c r="N142" s="4" t="s">
        <v>549</v>
      </c>
      <c r="O142" s="4" t="s">
        <v>155</v>
      </c>
      <c r="P142" s="4" t="s">
        <v>102</v>
      </c>
      <c r="Q142" s="152">
        <v>80</v>
      </c>
      <c r="R142" s="167">
        <v>3.71</v>
      </c>
      <c r="S142" s="169">
        <v>8840</v>
      </c>
      <c r="T142" s="151">
        <v>0.03</v>
      </c>
      <c r="U142" s="152">
        <v>26.347000000000001</v>
      </c>
      <c r="V142" s="166">
        <v>0</v>
      </c>
      <c r="W142" s="166">
        <v>9.8986573432276806E-3</v>
      </c>
      <c r="X142" s="166">
        <v>1.53495583698932E-3</v>
      </c>
    </row>
    <row r="143" spans="1:24">
      <c r="A143" s="4">
        <v>1182</v>
      </c>
      <c r="B143" s="4">
        <v>14769</v>
      </c>
      <c r="C143" s="4" t="s">
        <v>2056</v>
      </c>
      <c r="D143" s="4" t="s">
        <v>2057</v>
      </c>
      <c r="E143" s="4" t="s">
        <v>350</v>
      </c>
      <c r="F143" s="4" t="s">
        <v>2058</v>
      </c>
      <c r="G143" s="4" t="s">
        <v>2059</v>
      </c>
      <c r="H143" s="4" t="s">
        <v>356</v>
      </c>
      <c r="I143" s="4" t="s">
        <v>965</v>
      </c>
      <c r="J143" s="4" t="s">
        <v>97</v>
      </c>
      <c r="K143" s="4" t="s">
        <v>279</v>
      </c>
      <c r="L143" s="2" t="s">
        <v>362</v>
      </c>
      <c r="M143" s="2" t="s">
        <v>401</v>
      </c>
      <c r="N143" s="4" t="s">
        <v>568</v>
      </c>
      <c r="O143" s="4" t="s">
        <v>155</v>
      </c>
      <c r="P143" s="4" t="s">
        <v>102</v>
      </c>
      <c r="Q143" s="152">
        <v>82</v>
      </c>
      <c r="R143" s="167">
        <v>3.71</v>
      </c>
      <c r="S143" s="169">
        <v>11907</v>
      </c>
      <c r="U143" s="152">
        <v>36.222999999999999</v>
      </c>
      <c r="V143" s="166">
        <v>0</v>
      </c>
      <c r="W143" s="166">
        <v>1.36093157384767E-2</v>
      </c>
      <c r="X143" s="166">
        <v>2.11035677929566E-3</v>
      </c>
    </row>
    <row r="144" spans="1:24">
      <c r="A144" s="4">
        <v>1182</v>
      </c>
      <c r="B144" s="4">
        <v>14769</v>
      </c>
      <c r="C144" s="4" t="s">
        <v>2060</v>
      </c>
      <c r="D144" s="4" t="s">
        <v>2061</v>
      </c>
      <c r="E144" s="4" t="s">
        <v>350</v>
      </c>
      <c r="F144" s="4" t="s">
        <v>2062</v>
      </c>
      <c r="G144" s="4" t="s">
        <v>2063</v>
      </c>
      <c r="H144" s="4" t="s">
        <v>356</v>
      </c>
      <c r="I144" s="4" t="s">
        <v>965</v>
      </c>
      <c r="J144" s="4" t="s">
        <v>97</v>
      </c>
      <c r="K144" s="4" t="s">
        <v>98</v>
      </c>
      <c r="L144" s="2" t="s">
        <v>362</v>
      </c>
      <c r="M144" s="2" t="s">
        <v>381</v>
      </c>
      <c r="N144" s="4" t="s">
        <v>582</v>
      </c>
      <c r="O144" s="4" t="s">
        <v>155</v>
      </c>
      <c r="P144" s="4" t="s">
        <v>102</v>
      </c>
      <c r="Q144" s="152">
        <v>235</v>
      </c>
      <c r="R144" s="167">
        <v>3.71</v>
      </c>
      <c r="S144" s="169">
        <v>12144</v>
      </c>
      <c r="T144" s="151">
        <v>2E-3</v>
      </c>
      <c r="U144" s="152">
        <v>105.884</v>
      </c>
      <c r="V144" s="166">
        <v>0</v>
      </c>
      <c r="W144" s="166">
        <v>3.9781080149567397E-2</v>
      </c>
      <c r="X144" s="166">
        <v>6.1687357244561E-3</v>
      </c>
    </row>
    <row r="145" spans="1:24">
      <c r="A145" s="4">
        <v>1182</v>
      </c>
      <c r="B145" s="4">
        <v>14769</v>
      </c>
      <c r="C145" s="4" t="s">
        <v>2068</v>
      </c>
      <c r="D145" s="4" t="s">
        <v>2069</v>
      </c>
      <c r="E145" s="4" t="s">
        <v>350</v>
      </c>
      <c r="F145" s="4" t="s">
        <v>2070</v>
      </c>
      <c r="G145" s="4" t="s">
        <v>2071</v>
      </c>
      <c r="H145" s="4" t="s">
        <v>356</v>
      </c>
      <c r="I145" s="4" t="s">
        <v>965</v>
      </c>
      <c r="J145" s="4" t="s">
        <v>97</v>
      </c>
      <c r="K145" s="4" t="s">
        <v>98</v>
      </c>
      <c r="L145" s="2" t="s">
        <v>362</v>
      </c>
      <c r="M145" s="2" t="s">
        <v>379</v>
      </c>
      <c r="N145" s="4" t="s">
        <v>602</v>
      </c>
      <c r="O145" s="4" t="s">
        <v>155</v>
      </c>
      <c r="P145" s="4" t="s">
        <v>102</v>
      </c>
      <c r="Q145" s="152">
        <v>50</v>
      </c>
      <c r="R145" s="167">
        <v>3.71</v>
      </c>
      <c r="S145" s="169">
        <v>12628</v>
      </c>
      <c r="U145" s="152">
        <v>23.425000000000001</v>
      </c>
      <c r="V145" s="166">
        <v>0</v>
      </c>
      <c r="W145" s="166">
        <v>8.8008508596850808E-3</v>
      </c>
      <c r="X145" s="166">
        <v>1.36472219707538E-3</v>
      </c>
    </row>
    <row r="146" spans="1:24">
      <c r="A146" s="4">
        <v>1182</v>
      </c>
      <c r="B146" s="4">
        <v>14769</v>
      </c>
      <c r="C146" s="4" t="s">
        <v>2072</v>
      </c>
      <c r="D146" s="4" t="s">
        <v>2073</v>
      </c>
      <c r="E146" s="4" t="s">
        <v>350</v>
      </c>
      <c r="F146" s="4" t="s">
        <v>2074</v>
      </c>
      <c r="G146" s="4" t="s">
        <v>2075</v>
      </c>
      <c r="H146" s="4" t="s">
        <v>356</v>
      </c>
      <c r="I146" s="4" t="s">
        <v>965</v>
      </c>
      <c r="J146" s="4" t="s">
        <v>97</v>
      </c>
      <c r="K146" s="4" t="s">
        <v>276</v>
      </c>
      <c r="L146" s="2" t="s">
        <v>362</v>
      </c>
      <c r="M146" s="2" t="s">
        <v>2076</v>
      </c>
      <c r="N146" s="4" t="s">
        <v>2077</v>
      </c>
      <c r="O146" s="4" t="s">
        <v>155</v>
      </c>
      <c r="P146" s="4" t="s">
        <v>1209</v>
      </c>
      <c r="Q146" s="152">
        <v>18</v>
      </c>
      <c r="R146" s="167">
        <v>4.1524000000000001</v>
      </c>
      <c r="S146" s="169">
        <v>48640</v>
      </c>
      <c r="U146" s="152">
        <v>36.354999999999997</v>
      </c>
      <c r="V146" s="166">
        <v>0</v>
      </c>
      <c r="W146" s="166">
        <v>1.36587648423662E-2</v>
      </c>
      <c r="X146" s="166">
        <v>2.11802470717894E-3</v>
      </c>
    </row>
    <row r="147" spans="1:24">
      <c r="A147" s="4">
        <v>1182</v>
      </c>
      <c r="B147" s="4">
        <v>14769</v>
      </c>
      <c r="C147" s="4" t="s">
        <v>2078</v>
      </c>
      <c r="D147" s="4" t="s">
        <v>2079</v>
      </c>
      <c r="E147" s="4" t="s">
        <v>350</v>
      </c>
      <c r="F147" s="4" t="s">
        <v>2080</v>
      </c>
      <c r="G147" s="4" t="s">
        <v>2081</v>
      </c>
      <c r="H147" s="4" t="s">
        <v>356</v>
      </c>
      <c r="I147" s="4" t="s">
        <v>965</v>
      </c>
      <c r="J147" s="4" t="s">
        <v>97</v>
      </c>
      <c r="K147" s="4" t="s">
        <v>98</v>
      </c>
      <c r="L147" s="2" t="s">
        <v>362</v>
      </c>
      <c r="M147" s="2" t="s">
        <v>379</v>
      </c>
      <c r="N147" s="4" t="s">
        <v>520</v>
      </c>
      <c r="O147" s="4" t="s">
        <v>155</v>
      </c>
      <c r="P147" s="4" t="s">
        <v>102</v>
      </c>
      <c r="Q147" s="152">
        <v>272</v>
      </c>
      <c r="R147" s="167">
        <v>3.71</v>
      </c>
      <c r="S147" s="169">
        <v>4195</v>
      </c>
      <c r="T147" s="151">
        <v>7.4999999999999997E-2</v>
      </c>
      <c r="U147" s="152">
        <v>42.610999999999997</v>
      </c>
      <c r="V147" s="166">
        <v>0</v>
      </c>
      <c r="W147" s="166">
        <v>1.60091339903938E-2</v>
      </c>
      <c r="X147" s="166">
        <v>2.48248957526662E-3</v>
      </c>
    </row>
    <row r="148" spans="1:24">
      <c r="A148" s="4">
        <v>1182</v>
      </c>
      <c r="B148" s="4">
        <v>14769</v>
      </c>
      <c r="C148" s="4" t="s">
        <v>2082</v>
      </c>
      <c r="D148" s="4" t="s">
        <v>2083</v>
      </c>
      <c r="E148" s="4" t="s">
        <v>350</v>
      </c>
      <c r="F148" s="4" t="s">
        <v>2084</v>
      </c>
      <c r="G148" s="4" t="s">
        <v>2085</v>
      </c>
      <c r="H148" s="4" t="s">
        <v>356</v>
      </c>
      <c r="I148" s="4" t="s">
        <v>965</v>
      </c>
      <c r="J148" s="4" t="s">
        <v>97</v>
      </c>
      <c r="K148" s="4" t="s">
        <v>306</v>
      </c>
      <c r="L148" s="2" t="s">
        <v>362</v>
      </c>
      <c r="M148" s="2" t="s">
        <v>379</v>
      </c>
      <c r="N148" s="4" t="s">
        <v>582</v>
      </c>
      <c r="O148" s="4" t="s">
        <v>155</v>
      </c>
      <c r="P148" s="4" t="s">
        <v>102</v>
      </c>
      <c r="Q148" s="152">
        <v>181</v>
      </c>
      <c r="R148" s="167">
        <v>3.71</v>
      </c>
      <c r="S148" s="169">
        <v>17367</v>
      </c>
      <c r="T148" s="151">
        <v>0.09</v>
      </c>
      <c r="U148" s="152">
        <v>116.95399999999999</v>
      </c>
      <c r="V148" s="166">
        <v>0</v>
      </c>
      <c r="W148" s="166">
        <v>4.39402349231338E-2</v>
      </c>
      <c r="X148" s="166">
        <v>6.81368368813074E-3</v>
      </c>
    </row>
    <row r="149" spans="1:24">
      <c r="A149" s="4">
        <v>1182</v>
      </c>
      <c r="B149" s="4">
        <v>14769</v>
      </c>
      <c r="C149" s="4" t="s">
        <v>2086</v>
      </c>
      <c r="D149" s="4" t="s">
        <v>2087</v>
      </c>
      <c r="E149" s="4" t="s">
        <v>350</v>
      </c>
      <c r="F149" s="4" t="s">
        <v>2086</v>
      </c>
      <c r="G149" s="4" t="s">
        <v>2088</v>
      </c>
      <c r="H149" s="4" t="s">
        <v>356</v>
      </c>
      <c r="I149" s="4" t="s">
        <v>965</v>
      </c>
      <c r="J149" s="4" t="s">
        <v>97</v>
      </c>
      <c r="K149" s="4" t="s">
        <v>98</v>
      </c>
      <c r="L149" s="2" t="s">
        <v>362</v>
      </c>
      <c r="M149" s="2" t="s">
        <v>381</v>
      </c>
      <c r="N149" s="4" t="s">
        <v>546</v>
      </c>
      <c r="O149" s="4" t="s">
        <v>155</v>
      </c>
      <c r="P149" s="4" t="s">
        <v>102</v>
      </c>
      <c r="Q149" s="152">
        <v>44</v>
      </c>
      <c r="R149" s="167">
        <v>3.71</v>
      </c>
      <c r="S149" s="169">
        <v>26163</v>
      </c>
      <c r="U149" s="152">
        <v>42.707999999999998</v>
      </c>
      <c r="V149" s="166">
        <v>0</v>
      </c>
      <c r="W149" s="166">
        <v>1.6045760351354799E-2</v>
      </c>
      <c r="X149" s="166">
        <v>2.4881691179152099E-3</v>
      </c>
    </row>
    <row r="150" spans="1:24">
      <c r="A150" s="4">
        <v>1182</v>
      </c>
      <c r="B150" s="4">
        <v>14769</v>
      </c>
      <c r="C150" s="4" t="s">
        <v>2093</v>
      </c>
      <c r="D150" s="4" t="s">
        <v>2094</v>
      </c>
      <c r="E150" s="4" t="s">
        <v>350</v>
      </c>
      <c r="F150" s="4" t="s">
        <v>2095</v>
      </c>
      <c r="G150" s="4" t="s">
        <v>2096</v>
      </c>
      <c r="H150" s="4" t="s">
        <v>356</v>
      </c>
      <c r="I150" s="4" t="s">
        <v>965</v>
      </c>
      <c r="J150" s="4" t="s">
        <v>97</v>
      </c>
      <c r="K150" s="4" t="s">
        <v>98</v>
      </c>
      <c r="L150" s="2" t="s">
        <v>362</v>
      </c>
      <c r="M150" s="2" t="s">
        <v>379</v>
      </c>
      <c r="N150" s="4" t="s">
        <v>2001</v>
      </c>
      <c r="O150" s="4" t="s">
        <v>155</v>
      </c>
      <c r="P150" s="4" t="s">
        <v>102</v>
      </c>
      <c r="Q150" s="152">
        <v>20</v>
      </c>
      <c r="R150" s="167">
        <v>3.71</v>
      </c>
      <c r="S150" s="169">
        <v>27495</v>
      </c>
      <c r="U150" s="152">
        <v>20.401</v>
      </c>
      <c r="V150" s="166">
        <v>0</v>
      </c>
      <c r="W150" s="166">
        <v>7.6648525304732797E-3</v>
      </c>
      <c r="X150" s="166">
        <v>1.18856625937877E-3</v>
      </c>
    </row>
    <row r="151" spans="1:24">
      <c r="A151" s="4">
        <v>1182</v>
      </c>
      <c r="B151" s="4">
        <v>14769</v>
      </c>
      <c r="C151" s="4" t="s">
        <v>2097</v>
      </c>
      <c r="D151" s="4" t="s">
        <v>2098</v>
      </c>
      <c r="E151" s="4" t="s">
        <v>350</v>
      </c>
      <c r="F151" s="4" t="s">
        <v>2099</v>
      </c>
      <c r="G151" s="4" t="s">
        <v>2100</v>
      </c>
      <c r="H151" s="4" t="s">
        <v>356</v>
      </c>
      <c r="I151" s="4" t="s">
        <v>965</v>
      </c>
      <c r="J151" s="4" t="s">
        <v>97</v>
      </c>
      <c r="K151" s="4" t="s">
        <v>98</v>
      </c>
      <c r="L151" s="2" t="s">
        <v>362</v>
      </c>
      <c r="M151" s="2" t="s">
        <v>379</v>
      </c>
      <c r="N151" s="4" t="s">
        <v>583</v>
      </c>
      <c r="O151" s="4" t="s">
        <v>155</v>
      </c>
      <c r="P151" s="4" t="s">
        <v>102</v>
      </c>
      <c r="Q151" s="152">
        <v>43</v>
      </c>
      <c r="R151" s="167">
        <v>3.71</v>
      </c>
      <c r="S151" s="169">
        <v>9619</v>
      </c>
      <c r="U151" s="152">
        <v>15.345000000000001</v>
      </c>
      <c r="V151" s="166">
        <v>0</v>
      </c>
      <c r="W151" s="166">
        <v>5.7652542445840397E-3</v>
      </c>
      <c r="X151" s="166">
        <v>8.94001110211797E-4</v>
      </c>
    </row>
    <row r="152" spans="1:24">
      <c r="A152" s="4">
        <v>12904</v>
      </c>
      <c r="B152" s="4">
        <v>12905</v>
      </c>
      <c r="C152" s="4" t="s">
        <v>1784</v>
      </c>
      <c r="D152" s="4" t="s">
        <v>1785</v>
      </c>
      <c r="E152" s="4" t="s">
        <v>349</v>
      </c>
      <c r="F152" s="4" t="s">
        <v>1786</v>
      </c>
      <c r="G152" s="4" t="s">
        <v>1787</v>
      </c>
      <c r="H152" s="4" t="s">
        <v>356</v>
      </c>
      <c r="I152" s="4" t="s">
        <v>965</v>
      </c>
      <c r="J152" s="4" t="s">
        <v>30</v>
      </c>
      <c r="K152" s="4" t="s">
        <v>98</v>
      </c>
      <c r="L152" s="2" t="s">
        <v>362</v>
      </c>
      <c r="M152" s="2" t="s">
        <v>31</v>
      </c>
      <c r="N152" s="4" t="s">
        <v>474</v>
      </c>
      <c r="O152" s="4" t="s">
        <v>155</v>
      </c>
      <c r="P152" s="4" t="s">
        <v>34</v>
      </c>
      <c r="Q152" s="152">
        <v>153</v>
      </c>
      <c r="R152" s="167">
        <v>1</v>
      </c>
      <c r="S152" s="169">
        <v>28560</v>
      </c>
      <c r="U152" s="152">
        <v>43.697000000000003</v>
      </c>
      <c r="V152" s="166">
        <v>3.0000000000000001E-6</v>
      </c>
      <c r="W152" s="166">
        <v>1.0136052415640201E-2</v>
      </c>
      <c r="X152" s="166">
        <v>1.2910961828145799E-3</v>
      </c>
    </row>
    <row r="153" spans="1:24">
      <c r="A153" s="4">
        <v>12904</v>
      </c>
      <c r="B153" s="4">
        <v>12905</v>
      </c>
      <c r="C153" s="4" t="s">
        <v>1788</v>
      </c>
      <c r="D153" s="4" t="s">
        <v>1789</v>
      </c>
      <c r="E153" s="4" t="s">
        <v>1342</v>
      </c>
      <c r="F153" s="4" t="s">
        <v>1790</v>
      </c>
      <c r="G153" s="4" t="s">
        <v>1791</v>
      </c>
      <c r="H153" s="4" t="s">
        <v>356</v>
      </c>
      <c r="I153" s="4" t="s">
        <v>965</v>
      </c>
      <c r="J153" s="4" t="s">
        <v>30</v>
      </c>
      <c r="K153" s="4" t="s">
        <v>30</v>
      </c>
      <c r="L153" s="2" t="s">
        <v>362</v>
      </c>
      <c r="M153" s="2" t="s">
        <v>31</v>
      </c>
      <c r="N153" s="4" t="s">
        <v>489</v>
      </c>
      <c r="O153" s="4" t="s">
        <v>155</v>
      </c>
      <c r="P153" s="4" t="s">
        <v>34</v>
      </c>
      <c r="Q153" s="152">
        <v>6874</v>
      </c>
      <c r="R153" s="167">
        <v>1</v>
      </c>
      <c r="S153" s="169">
        <v>1588</v>
      </c>
      <c r="U153" s="152">
        <v>109.15900000000001</v>
      </c>
      <c r="V153" s="166">
        <v>5.0000000000000004E-6</v>
      </c>
      <c r="W153" s="166">
        <v>2.5320905923664101E-2</v>
      </c>
      <c r="X153" s="166">
        <v>3.2252916266499801E-3</v>
      </c>
    </row>
    <row r="154" spans="1:24">
      <c r="A154" s="4">
        <v>12904</v>
      </c>
      <c r="B154" s="4">
        <v>12905</v>
      </c>
      <c r="C154" s="4" t="s">
        <v>1792</v>
      </c>
      <c r="D154" s="4" t="s">
        <v>1793</v>
      </c>
      <c r="E154" s="4" t="s">
        <v>1342</v>
      </c>
      <c r="F154" s="4" t="s">
        <v>1794</v>
      </c>
      <c r="G154" s="4" t="s">
        <v>1795</v>
      </c>
      <c r="H154" s="4" t="s">
        <v>356</v>
      </c>
      <c r="I154" s="4" t="s">
        <v>965</v>
      </c>
      <c r="J154" s="4" t="s">
        <v>30</v>
      </c>
      <c r="K154" s="4" t="s">
        <v>30</v>
      </c>
      <c r="L154" s="2" t="s">
        <v>362</v>
      </c>
      <c r="M154" s="2" t="s">
        <v>31</v>
      </c>
      <c r="N154" s="4" t="s">
        <v>478</v>
      </c>
      <c r="O154" s="4" t="s">
        <v>155</v>
      </c>
      <c r="P154" s="4" t="s">
        <v>34</v>
      </c>
      <c r="Q154" s="152">
        <v>298</v>
      </c>
      <c r="R154" s="167">
        <v>1</v>
      </c>
      <c r="S154" s="169">
        <v>12010</v>
      </c>
      <c r="U154" s="152">
        <v>35.79</v>
      </c>
      <c r="V154" s="166">
        <v>2.0000000000000002E-5</v>
      </c>
      <c r="W154" s="166">
        <v>8.3019188761026298E-3</v>
      </c>
      <c r="X154" s="166">
        <v>1.0574704363637E-3</v>
      </c>
    </row>
    <row r="155" spans="1:24">
      <c r="A155" s="4">
        <v>12904</v>
      </c>
      <c r="B155" s="4">
        <v>12905</v>
      </c>
      <c r="C155" s="4" t="s">
        <v>1796</v>
      </c>
      <c r="D155" s="4" t="s">
        <v>1797</v>
      </c>
      <c r="E155" s="4" t="s">
        <v>1342</v>
      </c>
      <c r="F155" s="4" t="s">
        <v>1798</v>
      </c>
      <c r="G155" s="4" t="s">
        <v>1799</v>
      </c>
      <c r="H155" s="4" t="s">
        <v>356</v>
      </c>
      <c r="I155" s="4" t="s">
        <v>965</v>
      </c>
      <c r="J155" s="4" t="s">
        <v>30</v>
      </c>
      <c r="K155" s="4" t="s">
        <v>30</v>
      </c>
      <c r="L155" s="2" t="s">
        <v>362</v>
      </c>
      <c r="M155" s="2" t="s">
        <v>31</v>
      </c>
      <c r="N155" s="4" t="s">
        <v>496</v>
      </c>
      <c r="O155" s="4" t="s">
        <v>155</v>
      </c>
      <c r="P155" s="4" t="s">
        <v>34</v>
      </c>
      <c r="Q155" s="152">
        <v>600</v>
      </c>
      <c r="R155" s="167">
        <v>1</v>
      </c>
      <c r="S155" s="169">
        <v>1271</v>
      </c>
      <c r="U155" s="152">
        <v>7.6260000000000003</v>
      </c>
      <c r="V155" s="166">
        <v>3.9999999999999998E-6</v>
      </c>
      <c r="W155" s="166">
        <v>1.76895186195951E-3</v>
      </c>
      <c r="X155" s="166">
        <v>2.2532312412222401E-4</v>
      </c>
    </row>
    <row r="156" spans="1:24">
      <c r="A156" s="4">
        <v>12904</v>
      </c>
      <c r="B156" s="4">
        <v>12905</v>
      </c>
      <c r="C156" s="4" t="s">
        <v>1804</v>
      </c>
      <c r="D156" s="4" t="s">
        <v>1805</v>
      </c>
      <c r="E156" s="4" t="s">
        <v>1342</v>
      </c>
      <c r="F156" s="4" t="s">
        <v>1806</v>
      </c>
      <c r="G156" s="4" t="s">
        <v>1807</v>
      </c>
      <c r="H156" s="4" t="s">
        <v>356</v>
      </c>
      <c r="I156" s="4" t="s">
        <v>965</v>
      </c>
      <c r="J156" s="4" t="s">
        <v>30</v>
      </c>
      <c r="K156" s="4" t="s">
        <v>30</v>
      </c>
      <c r="L156" s="2" t="s">
        <v>362</v>
      </c>
      <c r="M156" s="2" t="s">
        <v>31</v>
      </c>
      <c r="N156" s="4" t="s">
        <v>479</v>
      </c>
      <c r="O156" s="4" t="s">
        <v>155</v>
      </c>
      <c r="P156" s="4" t="s">
        <v>34</v>
      </c>
      <c r="Q156" s="152">
        <v>85</v>
      </c>
      <c r="R156" s="167">
        <v>1</v>
      </c>
      <c r="S156" s="169">
        <v>74080</v>
      </c>
      <c r="U156" s="152">
        <v>62.968000000000004</v>
      </c>
      <c r="V156" s="166">
        <v>1.9999999999999999E-6</v>
      </c>
      <c r="W156" s="166">
        <v>1.4606262895865E-2</v>
      </c>
      <c r="X156" s="166">
        <v>1.86049652238765E-3</v>
      </c>
    </row>
    <row r="157" spans="1:24">
      <c r="A157" s="4">
        <v>12904</v>
      </c>
      <c r="B157" s="4">
        <v>12905</v>
      </c>
      <c r="C157" s="4" t="s">
        <v>1808</v>
      </c>
      <c r="D157" s="4" t="s">
        <v>1809</v>
      </c>
      <c r="E157" s="4" t="s">
        <v>1342</v>
      </c>
      <c r="F157" s="4" t="s">
        <v>1810</v>
      </c>
      <c r="G157" s="4" t="s">
        <v>1811</v>
      </c>
      <c r="H157" s="4" t="s">
        <v>356</v>
      </c>
      <c r="I157" s="4" t="s">
        <v>965</v>
      </c>
      <c r="J157" s="4" t="s">
        <v>30</v>
      </c>
      <c r="K157" s="4" t="s">
        <v>30</v>
      </c>
      <c r="L157" s="2" t="s">
        <v>362</v>
      </c>
      <c r="M157" s="2" t="s">
        <v>31</v>
      </c>
      <c r="N157" s="4" t="s">
        <v>484</v>
      </c>
      <c r="O157" s="4" t="s">
        <v>155</v>
      </c>
      <c r="P157" s="4" t="s">
        <v>34</v>
      </c>
      <c r="Q157" s="152">
        <v>23</v>
      </c>
      <c r="R157" s="167">
        <v>1</v>
      </c>
      <c r="S157" s="169">
        <v>148500</v>
      </c>
      <c r="T157" s="151">
        <v>0.25800000000000001</v>
      </c>
      <c r="U157" s="152">
        <v>34.412999999999997</v>
      </c>
      <c r="V157" s="166">
        <v>6.0000000000000002E-6</v>
      </c>
      <c r="W157" s="166">
        <v>7.9824706651535592E-3</v>
      </c>
      <c r="X157" s="166">
        <v>1.01678020027861E-3</v>
      </c>
    </row>
    <row r="158" spans="1:24">
      <c r="A158" s="4">
        <v>12904</v>
      </c>
      <c r="B158" s="4">
        <v>12905</v>
      </c>
      <c r="C158" s="4" t="s">
        <v>1812</v>
      </c>
      <c r="D158" s="4" t="s">
        <v>1813</v>
      </c>
      <c r="E158" s="4" t="s">
        <v>1342</v>
      </c>
      <c r="F158" s="4" t="s">
        <v>1814</v>
      </c>
      <c r="G158" s="4" t="s">
        <v>1815</v>
      </c>
      <c r="H158" s="4" t="s">
        <v>356</v>
      </c>
      <c r="I158" s="4" t="s">
        <v>965</v>
      </c>
      <c r="J158" s="4" t="s">
        <v>30</v>
      </c>
      <c r="K158" s="4" t="s">
        <v>98</v>
      </c>
      <c r="L158" s="2" t="s">
        <v>362</v>
      </c>
      <c r="M158" s="2" t="s">
        <v>31</v>
      </c>
      <c r="N158" s="4" t="s">
        <v>474</v>
      </c>
      <c r="O158" s="4" t="s">
        <v>155</v>
      </c>
      <c r="P158" s="4" t="s">
        <v>34</v>
      </c>
      <c r="Q158" s="152">
        <v>761.9</v>
      </c>
      <c r="R158" s="167">
        <v>1</v>
      </c>
      <c r="S158" s="169">
        <v>6254</v>
      </c>
      <c r="U158" s="152">
        <v>47.649000000000001</v>
      </c>
      <c r="V158" s="166">
        <v>6.0000000000000002E-6</v>
      </c>
      <c r="W158" s="166">
        <v>1.1052870056862001E-2</v>
      </c>
      <c r="X158" s="166">
        <v>1.40787732288564E-3</v>
      </c>
    </row>
    <row r="159" spans="1:24">
      <c r="A159" s="4">
        <v>12904</v>
      </c>
      <c r="B159" s="4">
        <v>12905</v>
      </c>
      <c r="C159" s="4" t="s">
        <v>1816</v>
      </c>
      <c r="D159" s="4" t="s">
        <v>1817</v>
      </c>
      <c r="E159" s="4" t="s">
        <v>349</v>
      </c>
      <c r="F159" s="4" t="s">
        <v>1818</v>
      </c>
      <c r="G159" s="4" t="s">
        <v>1819</v>
      </c>
      <c r="H159" s="4" t="s">
        <v>356</v>
      </c>
      <c r="I159" s="4" t="s">
        <v>965</v>
      </c>
      <c r="J159" s="4" t="s">
        <v>30</v>
      </c>
      <c r="K159" s="4" t="s">
        <v>271</v>
      </c>
      <c r="L159" s="2" t="s">
        <v>362</v>
      </c>
      <c r="M159" s="2" t="s">
        <v>31</v>
      </c>
      <c r="N159" s="4" t="s">
        <v>487</v>
      </c>
      <c r="O159" s="4" t="s">
        <v>155</v>
      </c>
      <c r="P159" s="4" t="s">
        <v>34</v>
      </c>
      <c r="Q159" s="152">
        <v>805</v>
      </c>
      <c r="R159" s="167">
        <v>1</v>
      </c>
      <c r="S159" s="169">
        <v>4556</v>
      </c>
      <c r="U159" s="152">
        <v>36.676000000000002</v>
      </c>
      <c r="V159" s="166">
        <v>3.9999999999999998E-6</v>
      </c>
      <c r="W159" s="166">
        <v>8.5074383292492502E-3</v>
      </c>
      <c r="X159" s="166">
        <v>1.08364881139285E-3</v>
      </c>
    </row>
    <row r="160" spans="1:24">
      <c r="A160" s="4">
        <v>12904</v>
      </c>
      <c r="B160" s="4">
        <v>12905</v>
      </c>
      <c r="C160" s="4" t="s">
        <v>1820</v>
      </c>
      <c r="D160" s="4" t="s">
        <v>1821</v>
      </c>
      <c r="E160" s="4" t="s">
        <v>1342</v>
      </c>
      <c r="F160" s="4" t="s">
        <v>1822</v>
      </c>
      <c r="G160" s="4" t="s">
        <v>1823</v>
      </c>
      <c r="H160" s="4" t="s">
        <v>356</v>
      </c>
      <c r="I160" s="4" t="s">
        <v>965</v>
      </c>
      <c r="J160" s="4" t="s">
        <v>30</v>
      </c>
      <c r="K160" s="4" t="s">
        <v>30</v>
      </c>
      <c r="L160" s="2" t="s">
        <v>362</v>
      </c>
      <c r="M160" s="2" t="s">
        <v>31</v>
      </c>
      <c r="N160" s="4" t="s">
        <v>474</v>
      </c>
      <c r="O160" s="4" t="s">
        <v>155</v>
      </c>
      <c r="P160" s="4" t="s">
        <v>34</v>
      </c>
      <c r="Q160" s="152">
        <v>1685</v>
      </c>
      <c r="R160" s="167">
        <v>1</v>
      </c>
      <c r="S160" s="169">
        <v>1348</v>
      </c>
      <c r="U160" s="152">
        <v>22.713999999999999</v>
      </c>
      <c r="V160" s="166">
        <v>3.0000000000000001E-6</v>
      </c>
      <c r="W160" s="166">
        <v>5.2687672176994502E-3</v>
      </c>
      <c r="X160" s="166">
        <v>6.7111780444366299E-4</v>
      </c>
    </row>
    <row r="161" spans="1:24">
      <c r="A161" s="4">
        <v>12904</v>
      </c>
      <c r="B161" s="4">
        <v>12905</v>
      </c>
      <c r="C161" s="4" t="s">
        <v>1828</v>
      </c>
      <c r="D161" s="4" t="s">
        <v>1829</v>
      </c>
      <c r="E161" s="4" t="s">
        <v>1342</v>
      </c>
      <c r="F161" s="4" t="s">
        <v>1830</v>
      </c>
      <c r="G161" s="4" t="s">
        <v>1831</v>
      </c>
      <c r="H161" s="4" t="s">
        <v>356</v>
      </c>
      <c r="I161" s="4" t="s">
        <v>965</v>
      </c>
      <c r="J161" s="4" t="s">
        <v>30</v>
      </c>
      <c r="K161" s="4" t="s">
        <v>30</v>
      </c>
      <c r="L161" s="2" t="s">
        <v>362</v>
      </c>
      <c r="M161" s="2" t="s">
        <v>31</v>
      </c>
      <c r="N161" s="4" t="s">
        <v>480</v>
      </c>
      <c r="O161" s="4" t="s">
        <v>155</v>
      </c>
      <c r="P161" s="4" t="s">
        <v>34</v>
      </c>
      <c r="Q161" s="152">
        <v>795</v>
      </c>
      <c r="R161" s="167">
        <v>1</v>
      </c>
      <c r="S161" s="169">
        <v>5176</v>
      </c>
      <c r="U161" s="152">
        <v>41.149000000000001</v>
      </c>
      <c r="V161" s="166">
        <v>7.9999999999999996E-6</v>
      </c>
      <c r="W161" s="166">
        <v>9.5451028007008196E-3</v>
      </c>
      <c r="X161" s="166">
        <v>1.21582301326124E-3</v>
      </c>
    </row>
    <row r="162" spans="1:24">
      <c r="A162" s="4">
        <v>12904</v>
      </c>
      <c r="B162" s="4">
        <v>12905</v>
      </c>
      <c r="C162" s="4" t="s">
        <v>1840</v>
      </c>
      <c r="D162" s="4" t="s">
        <v>1841</v>
      </c>
      <c r="E162" s="4" t="s">
        <v>1342</v>
      </c>
      <c r="F162" s="4" t="s">
        <v>1842</v>
      </c>
      <c r="G162" s="4" t="s">
        <v>1843</v>
      </c>
      <c r="H162" s="4" t="s">
        <v>356</v>
      </c>
      <c r="I162" s="4" t="s">
        <v>965</v>
      </c>
      <c r="J162" s="4" t="s">
        <v>30</v>
      </c>
      <c r="K162" s="4" t="s">
        <v>30</v>
      </c>
      <c r="L162" s="2" t="s">
        <v>362</v>
      </c>
      <c r="M162" s="2" t="s">
        <v>31</v>
      </c>
      <c r="N162" s="4" t="s">
        <v>518</v>
      </c>
      <c r="O162" s="4" t="s">
        <v>155</v>
      </c>
      <c r="P162" s="4" t="s">
        <v>34</v>
      </c>
      <c r="Q162" s="152">
        <v>17269</v>
      </c>
      <c r="R162" s="167">
        <v>1</v>
      </c>
      <c r="S162" s="169">
        <v>428.6</v>
      </c>
      <c r="T162" s="151">
        <v>2.5390000000000001</v>
      </c>
      <c r="U162" s="152">
        <v>76.554000000000002</v>
      </c>
      <c r="V162" s="166">
        <v>6.0000000000000002E-6</v>
      </c>
      <c r="W162" s="166">
        <v>1.77577492223337E-2</v>
      </c>
      <c r="X162" s="166">
        <v>2.2619222253583301E-3</v>
      </c>
    </row>
    <row r="163" spans="1:24">
      <c r="A163" s="4">
        <v>12904</v>
      </c>
      <c r="B163" s="4">
        <v>12905</v>
      </c>
      <c r="C163" s="4" t="s">
        <v>1844</v>
      </c>
      <c r="D163" s="4" t="s">
        <v>1845</v>
      </c>
      <c r="E163" s="4" t="s">
        <v>1342</v>
      </c>
      <c r="F163" s="4" t="s">
        <v>1846</v>
      </c>
      <c r="G163" s="4" t="s">
        <v>1847</v>
      </c>
      <c r="H163" s="4" t="s">
        <v>356</v>
      </c>
      <c r="I163" s="4" t="s">
        <v>965</v>
      </c>
      <c r="J163" s="4" t="s">
        <v>30</v>
      </c>
      <c r="K163" s="4" t="s">
        <v>30</v>
      </c>
      <c r="L163" s="2" t="s">
        <v>362</v>
      </c>
      <c r="M163" s="2" t="s">
        <v>31</v>
      </c>
      <c r="N163" s="4" t="s">
        <v>497</v>
      </c>
      <c r="O163" s="4" t="s">
        <v>155</v>
      </c>
      <c r="P163" s="4" t="s">
        <v>34</v>
      </c>
      <c r="Q163" s="152">
        <v>81</v>
      </c>
      <c r="R163" s="167">
        <v>1</v>
      </c>
      <c r="S163" s="169">
        <v>41490</v>
      </c>
      <c r="U163" s="152">
        <v>33.606999999999999</v>
      </c>
      <c r="V163" s="166">
        <v>3.0000000000000001E-6</v>
      </c>
      <c r="W163" s="166">
        <v>7.7955662640555E-3</v>
      </c>
      <c r="X163" s="166">
        <v>9.9297294781840791E-4</v>
      </c>
    </row>
    <row r="164" spans="1:24">
      <c r="A164" s="4">
        <v>12904</v>
      </c>
      <c r="B164" s="4">
        <v>12905</v>
      </c>
      <c r="C164" s="4" t="s">
        <v>1848</v>
      </c>
      <c r="D164" s="4" t="s">
        <v>1849</v>
      </c>
      <c r="E164" s="4" t="s">
        <v>1342</v>
      </c>
      <c r="F164" s="4" t="s">
        <v>1850</v>
      </c>
      <c r="G164" s="4" t="s">
        <v>1851</v>
      </c>
      <c r="H164" s="4" t="s">
        <v>356</v>
      </c>
      <c r="I164" s="4" t="s">
        <v>965</v>
      </c>
      <c r="J164" s="4" t="s">
        <v>30</v>
      </c>
      <c r="K164" s="4" t="s">
        <v>30</v>
      </c>
      <c r="L164" s="2" t="s">
        <v>362</v>
      </c>
      <c r="M164" s="2" t="s">
        <v>31</v>
      </c>
      <c r="N164" s="4" t="s">
        <v>481</v>
      </c>
      <c r="O164" s="4" t="s">
        <v>155</v>
      </c>
      <c r="P164" s="4" t="s">
        <v>34</v>
      </c>
      <c r="Q164" s="152">
        <v>39</v>
      </c>
      <c r="R164" s="167">
        <v>1</v>
      </c>
      <c r="S164" s="169">
        <v>15410</v>
      </c>
      <c r="U164" s="152">
        <v>6.01</v>
      </c>
      <c r="V164" s="166">
        <v>0</v>
      </c>
      <c r="W164" s="166">
        <v>1.39407602874252E-3</v>
      </c>
      <c r="X164" s="166">
        <v>1.7757270438790399E-4</v>
      </c>
    </row>
    <row r="165" spans="1:24">
      <c r="A165" s="4">
        <v>12904</v>
      </c>
      <c r="B165" s="4">
        <v>12905</v>
      </c>
      <c r="C165" s="4" t="s">
        <v>1856</v>
      </c>
      <c r="D165" s="4" t="s">
        <v>1857</v>
      </c>
      <c r="E165" s="4" t="s">
        <v>1342</v>
      </c>
      <c r="F165" s="4" t="s">
        <v>1858</v>
      </c>
      <c r="G165" s="4" t="s">
        <v>1859</v>
      </c>
      <c r="H165" s="4" t="s">
        <v>356</v>
      </c>
      <c r="I165" s="4" t="s">
        <v>965</v>
      </c>
      <c r="J165" s="4" t="s">
        <v>30</v>
      </c>
      <c r="K165" s="4" t="s">
        <v>30</v>
      </c>
      <c r="L165" s="2" t="s">
        <v>362</v>
      </c>
      <c r="M165" s="2" t="s">
        <v>31</v>
      </c>
      <c r="N165" s="4" t="s">
        <v>481</v>
      </c>
      <c r="O165" s="4" t="s">
        <v>155</v>
      </c>
      <c r="P165" s="4" t="s">
        <v>34</v>
      </c>
      <c r="Q165" s="152">
        <v>7041</v>
      </c>
      <c r="R165" s="167">
        <v>1</v>
      </c>
      <c r="S165" s="169">
        <v>2085</v>
      </c>
      <c r="U165" s="152">
        <v>146.80500000000001</v>
      </c>
      <c r="V165" s="166">
        <v>6.0000000000000002E-6</v>
      </c>
      <c r="W165" s="166">
        <v>3.4053332382925197E-2</v>
      </c>
      <c r="X165" s="166">
        <v>4.3375986674920701E-3</v>
      </c>
    </row>
    <row r="166" spans="1:24">
      <c r="A166" s="4">
        <v>12904</v>
      </c>
      <c r="B166" s="4">
        <v>12905</v>
      </c>
      <c r="C166" s="4" t="s">
        <v>2101</v>
      </c>
      <c r="D166" s="4" t="s">
        <v>2102</v>
      </c>
      <c r="E166" s="4" t="s">
        <v>1342</v>
      </c>
      <c r="F166" s="4" t="s">
        <v>2103</v>
      </c>
      <c r="G166" s="4" t="s">
        <v>2104</v>
      </c>
      <c r="H166" s="4" t="s">
        <v>356</v>
      </c>
      <c r="I166" s="4" t="s">
        <v>965</v>
      </c>
      <c r="J166" s="4" t="s">
        <v>30</v>
      </c>
      <c r="K166" s="4" t="s">
        <v>30</v>
      </c>
      <c r="L166" s="2" t="s">
        <v>362</v>
      </c>
      <c r="M166" s="2" t="s">
        <v>31</v>
      </c>
      <c r="N166" s="4" t="s">
        <v>487</v>
      </c>
      <c r="O166" s="4" t="s">
        <v>155</v>
      </c>
      <c r="P166" s="4" t="s">
        <v>34</v>
      </c>
      <c r="Q166" s="152">
        <v>98</v>
      </c>
      <c r="R166" s="167">
        <v>1</v>
      </c>
      <c r="S166" s="169">
        <v>43600</v>
      </c>
      <c r="U166" s="152">
        <v>42.728000000000002</v>
      </c>
      <c r="V166" s="166">
        <v>5.0000000000000004E-6</v>
      </c>
      <c r="W166" s="166">
        <v>9.9113264041182994E-3</v>
      </c>
      <c r="X166" s="166">
        <v>1.26247134113485E-3</v>
      </c>
    </row>
    <row r="167" spans="1:24">
      <c r="A167" s="4">
        <v>12904</v>
      </c>
      <c r="B167" s="4">
        <v>12905</v>
      </c>
      <c r="C167" s="4" t="s">
        <v>1860</v>
      </c>
      <c r="D167" s="4" t="s">
        <v>1861</v>
      </c>
      <c r="E167" s="4" t="s">
        <v>1342</v>
      </c>
      <c r="F167" s="4" t="s">
        <v>1862</v>
      </c>
      <c r="G167" s="4" t="s">
        <v>1863</v>
      </c>
      <c r="H167" s="4" t="s">
        <v>356</v>
      </c>
      <c r="I167" s="4" t="s">
        <v>965</v>
      </c>
      <c r="J167" s="4" t="s">
        <v>30</v>
      </c>
      <c r="K167" s="4" t="s">
        <v>30</v>
      </c>
      <c r="L167" s="2" t="s">
        <v>362</v>
      </c>
      <c r="M167" s="2" t="s">
        <v>31</v>
      </c>
      <c r="N167" s="4" t="s">
        <v>470</v>
      </c>
      <c r="O167" s="4" t="s">
        <v>155</v>
      </c>
      <c r="P167" s="4" t="s">
        <v>34</v>
      </c>
      <c r="Q167" s="152">
        <v>470</v>
      </c>
      <c r="R167" s="167">
        <v>1</v>
      </c>
      <c r="S167" s="169">
        <v>16850</v>
      </c>
      <c r="U167" s="152">
        <v>79.194999999999993</v>
      </c>
      <c r="V167" s="166">
        <v>1.8E-5</v>
      </c>
      <c r="W167" s="166">
        <v>1.83703308035515E-2</v>
      </c>
      <c r="X167" s="166">
        <v>2.3399508018436301E-3</v>
      </c>
    </row>
    <row r="168" spans="1:24">
      <c r="A168" s="4">
        <v>12904</v>
      </c>
      <c r="B168" s="4">
        <v>12905</v>
      </c>
      <c r="C168" s="4" t="s">
        <v>1864</v>
      </c>
      <c r="D168" s="4" t="s">
        <v>1865</v>
      </c>
      <c r="E168" s="4" t="s">
        <v>1342</v>
      </c>
      <c r="F168" s="4" t="s">
        <v>1866</v>
      </c>
      <c r="G168" s="4" t="s">
        <v>1867</v>
      </c>
      <c r="H168" s="4" t="s">
        <v>356</v>
      </c>
      <c r="I168" s="4" t="s">
        <v>965</v>
      </c>
      <c r="J168" s="4" t="s">
        <v>30</v>
      </c>
      <c r="K168" s="4" t="s">
        <v>30</v>
      </c>
      <c r="L168" s="2" t="s">
        <v>362</v>
      </c>
      <c r="M168" s="2" t="s">
        <v>31</v>
      </c>
      <c r="N168" s="4" t="s">
        <v>478</v>
      </c>
      <c r="O168" s="4" t="s">
        <v>155</v>
      </c>
      <c r="P168" s="4" t="s">
        <v>34</v>
      </c>
      <c r="Q168" s="152">
        <v>1053</v>
      </c>
      <c r="R168" s="167">
        <v>1</v>
      </c>
      <c r="S168" s="169">
        <v>4200</v>
      </c>
      <c r="U168" s="152">
        <v>44.225999999999999</v>
      </c>
      <c r="V168" s="166">
        <v>3.9999999999999998E-6</v>
      </c>
      <c r="W168" s="166">
        <v>1.0258807375691299E-2</v>
      </c>
      <c r="X168" s="166">
        <v>1.3067322957552401E-3</v>
      </c>
    </row>
    <row r="169" spans="1:24">
      <c r="A169" s="4">
        <v>12904</v>
      </c>
      <c r="B169" s="4">
        <v>12905</v>
      </c>
      <c r="C169" s="4" t="s">
        <v>1868</v>
      </c>
      <c r="D169" s="4" t="s">
        <v>1869</v>
      </c>
      <c r="E169" s="4" t="s">
        <v>1342</v>
      </c>
      <c r="F169" s="4" t="s">
        <v>1870</v>
      </c>
      <c r="G169" s="4" t="s">
        <v>1871</v>
      </c>
      <c r="H169" s="4" t="s">
        <v>356</v>
      </c>
      <c r="I169" s="4" t="s">
        <v>965</v>
      </c>
      <c r="J169" s="4" t="s">
        <v>30</v>
      </c>
      <c r="K169" s="4" t="s">
        <v>30</v>
      </c>
      <c r="L169" s="2" t="s">
        <v>362</v>
      </c>
      <c r="M169" s="2" t="s">
        <v>31</v>
      </c>
      <c r="N169" s="4" t="s">
        <v>484</v>
      </c>
      <c r="O169" s="4" t="s">
        <v>155</v>
      </c>
      <c r="P169" s="4" t="s">
        <v>34</v>
      </c>
      <c r="Q169" s="152">
        <v>11</v>
      </c>
      <c r="R169" s="167">
        <v>1</v>
      </c>
      <c r="S169" s="169">
        <v>81100</v>
      </c>
      <c r="U169" s="152">
        <v>8.9209999999999994</v>
      </c>
      <c r="V169" s="166">
        <v>9.9999999999999995E-7</v>
      </c>
      <c r="W169" s="166">
        <v>2.0693442906557602E-3</v>
      </c>
      <c r="X169" s="166">
        <v>2.6358609891087901E-4</v>
      </c>
    </row>
    <row r="170" spans="1:24">
      <c r="A170" s="4">
        <v>12904</v>
      </c>
      <c r="B170" s="4">
        <v>12905</v>
      </c>
      <c r="C170" s="4" t="s">
        <v>1872</v>
      </c>
      <c r="D170" s="4" t="s">
        <v>1873</v>
      </c>
      <c r="E170" s="4" t="s">
        <v>1342</v>
      </c>
      <c r="F170" s="4" t="s">
        <v>1874</v>
      </c>
      <c r="G170" s="4" t="s">
        <v>1875</v>
      </c>
      <c r="H170" s="4" t="s">
        <v>356</v>
      </c>
      <c r="I170" s="4" t="s">
        <v>965</v>
      </c>
      <c r="J170" s="4" t="s">
        <v>30</v>
      </c>
      <c r="K170" s="4" t="s">
        <v>30</v>
      </c>
      <c r="L170" s="2" t="s">
        <v>362</v>
      </c>
      <c r="M170" s="2" t="s">
        <v>31</v>
      </c>
      <c r="N170" s="4" t="s">
        <v>510</v>
      </c>
      <c r="O170" s="4" t="s">
        <v>155</v>
      </c>
      <c r="P170" s="4" t="s">
        <v>34</v>
      </c>
      <c r="Q170" s="152">
        <v>121</v>
      </c>
      <c r="R170" s="167">
        <v>1</v>
      </c>
      <c r="S170" s="169">
        <v>19560</v>
      </c>
      <c r="U170" s="152">
        <v>23.667999999999999</v>
      </c>
      <c r="V170" s="166">
        <v>5.0000000000000004E-6</v>
      </c>
      <c r="W170" s="166">
        <v>5.4900137802403604E-3</v>
      </c>
      <c r="X170" s="166">
        <v>6.9929944564321397E-4</v>
      </c>
    </row>
    <row r="171" spans="1:24">
      <c r="A171" s="4">
        <v>12904</v>
      </c>
      <c r="B171" s="4">
        <v>12905</v>
      </c>
      <c r="C171" s="4" t="s">
        <v>1880</v>
      </c>
      <c r="D171" s="4" t="s">
        <v>1881</v>
      </c>
      <c r="E171" s="4" t="s">
        <v>1342</v>
      </c>
      <c r="F171" s="4" t="s">
        <v>1882</v>
      </c>
      <c r="G171" s="4" t="s">
        <v>1883</v>
      </c>
      <c r="H171" s="4" t="s">
        <v>356</v>
      </c>
      <c r="I171" s="4" t="s">
        <v>965</v>
      </c>
      <c r="J171" s="4" t="s">
        <v>30</v>
      </c>
      <c r="K171" s="4" t="s">
        <v>334</v>
      </c>
      <c r="L171" s="2" t="s">
        <v>362</v>
      </c>
      <c r="M171" s="2" t="s">
        <v>31</v>
      </c>
      <c r="N171" s="4" t="s">
        <v>491</v>
      </c>
      <c r="O171" s="4" t="s">
        <v>155</v>
      </c>
      <c r="P171" s="4" t="s">
        <v>34</v>
      </c>
      <c r="Q171" s="152">
        <v>335</v>
      </c>
      <c r="R171" s="167">
        <v>1</v>
      </c>
      <c r="S171" s="169">
        <v>16470</v>
      </c>
      <c r="U171" s="152">
        <v>55.174999999999997</v>
      </c>
      <c r="V171" s="166">
        <v>3.0000000000000001E-6</v>
      </c>
      <c r="W171" s="166">
        <v>1.27984571869506E-2</v>
      </c>
      <c r="X171" s="166">
        <v>1.63022432623678E-3</v>
      </c>
    </row>
    <row r="172" spans="1:24">
      <c r="A172" s="4">
        <v>12904</v>
      </c>
      <c r="B172" s="4">
        <v>12905</v>
      </c>
      <c r="C172" s="4" t="s">
        <v>1884</v>
      </c>
      <c r="D172" s="4" t="s">
        <v>1885</v>
      </c>
      <c r="E172" s="4" t="s">
        <v>1342</v>
      </c>
      <c r="F172" s="4" t="s">
        <v>1886</v>
      </c>
      <c r="G172" s="4" t="s">
        <v>1887</v>
      </c>
      <c r="H172" s="4" t="s">
        <v>356</v>
      </c>
      <c r="I172" s="4" t="s">
        <v>965</v>
      </c>
      <c r="J172" s="4" t="s">
        <v>30</v>
      </c>
      <c r="K172" s="4" t="s">
        <v>98</v>
      </c>
      <c r="L172" s="2" t="s">
        <v>362</v>
      </c>
      <c r="M172" s="2" t="s">
        <v>31</v>
      </c>
      <c r="N172" s="4" t="s">
        <v>500</v>
      </c>
      <c r="O172" s="4" t="s">
        <v>155</v>
      </c>
      <c r="P172" s="4" t="s">
        <v>34</v>
      </c>
      <c r="Q172" s="152">
        <v>1929</v>
      </c>
      <c r="R172" s="167">
        <v>1</v>
      </c>
      <c r="S172" s="169">
        <v>6629</v>
      </c>
      <c r="U172" s="152">
        <v>127.873</v>
      </c>
      <c r="V172" s="166">
        <v>1.9999999999999999E-6</v>
      </c>
      <c r="W172" s="166">
        <v>2.96619337417535E-2</v>
      </c>
      <c r="X172" s="166">
        <v>3.7782371142620098E-3</v>
      </c>
    </row>
    <row r="173" spans="1:24">
      <c r="A173" s="4">
        <v>12904</v>
      </c>
      <c r="B173" s="4">
        <v>12905</v>
      </c>
      <c r="C173" s="4" t="s">
        <v>1888</v>
      </c>
      <c r="D173" s="4" t="s">
        <v>1889</v>
      </c>
      <c r="E173" s="4" t="s">
        <v>1342</v>
      </c>
      <c r="F173" s="4" t="s">
        <v>1890</v>
      </c>
      <c r="G173" s="4" t="s">
        <v>1891</v>
      </c>
      <c r="H173" s="4" t="s">
        <v>356</v>
      </c>
      <c r="I173" s="4" t="s">
        <v>965</v>
      </c>
      <c r="J173" s="4" t="s">
        <v>30</v>
      </c>
      <c r="K173" s="4" t="s">
        <v>30</v>
      </c>
      <c r="L173" s="2" t="s">
        <v>362</v>
      </c>
      <c r="M173" s="2" t="s">
        <v>31</v>
      </c>
      <c r="N173" s="4" t="s">
        <v>509</v>
      </c>
      <c r="O173" s="4" t="s">
        <v>155</v>
      </c>
      <c r="P173" s="4" t="s">
        <v>34</v>
      </c>
      <c r="Q173" s="152">
        <v>5000</v>
      </c>
      <c r="R173" s="167">
        <v>1</v>
      </c>
      <c r="S173" s="169">
        <v>598</v>
      </c>
      <c r="U173" s="152">
        <v>29.9</v>
      </c>
      <c r="V173" s="166">
        <v>4.6999999999999997E-5</v>
      </c>
      <c r="W173" s="166">
        <v>6.9357016355349396E-3</v>
      </c>
      <c r="X173" s="166">
        <v>8.8344629048708401E-4</v>
      </c>
    </row>
    <row r="174" spans="1:24">
      <c r="A174" s="4">
        <v>12904</v>
      </c>
      <c r="B174" s="4">
        <v>12905</v>
      </c>
      <c r="C174" s="4" t="s">
        <v>1892</v>
      </c>
      <c r="D174" s="4" t="s">
        <v>1893</v>
      </c>
      <c r="E174" s="4" t="s">
        <v>1342</v>
      </c>
      <c r="F174" s="4" t="s">
        <v>1894</v>
      </c>
      <c r="G174" s="4" t="s">
        <v>1895</v>
      </c>
      <c r="H174" s="4" t="s">
        <v>356</v>
      </c>
      <c r="I174" s="4" t="s">
        <v>965</v>
      </c>
      <c r="J174" s="4" t="s">
        <v>30</v>
      </c>
      <c r="K174" s="4" t="s">
        <v>30</v>
      </c>
      <c r="L174" s="2" t="s">
        <v>362</v>
      </c>
      <c r="M174" s="2" t="s">
        <v>31</v>
      </c>
      <c r="N174" s="4" t="s">
        <v>512</v>
      </c>
      <c r="O174" s="4" t="s">
        <v>155</v>
      </c>
      <c r="P174" s="4" t="s">
        <v>34</v>
      </c>
      <c r="Q174" s="152">
        <v>11212</v>
      </c>
      <c r="R174" s="167">
        <v>1</v>
      </c>
      <c r="S174" s="169">
        <v>1373</v>
      </c>
      <c r="U174" s="152">
        <v>153.941</v>
      </c>
      <c r="V174" s="166">
        <v>5.5999999999999999E-5</v>
      </c>
      <c r="W174" s="166">
        <v>3.5708601368143598E-2</v>
      </c>
      <c r="X174" s="166">
        <v>4.5484412500589504E-3</v>
      </c>
    </row>
    <row r="175" spans="1:24">
      <c r="A175" s="4">
        <v>12904</v>
      </c>
      <c r="B175" s="4">
        <v>12905</v>
      </c>
      <c r="C175" s="4" t="s">
        <v>1896</v>
      </c>
      <c r="D175" s="4" t="s">
        <v>1897</v>
      </c>
      <c r="E175" s="4" t="s">
        <v>1342</v>
      </c>
      <c r="F175" s="4" t="s">
        <v>1898</v>
      </c>
      <c r="G175" s="4" t="s">
        <v>1899</v>
      </c>
      <c r="H175" s="4" t="s">
        <v>356</v>
      </c>
      <c r="I175" s="4" t="s">
        <v>965</v>
      </c>
      <c r="J175" s="4" t="s">
        <v>30</v>
      </c>
      <c r="K175" s="4" t="s">
        <v>30</v>
      </c>
      <c r="L175" s="2" t="s">
        <v>362</v>
      </c>
      <c r="M175" s="2" t="s">
        <v>31</v>
      </c>
      <c r="N175" s="4" t="s">
        <v>478</v>
      </c>
      <c r="O175" s="4" t="s">
        <v>155</v>
      </c>
      <c r="P175" s="4" t="s">
        <v>34</v>
      </c>
      <c r="Q175" s="152">
        <v>460</v>
      </c>
      <c r="R175" s="167">
        <v>1</v>
      </c>
      <c r="S175" s="169">
        <v>6329</v>
      </c>
      <c r="U175" s="152">
        <v>29.113</v>
      </c>
      <c r="V175" s="166">
        <v>6.0000000000000002E-6</v>
      </c>
      <c r="W175" s="166">
        <v>6.7532393309693304E-3</v>
      </c>
      <c r="X175" s="166">
        <v>8.6020485730657799E-4</v>
      </c>
    </row>
    <row r="176" spans="1:24">
      <c r="A176" s="4">
        <v>12904</v>
      </c>
      <c r="B176" s="4">
        <v>12905</v>
      </c>
      <c r="C176" s="4" t="s">
        <v>1212</v>
      </c>
      <c r="D176" s="4" t="s">
        <v>1900</v>
      </c>
      <c r="E176" s="4" t="s">
        <v>1342</v>
      </c>
      <c r="F176" s="4" t="s">
        <v>1901</v>
      </c>
      <c r="G176" s="4" t="s">
        <v>1902</v>
      </c>
      <c r="H176" s="4" t="s">
        <v>356</v>
      </c>
      <c r="I176" s="4" t="s">
        <v>965</v>
      </c>
      <c r="J176" s="4" t="s">
        <v>30</v>
      </c>
      <c r="K176" s="4" t="s">
        <v>30</v>
      </c>
      <c r="L176" s="2" t="s">
        <v>362</v>
      </c>
      <c r="M176" s="2" t="s">
        <v>31</v>
      </c>
      <c r="N176" s="4" t="s">
        <v>481</v>
      </c>
      <c r="O176" s="4" t="s">
        <v>155</v>
      </c>
      <c r="P176" s="4" t="s">
        <v>34</v>
      </c>
      <c r="Q176" s="152">
        <v>8157</v>
      </c>
      <c r="R176" s="167">
        <v>1</v>
      </c>
      <c r="S176" s="169">
        <v>3644</v>
      </c>
      <c r="U176" s="152">
        <v>297.24099999999999</v>
      </c>
      <c r="V176" s="166">
        <v>5.0000000000000004E-6</v>
      </c>
      <c r="W176" s="166">
        <v>6.8949011528567694E-2</v>
      </c>
      <c r="X176" s="166">
        <v>8.7824926256312597E-3</v>
      </c>
    </row>
    <row r="177" spans="1:24">
      <c r="A177" s="4">
        <v>12904</v>
      </c>
      <c r="B177" s="4">
        <v>12905</v>
      </c>
      <c r="C177" s="4" t="s">
        <v>1903</v>
      </c>
      <c r="D177" s="4" t="s">
        <v>1904</v>
      </c>
      <c r="E177" s="4" t="s">
        <v>1342</v>
      </c>
      <c r="F177" s="4" t="s">
        <v>1905</v>
      </c>
      <c r="G177" s="4" t="s">
        <v>1906</v>
      </c>
      <c r="H177" s="4" t="s">
        <v>356</v>
      </c>
      <c r="I177" s="4" t="s">
        <v>965</v>
      </c>
      <c r="J177" s="4" t="s">
        <v>30</v>
      </c>
      <c r="K177" s="4" t="s">
        <v>30</v>
      </c>
      <c r="L177" s="2" t="s">
        <v>362</v>
      </c>
      <c r="M177" s="2" t="s">
        <v>31</v>
      </c>
      <c r="N177" s="4" t="s">
        <v>497</v>
      </c>
      <c r="O177" s="4" t="s">
        <v>155</v>
      </c>
      <c r="P177" s="4" t="s">
        <v>34</v>
      </c>
      <c r="Q177" s="152">
        <v>11029</v>
      </c>
      <c r="R177" s="167">
        <v>1</v>
      </c>
      <c r="S177" s="169">
        <v>954</v>
      </c>
      <c r="U177" s="152">
        <v>105.217</v>
      </c>
      <c r="V177" s="166">
        <v>1.5E-5</v>
      </c>
      <c r="W177" s="166">
        <v>2.44064000283453E-2</v>
      </c>
      <c r="X177" s="166">
        <v>3.1088049489779502E-3</v>
      </c>
    </row>
    <row r="178" spans="1:24">
      <c r="A178" s="4">
        <v>12904</v>
      </c>
      <c r="B178" s="4">
        <v>12905</v>
      </c>
      <c r="C178" s="4" t="s">
        <v>1911</v>
      </c>
      <c r="D178" s="4" t="s">
        <v>1912</v>
      </c>
      <c r="E178" s="4" t="s">
        <v>1342</v>
      </c>
      <c r="F178" s="4" t="s">
        <v>1913</v>
      </c>
      <c r="G178" s="4" t="s">
        <v>1914</v>
      </c>
      <c r="H178" s="4" t="s">
        <v>356</v>
      </c>
      <c r="I178" s="4" t="s">
        <v>965</v>
      </c>
      <c r="J178" s="4" t="s">
        <v>30</v>
      </c>
      <c r="K178" s="4" t="s">
        <v>30</v>
      </c>
      <c r="L178" s="2" t="s">
        <v>362</v>
      </c>
      <c r="M178" s="2" t="s">
        <v>31</v>
      </c>
      <c r="N178" s="4" t="s">
        <v>492</v>
      </c>
      <c r="O178" s="4" t="s">
        <v>155</v>
      </c>
      <c r="P178" s="4" t="s">
        <v>34</v>
      </c>
      <c r="Q178" s="152">
        <v>116</v>
      </c>
      <c r="R178" s="167">
        <v>1</v>
      </c>
      <c r="S178" s="169">
        <v>15960</v>
      </c>
      <c r="U178" s="152">
        <v>18.513999999999999</v>
      </c>
      <c r="V178" s="166">
        <v>3.4999999999999997E-5</v>
      </c>
      <c r="W178" s="166">
        <v>4.2944751103558398E-3</v>
      </c>
      <c r="X178" s="166">
        <v>5.4701576065423695E-4</v>
      </c>
    </row>
    <row r="179" spans="1:24">
      <c r="A179" s="4">
        <v>12904</v>
      </c>
      <c r="B179" s="4">
        <v>12905</v>
      </c>
      <c r="C179" s="4" t="s">
        <v>1915</v>
      </c>
      <c r="D179" s="4" t="s">
        <v>1916</v>
      </c>
      <c r="E179" s="4" t="s">
        <v>1342</v>
      </c>
      <c r="F179" s="4" t="s">
        <v>1917</v>
      </c>
      <c r="G179" s="4" t="s">
        <v>1918</v>
      </c>
      <c r="H179" s="4" t="s">
        <v>356</v>
      </c>
      <c r="I179" s="4" t="s">
        <v>965</v>
      </c>
      <c r="J179" s="4" t="s">
        <v>30</v>
      </c>
      <c r="K179" s="4" t="s">
        <v>30</v>
      </c>
      <c r="L179" s="2" t="s">
        <v>362</v>
      </c>
      <c r="M179" s="2" t="s">
        <v>31</v>
      </c>
      <c r="N179" s="4" t="s">
        <v>510</v>
      </c>
      <c r="O179" s="4" t="s">
        <v>155</v>
      </c>
      <c r="P179" s="4" t="s">
        <v>34</v>
      </c>
      <c r="Q179" s="152">
        <v>60</v>
      </c>
      <c r="R179" s="167">
        <v>1</v>
      </c>
      <c r="S179" s="169">
        <v>7125</v>
      </c>
      <c r="T179" s="151">
        <v>4.9000000000000002E-2</v>
      </c>
      <c r="U179" s="152">
        <v>4.3239999999999998</v>
      </c>
      <c r="V179" s="166">
        <v>9.9999999999999995E-7</v>
      </c>
      <c r="W179" s="166">
        <v>1.0030555522535199E-3</v>
      </c>
      <c r="X179" s="166">
        <v>1.2776583442555999E-4</v>
      </c>
    </row>
    <row r="180" spans="1:24">
      <c r="A180" s="4">
        <v>12904</v>
      </c>
      <c r="B180" s="4">
        <v>12905</v>
      </c>
      <c r="C180" s="4" t="s">
        <v>1919</v>
      </c>
      <c r="D180" s="4" t="s">
        <v>1920</v>
      </c>
      <c r="E180" s="4" t="s">
        <v>1342</v>
      </c>
      <c r="F180" s="4" t="s">
        <v>1921</v>
      </c>
      <c r="G180" s="4" t="s">
        <v>1922</v>
      </c>
      <c r="H180" s="4" t="s">
        <v>356</v>
      </c>
      <c r="I180" s="4" t="s">
        <v>965</v>
      </c>
      <c r="J180" s="4" t="s">
        <v>30</v>
      </c>
      <c r="K180" s="4" t="s">
        <v>30</v>
      </c>
      <c r="L180" s="2" t="s">
        <v>362</v>
      </c>
      <c r="M180" s="2" t="s">
        <v>31</v>
      </c>
      <c r="N180" s="4" t="s">
        <v>497</v>
      </c>
      <c r="O180" s="4" t="s">
        <v>155</v>
      </c>
      <c r="P180" s="4" t="s">
        <v>34</v>
      </c>
      <c r="Q180" s="152">
        <v>84</v>
      </c>
      <c r="R180" s="167">
        <v>1</v>
      </c>
      <c r="S180" s="169">
        <v>28210</v>
      </c>
      <c r="U180" s="152">
        <v>23.696000000000002</v>
      </c>
      <c r="V180" s="166">
        <v>1.9999999999999999E-6</v>
      </c>
      <c r="W180" s="166">
        <v>5.4966943222839598E-3</v>
      </c>
      <c r="X180" s="166">
        <v>7.0015039056515495E-4</v>
      </c>
    </row>
    <row r="181" spans="1:24">
      <c r="A181" s="4">
        <v>12904</v>
      </c>
      <c r="B181" s="4">
        <v>12905</v>
      </c>
      <c r="C181" s="4" t="s">
        <v>1923</v>
      </c>
      <c r="D181" s="4" t="s">
        <v>1924</v>
      </c>
      <c r="E181" s="4" t="s">
        <v>1342</v>
      </c>
      <c r="F181" s="4" t="s">
        <v>1925</v>
      </c>
      <c r="G181" s="4" t="s">
        <v>1926</v>
      </c>
      <c r="H181" s="4" t="s">
        <v>356</v>
      </c>
      <c r="I181" s="4" t="s">
        <v>965</v>
      </c>
      <c r="J181" s="4" t="s">
        <v>30</v>
      </c>
      <c r="K181" s="4" t="s">
        <v>30</v>
      </c>
      <c r="L181" s="2" t="s">
        <v>362</v>
      </c>
      <c r="M181" s="2" t="s">
        <v>31</v>
      </c>
      <c r="N181" s="4" t="s">
        <v>478</v>
      </c>
      <c r="O181" s="4" t="s">
        <v>155</v>
      </c>
      <c r="P181" s="4" t="s">
        <v>34</v>
      </c>
      <c r="Q181" s="152">
        <v>540</v>
      </c>
      <c r="R181" s="167">
        <v>1</v>
      </c>
      <c r="S181" s="169">
        <v>10880</v>
      </c>
      <c r="U181" s="152">
        <v>58.752000000000002</v>
      </c>
      <c r="V181" s="166">
        <v>9.0000000000000002E-6</v>
      </c>
      <c r="W181" s="166">
        <v>1.36283057689281E-2</v>
      </c>
      <c r="X181" s="166">
        <v>1.7359276407591E-3</v>
      </c>
    </row>
    <row r="182" spans="1:24">
      <c r="A182" s="4">
        <v>12904</v>
      </c>
      <c r="B182" s="4">
        <v>12905</v>
      </c>
      <c r="C182" s="4" t="s">
        <v>1927</v>
      </c>
      <c r="D182" s="4" t="s">
        <v>1483</v>
      </c>
      <c r="E182" s="4" t="s">
        <v>1342</v>
      </c>
      <c r="F182" s="4" t="s">
        <v>1928</v>
      </c>
      <c r="G182" s="4" t="s">
        <v>1929</v>
      </c>
      <c r="H182" s="4" t="s">
        <v>356</v>
      </c>
      <c r="I182" s="4" t="s">
        <v>965</v>
      </c>
      <c r="J182" s="4" t="s">
        <v>30</v>
      </c>
      <c r="K182" s="4" t="s">
        <v>30</v>
      </c>
      <c r="L182" s="2" t="s">
        <v>362</v>
      </c>
      <c r="M182" s="2" t="s">
        <v>31</v>
      </c>
      <c r="N182" s="4" t="s">
        <v>476</v>
      </c>
      <c r="O182" s="4" t="s">
        <v>155</v>
      </c>
      <c r="P182" s="4" t="s">
        <v>34</v>
      </c>
      <c r="Q182" s="152">
        <v>3732</v>
      </c>
      <c r="R182" s="167">
        <v>1</v>
      </c>
      <c r="S182" s="169">
        <v>1350</v>
      </c>
      <c r="U182" s="152">
        <v>50.381999999999998</v>
      </c>
      <c r="V182" s="166">
        <v>6.2000000000000003E-5</v>
      </c>
      <c r="W182" s="166">
        <v>1.16867732375091E-2</v>
      </c>
      <c r="X182" s="166">
        <v>1.4886217728200799E-3</v>
      </c>
    </row>
    <row r="183" spans="1:24">
      <c r="A183" s="4">
        <v>12904</v>
      </c>
      <c r="B183" s="4">
        <v>12905</v>
      </c>
      <c r="C183" s="4" t="s">
        <v>1930</v>
      </c>
      <c r="D183" s="4" t="s">
        <v>1931</v>
      </c>
      <c r="E183" s="4" t="s">
        <v>1342</v>
      </c>
      <c r="F183" s="4" t="s">
        <v>1932</v>
      </c>
      <c r="G183" s="4" t="s">
        <v>1933</v>
      </c>
      <c r="H183" s="4" t="s">
        <v>356</v>
      </c>
      <c r="I183" s="4" t="s">
        <v>965</v>
      </c>
      <c r="J183" s="4" t="s">
        <v>30</v>
      </c>
      <c r="K183" s="4" t="s">
        <v>30</v>
      </c>
      <c r="L183" s="2" t="s">
        <v>362</v>
      </c>
      <c r="M183" s="2" t="s">
        <v>31</v>
      </c>
      <c r="N183" s="4" t="s">
        <v>509</v>
      </c>
      <c r="O183" s="4" t="s">
        <v>155</v>
      </c>
      <c r="P183" s="4" t="s">
        <v>34</v>
      </c>
      <c r="Q183" s="152">
        <v>3000</v>
      </c>
      <c r="R183" s="167">
        <v>1</v>
      </c>
      <c r="S183" s="169">
        <v>1049</v>
      </c>
      <c r="U183" s="152">
        <v>31.47</v>
      </c>
      <c r="V183" s="166">
        <v>2.1999999999999999E-5</v>
      </c>
      <c r="W183" s="166">
        <v>7.29988396221688E-3</v>
      </c>
      <c r="X183" s="166">
        <v>9.2983460741232599E-4</v>
      </c>
    </row>
    <row r="184" spans="1:24">
      <c r="A184" s="4">
        <v>12904</v>
      </c>
      <c r="B184" s="4">
        <v>12905</v>
      </c>
      <c r="C184" s="4" t="s">
        <v>1934</v>
      </c>
      <c r="D184" s="4" t="s">
        <v>1935</v>
      </c>
      <c r="E184" s="4" t="s">
        <v>348</v>
      </c>
      <c r="F184" s="4" t="s">
        <v>1936</v>
      </c>
      <c r="G184" s="4" t="s">
        <v>1937</v>
      </c>
      <c r="H184" s="4" t="s">
        <v>356</v>
      </c>
      <c r="I184" s="4" t="s">
        <v>965</v>
      </c>
      <c r="J184" s="4" t="s">
        <v>30</v>
      </c>
      <c r="K184" s="4" t="s">
        <v>30</v>
      </c>
      <c r="L184" s="2" t="s">
        <v>362</v>
      </c>
      <c r="M184" s="2" t="s">
        <v>31</v>
      </c>
      <c r="N184" s="4" t="s">
        <v>487</v>
      </c>
      <c r="O184" s="4" t="s">
        <v>155</v>
      </c>
      <c r="P184" s="4" t="s">
        <v>34</v>
      </c>
      <c r="Q184" s="152">
        <v>4489</v>
      </c>
      <c r="R184" s="167">
        <v>1</v>
      </c>
      <c r="S184" s="169">
        <v>1025</v>
      </c>
      <c r="U184" s="152">
        <v>46.012</v>
      </c>
      <c r="V184" s="166">
        <v>3.9999999999999998E-6</v>
      </c>
      <c r="W184" s="166">
        <v>1.06731517585165E-2</v>
      </c>
      <c r="X184" s="166">
        <v>1.3595100862697101E-3</v>
      </c>
    </row>
    <row r="185" spans="1:24">
      <c r="A185" s="4">
        <v>12904</v>
      </c>
      <c r="B185" s="4">
        <v>12905</v>
      </c>
      <c r="C185" s="4" t="s">
        <v>1938</v>
      </c>
      <c r="D185" s="4" t="s">
        <v>1939</v>
      </c>
      <c r="E185" s="4" t="s">
        <v>1342</v>
      </c>
      <c r="F185" s="4" t="s">
        <v>1940</v>
      </c>
      <c r="G185" s="4" t="s">
        <v>1941</v>
      </c>
      <c r="H185" s="4" t="s">
        <v>356</v>
      </c>
      <c r="I185" s="4" t="s">
        <v>965</v>
      </c>
      <c r="J185" s="4" t="s">
        <v>30</v>
      </c>
      <c r="K185" s="4" t="s">
        <v>98</v>
      </c>
      <c r="L185" s="2" t="s">
        <v>362</v>
      </c>
      <c r="M185" s="2" t="s">
        <v>31</v>
      </c>
      <c r="N185" s="4" t="s">
        <v>514</v>
      </c>
      <c r="O185" s="4" t="s">
        <v>155</v>
      </c>
      <c r="P185" s="4" t="s">
        <v>34</v>
      </c>
      <c r="Q185" s="152">
        <v>164</v>
      </c>
      <c r="R185" s="167">
        <v>1</v>
      </c>
      <c r="S185" s="169">
        <v>64880</v>
      </c>
      <c r="U185" s="152">
        <v>106.40300000000001</v>
      </c>
      <c r="V185" s="166">
        <v>3.0000000000000001E-6</v>
      </c>
      <c r="W185" s="166">
        <v>2.4681633721275999E-2</v>
      </c>
      <c r="X185" s="166">
        <v>3.1438632888279401E-3</v>
      </c>
    </row>
    <row r="186" spans="1:24">
      <c r="A186" s="4">
        <v>12904</v>
      </c>
      <c r="B186" s="4">
        <v>12905</v>
      </c>
      <c r="C186" s="4" t="s">
        <v>1946</v>
      </c>
      <c r="D186" s="4" t="s">
        <v>1947</v>
      </c>
      <c r="E186" s="4" t="s">
        <v>1342</v>
      </c>
      <c r="F186" s="4" t="s">
        <v>1948</v>
      </c>
      <c r="G186" s="4" t="s">
        <v>1949</v>
      </c>
      <c r="H186" s="4" t="s">
        <v>356</v>
      </c>
      <c r="I186" s="4" t="s">
        <v>965</v>
      </c>
      <c r="J186" s="4" t="s">
        <v>30</v>
      </c>
      <c r="K186" s="4" t="s">
        <v>30</v>
      </c>
      <c r="L186" s="2" t="s">
        <v>362</v>
      </c>
      <c r="M186" s="2" t="s">
        <v>31</v>
      </c>
      <c r="N186" s="4" t="s">
        <v>518</v>
      </c>
      <c r="O186" s="4" t="s">
        <v>155</v>
      </c>
      <c r="P186" s="4" t="s">
        <v>34</v>
      </c>
      <c r="Q186" s="152">
        <v>1127</v>
      </c>
      <c r="R186" s="167">
        <v>1</v>
      </c>
      <c r="S186" s="169">
        <v>1670</v>
      </c>
      <c r="U186" s="152">
        <v>18.821000000000002</v>
      </c>
      <c r="V186" s="166">
        <v>6.9999999999999999E-6</v>
      </c>
      <c r="W186" s="166">
        <v>4.3657574218140399E-3</v>
      </c>
      <c r="X186" s="166">
        <v>5.5609546115813896E-4</v>
      </c>
    </row>
    <row r="187" spans="1:24">
      <c r="A187" s="4">
        <v>12904</v>
      </c>
      <c r="B187" s="4">
        <v>12905</v>
      </c>
      <c r="C187" s="4" t="s">
        <v>1950</v>
      </c>
      <c r="D187" s="4" t="s">
        <v>1951</v>
      </c>
      <c r="E187" s="4" t="s">
        <v>1342</v>
      </c>
      <c r="F187" s="4" t="s">
        <v>1952</v>
      </c>
      <c r="G187" s="4" t="s">
        <v>1953</v>
      </c>
      <c r="H187" s="4" t="s">
        <v>356</v>
      </c>
      <c r="I187" s="4" t="s">
        <v>965</v>
      </c>
      <c r="J187" s="4" t="s">
        <v>30</v>
      </c>
      <c r="K187" s="4" t="s">
        <v>30</v>
      </c>
      <c r="L187" s="2" t="s">
        <v>362</v>
      </c>
      <c r="M187" s="2" t="s">
        <v>31</v>
      </c>
      <c r="N187" s="4" t="s">
        <v>497</v>
      </c>
      <c r="O187" s="4" t="s">
        <v>155</v>
      </c>
      <c r="P187" s="4" t="s">
        <v>34</v>
      </c>
      <c r="Q187" s="152">
        <v>149</v>
      </c>
      <c r="R187" s="167">
        <v>1</v>
      </c>
      <c r="S187" s="169">
        <v>25940</v>
      </c>
      <c r="U187" s="152">
        <v>38.651000000000003</v>
      </c>
      <c r="V187" s="166">
        <v>9.9999999999999995E-7</v>
      </c>
      <c r="W187" s="166">
        <v>8.9655193857661204E-3</v>
      </c>
      <c r="X187" s="166">
        <v>1.14199763194315E-3</v>
      </c>
    </row>
    <row r="188" spans="1:24">
      <c r="A188" s="4">
        <v>12904</v>
      </c>
      <c r="B188" s="4">
        <v>12905</v>
      </c>
      <c r="C188" s="4" t="s">
        <v>1217</v>
      </c>
      <c r="D188" s="4" t="s">
        <v>1954</v>
      </c>
      <c r="E188" s="4" t="s">
        <v>1342</v>
      </c>
      <c r="F188" s="4" t="s">
        <v>1955</v>
      </c>
      <c r="G188" s="4" t="s">
        <v>1956</v>
      </c>
      <c r="H188" s="4" t="s">
        <v>356</v>
      </c>
      <c r="I188" s="4" t="s">
        <v>965</v>
      </c>
      <c r="J188" s="4" t="s">
        <v>30</v>
      </c>
      <c r="K188" s="4" t="s">
        <v>30</v>
      </c>
      <c r="L188" s="2" t="s">
        <v>362</v>
      </c>
      <c r="M188" s="2" t="s">
        <v>31</v>
      </c>
      <c r="N188" s="4" t="s">
        <v>481</v>
      </c>
      <c r="O188" s="4" t="s">
        <v>155</v>
      </c>
      <c r="P188" s="4" t="s">
        <v>34</v>
      </c>
      <c r="Q188" s="152">
        <v>4814</v>
      </c>
      <c r="R188" s="167">
        <v>1</v>
      </c>
      <c r="S188" s="169">
        <v>3729</v>
      </c>
      <c r="U188" s="152">
        <v>179.51400000000001</v>
      </c>
      <c r="V188" s="166">
        <v>3.9999999999999998E-6</v>
      </c>
      <c r="W188" s="166">
        <v>4.1640667543261498E-2</v>
      </c>
      <c r="X188" s="166">
        <v>5.3040478393737702E-3</v>
      </c>
    </row>
    <row r="189" spans="1:24">
      <c r="A189" s="4">
        <v>12904</v>
      </c>
      <c r="B189" s="4">
        <v>12905</v>
      </c>
      <c r="C189" s="4" t="s">
        <v>1961</v>
      </c>
      <c r="D189" s="4" t="s">
        <v>1962</v>
      </c>
      <c r="E189" s="4" t="s">
        <v>1342</v>
      </c>
      <c r="F189" s="4" t="s">
        <v>1963</v>
      </c>
      <c r="G189" s="4" t="s">
        <v>1964</v>
      </c>
      <c r="H189" s="4" t="s">
        <v>356</v>
      </c>
      <c r="I189" s="4" t="s">
        <v>965</v>
      </c>
      <c r="J189" s="4" t="s">
        <v>30</v>
      </c>
      <c r="K189" s="4" t="s">
        <v>30</v>
      </c>
      <c r="L189" s="2" t="s">
        <v>362</v>
      </c>
      <c r="M189" s="2" t="s">
        <v>31</v>
      </c>
      <c r="N189" s="4" t="s">
        <v>518</v>
      </c>
      <c r="O189" s="4" t="s">
        <v>155</v>
      </c>
      <c r="P189" s="4" t="s">
        <v>34</v>
      </c>
      <c r="Q189" s="152">
        <v>2574</v>
      </c>
      <c r="R189" s="167">
        <v>1</v>
      </c>
      <c r="S189" s="169">
        <v>1606</v>
      </c>
      <c r="U189" s="152">
        <v>41.338000000000001</v>
      </c>
      <c r="V189" s="166">
        <v>1.4E-5</v>
      </c>
      <c r="W189" s="166">
        <v>9.5889995290455894E-3</v>
      </c>
      <c r="X189" s="166">
        <v>1.2214144305191599E-3</v>
      </c>
    </row>
    <row r="190" spans="1:24">
      <c r="A190" s="4">
        <v>12904</v>
      </c>
      <c r="B190" s="4">
        <v>12905</v>
      </c>
      <c r="C190" s="4" t="s">
        <v>1969</v>
      </c>
      <c r="D190" s="4" t="s">
        <v>1970</v>
      </c>
      <c r="E190" s="4" t="s">
        <v>1342</v>
      </c>
      <c r="F190" s="4" t="s">
        <v>1971</v>
      </c>
      <c r="G190" s="4" t="s">
        <v>1972</v>
      </c>
      <c r="H190" s="4" t="s">
        <v>356</v>
      </c>
      <c r="I190" s="4" t="s">
        <v>965</v>
      </c>
      <c r="J190" s="4" t="s">
        <v>30</v>
      </c>
      <c r="K190" s="4" t="s">
        <v>30</v>
      </c>
      <c r="L190" s="2" t="s">
        <v>362</v>
      </c>
      <c r="M190" s="2" t="s">
        <v>31</v>
      </c>
      <c r="N190" s="4" t="s">
        <v>496</v>
      </c>
      <c r="O190" s="4" t="s">
        <v>155</v>
      </c>
      <c r="P190" s="4" t="s">
        <v>34</v>
      </c>
      <c r="Q190" s="152">
        <v>6521</v>
      </c>
      <c r="R190" s="167">
        <v>1</v>
      </c>
      <c r="S190" s="169">
        <v>551.79999999999995</v>
      </c>
      <c r="U190" s="152">
        <v>35.982999999999997</v>
      </c>
      <c r="V190" s="166">
        <v>2.3E-5</v>
      </c>
      <c r="W190" s="166">
        <v>8.3467058794600094E-3</v>
      </c>
      <c r="X190" s="166">
        <v>1.0631752538511499E-3</v>
      </c>
    </row>
    <row r="191" spans="1:24">
      <c r="A191" s="4">
        <v>12904</v>
      </c>
      <c r="B191" s="4">
        <v>12905</v>
      </c>
      <c r="C191" s="4" t="s">
        <v>1977</v>
      </c>
      <c r="D191" s="4" t="s">
        <v>1978</v>
      </c>
      <c r="E191" s="4" t="s">
        <v>1342</v>
      </c>
      <c r="F191" s="4" t="s">
        <v>1979</v>
      </c>
      <c r="G191" s="4" t="s">
        <v>1980</v>
      </c>
      <c r="H191" s="4" t="s">
        <v>356</v>
      </c>
      <c r="I191" s="4" t="s">
        <v>965</v>
      </c>
      <c r="J191" s="4" t="s">
        <v>30</v>
      </c>
      <c r="K191" s="4" t="s">
        <v>30</v>
      </c>
      <c r="L191" s="2" t="s">
        <v>362</v>
      </c>
      <c r="M191" s="2" t="s">
        <v>31</v>
      </c>
      <c r="N191" s="4" t="s">
        <v>492</v>
      </c>
      <c r="O191" s="4" t="s">
        <v>155</v>
      </c>
      <c r="P191" s="4" t="s">
        <v>34</v>
      </c>
      <c r="Q191" s="152">
        <v>1552</v>
      </c>
      <c r="R191" s="167">
        <v>1</v>
      </c>
      <c r="S191" s="169">
        <v>5930</v>
      </c>
      <c r="U191" s="152">
        <v>92.034000000000006</v>
      </c>
      <c r="V191" s="166">
        <v>1.2999999999999999E-5</v>
      </c>
      <c r="W191" s="166">
        <v>2.13484143827481E-2</v>
      </c>
      <c r="X191" s="166">
        <v>2.7192890474973998E-3</v>
      </c>
    </row>
    <row r="192" spans="1:24">
      <c r="A192" s="4">
        <v>12904</v>
      </c>
      <c r="B192" s="4">
        <v>12905</v>
      </c>
      <c r="C192" s="4" t="s">
        <v>1981</v>
      </c>
      <c r="D192" s="4" t="s">
        <v>1982</v>
      </c>
      <c r="E192" s="4" t="s">
        <v>1342</v>
      </c>
      <c r="F192" s="4" t="s">
        <v>1983</v>
      </c>
      <c r="G192" s="4" t="s">
        <v>1984</v>
      </c>
      <c r="H192" s="4" t="s">
        <v>356</v>
      </c>
      <c r="I192" s="4" t="s">
        <v>965</v>
      </c>
      <c r="J192" s="4" t="s">
        <v>30</v>
      </c>
      <c r="K192" s="4" t="s">
        <v>30</v>
      </c>
      <c r="L192" s="2" t="s">
        <v>362</v>
      </c>
      <c r="M192" s="2" t="s">
        <v>31</v>
      </c>
      <c r="N192" s="4" t="s">
        <v>496</v>
      </c>
      <c r="O192" s="4" t="s">
        <v>155</v>
      </c>
      <c r="P192" s="4" t="s">
        <v>34</v>
      </c>
      <c r="Q192" s="152">
        <v>2013</v>
      </c>
      <c r="R192" s="167">
        <v>1</v>
      </c>
      <c r="S192" s="169">
        <v>2140</v>
      </c>
      <c r="U192" s="152">
        <v>43.078000000000003</v>
      </c>
      <c r="V192" s="166">
        <v>6.0000000000000002E-6</v>
      </c>
      <c r="W192" s="166">
        <v>9.9925599396622593E-3</v>
      </c>
      <c r="X192" s="166">
        <v>1.27281859501206E-3</v>
      </c>
    </row>
    <row r="193" spans="1:24">
      <c r="A193" s="4">
        <v>12904</v>
      </c>
      <c r="B193" s="4">
        <v>12905</v>
      </c>
      <c r="C193" s="4" t="s">
        <v>1985</v>
      </c>
      <c r="D193" s="4" t="s">
        <v>1986</v>
      </c>
      <c r="E193" s="4" t="s">
        <v>1342</v>
      </c>
      <c r="F193" s="4" t="s">
        <v>1987</v>
      </c>
      <c r="G193" s="4" t="s">
        <v>1988</v>
      </c>
      <c r="H193" s="4" t="s">
        <v>356</v>
      </c>
      <c r="I193" s="4" t="s">
        <v>965</v>
      </c>
      <c r="J193" s="4" t="s">
        <v>30</v>
      </c>
      <c r="K193" s="4" t="s">
        <v>334</v>
      </c>
      <c r="L193" s="2" t="s">
        <v>362</v>
      </c>
      <c r="M193" s="2" t="s">
        <v>31</v>
      </c>
      <c r="N193" s="4" t="s">
        <v>488</v>
      </c>
      <c r="O193" s="4" t="s">
        <v>155</v>
      </c>
      <c r="P193" s="4" t="s">
        <v>34</v>
      </c>
      <c r="Q193" s="152">
        <v>850</v>
      </c>
      <c r="R193" s="167">
        <v>1</v>
      </c>
      <c r="S193" s="169">
        <v>6800</v>
      </c>
      <c r="U193" s="152">
        <v>57.8</v>
      </c>
      <c r="V193" s="166">
        <v>7.9999999999999996E-6</v>
      </c>
      <c r="W193" s="166">
        <v>1.3407476740264899E-2</v>
      </c>
      <c r="X193" s="166">
        <v>1.7077991836171699E-3</v>
      </c>
    </row>
    <row r="194" spans="1:24">
      <c r="A194" s="4">
        <v>12904</v>
      </c>
      <c r="B194" s="4">
        <v>12905</v>
      </c>
      <c r="C194" s="4" t="s">
        <v>1989</v>
      </c>
      <c r="D194" s="4" t="s">
        <v>1990</v>
      </c>
      <c r="E194" s="4" t="s">
        <v>350</v>
      </c>
      <c r="F194" s="4" t="s">
        <v>1991</v>
      </c>
      <c r="G194" s="4" t="s">
        <v>1992</v>
      </c>
      <c r="H194" s="4" t="s">
        <v>356</v>
      </c>
      <c r="I194" s="4" t="s">
        <v>965</v>
      </c>
      <c r="J194" s="4" t="s">
        <v>97</v>
      </c>
      <c r="K194" s="4" t="s">
        <v>98</v>
      </c>
      <c r="L194" s="2" t="s">
        <v>362</v>
      </c>
      <c r="M194" s="2" t="s">
        <v>381</v>
      </c>
      <c r="N194" s="4" t="s">
        <v>549</v>
      </c>
      <c r="O194" s="4" t="s">
        <v>155</v>
      </c>
      <c r="P194" s="4" t="s">
        <v>102</v>
      </c>
      <c r="Q194" s="152">
        <v>161</v>
      </c>
      <c r="R194" s="167">
        <v>3.71</v>
      </c>
      <c r="S194" s="169">
        <v>18633</v>
      </c>
      <c r="U194" s="152">
        <v>111.297</v>
      </c>
      <c r="V194" s="166">
        <v>0</v>
      </c>
      <c r="W194" s="166">
        <v>2.5816762731467199E-2</v>
      </c>
      <c r="X194" s="166">
        <v>3.28845219503748E-3</v>
      </c>
    </row>
    <row r="195" spans="1:24">
      <c r="A195" s="4">
        <v>12904</v>
      </c>
      <c r="B195" s="4">
        <v>12905</v>
      </c>
      <c r="C195" s="4" t="s">
        <v>1993</v>
      </c>
      <c r="D195" s="4" t="s">
        <v>1994</v>
      </c>
      <c r="E195" s="4" t="s">
        <v>350</v>
      </c>
      <c r="F195" s="4" t="s">
        <v>1995</v>
      </c>
      <c r="G195" s="4" t="s">
        <v>1996</v>
      </c>
      <c r="H195" s="4" t="s">
        <v>356</v>
      </c>
      <c r="I195" s="4" t="s">
        <v>965</v>
      </c>
      <c r="J195" s="4" t="s">
        <v>97</v>
      </c>
      <c r="K195" s="4" t="s">
        <v>98</v>
      </c>
      <c r="L195" s="2" t="s">
        <v>362</v>
      </c>
      <c r="M195" s="2" t="s">
        <v>381</v>
      </c>
      <c r="N195" s="4" t="s">
        <v>580</v>
      </c>
      <c r="O195" s="4" t="s">
        <v>155</v>
      </c>
      <c r="P195" s="4" t="s">
        <v>102</v>
      </c>
      <c r="Q195" s="152">
        <v>85</v>
      </c>
      <c r="R195" s="167">
        <v>3.71</v>
      </c>
      <c r="S195" s="169">
        <v>23300</v>
      </c>
      <c r="U195" s="152">
        <v>73.477000000000004</v>
      </c>
      <c r="V195" s="166">
        <v>0</v>
      </c>
      <c r="W195" s="166">
        <v>1.7043860468510499E-2</v>
      </c>
      <c r="X195" s="166">
        <v>2.1709894827855801E-3</v>
      </c>
    </row>
    <row r="196" spans="1:24">
      <c r="A196" s="4">
        <v>12904</v>
      </c>
      <c r="B196" s="4">
        <v>12905</v>
      </c>
      <c r="C196" s="4" t="s">
        <v>1997</v>
      </c>
      <c r="D196" s="4" t="s">
        <v>1998</v>
      </c>
      <c r="E196" s="4" t="s">
        <v>350</v>
      </c>
      <c r="F196" s="4" t="s">
        <v>1999</v>
      </c>
      <c r="G196" s="4" t="s">
        <v>2000</v>
      </c>
      <c r="H196" s="4" t="s">
        <v>356</v>
      </c>
      <c r="I196" s="4" t="s">
        <v>965</v>
      </c>
      <c r="J196" s="4" t="s">
        <v>97</v>
      </c>
      <c r="K196" s="4" t="s">
        <v>98</v>
      </c>
      <c r="L196" s="2" t="s">
        <v>362</v>
      </c>
      <c r="M196" s="2" t="s">
        <v>381</v>
      </c>
      <c r="N196" s="4" t="s">
        <v>2001</v>
      </c>
      <c r="O196" s="4" t="s">
        <v>155</v>
      </c>
      <c r="P196" s="4" t="s">
        <v>102</v>
      </c>
      <c r="Q196" s="152">
        <v>58</v>
      </c>
      <c r="R196" s="167">
        <v>3.71</v>
      </c>
      <c r="S196" s="169">
        <v>46026</v>
      </c>
      <c r="U196" s="152">
        <v>99.039000000000001</v>
      </c>
      <c r="V196" s="166">
        <v>0</v>
      </c>
      <c r="W196" s="166">
        <v>2.2973351109099999E-2</v>
      </c>
      <c r="X196" s="166">
        <v>2.92626800919564E-3</v>
      </c>
    </row>
    <row r="197" spans="1:24">
      <c r="A197" s="4">
        <v>12904</v>
      </c>
      <c r="B197" s="4">
        <v>12905</v>
      </c>
      <c r="C197" s="4" t="s">
        <v>2002</v>
      </c>
      <c r="D197" s="4" t="s">
        <v>2003</v>
      </c>
      <c r="E197" s="4" t="s">
        <v>350</v>
      </c>
      <c r="F197" s="4" t="s">
        <v>2004</v>
      </c>
      <c r="G197" s="4" t="s">
        <v>2005</v>
      </c>
      <c r="H197" s="4" t="s">
        <v>356</v>
      </c>
      <c r="I197" s="4" t="s">
        <v>965</v>
      </c>
      <c r="J197" s="4" t="s">
        <v>97</v>
      </c>
      <c r="K197" s="4" t="s">
        <v>98</v>
      </c>
      <c r="L197" s="2" t="s">
        <v>362</v>
      </c>
      <c r="M197" s="2" t="s">
        <v>381</v>
      </c>
      <c r="N197" s="4" t="s">
        <v>568</v>
      </c>
      <c r="O197" s="4" t="s">
        <v>155</v>
      </c>
      <c r="P197" s="4" t="s">
        <v>102</v>
      </c>
      <c r="Q197" s="152">
        <v>35</v>
      </c>
      <c r="R197" s="167">
        <v>3.71</v>
      </c>
      <c r="S197" s="169">
        <v>19384</v>
      </c>
      <c r="U197" s="152">
        <v>25.17</v>
      </c>
      <c r="V197" s="166">
        <v>0</v>
      </c>
      <c r="W197" s="166">
        <v>5.8385441536260001E-3</v>
      </c>
      <c r="X197" s="166">
        <v>7.4369406952842602E-4</v>
      </c>
    </row>
    <row r="198" spans="1:24">
      <c r="A198" s="4">
        <v>12904</v>
      </c>
      <c r="B198" s="4">
        <v>12905</v>
      </c>
      <c r="C198" s="4" t="s">
        <v>2010</v>
      </c>
      <c r="D198" s="4" t="s">
        <v>2011</v>
      </c>
      <c r="E198" s="4" t="s">
        <v>350</v>
      </c>
      <c r="F198" s="4" t="s">
        <v>2010</v>
      </c>
      <c r="G198" s="4" t="s">
        <v>2012</v>
      </c>
      <c r="H198" s="4" t="s">
        <v>356</v>
      </c>
      <c r="I198" s="4" t="s">
        <v>965</v>
      </c>
      <c r="J198" s="4" t="s">
        <v>97</v>
      </c>
      <c r="K198" s="4" t="s">
        <v>98</v>
      </c>
      <c r="L198" s="2" t="s">
        <v>362</v>
      </c>
      <c r="M198" s="2" t="s">
        <v>1528</v>
      </c>
      <c r="N198" s="4" t="s">
        <v>564</v>
      </c>
      <c r="O198" s="4" t="s">
        <v>155</v>
      </c>
      <c r="P198" s="4" t="s">
        <v>102</v>
      </c>
      <c r="Q198" s="152">
        <v>44</v>
      </c>
      <c r="R198" s="167">
        <v>3.71</v>
      </c>
      <c r="S198" s="169">
        <v>27802</v>
      </c>
      <c r="T198" s="151">
        <v>8.9999999999999993E-3</v>
      </c>
      <c r="U198" s="152">
        <v>45.417000000000002</v>
      </c>
      <c r="V198" s="166">
        <v>0</v>
      </c>
      <c r="W198" s="166">
        <v>1.0535109213066499E-2</v>
      </c>
      <c r="X198" s="166">
        <v>1.3419266922433E-3</v>
      </c>
    </row>
    <row r="199" spans="1:24">
      <c r="A199" s="4">
        <v>12904</v>
      </c>
      <c r="B199" s="4">
        <v>12905</v>
      </c>
      <c r="C199" s="4" t="s">
        <v>2013</v>
      </c>
      <c r="D199" s="4" t="s">
        <v>2014</v>
      </c>
      <c r="E199" s="4" t="s">
        <v>350</v>
      </c>
      <c r="F199" s="4" t="s">
        <v>2015</v>
      </c>
      <c r="G199" s="4" t="s">
        <v>2016</v>
      </c>
      <c r="H199" s="4" t="s">
        <v>356</v>
      </c>
      <c r="I199" s="4" t="s">
        <v>965</v>
      </c>
      <c r="J199" s="4" t="s">
        <v>97</v>
      </c>
      <c r="K199" s="4" t="s">
        <v>98</v>
      </c>
      <c r="L199" s="2" t="s">
        <v>362</v>
      </c>
      <c r="M199" s="2" t="s">
        <v>379</v>
      </c>
      <c r="N199" s="4" t="s">
        <v>2017</v>
      </c>
      <c r="O199" s="4" t="s">
        <v>155</v>
      </c>
      <c r="P199" s="4" t="s">
        <v>102</v>
      </c>
      <c r="Q199" s="152">
        <v>33</v>
      </c>
      <c r="R199" s="167">
        <v>3.71</v>
      </c>
      <c r="S199" s="169">
        <v>41733</v>
      </c>
      <c r="U199" s="152">
        <v>51.094000000000001</v>
      </c>
      <c r="V199" s="166">
        <v>0</v>
      </c>
      <c r="W199" s="166">
        <v>1.1851864253858899E-2</v>
      </c>
      <c r="X199" s="166">
        <v>1.50965050987528E-3</v>
      </c>
    </row>
    <row r="200" spans="1:24">
      <c r="A200" s="4">
        <v>12904</v>
      </c>
      <c r="B200" s="4">
        <v>12905</v>
      </c>
      <c r="C200" s="4" t="s">
        <v>2018</v>
      </c>
      <c r="D200" s="4" t="s">
        <v>2019</v>
      </c>
      <c r="E200" s="4" t="s">
        <v>350</v>
      </c>
      <c r="F200" s="4" t="s">
        <v>2018</v>
      </c>
      <c r="G200" s="4" t="s">
        <v>2020</v>
      </c>
      <c r="H200" s="4" t="s">
        <v>356</v>
      </c>
      <c r="I200" s="4" t="s">
        <v>965</v>
      </c>
      <c r="J200" s="4" t="s">
        <v>97</v>
      </c>
      <c r="K200" s="4" t="s">
        <v>98</v>
      </c>
      <c r="L200" s="2" t="s">
        <v>362</v>
      </c>
      <c r="M200" s="2" t="s">
        <v>381</v>
      </c>
      <c r="N200" s="4" t="s">
        <v>580</v>
      </c>
      <c r="O200" s="4" t="s">
        <v>155</v>
      </c>
      <c r="P200" s="4" t="s">
        <v>102</v>
      </c>
      <c r="Q200" s="152">
        <v>280</v>
      </c>
      <c r="R200" s="167">
        <v>3.71</v>
      </c>
      <c r="S200" s="169">
        <v>3343</v>
      </c>
      <c r="U200" s="152">
        <v>34.726999999999997</v>
      </c>
      <c r="V200" s="166">
        <v>9.9999999999999995E-7</v>
      </c>
      <c r="W200" s="166">
        <v>8.0554078025471404E-3</v>
      </c>
      <c r="X200" s="166">
        <v>1.02607068693088E-3</v>
      </c>
    </row>
    <row r="201" spans="1:24">
      <c r="A201" s="4">
        <v>12904</v>
      </c>
      <c r="B201" s="4">
        <v>12905</v>
      </c>
      <c r="C201" s="4" t="s">
        <v>2021</v>
      </c>
      <c r="D201" s="4" t="s">
        <v>2022</v>
      </c>
      <c r="E201" s="4" t="s">
        <v>350</v>
      </c>
      <c r="F201" s="4" t="s">
        <v>2023</v>
      </c>
      <c r="G201" s="4" t="s">
        <v>2024</v>
      </c>
      <c r="H201" s="4" t="s">
        <v>356</v>
      </c>
      <c r="I201" s="4" t="s">
        <v>965</v>
      </c>
      <c r="J201" s="4" t="s">
        <v>97</v>
      </c>
      <c r="K201" s="4" t="s">
        <v>98</v>
      </c>
      <c r="L201" s="2" t="s">
        <v>362</v>
      </c>
      <c r="M201" s="2" t="s">
        <v>381</v>
      </c>
      <c r="N201" s="4" t="s">
        <v>583</v>
      </c>
      <c r="O201" s="4" t="s">
        <v>155</v>
      </c>
      <c r="P201" s="4" t="s">
        <v>102</v>
      </c>
      <c r="Q201" s="152">
        <v>145</v>
      </c>
      <c r="R201" s="167">
        <v>3.71</v>
      </c>
      <c r="S201" s="169">
        <v>16719</v>
      </c>
      <c r="U201" s="152">
        <v>89.94</v>
      </c>
      <c r="V201" s="166">
        <v>0</v>
      </c>
      <c r="W201" s="166">
        <v>2.0862743731425899E-2</v>
      </c>
      <c r="X201" s="166">
        <v>2.6574259573796302E-3</v>
      </c>
    </row>
    <row r="202" spans="1:24">
      <c r="A202" s="4">
        <v>12904</v>
      </c>
      <c r="B202" s="4">
        <v>12905</v>
      </c>
      <c r="C202" s="4" t="s">
        <v>2025</v>
      </c>
      <c r="D202" s="4" t="s">
        <v>2026</v>
      </c>
      <c r="E202" s="4" t="s">
        <v>350</v>
      </c>
      <c r="F202" s="4" t="s">
        <v>2027</v>
      </c>
      <c r="G202" s="4" t="s">
        <v>2028</v>
      </c>
      <c r="H202" s="4" t="s">
        <v>356</v>
      </c>
      <c r="I202" s="4" t="s">
        <v>965</v>
      </c>
      <c r="J202" s="4" t="s">
        <v>97</v>
      </c>
      <c r="K202" s="4" t="s">
        <v>319</v>
      </c>
      <c r="L202" s="2" t="s">
        <v>362</v>
      </c>
      <c r="M202" s="2" t="s">
        <v>401</v>
      </c>
      <c r="N202" s="4" t="s">
        <v>2029</v>
      </c>
      <c r="O202" s="4" t="s">
        <v>155</v>
      </c>
      <c r="P202" s="4" t="s">
        <v>1209</v>
      </c>
      <c r="Q202" s="152">
        <v>28</v>
      </c>
      <c r="R202" s="167">
        <v>4.1524000000000001</v>
      </c>
      <c r="S202" s="169">
        <v>68850</v>
      </c>
      <c r="U202" s="152">
        <v>80.05</v>
      </c>
      <c r="V202" s="166">
        <v>0</v>
      </c>
      <c r="W202" s="166">
        <v>1.8568651787075501E-2</v>
      </c>
      <c r="X202" s="166">
        <v>2.3652122600820299E-3</v>
      </c>
    </row>
    <row r="203" spans="1:24">
      <c r="A203" s="4">
        <v>12904</v>
      </c>
      <c r="B203" s="4">
        <v>12905</v>
      </c>
      <c r="C203" s="4" t="s">
        <v>2030</v>
      </c>
      <c r="D203" s="4" t="s">
        <v>2031</v>
      </c>
      <c r="E203" s="4" t="s">
        <v>350</v>
      </c>
      <c r="F203" s="4" t="s">
        <v>2032</v>
      </c>
      <c r="G203" s="4" t="s">
        <v>2033</v>
      </c>
      <c r="H203" s="4" t="s">
        <v>356</v>
      </c>
      <c r="I203" s="4" t="s">
        <v>965</v>
      </c>
      <c r="J203" s="4" t="s">
        <v>97</v>
      </c>
      <c r="K203" s="4" t="s">
        <v>98</v>
      </c>
      <c r="L203" s="2" t="s">
        <v>362</v>
      </c>
      <c r="M203" s="2" t="s">
        <v>379</v>
      </c>
      <c r="N203" s="4" t="s">
        <v>2001</v>
      </c>
      <c r="O203" s="4" t="s">
        <v>155</v>
      </c>
      <c r="P203" s="4" t="s">
        <v>102</v>
      </c>
      <c r="Q203" s="152">
        <v>28</v>
      </c>
      <c r="R203" s="167">
        <v>3.71</v>
      </c>
      <c r="S203" s="169">
        <v>49380</v>
      </c>
      <c r="U203" s="152">
        <v>51.295999999999999</v>
      </c>
      <c r="V203" s="166">
        <v>0</v>
      </c>
      <c r="W203" s="166">
        <v>1.18987746721441E-2</v>
      </c>
      <c r="X203" s="166">
        <v>1.5156258007970999E-3</v>
      </c>
    </row>
    <row r="204" spans="1:24">
      <c r="A204" s="4">
        <v>12904</v>
      </c>
      <c r="B204" s="4">
        <v>12905</v>
      </c>
      <c r="C204" s="4" t="s">
        <v>2034</v>
      </c>
      <c r="D204" s="4" t="s">
        <v>2035</v>
      </c>
      <c r="E204" s="4" t="s">
        <v>350</v>
      </c>
      <c r="F204" s="4" t="s">
        <v>2036</v>
      </c>
      <c r="G204" s="4" t="s">
        <v>2037</v>
      </c>
      <c r="H204" s="4" t="s">
        <v>356</v>
      </c>
      <c r="I204" s="4" t="s">
        <v>965</v>
      </c>
      <c r="J204" s="4" t="s">
        <v>97</v>
      </c>
      <c r="K204" s="4" t="s">
        <v>98</v>
      </c>
      <c r="L204" s="2" t="s">
        <v>362</v>
      </c>
      <c r="M204" s="2" t="s">
        <v>379</v>
      </c>
      <c r="N204" s="4" t="s">
        <v>568</v>
      </c>
      <c r="O204" s="4" t="s">
        <v>155</v>
      </c>
      <c r="P204" s="4" t="s">
        <v>102</v>
      </c>
      <c r="Q204" s="152">
        <v>84</v>
      </c>
      <c r="R204" s="167">
        <v>3.71</v>
      </c>
      <c r="S204" s="169">
        <v>11356</v>
      </c>
      <c r="T204" s="151">
        <v>4.9000000000000002E-2</v>
      </c>
      <c r="U204" s="152">
        <v>35.57</v>
      </c>
      <c r="V204" s="166">
        <v>0</v>
      </c>
      <c r="W204" s="166">
        <v>8.2510234448994399E-3</v>
      </c>
      <c r="X204" s="166">
        <v>1.0509875479319301E-3</v>
      </c>
    </row>
    <row r="205" spans="1:24">
      <c r="A205" s="4">
        <v>12904</v>
      </c>
      <c r="B205" s="4">
        <v>12905</v>
      </c>
      <c r="C205" s="4" t="s">
        <v>2038</v>
      </c>
      <c r="D205" s="4" t="s">
        <v>2039</v>
      </c>
      <c r="E205" s="4" t="s">
        <v>350</v>
      </c>
      <c r="F205" s="4" t="s">
        <v>2040</v>
      </c>
      <c r="G205" s="4" t="s">
        <v>2041</v>
      </c>
      <c r="H205" s="4" t="s">
        <v>356</v>
      </c>
      <c r="I205" s="4" t="s">
        <v>965</v>
      </c>
      <c r="J205" s="4" t="s">
        <v>97</v>
      </c>
      <c r="K205" s="4" t="s">
        <v>98</v>
      </c>
      <c r="L205" s="2" t="s">
        <v>362</v>
      </c>
      <c r="M205" s="2" t="s">
        <v>381</v>
      </c>
      <c r="N205" s="4" t="s">
        <v>578</v>
      </c>
      <c r="O205" s="4" t="s">
        <v>155</v>
      </c>
      <c r="P205" s="4" t="s">
        <v>102</v>
      </c>
      <c r="Q205" s="152">
        <v>60</v>
      </c>
      <c r="R205" s="167">
        <v>3.71</v>
      </c>
      <c r="S205" s="169">
        <v>43030</v>
      </c>
      <c r="U205" s="152">
        <v>95.784999999999997</v>
      </c>
      <c r="V205" s="166">
        <v>0</v>
      </c>
      <c r="W205" s="166">
        <v>2.2218550344660699E-2</v>
      </c>
      <c r="X205" s="166">
        <v>2.8301240326461998E-3</v>
      </c>
    </row>
    <row r="206" spans="1:24">
      <c r="A206" s="4">
        <v>12904</v>
      </c>
      <c r="B206" s="4">
        <v>12905</v>
      </c>
      <c r="C206" s="4" t="s">
        <v>2042</v>
      </c>
      <c r="D206" s="4" t="s">
        <v>2043</v>
      </c>
      <c r="E206" s="4" t="s">
        <v>350</v>
      </c>
      <c r="F206" s="4" t="s">
        <v>2042</v>
      </c>
      <c r="G206" s="4" t="s">
        <v>2044</v>
      </c>
      <c r="H206" s="4" t="s">
        <v>356</v>
      </c>
      <c r="I206" s="4" t="s">
        <v>965</v>
      </c>
      <c r="J206" s="4" t="s">
        <v>97</v>
      </c>
      <c r="K206" s="4" t="s">
        <v>98</v>
      </c>
      <c r="L206" s="2" t="s">
        <v>362</v>
      </c>
      <c r="M206" s="2" t="s">
        <v>381</v>
      </c>
      <c r="N206" s="4" t="s">
        <v>568</v>
      </c>
      <c r="O206" s="4" t="s">
        <v>155</v>
      </c>
      <c r="P206" s="4" t="s">
        <v>102</v>
      </c>
      <c r="Q206" s="152">
        <v>203</v>
      </c>
      <c r="R206" s="167">
        <v>3.71</v>
      </c>
      <c r="S206" s="169">
        <v>6683</v>
      </c>
      <c r="U206" s="152">
        <v>50.332000000000001</v>
      </c>
      <c r="V206" s="166">
        <v>9.9999999999999995E-7</v>
      </c>
      <c r="W206" s="166">
        <v>1.1675100358871199E-2</v>
      </c>
      <c r="X206" s="166">
        <v>1.4871349208945099E-3</v>
      </c>
    </row>
    <row r="207" spans="1:24">
      <c r="A207" s="4">
        <v>12904</v>
      </c>
      <c r="B207" s="4">
        <v>12905</v>
      </c>
      <c r="C207" s="4" t="s">
        <v>2045</v>
      </c>
      <c r="D207" s="4" t="s">
        <v>2046</v>
      </c>
      <c r="E207" s="4" t="s">
        <v>350</v>
      </c>
      <c r="F207" s="4" t="s">
        <v>2047</v>
      </c>
      <c r="G207" s="4" t="s">
        <v>2048</v>
      </c>
      <c r="H207" s="4" t="s">
        <v>356</v>
      </c>
      <c r="I207" s="4" t="s">
        <v>965</v>
      </c>
      <c r="J207" s="4" t="s">
        <v>97</v>
      </c>
      <c r="K207" s="4" t="s">
        <v>98</v>
      </c>
      <c r="L207" s="2" t="s">
        <v>362</v>
      </c>
      <c r="M207" s="2" t="s">
        <v>381</v>
      </c>
      <c r="N207" s="4" t="s">
        <v>583</v>
      </c>
      <c r="O207" s="4" t="s">
        <v>155</v>
      </c>
      <c r="P207" s="4" t="s">
        <v>102</v>
      </c>
      <c r="Q207" s="152">
        <v>17</v>
      </c>
      <c r="R207" s="167">
        <v>3.71</v>
      </c>
      <c r="S207" s="169">
        <v>70927</v>
      </c>
      <c r="U207" s="152">
        <v>44.734000000000002</v>
      </c>
      <c r="V207" s="166">
        <v>0</v>
      </c>
      <c r="W207" s="166">
        <v>1.0376565591845899E-2</v>
      </c>
      <c r="X207" s="166">
        <v>1.3217319403049999E-3</v>
      </c>
    </row>
    <row r="208" spans="1:24">
      <c r="A208" s="4">
        <v>12904</v>
      </c>
      <c r="B208" s="4">
        <v>12905</v>
      </c>
      <c r="C208" s="4" t="s">
        <v>2049</v>
      </c>
      <c r="D208" s="4" t="s">
        <v>2050</v>
      </c>
      <c r="E208" s="4" t="s">
        <v>350</v>
      </c>
      <c r="F208" s="4" t="s">
        <v>2049</v>
      </c>
      <c r="G208" s="4" t="s">
        <v>2051</v>
      </c>
      <c r="H208" s="4" t="s">
        <v>356</v>
      </c>
      <c r="I208" s="4" t="s">
        <v>965</v>
      </c>
      <c r="J208" s="4" t="s">
        <v>97</v>
      </c>
      <c r="K208" s="4" t="s">
        <v>98</v>
      </c>
      <c r="L208" s="2" t="s">
        <v>362</v>
      </c>
      <c r="M208" s="2" t="s">
        <v>379</v>
      </c>
      <c r="N208" s="4" t="s">
        <v>549</v>
      </c>
      <c r="O208" s="4" t="s">
        <v>155</v>
      </c>
      <c r="P208" s="4" t="s">
        <v>102</v>
      </c>
      <c r="Q208" s="152">
        <v>128</v>
      </c>
      <c r="R208" s="167">
        <v>3.71</v>
      </c>
      <c r="S208" s="169">
        <v>8840</v>
      </c>
      <c r="T208" s="151">
        <v>4.7E-2</v>
      </c>
      <c r="U208" s="152">
        <v>42.155000000000001</v>
      </c>
      <c r="V208" s="166">
        <v>0</v>
      </c>
      <c r="W208" s="166">
        <v>9.77843409265736E-3</v>
      </c>
      <c r="X208" s="166">
        <v>1.2455439665498701E-3</v>
      </c>
    </row>
    <row r="209" spans="1:24">
      <c r="A209" s="4">
        <v>12904</v>
      </c>
      <c r="B209" s="4">
        <v>12905</v>
      </c>
      <c r="C209" s="4" t="s">
        <v>2056</v>
      </c>
      <c r="D209" s="4" t="s">
        <v>2057</v>
      </c>
      <c r="E209" s="4" t="s">
        <v>350</v>
      </c>
      <c r="F209" s="4" t="s">
        <v>2058</v>
      </c>
      <c r="G209" s="4" t="s">
        <v>2059</v>
      </c>
      <c r="H209" s="4" t="s">
        <v>356</v>
      </c>
      <c r="I209" s="4" t="s">
        <v>965</v>
      </c>
      <c r="J209" s="4" t="s">
        <v>97</v>
      </c>
      <c r="K209" s="4" t="s">
        <v>279</v>
      </c>
      <c r="L209" s="2" t="s">
        <v>362</v>
      </c>
      <c r="M209" s="2" t="s">
        <v>401</v>
      </c>
      <c r="N209" s="4" t="s">
        <v>568</v>
      </c>
      <c r="O209" s="4" t="s">
        <v>155</v>
      </c>
      <c r="P209" s="4" t="s">
        <v>102</v>
      </c>
      <c r="Q209" s="152">
        <v>215</v>
      </c>
      <c r="R209" s="167">
        <v>3.71</v>
      </c>
      <c r="S209" s="169">
        <v>11907</v>
      </c>
      <c r="U209" s="152">
        <v>94.975999999999999</v>
      </c>
      <c r="V209" s="166">
        <v>0</v>
      </c>
      <c r="W209" s="166">
        <v>2.20309861240542E-2</v>
      </c>
      <c r="X209" s="166">
        <v>2.8062327346016101E-3</v>
      </c>
    </row>
    <row r="210" spans="1:24">
      <c r="A210" s="4">
        <v>12904</v>
      </c>
      <c r="B210" s="4">
        <v>12905</v>
      </c>
      <c r="C210" s="4" t="s">
        <v>2060</v>
      </c>
      <c r="D210" s="4" t="s">
        <v>2061</v>
      </c>
      <c r="E210" s="4" t="s">
        <v>350</v>
      </c>
      <c r="F210" s="4" t="s">
        <v>2062</v>
      </c>
      <c r="G210" s="4" t="s">
        <v>2063</v>
      </c>
      <c r="H210" s="4" t="s">
        <v>356</v>
      </c>
      <c r="I210" s="4" t="s">
        <v>965</v>
      </c>
      <c r="J210" s="4" t="s">
        <v>97</v>
      </c>
      <c r="K210" s="4" t="s">
        <v>98</v>
      </c>
      <c r="L210" s="2" t="s">
        <v>362</v>
      </c>
      <c r="M210" s="2" t="s">
        <v>381</v>
      </c>
      <c r="N210" s="4" t="s">
        <v>582</v>
      </c>
      <c r="O210" s="4" t="s">
        <v>155</v>
      </c>
      <c r="P210" s="4" t="s">
        <v>102</v>
      </c>
      <c r="Q210" s="152">
        <v>418</v>
      </c>
      <c r="R210" s="167">
        <v>3.71</v>
      </c>
      <c r="S210" s="169">
        <v>12144</v>
      </c>
      <c r="T210" s="151">
        <v>3.0000000000000001E-3</v>
      </c>
      <c r="U210" s="152">
        <v>188.33799999999999</v>
      </c>
      <c r="V210" s="166">
        <v>0</v>
      </c>
      <c r="W210" s="166">
        <v>4.3687584048067898E-2</v>
      </c>
      <c r="X210" s="166">
        <v>5.5647771625388599E-3</v>
      </c>
    </row>
    <row r="211" spans="1:24">
      <c r="A211" s="4">
        <v>12904</v>
      </c>
      <c r="B211" s="4">
        <v>12905</v>
      </c>
      <c r="C211" s="4" t="s">
        <v>2068</v>
      </c>
      <c r="D211" s="4" t="s">
        <v>2069</v>
      </c>
      <c r="E211" s="4" t="s">
        <v>350</v>
      </c>
      <c r="F211" s="4" t="s">
        <v>2070</v>
      </c>
      <c r="G211" s="4" t="s">
        <v>2071</v>
      </c>
      <c r="H211" s="4" t="s">
        <v>356</v>
      </c>
      <c r="I211" s="4" t="s">
        <v>965</v>
      </c>
      <c r="J211" s="4" t="s">
        <v>97</v>
      </c>
      <c r="K211" s="4" t="s">
        <v>98</v>
      </c>
      <c r="L211" s="2" t="s">
        <v>362</v>
      </c>
      <c r="M211" s="2" t="s">
        <v>379</v>
      </c>
      <c r="N211" s="4" t="s">
        <v>602</v>
      </c>
      <c r="O211" s="4" t="s">
        <v>155</v>
      </c>
      <c r="P211" s="4" t="s">
        <v>102</v>
      </c>
      <c r="Q211" s="152">
        <v>100</v>
      </c>
      <c r="R211" s="167">
        <v>3.71</v>
      </c>
      <c r="S211" s="169">
        <v>12628</v>
      </c>
      <c r="U211" s="152">
        <v>46.85</v>
      </c>
      <c r="V211" s="166">
        <v>0</v>
      </c>
      <c r="W211" s="166">
        <v>1.0867451148515599E-2</v>
      </c>
      <c r="X211" s="166">
        <v>1.3842592874837799E-3</v>
      </c>
    </row>
    <row r="212" spans="1:24">
      <c r="A212" s="4">
        <v>12904</v>
      </c>
      <c r="B212" s="4">
        <v>12905</v>
      </c>
      <c r="C212" s="4" t="s">
        <v>2072</v>
      </c>
      <c r="D212" s="4" t="s">
        <v>2073</v>
      </c>
      <c r="E212" s="4" t="s">
        <v>350</v>
      </c>
      <c r="F212" s="4" t="s">
        <v>2074</v>
      </c>
      <c r="G212" s="4" t="s">
        <v>2075</v>
      </c>
      <c r="H212" s="4" t="s">
        <v>356</v>
      </c>
      <c r="I212" s="4" t="s">
        <v>965</v>
      </c>
      <c r="J212" s="4" t="s">
        <v>97</v>
      </c>
      <c r="K212" s="4" t="s">
        <v>276</v>
      </c>
      <c r="L212" s="2" t="s">
        <v>362</v>
      </c>
      <c r="M212" s="2" t="s">
        <v>2076</v>
      </c>
      <c r="N212" s="4" t="s">
        <v>2077</v>
      </c>
      <c r="O212" s="4" t="s">
        <v>155</v>
      </c>
      <c r="P212" s="4" t="s">
        <v>1209</v>
      </c>
      <c r="Q212" s="152">
        <v>32</v>
      </c>
      <c r="R212" s="167">
        <v>4.1524000000000001</v>
      </c>
      <c r="S212" s="169">
        <v>48640</v>
      </c>
      <c r="U212" s="152">
        <v>64.631</v>
      </c>
      <c r="V212" s="166">
        <v>0</v>
      </c>
      <c r="W212" s="166">
        <v>1.49920817167483E-2</v>
      </c>
      <c r="X212" s="166">
        <v>1.9096408229964099E-3</v>
      </c>
    </row>
    <row r="213" spans="1:24">
      <c r="A213" s="4">
        <v>12904</v>
      </c>
      <c r="B213" s="4">
        <v>12905</v>
      </c>
      <c r="C213" s="4" t="s">
        <v>2078</v>
      </c>
      <c r="D213" s="4" t="s">
        <v>2079</v>
      </c>
      <c r="E213" s="4" t="s">
        <v>350</v>
      </c>
      <c r="F213" s="4" t="s">
        <v>2080</v>
      </c>
      <c r="G213" s="4" t="s">
        <v>2081</v>
      </c>
      <c r="H213" s="4" t="s">
        <v>356</v>
      </c>
      <c r="I213" s="4" t="s">
        <v>965</v>
      </c>
      <c r="J213" s="4" t="s">
        <v>97</v>
      </c>
      <c r="K213" s="4" t="s">
        <v>98</v>
      </c>
      <c r="L213" s="2" t="s">
        <v>362</v>
      </c>
      <c r="M213" s="2" t="s">
        <v>379</v>
      </c>
      <c r="N213" s="4" t="s">
        <v>520</v>
      </c>
      <c r="O213" s="4" t="s">
        <v>155</v>
      </c>
      <c r="P213" s="4" t="s">
        <v>102</v>
      </c>
      <c r="Q213" s="152">
        <v>431</v>
      </c>
      <c r="R213" s="167">
        <v>3.71</v>
      </c>
      <c r="S213" s="169">
        <v>4195</v>
      </c>
      <c r="T213" s="151">
        <v>0.11899999999999999</v>
      </c>
      <c r="U213" s="152">
        <v>67.52</v>
      </c>
      <c r="V213" s="166">
        <v>0</v>
      </c>
      <c r="W213" s="166">
        <v>1.5662076057220101E-2</v>
      </c>
      <c r="X213" s="166">
        <v>1.9949824431873E-3</v>
      </c>
    </row>
    <row r="214" spans="1:24">
      <c r="A214" s="4">
        <v>12904</v>
      </c>
      <c r="B214" s="4">
        <v>12905</v>
      </c>
      <c r="C214" s="4" t="s">
        <v>2082</v>
      </c>
      <c r="D214" s="4" t="s">
        <v>2083</v>
      </c>
      <c r="E214" s="4" t="s">
        <v>350</v>
      </c>
      <c r="F214" s="4" t="s">
        <v>2084</v>
      </c>
      <c r="G214" s="4" t="s">
        <v>2085</v>
      </c>
      <c r="H214" s="4" t="s">
        <v>356</v>
      </c>
      <c r="I214" s="4" t="s">
        <v>965</v>
      </c>
      <c r="J214" s="4" t="s">
        <v>97</v>
      </c>
      <c r="K214" s="4" t="s">
        <v>306</v>
      </c>
      <c r="L214" s="2" t="s">
        <v>362</v>
      </c>
      <c r="M214" s="2" t="s">
        <v>379</v>
      </c>
      <c r="N214" s="4" t="s">
        <v>582</v>
      </c>
      <c r="O214" s="4" t="s">
        <v>155</v>
      </c>
      <c r="P214" s="4" t="s">
        <v>102</v>
      </c>
      <c r="Q214" s="152">
        <v>301</v>
      </c>
      <c r="R214" s="167">
        <v>3.71</v>
      </c>
      <c r="S214" s="169">
        <v>17367</v>
      </c>
      <c r="T214" s="151">
        <v>0.14899999999999999</v>
      </c>
      <c r="U214" s="152">
        <v>194.49299999999999</v>
      </c>
      <c r="V214" s="166">
        <v>0</v>
      </c>
      <c r="W214" s="166">
        <v>4.51152512571815E-2</v>
      </c>
      <c r="X214" s="166">
        <v>5.7466285982291504E-3</v>
      </c>
    </row>
    <row r="215" spans="1:24">
      <c r="A215" s="4">
        <v>12904</v>
      </c>
      <c r="B215" s="4">
        <v>12905</v>
      </c>
      <c r="C215" s="4" t="s">
        <v>2086</v>
      </c>
      <c r="D215" s="4" t="s">
        <v>2087</v>
      </c>
      <c r="E215" s="4" t="s">
        <v>350</v>
      </c>
      <c r="F215" s="4" t="s">
        <v>2086</v>
      </c>
      <c r="G215" s="4" t="s">
        <v>2088</v>
      </c>
      <c r="H215" s="4" t="s">
        <v>356</v>
      </c>
      <c r="I215" s="4" t="s">
        <v>965</v>
      </c>
      <c r="J215" s="4" t="s">
        <v>97</v>
      </c>
      <c r="K215" s="4" t="s">
        <v>98</v>
      </c>
      <c r="L215" s="2" t="s">
        <v>362</v>
      </c>
      <c r="M215" s="2" t="s">
        <v>381</v>
      </c>
      <c r="N215" s="4" t="s">
        <v>546</v>
      </c>
      <c r="O215" s="4" t="s">
        <v>155</v>
      </c>
      <c r="P215" s="4" t="s">
        <v>102</v>
      </c>
      <c r="Q215" s="152">
        <v>78</v>
      </c>
      <c r="R215" s="167">
        <v>3.71</v>
      </c>
      <c r="S215" s="169">
        <v>26163</v>
      </c>
      <c r="U215" s="152">
        <v>75.709999999999994</v>
      </c>
      <c r="V215" s="166">
        <v>0</v>
      </c>
      <c r="W215" s="166">
        <v>1.7562052346445901E-2</v>
      </c>
      <c r="X215" s="166">
        <v>2.2369950171034002E-3</v>
      </c>
    </row>
    <row r="216" spans="1:24">
      <c r="A216" s="4">
        <v>12904</v>
      </c>
      <c r="B216" s="4">
        <v>12905</v>
      </c>
      <c r="C216" s="4" t="s">
        <v>2093</v>
      </c>
      <c r="D216" s="4" t="s">
        <v>2094</v>
      </c>
      <c r="E216" s="4" t="s">
        <v>350</v>
      </c>
      <c r="F216" s="4" t="s">
        <v>2095</v>
      </c>
      <c r="G216" s="4" t="s">
        <v>2096</v>
      </c>
      <c r="H216" s="4" t="s">
        <v>356</v>
      </c>
      <c r="I216" s="4" t="s">
        <v>965</v>
      </c>
      <c r="J216" s="4" t="s">
        <v>97</v>
      </c>
      <c r="K216" s="4" t="s">
        <v>98</v>
      </c>
      <c r="L216" s="2" t="s">
        <v>362</v>
      </c>
      <c r="M216" s="2" t="s">
        <v>379</v>
      </c>
      <c r="N216" s="4" t="s">
        <v>2001</v>
      </c>
      <c r="O216" s="4" t="s">
        <v>155</v>
      </c>
      <c r="P216" s="4" t="s">
        <v>102</v>
      </c>
      <c r="Q216" s="152">
        <v>55</v>
      </c>
      <c r="R216" s="167">
        <v>3.71</v>
      </c>
      <c r="S216" s="169">
        <v>27495</v>
      </c>
      <c r="U216" s="152">
        <v>56.103999999999999</v>
      </c>
      <c r="V216" s="166">
        <v>0</v>
      </c>
      <c r="W216" s="166">
        <v>1.3013962078764599E-2</v>
      </c>
      <c r="X216" s="166">
        <v>1.6576746127772901E-3</v>
      </c>
    </row>
    <row r="217" spans="1:24">
      <c r="A217" s="4">
        <v>12904</v>
      </c>
      <c r="B217" s="4">
        <v>12905</v>
      </c>
      <c r="C217" s="4" t="s">
        <v>2097</v>
      </c>
      <c r="D217" s="4" t="s">
        <v>2098</v>
      </c>
      <c r="E217" s="4" t="s">
        <v>350</v>
      </c>
      <c r="F217" s="4" t="s">
        <v>2099</v>
      </c>
      <c r="G217" s="4" t="s">
        <v>2100</v>
      </c>
      <c r="H217" s="4" t="s">
        <v>356</v>
      </c>
      <c r="I217" s="4" t="s">
        <v>965</v>
      </c>
      <c r="J217" s="4" t="s">
        <v>97</v>
      </c>
      <c r="K217" s="4" t="s">
        <v>98</v>
      </c>
      <c r="L217" s="2" t="s">
        <v>362</v>
      </c>
      <c r="M217" s="2" t="s">
        <v>379</v>
      </c>
      <c r="N217" s="4" t="s">
        <v>583</v>
      </c>
      <c r="O217" s="4" t="s">
        <v>155</v>
      </c>
      <c r="P217" s="4" t="s">
        <v>102</v>
      </c>
      <c r="Q217" s="152">
        <v>122</v>
      </c>
      <c r="R217" s="167">
        <v>3.71</v>
      </c>
      <c r="S217" s="169">
        <v>9619</v>
      </c>
      <c r="U217" s="152">
        <v>43.537999999999997</v>
      </c>
      <c r="V217" s="166">
        <v>0</v>
      </c>
      <c r="W217" s="166">
        <v>1.00991047964078E-2</v>
      </c>
      <c r="X217" s="166">
        <v>1.28638991964633E-3</v>
      </c>
    </row>
    <row r="218" spans="1:24">
      <c r="A218" s="4">
        <v>12904</v>
      </c>
      <c r="B218" s="4">
        <v>13680</v>
      </c>
      <c r="C218" s="4" t="s">
        <v>1784</v>
      </c>
      <c r="D218" s="4" t="s">
        <v>1785</v>
      </c>
      <c r="E218" s="4" t="s">
        <v>349</v>
      </c>
      <c r="F218" s="4" t="s">
        <v>1786</v>
      </c>
      <c r="G218" s="4" t="s">
        <v>1787</v>
      </c>
      <c r="H218" s="4" t="s">
        <v>356</v>
      </c>
      <c r="I218" s="4" t="s">
        <v>965</v>
      </c>
      <c r="J218" s="4" t="s">
        <v>30</v>
      </c>
      <c r="K218" s="4" t="s">
        <v>98</v>
      </c>
      <c r="L218" s="2" t="s">
        <v>362</v>
      </c>
      <c r="M218" s="2" t="s">
        <v>31</v>
      </c>
      <c r="N218" s="4" t="s">
        <v>474</v>
      </c>
      <c r="O218" s="4" t="s">
        <v>155</v>
      </c>
      <c r="P218" s="4" t="s">
        <v>34</v>
      </c>
      <c r="Q218" s="152">
        <v>478</v>
      </c>
      <c r="R218" s="167">
        <v>1</v>
      </c>
      <c r="S218" s="169">
        <v>28560</v>
      </c>
      <c r="U218" s="152">
        <v>136.517</v>
      </c>
      <c r="V218" s="166">
        <v>9.0000000000000002E-6</v>
      </c>
      <c r="W218" s="166">
        <v>1.8179903139160399E-2</v>
      </c>
      <c r="X218" s="166">
        <v>3.7217741995322E-3</v>
      </c>
    </row>
    <row r="219" spans="1:24">
      <c r="A219" s="4">
        <v>12904</v>
      </c>
      <c r="B219" s="4">
        <v>13680</v>
      </c>
      <c r="C219" s="4" t="s">
        <v>1788</v>
      </c>
      <c r="D219" s="4" t="s">
        <v>1789</v>
      </c>
      <c r="E219" s="4" t="s">
        <v>1342</v>
      </c>
      <c r="F219" s="4" t="s">
        <v>1790</v>
      </c>
      <c r="G219" s="4" t="s">
        <v>1791</v>
      </c>
      <c r="H219" s="4" t="s">
        <v>356</v>
      </c>
      <c r="I219" s="4" t="s">
        <v>965</v>
      </c>
      <c r="J219" s="4" t="s">
        <v>30</v>
      </c>
      <c r="K219" s="4" t="s">
        <v>30</v>
      </c>
      <c r="L219" s="2" t="s">
        <v>362</v>
      </c>
      <c r="M219" s="2" t="s">
        <v>31</v>
      </c>
      <c r="N219" s="4" t="s">
        <v>489</v>
      </c>
      <c r="O219" s="4" t="s">
        <v>155</v>
      </c>
      <c r="P219" s="4" t="s">
        <v>34</v>
      </c>
      <c r="Q219" s="152">
        <v>9252</v>
      </c>
      <c r="R219" s="167">
        <v>1</v>
      </c>
      <c r="S219" s="169">
        <v>1588</v>
      </c>
      <c r="U219" s="152">
        <v>146.922</v>
      </c>
      <c r="V219" s="166">
        <v>6.9999999999999999E-6</v>
      </c>
      <c r="W219" s="166">
        <v>1.9565528680975299E-2</v>
      </c>
      <c r="X219" s="166">
        <v>4.0054382736620098E-3</v>
      </c>
    </row>
    <row r="220" spans="1:24">
      <c r="A220" s="4">
        <v>12904</v>
      </c>
      <c r="B220" s="4">
        <v>13680</v>
      </c>
      <c r="C220" s="4" t="s">
        <v>1792</v>
      </c>
      <c r="D220" s="4" t="s">
        <v>1793</v>
      </c>
      <c r="E220" s="4" t="s">
        <v>1342</v>
      </c>
      <c r="F220" s="4" t="s">
        <v>1794</v>
      </c>
      <c r="G220" s="4" t="s">
        <v>1795</v>
      </c>
      <c r="H220" s="4" t="s">
        <v>356</v>
      </c>
      <c r="I220" s="4" t="s">
        <v>965</v>
      </c>
      <c r="J220" s="4" t="s">
        <v>30</v>
      </c>
      <c r="K220" s="4" t="s">
        <v>30</v>
      </c>
      <c r="L220" s="2" t="s">
        <v>362</v>
      </c>
      <c r="M220" s="2" t="s">
        <v>31</v>
      </c>
      <c r="N220" s="4" t="s">
        <v>478</v>
      </c>
      <c r="O220" s="4" t="s">
        <v>155</v>
      </c>
      <c r="P220" s="4" t="s">
        <v>34</v>
      </c>
      <c r="Q220" s="152">
        <v>629</v>
      </c>
      <c r="R220" s="167">
        <v>1</v>
      </c>
      <c r="S220" s="169">
        <v>12010</v>
      </c>
      <c r="U220" s="152">
        <v>75.543000000000006</v>
      </c>
      <c r="V220" s="166">
        <v>4.3000000000000002E-5</v>
      </c>
      <c r="W220" s="166">
        <v>1.0060026347316099E-2</v>
      </c>
      <c r="X220" s="166">
        <v>2.0594799773935601E-3</v>
      </c>
    </row>
    <row r="221" spans="1:24">
      <c r="A221" s="4">
        <v>12904</v>
      </c>
      <c r="B221" s="4">
        <v>13680</v>
      </c>
      <c r="C221" s="4" t="s">
        <v>1796</v>
      </c>
      <c r="D221" s="4" t="s">
        <v>1797</v>
      </c>
      <c r="E221" s="4" t="s">
        <v>1342</v>
      </c>
      <c r="F221" s="4" t="s">
        <v>1798</v>
      </c>
      <c r="G221" s="4" t="s">
        <v>1799</v>
      </c>
      <c r="H221" s="4" t="s">
        <v>356</v>
      </c>
      <c r="I221" s="4" t="s">
        <v>965</v>
      </c>
      <c r="J221" s="4" t="s">
        <v>30</v>
      </c>
      <c r="K221" s="4" t="s">
        <v>30</v>
      </c>
      <c r="L221" s="2" t="s">
        <v>362</v>
      </c>
      <c r="M221" s="2" t="s">
        <v>31</v>
      </c>
      <c r="N221" s="4" t="s">
        <v>496</v>
      </c>
      <c r="O221" s="4" t="s">
        <v>155</v>
      </c>
      <c r="P221" s="4" t="s">
        <v>34</v>
      </c>
      <c r="Q221" s="152">
        <v>791</v>
      </c>
      <c r="R221" s="167">
        <v>1</v>
      </c>
      <c r="S221" s="169">
        <v>1271</v>
      </c>
      <c r="U221" s="152">
        <v>10.054</v>
      </c>
      <c r="V221" s="166">
        <v>5.0000000000000004E-6</v>
      </c>
      <c r="W221" s="166">
        <v>1.33883636298898E-3</v>
      </c>
      <c r="X221" s="166">
        <v>2.74085433515574E-4</v>
      </c>
    </row>
    <row r="222" spans="1:24">
      <c r="A222" s="4">
        <v>12904</v>
      </c>
      <c r="B222" s="4">
        <v>13680</v>
      </c>
      <c r="C222" s="4" t="s">
        <v>1804</v>
      </c>
      <c r="D222" s="4" t="s">
        <v>1805</v>
      </c>
      <c r="E222" s="4" t="s">
        <v>1342</v>
      </c>
      <c r="F222" s="4" t="s">
        <v>1806</v>
      </c>
      <c r="G222" s="4" t="s">
        <v>1807</v>
      </c>
      <c r="H222" s="4" t="s">
        <v>356</v>
      </c>
      <c r="I222" s="4" t="s">
        <v>965</v>
      </c>
      <c r="J222" s="4" t="s">
        <v>30</v>
      </c>
      <c r="K222" s="4" t="s">
        <v>30</v>
      </c>
      <c r="L222" s="2" t="s">
        <v>362</v>
      </c>
      <c r="M222" s="2" t="s">
        <v>31</v>
      </c>
      <c r="N222" s="4" t="s">
        <v>479</v>
      </c>
      <c r="O222" s="4" t="s">
        <v>155</v>
      </c>
      <c r="P222" s="4" t="s">
        <v>34</v>
      </c>
      <c r="Q222" s="152">
        <v>213</v>
      </c>
      <c r="R222" s="167">
        <v>1</v>
      </c>
      <c r="S222" s="169">
        <v>74080</v>
      </c>
      <c r="U222" s="152">
        <v>157.79</v>
      </c>
      <c r="V222" s="166">
        <v>5.0000000000000004E-6</v>
      </c>
      <c r="W222" s="166">
        <v>2.1012902355529699E-2</v>
      </c>
      <c r="X222" s="166">
        <v>4.3017433726388601E-3</v>
      </c>
    </row>
    <row r="223" spans="1:24">
      <c r="A223" s="4">
        <v>12904</v>
      </c>
      <c r="B223" s="4">
        <v>13680</v>
      </c>
      <c r="C223" s="4" t="s">
        <v>1808</v>
      </c>
      <c r="D223" s="4" t="s">
        <v>1809</v>
      </c>
      <c r="E223" s="4" t="s">
        <v>1342</v>
      </c>
      <c r="F223" s="4" t="s">
        <v>1810</v>
      </c>
      <c r="G223" s="4" t="s">
        <v>1811</v>
      </c>
      <c r="H223" s="4" t="s">
        <v>356</v>
      </c>
      <c r="I223" s="4" t="s">
        <v>965</v>
      </c>
      <c r="J223" s="4" t="s">
        <v>30</v>
      </c>
      <c r="K223" s="4" t="s">
        <v>30</v>
      </c>
      <c r="L223" s="2" t="s">
        <v>362</v>
      </c>
      <c r="M223" s="2" t="s">
        <v>31</v>
      </c>
      <c r="N223" s="4" t="s">
        <v>484</v>
      </c>
      <c r="O223" s="4" t="s">
        <v>155</v>
      </c>
      <c r="P223" s="4" t="s">
        <v>34</v>
      </c>
      <c r="Q223" s="152">
        <v>55</v>
      </c>
      <c r="R223" s="167">
        <v>1</v>
      </c>
      <c r="S223" s="169">
        <v>148500</v>
      </c>
      <c r="T223" s="151">
        <v>0.61599999999999999</v>
      </c>
      <c r="U223" s="152">
        <v>82.290999999999997</v>
      </c>
      <c r="V223" s="166">
        <v>1.4E-5</v>
      </c>
      <c r="W223" s="166">
        <v>1.0958686202812099E-2</v>
      </c>
      <c r="X223" s="166">
        <v>2.2434528533070699E-3</v>
      </c>
    </row>
    <row r="224" spans="1:24">
      <c r="A224" s="4">
        <v>12904</v>
      </c>
      <c r="B224" s="4">
        <v>13680</v>
      </c>
      <c r="C224" s="4" t="s">
        <v>1812</v>
      </c>
      <c r="D224" s="4" t="s">
        <v>1813</v>
      </c>
      <c r="E224" s="4" t="s">
        <v>1342</v>
      </c>
      <c r="F224" s="4" t="s">
        <v>1814</v>
      </c>
      <c r="G224" s="4" t="s">
        <v>1815</v>
      </c>
      <c r="H224" s="4" t="s">
        <v>356</v>
      </c>
      <c r="I224" s="4" t="s">
        <v>965</v>
      </c>
      <c r="J224" s="4" t="s">
        <v>30</v>
      </c>
      <c r="K224" s="4" t="s">
        <v>98</v>
      </c>
      <c r="L224" s="2" t="s">
        <v>362</v>
      </c>
      <c r="M224" s="2" t="s">
        <v>31</v>
      </c>
      <c r="N224" s="4" t="s">
        <v>474</v>
      </c>
      <c r="O224" s="4" t="s">
        <v>155</v>
      </c>
      <c r="P224" s="4" t="s">
        <v>34</v>
      </c>
      <c r="Q224" s="152">
        <v>1614.9</v>
      </c>
      <c r="R224" s="167">
        <v>1</v>
      </c>
      <c r="S224" s="169">
        <v>6254</v>
      </c>
      <c r="U224" s="152">
        <v>100.996</v>
      </c>
      <c r="V224" s="166">
        <v>1.4E-5</v>
      </c>
      <c r="W224" s="166">
        <v>1.3449587872976501E-2</v>
      </c>
      <c r="X224" s="166">
        <v>2.7533881097617798E-3</v>
      </c>
    </row>
    <row r="225" spans="1:24">
      <c r="A225" s="4">
        <v>12904</v>
      </c>
      <c r="B225" s="4">
        <v>13680</v>
      </c>
      <c r="C225" s="4" t="s">
        <v>1816</v>
      </c>
      <c r="D225" s="4" t="s">
        <v>1817</v>
      </c>
      <c r="E225" s="4" t="s">
        <v>349</v>
      </c>
      <c r="F225" s="4" t="s">
        <v>1818</v>
      </c>
      <c r="G225" s="4" t="s">
        <v>1819</v>
      </c>
      <c r="H225" s="4" t="s">
        <v>356</v>
      </c>
      <c r="I225" s="4" t="s">
        <v>965</v>
      </c>
      <c r="J225" s="4" t="s">
        <v>30</v>
      </c>
      <c r="K225" s="4" t="s">
        <v>271</v>
      </c>
      <c r="L225" s="2" t="s">
        <v>362</v>
      </c>
      <c r="M225" s="2" t="s">
        <v>31</v>
      </c>
      <c r="N225" s="4" t="s">
        <v>487</v>
      </c>
      <c r="O225" s="4" t="s">
        <v>155</v>
      </c>
      <c r="P225" s="4" t="s">
        <v>34</v>
      </c>
      <c r="Q225" s="152">
        <v>1932</v>
      </c>
      <c r="R225" s="167">
        <v>1</v>
      </c>
      <c r="S225" s="169">
        <v>4556</v>
      </c>
      <c r="U225" s="152">
        <v>88.022000000000006</v>
      </c>
      <c r="V225" s="166">
        <v>1.1E-5</v>
      </c>
      <c r="W225" s="166">
        <v>1.17218538650402E-2</v>
      </c>
      <c r="X225" s="166">
        <v>2.3996878834640599E-3</v>
      </c>
    </row>
    <row r="226" spans="1:24">
      <c r="A226" s="4">
        <v>12904</v>
      </c>
      <c r="B226" s="4">
        <v>13680</v>
      </c>
      <c r="C226" s="4" t="s">
        <v>1820</v>
      </c>
      <c r="D226" s="4" t="s">
        <v>1821</v>
      </c>
      <c r="E226" s="4" t="s">
        <v>1342</v>
      </c>
      <c r="F226" s="4" t="s">
        <v>1822</v>
      </c>
      <c r="G226" s="4" t="s">
        <v>1823</v>
      </c>
      <c r="H226" s="4" t="s">
        <v>356</v>
      </c>
      <c r="I226" s="4" t="s">
        <v>965</v>
      </c>
      <c r="J226" s="4" t="s">
        <v>30</v>
      </c>
      <c r="K226" s="4" t="s">
        <v>30</v>
      </c>
      <c r="L226" s="2" t="s">
        <v>362</v>
      </c>
      <c r="M226" s="2" t="s">
        <v>31</v>
      </c>
      <c r="N226" s="4" t="s">
        <v>474</v>
      </c>
      <c r="O226" s="4" t="s">
        <v>155</v>
      </c>
      <c r="P226" s="4" t="s">
        <v>34</v>
      </c>
      <c r="Q226" s="152">
        <v>3749</v>
      </c>
      <c r="R226" s="167">
        <v>1</v>
      </c>
      <c r="S226" s="169">
        <v>1348</v>
      </c>
      <c r="U226" s="152">
        <v>50.536999999999999</v>
      </c>
      <c r="V226" s="166">
        <v>6.9999999999999999E-6</v>
      </c>
      <c r="W226" s="166">
        <v>6.7299338879188699E-3</v>
      </c>
      <c r="X226" s="166">
        <v>1.37774630133539E-3</v>
      </c>
    </row>
    <row r="227" spans="1:24">
      <c r="A227" s="4">
        <v>12904</v>
      </c>
      <c r="B227" s="4">
        <v>13680</v>
      </c>
      <c r="C227" s="4" t="s">
        <v>1828</v>
      </c>
      <c r="D227" s="4" t="s">
        <v>1829</v>
      </c>
      <c r="E227" s="4" t="s">
        <v>1342</v>
      </c>
      <c r="F227" s="4" t="s">
        <v>1830</v>
      </c>
      <c r="G227" s="4" t="s">
        <v>1831</v>
      </c>
      <c r="H227" s="4" t="s">
        <v>356</v>
      </c>
      <c r="I227" s="4" t="s">
        <v>965</v>
      </c>
      <c r="J227" s="4" t="s">
        <v>30</v>
      </c>
      <c r="K227" s="4" t="s">
        <v>30</v>
      </c>
      <c r="L227" s="2" t="s">
        <v>362</v>
      </c>
      <c r="M227" s="2" t="s">
        <v>31</v>
      </c>
      <c r="N227" s="4" t="s">
        <v>480</v>
      </c>
      <c r="O227" s="4" t="s">
        <v>155</v>
      </c>
      <c r="P227" s="4" t="s">
        <v>34</v>
      </c>
      <c r="Q227" s="152">
        <v>1328</v>
      </c>
      <c r="R227" s="167">
        <v>1</v>
      </c>
      <c r="S227" s="169">
        <v>5176</v>
      </c>
      <c r="U227" s="152">
        <v>68.736999999999995</v>
      </c>
      <c r="V227" s="166">
        <v>1.2999999999999999E-5</v>
      </c>
      <c r="W227" s="166">
        <v>9.15372388196432E-3</v>
      </c>
      <c r="X227" s="166">
        <v>1.87394251293629E-3</v>
      </c>
    </row>
    <row r="228" spans="1:24">
      <c r="A228" s="4">
        <v>12904</v>
      </c>
      <c r="B228" s="4">
        <v>13680</v>
      </c>
      <c r="C228" s="4" t="s">
        <v>1836</v>
      </c>
      <c r="D228" s="4" t="s">
        <v>1837</v>
      </c>
      <c r="E228" s="4" t="s">
        <v>1342</v>
      </c>
      <c r="F228" s="4" t="s">
        <v>1838</v>
      </c>
      <c r="G228" s="4" t="s">
        <v>1839</v>
      </c>
      <c r="H228" s="4" t="s">
        <v>356</v>
      </c>
      <c r="I228" s="4" t="s">
        <v>965</v>
      </c>
      <c r="J228" s="4" t="s">
        <v>30</v>
      </c>
      <c r="K228" s="4" t="s">
        <v>30</v>
      </c>
      <c r="L228" s="2" t="s">
        <v>362</v>
      </c>
      <c r="M228" s="2" t="s">
        <v>31</v>
      </c>
      <c r="N228" s="4" t="s">
        <v>473</v>
      </c>
      <c r="O228" s="4" t="s">
        <v>155</v>
      </c>
      <c r="P228" s="4" t="s">
        <v>34</v>
      </c>
      <c r="Q228" s="152">
        <v>21035</v>
      </c>
      <c r="R228" s="167">
        <v>1</v>
      </c>
      <c r="S228" s="169">
        <v>96.1</v>
      </c>
      <c r="U228" s="152">
        <v>20.215</v>
      </c>
      <c r="V228" s="166">
        <v>6.9999999999999999E-6</v>
      </c>
      <c r="W228" s="166">
        <v>2.6919771507498101E-3</v>
      </c>
      <c r="X228" s="166">
        <v>5.5109925661867595E-4</v>
      </c>
    </row>
    <row r="229" spans="1:24">
      <c r="A229" s="4">
        <v>12904</v>
      </c>
      <c r="B229" s="4">
        <v>13680</v>
      </c>
      <c r="C229" s="4" t="s">
        <v>1840</v>
      </c>
      <c r="D229" s="4" t="s">
        <v>1841</v>
      </c>
      <c r="E229" s="4" t="s">
        <v>1342</v>
      </c>
      <c r="F229" s="4" t="s">
        <v>1842</v>
      </c>
      <c r="G229" s="4" t="s">
        <v>1843</v>
      </c>
      <c r="H229" s="4" t="s">
        <v>356</v>
      </c>
      <c r="I229" s="4" t="s">
        <v>965</v>
      </c>
      <c r="J229" s="4" t="s">
        <v>30</v>
      </c>
      <c r="K229" s="4" t="s">
        <v>30</v>
      </c>
      <c r="L229" s="2" t="s">
        <v>362</v>
      </c>
      <c r="M229" s="2" t="s">
        <v>31</v>
      </c>
      <c r="N229" s="4" t="s">
        <v>518</v>
      </c>
      <c r="O229" s="4" t="s">
        <v>155</v>
      </c>
      <c r="P229" s="4" t="s">
        <v>34</v>
      </c>
      <c r="Q229" s="152">
        <v>33892</v>
      </c>
      <c r="R229" s="167">
        <v>1</v>
      </c>
      <c r="S229" s="169">
        <v>428.6</v>
      </c>
      <c r="T229" s="151">
        <v>4.9829999999999997</v>
      </c>
      <c r="U229" s="152">
        <v>150.245</v>
      </c>
      <c r="V229" s="166">
        <v>1.2E-5</v>
      </c>
      <c r="W229" s="166">
        <v>2.0008022607822001E-2</v>
      </c>
      <c r="X229" s="166">
        <v>4.0960252513692896E-3</v>
      </c>
    </row>
    <row r="230" spans="1:24">
      <c r="A230" s="4">
        <v>12904</v>
      </c>
      <c r="B230" s="4">
        <v>13680</v>
      </c>
      <c r="C230" s="4" t="s">
        <v>1844</v>
      </c>
      <c r="D230" s="4" t="s">
        <v>1845</v>
      </c>
      <c r="E230" s="4" t="s">
        <v>1342</v>
      </c>
      <c r="F230" s="4" t="s">
        <v>1846</v>
      </c>
      <c r="G230" s="4" t="s">
        <v>1847</v>
      </c>
      <c r="H230" s="4" t="s">
        <v>356</v>
      </c>
      <c r="I230" s="4" t="s">
        <v>965</v>
      </c>
      <c r="J230" s="4" t="s">
        <v>30</v>
      </c>
      <c r="K230" s="4" t="s">
        <v>30</v>
      </c>
      <c r="L230" s="2" t="s">
        <v>362</v>
      </c>
      <c r="M230" s="2" t="s">
        <v>31</v>
      </c>
      <c r="N230" s="4" t="s">
        <v>497</v>
      </c>
      <c r="O230" s="4" t="s">
        <v>155</v>
      </c>
      <c r="P230" s="4" t="s">
        <v>34</v>
      </c>
      <c r="Q230" s="152">
        <v>144</v>
      </c>
      <c r="R230" s="167">
        <v>1</v>
      </c>
      <c r="S230" s="169">
        <v>41490</v>
      </c>
      <c r="U230" s="152">
        <v>59.746000000000002</v>
      </c>
      <c r="V230" s="166">
        <v>6.0000000000000002E-6</v>
      </c>
      <c r="W230" s="166">
        <v>7.9563044327952397E-3</v>
      </c>
      <c r="X230" s="166">
        <v>1.6288078288941099E-3</v>
      </c>
    </row>
    <row r="231" spans="1:24">
      <c r="A231" s="4">
        <v>12904</v>
      </c>
      <c r="B231" s="4">
        <v>13680</v>
      </c>
      <c r="C231" s="4" t="s">
        <v>1848</v>
      </c>
      <c r="D231" s="4" t="s">
        <v>1849</v>
      </c>
      <c r="E231" s="4" t="s">
        <v>1342</v>
      </c>
      <c r="F231" s="4" t="s">
        <v>1850</v>
      </c>
      <c r="G231" s="4" t="s">
        <v>1851</v>
      </c>
      <c r="H231" s="4" t="s">
        <v>356</v>
      </c>
      <c r="I231" s="4" t="s">
        <v>965</v>
      </c>
      <c r="J231" s="4" t="s">
        <v>30</v>
      </c>
      <c r="K231" s="4" t="s">
        <v>30</v>
      </c>
      <c r="L231" s="2" t="s">
        <v>362</v>
      </c>
      <c r="M231" s="2" t="s">
        <v>31</v>
      </c>
      <c r="N231" s="4" t="s">
        <v>481</v>
      </c>
      <c r="O231" s="4" t="s">
        <v>155</v>
      </c>
      <c r="P231" s="4" t="s">
        <v>34</v>
      </c>
      <c r="Q231" s="152">
        <v>85</v>
      </c>
      <c r="R231" s="167">
        <v>1</v>
      </c>
      <c r="S231" s="169">
        <v>15410</v>
      </c>
      <c r="U231" s="152">
        <v>13.098000000000001</v>
      </c>
      <c r="V231" s="166">
        <v>9.9999999999999995E-7</v>
      </c>
      <c r="W231" s="166">
        <v>1.74432349182146E-3</v>
      </c>
      <c r="X231" s="166">
        <v>3.5709641122977202E-4</v>
      </c>
    </row>
    <row r="232" spans="1:24">
      <c r="A232" s="4">
        <v>12904</v>
      </c>
      <c r="B232" s="4">
        <v>13680</v>
      </c>
      <c r="C232" s="4" t="s">
        <v>1856</v>
      </c>
      <c r="D232" s="4" t="s">
        <v>1857</v>
      </c>
      <c r="E232" s="4" t="s">
        <v>1342</v>
      </c>
      <c r="F232" s="4" t="s">
        <v>1858</v>
      </c>
      <c r="G232" s="4" t="s">
        <v>1859</v>
      </c>
      <c r="H232" s="4" t="s">
        <v>356</v>
      </c>
      <c r="I232" s="4" t="s">
        <v>965</v>
      </c>
      <c r="J232" s="4" t="s">
        <v>30</v>
      </c>
      <c r="K232" s="4" t="s">
        <v>30</v>
      </c>
      <c r="L232" s="2" t="s">
        <v>362</v>
      </c>
      <c r="M232" s="2" t="s">
        <v>31</v>
      </c>
      <c r="N232" s="4" t="s">
        <v>481</v>
      </c>
      <c r="O232" s="4" t="s">
        <v>155</v>
      </c>
      <c r="P232" s="4" t="s">
        <v>34</v>
      </c>
      <c r="Q232" s="152">
        <v>15021</v>
      </c>
      <c r="R232" s="167">
        <v>1</v>
      </c>
      <c r="S232" s="169">
        <v>2085</v>
      </c>
      <c r="U232" s="152">
        <v>313.18799999999999</v>
      </c>
      <c r="V232" s="166">
        <v>1.2E-5</v>
      </c>
      <c r="W232" s="166">
        <v>4.1707136245223299E-2</v>
      </c>
      <c r="X232" s="166">
        <v>8.5382492098918204E-3</v>
      </c>
    </row>
    <row r="233" spans="1:24">
      <c r="A233" s="4">
        <v>12904</v>
      </c>
      <c r="B233" s="4">
        <v>13680</v>
      </c>
      <c r="C233" s="4" t="s">
        <v>2101</v>
      </c>
      <c r="D233" s="4" t="s">
        <v>2102</v>
      </c>
      <c r="E233" s="4" t="s">
        <v>1342</v>
      </c>
      <c r="F233" s="4" t="s">
        <v>2103</v>
      </c>
      <c r="G233" s="4" t="s">
        <v>2104</v>
      </c>
      <c r="H233" s="4" t="s">
        <v>356</v>
      </c>
      <c r="I233" s="4" t="s">
        <v>965</v>
      </c>
      <c r="J233" s="4" t="s">
        <v>30</v>
      </c>
      <c r="K233" s="4" t="s">
        <v>30</v>
      </c>
      <c r="L233" s="2" t="s">
        <v>362</v>
      </c>
      <c r="M233" s="2" t="s">
        <v>31</v>
      </c>
      <c r="N233" s="4" t="s">
        <v>487</v>
      </c>
      <c r="O233" s="4" t="s">
        <v>155</v>
      </c>
      <c r="P233" s="4" t="s">
        <v>34</v>
      </c>
      <c r="Q233" s="152">
        <v>81</v>
      </c>
      <c r="R233" s="167">
        <v>1</v>
      </c>
      <c r="S233" s="169">
        <v>43600</v>
      </c>
      <c r="U233" s="152">
        <v>35.316000000000003</v>
      </c>
      <c r="V233" s="166">
        <v>3.9999999999999998E-6</v>
      </c>
      <c r="W233" s="166">
        <v>4.7030216007303803E-3</v>
      </c>
      <c r="X233" s="166">
        <v>9.6279855395584404E-4</v>
      </c>
    </row>
    <row r="234" spans="1:24">
      <c r="A234" s="4">
        <v>12904</v>
      </c>
      <c r="B234" s="4">
        <v>13680</v>
      </c>
      <c r="C234" s="4" t="s">
        <v>1860</v>
      </c>
      <c r="D234" s="4" t="s">
        <v>1861</v>
      </c>
      <c r="E234" s="4" t="s">
        <v>1342</v>
      </c>
      <c r="F234" s="4" t="s">
        <v>1862</v>
      </c>
      <c r="G234" s="4" t="s">
        <v>1863</v>
      </c>
      <c r="H234" s="4" t="s">
        <v>356</v>
      </c>
      <c r="I234" s="4" t="s">
        <v>965</v>
      </c>
      <c r="J234" s="4" t="s">
        <v>30</v>
      </c>
      <c r="K234" s="4" t="s">
        <v>30</v>
      </c>
      <c r="L234" s="2" t="s">
        <v>362</v>
      </c>
      <c r="M234" s="2" t="s">
        <v>31</v>
      </c>
      <c r="N234" s="4" t="s">
        <v>470</v>
      </c>
      <c r="O234" s="4" t="s">
        <v>155</v>
      </c>
      <c r="P234" s="4" t="s">
        <v>34</v>
      </c>
      <c r="Q234" s="152">
        <v>645</v>
      </c>
      <c r="R234" s="167">
        <v>1</v>
      </c>
      <c r="S234" s="169">
        <v>16850</v>
      </c>
      <c r="U234" s="152">
        <v>108.68300000000001</v>
      </c>
      <c r="V234" s="166">
        <v>2.5000000000000001E-5</v>
      </c>
      <c r="W234" s="166">
        <v>1.44732173836612E-2</v>
      </c>
      <c r="X234" s="166">
        <v>2.9629446664488001E-3</v>
      </c>
    </row>
    <row r="235" spans="1:24">
      <c r="A235" s="4">
        <v>12904</v>
      </c>
      <c r="B235" s="4">
        <v>13680</v>
      </c>
      <c r="C235" s="4" t="s">
        <v>1864</v>
      </c>
      <c r="D235" s="4" t="s">
        <v>1865</v>
      </c>
      <c r="E235" s="4" t="s">
        <v>1342</v>
      </c>
      <c r="F235" s="4" t="s">
        <v>1866</v>
      </c>
      <c r="G235" s="4" t="s">
        <v>1867</v>
      </c>
      <c r="H235" s="4" t="s">
        <v>356</v>
      </c>
      <c r="I235" s="4" t="s">
        <v>965</v>
      </c>
      <c r="J235" s="4" t="s">
        <v>30</v>
      </c>
      <c r="K235" s="4" t="s">
        <v>30</v>
      </c>
      <c r="L235" s="2" t="s">
        <v>362</v>
      </c>
      <c r="M235" s="2" t="s">
        <v>31</v>
      </c>
      <c r="N235" s="4" t="s">
        <v>478</v>
      </c>
      <c r="O235" s="4" t="s">
        <v>155</v>
      </c>
      <c r="P235" s="4" t="s">
        <v>34</v>
      </c>
      <c r="Q235" s="152">
        <v>1238</v>
      </c>
      <c r="R235" s="167">
        <v>1</v>
      </c>
      <c r="S235" s="169">
        <v>4200</v>
      </c>
      <c r="U235" s="152">
        <v>51.996000000000002</v>
      </c>
      <c r="V235" s="166">
        <v>5.0000000000000004E-6</v>
      </c>
      <c r="W235" s="166">
        <v>6.9242924213267802E-3</v>
      </c>
      <c r="X235" s="166">
        <v>1.41753521382626E-3</v>
      </c>
    </row>
    <row r="236" spans="1:24">
      <c r="A236" s="4">
        <v>12904</v>
      </c>
      <c r="B236" s="4">
        <v>13680</v>
      </c>
      <c r="C236" s="4" t="s">
        <v>1868</v>
      </c>
      <c r="D236" s="4" t="s">
        <v>1869</v>
      </c>
      <c r="E236" s="4" t="s">
        <v>1342</v>
      </c>
      <c r="F236" s="4" t="s">
        <v>1870</v>
      </c>
      <c r="G236" s="4" t="s">
        <v>1871</v>
      </c>
      <c r="H236" s="4" t="s">
        <v>356</v>
      </c>
      <c r="I236" s="4" t="s">
        <v>965</v>
      </c>
      <c r="J236" s="4" t="s">
        <v>30</v>
      </c>
      <c r="K236" s="4" t="s">
        <v>30</v>
      </c>
      <c r="L236" s="2" t="s">
        <v>362</v>
      </c>
      <c r="M236" s="2" t="s">
        <v>31</v>
      </c>
      <c r="N236" s="4" t="s">
        <v>484</v>
      </c>
      <c r="O236" s="4" t="s">
        <v>155</v>
      </c>
      <c r="P236" s="4" t="s">
        <v>34</v>
      </c>
      <c r="Q236" s="152">
        <v>12</v>
      </c>
      <c r="R236" s="167">
        <v>1</v>
      </c>
      <c r="S236" s="169">
        <v>81100</v>
      </c>
      <c r="U236" s="152">
        <v>9.7319999999999993</v>
      </c>
      <c r="V236" s="166">
        <v>1.9999999999999999E-6</v>
      </c>
      <c r="W236" s="166">
        <v>1.2960076514415E-3</v>
      </c>
      <c r="X236" s="166">
        <v>2.6531757637043499E-4</v>
      </c>
    </row>
    <row r="237" spans="1:24">
      <c r="A237" s="4">
        <v>12904</v>
      </c>
      <c r="B237" s="4">
        <v>13680</v>
      </c>
      <c r="C237" s="4" t="s">
        <v>1872</v>
      </c>
      <c r="D237" s="4" t="s">
        <v>1873</v>
      </c>
      <c r="E237" s="4" t="s">
        <v>1342</v>
      </c>
      <c r="F237" s="4" t="s">
        <v>1874</v>
      </c>
      <c r="G237" s="4" t="s">
        <v>1875</v>
      </c>
      <c r="H237" s="4" t="s">
        <v>356</v>
      </c>
      <c r="I237" s="4" t="s">
        <v>965</v>
      </c>
      <c r="J237" s="4" t="s">
        <v>30</v>
      </c>
      <c r="K237" s="4" t="s">
        <v>30</v>
      </c>
      <c r="L237" s="2" t="s">
        <v>362</v>
      </c>
      <c r="M237" s="2" t="s">
        <v>31</v>
      </c>
      <c r="N237" s="4" t="s">
        <v>510</v>
      </c>
      <c r="O237" s="4" t="s">
        <v>155</v>
      </c>
      <c r="P237" s="4" t="s">
        <v>34</v>
      </c>
      <c r="Q237" s="152">
        <v>131</v>
      </c>
      <c r="R237" s="167">
        <v>1</v>
      </c>
      <c r="S237" s="169">
        <v>19560</v>
      </c>
      <c r="U237" s="152">
        <v>25.623999999999999</v>
      </c>
      <c r="V237" s="166">
        <v>6.0000000000000002E-6</v>
      </c>
      <c r="W237" s="166">
        <v>3.41228746994209E-3</v>
      </c>
      <c r="X237" s="166">
        <v>6.9856056821675596E-4</v>
      </c>
    </row>
    <row r="238" spans="1:24">
      <c r="A238" s="4">
        <v>12904</v>
      </c>
      <c r="B238" s="4">
        <v>13680</v>
      </c>
      <c r="C238" s="4" t="s">
        <v>1880</v>
      </c>
      <c r="D238" s="4" t="s">
        <v>1881</v>
      </c>
      <c r="E238" s="4" t="s">
        <v>1342</v>
      </c>
      <c r="F238" s="4" t="s">
        <v>1882</v>
      </c>
      <c r="G238" s="4" t="s">
        <v>1883</v>
      </c>
      <c r="H238" s="4" t="s">
        <v>356</v>
      </c>
      <c r="I238" s="4" t="s">
        <v>965</v>
      </c>
      <c r="J238" s="4" t="s">
        <v>30</v>
      </c>
      <c r="K238" s="4" t="s">
        <v>334</v>
      </c>
      <c r="L238" s="2" t="s">
        <v>362</v>
      </c>
      <c r="M238" s="2" t="s">
        <v>31</v>
      </c>
      <c r="N238" s="4" t="s">
        <v>491</v>
      </c>
      <c r="O238" s="4" t="s">
        <v>155</v>
      </c>
      <c r="P238" s="4" t="s">
        <v>34</v>
      </c>
      <c r="Q238" s="152">
        <v>1039</v>
      </c>
      <c r="R238" s="167">
        <v>1</v>
      </c>
      <c r="S238" s="169">
        <v>16470</v>
      </c>
      <c r="U238" s="152">
        <v>171.12299999999999</v>
      </c>
      <c r="V238" s="166">
        <v>9.0000000000000002E-6</v>
      </c>
      <c r="W238" s="166">
        <v>2.2788440828187401E-2</v>
      </c>
      <c r="X238" s="166">
        <v>4.6652300880097404E-3</v>
      </c>
    </row>
    <row r="239" spans="1:24">
      <c r="A239" s="4">
        <v>12904</v>
      </c>
      <c r="B239" s="4">
        <v>13680</v>
      </c>
      <c r="C239" s="4" t="s">
        <v>1884</v>
      </c>
      <c r="D239" s="4" t="s">
        <v>1885</v>
      </c>
      <c r="E239" s="4" t="s">
        <v>1342</v>
      </c>
      <c r="F239" s="4" t="s">
        <v>1886</v>
      </c>
      <c r="G239" s="4" t="s">
        <v>1887</v>
      </c>
      <c r="H239" s="4" t="s">
        <v>356</v>
      </c>
      <c r="I239" s="4" t="s">
        <v>965</v>
      </c>
      <c r="J239" s="4" t="s">
        <v>30</v>
      </c>
      <c r="K239" s="4" t="s">
        <v>98</v>
      </c>
      <c r="L239" s="2" t="s">
        <v>362</v>
      </c>
      <c r="M239" s="2" t="s">
        <v>31</v>
      </c>
      <c r="N239" s="4" t="s">
        <v>500</v>
      </c>
      <c r="O239" s="4" t="s">
        <v>155</v>
      </c>
      <c r="P239" s="4" t="s">
        <v>34</v>
      </c>
      <c r="Q239" s="152">
        <v>3284</v>
      </c>
      <c r="R239" s="167">
        <v>1</v>
      </c>
      <c r="S239" s="169">
        <v>6629</v>
      </c>
      <c r="U239" s="152">
        <v>217.696</v>
      </c>
      <c r="V239" s="166">
        <v>3.0000000000000001E-6</v>
      </c>
      <c r="W239" s="166">
        <v>2.89905618835762E-2</v>
      </c>
      <c r="X239" s="166">
        <v>5.9349229983421299E-3</v>
      </c>
    </row>
    <row r="240" spans="1:24">
      <c r="A240" s="4">
        <v>12904</v>
      </c>
      <c r="B240" s="4">
        <v>13680</v>
      </c>
      <c r="C240" s="4" t="s">
        <v>1888</v>
      </c>
      <c r="D240" s="4" t="s">
        <v>1889</v>
      </c>
      <c r="E240" s="4" t="s">
        <v>1342</v>
      </c>
      <c r="F240" s="4" t="s">
        <v>1890</v>
      </c>
      <c r="G240" s="4" t="s">
        <v>1891</v>
      </c>
      <c r="H240" s="4" t="s">
        <v>356</v>
      </c>
      <c r="I240" s="4" t="s">
        <v>965</v>
      </c>
      <c r="J240" s="4" t="s">
        <v>30</v>
      </c>
      <c r="K240" s="4" t="s">
        <v>30</v>
      </c>
      <c r="L240" s="2" t="s">
        <v>362</v>
      </c>
      <c r="M240" s="2" t="s">
        <v>31</v>
      </c>
      <c r="N240" s="4" t="s">
        <v>509</v>
      </c>
      <c r="O240" s="4" t="s">
        <v>155</v>
      </c>
      <c r="P240" s="4" t="s">
        <v>34</v>
      </c>
      <c r="Q240" s="152">
        <v>7126</v>
      </c>
      <c r="R240" s="167">
        <v>1</v>
      </c>
      <c r="S240" s="169">
        <v>598</v>
      </c>
      <c r="U240" s="152">
        <v>42.613</v>
      </c>
      <c r="V240" s="166">
        <v>6.7000000000000002E-5</v>
      </c>
      <c r="W240" s="166">
        <v>5.6748249213470396E-3</v>
      </c>
      <c r="X240" s="166">
        <v>1.1617452974013601E-3</v>
      </c>
    </row>
    <row r="241" spans="1:24">
      <c r="A241" s="4">
        <v>12904</v>
      </c>
      <c r="B241" s="4">
        <v>13680</v>
      </c>
      <c r="C241" s="4" t="s">
        <v>1892</v>
      </c>
      <c r="D241" s="4" t="s">
        <v>1893</v>
      </c>
      <c r="E241" s="4" t="s">
        <v>1342</v>
      </c>
      <c r="F241" s="4" t="s">
        <v>1894</v>
      </c>
      <c r="G241" s="4" t="s">
        <v>1895</v>
      </c>
      <c r="H241" s="4" t="s">
        <v>356</v>
      </c>
      <c r="I241" s="4" t="s">
        <v>965</v>
      </c>
      <c r="J241" s="4" t="s">
        <v>30</v>
      </c>
      <c r="K241" s="4" t="s">
        <v>30</v>
      </c>
      <c r="L241" s="2" t="s">
        <v>362</v>
      </c>
      <c r="M241" s="2" t="s">
        <v>31</v>
      </c>
      <c r="N241" s="4" t="s">
        <v>512</v>
      </c>
      <c r="O241" s="4" t="s">
        <v>155</v>
      </c>
      <c r="P241" s="4" t="s">
        <v>34</v>
      </c>
      <c r="Q241" s="152">
        <v>16928</v>
      </c>
      <c r="R241" s="167">
        <v>1</v>
      </c>
      <c r="S241" s="169">
        <v>1373</v>
      </c>
      <c r="U241" s="152">
        <v>232.42099999999999</v>
      </c>
      <c r="V241" s="166">
        <v>8.3999999999999995E-5</v>
      </c>
      <c r="W241" s="166">
        <v>3.0951496567925601E-2</v>
      </c>
      <c r="X241" s="166">
        <v>6.3363638673783803E-3</v>
      </c>
    </row>
    <row r="242" spans="1:24">
      <c r="A242" s="4">
        <v>12904</v>
      </c>
      <c r="B242" s="4">
        <v>13680</v>
      </c>
      <c r="C242" s="4" t="s">
        <v>1896</v>
      </c>
      <c r="D242" s="4" t="s">
        <v>1897</v>
      </c>
      <c r="E242" s="4" t="s">
        <v>1342</v>
      </c>
      <c r="F242" s="4" t="s">
        <v>1898</v>
      </c>
      <c r="G242" s="4" t="s">
        <v>1899</v>
      </c>
      <c r="H242" s="4" t="s">
        <v>356</v>
      </c>
      <c r="I242" s="4" t="s">
        <v>965</v>
      </c>
      <c r="J242" s="4" t="s">
        <v>30</v>
      </c>
      <c r="K242" s="4" t="s">
        <v>30</v>
      </c>
      <c r="L242" s="2" t="s">
        <v>362</v>
      </c>
      <c r="M242" s="2" t="s">
        <v>31</v>
      </c>
      <c r="N242" s="4" t="s">
        <v>478</v>
      </c>
      <c r="O242" s="4" t="s">
        <v>155</v>
      </c>
      <c r="P242" s="4" t="s">
        <v>34</v>
      </c>
      <c r="Q242" s="152">
        <v>552</v>
      </c>
      <c r="R242" s="167">
        <v>1</v>
      </c>
      <c r="S242" s="169">
        <v>6329</v>
      </c>
      <c r="U242" s="152">
        <v>34.936</v>
      </c>
      <c r="V242" s="166">
        <v>6.9999999999999999E-6</v>
      </c>
      <c r="W242" s="166">
        <v>4.65242776319075E-3</v>
      </c>
      <c r="X242" s="166">
        <v>9.5244102686843602E-4</v>
      </c>
    </row>
    <row r="243" spans="1:24">
      <c r="A243" s="4">
        <v>12904</v>
      </c>
      <c r="B243" s="4">
        <v>13680</v>
      </c>
      <c r="C243" s="4" t="s">
        <v>1212</v>
      </c>
      <c r="D243" s="4" t="s">
        <v>1900</v>
      </c>
      <c r="E243" s="4" t="s">
        <v>1342</v>
      </c>
      <c r="F243" s="4" t="s">
        <v>1901</v>
      </c>
      <c r="G243" s="4" t="s">
        <v>1902</v>
      </c>
      <c r="H243" s="4" t="s">
        <v>356</v>
      </c>
      <c r="I243" s="4" t="s">
        <v>965</v>
      </c>
      <c r="J243" s="4" t="s">
        <v>30</v>
      </c>
      <c r="K243" s="4" t="s">
        <v>30</v>
      </c>
      <c r="L243" s="2" t="s">
        <v>362</v>
      </c>
      <c r="M243" s="2" t="s">
        <v>31</v>
      </c>
      <c r="N243" s="4" t="s">
        <v>481</v>
      </c>
      <c r="O243" s="4" t="s">
        <v>155</v>
      </c>
      <c r="P243" s="4" t="s">
        <v>34</v>
      </c>
      <c r="Q243" s="152">
        <v>15028</v>
      </c>
      <c r="R243" s="167">
        <v>1</v>
      </c>
      <c r="S243" s="169">
        <v>3644</v>
      </c>
      <c r="U243" s="152">
        <v>547.62</v>
      </c>
      <c r="V243" s="166">
        <v>1.0000000000000001E-5</v>
      </c>
      <c r="W243" s="166">
        <v>7.2926441102018402E-2</v>
      </c>
      <c r="X243" s="166">
        <v>1.49294385607893E-2</v>
      </c>
    </row>
    <row r="244" spans="1:24">
      <c r="A244" s="4">
        <v>12904</v>
      </c>
      <c r="B244" s="4">
        <v>13680</v>
      </c>
      <c r="C244" s="4" t="s">
        <v>2109</v>
      </c>
      <c r="D244" s="4" t="s">
        <v>2110</v>
      </c>
      <c r="E244" s="4" t="s">
        <v>1342</v>
      </c>
      <c r="F244" s="4" t="s">
        <v>2111</v>
      </c>
      <c r="G244" s="4" t="s">
        <v>2112</v>
      </c>
      <c r="H244" s="4" t="s">
        <v>356</v>
      </c>
      <c r="I244" s="4" t="s">
        <v>965</v>
      </c>
      <c r="J244" s="4" t="s">
        <v>30</v>
      </c>
      <c r="K244" s="4" t="s">
        <v>30</v>
      </c>
      <c r="L244" s="2" t="s">
        <v>362</v>
      </c>
      <c r="M244" s="2" t="s">
        <v>31</v>
      </c>
      <c r="N244" s="4" t="s">
        <v>509</v>
      </c>
      <c r="O244" s="4" t="s">
        <v>155</v>
      </c>
      <c r="P244" s="4" t="s">
        <v>34</v>
      </c>
      <c r="Q244" s="152">
        <v>220</v>
      </c>
      <c r="R244" s="167">
        <v>1</v>
      </c>
      <c r="S244" s="169">
        <v>22390</v>
      </c>
      <c r="U244" s="152">
        <v>49.258000000000003</v>
      </c>
      <c r="V244" s="166">
        <v>1.5E-5</v>
      </c>
      <c r="W244" s="166">
        <v>6.5596737458595801E-3</v>
      </c>
      <c r="X244" s="166">
        <v>1.3428907908811E-3</v>
      </c>
    </row>
    <row r="245" spans="1:24">
      <c r="A245" s="4">
        <v>12904</v>
      </c>
      <c r="B245" s="4">
        <v>13680</v>
      </c>
      <c r="C245" s="4" t="s">
        <v>1903</v>
      </c>
      <c r="D245" s="4" t="s">
        <v>1904</v>
      </c>
      <c r="E245" s="4" t="s">
        <v>1342</v>
      </c>
      <c r="F245" s="4" t="s">
        <v>1905</v>
      </c>
      <c r="G245" s="4" t="s">
        <v>1906</v>
      </c>
      <c r="H245" s="4" t="s">
        <v>356</v>
      </c>
      <c r="I245" s="4" t="s">
        <v>965</v>
      </c>
      <c r="J245" s="4" t="s">
        <v>30</v>
      </c>
      <c r="K245" s="4" t="s">
        <v>30</v>
      </c>
      <c r="L245" s="2" t="s">
        <v>362</v>
      </c>
      <c r="M245" s="2" t="s">
        <v>31</v>
      </c>
      <c r="N245" s="4" t="s">
        <v>497</v>
      </c>
      <c r="O245" s="4" t="s">
        <v>155</v>
      </c>
      <c r="P245" s="4" t="s">
        <v>34</v>
      </c>
      <c r="Q245" s="152">
        <v>15670</v>
      </c>
      <c r="R245" s="167">
        <v>1</v>
      </c>
      <c r="S245" s="169">
        <v>954</v>
      </c>
      <c r="U245" s="152">
        <v>149.49199999999999</v>
      </c>
      <c r="V245" s="166">
        <v>2.0999999999999999E-5</v>
      </c>
      <c r="W245" s="166">
        <v>1.9907780171368902E-2</v>
      </c>
      <c r="X245" s="166">
        <v>4.0755037056364298E-3</v>
      </c>
    </row>
    <row r="246" spans="1:24">
      <c r="A246" s="4">
        <v>12904</v>
      </c>
      <c r="B246" s="4">
        <v>13680</v>
      </c>
      <c r="C246" s="4" t="s">
        <v>1911</v>
      </c>
      <c r="D246" s="4" t="s">
        <v>1912</v>
      </c>
      <c r="E246" s="4" t="s">
        <v>1342</v>
      </c>
      <c r="F246" s="4" t="s">
        <v>1913</v>
      </c>
      <c r="G246" s="4" t="s">
        <v>1914</v>
      </c>
      <c r="H246" s="4" t="s">
        <v>356</v>
      </c>
      <c r="I246" s="4" t="s">
        <v>965</v>
      </c>
      <c r="J246" s="4" t="s">
        <v>30</v>
      </c>
      <c r="K246" s="4" t="s">
        <v>30</v>
      </c>
      <c r="L246" s="2" t="s">
        <v>362</v>
      </c>
      <c r="M246" s="2" t="s">
        <v>31</v>
      </c>
      <c r="N246" s="4" t="s">
        <v>492</v>
      </c>
      <c r="O246" s="4" t="s">
        <v>155</v>
      </c>
      <c r="P246" s="4" t="s">
        <v>34</v>
      </c>
      <c r="Q246" s="152">
        <v>83</v>
      </c>
      <c r="R246" s="167">
        <v>1</v>
      </c>
      <c r="S246" s="169">
        <v>15960</v>
      </c>
      <c r="U246" s="152">
        <v>13.247</v>
      </c>
      <c r="V246" s="166">
        <v>2.5000000000000001E-5</v>
      </c>
      <c r="W246" s="166">
        <v>1.76407256032833E-3</v>
      </c>
      <c r="X246" s="166">
        <v>3.6113942361938698E-4</v>
      </c>
    </row>
    <row r="247" spans="1:24">
      <c r="A247" s="4">
        <v>12904</v>
      </c>
      <c r="B247" s="4">
        <v>13680</v>
      </c>
      <c r="C247" s="4" t="s">
        <v>1915</v>
      </c>
      <c r="D247" s="4" t="s">
        <v>1916</v>
      </c>
      <c r="E247" s="4" t="s">
        <v>1342</v>
      </c>
      <c r="F247" s="4" t="s">
        <v>1917</v>
      </c>
      <c r="G247" s="4" t="s">
        <v>1918</v>
      </c>
      <c r="H247" s="4" t="s">
        <v>356</v>
      </c>
      <c r="I247" s="4" t="s">
        <v>965</v>
      </c>
      <c r="J247" s="4" t="s">
        <v>30</v>
      </c>
      <c r="K247" s="4" t="s">
        <v>30</v>
      </c>
      <c r="L247" s="2" t="s">
        <v>362</v>
      </c>
      <c r="M247" s="2" t="s">
        <v>31</v>
      </c>
      <c r="N247" s="4" t="s">
        <v>510</v>
      </c>
      <c r="O247" s="4" t="s">
        <v>155</v>
      </c>
      <c r="P247" s="4" t="s">
        <v>34</v>
      </c>
      <c r="Q247" s="152">
        <v>153</v>
      </c>
      <c r="R247" s="167">
        <v>1</v>
      </c>
      <c r="S247" s="169">
        <v>7125</v>
      </c>
      <c r="T247" s="151">
        <v>0.125</v>
      </c>
      <c r="U247" s="152">
        <v>11.026999999999999</v>
      </c>
      <c r="V247" s="166">
        <v>1.9999999999999999E-6</v>
      </c>
      <c r="W247" s="166">
        <v>1.46842381116179E-3</v>
      </c>
      <c r="X247" s="166">
        <v>3.0061446491364902E-4</v>
      </c>
    </row>
    <row r="248" spans="1:24">
      <c r="A248" s="4">
        <v>12904</v>
      </c>
      <c r="B248" s="4">
        <v>13680</v>
      </c>
      <c r="C248" s="4" t="s">
        <v>1919</v>
      </c>
      <c r="D248" s="4" t="s">
        <v>1920</v>
      </c>
      <c r="E248" s="4" t="s">
        <v>1342</v>
      </c>
      <c r="F248" s="4" t="s">
        <v>1921</v>
      </c>
      <c r="G248" s="4" t="s">
        <v>1922</v>
      </c>
      <c r="H248" s="4" t="s">
        <v>356</v>
      </c>
      <c r="I248" s="4" t="s">
        <v>965</v>
      </c>
      <c r="J248" s="4" t="s">
        <v>30</v>
      </c>
      <c r="K248" s="4" t="s">
        <v>30</v>
      </c>
      <c r="L248" s="2" t="s">
        <v>362</v>
      </c>
      <c r="M248" s="2" t="s">
        <v>31</v>
      </c>
      <c r="N248" s="4" t="s">
        <v>497</v>
      </c>
      <c r="O248" s="4" t="s">
        <v>155</v>
      </c>
      <c r="P248" s="4" t="s">
        <v>34</v>
      </c>
      <c r="Q248" s="152">
        <v>140</v>
      </c>
      <c r="R248" s="167">
        <v>1</v>
      </c>
      <c r="S248" s="169">
        <v>28210</v>
      </c>
      <c r="U248" s="152">
        <v>39.494</v>
      </c>
      <c r="V248" s="166">
        <v>3.0000000000000001E-6</v>
      </c>
      <c r="W248" s="166">
        <v>5.2594046635871996E-3</v>
      </c>
      <c r="X248" s="166">
        <v>1.0767008180408899E-3</v>
      </c>
    </row>
    <row r="249" spans="1:24">
      <c r="A249" s="4">
        <v>12904</v>
      </c>
      <c r="B249" s="4">
        <v>13680</v>
      </c>
      <c r="C249" s="4" t="s">
        <v>1923</v>
      </c>
      <c r="D249" s="4" t="s">
        <v>1924</v>
      </c>
      <c r="E249" s="4" t="s">
        <v>1342</v>
      </c>
      <c r="F249" s="4" t="s">
        <v>1925</v>
      </c>
      <c r="G249" s="4" t="s">
        <v>1926</v>
      </c>
      <c r="H249" s="4" t="s">
        <v>356</v>
      </c>
      <c r="I249" s="4" t="s">
        <v>965</v>
      </c>
      <c r="J249" s="4" t="s">
        <v>30</v>
      </c>
      <c r="K249" s="4" t="s">
        <v>30</v>
      </c>
      <c r="L249" s="2" t="s">
        <v>362</v>
      </c>
      <c r="M249" s="2" t="s">
        <v>31</v>
      </c>
      <c r="N249" s="4" t="s">
        <v>478</v>
      </c>
      <c r="O249" s="4" t="s">
        <v>155</v>
      </c>
      <c r="P249" s="4" t="s">
        <v>34</v>
      </c>
      <c r="Q249" s="152">
        <v>394</v>
      </c>
      <c r="R249" s="167">
        <v>1</v>
      </c>
      <c r="S249" s="169">
        <v>10880</v>
      </c>
      <c r="U249" s="152">
        <v>42.866999999999997</v>
      </c>
      <c r="V249" s="166">
        <v>6.0000000000000002E-6</v>
      </c>
      <c r="W249" s="166">
        <v>5.7086127410473798E-3</v>
      </c>
      <c r="X249" s="166">
        <v>1.1686623109110901E-3</v>
      </c>
    </row>
    <row r="250" spans="1:24">
      <c r="A250" s="4">
        <v>12904</v>
      </c>
      <c r="B250" s="4">
        <v>13680</v>
      </c>
      <c r="C250" s="4" t="s">
        <v>2127</v>
      </c>
      <c r="D250" s="4" t="s">
        <v>2128</v>
      </c>
      <c r="E250" s="4" t="s">
        <v>1342</v>
      </c>
      <c r="F250" s="4" t="s">
        <v>2129</v>
      </c>
      <c r="G250" s="4" t="s">
        <v>2130</v>
      </c>
      <c r="H250" s="4" t="s">
        <v>356</v>
      </c>
      <c r="I250" s="4" t="s">
        <v>965</v>
      </c>
      <c r="J250" s="4" t="s">
        <v>30</v>
      </c>
      <c r="K250" s="4" t="s">
        <v>30</v>
      </c>
      <c r="L250" s="2" t="s">
        <v>362</v>
      </c>
      <c r="M250" s="2" t="s">
        <v>31</v>
      </c>
      <c r="N250" s="4" t="s">
        <v>497</v>
      </c>
      <c r="O250" s="4" t="s">
        <v>155</v>
      </c>
      <c r="P250" s="4" t="s">
        <v>34</v>
      </c>
      <c r="Q250" s="152">
        <v>1981</v>
      </c>
      <c r="R250" s="167">
        <v>1</v>
      </c>
      <c r="S250" s="169">
        <v>177.8</v>
      </c>
      <c r="U250" s="152">
        <v>3.5219999999999998</v>
      </c>
      <c r="V250" s="166">
        <v>3.0000000000000001E-6</v>
      </c>
      <c r="W250" s="166">
        <v>4.6905276182130902E-4</v>
      </c>
      <c r="X250" s="166">
        <v>9.6024079655602102E-5</v>
      </c>
    </row>
    <row r="251" spans="1:24">
      <c r="A251" s="4">
        <v>12904</v>
      </c>
      <c r="B251" s="4">
        <v>13680</v>
      </c>
      <c r="C251" s="4" t="s">
        <v>1927</v>
      </c>
      <c r="D251" s="4" t="s">
        <v>1483</v>
      </c>
      <c r="E251" s="4" t="s">
        <v>1342</v>
      </c>
      <c r="F251" s="4" t="s">
        <v>1928</v>
      </c>
      <c r="G251" s="4" t="s">
        <v>1929</v>
      </c>
      <c r="H251" s="4" t="s">
        <v>356</v>
      </c>
      <c r="I251" s="4" t="s">
        <v>965</v>
      </c>
      <c r="J251" s="4" t="s">
        <v>30</v>
      </c>
      <c r="K251" s="4" t="s">
        <v>30</v>
      </c>
      <c r="L251" s="2" t="s">
        <v>362</v>
      </c>
      <c r="M251" s="2" t="s">
        <v>31</v>
      </c>
      <c r="N251" s="4" t="s">
        <v>476</v>
      </c>
      <c r="O251" s="4" t="s">
        <v>155</v>
      </c>
      <c r="P251" s="4" t="s">
        <v>34</v>
      </c>
      <c r="Q251" s="152">
        <v>3253</v>
      </c>
      <c r="R251" s="167">
        <v>1</v>
      </c>
      <c r="S251" s="169">
        <v>1350</v>
      </c>
      <c r="U251" s="152">
        <v>43.915999999999997</v>
      </c>
      <c r="V251" s="166">
        <v>5.3999999999999998E-5</v>
      </c>
      <c r="W251" s="166">
        <v>5.84821455167275E-3</v>
      </c>
      <c r="X251" s="166">
        <v>1.1972414740131299E-3</v>
      </c>
    </row>
    <row r="252" spans="1:24">
      <c r="A252" s="4">
        <v>12904</v>
      </c>
      <c r="B252" s="4">
        <v>13680</v>
      </c>
      <c r="C252" s="4" t="s">
        <v>1930</v>
      </c>
      <c r="D252" s="4" t="s">
        <v>1931</v>
      </c>
      <c r="E252" s="4" t="s">
        <v>1342</v>
      </c>
      <c r="F252" s="4" t="s">
        <v>1932</v>
      </c>
      <c r="G252" s="4" t="s">
        <v>1933</v>
      </c>
      <c r="H252" s="4" t="s">
        <v>356</v>
      </c>
      <c r="I252" s="4" t="s">
        <v>965</v>
      </c>
      <c r="J252" s="4" t="s">
        <v>30</v>
      </c>
      <c r="K252" s="4" t="s">
        <v>30</v>
      </c>
      <c r="L252" s="2" t="s">
        <v>362</v>
      </c>
      <c r="M252" s="2" t="s">
        <v>31</v>
      </c>
      <c r="N252" s="4" t="s">
        <v>509</v>
      </c>
      <c r="O252" s="4" t="s">
        <v>155</v>
      </c>
      <c r="P252" s="4" t="s">
        <v>34</v>
      </c>
      <c r="Q252" s="152">
        <v>2571</v>
      </c>
      <c r="R252" s="167">
        <v>1</v>
      </c>
      <c r="S252" s="169">
        <v>1049</v>
      </c>
      <c r="U252" s="152">
        <v>26.97</v>
      </c>
      <c r="V252" s="166">
        <v>1.8E-5</v>
      </c>
      <c r="W252" s="166">
        <v>3.5915592065115598E-3</v>
      </c>
      <c r="X252" s="166">
        <v>7.3526092458072205E-4</v>
      </c>
    </row>
    <row r="253" spans="1:24">
      <c r="A253" s="4">
        <v>12904</v>
      </c>
      <c r="B253" s="4">
        <v>13680</v>
      </c>
      <c r="C253" s="4" t="s">
        <v>1934</v>
      </c>
      <c r="D253" s="4" t="s">
        <v>1935</v>
      </c>
      <c r="E253" s="4" t="s">
        <v>348</v>
      </c>
      <c r="F253" s="4" t="s">
        <v>1936</v>
      </c>
      <c r="G253" s="4" t="s">
        <v>1937</v>
      </c>
      <c r="H253" s="4" t="s">
        <v>356</v>
      </c>
      <c r="I253" s="4" t="s">
        <v>965</v>
      </c>
      <c r="J253" s="4" t="s">
        <v>30</v>
      </c>
      <c r="K253" s="4" t="s">
        <v>30</v>
      </c>
      <c r="L253" s="2" t="s">
        <v>362</v>
      </c>
      <c r="M253" s="2" t="s">
        <v>31</v>
      </c>
      <c r="N253" s="4" t="s">
        <v>487</v>
      </c>
      <c r="O253" s="4" t="s">
        <v>155</v>
      </c>
      <c r="P253" s="4" t="s">
        <v>34</v>
      </c>
      <c r="Q253" s="152">
        <v>11612</v>
      </c>
      <c r="R253" s="167">
        <v>1</v>
      </c>
      <c r="S253" s="169">
        <v>1025</v>
      </c>
      <c r="U253" s="152">
        <v>119.023</v>
      </c>
      <c r="V253" s="166">
        <v>1.0000000000000001E-5</v>
      </c>
      <c r="W253" s="166">
        <v>1.5850258805746201E-2</v>
      </c>
      <c r="X253" s="166">
        <v>3.24485140693981E-3</v>
      </c>
    </row>
    <row r="254" spans="1:24">
      <c r="A254" s="4">
        <v>12904</v>
      </c>
      <c r="B254" s="4">
        <v>13680</v>
      </c>
      <c r="C254" s="4" t="s">
        <v>1938</v>
      </c>
      <c r="D254" s="4" t="s">
        <v>1939</v>
      </c>
      <c r="E254" s="4" t="s">
        <v>1342</v>
      </c>
      <c r="F254" s="4" t="s">
        <v>1940</v>
      </c>
      <c r="G254" s="4" t="s">
        <v>1941</v>
      </c>
      <c r="H254" s="4" t="s">
        <v>356</v>
      </c>
      <c r="I254" s="4" t="s">
        <v>965</v>
      </c>
      <c r="J254" s="4" t="s">
        <v>30</v>
      </c>
      <c r="K254" s="4" t="s">
        <v>98</v>
      </c>
      <c r="L254" s="2" t="s">
        <v>362</v>
      </c>
      <c r="M254" s="2" t="s">
        <v>31</v>
      </c>
      <c r="N254" s="4" t="s">
        <v>514</v>
      </c>
      <c r="O254" s="4" t="s">
        <v>155</v>
      </c>
      <c r="P254" s="4" t="s">
        <v>34</v>
      </c>
      <c r="Q254" s="152">
        <v>379</v>
      </c>
      <c r="R254" s="167">
        <v>1</v>
      </c>
      <c r="S254" s="169">
        <v>64880</v>
      </c>
      <c r="U254" s="152">
        <v>245.89500000000001</v>
      </c>
      <c r="V254" s="166">
        <v>6.0000000000000002E-6</v>
      </c>
      <c r="W254" s="166">
        <v>3.2745793326421899E-2</v>
      </c>
      <c r="X254" s="166">
        <v>6.7036907629596503E-3</v>
      </c>
    </row>
    <row r="255" spans="1:24">
      <c r="A255" s="4">
        <v>12904</v>
      </c>
      <c r="B255" s="4">
        <v>13680</v>
      </c>
      <c r="C255" s="4" t="s">
        <v>1946</v>
      </c>
      <c r="D255" s="4" t="s">
        <v>1947</v>
      </c>
      <c r="E255" s="4" t="s">
        <v>1342</v>
      </c>
      <c r="F255" s="4" t="s">
        <v>1948</v>
      </c>
      <c r="G255" s="4" t="s">
        <v>1949</v>
      </c>
      <c r="H255" s="4" t="s">
        <v>356</v>
      </c>
      <c r="I255" s="4" t="s">
        <v>965</v>
      </c>
      <c r="J255" s="4" t="s">
        <v>30</v>
      </c>
      <c r="K255" s="4" t="s">
        <v>30</v>
      </c>
      <c r="L255" s="2" t="s">
        <v>362</v>
      </c>
      <c r="M255" s="2" t="s">
        <v>31</v>
      </c>
      <c r="N255" s="4" t="s">
        <v>518</v>
      </c>
      <c r="O255" s="4" t="s">
        <v>155</v>
      </c>
      <c r="P255" s="4" t="s">
        <v>34</v>
      </c>
      <c r="Q255" s="152">
        <v>2777</v>
      </c>
      <c r="R255" s="167">
        <v>1</v>
      </c>
      <c r="S255" s="169">
        <v>1670</v>
      </c>
      <c r="U255" s="152">
        <v>46.375999999999998</v>
      </c>
      <c r="V255" s="166">
        <v>1.7E-5</v>
      </c>
      <c r="W255" s="166">
        <v>6.1758653146820703E-3</v>
      </c>
      <c r="X255" s="166">
        <v>1.2643178575829899E-3</v>
      </c>
    </row>
    <row r="256" spans="1:24">
      <c r="A256" s="4">
        <v>12904</v>
      </c>
      <c r="B256" s="4">
        <v>13680</v>
      </c>
      <c r="C256" s="4" t="s">
        <v>1950</v>
      </c>
      <c r="D256" s="4" t="s">
        <v>1951</v>
      </c>
      <c r="E256" s="4" t="s">
        <v>1342</v>
      </c>
      <c r="F256" s="4" t="s">
        <v>1952</v>
      </c>
      <c r="G256" s="4" t="s">
        <v>1953</v>
      </c>
      <c r="H256" s="4" t="s">
        <v>356</v>
      </c>
      <c r="I256" s="4" t="s">
        <v>965</v>
      </c>
      <c r="J256" s="4" t="s">
        <v>30</v>
      </c>
      <c r="K256" s="4" t="s">
        <v>30</v>
      </c>
      <c r="L256" s="2" t="s">
        <v>362</v>
      </c>
      <c r="M256" s="2" t="s">
        <v>31</v>
      </c>
      <c r="N256" s="4" t="s">
        <v>497</v>
      </c>
      <c r="O256" s="4" t="s">
        <v>155</v>
      </c>
      <c r="P256" s="4" t="s">
        <v>34</v>
      </c>
      <c r="Q256" s="152">
        <v>435</v>
      </c>
      <c r="R256" s="167">
        <v>1</v>
      </c>
      <c r="S256" s="169">
        <v>25940</v>
      </c>
      <c r="U256" s="152">
        <v>112.839</v>
      </c>
      <c r="V256" s="166">
        <v>3.9999999999999998E-6</v>
      </c>
      <c r="W256" s="166">
        <v>1.50267372976785E-2</v>
      </c>
      <c r="X256" s="166">
        <v>3.0762607891557199E-3</v>
      </c>
    </row>
    <row r="257" spans="1:24">
      <c r="A257" s="4">
        <v>12904</v>
      </c>
      <c r="B257" s="4">
        <v>13680</v>
      </c>
      <c r="C257" s="4" t="s">
        <v>1217</v>
      </c>
      <c r="D257" s="4" t="s">
        <v>1954</v>
      </c>
      <c r="E257" s="4" t="s">
        <v>1342</v>
      </c>
      <c r="F257" s="4" t="s">
        <v>1955</v>
      </c>
      <c r="G257" s="4" t="s">
        <v>1956</v>
      </c>
      <c r="H257" s="4" t="s">
        <v>356</v>
      </c>
      <c r="I257" s="4" t="s">
        <v>965</v>
      </c>
      <c r="J257" s="4" t="s">
        <v>30</v>
      </c>
      <c r="K257" s="4" t="s">
        <v>30</v>
      </c>
      <c r="L257" s="2" t="s">
        <v>362</v>
      </c>
      <c r="M257" s="2" t="s">
        <v>31</v>
      </c>
      <c r="N257" s="4" t="s">
        <v>481</v>
      </c>
      <c r="O257" s="4" t="s">
        <v>155</v>
      </c>
      <c r="P257" s="4" t="s">
        <v>34</v>
      </c>
      <c r="Q257" s="152">
        <v>11744</v>
      </c>
      <c r="R257" s="167">
        <v>1</v>
      </c>
      <c r="S257" s="169">
        <v>3729</v>
      </c>
      <c r="U257" s="152">
        <v>437.93400000000003</v>
      </c>
      <c r="V257" s="166">
        <v>9.0000000000000002E-6</v>
      </c>
      <c r="W257" s="166">
        <v>5.83195133358555E-2</v>
      </c>
      <c r="X257" s="166">
        <v>1.1939120819358001E-2</v>
      </c>
    </row>
    <row r="258" spans="1:24">
      <c r="A258" s="4">
        <v>12904</v>
      </c>
      <c r="B258" s="4">
        <v>13680</v>
      </c>
      <c r="C258" s="4" t="s">
        <v>1961</v>
      </c>
      <c r="D258" s="4" t="s">
        <v>1962</v>
      </c>
      <c r="E258" s="4" t="s">
        <v>1342</v>
      </c>
      <c r="F258" s="4" t="s">
        <v>1963</v>
      </c>
      <c r="G258" s="4" t="s">
        <v>1964</v>
      </c>
      <c r="H258" s="4" t="s">
        <v>356</v>
      </c>
      <c r="I258" s="4" t="s">
        <v>965</v>
      </c>
      <c r="J258" s="4" t="s">
        <v>30</v>
      </c>
      <c r="K258" s="4" t="s">
        <v>30</v>
      </c>
      <c r="L258" s="2" t="s">
        <v>362</v>
      </c>
      <c r="M258" s="2" t="s">
        <v>31</v>
      </c>
      <c r="N258" s="4" t="s">
        <v>518</v>
      </c>
      <c r="O258" s="4" t="s">
        <v>155</v>
      </c>
      <c r="P258" s="4" t="s">
        <v>34</v>
      </c>
      <c r="Q258" s="152">
        <v>2557</v>
      </c>
      <c r="R258" s="167">
        <v>1</v>
      </c>
      <c r="S258" s="169">
        <v>1606</v>
      </c>
      <c r="U258" s="152">
        <v>41.064999999999998</v>
      </c>
      <c r="V258" s="166">
        <v>1.4E-5</v>
      </c>
      <c r="W258" s="166">
        <v>5.46867021472039E-3</v>
      </c>
      <c r="X258" s="166">
        <v>1.1195414824325899E-3</v>
      </c>
    </row>
    <row r="259" spans="1:24">
      <c r="A259" s="4">
        <v>12904</v>
      </c>
      <c r="B259" s="4">
        <v>13680</v>
      </c>
      <c r="C259" s="4" t="s">
        <v>1969</v>
      </c>
      <c r="D259" s="4" t="s">
        <v>1970</v>
      </c>
      <c r="E259" s="4" t="s">
        <v>1342</v>
      </c>
      <c r="F259" s="4" t="s">
        <v>1971</v>
      </c>
      <c r="G259" s="4" t="s">
        <v>1972</v>
      </c>
      <c r="H259" s="4" t="s">
        <v>356</v>
      </c>
      <c r="I259" s="4" t="s">
        <v>965</v>
      </c>
      <c r="J259" s="4" t="s">
        <v>30</v>
      </c>
      <c r="K259" s="4" t="s">
        <v>30</v>
      </c>
      <c r="L259" s="2" t="s">
        <v>362</v>
      </c>
      <c r="M259" s="2" t="s">
        <v>31</v>
      </c>
      <c r="N259" s="4" t="s">
        <v>496</v>
      </c>
      <c r="O259" s="4" t="s">
        <v>155</v>
      </c>
      <c r="P259" s="4" t="s">
        <v>34</v>
      </c>
      <c r="Q259" s="152">
        <v>9299</v>
      </c>
      <c r="R259" s="167">
        <v>1</v>
      </c>
      <c r="S259" s="169">
        <v>551.79999999999995</v>
      </c>
      <c r="U259" s="152">
        <v>51.311999999999998</v>
      </c>
      <c r="V259" s="166">
        <v>3.1999999999999999E-5</v>
      </c>
      <c r="W259" s="166">
        <v>6.8331886232905299E-3</v>
      </c>
      <c r="X259" s="166">
        <v>1.39888452232282E-3</v>
      </c>
    </row>
    <row r="260" spans="1:24">
      <c r="A260" s="4">
        <v>12904</v>
      </c>
      <c r="B260" s="4">
        <v>13680</v>
      </c>
      <c r="C260" s="4" t="s">
        <v>1977</v>
      </c>
      <c r="D260" s="4" t="s">
        <v>1978</v>
      </c>
      <c r="E260" s="4" t="s">
        <v>1342</v>
      </c>
      <c r="F260" s="4" t="s">
        <v>1979</v>
      </c>
      <c r="G260" s="4" t="s">
        <v>1980</v>
      </c>
      <c r="H260" s="4" t="s">
        <v>356</v>
      </c>
      <c r="I260" s="4" t="s">
        <v>965</v>
      </c>
      <c r="J260" s="4" t="s">
        <v>30</v>
      </c>
      <c r="K260" s="4" t="s">
        <v>30</v>
      </c>
      <c r="L260" s="2" t="s">
        <v>362</v>
      </c>
      <c r="M260" s="2" t="s">
        <v>31</v>
      </c>
      <c r="N260" s="4" t="s">
        <v>492</v>
      </c>
      <c r="O260" s="4" t="s">
        <v>155</v>
      </c>
      <c r="P260" s="4" t="s">
        <v>34</v>
      </c>
      <c r="Q260" s="152">
        <v>1934</v>
      </c>
      <c r="R260" s="167">
        <v>1</v>
      </c>
      <c r="S260" s="169">
        <v>5930</v>
      </c>
      <c r="U260" s="152">
        <v>114.68600000000001</v>
      </c>
      <c r="V260" s="166">
        <v>1.7E-5</v>
      </c>
      <c r="W260" s="166">
        <v>1.52727283923911E-2</v>
      </c>
      <c r="X260" s="166">
        <v>3.1266198753735E-3</v>
      </c>
    </row>
    <row r="261" spans="1:24">
      <c r="A261" s="4">
        <v>12904</v>
      </c>
      <c r="B261" s="4">
        <v>13680</v>
      </c>
      <c r="C261" s="4" t="s">
        <v>1981</v>
      </c>
      <c r="D261" s="4" t="s">
        <v>1982</v>
      </c>
      <c r="E261" s="4" t="s">
        <v>1342</v>
      </c>
      <c r="F261" s="4" t="s">
        <v>1983</v>
      </c>
      <c r="G261" s="4" t="s">
        <v>1984</v>
      </c>
      <c r="H261" s="4" t="s">
        <v>356</v>
      </c>
      <c r="I261" s="4" t="s">
        <v>965</v>
      </c>
      <c r="J261" s="4" t="s">
        <v>30</v>
      </c>
      <c r="K261" s="4" t="s">
        <v>30</v>
      </c>
      <c r="L261" s="2" t="s">
        <v>362</v>
      </c>
      <c r="M261" s="2" t="s">
        <v>31</v>
      </c>
      <c r="N261" s="4" t="s">
        <v>496</v>
      </c>
      <c r="O261" s="4" t="s">
        <v>155</v>
      </c>
      <c r="P261" s="4" t="s">
        <v>34</v>
      </c>
      <c r="Q261" s="152">
        <v>4848</v>
      </c>
      <c r="R261" s="167">
        <v>1</v>
      </c>
      <c r="S261" s="169">
        <v>2140</v>
      </c>
      <c r="U261" s="152">
        <v>103.747</v>
      </c>
      <c r="V261" s="166">
        <v>1.4E-5</v>
      </c>
      <c r="W261" s="166">
        <v>1.38159848967973E-2</v>
      </c>
      <c r="X261" s="166">
        <v>2.8283965946587302E-3</v>
      </c>
    </row>
    <row r="262" spans="1:24">
      <c r="A262" s="4">
        <v>12904</v>
      </c>
      <c r="B262" s="4">
        <v>13680</v>
      </c>
      <c r="C262" s="4" t="s">
        <v>1985</v>
      </c>
      <c r="D262" s="4" t="s">
        <v>1986</v>
      </c>
      <c r="E262" s="4" t="s">
        <v>1342</v>
      </c>
      <c r="F262" s="4" t="s">
        <v>1987</v>
      </c>
      <c r="G262" s="4" t="s">
        <v>1988</v>
      </c>
      <c r="H262" s="4" t="s">
        <v>356</v>
      </c>
      <c r="I262" s="4" t="s">
        <v>965</v>
      </c>
      <c r="J262" s="4" t="s">
        <v>30</v>
      </c>
      <c r="K262" s="4" t="s">
        <v>334</v>
      </c>
      <c r="L262" s="2" t="s">
        <v>362</v>
      </c>
      <c r="M262" s="2" t="s">
        <v>31</v>
      </c>
      <c r="N262" s="4" t="s">
        <v>488</v>
      </c>
      <c r="O262" s="4" t="s">
        <v>155</v>
      </c>
      <c r="P262" s="4" t="s">
        <v>34</v>
      </c>
      <c r="Q262" s="152">
        <v>1200</v>
      </c>
      <c r="R262" s="167">
        <v>1</v>
      </c>
      <c r="S262" s="169">
        <v>6800</v>
      </c>
      <c r="U262" s="152">
        <v>81.599999999999994</v>
      </c>
      <c r="V262" s="166">
        <v>1.1E-5</v>
      </c>
      <c r="W262" s="166">
        <v>1.0866648618744999E-2</v>
      </c>
      <c r="X262" s="166">
        <v>2.2246109979272002E-3</v>
      </c>
    </row>
    <row r="263" spans="1:24">
      <c r="A263" s="4">
        <v>12904</v>
      </c>
      <c r="B263" s="4">
        <v>13680</v>
      </c>
      <c r="C263" s="4" t="s">
        <v>1989</v>
      </c>
      <c r="D263" s="4" t="s">
        <v>1990</v>
      </c>
      <c r="E263" s="4" t="s">
        <v>350</v>
      </c>
      <c r="F263" s="4" t="s">
        <v>1991</v>
      </c>
      <c r="G263" s="4" t="s">
        <v>1992</v>
      </c>
      <c r="H263" s="4" t="s">
        <v>356</v>
      </c>
      <c r="I263" s="4" t="s">
        <v>965</v>
      </c>
      <c r="J263" s="4" t="s">
        <v>97</v>
      </c>
      <c r="K263" s="4" t="s">
        <v>98</v>
      </c>
      <c r="L263" s="2" t="s">
        <v>362</v>
      </c>
      <c r="M263" s="2" t="s">
        <v>381</v>
      </c>
      <c r="N263" s="4" t="s">
        <v>549</v>
      </c>
      <c r="O263" s="4" t="s">
        <v>155</v>
      </c>
      <c r="P263" s="4" t="s">
        <v>102</v>
      </c>
      <c r="Q263" s="152">
        <v>219</v>
      </c>
      <c r="R263" s="167">
        <v>3.71</v>
      </c>
      <c r="S263" s="169">
        <v>18633</v>
      </c>
      <c r="U263" s="152">
        <v>151.39099999999999</v>
      </c>
      <c r="V263" s="166">
        <v>0</v>
      </c>
      <c r="W263" s="166">
        <v>2.0160730941695699E-2</v>
      </c>
      <c r="X263" s="166">
        <v>4.1272875706849796E-3</v>
      </c>
    </row>
    <row r="264" spans="1:24">
      <c r="A264" s="4">
        <v>12904</v>
      </c>
      <c r="B264" s="4">
        <v>13680</v>
      </c>
      <c r="C264" s="4" t="s">
        <v>1993</v>
      </c>
      <c r="D264" s="4" t="s">
        <v>1994</v>
      </c>
      <c r="E264" s="4" t="s">
        <v>350</v>
      </c>
      <c r="F264" s="4" t="s">
        <v>1995</v>
      </c>
      <c r="G264" s="4" t="s">
        <v>1996</v>
      </c>
      <c r="H264" s="4" t="s">
        <v>356</v>
      </c>
      <c r="I264" s="4" t="s">
        <v>965</v>
      </c>
      <c r="J264" s="4" t="s">
        <v>97</v>
      </c>
      <c r="K264" s="4" t="s">
        <v>98</v>
      </c>
      <c r="L264" s="2" t="s">
        <v>362</v>
      </c>
      <c r="M264" s="2" t="s">
        <v>381</v>
      </c>
      <c r="N264" s="4" t="s">
        <v>580</v>
      </c>
      <c r="O264" s="4" t="s">
        <v>155</v>
      </c>
      <c r="P264" s="4" t="s">
        <v>102</v>
      </c>
      <c r="Q264" s="152">
        <v>174</v>
      </c>
      <c r="R264" s="167">
        <v>3.71</v>
      </c>
      <c r="S264" s="169">
        <v>23300</v>
      </c>
      <c r="U264" s="152">
        <v>150.411</v>
      </c>
      <c r="V264" s="166">
        <v>0</v>
      </c>
      <c r="W264" s="166">
        <v>2.0030165801437599E-2</v>
      </c>
      <c r="X264" s="166">
        <v>4.1005583870005798E-3</v>
      </c>
    </row>
    <row r="265" spans="1:24">
      <c r="A265" s="4">
        <v>12904</v>
      </c>
      <c r="B265" s="4">
        <v>13680</v>
      </c>
      <c r="C265" s="4" t="s">
        <v>1997</v>
      </c>
      <c r="D265" s="4" t="s">
        <v>1998</v>
      </c>
      <c r="E265" s="4" t="s">
        <v>350</v>
      </c>
      <c r="F265" s="4" t="s">
        <v>1999</v>
      </c>
      <c r="G265" s="4" t="s">
        <v>2000</v>
      </c>
      <c r="H265" s="4" t="s">
        <v>356</v>
      </c>
      <c r="I265" s="4" t="s">
        <v>965</v>
      </c>
      <c r="J265" s="4" t="s">
        <v>97</v>
      </c>
      <c r="K265" s="4" t="s">
        <v>98</v>
      </c>
      <c r="L265" s="2" t="s">
        <v>362</v>
      </c>
      <c r="M265" s="2" t="s">
        <v>381</v>
      </c>
      <c r="N265" s="4" t="s">
        <v>2001</v>
      </c>
      <c r="O265" s="4" t="s">
        <v>155</v>
      </c>
      <c r="P265" s="4" t="s">
        <v>102</v>
      </c>
      <c r="Q265" s="152">
        <v>77</v>
      </c>
      <c r="R265" s="167">
        <v>3.71</v>
      </c>
      <c r="S265" s="169">
        <v>46026</v>
      </c>
      <c r="U265" s="152">
        <v>131.482</v>
      </c>
      <c r="V265" s="166">
        <v>0</v>
      </c>
      <c r="W265" s="166">
        <v>1.75094834148849E-2</v>
      </c>
      <c r="X265" s="166">
        <v>3.5845264477941002E-3</v>
      </c>
    </row>
    <row r="266" spans="1:24">
      <c r="A266" s="4">
        <v>12904</v>
      </c>
      <c r="B266" s="4">
        <v>13680</v>
      </c>
      <c r="C266" s="4" t="s">
        <v>2002</v>
      </c>
      <c r="D266" s="4" t="s">
        <v>2003</v>
      </c>
      <c r="E266" s="4" t="s">
        <v>350</v>
      </c>
      <c r="F266" s="4" t="s">
        <v>2004</v>
      </c>
      <c r="G266" s="4" t="s">
        <v>2005</v>
      </c>
      <c r="H266" s="4" t="s">
        <v>356</v>
      </c>
      <c r="I266" s="4" t="s">
        <v>965</v>
      </c>
      <c r="J266" s="4" t="s">
        <v>97</v>
      </c>
      <c r="K266" s="4" t="s">
        <v>98</v>
      </c>
      <c r="L266" s="2" t="s">
        <v>362</v>
      </c>
      <c r="M266" s="2" t="s">
        <v>381</v>
      </c>
      <c r="N266" s="4" t="s">
        <v>568</v>
      </c>
      <c r="O266" s="4" t="s">
        <v>155</v>
      </c>
      <c r="P266" s="4" t="s">
        <v>102</v>
      </c>
      <c r="Q266" s="152">
        <v>100</v>
      </c>
      <c r="R266" s="167">
        <v>3.71</v>
      </c>
      <c r="S266" s="169">
        <v>19384</v>
      </c>
      <c r="U266" s="152">
        <v>71.915000000000006</v>
      </c>
      <c r="V266" s="166">
        <v>9.9999999999999995E-7</v>
      </c>
      <c r="W266" s="166">
        <v>9.5768520027395207E-3</v>
      </c>
      <c r="X266" s="166">
        <v>1.9605649394114598E-3</v>
      </c>
    </row>
    <row r="267" spans="1:24">
      <c r="A267" s="4">
        <v>12904</v>
      </c>
      <c r="B267" s="4">
        <v>13680</v>
      </c>
      <c r="C267" s="4" t="s">
        <v>2010</v>
      </c>
      <c r="D267" s="4" t="s">
        <v>2011</v>
      </c>
      <c r="E267" s="4" t="s">
        <v>350</v>
      </c>
      <c r="F267" s="4" t="s">
        <v>2010</v>
      </c>
      <c r="G267" s="4" t="s">
        <v>2012</v>
      </c>
      <c r="H267" s="4" t="s">
        <v>356</v>
      </c>
      <c r="I267" s="4" t="s">
        <v>965</v>
      </c>
      <c r="J267" s="4" t="s">
        <v>97</v>
      </c>
      <c r="K267" s="4" t="s">
        <v>98</v>
      </c>
      <c r="L267" s="2" t="s">
        <v>362</v>
      </c>
      <c r="M267" s="2" t="s">
        <v>1528</v>
      </c>
      <c r="N267" s="4" t="s">
        <v>564</v>
      </c>
      <c r="O267" s="4" t="s">
        <v>155</v>
      </c>
      <c r="P267" s="4" t="s">
        <v>102</v>
      </c>
      <c r="Q267" s="152">
        <v>83</v>
      </c>
      <c r="R267" s="167">
        <v>3.71</v>
      </c>
      <c r="S267" s="169">
        <v>27802</v>
      </c>
      <c r="T267" s="151">
        <v>1.7000000000000001E-2</v>
      </c>
      <c r="U267" s="152">
        <v>85.673000000000002</v>
      </c>
      <c r="V267" s="166">
        <v>0</v>
      </c>
      <c r="W267" s="166">
        <v>1.1409084631072999E-2</v>
      </c>
      <c r="X267" s="166">
        <v>2.3356580337736601E-3</v>
      </c>
    </row>
    <row r="268" spans="1:24">
      <c r="A268" s="4">
        <v>12904</v>
      </c>
      <c r="B268" s="4">
        <v>13680</v>
      </c>
      <c r="C268" s="4" t="s">
        <v>2013</v>
      </c>
      <c r="D268" s="4" t="s">
        <v>2014</v>
      </c>
      <c r="E268" s="4" t="s">
        <v>350</v>
      </c>
      <c r="F268" s="4" t="s">
        <v>2015</v>
      </c>
      <c r="G268" s="4" t="s">
        <v>2016</v>
      </c>
      <c r="H268" s="4" t="s">
        <v>356</v>
      </c>
      <c r="I268" s="4" t="s">
        <v>965</v>
      </c>
      <c r="J268" s="4" t="s">
        <v>97</v>
      </c>
      <c r="K268" s="4" t="s">
        <v>98</v>
      </c>
      <c r="L268" s="2" t="s">
        <v>362</v>
      </c>
      <c r="M268" s="2" t="s">
        <v>379</v>
      </c>
      <c r="N268" s="4" t="s">
        <v>2017</v>
      </c>
      <c r="O268" s="4" t="s">
        <v>155</v>
      </c>
      <c r="P268" s="4" t="s">
        <v>102</v>
      </c>
      <c r="Q268" s="152">
        <v>42</v>
      </c>
      <c r="R268" s="167">
        <v>3.71</v>
      </c>
      <c r="S268" s="169">
        <v>41733</v>
      </c>
      <c r="U268" s="152">
        <v>65.028000000000006</v>
      </c>
      <c r="V268" s="166">
        <v>0</v>
      </c>
      <c r="W268" s="166">
        <v>8.6598081482014994E-3</v>
      </c>
      <c r="X268" s="166">
        <v>1.77282850695999E-3</v>
      </c>
    </row>
    <row r="269" spans="1:24">
      <c r="A269" s="4">
        <v>12904</v>
      </c>
      <c r="B269" s="4">
        <v>13680</v>
      </c>
      <c r="C269" s="4" t="s">
        <v>2018</v>
      </c>
      <c r="D269" s="4" t="s">
        <v>2019</v>
      </c>
      <c r="E269" s="4" t="s">
        <v>350</v>
      </c>
      <c r="F269" s="4" t="s">
        <v>2018</v>
      </c>
      <c r="G269" s="4" t="s">
        <v>2020</v>
      </c>
      <c r="H269" s="4" t="s">
        <v>356</v>
      </c>
      <c r="I269" s="4" t="s">
        <v>965</v>
      </c>
      <c r="J269" s="4" t="s">
        <v>97</v>
      </c>
      <c r="K269" s="4" t="s">
        <v>98</v>
      </c>
      <c r="L269" s="2" t="s">
        <v>362</v>
      </c>
      <c r="M269" s="2" t="s">
        <v>381</v>
      </c>
      <c r="N269" s="4" t="s">
        <v>580</v>
      </c>
      <c r="O269" s="4" t="s">
        <v>155</v>
      </c>
      <c r="P269" s="4" t="s">
        <v>102</v>
      </c>
      <c r="Q269" s="152">
        <v>381</v>
      </c>
      <c r="R269" s="167">
        <v>3.71</v>
      </c>
      <c r="S269" s="169">
        <v>3343</v>
      </c>
      <c r="U269" s="152">
        <v>47.253999999999998</v>
      </c>
      <c r="V269" s="166">
        <v>9.9999999999999995E-7</v>
      </c>
      <c r="W269" s="166">
        <v>6.2927536057600496E-3</v>
      </c>
      <c r="X269" s="166">
        <v>1.28824712841746E-3</v>
      </c>
    </row>
    <row r="270" spans="1:24">
      <c r="A270" s="4">
        <v>12904</v>
      </c>
      <c r="B270" s="4">
        <v>13680</v>
      </c>
      <c r="C270" s="4" t="s">
        <v>2021</v>
      </c>
      <c r="D270" s="4" t="s">
        <v>2022</v>
      </c>
      <c r="E270" s="4" t="s">
        <v>350</v>
      </c>
      <c r="F270" s="4" t="s">
        <v>2023</v>
      </c>
      <c r="G270" s="4" t="s">
        <v>2024</v>
      </c>
      <c r="H270" s="4" t="s">
        <v>356</v>
      </c>
      <c r="I270" s="4" t="s">
        <v>965</v>
      </c>
      <c r="J270" s="4" t="s">
        <v>97</v>
      </c>
      <c r="K270" s="4" t="s">
        <v>98</v>
      </c>
      <c r="L270" s="2" t="s">
        <v>362</v>
      </c>
      <c r="M270" s="2" t="s">
        <v>381</v>
      </c>
      <c r="N270" s="4" t="s">
        <v>583</v>
      </c>
      <c r="O270" s="4" t="s">
        <v>155</v>
      </c>
      <c r="P270" s="4" t="s">
        <v>102</v>
      </c>
      <c r="Q270" s="152">
        <v>233</v>
      </c>
      <c r="R270" s="167">
        <v>3.71</v>
      </c>
      <c r="S270" s="169">
        <v>16719</v>
      </c>
      <c r="U270" s="152">
        <v>144.524</v>
      </c>
      <c r="V270" s="166">
        <v>0</v>
      </c>
      <c r="W270" s="166">
        <v>1.9246226553691601E-2</v>
      </c>
      <c r="X270" s="166">
        <v>3.9400710156472897E-3</v>
      </c>
    </row>
    <row r="271" spans="1:24">
      <c r="A271" s="4">
        <v>12904</v>
      </c>
      <c r="B271" s="4">
        <v>13680</v>
      </c>
      <c r="C271" s="4" t="s">
        <v>2025</v>
      </c>
      <c r="D271" s="4" t="s">
        <v>2026</v>
      </c>
      <c r="E271" s="4" t="s">
        <v>350</v>
      </c>
      <c r="F271" s="4" t="s">
        <v>2027</v>
      </c>
      <c r="G271" s="4" t="s">
        <v>2028</v>
      </c>
      <c r="H271" s="4" t="s">
        <v>356</v>
      </c>
      <c r="I271" s="4" t="s">
        <v>965</v>
      </c>
      <c r="J271" s="4" t="s">
        <v>97</v>
      </c>
      <c r="K271" s="4" t="s">
        <v>319</v>
      </c>
      <c r="L271" s="2" t="s">
        <v>362</v>
      </c>
      <c r="M271" s="2" t="s">
        <v>401</v>
      </c>
      <c r="N271" s="4" t="s">
        <v>2029</v>
      </c>
      <c r="O271" s="4" t="s">
        <v>155</v>
      </c>
      <c r="P271" s="4" t="s">
        <v>1209</v>
      </c>
      <c r="Q271" s="152">
        <v>44</v>
      </c>
      <c r="R271" s="167">
        <v>4.1524000000000001</v>
      </c>
      <c r="S271" s="169">
        <v>68850</v>
      </c>
      <c r="U271" s="152">
        <v>125.79300000000001</v>
      </c>
      <c r="V271" s="166">
        <v>0</v>
      </c>
      <c r="W271" s="166">
        <v>1.6751791877711999E-2</v>
      </c>
      <c r="X271" s="166">
        <v>3.4294124852681102E-3</v>
      </c>
    </row>
    <row r="272" spans="1:24">
      <c r="A272" s="4">
        <v>12904</v>
      </c>
      <c r="B272" s="4">
        <v>13680</v>
      </c>
      <c r="C272" s="4" t="s">
        <v>2030</v>
      </c>
      <c r="D272" s="4" t="s">
        <v>2031</v>
      </c>
      <c r="E272" s="4" t="s">
        <v>350</v>
      </c>
      <c r="F272" s="4" t="s">
        <v>2032</v>
      </c>
      <c r="G272" s="4" t="s">
        <v>2033</v>
      </c>
      <c r="H272" s="4" t="s">
        <v>356</v>
      </c>
      <c r="I272" s="4" t="s">
        <v>965</v>
      </c>
      <c r="J272" s="4" t="s">
        <v>97</v>
      </c>
      <c r="K272" s="4" t="s">
        <v>98</v>
      </c>
      <c r="L272" s="2" t="s">
        <v>362</v>
      </c>
      <c r="M272" s="2" t="s">
        <v>379</v>
      </c>
      <c r="N272" s="4" t="s">
        <v>2001</v>
      </c>
      <c r="O272" s="4" t="s">
        <v>155</v>
      </c>
      <c r="P272" s="4" t="s">
        <v>102</v>
      </c>
      <c r="Q272" s="152">
        <v>42</v>
      </c>
      <c r="R272" s="167">
        <v>3.71</v>
      </c>
      <c r="S272" s="169">
        <v>49380</v>
      </c>
      <c r="U272" s="152">
        <v>76.944000000000003</v>
      </c>
      <c r="V272" s="166">
        <v>0</v>
      </c>
      <c r="W272" s="166">
        <v>1.0246599246595999E-2</v>
      </c>
      <c r="X272" s="166">
        <v>2.0976750215341501E-3</v>
      </c>
    </row>
    <row r="273" spans="1:24">
      <c r="A273" s="4">
        <v>12904</v>
      </c>
      <c r="B273" s="4">
        <v>13680</v>
      </c>
      <c r="C273" s="4" t="s">
        <v>2034</v>
      </c>
      <c r="D273" s="4" t="s">
        <v>2035</v>
      </c>
      <c r="E273" s="4" t="s">
        <v>350</v>
      </c>
      <c r="F273" s="4" t="s">
        <v>2036</v>
      </c>
      <c r="G273" s="4" t="s">
        <v>2037</v>
      </c>
      <c r="H273" s="4" t="s">
        <v>356</v>
      </c>
      <c r="I273" s="4" t="s">
        <v>965</v>
      </c>
      <c r="J273" s="4" t="s">
        <v>97</v>
      </c>
      <c r="K273" s="4" t="s">
        <v>98</v>
      </c>
      <c r="L273" s="2" t="s">
        <v>362</v>
      </c>
      <c r="M273" s="2" t="s">
        <v>379</v>
      </c>
      <c r="N273" s="4" t="s">
        <v>568</v>
      </c>
      <c r="O273" s="4" t="s">
        <v>155</v>
      </c>
      <c r="P273" s="4" t="s">
        <v>102</v>
      </c>
      <c r="Q273" s="152">
        <v>120</v>
      </c>
      <c r="R273" s="167">
        <v>3.71</v>
      </c>
      <c r="S273" s="169">
        <v>11356</v>
      </c>
      <c r="T273" s="151">
        <v>7.0000000000000007E-2</v>
      </c>
      <c r="U273" s="152">
        <v>50.814999999999998</v>
      </c>
      <c r="V273" s="166">
        <v>0</v>
      </c>
      <c r="W273" s="166">
        <v>6.7669979489098798E-3</v>
      </c>
      <c r="X273" s="166">
        <v>1.38533402415604E-3</v>
      </c>
    </row>
    <row r="274" spans="1:24">
      <c r="A274" s="4">
        <v>12904</v>
      </c>
      <c r="B274" s="4">
        <v>13680</v>
      </c>
      <c r="C274" s="4" t="s">
        <v>2038</v>
      </c>
      <c r="D274" s="4" t="s">
        <v>2039</v>
      </c>
      <c r="E274" s="4" t="s">
        <v>350</v>
      </c>
      <c r="F274" s="4" t="s">
        <v>2040</v>
      </c>
      <c r="G274" s="4" t="s">
        <v>2041</v>
      </c>
      <c r="H274" s="4" t="s">
        <v>356</v>
      </c>
      <c r="I274" s="4" t="s">
        <v>965</v>
      </c>
      <c r="J274" s="4" t="s">
        <v>97</v>
      </c>
      <c r="K274" s="4" t="s">
        <v>98</v>
      </c>
      <c r="L274" s="2" t="s">
        <v>362</v>
      </c>
      <c r="M274" s="2" t="s">
        <v>381</v>
      </c>
      <c r="N274" s="4" t="s">
        <v>578</v>
      </c>
      <c r="O274" s="4" t="s">
        <v>155</v>
      </c>
      <c r="P274" s="4" t="s">
        <v>102</v>
      </c>
      <c r="Q274" s="152">
        <v>101</v>
      </c>
      <c r="R274" s="167">
        <v>3.71</v>
      </c>
      <c r="S274" s="169">
        <v>43030</v>
      </c>
      <c r="U274" s="152">
        <v>161.238</v>
      </c>
      <c r="V274" s="166">
        <v>0</v>
      </c>
      <c r="W274" s="166">
        <v>2.1471980039963898E-2</v>
      </c>
      <c r="X274" s="166">
        <v>4.3957253629954502E-3</v>
      </c>
    </row>
    <row r="275" spans="1:24">
      <c r="A275" s="4">
        <v>12904</v>
      </c>
      <c r="B275" s="4">
        <v>13680</v>
      </c>
      <c r="C275" s="4" t="s">
        <v>2042</v>
      </c>
      <c r="D275" s="4" t="s">
        <v>2043</v>
      </c>
      <c r="E275" s="4" t="s">
        <v>350</v>
      </c>
      <c r="F275" s="4" t="s">
        <v>2042</v>
      </c>
      <c r="G275" s="4" t="s">
        <v>2044</v>
      </c>
      <c r="H275" s="4" t="s">
        <v>356</v>
      </c>
      <c r="I275" s="4" t="s">
        <v>965</v>
      </c>
      <c r="J275" s="4" t="s">
        <v>97</v>
      </c>
      <c r="K275" s="4" t="s">
        <v>98</v>
      </c>
      <c r="L275" s="2" t="s">
        <v>362</v>
      </c>
      <c r="M275" s="2" t="s">
        <v>381</v>
      </c>
      <c r="N275" s="4" t="s">
        <v>568</v>
      </c>
      <c r="O275" s="4" t="s">
        <v>155</v>
      </c>
      <c r="P275" s="4" t="s">
        <v>102</v>
      </c>
      <c r="Q275" s="152">
        <v>409</v>
      </c>
      <c r="R275" s="167">
        <v>3.71</v>
      </c>
      <c r="S275" s="169">
        <v>6683</v>
      </c>
      <c r="U275" s="152">
        <v>101.407</v>
      </c>
      <c r="V275" s="166">
        <v>9.9999999999999995E-7</v>
      </c>
      <c r="W275" s="166">
        <v>1.3504364264925701E-2</v>
      </c>
      <c r="X275" s="166">
        <v>2.7646018858055602E-3</v>
      </c>
    </row>
    <row r="276" spans="1:24">
      <c r="A276" s="4">
        <v>12904</v>
      </c>
      <c r="B276" s="4">
        <v>13680</v>
      </c>
      <c r="C276" s="4" t="s">
        <v>2045</v>
      </c>
      <c r="D276" s="4" t="s">
        <v>2046</v>
      </c>
      <c r="E276" s="4" t="s">
        <v>350</v>
      </c>
      <c r="F276" s="4" t="s">
        <v>2047</v>
      </c>
      <c r="G276" s="4" t="s">
        <v>2048</v>
      </c>
      <c r="H276" s="4" t="s">
        <v>356</v>
      </c>
      <c r="I276" s="4" t="s">
        <v>965</v>
      </c>
      <c r="J276" s="4" t="s">
        <v>97</v>
      </c>
      <c r="K276" s="4" t="s">
        <v>98</v>
      </c>
      <c r="L276" s="2" t="s">
        <v>362</v>
      </c>
      <c r="M276" s="2" t="s">
        <v>381</v>
      </c>
      <c r="N276" s="4" t="s">
        <v>583</v>
      </c>
      <c r="O276" s="4" t="s">
        <v>155</v>
      </c>
      <c r="P276" s="4" t="s">
        <v>102</v>
      </c>
      <c r="Q276" s="152">
        <v>24</v>
      </c>
      <c r="R276" s="167">
        <v>3.71</v>
      </c>
      <c r="S276" s="169">
        <v>70927</v>
      </c>
      <c r="U276" s="152">
        <v>63.152999999999999</v>
      </c>
      <c r="V276" s="166">
        <v>0</v>
      </c>
      <c r="W276" s="166">
        <v>8.4101202888770803E-3</v>
      </c>
      <c r="X276" s="166">
        <v>1.7217126222571601E-3</v>
      </c>
    </row>
    <row r="277" spans="1:24">
      <c r="A277" s="4">
        <v>12904</v>
      </c>
      <c r="B277" s="4">
        <v>13680</v>
      </c>
      <c r="C277" s="4" t="s">
        <v>2049</v>
      </c>
      <c r="D277" s="4" t="s">
        <v>2050</v>
      </c>
      <c r="E277" s="4" t="s">
        <v>350</v>
      </c>
      <c r="F277" s="4" t="s">
        <v>2049</v>
      </c>
      <c r="G277" s="4" t="s">
        <v>2051</v>
      </c>
      <c r="H277" s="4" t="s">
        <v>356</v>
      </c>
      <c r="I277" s="4" t="s">
        <v>965</v>
      </c>
      <c r="J277" s="4" t="s">
        <v>97</v>
      </c>
      <c r="K277" s="4" t="s">
        <v>98</v>
      </c>
      <c r="L277" s="2" t="s">
        <v>362</v>
      </c>
      <c r="M277" s="2" t="s">
        <v>379</v>
      </c>
      <c r="N277" s="4" t="s">
        <v>549</v>
      </c>
      <c r="O277" s="4" t="s">
        <v>155</v>
      </c>
      <c r="P277" s="4" t="s">
        <v>102</v>
      </c>
      <c r="Q277" s="152">
        <v>255</v>
      </c>
      <c r="R277" s="167">
        <v>3.71</v>
      </c>
      <c r="S277" s="169">
        <v>8840</v>
      </c>
      <c r="T277" s="151">
        <v>9.4E-2</v>
      </c>
      <c r="U277" s="152">
        <v>83.980999999999995</v>
      </c>
      <c r="V277" s="166">
        <v>0</v>
      </c>
      <c r="W277" s="166">
        <v>1.11837068629907E-2</v>
      </c>
      <c r="X277" s="166">
        <v>2.28951889012828E-3</v>
      </c>
    </row>
    <row r="278" spans="1:24">
      <c r="A278" s="4">
        <v>12904</v>
      </c>
      <c r="B278" s="4">
        <v>13680</v>
      </c>
      <c r="C278" s="4" t="s">
        <v>2056</v>
      </c>
      <c r="D278" s="4" t="s">
        <v>2057</v>
      </c>
      <c r="E278" s="4" t="s">
        <v>350</v>
      </c>
      <c r="F278" s="4" t="s">
        <v>2058</v>
      </c>
      <c r="G278" s="4" t="s">
        <v>2059</v>
      </c>
      <c r="H278" s="4" t="s">
        <v>356</v>
      </c>
      <c r="I278" s="4" t="s">
        <v>965</v>
      </c>
      <c r="J278" s="4" t="s">
        <v>97</v>
      </c>
      <c r="K278" s="4" t="s">
        <v>279</v>
      </c>
      <c r="L278" s="2" t="s">
        <v>362</v>
      </c>
      <c r="M278" s="2" t="s">
        <v>401</v>
      </c>
      <c r="N278" s="4" t="s">
        <v>568</v>
      </c>
      <c r="O278" s="4" t="s">
        <v>155</v>
      </c>
      <c r="P278" s="4" t="s">
        <v>102</v>
      </c>
      <c r="Q278" s="152">
        <v>291</v>
      </c>
      <c r="R278" s="167">
        <v>3.71</v>
      </c>
      <c r="S278" s="169">
        <v>11907</v>
      </c>
      <c r="U278" s="152">
        <v>128.54900000000001</v>
      </c>
      <c r="V278" s="166">
        <v>0</v>
      </c>
      <c r="W278" s="166">
        <v>1.71188551629263E-2</v>
      </c>
      <c r="X278" s="166">
        <v>3.5045573666268701E-3</v>
      </c>
    </row>
    <row r="279" spans="1:24">
      <c r="A279" s="4">
        <v>12904</v>
      </c>
      <c r="B279" s="4">
        <v>13680</v>
      </c>
      <c r="C279" s="4" t="s">
        <v>2060</v>
      </c>
      <c r="D279" s="4" t="s">
        <v>2061</v>
      </c>
      <c r="E279" s="4" t="s">
        <v>350</v>
      </c>
      <c r="F279" s="4" t="s">
        <v>2062</v>
      </c>
      <c r="G279" s="4" t="s">
        <v>2063</v>
      </c>
      <c r="H279" s="4" t="s">
        <v>356</v>
      </c>
      <c r="I279" s="4" t="s">
        <v>965</v>
      </c>
      <c r="J279" s="4" t="s">
        <v>97</v>
      </c>
      <c r="K279" s="4" t="s">
        <v>98</v>
      </c>
      <c r="L279" s="2" t="s">
        <v>362</v>
      </c>
      <c r="M279" s="2" t="s">
        <v>381</v>
      </c>
      <c r="N279" s="4" t="s">
        <v>582</v>
      </c>
      <c r="O279" s="4" t="s">
        <v>155</v>
      </c>
      <c r="P279" s="4" t="s">
        <v>102</v>
      </c>
      <c r="Q279" s="152">
        <v>676</v>
      </c>
      <c r="R279" s="167">
        <v>3.71</v>
      </c>
      <c r="S279" s="169">
        <v>12144</v>
      </c>
      <c r="T279" s="151">
        <v>5.0000000000000001E-3</v>
      </c>
      <c r="U279" s="152">
        <v>304.58600000000001</v>
      </c>
      <c r="V279" s="166">
        <v>0</v>
      </c>
      <c r="W279" s="166">
        <v>4.0561568075296199E-2</v>
      </c>
      <c r="X279" s="166">
        <v>8.3037294753253704E-3</v>
      </c>
    </row>
    <row r="280" spans="1:24">
      <c r="A280" s="4">
        <v>12904</v>
      </c>
      <c r="B280" s="4">
        <v>13680</v>
      </c>
      <c r="C280" s="4" t="s">
        <v>2068</v>
      </c>
      <c r="D280" s="4" t="s">
        <v>2069</v>
      </c>
      <c r="E280" s="4" t="s">
        <v>350</v>
      </c>
      <c r="F280" s="4" t="s">
        <v>2070</v>
      </c>
      <c r="G280" s="4" t="s">
        <v>2071</v>
      </c>
      <c r="H280" s="4" t="s">
        <v>356</v>
      </c>
      <c r="I280" s="4" t="s">
        <v>965</v>
      </c>
      <c r="J280" s="4" t="s">
        <v>97</v>
      </c>
      <c r="K280" s="4" t="s">
        <v>98</v>
      </c>
      <c r="L280" s="2" t="s">
        <v>362</v>
      </c>
      <c r="M280" s="2" t="s">
        <v>379</v>
      </c>
      <c r="N280" s="4" t="s">
        <v>602</v>
      </c>
      <c r="O280" s="4" t="s">
        <v>155</v>
      </c>
      <c r="P280" s="4" t="s">
        <v>102</v>
      </c>
      <c r="Q280" s="152">
        <v>160</v>
      </c>
      <c r="R280" s="167">
        <v>3.71</v>
      </c>
      <c r="S280" s="169">
        <v>12628</v>
      </c>
      <c r="U280" s="152">
        <v>74.959999999999994</v>
      </c>
      <c r="V280" s="166">
        <v>0</v>
      </c>
      <c r="W280" s="166">
        <v>9.9823761527523397E-3</v>
      </c>
      <c r="X280" s="166">
        <v>2.0435834960699901E-3</v>
      </c>
    </row>
    <row r="281" spans="1:24">
      <c r="A281" s="4">
        <v>12904</v>
      </c>
      <c r="B281" s="4">
        <v>13680</v>
      </c>
      <c r="C281" s="4" t="s">
        <v>2072</v>
      </c>
      <c r="D281" s="4" t="s">
        <v>2073</v>
      </c>
      <c r="E281" s="4" t="s">
        <v>350</v>
      </c>
      <c r="F281" s="4" t="s">
        <v>2074</v>
      </c>
      <c r="G281" s="4" t="s">
        <v>2075</v>
      </c>
      <c r="H281" s="4" t="s">
        <v>356</v>
      </c>
      <c r="I281" s="4" t="s">
        <v>965</v>
      </c>
      <c r="J281" s="4" t="s">
        <v>97</v>
      </c>
      <c r="K281" s="4" t="s">
        <v>276</v>
      </c>
      <c r="L281" s="2" t="s">
        <v>362</v>
      </c>
      <c r="M281" s="2" t="s">
        <v>2076</v>
      </c>
      <c r="N281" s="4" t="s">
        <v>2077</v>
      </c>
      <c r="O281" s="4" t="s">
        <v>155</v>
      </c>
      <c r="P281" s="4" t="s">
        <v>1209</v>
      </c>
      <c r="Q281" s="152">
        <v>48</v>
      </c>
      <c r="R281" s="167">
        <v>4.1524000000000001</v>
      </c>
      <c r="S281" s="169">
        <v>48640</v>
      </c>
      <c r="U281" s="152">
        <v>96.947000000000003</v>
      </c>
      <c r="V281" s="166">
        <v>0</v>
      </c>
      <c r="W281" s="166">
        <v>1.2910392662815001E-2</v>
      </c>
      <c r="X281" s="166">
        <v>2.6430045281590898E-3</v>
      </c>
    </row>
    <row r="282" spans="1:24">
      <c r="A282" s="4">
        <v>12904</v>
      </c>
      <c r="B282" s="4">
        <v>13680</v>
      </c>
      <c r="C282" s="4" t="s">
        <v>2078</v>
      </c>
      <c r="D282" s="4" t="s">
        <v>2079</v>
      </c>
      <c r="E282" s="4" t="s">
        <v>350</v>
      </c>
      <c r="F282" s="4" t="s">
        <v>2080</v>
      </c>
      <c r="G282" s="4" t="s">
        <v>2081</v>
      </c>
      <c r="H282" s="4" t="s">
        <v>356</v>
      </c>
      <c r="I282" s="4" t="s">
        <v>965</v>
      </c>
      <c r="J282" s="4" t="s">
        <v>97</v>
      </c>
      <c r="K282" s="4" t="s">
        <v>98</v>
      </c>
      <c r="L282" s="2" t="s">
        <v>362</v>
      </c>
      <c r="M282" s="2" t="s">
        <v>379</v>
      </c>
      <c r="N282" s="4" t="s">
        <v>520</v>
      </c>
      <c r="O282" s="4" t="s">
        <v>155</v>
      </c>
      <c r="P282" s="4" t="s">
        <v>102</v>
      </c>
      <c r="Q282" s="152">
        <v>699</v>
      </c>
      <c r="R282" s="167">
        <v>3.71</v>
      </c>
      <c r="S282" s="169">
        <v>4195</v>
      </c>
      <c r="T282" s="151">
        <v>0.193</v>
      </c>
      <c r="U282" s="152">
        <v>109.504</v>
      </c>
      <c r="V282" s="166">
        <v>0</v>
      </c>
      <c r="W282" s="166">
        <v>1.4582615704009001E-2</v>
      </c>
      <c r="X282" s="166">
        <v>2.9853405968905599E-3</v>
      </c>
    </row>
    <row r="283" spans="1:24">
      <c r="A283" s="4">
        <v>12904</v>
      </c>
      <c r="B283" s="4">
        <v>13680</v>
      </c>
      <c r="C283" s="4" t="s">
        <v>2082</v>
      </c>
      <c r="D283" s="4" t="s">
        <v>2083</v>
      </c>
      <c r="E283" s="4" t="s">
        <v>350</v>
      </c>
      <c r="F283" s="4" t="s">
        <v>2084</v>
      </c>
      <c r="G283" s="4" t="s">
        <v>2085</v>
      </c>
      <c r="H283" s="4" t="s">
        <v>356</v>
      </c>
      <c r="I283" s="4" t="s">
        <v>965</v>
      </c>
      <c r="J283" s="4" t="s">
        <v>97</v>
      </c>
      <c r="K283" s="4" t="s">
        <v>306</v>
      </c>
      <c r="L283" s="2" t="s">
        <v>362</v>
      </c>
      <c r="M283" s="2" t="s">
        <v>379</v>
      </c>
      <c r="N283" s="4" t="s">
        <v>582</v>
      </c>
      <c r="O283" s="4" t="s">
        <v>155</v>
      </c>
      <c r="P283" s="4" t="s">
        <v>102</v>
      </c>
      <c r="Q283" s="152">
        <v>523</v>
      </c>
      <c r="R283" s="167">
        <v>3.71</v>
      </c>
      <c r="S283" s="169">
        <v>17367</v>
      </c>
      <c r="T283" s="151">
        <v>0.25900000000000001</v>
      </c>
      <c r="U283" s="152">
        <v>337.94</v>
      </c>
      <c r="V283" s="166">
        <v>0</v>
      </c>
      <c r="W283" s="166">
        <v>4.5003347812607397E-2</v>
      </c>
      <c r="X283" s="166">
        <v>9.2130468187561106E-3</v>
      </c>
    </row>
    <row r="284" spans="1:24">
      <c r="A284" s="4">
        <v>12904</v>
      </c>
      <c r="B284" s="4">
        <v>13680</v>
      </c>
      <c r="C284" s="4" t="s">
        <v>2086</v>
      </c>
      <c r="D284" s="4" t="s">
        <v>2087</v>
      </c>
      <c r="E284" s="4" t="s">
        <v>350</v>
      </c>
      <c r="F284" s="4" t="s">
        <v>2086</v>
      </c>
      <c r="G284" s="4" t="s">
        <v>2088</v>
      </c>
      <c r="H284" s="4" t="s">
        <v>356</v>
      </c>
      <c r="I284" s="4" t="s">
        <v>965</v>
      </c>
      <c r="J284" s="4" t="s">
        <v>97</v>
      </c>
      <c r="K284" s="4" t="s">
        <v>98</v>
      </c>
      <c r="L284" s="2" t="s">
        <v>362</v>
      </c>
      <c r="M284" s="2" t="s">
        <v>381</v>
      </c>
      <c r="N284" s="4" t="s">
        <v>546</v>
      </c>
      <c r="O284" s="4" t="s">
        <v>155</v>
      </c>
      <c r="P284" s="4" t="s">
        <v>102</v>
      </c>
      <c r="Q284" s="152">
        <v>130</v>
      </c>
      <c r="R284" s="167">
        <v>3.71</v>
      </c>
      <c r="S284" s="169">
        <v>26163</v>
      </c>
      <c r="U284" s="152">
        <v>126.184</v>
      </c>
      <c r="V284" s="166">
        <v>0</v>
      </c>
      <c r="W284" s="166">
        <v>1.6803906966156398E-2</v>
      </c>
      <c r="X284" s="166">
        <v>3.4400814415377901E-3</v>
      </c>
    </row>
    <row r="285" spans="1:24">
      <c r="A285" s="4">
        <v>12904</v>
      </c>
      <c r="B285" s="4">
        <v>13680</v>
      </c>
      <c r="C285" s="4" t="s">
        <v>2093</v>
      </c>
      <c r="D285" s="4" t="s">
        <v>2094</v>
      </c>
      <c r="E285" s="4" t="s">
        <v>350</v>
      </c>
      <c r="F285" s="4" t="s">
        <v>2095</v>
      </c>
      <c r="G285" s="4" t="s">
        <v>2096</v>
      </c>
      <c r="H285" s="4" t="s">
        <v>356</v>
      </c>
      <c r="I285" s="4" t="s">
        <v>965</v>
      </c>
      <c r="J285" s="4" t="s">
        <v>97</v>
      </c>
      <c r="K285" s="4" t="s">
        <v>98</v>
      </c>
      <c r="L285" s="2" t="s">
        <v>362</v>
      </c>
      <c r="M285" s="2" t="s">
        <v>379</v>
      </c>
      <c r="N285" s="4" t="s">
        <v>2001</v>
      </c>
      <c r="O285" s="4" t="s">
        <v>155</v>
      </c>
      <c r="P285" s="4" t="s">
        <v>102</v>
      </c>
      <c r="Q285" s="152">
        <v>82</v>
      </c>
      <c r="R285" s="167">
        <v>3.71</v>
      </c>
      <c r="S285" s="169">
        <v>27495</v>
      </c>
      <c r="U285" s="152">
        <v>83.644999999999996</v>
      </c>
      <c r="V285" s="166">
        <v>0</v>
      </c>
      <c r="W285" s="166">
        <v>1.11390191688282E-2</v>
      </c>
      <c r="X285" s="166">
        <v>2.2803704636543999E-3</v>
      </c>
    </row>
    <row r="286" spans="1:24">
      <c r="A286" s="4">
        <v>12904</v>
      </c>
      <c r="B286" s="4">
        <v>13680</v>
      </c>
      <c r="C286" s="4" t="s">
        <v>2097</v>
      </c>
      <c r="D286" s="4" t="s">
        <v>2098</v>
      </c>
      <c r="E286" s="4" t="s">
        <v>350</v>
      </c>
      <c r="F286" s="4" t="s">
        <v>2099</v>
      </c>
      <c r="G286" s="4" t="s">
        <v>2100</v>
      </c>
      <c r="H286" s="4" t="s">
        <v>356</v>
      </c>
      <c r="I286" s="4" t="s">
        <v>965</v>
      </c>
      <c r="J286" s="4" t="s">
        <v>97</v>
      </c>
      <c r="K286" s="4" t="s">
        <v>98</v>
      </c>
      <c r="L286" s="2" t="s">
        <v>362</v>
      </c>
      <c r="M286" s="2" t="s">
        <v>379</v>
      </c>
      <c r="N286" s="4" t="s">
        <v>583</v>
      </c>
      <c r="O286" s="4" t="s">
        <v>155</v>
      </c>
      <c r="P286" s="4" t="s">
        <v>102</v>
      </c>
      <c r="Q286" s="152">
        <v>140</v>
      </c>
      <c r="R286" s="167">
        <v>3.71</v>
      </c>
      <c r="S286" s="169">
        <v>9619</v>
      </c>
      <c r="U286" s="152">
        <v>49.960999999999999</v>
      </c>
      <c r="V286" s="166">
        <v>0</v>
      </c>
      <c r="W286" s="166">
        <v>6.6533035070208404E-3</v>
      </c>
      <c r="X286" s="166">
        <v>1.36205859539199E-3</v>
      </c>
    </row>
    <row r="287" spans="1:24">
      <c r="A287" s="4">
        <v>424</v>
      </c>
      <c r="B287" s="4">
        <v>7228</v>
      </c>
      <c r="C287" s="4" t="s">
        <v>2131</v>
      </c>
      <c r="D287" s="4" t="s">
        <v>2132</v>
      </c>
      <c r="E287" s="4" t="s">
        <v>1342</v>
      </c>
      <c r="F287" s="4" t="s">
        <v>2133</v>
      </c>
      <c r="G287" s="4" t="s">
        <v>2134</v>
      </c>
      <c r="H287" s="4" t="s">
        <v>356</v>
      </c>
      <c r="I287" s="4" t="s">
        <v>965</v>
      </c>
      <c r="J287" s="4" t="s">
        <v>30</v>
      </c>
      <c r="K287" s="4" t="s">
        <v>30</v>
      </c>
      <c r="L287" s="2" t="s">
        <v>362</v>
      </c>
      <c r="M287" s="2" t="s">
        <v>31</v>
      </c>
      <c r="N287" s="4" t="s">
        <v>497</v>
      </c>
      <c r="O287" s="4" t="s">
        <v>155</v>
      </c>
      <c r="P287" s="4" t="s">
        <v>34</v>
      </c>
      <c r="Q287" s="152">
        <v>2469</v>
      </c>
      <c r="R287" s="167">
        <v>1</v>
      </c>
      <c r="S287" s="169">
        <v>31400</v>
      </c>
      <c r="U287" s="152">
        <v>775.26599999999996</v>
      </c>
      <c r="V287" s="166">
        <v>1.2569E-2</v>
      </c>
      <c r="W287" s="166">
        <v>2.41447399676564E-3</v>
      </c>
      <c r="X287" s="166">
        <v>3.2115319061157299E-4</v>
      </c>
    </row>
    <row r="288" spans="1:24">
      <c r="A288" s="4">
        <v>424</v>
      </c>
      <c r="B288" s="4">
        <v>7228</v>
      </c>
      <c r="C288" s="4" t="s">
        <v>2131</v>
      </c>
      <c r="D288" s="4" t="s">
        <v>2132</v>
      </c>
      <c r="E288" s="4" t="s">
        <v>1342</v>
      </c>
      <c r="F288" s="4" t="s">
        <v>2135</v>
      </c>
      <c r="G288" s="4" t="s">
        <v>2136</v>
      </c>
      <c r="H288" s="4" t="s">
        <v>356</v>
      </c>
      <c r="I288" s="4" t="s">
        <v>965</v>
      </c>
      <c r="J288" s="4" t="s">
        <v>30</v>
      </c>
      <c r="K288" s="4" t="s">
        <v>30</v>
      </c>
      <c r="L288" s="2" t="s">
        <v>362</v>
      </c>
      <c r="M288" s="2" t="s">
        <v>31</v>
      </c>
      <c r="N288" s="4" t="s">
        <v>497</v>
      </c>
      <c r="O288" s="4" t="s">
        <v>155</v>
      </c>
      <c r="P288" s="4" t="s">
        <v>34</v>
      </c>
      <c r="Q288" s="152">
        <v>801</v>
      </c>
      <c r="R288" s="167">
        <v>1</v>
      </c>
      <c r="S288" s="169">
        <v>79500</v>
      </c>
      <c r="U288" s="152">
        <v>636.79499999999996</v>
      </c>
      <c r="V288" s="166">
        <v>7.5523000000000007E-2</v>
      </c>
      <c r="W288" s="166">
        <v>1.98322249237084E-3</v>
      </c>
      <c r="X288" s="166">
        <v>2.63791712799861E-4</v>
      </c>
    </row>
    <row r="289" spans="1:24">
      <c r="A289" s="4">
        <v>424</v>
      </c>
      <c r="B289" s="4">
        <v>7228</v>
      </c>
      <c r="C289" s="4" t="s">
        <v>1784</v>
      </c>
      <c r="D289" s="4" t="s">
        <v>1785</v>
      </c>
      <c r="E289" s="4" t="s">
        <v>349</v>
      </c>
      <c r="F289" s="4" t="s">
        <v>1786</v>
      </c>
      <c r="G289" s="4" t="s">
        <v>1787</v>
      </c>
      <c r="H289" s="4" t="s">
        <v>356</v>
      </c>
      <c r="I289" s="4" t="s">
        <v>965</v>
      </c>
      <c r="J289" s="4" t="s">
        <v>30</v>
      </c>
      <c r="K289" s="4" t="s">
        <v>98</v>
      </c>
      <c r="L289" s="2" t="s">
        <v>362</v>
      </c>
      <c r="M289" s="2" t="s">
        <v>31</v>
      </c>
      <c r="N289" s="4" t="s">
        <v>474</v>
      </c>
      <c r="O289" s="4" t="s">
        <v>155</v>
      </c>
      <c r="P289" s="4" t="s">
        <v>34</v>
      </c>
      <c r="Q289" s="152">
        <v>17966.39</v>
      </c>
      <c r="R289" s="167">
        <v>1</v>
      </c>
      <c r="S289" s="169">
        <v>28560</v>
      </c>
      <c r="U289" s="152">
        <v>5131.201</v>
      </c>
      <c r="V289" s="166">
        <v>3.2000000000000003E-4</v>
      </c>
      <c r="W289" s="166">
        <v>1.5980516813643601E-2</v>
      </c>
      <c r="X289" s="166">
        <v>2.1255950443858601E-3</v>
      </c>
    </row>
    <row r="290" spans="1:24">
      <c r="A290" s="4">
        <v>424</v>
      </c>
      <c r="B290" s="4">
        <v>7228</v>
      </c>
      <c r="C290" s="4" t="s">
        <v>1788</v>
      </c>
      <c r="D290" s="4" t="s">
        <v>1789</v>
      </c>
      <c r="E290" s="4" t="s">
        <v>1342</v>
      </c>
      <c r="F290" s="4" t="s">
        <v>1790</v>
      </c>
      <c r="G290" s="4" t="s">
        <v>1791</v>
      </c>
      <c r="H290" s="4" t="s">
        <v>356</v>
      </c>
      <c r="I290" s="4" t="s">
        <v>965</v>
      </c>
      <c r="J290" s="4" t="s">
        <v>30</v>
      </c>
      <c r="K290" s="4" t="s">
        <v>30</v>
      </c>
      <c r="L290" s="2" t="s">
        <v>362</v>
      </c>
      <c r="M290" s="2" t="s">
        <v>31</v>
      </c>
      <c r="N290" s="4" t="s">
        <v>489</v>
      </c>
      <c r="O290" s="4" t="s">
        <v>155</v>
      </c>
      <c r="P290" s="4" t="s">
        <v>34</v>
      </c>
      <c r="Q290" s="152">
        <v>283659</v>
      </c>
      <c r="R290" s="167">
        <v>1</v>
      </c>
      <c r="S290" s="169">
        <v>1588</v>
      </c>
      <c r="U290" s="152">
        <v>4504.5050000000001</v>
      </c>
      <c r="V290" s="166">
        <v>2.2000000000000001E-4</v>
      </c>
      <c r="W290" s="166">
        <v>1.4028746259532701E-2</v>
      </c>
      <c r="X290" s="166">
        <v>1.86598680605564E-3</v>
      </c>
    </row>
    <row r="291" spans="1:24">
      <c r="A291" s="4">
        <v>424</v>
      </c>
      <c r="B291" s="4">
        <v>7228</v>
      </c>
      <c r="C291" s="4" t="s">
        <v>1792</v>
      </c>
      <c r="D291" s="4" t="s">
        <v>1793</v>
      </c>
      <c r="E291" s="4" t="s">
        <v>1342</v>
      </c>
      <c r="F291" s="4" t="s">
        <v>1794</v>
      </c>
      <c r="G291" s="4" t="s">
        <v>1795</v>
      </c>
      <c r="H291" s="4" t="s">
        <v>356</v>
      </c>
      <c r="I291" s="4" t="s">
        <v>965</v>
      </c>
      <c r="J291" s="4" t="s">
        <v>30</v>
      </c>
      <c r="K291" s="4" t="s">
        <v>30</v>
      </c>
      <c r="L291" s="2" t="s">
        <v>362</v>
      </c>
      <c r="M291" s="2" t="s">
        <v>31</v>
      </c>
      <c r="N291" s="4" t="s">
        <v>478</v>
      </c>
      <c r="O291" s="4" t="s">
        <v>155</v>
      </c>
      <c r="P291" s="4" t="s">
        <v>34</v>
      </c>
      <c r="Q291" s="152">
        <v>16199</v>
      </c>
      <c r="R291" s="167">
        <v>1</v>
      </c>
      <c r="S291" s="169">
        <v>12010</v>
      </c>
      <c r="U291" s="152">
        <v>1945.5</v>
      </c>
      <c r="V291" s="166">
        <v>1.103E-3</v>
      </c>
      <c r="W291" s="166">
        <v>6.0590286679154601E-3</v>
      </c>
      <c r="X291" s="166">
        <v>8.0592145175913403E-4</v>
      </c>
    </row>
    <row r="292" spans="1:24">
      <c r="A292" s="4">
        <v>424</v>
      </c>
      <c r="B292" s="4">
        <v>7228</v>
      </c>
      <c r="C292" s="4" t="s">
        <v>1796</v>
      </c>
      <c r="D292" s="4" t="s">
        <v>1797</v>
      </c>
      <c r="E292" s="4" t="s">
        <v>1342</v>
      </c>
      <c r="F292" s="4" t="s">
        <v>1798</v>
      </c>
      <c r="G292" s="4" t="s">
        <v>1799</v>
      </c>
      <c r="H292" s="4" t="s">
        <v>356</v>
      </c>
      <c r="I292" s="4" t="s">
        <v>965</v>
      </c>
      <c r="J292" s="4" t="s">
        <v>30</v>
      </c>
      <c r="K292" s="4" t="s">
        <v>30</v>
      </c>
      <c r="L292" s="2" t="s">
        <v>362</v>
      </c>
      <c r="M292" s="2" t="s">
        <v>31</v>
      </c>
      <c r="N292" s="4" t="s">
        <v>496</v>
      </c>
      <c r="O292" s="4" t="s">
        <v>155</v>
      </c>
      <c r="P292" s="4" t="s">
        <v>34</v>
      </c>
      <c r="Q292" s="152">
        <v>123139</v>
      </c>
      <c r="R292" s="167">
        <v>1</v>
      </c>
      <c r="S292" s="169">
        <v>1271</v>
      </c>
      <c r="U292" s="152">
        <v>1565.097</v>
      </c>
      <c r="V292" s="166">
        <v>8.4500000000000005E-4</v>
      </c>
      <c r="W292" s="166">
        <v>4.8743079929069099E-3</v>
      </c>
      <c r="X292" s="166">
        <v>6.4833978996771695E-4</v>
      </c>
    </row>
    <row r="293" spans="1:24">
      <c r="A293" s="4">
        <v>424</v>
      </c>
      <c r="B293" s="4">
        <v>7228</v>
      </c>
      <c r="C293" s="4" t="s">
        <v>1800</v>
      </c>
      <c r="D293" s="4" t="s">
        <v>1801</v>
      </c>
      <c r="E293" s="4" t="s">
        <v>1342</v>
      </c>
      <c r="F293" s="4" t="s">
        <v>1802</v>
      </c>
      <c r="G293" s="4" t="s">
        <v>1803</v>
      </c>
      <c r="H293" s="4" t="s">
        <v>356</v>
      </c>
      <c r="I293" s="4" t="s">
        <v>965</v>
      </c>
      <c r="J293" s="4" t="s">
        <v>30</v>
      </c>
      <c r="K293" s="4" t="s">
        <v>30</v>
      </c>
      <c r="L293" s="2" t="s">
        <v>362</v>
      </c>
      <c r="M293" s="2" t="s">
        <v>31</v>
      </c>
      <c r="N293" s="4" t="s">
        <v>511</v>
      </c>
      <c r="O293" s="4" t="s">
        <v>155</v>
      </c>
      <c r="P293" s="4" t="s">
        <v>34</v>
      </c>
      <c r="Q293" s="152">
        <v>0</v>
      </c>
      <c r="R293" s="167">
        <v>1</v>
      </c>
      <c r="S293" s="169">
        <v>0</v>
      </c>
      <c r="T293" s="151">
        <v>1E-3</v>
      </c>
      <c r="U293" s="152">
        <v>1E-3</v>
      </c>
      <c r="V293" s="166">
        <v>0</v>
      </c>
      <c r="W293" s="166">
        <v>1.6194783188197802E-9</v>
      </c>
      <c r="X293" s="166">
        <v>2.15409497021691E-10</v>
      </c>
    </row>
    <row r="294" spans="1:24">
      <c r="A294" s="4">
        <v>424</v>
      </c>
      <c r="B294" s="4">
        <v>7228</v>
      </c>
      <c r="C294" s="4" t="s">
        <v>1804</v>
      </c>
      <c r="D294" s="4" t="s">
        <v>1805</v>
      </c>
      <c r="E294" s="4" t="s">
        <v>1342</v>
      </c>
      <c r="F294" s="4" t="s">
        <v>1806</v>
      </c>
      <c r="G294" s="4" t="s">
        <v>1807</v>
      </c>
      <c r="H294" s="4" t="s">
        <v>356</v>
      </c>
      <c r="I294" s="4" t="s">
        <v>965</v>
      </c>
      <c r="J294" s="4" t="s">
        <v>30</v>
      </c>
      <c r="K294" s="4" t="s">
        <v>30</v>
      </c>
      <c r="L294" s="2" t="s">
        <v>362</v>
      </c>
      <c r="M294" s="2" t="s">
        <v>31</v>
      </c>
      <c r="N294" s="4" t="s">
        <v>479</v>
      </c>
      <c r="O294" s="4" t="s">
        <v>155</v>
      </c>
      <c r="P294" s="4" t="s">
        <v>34</v>
      </c>
      <c r="Q294" s="152">
        <v>10859.67</v>
      </c>
      <c r="R294" s="167">
        <v>1</v>
      </c>
      <c r="S294" s="169">
        <v>74080</v>
      </c>
      <c r="U294" s="152">
        <v>8044.8440000000001</v>
      </c>
      <c r="V294" s="166">
        <v>2.4399999999999999E-4</v>
      </c>
      <c r="W294" s="166">
        <v>2.5054710932402701E-2</v>
      </c>
      <c r="X294" s="166">
        <v>3.3325686532845399E-3</v>
      </c>
    </row>
    <row r="295" spans="1:24">
      <c r="A295" s="4">
        <v>424</v>
      </c>
      <c r="B295" s="4">
        <v>7228</v>
      </c>
      <c r="C295" s="4" t="s">
        <v>1808</v>
      </c>
      <c r="D295" s="4" t="s">
        <v>1809</v>
      </c>
      <c r="E295" s="4" t="s">
        <v>1342</v>
      </c>
      <c r="F295" s="4" t="s">
        <v>1810</v>
      </c>
      <c r="G295" s="4" t="s">
        <v>1811</v>
      </c>
      <c r="H295" s="4" t="s">
        <v>356</v>
      </c>
      <c r="I295" s="4" t="s">
        <v>965</v>
      </c>
      <c r="J295" s="4" t="s">
        <v>30</v>
      </c>
      <c r="K295" s="4" t="s">
        <v>30</v>
      </c>
      <c r="L295" s="2" t="s">
        <v>362</v>
      </c>
      <c r="M295" s="2" t="s">
        <v>31</v>
      </c>
      <c r="N295" s="4" t="s">
        <v>484</v>
      </c>
      <c r="O295" s="4" t="s">
        <v>155</v>
      </c>
      <c r="P295" s="4" t="s">
        <v>34</v>
      </c>
      <c r="Q295" s="152">
        <v>1205</v>
      </c>
      <c r="R295" s="167">
        <v>1</v>
      </c>
      <c r="S295" s="169">
        <v>148500</v>
      </c>
      <c r="T295" s="151">
        <v>13.499000000000001</v>
      </c>
      <c r="U295" s="152">
        <v>1802.924</v>
      </c>
      <c r="V295" s="166">
        <v>3.1399999999999999E-4</v>
      </c>
      <c r="W295" s="166">
        <v>5.6149923787956304E-3</v>
      </c>
      <c r="X295" s="166">
        <v>7.4685944852812599E-4</v>
      </c>
    </row>
    <row r="296" spans="1:24">
      <c r="A296" s="4">
        <v>424</v>
      </c>
      <c r="B296" s="4">
        <v>7228</v>
      </c>
      <c r="C296" s="4" t="s">
        <v>1812</v>
      </c>
      <c r="D296" s="4" t="s">
        <v>1813</v>
      </c>
      <c r="E296" s="4" t="s">
        <v>1342</v>
      </c>
      <c r="F296" s="4" t="s">
        <v>1814</v>
      </c>
      <c r="G296" s="4" t="s">
        <v>1815</v>
      </c>
      <c r="H296" s="4" t="s">
        <v>356</v>
      </c>
      <c r="I296" s="4" t="s">
        <v>965</v>
      </c>
      <c r="J296" s="4" t="s">
        <v>30</v>
      </c>
      <c r="K296" s="4" t="s">
        <v>98</v>
      </c>
      <c r="L296" s="2" t="s">
        <v>362</v>
      </c>
      <c r="M296" s="2" t="s">
        <v>31</v>
      </c>
      <c r="N296" s="4" t="s">
        <v>474</v>
      </c>
      <c r="O296" s="4" t="s">
        <v>155</v>
      </c>
      <c r="P296" s="4" t="s">
        <v>34</v>
      </c>
      <c r="Q296" s="152">
        <v>48087.8</v>
      </c>
      <c r="R296" s="167">
        <v>1</v>
      </c>
      <c r="S296" s="169">
        <v>6254</v>
      </c>
      <c r="U296" s="152">
        <v>3007.4110000000001</v>
      </c>
      <c r="V296" s="166">
        <v>4.06E-4</v>
      </c>
      <c r="W296" s="166">
        <v>9.3662248648343008E-3</v>
      </c>
      <c r="X296" s="166">
        <v>1.2458171027546401E-3</v>
      </c>
    </row>
    <row r="297" spans="1:24">
      <c r="A297" s="4">
        <v>424</v>
      </c>
      <c r="B297" s="4">
        <v>7228</v>
      </c>
      <c r="C297" s="4" t="s">
        <v>1816</v>
      </c>
      <c r="D297" s="4" t="s">
        <v>1817</v>
      </c>
      <c r="E297" s="4" t="s">
        <v>349</v>
      </c>
      <c r="F297" s="4" t="s">
        <v>1818</v>
      </c>
      <c r="G297" s="4" t="s">
        <v>1819</v>
      </c>
      <c r="H297" s="4" t="s">
        <v>356</v>
      </c>
      <c r="I297" s="4" t="s">
        <v>965</v>
      </c>
      <c r="J297" s="4" t="s">
        <v>30</v>
      </c>
      <c r="K297" s="4" t="s">
        <v>271</v>
      </c>
      <c r="L297" s="2" t="s">
        <v>362</v>
      </c>
      <c r="M297" s="2" t="s">
        <v>31</v>
      </c>
      <c r="N297" s="4" t="s">
        <v>487</v>
      </c>
      <c r="O297" s="4" t="s">
        <v>155</v>
      </c>
      <c r="P297" s="4" t="s">
        <v>34</v>
      </c>
      <c r="Q297" s="152">
        <v>53421</v>
      </c>
      <c r="R297" s="167">
        <v>1</v>
      </c>
      <c r="S297" s="169">
        <v>4556</v>
      </c>
      <c r="U297" s="152">
        <v>2433.8609999999999</v>
      </c>
      <c r="V297" s="166">
        <v>2.9100000000000003E-4</v>
      </c>
      <c r="W297" s="166">
        <v>7.5799706381658102E-3</v>
      </c>
      <c r="X297" s="166">
        <v>1.00822446563929E-3</v>
      </c>
    </row>
    <row r="298" spans="1:24">
      <c r="A298" s="4">
        <v>424</v>
      </c>
      <c r="B298" s="4">
        <v>7228</v>
      </c>
      <c r="C298" s="4" t="s">
        <v>1820</v>
      </c>
      <c r="D298" s="4" t="s">
        <v>1821</v>
      </c>
      <c r="E298" s="4" t="s">
        <v>1342</v>
      </c>
      <c r="F298" s="4" t="s">
        <v>1822</v>
      </c>
      <c r="G298" s="4" t="s">
        <v>1823</v>
      </c>
      <c r="H298" s="4" t="s">
        <v>356</v>
      </c>
      <c r="I298" s="4" t="s">
        <v>965</v>
      </c>
      <c r="J298" s="4" t="s">
        <v>30</v>
      </c>
      <c r="K298" s="4" t="s">
        <v>30</v>
      </c>
      <c r="L298" s="2" t="s">
        <v>362</v>
      </c>
      <c r="M298" s="2" t="s">
        <v>31</v>
      </c>
      <c r="N298" s="4" t="s">
        <v>474</v>
      </c>
      <c r="O298" s="4" t="s">
        <v>155</v>
      </c>
      <c r="P298" s="4" t="s">
        <v>34</v>
      </c>
      <c r="Q298" s="152">
        <v>108382</v>
      </c>
      <c r="R298" s="167">
        <v>1</v>
      </c>
      <c r="S298" s="169">
        <v>1348</v>
      </c>
      <c r="U298" s="152">
        <v>1460.989</v>
      </c>
      <c r="V298" s="166">
        <v>1.9699999999999999E-4</v>
      </c>
      <c r="W298" s="166">
        <v>4.5500780625891898E-3</v>
      </c>
      <c r="X298" s="166">
        <v>6.0521342921469596E-4</v>
      </c>
    </row>
    <row r="299" spans="1:24">
      <c r="A299" s="4">
        <v>424</v>
      </c>
      <c r="B299" s="4">
        <v>7228</v>
      </c>
      <c r="C299" s="4" t="s">
        <v>1828</v>
      </c>
      <c r="D299" s="4" t="s">
        <v>1829</v>
      </c>
      <c r="E299" s="4" t="s">
        <v>1342</v>
      </c>
      <c r="F299" s="4" t="s">
        <v>1830</v>
      </c>
      <c r="G299" s="4" t="s">
        <v>1831</v>
      </c>
      <c r="H299" s="4" t="s">
        <v>356</v>
      </c>
      <c r="I299" s="4" t="s">
        <v>965</v>
      </c>
      <c r="J299" s="4" t="s">
        <v>30</v>
      </c>
      <c r="K299" s="4" t="s">
        <v>30</v>
      </c>
      <c r="L299" s="2" t="s">
        <v>362</v>
      </c>
      <c r="M299" s="2" t="s">
        <v>31</v>
      </c>
      <c r="N299" s="4" t="s">
        <v>480</v>
      </c>
      <c r="O299" s="4" t="s">
        <v>155</v>
      </c>
      <c r="P299" s="4" t="s">
        <v>34</v>
      </c>
      <c r="Q299" s="152">
        <v>79721</v>
      </c>
      <c r="R299" s="167">
        <v>1</v>
      </c>
      <c r="S299" s="169">
        <v>5176</v>
      </c>
      <c r="U299" s="152">
        <v>4126.3590000000004</v>
      </c>
      <c r="V299" s="166">
        <v>7.8600000000000002E-4</v>
      </c>
      <c r="W299" s="166">
        <v>1.2851055521899499E-2</v>
      </c>
      <c r="X299" s="166">
        <v>1.70934020789336E-3</v>
      </c>
    </row>
    <row r="300" spans="1:24">
      <c r="A300" s="4">
        <v>424</v>
      </c>
      <c r="B300" s="4">
        <v>7228</v>
      </c>
      <c r="C300" s="4" t="s">
        <v>1832</v>
      </c>
      <c r="D300" s="4" t="s">
        <v>1833</v>
      </c>
      <c r="E300" s="4" t="s">
        <v>1342</v>
      </c>
      <c r="F300" s="4" t="s">
        <v>1834</v>
      </c>
      <c r="G300" s="4" t="s">
        <v>1835</v>
      </c>
      <c r="H300" s="4" t="s">
        <v>356</v>
      </c>
      <c r="I300" s="4" t="s">
        <v>965</v>
      </c>
      <c r="J300" s="4" t="s">
        <v>30</v>
      </c>
      <c r="K300" s="4" t="s">
        <v>98</v>
      </c>
      <c r="L300" s="2" t="s">
        <v>362</v>
      </c>
      <c r="M300" s="2" t="s">
        <v>31</v>
      </c>
      <c r="N300" s="4" t="s">
        <v>498</v>
      </c>
      <c r="O300" s="4" t="s">
        <v>155</v>
      </c>
      <c r="P300" s="4" t="s">
        <v>34</v>
      </c>
      <c r="Q300" s="152">
        <v>92800</v>
      </c>
      <c r="R300" s="167">
        <v>1</v>
      </c>
      <c r="S300" s="169">
        <v>843.5</v>
      </c>
      <c r="U300" s="152">
        <v>782.76800000000003</v>
      </c>
      <c r="V300" s="166">
        <v>1.6789999999999999E-3</v>
      </c>
      <c r="W300" s="166">
        <v>2.4378380858959998E-3</v>
      </c>
      <c r="X300" s="166">
        <v>3.24260886855144E-4</v>
      </c>
    </row>
    <row r="301" spans="1:24">
      <c r="A301" s="4">
        <v>424</v>
      </c>
      <c r="B301" s="4">
        <v>7228</v>
      </c>
      <c r="C301" s="4" t="s">
        <v>1836</v>
      </c>
      <c r="D301" s="4" t="s">
        <v>1837</v>
      </c>
      <c r="E301" s="4" t="s">
        <v>1342</v>
      </c>
      <c r="F301" s="4" t="s">
        <v>1838</v>
      </c>
      <c r="G301" s="4" t="s">
        <v>1839</v>
      </c>
      <c r="H301" s="4" t="s">
        <v>356</v>
      </c>
      <c r="I301" s="4" t="s">
        <v>965</v>
      </c>
      <c r="J301" s="4" t="s">
        <v>30</v>
      </c>
      <c r="K301" s="4" t="s">
        <v>30</v>
      </c>
      <c r="L301" s="2" t="s">
        <v>362</v>
      </c>
      <c r="M301" s="2" t="s">
        <v>31</v>
      </c>
      <c r="N301" s="4" t="s">
        <v>473</v>
      </c>
      <c r="O301" s="4" t="s">
        <v>155</v>
      </c>
      <c r="P301" s="4" t="s">
        <v>34</v>
      </c>
      <c r="Q301" s="152">
        <v>1287364</v>
      </c>
      <c r="R301" s="167">
        <v>1</v>
      </c>
      <c r="S301" s="169">
        <v>96.1</v>
      </c>
      <c r="U301" s="152">
        <v>1237.1569999999999</v>
      </c>
      <c r="V301" s="166">
        <v>4.1199999999999999E-4</v>
      </c>
      <c r="W301" s="166">
        <v>3.8529781174199301E-3</v>
      </c>
      <c r="X301" s="166">
        <v>5.1249100939731204E-4</v>
      </c>
    </row>
    <row r="302" spans="1:24">
      <c r="A302" s="4">
        <v>424</v>
      </c>
      <c r="B302" s="4">
        <v>7228</v>
      </c>
      <c r="C302" s="4" t="s">
        <v>1840</v>
      </c>
      <c r="D302" s="4" t="s">
        <v>1841</v>
      </c>
      <c r="E302" s="4" t="s">
        <v>1342</v>
      </c>
      <c r="F302" s="4" t="s">
        <v>1842</v>
      </c>
      <c r="G302" s="4" t="s">
        <v>1843</v>
      </c>
      <c r="H302" s="4" t="s">
        <v>356</v>
      </c>
      <c r="I302" s="4" t="s">
        <v>965</v>
      </c>
      <c r="J302" s="4" t="s">
        <v>30</v>
      </c>
      <c r="K302" s="4" t="s">
        <v>30</v>
      </c>
      <c r="L302" s="2" t="s">
        <v>362</v>
      </c>
      <c r="M302" s="2" t="s">
        <v>31</v>
      </c>
      <c r="N302" s="4" t="s">
        <v>518</v>
      </c>
      <c r="O302" s="4" t="s">
        <v>155</v>
      </c>
      <c r="P302" s="4" t="s">
        <v>34</v>
      </c>
      <c r="Q302" s="152">
        <v>747628.76</v>
      </c>
      <c r="R302" s="167">
        <v>1</v>
      </c>
      <c r="S302" s="169">
        <v>428.6</v>
      </c>
      <c r="T302" s="151">
        <v>109.93</v>
      </c>
      <c r="U302" s="152">
        <v>3314.2669999999998</v>
      </c>
      <c r="V302" s="166">
        <v>2.7E-4</v>
      </c>
      <c r="W302" s="166">
        <v>1.03218919247731E-2</v>
      </c>
      <c r="X302" s="166">
        <v>1.3729319633300099E-3</v>
      </c>
    </row>
    <row r="303" spans="1:24">
      <c r="A303" s="4">
        <v>424</v>
      </c>
      <c r="B303" s="4">
        <v>7228</v>
      </c>
      <c r="C303" s="4" t="s">
        <v>1844</v>
      </c>
      <c r="D303" s="4" t="s">
        <v>1845</v>
      </c>
      <c r="E303" s="4" t="s">
        <v>1342</v>
      </c>
      <c r="F303" s="4" t="s">
        <v>1846</v>
      </c>
      <c r="G303" s="4" t="s">
        <v>1847</v>
      </c>
      <c r="H303" s="4" t="s">
        <v>356</v>
      </c>
      <c r="I303" s="4" t="s">
        <v>965</v>
      </c>
      <c r="J303" s="4" t="s">
        <v>30</v>
      </c>
      <c r="K303" s="4" t="s">
        <v>30</v>
      </c>
      <c r="L303" s="2" t="s">
        <v>362</v>
      </c>
      <c r="M303" s="2" t="s">
        <v>31</v>
      </c>
      <c r="N303" s="4" t="s">
        <v>497</v>
      </c>
      <c r="O303" s="4" t="s">
        <v>155</v>
      </c>
      <c r="P303" s="4" t="s">
        <v>34</v>
      </c>
      <c r="Q303" s="152">
        <v>7599.88</v>
      </c>
      <c r="R303" s="167">
        <v>1</v>
      </c>
      <c r="S303" s="169">
        <v>41490</v>
      </c>
      <c r="U303" s="152">
        <v>3153.19</v>
      </c>
      <c r="V303" s="166">
        <v>3.1100000000000002E-4</v>
      </c>
      <c r="W303" s="166">
        <v>9.8202368912475597E-3</v>
      </c>
      <c r="X303" s="166">
        <v>1.30620599534738E-3</v>
      </c>
    </row>
    <row r="304" spans="1:24">
      <c r="A304" s="4">
        <v>424</v>
      </c>
      <c r="B304" s="4">
        <v>7228</v>
      </c>
      <c r="C304" s="4" t="s">
        <v>1856</v>
      </c>
      <c r="D304" s="4" t="s">
        <v>1857</v>
      </c>
      <c r="E304" s="4" t="s">
        <v>1342</v>
      </c>
      <c r="F304" s="4" t="s">
        <v>1858</v>
      </c>
      <c r="G304" s="4" t="s">
        <v>1859</v>
      </c>
      <c r="H304" s="4" t="s">
        <v>356</v>
      </c>
      <c r="I304" s="4" t="s">
        <v>965</v>
      </c>
      <c r="J304" s="4" t="s">
        <v>30</v>
      </c>
      <c r="K304" s="4" t="s">
        <v>30</v>
      </c>
      <c r="L304" s="2" t="s">
        <v>362</v>
      </c>
      <c r="M304" s="2" t="s">
        <v>31</v>
      </c>
      <c r="N304" s="4" t="s">
        <v>481</v>
      </c>
      <c r="O304" s="4" t="s">
        <v>155</v>
      </c>
      <c r="P304" s="4" t="s">
        <v>34</v>
      </c>
      <c r="Q304" s="152">
        <v>316632</v>
      </c>
      <c r="R304" s="167">
        <v>1</v>
      </c>
      <c r="S304" s="169">
        <v>2085</v>
      </c>
      <c r="U304" s="152">
        <v>6601.777</v>
      </c>
      <c r="V304" s="166">
        <v>2.5599999999999999E-4</v>
      </c>
      <c r="W304" s="166">
        <v>2.05604520020745E-2</v>
      </c>
      <c r="X304" s="166">
        <v>2.7347798194255102E-3</v>
      </c>
    </row>
    <row r="305" spans="1:24">
      <c r="A305" s="4">
        <v>424</v>
      </c>
      <c r="B305" s="4">
        <v>7228</v>
      </c>
      <c r="C305" s="4" t="s">
        <v>1860</v>
      </c>
      <c r="D305" s="4" t="s">
        <v>1861</v>
      </c>
      <c r="E305" s="4" t="s">
        <v>1342</v>
      </c>
      <c r="F305" s="4" t="s">
        <v>1862</v>
      </c>
      <c r="G305" s="4" t="s">
        <v>1863</v>
      </c>
      <c r="H305" s="4" t="s">
        <v>356</v>
      </c>
      <c r="I305" s="4" t="s">
        <v>965</v>
      </c>
      <c r="J305" s="4" t="s">
        <v>30</v>
      </c>
      <c r="K305" s="4" t="s">
        <v>30</v>
      </c>
      <c r="L305" s="2" t="s">
        <v>362</v>
      </c>
      <c r="M305" s="2" t="s">
        <v>31</v>
      </c>
      <c r="N305" s="4" t="s">
        <v>470</v>
      </c>
      <c r="O305" s="4" t="s">
        <v>155</v>
      </c>
      <c r="P305" s="4" t="s">
        <v>34</v>
      </c>
      <c r="Q305" s="152">
        <v>33839</v>
      </c>
      <c r="R305" s="167">
        <v>1</v>
      </c>
      <c r="S305" s="169">
        <v>16850</v>
      </c>
      <c r="U305" s="152">
        <v>5701.8720000000003</v>
      </c>
      <c r="V305" s="166">
        <v>1.304E-3</v>
      </c>
      <c r="W305" s="166">
        <v>1.77578024441277E-2</v>
      </c>
      <c r="X305" s="166">
        <v>2.36199475364868E-3</v>
      </c>
    </row>
    <row r="306" spans="1:24">
      <c r="A306" s="4">
        <v>424</v>
      </c>
      <c r="B306" s="4">
        <v>7228</v>
      </c>
      <c r="C306" s="4" t="s">
        <v>1864</v>
      </c>
      <c r="D306" s="4" t="s">
        <v>1865</v>
      </c>
      <c r="E306" s="4" t="s">
        <v>1342</v>
      </c>
      <c r="F306" s="4" t="s">
        <v>1866</v>
      </c>
      <c r="G306" s="4" t="s">
        <v>1867</v>
      </c>
      <c r="H306" s="4" t="s">
        <v>356</v>
      </c>
      <c r="I306" s="4" t="s">
        <v>965</v>
      </c>
      <c r="J306" s="4" t="s">
        <v>30</v>
      </c>
      <c r="K306" s="4" t="s">
        <v>30</v>
      </c>
      <c r="L306" s="2" t="s">
        <v>362</v>
      </c>
      <c r="M306" s="2" t="s">
        <v>31</v>
      </c>
      <c r="N306" s="4" t="s">
        <v>478</v>
      </c>
      <c r="O306" s="4" t="s">
        <v>155</v>
      </c>
      <c r="P306" s="4" t="s">
        <v>34</v>
      </c>
      <c r="Q306" s="152">
        <v>113784</v>
      </c>
      <c r="R306" s="167">
        <v>1</v>
      </c>
      <c r="S306" s="169">
        <v>4200</v>
      </c>
      <c r="U306" s="152">
        <v>4778.9279999999999</v>
      </c>
      <c r="V306" s="166">
        <v>4.5300000000000001E-4</v>
      </c>
      <c r="W306" s="166">
        <v>1.48834043907707E-2</v>
      </c>
      <c r="X306" s="166">
        <v>1.9796663015055299E-3</v>
      </c>
    </row>
    <row r="307" spans="1:24">
      <c r="A307" s="4">
        <v>424</v>
      </c>
      <c r="B307" s="4">
        <v>7228</v>
      </c>
      <c r="C307" s="4" t="s">
        <v>1868</v>
      </c>
      <c r="D307" s="4" t="s">
        <v>1869</v>
      </c>
      <c r="E307" s="4" t="s">
        <v>1342</v>
      </c>
      <c r="F307" s="4" t="s">
        <v>1870</v>
      </c>
      <c r="G307" s="4" t="s">
        <v>1871</v>
      </c>
      <c r="H307" s="4" t="s">
        <v>356</v>
      </c>
      <c r="I307" s="4" t="s">
        <v>965</v>
      </c>
      <c r="J307" s="4" t="s">
        <v>30</v>
      </c>
      <c r="K307" s="4" t="s">
        <v>30</v>
      </c>
      <c r="L307" s="2" t="s">
        <v>362</v>
      </c>
      <c r="M307" s="2" t="s">
        <v>31</v>
      </c>
      <c r="N307" s="4" t="s">
        <v>484</v>
      </c>
      <c r="O307" s="4" t="s">
        <v>155</v>
      </c>
      <c r="P307" s="4" t="s">
        <v>34</v>
      </c>
      <c r="Q307" s="152">
        <v>1785</v>
      </c>
      <c r="R307" s="167">
        <v>1</v>
      </c>
      <c r="S307" s="169">
        <v>81100</v>
      </c>
      <c r="U307" s="152">
        <v>1447.635</v>
      </c>
      <c r="V307" s="166">
        <v>2.3599999999999999E-4</v>
      </c>
      <c r="W307" s="166">
        <v>4.5084874924320503E-3</v>
      </c>
      <c r="X307" s="166">
        <v>5.99681398501914E-4</v>
      </c>
    </row>
    <row r="308" spans="1:24">
      <c r="A308" s="4">
        <v>424</v>
      </c>
      <c r="B308" s="4">
        <v>7228</v>
      </c>
      <c r="C308" s="4" t="s">
        <v>1872</v>
      </c>
      <c r="D308" s="4" t="s">
        <v>1873</v>
      </c>
      <c r="E308" s="4" t="s">
        <v>1342</v>
      </c>
      <c r="F308" s="4" t="s">
        <v>1874</v>
      </c>
      <c r="G308" s="4" t="s">
        <v>1875</v>
      </c>
      <c r="H308" s="4" t="s">
        <v>356</v>
      </c>
      <c r="I308" s="4" t="s">
        <v>965</v>
      </c>
      <c r="J308" s="4" t="s">
        <v>30</v>
      </c>
      <c r="K308" s="4" t="s">
        <v>30</v>
      </c>
      <c r="L308" s="2" t="s">
        <v>362</v>
      </c>
      <c r="M308" s="2" t="s">
        <v>31</v>
      </c>
      <c r="N308" s="4" t="s">
        <v>510</v>
      </c>
      <c r="O308" s="4" t="s">
        <v>155</v>
      </c>
      <c r="P308" s="4" t="s">
        <v>34</v>
      </c>
      <c r="Q308" s="152">
        <v>12867</v>
      </c>
      <c r="R308" s="167">
        <v>1</v>
      </c>
      <c r="S308" s="169">
        <v>19560</v>
      </c>
      <c r="U308" s="152">
        <v>2516.7849999999999</v>
      </c>
      <c r="V308" s="166">
        <v>5.6099999999999998E-4</v>
      </c>
      <c r="W308" s="166">
        <v>7.8382289702432495E-3</v>
      </c>
      <c r="X308" s="166">
        <v>1.0425758346992999E-3</v>
      </c>
    </row>
    <row r="309" spans="1:24">
      <c r="A309" s="4">
        <v>424</v>
      </c>
      <c r="B309" s="4">
        <v>7228</v>
      </c>
      <c r="C309" s="4" t="s">
        <v>1880</v>
      </c>
      <c r="D309" s="4" t="s">
        <v>1881</v>
      </c>
      <c r="E309" s="4" t="s">
        <v>1342</v>
      </c>
      <c r="F309" s="4" t="s">
        <v>1882</v>
      </c>
      <c r="G309" s="4" t="s">
        <v>1883</v>
      </c>
      <c r="H309" s="4" t="s">
        <v>356</v>
      </c>
      <c r="I309" s="4" t="s">
        <v>965</v>
      </c>
      <c r="J309" s="4" t="s">
        <v>30</v>
      </c>
      <c r="K309" s="4" t="s">
        <v>334</v>
      </c>
      <c r="L309" s="2" t="s">
        <v>362</v>
      </c>
      <c r="M309" s="2" t="s">
        <v>31</v>
      </c>
      <c r="N309" s="4" t="s">
        <v>491</v>
      </c>
      <c r="O309" s="4" t="s">
        <v>155</v>
      </c>
      <c r="P309" s="4" t="s">
        <v>34</v>
      </c>
      <c r="Q309" s="152">
        <v>6510.32</v>
      </c>
      <c r="R309" s="167">
        <v>1</v>
      </c>
      <c r="S309" s="169">
        <v>16470</v>
      </c>
      <c r="U309" s="152">
        <v>1072.25</v>
      </c>
      <c r="V309" s="166">
        <v>5.8999999999999998E-5</v>
      </c>
      <c r="W309" s="166">
        <v>3.3393945153633101E-3</v>
      </c>
      <c r="X309" s="166">
        <v>4.4417840273134002E-4</v>
      </c>
    </row>
    <row r="310" spans="1:24">
      <c r="A310" s="4">
        <v>424</v>
      </c>
      <c r="B310" s="4">
        <v>7228</v>
      </c>
      <c r="C310" s="4" t="s">
        <v>1884</v>
      </c>
      <c r="D310" s="4" t="s">
        <v>1885</v>
      </c>
      <c r="E310" s="4" t="s">
        <v>1342</v>
      </c>
      <c r="F310" s="4" t="s">
        <v>1886</v>
      </c>
      <c r="G310" s="4" t="s">
        <v>1887</v>
      </c>
      <c r="H310" s="4" t="s">
        <v>356</v>
      </c>
      <c r="I310" s="4" t="s">
        <v>965</v>
      </c>
      <c r="J310" s="4" t="s">
        <v>30</v>
      </c>
      <c r="K310" s="4" t="s">
        <v>98</v>
      </c>
      <c r="L310" s="2" t="s">
        <v>362</v>
      </c>
      <c r="M310" s="2" t="s">
        <v>31</v>
      </c>
      <c r="N310" s="4" t="s">
        <v>500</v>
      </c>
      <c r="O310" s="4" t="s">
        <v>155</v>
      </c>
      <c r="P310" s="4" t="s">
        <v>34</v>
      </c>
      <c r="Q310" s="152">
        <v>137748</v>
      </c>
      <c r="R310" s="167">
        <v>1</v>
      </c>
      <c r="S310" s="169">
        <v>6629</v>
      </c>
      <c r="U310" s="152">
        <v>9131.3150000000005</v>
      </c>
      <c r="V310" s="166">
        <v>1.22E-4</v>
      </c>
      <c r="W310" s="166">
        <v>2.8438397183183702E-2</v>
      </c>
      <c r="X310" s="166">
        <v>3.7826383731997299E-3</v>
      </c>
    </row>
    <row r="311" spans="1:24">
      <c r="A311" s="4">
        <v>424</v>
      </c>
      <c r="B311" s="4">
        <v>7228</v>
      </c>
      <c r="C311" s="4" t="s">
        <v>1888</v>
      </c>
      <c r="D311" s="4" t="s">
        <v>1889</v>
      </c>
      <c r="E311" s="4" t="s">
        <v>1342</v>
      </c>
      <c r="F311" s="4" t="s">
        <v>1890</v>
      </c>
      <c r="G311" s="4" t="s">
        <v>1891</v>
      </c>
      <c r="H311" s="4" t="s">
        <v>356</v>
      </c>
      <c r="I311" s="4" t="s">
        <v>965</v>
      </c>
      <c r="J311" s="4" t="s">
        <v>30</v>
      </c>
      <c r="K311" s="4" t="s">
        <v>30</v>
      </c>
      <c r="L311" s="2" t="s">
        <v>362</v>
      </c>
      <c r="M311" s="2" t="s">
        <v>31</v>
      </c>
      <c r="N311" s="4" t="s">
        <v>509</v>
      </c>
      <c r="O311" s="4" t="s">
        <v>155</v>
      </c>
      <c r="P311" s="4" t="s">
        <v>34</v>
      </c>
      <c r="Q311" s="152">
        <v>317285</v>
      </c>
      <c r="R311" s="167">
        <v>1</v>
      </c>
      <c r="S311" s="169">
        <v>598</v>
      </c>
      <c r="U311" s="152">
        <v>1897.364</v>
      </c>
      <c r="V311" s="166">
        <v>2.98E-3</v>
      </c>
      <c r="W311" s="166">
        <v>5.90911605144742E-3</v>
      </c>
      <c r="X311" s="166">
        <v>7.8598132601906195E-4</v>
      </c>
    </row>
    <row r="312" spans="1:24">
      <c r="A312" s="4">
        <v>424</v>
      </c>
      <c r="B312" s="4">
        <v>7228</v>
      </c>
      <c r="C312" s="4" t="s">
        <v>1892</v>
      </c>
      <c r="D312" s="4" t="s">
        <v>1893</v>
      </c>
      <c r="E312" s="4" t="s">
        <v>1342</v>
      </c>
      <c r="F312" s="4" t="s">
        <v>1894</v>
      </c>
      <c r="G312" s="4" t="s">
        <v>1895</v>
      </c>
      <c r="H312" s="4" t="s">
        <v>356</v>
      </c>
      <c r="I312" s="4" t="s">
        <v>965</v>
      </c>
      <c r="J312" s="4" t="s">
        <v>30</v>
      </c>
      <c r="K312" s="4" t="s">
        <v>30</v>
      </c>
      <c r="L312" s="2" t="s">
        <v>362</v>
      </c>
      <c r="M312" s="2" t="s">
        <v>31</v>
      </c>
      <c r="N312" s="4" t="s">
        <v>512</v>
      </c>
      <c r="O312" s="4" t="s">
        <v>155</v>
      </c>
      <c r="P312" s="4" t="s">
        <v>34</v>
      </c>
      <c r="Q312" s="152">
        <v>592059</v>
      </c>
      <c r="R312" s="167">
        <v>1</v>
      </c>
      <c r="S312" s="169">
        <v>1373</v>
      </c>
      <c r="U312" s="152">
        <v>8128.97</v>
      </c>
      <c r="V312" s="166">
        <v>2.9529999999999999E-3</v>
      </c>
      <c r="W312" s="166">
        <v>2.5316713043653599E-2</v>
      </c>
      <c r="X312" s="166">
        <v>3.3674179886213E-3</v>
      </c>
    </row>
    <row r="313" spans="1:24">
      <c r="A313" s="4">
        <v>424</v>
      </c>
      <c r="B313" s="4">
        <v>7228</v>
      </c>
      <c r="C313" s="4" t="s">
        <v>1896</v>
      </c>
      <c r="D313" s="4" t="s">
        <v>1897</v>
      </c>
      <c r="E313" s="4" t="s">
        <v>1342</v>
      </c>
      <c r="F313" s="4" t="s">
        <v>1898</v>
      </c>
      <c r="G313" s="4" t="s">
        <v>1899</v>
      </c>
      <c r="H313" s="4" t="s">
        <v>356</v>
      </c>
      <c r="I313" s="4" t="s">
        <v>965</v>
      </c>
      <c r="J313" s="4" t="s">
        <v>30</v>
      </c>
      <c r="K313" s="4" t="s">
        <v>30</v>
      </c>
      <c r="L313" s="2" t="s">
        <v>362</v>
      </c>
      <c r="M313" s="2" t="s">
        <v>31</v>
      </c>
      <c r="N313" s="4" t="s">
        <v>478</v>
      </c>
      <c r="O313" s="4" t="s">
        <v>155</v>
      </c>
      <c r="P313" s="4" t="s">
        <v>34</v>
      </c>
      <c r="Q313" s="152">
        <v>72602</v>
      </c>
      <c r="R313" s="167">
        <v>1</v>
      </c>
      <c r="S313" s="169">
        <v>6329</v>
      </c>
      <c r="U313" s="152">
        <v>4594.9809999999998</v>
      </c>
      <c r="V313" s="166">
        <v>9.1799999999999998E-4</v>
      </c>
      <c r="W313" s="166">
        <v>1.4310521970592099E-2</v>
      </c>
      <c r="X313" s="166">
        <v>1.9034662606966101E-3</v>
      </c>
    </row>
    <row r="314" spans="1:24">
      <c r="A314" s="4">
        <v>424</v>
      </c>
      <c r="B314" s="4">
        <v>7228</v>
      </c>
      <c r="C314" s="4" t="s">
        <v>1212</v>
      </c>
      <c r="D314" s="4" t="s">
        <v>1900</v>
      </c>
      <c r="E314" s="4" t="s">
        <v>1342</v>
      </c>
      <c r="F314" s="4" t="s">
        <v>1901</v>
      </c>
      <c r="G314" s="4" t="s">
        <v>1902</v>
      </c>
      <c r="H314" s="4" t="s">
        <v>356</v>
      </c>
      <c r="I314" s="4" t="s">
        <v>965</v>
      </c>
      <c r="J314" s="4" t="s">
        <v>30</v>
      </c>
      <c r="K314" s="4" t="s">
        <v>30</v>
      </c>
      <c r="L314" s="2" t="s">
        <v>362</v>
      </c>
      <c r="M314" s="2" t="s">
        <v>31</v>
      </c>
      <c r="N314" s="4" t="s">
        <v>481</v>
      </c>
      <c r="O314" s="4" t="s">
        <v>155</v>
      </c>
      <c r="P314" s="4" t="s">
        <v>34</v>
      </c>
      <c r="Q314" s="152">
        <v>357564</v>
      </c>
      <c r="R314" s="167">
        <v>1</v>
      </c>
      <c r="S314" s="169">
        <v>3644</v>
      </c>
      <c r="U314" s="152">
        <v>13029.632</v>
      </c>
      <c r="V314" s="166">
        <v>2.3599999999999999E-4</v>
      </c>
      <c r="W314" s="166">
        <v>4.0579243817917103E-2</v>
      </c>
      <c r="X314" s="166">
        <v>5.3975125191600901E-3</v>
      </c>
    </row>
    <row r="315" spans="1:24">
      <c r="A315" s="4">
        <v>424</v>
      </c>
      <c r="B315" s="4">
        <v>7228</v>
      </c>
      <c r="C315" s="4" t="s">
        <v>1903</v>
      </c>
      <c r="D315" s="4" t="s">
        <v>1904</v>
      </c>
      <c r="E315" s="4" t="s">
        <v>1342</v>
      </c>
      <c r="F315" s="4" t="s">
        <v>1905</v>
      </c>
      <c r="G315" s="4" t="s">
        <v>1906</v>
      </c>
      <c r="H315" s="4" t="s">
        <v>356</v>
      </c>
      <c r="I315" s="4" t="s">
        <v>965</v>
      </c>
      <c r="J315" s="4" t="s">
        <v>30</v>
      </c>
      <c r="K315" s="4" t="s">
        <v>30</v>
      </c>
      <c r="L315" s="2" t="s">
        <v>362</v>
      </c>
      <c r="M315" s="2" t="s">
        <v>31</v>
      </c>
      <c r="N315" s="4" t="s">
        <v>497</v>
      </c>
      <c r="O315" s="4" t="s">
        <v>155</v>
      </c>
      <c r="P315" s="4" t="s">
        <v>34</v>
      </c>
      <c r="Q315" s="152">
        <v>509226</v>
      </c>
      <c r="R315" s="167">
        <v>1</v>
      </c>
      <c r="S315" s="169">
        <v>954</v>
      </c>
      <c r="U315" s="152">
        <v>4858.0159999999996</v>
      </c>
      <c r="V315" s="166">
        <v>6.8199999999999999E-4</v>
      </c>
      <c r="W315" s="166">
        <v>1.51297147101129E-2</v>
      </c>
      <c r="X315" s="166">
        <v>2.0124284455763598E-3</v>
      </c>
    </row>
    <row r="316" spans="1:24">
      <c r="A316" s="4">
        <v>424</v>
      </c>
      <c r="B316" s="4">
        <v>7228</v>
      </c>
      <c r="C316" s="4" t="s">
        <v>1907</v>
      </c>
      <c r="D316" s="4" t="s">
        <v>1908</v>
      </c>
      <c r="E316" s="4" t="s">
        <v>1342</v>
      </c>
      <c r="F316" s="4" t="s">
        <v>1909</v>
      </c>
      <c r="G316" s="4" t="s">
        <v>1910</v>
      </c>
      <c r="H316" s="4" t="s">
        <v>356</v>
      </c>
      <c r="I316" s="4" t="s">
        <v>965</v>
      </c>
      <c r="J316" s="4" t="s">
        <v>30</v>
      </c>
      <c r="K316" s="4" t="s">
        <v>30</v>
      </c>
      <c r="L316" s="2" t="s">
        <v>362</v>
      </c>
      <c r="M316" s="2" t="s">
        <v>31</v>
      </c>
      <c r="N316" s="4" t="s">
        <v>497</v>
      </c>
      <c r="O316" s="4" t="s">
        <v>155</v>
      </c>
      <c r="P316" s="4" t="s">
        <v>34</v>
      </c>
      <c r="Q316" s="152">
        <v>118140</v>
      </c>
      <c r="R316" s="167">
        <v>1</v>
      </c>
      <c r="S316" s="169">
        <v>768.4</v>
      </c>
      <c r="U316" s="152">
        <v>907.78800000000001</v>
      </c>
      <c r="V316" s="166">
        <v>7.85E-4</v>
      </c>
      <c r="W316" s="166">
        <v>2.8271972988653301E-3</v>
      </c>
      <c r="X316" s="166">
        <v>3.7605020150778301E-4</v>
      </c>
    </row>
    <row r="317" spans="1:24">
      <c r="A317" s="4">
        <v>424</v>
      </c>
      <c r="B317" s="4">
        <v>7228</v>
      </c>
      <c r="C317" s="4" t="s">
        <v>1911</v>
      </c>
      <c r="D317" s="4" t="s">
        <v>1912</v>
      </c>
      <c r="E317" s="4" t="s">
        <v>1342</v>
      </c>
      <c r="F317" s="4" t="s">
        <v>1913</v>
      </c>
      <c r="G317" s="4" t="s">
        <v>1914</v>
      </c>
      <c r="H317" s="4" t="s">
        <v>356</v>
      </c>
      <c r="I317" s="4" t="s">
        <v>965</v>
      </c>
      <c r="J317" s="4" t="s">
        <v>30</v>
      </c>
      <c r="K317" s="4" t="s">
        <v>30</v>
      </c>
      <c r="L317" s="2" t="s">
        <v>362</v>
      </c>
      <c r="M317" s="2" t="s">
        <v>31</v>
      </c>
      <c r="N317" s="4" t="s">
        <v>492</v>
      </c>
      <c r="O317" s="4" t="s">
        <v>155</v>
      </c>
      <c r="P317" s="4" t="s">
        <v>34</v>
      </c>
      <c r="Q317" s="152">
        <v>12964.46</v>
      </c>
      <c r="R317" s="167">
        <v>1</v>
      </c>
      <c r="S317" s="169">
        <v>15960</v>
      </c>
      <c r="U317" s="152">
        <v>2069.1280000000002</v>
      </c>
      <c r="V317" s="166">
        <v>3.8600000000000001E-3</v>
      </c>
      <c r="W317" s="166">
        <v>6.4440531478440598E-3</v>
      </c>
      <c r="X317" s="166">
        <v>8.5713419638105699E-4</v>
      </c>
    </row>
    <row r="318" spans="1:24">
      <c r="A318" s="4">
        <v>424</v>
      </c>
      <c r="B318" s="4">
        <v>7228</v>
      </c>
      <c r="C318" s="4" t="s">
        <v>2137</v>
      </c>
      <c r="D318" s="4" t="s">
        <v>2138</v>
      </c>
      <c r="E318" s="4" t="s">
        <v>1342</v>
      </c>
      <c r="F318" s="4" t="s">
        <v>2139</v>
      </c>
      <c r="G318" s="4" t="s">
        <v>2140</v>
      </c>
      <c r="H318" s="4" t="s">
        <v>356</v>
      </c>
      <c r="I318" s="4" t="s">
        <v>965</v>
      </c>
      <c r="J318" s="4" t="s">
        <v>30</v>
      </c>
      <c r="K318" s="4" t="s">
        <v>30</v>
      </c>
      <c r="L318" s="2" t="s">
        <v>362</v>
      </c>
      <c r="M318" s="2" t="s">
        <v>31</v>
      </c>
      <c r="N318" s="4" t="s">
        <v>509</v>
      </c>
      <c r="O318" s="4" t="s">
        <v>155</v>
      </c>
      <c r="P318" s="4" t="s">
        <v>34</v>
      </c>
      <c r="Q318" s="152">
        <v>43050</v>
      </c>
      <c r="R318" s="167">
        <v>1</v>
      </c>
      <c r="S318" s="169">
        <v>589.5</v>
      </c>
      <c r="U318" s="152">
        <v>253.78</v>
      </c>
      <c r="V318" s="166">
        <v>1.8370000000000001E-3</v>
      </c>
      <c r="W318" s="166">
        <v>7.9036692861635203E-4</v>
      </c>
      <c r="X318" s="166">
        <v>1.05128015964982E-4</v>
      </c>
    </row>
    <row r="319" spans="1:24">
      <c r="A319" s="4">
        <v>424</v>
      </c>
      <c r="B319" s="4">
        <v>7228</v>
      </c>
      <c r="C319" s="4" t="s">
        <v>1915</v>
      </c>
      <c r="D319" s="4" t="s">
        <v>1916</v>
      </c>
      <c r="E319" s="4" t="s">
        <v>1342</v>
      </c>
      <c r="F319" s="4" t="s">
        <v>1917</v>
      </c>
      <c r="G319" s="4" t="s">
        <v>1918</v>
      </c>
      <c r="H319" s="4" t="s">
        <v>356</v>
      </c>
      <c r="I319" s="4" t="s">
        <v>965</v>
      </c>
      <c r="J319" s="4" t="s">
        <v>30</v>
      </c>
      <c r="K319" s="4" t="s">
        <v>30</v>
      </c>
      <c r="L319" s="2" t="s">
        <v>362</v>
      </c>
      <c r="M319" s="2" t="s">
        <v>31</v>
      </c>
      <c r="N319" s="4" t="s">
        <v>510</v>
      </c>
      <c r="O319" s="4" t="s">
        <v>155</v>
      </c>
      <c r="P319" s="4" t="s">
        <v>34</v>
      </c>
      <c r="Q319" s="152">
        <v>20764</v>
      </c>
      <c r="R319" s="167">
        <v>1</v>
      </c>
      <c r="S319" s="169">
        <v>7125</v>
      </c>
      <c r="T319" s="151">
        <v>17.026</v>
      </c>
      <c r="U319" s="152">
        <v>1496.461</v>
      </c>
      <c r="V319" s="166">
        <v>3.2699999999999998E-4</v>
      </c>
      <c r="W319" s="166">
        <v>4.6605517727095203E-3</v>
      </c>
      <c r="X319" s="166">
        <v>6.1990772061372098E-4</v>
      </c>
    </row>
    <row r="320" spans="1:24">
      <c r="A320" s="4">
        <v>424</v>
      </c>
      <c r="B320" s="4">
        <v>7228</v>
      </c>
      <c r="C320" s="4" t="s">
        <v>1919</v>
      </c>
      <c r="D320" s="4" t="s">
        <v>1920</v>
      </c>
      <c r="E320" s="4" t="s">
        <v>1342</v>
      </c>
      <c r="F320" s="4" t="s">
        <v>1921</v>
      </c>
      <c r="G320" s="4" t="s">
        <v>1922</v>
      </c>
      <c r="H320" s="4" t="s">
        <v>356</v>
      </c>
      <c r="I320" s="4" t="s">
        <v>965</v>
      </c>
      <c r="J320" s="4" t="s">
        <v>30</v>
      </c>
      <c r="K320" s="4" t="s">
        <v>30</v>
      </c>
      <c r="L320" s="2" t="s">
        <v>362</v>
      </c>
      <c r="M320" s="2" t="s">
        <v>31</v>
      </c>
      <c r="N320" s="4" t="s">
        <v>497</v>
      </c>
      <c r="O320" s="4" t="s">
        <v>155</v>
      </c>
      <c r="P320" s="4" t="s">
        <v>34</v>
      </c>
      <c r="Q320" s="152">
        <v>4654</v>
      </c>
      <c r="R320" s="167">
        <v>1</v>
      </c>
      <c r="S320" s="169">
        <v>28210</v>
      </c>
      <c r="U320" s="152">
        <v>1312.893</v>
      </c>
      <c r="V320" s="166">
        <v>9.7999999999999997E-5</v>
      </c>
      <c r="W320" s="166">
        <v>4.0888507619645702E-3</v>
      </c>
      <c r="X320" s="166">
        <v>5.4386482103288005E-4</v>
      </c>
    </row>
    <row r="321" spans="1:24">
      <c r="A321" s="4">
        <v>424</v>
      </c>
      <c r="B321" s="4">
        <v>7228</v>
      </c>
      <c r="C321" s="4" t="s">
        <v>1923</v>
      </c>
      <c r="D321" s="4" t="s">
        <v>1924</v>
      </c>
      <c r="E321" s="4" t="s">
        <v>1342</v>
      </c>
      <c r="F321" s="4" t="s">
        <v>1925</v>
      </c>
      <c r="G321" s="4" t="s">
        <v>1926</v>
      </c>
      <c r="H321" s="4" t="s">
        <v>356</v>
      </c>
      <c r="I321" s="4" t="s">
        <v>965</v>
      </c>
      <c r="J321" s="4" t="s">
        <v>30</v>
      </c>
      <c r="K321" s="4" t="s">
        <v>30</v>
      </c>
      <c r="L321" s="2" t="s">
        <v>362</v>
      </c>
      <c r="M321" s="2" t="s">
        <v>31</v>
      </c>
      <c r="N321" s="4" t="s">
        <v>478</v>
      </c>
      <c r="O321" s="4" t="s">
        <v>155</v>
      </c>
      <c r="P321" s="4" t="s">
        <v>34</v>
      </c>
      <c r="Q321" s="152">
        <v>41274</v>
      </c>
      <c r="R321" s="167">
        <v>1</v>
      </c>
      <c r="S321" s="169">
        <v>10880</v>
      </c>
      <c r="U321" s="152">
        <v>4490.6109999999999</v>
      </c>
      <c r="V321" s="166">
        <v>6.6600000000000003E-4</v>
      </c>
      <c r="W321" s="166">
        <v>1.3985475916633201E-2</v>
      </c>
      <c r="X321" s="166">
        <v>1.86023134598456E-3</v>
      </c>
    </row>
    <row r="322" spans="1:24">
      <c r="A322" s="4">
        <v>424</v>
      </c>
      <c r="B322" s="4">
        <v>7228</v>
      </c>
      <c r="C322" s="4" t="s">
        <v>1927</v>
      </c>
      <c r="D322" s="4" t="s">
        <v>1483</v>
      </c>
      <c r="E322" s="4" t="s">
        <v>1342</v>
      </c>
      <c r="F322" s="4" t="s">
        <v>1928</v>
      </c>
      <c r="G322" s="4" t="s">
        <v>1929</v>
      </c>
      <c r="H322" s="4" t="s">
        <v>356</v>
      </c>
      <c r="I322" s="4" t="s">
        <v>965</v>
      </c>
      <c r="J322" s="4" t="s">
        <v>30</v>
      </c>
      <c r="K322" s="4" t="s">
        <v>30</v>
      </c>
      <c r="L322" s="2" t="s">
        <v>362</v>
      </c>
      <c r="M322" s="2" t="s">
        <v>31</v>
      </c>
      <c r="N322" s="4" t="s">
        <v>476</v>
      </c>
      <c r="O322" s="4" t="s">
        <v>155</v>
      </c>
      <c r="P322" s="4" t="s">
        <v>34</v>
      </c>
      <c r="Q322" s="152">
        <v>405371</v>
      </c>
      <c r="R322" s="167">
        <v>1</v>
      </c>
      <c r="S322" s="169">
        <v>1350</v>
      </c>
      <c r="U322" s="152">
        <v>5472.5079999999998</v>
      </c>
      <c r="V322" s="166">
        <v>6.7029999999999998E-3</v>
      </c>
      <c r="W322" s="166">
        <v>1.7043478587128701E-2</v>
      </c>
      <c r="X322" s="166">
        <v>2.2669813527537099E-3</v>
      </c>
    </row>
    <row r="323" spans="1:24">
      <c r="A323" s="4">
        <v>424</v>
      </c>
      <c r="B323" s="4">
        <v>7228</v>
      </c>
      <c r="C323" s="4" t="s">
        <v>1930</v>
      </c>
      <c r="D323" s="4" t="s">
        <v>1931</v>
      </c>
      <c r="E323" s="4" t="s">
        <v>1342</v>
      </c>
      <c r="F323" s="4" t="s">
        <v>1932</v>
      </c>
      <c r="G323" s="4" t="s">
        <v>1933</v>
      </c>
      <c r="H323" s="4" t="s">
        <v>356</v>
      </c>
      <c r="I323" s="4" t="s">
        <v>965</v>
      </c>
      <c r="J323" s="4" t="s">
        <v>30</v>
      </c>
      <c r="K323" s="4" t="s">
        <v>30</v>
      </c>
      <c r="L323" s="2" t="s">
        <v>362</v>
      </c>
      <c r="M323" s="2" t="s">
        <v>31</v>
      </c>
      <c r="N323" s="4" t="s">
        <v>509</v>
      </c>
      <c r="O323" s="4" t="s">
        <v>155</v>
      </c>
      <c r="P323" s="4" t="s">
        <v>34</v>
      </c>
      <c r="Q323" s="152">
        <v>284742</v>
      </c>
      <c r="R323" s="167">
        <v>1</v>
      </c>
      <c r="S323" s="169">
        <v>1049</v>
      </c>
      <c r="U323" s="152">
        <v>2986.944</v>
      </c>
      <c r="V323" s="166">
        <v>2.042E-3</v>
      </c>
      <c r="W323" s="166">
        <v>9.3024814756690801E-3</v>
      </c>
      <c r="X323" s="166">
        <v>1.2373384888460901E-3</v>
      </c>
    </row>
    <row r="324" spans="1:24">
      <c r="A324" s="4">
        <v>424</v>
      </c>
      <c r="B324" s="4">
        <v>7228</v>
      </c>
      <c r="C324" s="4" t="s">
        <v>1934</v>
      </c>
      <c r="D324" s="4" t="s">
        <v>1935</v>
      </c>
      <c r="E324" s="4" t="s">
        <v>348</v>
      </c>
      <c r="F324" s="4" t="s">
        <v>1936</v>
      </c>
      <c r="G324" s="4" t="s">
        <v>1937</v>
      </c>
      <c r="H324" s="4" t="s">
        <v>356</v>
      </c>
      <c r="I324" s="4" t="s">
        <v>965</v>
      </c>
      <c r="J324" s="4" t="s">
        <v>30</v>
      </c>
      <c r="K324" s="4" t="s">
        <v>30</v>
      </c>
      <c r="L324" s="2" t="s">
        <v>362</v>
      </c>
      <c r="M324" s="2" t="s">
        <v>31</v>
      </c>
      <c r="N324" s="4" t="s">
        <v>487</v>
      </c>
      <c r="O324" s="4" t="s">
        <v>155</v>
      </c>
      <c r="P324" s="4" t="s">
        <v>34</v>
      </c>
      <c r="Q324" s="152">
        <v>205266.19</v>
      </c>
      <c r="R324" s="167">
        <v>1</v>
      </c>
      <c r="S324" s="169">
        <v>1025</v>
      </c>
      <c r="U324" s="152">
        <v>2103.9780000000001</v>
      </c>
      <c r="V324" s="166">
        <v>1.75E-4</v>
      </c>
      <c r="W324" s="166">
        <v>6.55259130575066E-3</v>
      </c>
      <c r="X324" s="166">
        <v>8.7157103677010196E-4</v>
      </c>
    </row>
    <row r="325" spans="1:24">
      <c r="A325" s="4">
        <v>424</v>
      </c>
      <c r="B325" s="4">
        <v>7228</v>
      </c>
      <c r="C325" s="4" t="s">
        <v>1938</v>
      </c>
      <c r="D325" s="4" t="s">
        <v>1939</v>
      </c>
      <c r="E325" s="4" t="s">
        <v>1342</v>
      </c>
      <c r="F325" s="4" t="s">
        <v>1940</v>
      </c>
      <c r="G325" s="4" t="s">
        <v>1941</v>
      </c>
      <c r="H325" s="4" t="s">
        <v>356</v>
      </c>
      <c r="I325" s="4" t="s">
        <v>965</v>
      </c>
      <c r="J325" s="4" t="s">
        <v>30</v>
      </c>
      <c r="K325" s="4" t="s">
        <v>98</v>
      </c>
      <c r="L325" s="2" t="s">
        <v>362</v>
      </c>
      <c r="M325" s="2" t="s">
        <v>31</v>
      </c>
      <c r="N325" s="4" t="s">
        <v>514</v>
      </c>
      <c r="O325" s="4" t="s">
        <v>155</v>
      </c>
      <c r="P325" s="4" t="s">
        <v>34</v>
      </c>
      <c r="Q325" s="152">
        <v>11440</v>
      </c>
      <c r="R325" s="167">
        <v>1</v>
      </c>
      <c r="S325" s="169">
        <v>64880</v>
      </c>
      <c r="U325" s="152">
        <v>7422.2719999999999</v>
      </c>
      <c r="V325" s="166">
        <v>1.8200000000000001E-4</v>
      </c>
      <c r="W325" s="166">
        <v>2.3115785731505901E-2</v>
      </c>
      <c r="X325" s="166">
        <v>3.0746689966888001E-3</v>
      </c>
    </row>
    <row r="326" spans="1:24">
      <c r="A326" s="4">
        <v>424</v>
      </c>
      <c r="B326" s="4">
        <v>7228</v>
      </c>
      <c r="C326" s="4" t="s">
        <v>1942</v>
      </c>
      <c r="D326" s="4" t="s">
        <v>1943</v>
      </c>
      <c r="E326" s="4" t="s">
        <v>1342</v>
      </c>
      <c r="F326" s="4" t="s">
        <v>1944</v>
      </c>
      <c r="G326" s="4" t="s">
        <v>1945</v>
      </c>
      <c r="H326" s="4" t="s">
        <v>356</v>
      </c>
      <c r="I326" s="4" t="s">
        <v>965</v>
      </c>
      <c r="J326" s="4" t="s">
        <v>30</v>
      </c>
      <c r="K326" s="4" t="s">
        <v>30</v>
      </c>
      <c r="L326" s="2" t="s">
        <v>362</v>
      </c>
      <c r="M326" s="2" t="s">
        <v>31</v>
      </c>
      <c r="N326" s="4" t="s">
        <v>514</v>
      </c>
      <c r="O326" s="4" t="s">
        <v>155</v>
      </c>
      <c r="P326" s="4" t="s">
        <v>34</v>
      </c>
      <c r="Q326" s="152">
        <v>207690</v>
      </c>
      <c r="R326" s="167">
        <v>1</v>
      </c>
      <c r="S326" s="169">
        <v>48</v>
      </c>
      <c r="U326" s="152">
        <v>99.691000000000003</v>
      </c>
      <c r="V326" s="166">
        <v>1.3929999999999999E-3</v>
      </c>
      <c r="W326" s="166">
        <v>3.1047641726370402E-4</v>
      </c>
      <c r="X326" s="166">
        <v>4.1296983172093799E-5</v>
      </c>
    </row>
    <row r="327" spans="1:24">
      <c r="A327" s="4">
        <v>424</v>
      </c>
      <c r="B327" s="4">
        <v>7228</v>
      </c>
      <c r="C327" s="4" t="s">
        <v>1946</v>
      </c>
      <c r="D327" s="4" t="s">
        <v>1947</v>
      </c>
      <c r="E327" s="4" t="s">
        <v>1342</v>
      </c>
      <c r="F327" s="4" t="s">
        <v>1948</v>
      </c>
      <c r="G327" s="4" t="s">
        <v>1949</v>
      </c>
      <c r="H327" s="4" t="s">
        <v>356</v>
      </c>
      <c r="I327" s="4" t="s">
        <v>965</v>
      </c>
      <c r="J327" s="4" t="s">
        <v>30</v>
      </c>
      <c r="K327" s="4" t="s">
        <v>30</v>
      </c>
      <c r="L327" s="2" t="s">
        <v>362</v>
      </c>
      <c r="M327" s="2" t="s">
        <v>31</v>
      </c>
      <c r="N327" s="4" t="s">
        <v>518</v>
      </c>
      <c r="O327" s="4" t="s">
        <v>155</v>
      </c>
      <c r="P327" s="4" t="s">
        <v>34</v>
      </c>
      <c r="Q327" s="152">
        <v>64464</v>
      </c>
      <c r="R327" s="167">
        <v>1</v>
      </c>
      <c r="S327" s="169">
        <v>1670</v>
      </c>
      <c r="U327" s="152">
        <v>1076.549</v>
      </c>
      <c r="V327" s="166">
        <v>3.8900000000000002E-4</v>
      </c>
      <c r="W327" s="166">
        <v>3.3527835399066301E-3</v>
      </c>
      <c r="X327" s="166">
        <v>4.4595929909097101E-4</v>
      </c>
    </row>
    <row r="328" spans="1:24">
      <c r="A328" s="4">
        <v>424</v>
      </c>
      <c r="B328" s="4">
        <v>7228</v>
      </c>
      <c r="C328" s="4" t="s">
        <v>1950</v>
      </c>
      <c r="D328" s="4" t="s">
        <v>1951</v>
      </c>
      <c r="E328" s="4" t="s">
        <v>1342</v>
      </c>
      <c r="F328" s="4" t="s">
        <v>1952</v>
      </c>
      <c r="G328" s="4" t="s">
        <v>1953</v>
      </c>
      <c r="H328" s="4" t="s">
        <v>356</v>
      </c>
      <c r="I328" s="4" t="s">
        <v>965</v>
      </c>
      <c r="J328" s="4" t="s">
        <v>30</v>
      </c>
      <c r="K328" s="4" t="s">
        <v>30</v>
      </c>
      <c r="L328" s="2" t="s">
        <v>362</v>
      </c>
      <c r="M328" s="2" t="s">
        <v>31</v>
      </c>
      <c r="N328" s="4" t="s">
        <v>497</v>
      </c>
      <c r="O328" s="4" t="s">
        <v>155</v>
      </c>
      <c r="P328" s="4" t="s">
        <v>34</v>
      </c>
      <c r="Q328" s="152">
        <v>2773</v>
      </c>
      <c r="R328" s="167">
        <v>1</v>
      </c>
      <c r="S328" s="169">
        <v>25940</v>
      </c>
      <c r="U328" s="152">
        <v>719.31600000000003</v>
      </c>
      <c r="V328" s="166">
        <v>2.3E-5</v>
      </c>
      <c r="W328" s="166">
        <v>2.2402249812996699E-3</v>
      </c>
      <c r="X328" s="166">
        <v>2.97976040079911E-4</v>
      </c>
    </row>
    <row r="329" spans="1:24">
      <c r="A329" s="4">
        <v>424</v>
      </c>
      <c r="B329" s="4">
        <v>7228</v>
      </c>
      <c r="C329" s="4" t="s">
        <v>1217</v>
      </c>
      <c r="D329" s="4" t="s">
        <v>1954</v>
      </c>
      <c r="E329" s="4" t="s">
        <v>1342</v>
      </c>
      <c r="F329" s="4" t="s">
        <v>1955</v>
      </c>
      <c r="G329" s="4" t="s">
        <v>1956</v>
      </c>
      <c r="H329" s="4" t="s">
        <v>356</v>
      </c>
      <c r="I329" s="4" t="s">
        <v>965</v>
      </c>
      <c r="J329" s="4" t="s">
        <v>30</v>
      </c>
      <c r="K329" s="4" t="s">
        <v>30</v>
      </c>
      <c r="L329" s="2" t="s">
        <v>362</v>
      </c>
      <c r="M329" s="2" t="s">
        <v>31</v>
      </c>
      <c r="N329" s="4" t="s">
        <v>481</v>
      </c>
      <c r="O329" s="4" t="s">
        <v>155</v>
      </c>
      <c r="P329" s="4" t="s">
        <v>34</v>
      </c>
      <c r="Q329" s="152">
        <v>355608</v>
      </c>
      <c r="R329" s="167">
        <v>1</v>
      </c>
      <c r="S329" s="169">
        <v>3729</v>
      </c>
      <c r="U329" s="152">
        <v>13260.621999999999</v>
      </c>
      <c r="V329" s="166">
        <v>2.6600000000000001E-4</v>
      </c>
      <c r="W329" s="166">
        <v>4.12986352717261E-2</v>
      </c>
      <c r="X329" s="166">
        <v>5.49319996951117E-3</v>
      </c>
    </row>
    <row r="330" spans="1:24">
      <c r="A330" s="4">
        <v>424</v>
      </c>
      <c r="B330" s="4">
        <v>7228</v>
      </c>
      <c r="C330" s="4" t="s">
        <v>1957</v>
      </c>
      <c r="D330" s="4" t="s">
        <v>1958</v>
      </c>
      <c r="E330" s="4" t="s">
        <v>1342</v>
      </c>
      <c r="F330" s="4" t="s">
        <v>1959</v>
      </c>
      <c r="G330" s="4" t="s">
        <v>1960</v>
      </c>
      <c r="H330" s="4" t="s">
        <v>356</v>
      </c>
      <c r="I330" s="4" t="s">
        <v>965</v>
      </c>
      <c r="J330" s="4" t="s">
        <v>30</v>
      </c>
      <c r="K330" s="4" t="s">
        <v>30</v>
      </c>
      <c r="L330" s="2" t="s">
        <v>362</v>
      </c>
      <c r="M330" s="2" t="s">
        <v>31</v>
      </c>
      <c r="N330" s="4" t="s">
        <v>493</v>
      </c>
      <c r="O330" s="4" t="s">
        <v>155</v>
      </c>
      <c r="P330" s="4" t="s">
        <v>34</v>
      </c>
      <c r="Q330" s="152">
        <v>54700</v>
      </c>
      <c r="R330" s="167">
        <v>1</v>
      </c>
      <c r="S330" s="169">
        <v>402.3</v>
      </c>
      <c r="U330" s="152">
        <v>220.05799999999999</v>
      </c>
      <c r="V330" s="166">
        <v>1.0920000000000001E-3</v>
      </c>
      <c r="W330" s="166">
        <v>6.8534484967437302E-4</v>
      </c>
      <c r="X330" s="166">
        <v>9.1158855070286397E-5</v>
      </c>
    </row>
    <row r="331" spans="1:24">
      <c r="A331" s="4">
        <v>424</v>
      </c>
      <c r="B331" s="4">
        <v>7228</v>
      </c>
      <c r="C331" s="4" t="s">
        <v>1961</v>
      </c>
      <c r="D331" s="4" t="s">
        <v>1962</v>
      </c>
      <c r="E331" s="4" t="s">
        <v>1342</v>
      </c>
      <c r="F331" s="4" t="s">
        <v>1963</v>
      </c>
      <c r="G331" s="4" t="s">
        <v>1964</v>
      </c>
      <c r="H331" s="4" t="s">
        <v>356</v>
      </c>
      <c r="I331" s="4" t="s">
        <v>965</v>
      </c>
      <c r="J331" s="4" t="s">
        <v>30</v>
      </c>
      <c r="K331" s="4" t="s">
        <v>30</v>
      </c>
      <c r="L331" s="2" t="s">
        <v>362</v>
      </c>
      <c r="M331" s="2" t="s">
        <v>31</v>
      </c>
      <c r="N331" s="4" t="s">
        <v>518</v>
      </c>
      <c r="O331" s="4" t="s">
        <v>155</v>
      </c>
      <c r="P331" s="4" t="s">
        <v>34</v>
      </c>
      <c r="Q331" s="152">
        <v>103198</v>
      </c>
      <c r="R331" s="167">
        <v>1</v>
      </c>
      <c r="S331" s="169">
        <v>1606</v>
      </c>
      <c r="U331" s="152">
        <v>1657.36</v>
      </c>
      <c r="V331" s="166">
        <v>5.5400000000000002E-4</v>
      </c>
      <c r="W331" s="166">
        <v>5.1616507541187399E-3</v>
      </c>
      <c r="X331" s="166">
        <v>6.8655972718217298E-4</v>
      </c>
    </row>
    <row r="332" spans="1:24">
      <c r="A332" s="4">
        <v>424</v>
      </c>
      <c r="B332" s="4">
        <v>7228</v>
      </c>
      <c r="C332" s="4" t="s">
        <v>1965</v>
      </c>
      <c r="D332" s="4" t="s">
        <v>1966</v>
      </c>
      <c r="E332" s="4" t="s">
        <v>1342</v>
      </c>
      <c r="F332" s="4" t="s">
        <v>1967</v>
      </c>
      <c r="G332" s="4" t="s">
        <v>1968</v>
      </c>
      <c r="H332" s="4" t="s">
        <v>356</v>
      </c>
      <c r="I332" s="4" t="s">
        <v>965</v>
      </c>
      <c r="J332" s="4" t="s">
        <v>30</v>
      </c>
      <c r="K332" s="4" t="s">
        <v>30</v>
      </c>
      <c r="L332" s="2" t="s">
        <v>362</v>
      </c>
      <c r="M332" s="2" t="s">
        <v>31</v>
      </c>
      <c r="N332" s="4" t="s">
        <v>511</v>
      </c>
      <c r="O332" s="4" t="s">
        <v>155</v>
      </c>
      <c r="P332" s="4" t="s">
        <v>34</v>
      </c>
      <c r="Q332" s="152">
        <v>1948</v>
      </c>
      <c r="R332" s="167">
        <v>1</v>
      </c>
      <c r="S332" s="169">
        <v>4798</v>
      </c>
      <c r="U332" s="152">
        <v>93.465000000000003</v>
      </c>
      <c r="V332" s="166">
        <v>1.194E-3</v>
      </c>
      <c r="W332" s="166">
        <v>2.91085780476198E-4</v>
      </c>
      <c r="X332" s="166">
        <v>3.8717802414446597E-5</v>
      </c>
    </row>
    <row r="333" spans="1:24">
      <c r="A333" s="4">
        <v>424</v>
      </c>
      <c r="B333" s="4">
        <v>7228</v>
      </c>
      <c r="C333" s="4" t="s">
        <v>1969</v>
      </c>
      <c r="D333" s="4" t="s">
        <v>1970</v>
      </c>
      <c r="E333" s="4" t="s">
        <v>1342</v>
      </c>
      <c r="F333" s="4" t="s">
        <v>1971</v>
      </c>
      <c r="G333" s="4" t="s">
        <v>1972</v>
      </c>
      <c r="H333" s="4" t="s">
        <v>356</v>
      </c>
      <c r="I333" s="4" t="s">
        <v>965</v>
      </c>
      <c r="J333" s="4" t="s">
        <v>30</v>
      </c>
      <c r="K333" s="4" t="s">
        <v>30</v>
      </c>
      <c r="L333" s="2" t="s">
        <v>362</v>
      </c>
      <c r="M333" s="2" t="s">
        <v>31</v>
      </c>
      <c r="N333" s="4" t="s">
        <v>496</v>
      </c>
      <c r="O333" s="4" t="s">
        <v>155</v>
      </c>
      <c r="P333" s="4" t="s">
        <v>34</v>
      </c>
      <c r="Q333" s="152">
        <v>726426</v>
      </c>
      <c r="R333" s="167">
        <v>1</v>
      </c>
      <c r="S333" s="169">
        <v>551.79999999999995</v>
      </c>
      <c r="U333" s="152">
        <v>4008.4189999999999</v>
      </c>
      <c r="V333" s="166">
        <v>2.5270000000000002E-3</v>
      </c>
      <c r="W333" s="166">
        <v>1.24837444722662E-2</v>
      </c>
      <c r="X333" s="166">
        <v>1.6604835560119901E-3</v>
      </c>
    </row>
    <row r="334" spans="1:24">
      <c r="A334" s="4">
        <v>424</v>
      </c>
      <c r="B334" s="4">
        <v>7228</v>
      </c>
      <c r="C334" s="4" t="s">
        <v>1973</v>
      </c>
      <c r="D334" s="4" t="s">
        <v>1974</v>
      </c>
      <c r="E334" s="4" t="s">
        <v>1342</v>
      </c>
      <c r="F334" s="4" t="s">
        <v>1975</v>
      </c>
      <c r="G334" s="4" t="s">
        <v>1976</v>
      </c>
      <c r="H334" s="4" t="s">
        <v>356</v>
      </c>
      <c r="I334" s="4" t="s">
        <v>965</v>
      </c>
      <c r="J334" s="4" t="s">
        <v>30</v>
      </c>
      <c r="K334" s="4" t="s">
        <v>30</v>
      </c>
      <c r="L334" s="2" t="s">
        <v>362</v>
      </c>
      <c r="M334" s="2" t="s">
        <v>31</v>
      </c>
      <c r="N334" s="4" t="s">
        <v>497</v>
      </c>
      <c r="O334" s="4" t="s">
        <v>155</v>
      </c>
      <c r="P334" s="4" t="s">
        <v>34</v>
      </c>
      <c r="Q334" s="152">
        <v>216496.9</v>
      </c>
      <c r="R334" s="167">
        <v>1</v>
      </c>
      <c r="S334" s="169">
        <v>339.9</v>
      </c>
      <c r="U334" s="152">
        <v>735.87300000000005</v>
      </c>
      <c r="V334" s="166">
        <v>2.2880000000000001E-3</v>
      </c>
      <c r="W334" s="166">
        <v>2.2917890560502198E-3</v>
      </c>
      <c r="X334" s="166">
        <v>3.0483466317929298E-4</v>
      </c>
    </row>
    <row r="335" spans="1:24">
      <c r="A335" s="4">
        <v>424</v>
      </c>
      <c r="B335" s="4">
        <v>7228</v>
      </c>
      <c r="C335" s="4" t="s">
        <v>1977</v>
      </c>
      <c r="D335" s="4" t="s">
        <v>1978</v>
      </c>
      <c r="E335" s="4" t="s">
        <v>1342</v>
      </c>
      <c r="F335" s="4" t="s">
        <v>1979</v>
      </c>
      <c r="G335" s="4" t="s">
        <v>1980</v>
      </c>
      <c r="H335" s="4" t="s">
        <v>356</v>
      </c>
      <c r="I335" s="4" t="s">
        <v>965</v>
      </c>
      <c r="J335" s="4" t="s">
        <v>30</v>
      </c>
      <c r="K335" s="4" t="s">
        <v>30</v>
      </c>
      <c r="L335" s="2" t="s">
        <v>362</v>
      </c>
      <c r="M335" s="2" t="s">
        <v>31</v>
      </c>
      <c r="N335" s="4" t="s">
        <v>492</v>
      </c>
      <c r="O335" s="4" t="s">
        <v>155</v>
      </c>
      <c r="P335" s="4" t="s">
        <v>34</v>
      </c>
      <c r="Q335" s="152">
        <v>77189</v>
      </c>
      <c r="R335" s="167">
        <v>1</v>
      </c>
      <c r="S335" s="169">
        <v>5930</v>
      </c>
      <c r="U335" s="152">
        <v>4577.308</v>
      </c>
      <c r="V335" s="166">
        <v>6.6200000000000005E-4</v>
      </c>
      <c r="W335" s="166">
        <v>1.4255481882147701E-2</v>
      </c>
      <c r="X335" s="166">
        <v>1.8961452872509801E-3</v>
      </c>
    </row>
    <row r="336" spans="1:24">
      <c r="A336" s="4">
        <v>424</v>
      </c>
      <c r="B336" s="4">
        <v>7228</v>
      </c>
      <c r="C336" s="4" t="s">
        <v>1981</v>
      </c>
      <c r="D336" s="4" t="s">
        <v>1982</v>
      </c>
      <c r="E336" s="4" t="s">
        <v>1342</v>
      </c>
      <c r="F336" s="4" t="s">
        <v>1983</v>
      </c>
      <c r="G336" s="4" t="s">
        <v>1984</v>
      </c>
      <c r="H336" s="4" t="s">
        <v>356</v>
      </c>
      <c r="I336" s="4" t="s">
        <v>965</v>
      </c>
      <c r="J336" s="4" t="s">
        <v>30</v>
      </c>
      <c r="K336" s="4" t="s">
        <v>30</v>
      </c>
      <c r="L336" s="2" t="s">
        <v>362</v>
      </c>
      <c r="M336" s="2" t="s">
        <v>31</v>
      </c>
      <c r="N336" s="4" t="s">
        <v>496</v>
      </c>
      <c r="O336" s="4" t="s">
        <v>155</v>
      </c>
      <c r="P336" s="4" t="s">
        <v>34</v>
      </c>
      <c r="Q336" s="152">
        <v>161464</v>
      </c>
      <c r="R336" s="167">
        <v>1</v>
      </c>
      <c r="S336" s="169">
        <v>2140</v>
      </c>
      <c r="U336" s="152">
        <v>3455.33</v>
      </c>
      <c r="V336" s="166">
        <v>4.5199999999999998E-4</v>
      </c>
      <c r="W336" s="166">
        <v>1.07612141761081E-2</v>
      </c>
      <c r="X336" s="166">
        <v>1.4313669445772299E-3</v>
      </c>
    </row>
    <row r="337" spans="1:24">
      <c r="A337" s="4">
        <v>424</v>
      </c>
      <c r="B337" s="4">
        <v>7228</v>
      </c>
      <c r="C337" s="4" t="s">
        <v>1985</v>
      </c>
      <c r="D337" s="4" t="s">
        <v>1986</v>
      </c>
      <c r="E337" s="4" t="s">
        <v>1342</v>
      </c>
      <c r="F337" s="4" t="s">
        <v>1987</v>
      </c>
      <c r="G337" s="4" t="s">
        <v>1988</v>
      </c>
      <c r="H337" s="4" t="s">
        <v>356</v>
      </c>
      <c r="I337" s="4" t="s">
        <v>965</v>
      </c>
      <c r="J337" s="4" t="s">
        <v>30</v>
      </c>
      <c r="K337" s="4" t="s">
        <v>334</v>
      </c>
      <c r="L337" s="2" t="s">
        <v>362</v>
      </c>
      <c r="M337" s="2" t="s">
        <v>31</v>
      </c>
      <c r="N337" s="4" t="s">
        <v>488</v>
      </c>
      <c r="O337" s="4" t="s">
        <v>155</v>
      </c>
      <c r="P337" s="4" t="s">
        <v>34</v>
      </c>
      <c r="Q337" s="152">
        <v>42500</v>
      </c>
      <c r="R337" s="167">
        <v>1</v>
      </c>
      <c r="S337" s="169">
        <v>6800</v>
      </c>
      <c r="U337" s="152">
        <v>2890</v>
      </c>
      <c r="V337" s="166">
        <v>3.9599999999999998E-4</v>
      </c>
      <c r="W337" s="166">
        <v>9.0005621949791406E-3</v>
      </c>
      <c r="X337" s="166">
        <v>1.19717970460132E-3</v>
      </c>
    </row>
    <row r="338" spans="1:24">
      <c r="A338" s="4">
        <v>424</v>
      </c>
      <c r="B338" s="4">
        <v>7228</v>
      </c>
      <c r="C338" s="4" t="s">
        <v>1989</v>
      </c>
      <c r="D338" s="4" t="s">
        <v>1990</v>
      </c>
      <c r="E338" s="4" t="s">
        <v>350</v>
      </c>
      <c r="F338" s="4" t="s">
        <v>1991</v>
      </c>
      <c r="G338" s="4" t="s">
        <v>1992</v>
      </c>
      <c r="H338" s="4" t="s">
        <v>356</v>
      </c>
      <c r="I338" s="4" t="s">
        <v>965</v>
      </c>
      <c r="J338" s="4" t="s">
        <v>97</v>
      </c>
      <c r="K338" s="4" t="s">
        <v>98</v>
      </c>
      <c r="L338" s="2" t="s">
        <v>362</v>
      </c>
      <c r="M338" s="2" t="s">
        <v>381</v>
      </c>
      <c r="N338" s="4" t="s">
        <v>549</v>
      </c>
      <c r="O338" s="4" t="s">
        <v>155</v>
      </c>
      <c r="P338" s="4" t="s">
        <v>102</v>
      </c>
      <c r="Q338" s="152">
        <v>19076</v>
      </c>
      <c r="R338" s="167">
        <v>3.71</v>
      </c>
      <c r="S338" s="169">
        <v>18633</v>
      </c>
      <c r="U338" s="152">
        <v>13186.939</v>
      </c>
      <c r="V338" s="166">
        <v>1.9999999999999999E-6</v>
      </c>
      <c r="W338" s="166">
        <v>4.10691582672209E-2</v>
      </c>
      <c r="X338" s="166">
        <v>5.4626768525641396E-3</v>
      </c>
    </row>
    <row r="339" spans="1:24">
      <c r="A339" s="4">
        <v>424</v>
      </c>
      <c r="B339" s="4">
        <v>7228</v>
      </c>
      <c r="C339" s="4" t="s">
        <v>1993</v>
      </c>
      <c r="D339" s="4" t="s">
        <v>1994</v>
      </c>
      <c r="E339" s="4" t="s">
        <v>350</v>
      </c>
      <c r="F339" s="4" t="s">
        <v>1995</v>
      </c>
      <c r="G339" s="4" t="s">
        <v>1996</v>
      </c>
      <c r="H339" s="4" t="s">
        <v>356</v>
      </c>
      <c r="I339" s="4" t="s">
        <v>965</v>
      </c>
      <c r="J339" s="4" t="s">
        <v>97</v>
      </c>
      <c r="K339" s="4" t="s">
        <v>98</v>
      </c>
      <c r="L339" s="2" t="s">
        <v>362</v>
      </c>
      <c r="M339" s="2" t="s">
        <v>381</v>
      </c>
      <c r="N339" s="4" t="s">
        <v>580</v>
      </c>
      <c r="O339" s="4" t="s">
        <v>155</v>
      </c>
      <c r="P339" s="4" t="s">
        <v>102</v>
      </c>
      <c r="Q339" s="152">
        <v>6465</v>
      </c>
      <c r="R339" s="167">
        <v>3.71</v>
      </c>
      <c r="S339" s="169">
        <v>23300</v>
      </c>
      <c r="U339" s="152">
        <v>5588.54</v>
      </c>
      <c r="V339" s="166">
        <v>0</v>
      </c>
      <c r="W339" s="166">
        <v>1.7404844774775299E-2</v>
      </c>
      <c r="X339" s="166">
        <v>2.3150472686829298E-3</v>
      </c>
    </row>
    <row r="340" spans="1:24">
      <c r="A340" s="4">
        <v>424</v>
      </c>
      <c r="B340" s="4">
        <v>7228</v>
      </c>
      <c r="C340" s="4" t="s">
        <v>1997</v>
      </c>
      <c r="D340" s="4" t="s">
        <v>1998</v>
      </c>
      <c r="E340" s="4" t="s">
        <v>350</v>
      </c>
      <c r="F340" s="4" t="s">
        <v>1999</v>
      </c>
      <c r="G340" s="4" t="s">
        <v>2000</v>
      </c>
      <c r="H340" s="4" t="s">
        <v>356</v>
      </c>
      <c r="I340" s="4" t="s">
        <v>965</v>
      </c>
      <c r="J340" s="4" t="s">
        <v>97</v>
      </c>
      <c r="K340" s="4" t="s">
        <v>98</v>
      </c>
      <c r="L340" s="2" t="s">
        <v>362</v>
      </c>
      <c r="M340" s="2" t="s">
        <v>381</v>
      </c>
      <c r="N340" s="4" t="s">
        <v>2001</v>
      </c>
      <c r="O340" s="4" t="s">
        <v>155</v>
      </c>
      <c r="P340" s="4" t="s">
        <v>102</v>
      </c>
      <c r="Q340" s="152">
        <v>2866</v>
      </c>
      <c r="R340" s="167">
        <v>3.71</v>
      </c>
      <c r="S340" s="169">
        <v>46026</v>
      </c>
      <c r="U340" s="152">
        <v>4893.88</v>
      </c>
      <c r="V340" s="166">
        <v>1.9999999999999999E-6</v>
      </c>
      <c r="W340" s="166">
        <v>1.5241409206659199E-2</v>
      </c>
      <c r="X340" s="166">
        <v>2.0272851158025301E-3</v>
      </c>
    </row>
    <row r="341" spans="1:24">
      <c r="A341" s="4">
        <v>424</v>
      </c>
      <c r="B341" s="4">
        <v>7228</v>
      </c>
      <c r="C341" s="4" t="s">
        <v>2002</v>
      </c>
      <c r="D341" s="4" t="s">
        <v>2003</v>
      </c>
      <c r="E341" s="4" t="s">
        <v>350</v>
      </c>
      <c r="F341" s="4" t="s">
        <v>2004</v>
      </c>
      <c r="G341" s="4" t="s">
        <v>2005</v>
      </c>
      <c r="H341" s="4" t="s">
        <v>356</v>
      </c>
      <c r="I341" s="4" t="s">
        <v>965</v>
      </c>
      <c r="J341" s="4" t="s">
        <v>97</v>
      </c>
      <c r="K341" s="4" t="s">
        <v>98</v>
      </c>
      <c r="L341" s="2" t="s">
        <v>362</v>
      </c>
      <c r="M341" s="2" t="s">
        <v>381</v>
      </c>
      <c r="N341" s="4" t="s">
        <v>568</v>
      </c>
      <c r="O341" s="4" t="s">
        <v>155</v>
      </c>
      <c r="P341" s="4" t="s">
        <v>102</v>
      </c>
      <c r="Q341" s="152">
        <v>3547</v>
      </c>
      <c r="R341" s="167">
        <v>3.71</v>
      </c>
      <c r="S341" s="169">
        <v>19384</v>
      </c>
      <c r="U341" s="152">
        <v>2550.8119999999999</v>
      </c>
      <c r="V341" s="166">
        <v>2.0999999999999999E-5</v>
      </c>
      <c r="W341" s="166">
        <v>7.9442022771823405E-3</v>
      </c>
      <c r="X341" s="166">
        <v>1.05667152000746E-3</v>
      </c>
    </row>
    <row r="342" spans="1:24">
      <c r="A342" s="4">
        <v>424</v>
      </c>
      <c r="B342" s="4">
        <v>7228</v>
      </c>
      <c r="C342" s="4" t="s">
        <v>2006</v>
      </c>
      <c r="D342" s="4" t="s">
        <v>2007</v>
      </c>
      <c r="E342" s="4" t="s">
        <v>1342</v>
      </c>
      <c r="F342" s="4" t="s">
        <v>2008</v>
      </c>
      <c r="G342" s="4" t="s">
        <v>2009</v>
      </c>
      <c r="H342" s="4" t="s">
        <v>356</v>
      </c>
      <c r="I342" s="4" t="s">
        <v>965</v>
      </c>
      <c r="J342" s="4" t="s">
        <v>97</v>
      </c>
      <c r="K342" s="4" t="s">
        <v>98</v>
      </c>
      <c r="L342" s="2" t="s">
        <v>362</v>
      </c>
      <c r="M342" s="2" t="s">
        <v>379</v>
      </c>
      <c r="N342" s="4" t="s">
        <v>568</v>
      </c>
      <c r="O342" s="4" t="s">
        <v>155</v>
      </c>
      <c r="P342" s="4" t="s">
        <v>102</v>
      </c>
      <c r="Q342" s="152">
        <v>94000</v>
      </c>
      <c r="R342" s="167">
        <v>3.71</v>
      </c>
      <c r="S342" s="169">
        <v>100</v>
      </c>
      <c r="U342" s="152">
        <v>348.74</v>
      </c>
      <c r="V342" s="166">
        <v>0</v>
      </c>
      <c r="W342" s="166">
        <v>1.08610936327925E-3</v>
      </c>
      <c r="X342" s="166">
        <v>1.4446520767566199E-4</v>
      </c>
    </row>
    <row r="343" spans="1:24">
      <c r="A343" s="4">
        <v>424</v>
      </c>
      <c r="B343" s="4">
        <v>7228</v>
      </c>
      <c r="C343" s="4" t="s">
        <v>2010</v>
      </c>
      <c r="D343" s="4" t="s">
        <v>2011</v>
      </c>
      <c r="E343" s="4" t="s">
        <v>350</v>
      </c>
      <c r="F343" s="4" t="s">
        <v>2010</v>
      </c>
      <c r="G343" s="4" t="s">
        <v>2012</v>
      </c>
      <c r="H343" s="4" t="s">
        <v>356</v>
      </c>
      <c r="I343" s="4" t="s">
        <v>965</v>
      </c>
      <c r="J343" s="4" t="s">
        <v>97</v>
      </c>
      <c r="K343" s="4" t="s">
        <v>98</v>
      </c>
      <c r="L343" s="2" t="s">
        <v>362</v>
      </c>
      <c r="M343" s="2" t="s">
        <v>1528</v>
      </c>
      <c r="N343" s="4" t="s">
        <v>564</v>
      </c>
      <c r="O343" s="4" t="s">
        <v>155</v>
      </c>
      <c r="P343" s="4" t="s">
        <v>102</v>
      </c>
      <c r="Q343" s="152">
        <v>3520</v>
      </c>
      <c r="R343" s="167">
        <v>3.71</v>
      </c>
      <c r="S343" s="169">
        <v>27802</v>
      </c>
      <c r="T343" s="151">
        <v>0.71499999999999997</v>
      </c>
      <c r="U343" s="152">
        <v>3633.3719999999998</v>
      </c>
      <c r="V343" s="166">
        <v>0</v>
      </c>
      <c r="W343" s="166">
        <v>1.13157055638051E-2</v>
      </c>
      <c r="X343" s="166">
        <v>1.50512076365504E-3</v>
      </c>
    </row>
    <row r="344" spans="1:24">
      <c r="A344" s="4">
        <v>424</v>
      </c>
      <c r="B344" s="4">
        <v>7228</v>
      </c>
      <c r="C344" s="4" t="s">
        <v>2013</v>
      </c>
      <c r="D344" s="4" t="s">
        <v>2014</v>
      </c>
      <c r="E344" s="4" t="s">
        <v>350</v>
      </c>
      <c r="F344" s="4" t="s">
        <v>2015</v>
      </c>
      <c r="G344" s="4" t="s">
        <v>2016</v>
      </c>
      <c r="H344" s="4" t="s">
        <v>356</v>
      </c>
      <c r="I344" s="4" t="s">
        <v>965</v>
      </c>
      <c r="J344" s="4" t="s">
        <v>97</v>
      </c>
      <c r="K344" s="4" t="s">
        <v>98</v>
      </c>
      <c r="L344" s="2" t="s">
        <v>362</v>
      </c>
      <c r="M344" s="2" t="s">
        <v>379</v>
      </c>
      <c r="N344" s="4" t="s">
        <v>2017</v>
      </c>
      <c r="O344" s="4" t="s">
        <v>155</v>
      </c>
      <c r="P344" s="4" t="s">
        <v>102</v>
      </c>
      <c r="Q344" s="152">
        <v>2268</v>
      </c>
      <c r="R344" s="167">
        <v>3.71</v>
      </c>
      <c r="S344" s="169">
        <v>41733</v>
      </c>
      <c r="U344" s="152">
        <v>3511.5309999999999</v>
      </c>
      <c r="V344" s="166">
        <v>3.9999999999999998E-6</v>
      </c>
      <c r="W344" s="166">
        <v>1.09362482411636E-2</v>
      </c>
      <c r="X344" s="166">
        <v>1.4546485158567701E-3</v>
      </c>
    </row>
    <row r="345" spans="1:24">
      <c r="A345" s="4">
        <v>424</v>
      </c>
      <c r="B345" s="4">
        <v>7228</v>
      </c>
      <c r="C345" s="4" t="s">
        <v>2141</v>
      </c>
      <c r="D345" s="4" t="s">
        <v>2142</v>
      </c>
      <c r="E345" s="4" t="s">
        <v>1342</v>
      </c>
      <c r="F345" s="4" t="s">
        <v>2143</v>
      </c>
      <c r="G345" s="4" t="s">
        <v>2144</v>
      </c>
      <c r="H345" s="4" t="s">
        <v>356</v>
      </c>
      <c r="I345" s="4" t="s">
        <v>965</v>
      </c>
      <c r="J345" s="4" t="s">
        <v>97</v>
      </c>
      <c r="K345" s="4" t="s">
        <v>98</v>
      </c>
      <c r="L345" s="2" t="s">
        <v>362</v>
      </c>
      <c r="M345" s="2" t="s">
        <v>379</v>
      </c>
      <c r="N345" s="4" t="s">
        <v>591</v>
      </c>
      <c r="O345" s="4" t="s">
        <v>155</v>
      </c>
      <c r="P345" s="4" t="s">
        <v>102</v>
      </c>
      <c r="Q345" s="152">
        <v>1900</v>
      </c>
      <c r="R345" s="167">
        <v>3.71</v>
      </c>
      <c r="S345" s="169">
        <v>1201</v>
      </c>
      <c r="U345" s="152">
        <v>84.658000000000001</v>
      </c>
      <c r="V345" s="166">
        <v>1.45E-4</v>
      </c>
      <c r="W345" s="166">
        <v>2.6365882511350102E-4</v>
      </c>
      <c r="X345" s="166">
        <v>3.5069697595222797E-5</v>
      </c>
    </row>
    <row r="346" spans="1:24">
      <c r="A346" s="4">
        <v>424</v>
      </c>
      <c r="B346" s="4">
        <v>7228</v>
      </c>
      <c r="C346" s="4" t="s">
        <v>2018</v>
      </c>
      <c r="D346" s="4" t="s">
        <v>2019</v>
      </c>
      <c r="E346" s="4" t="s">
        <v>350</v>
      </c>
      <c r="F346" s="4" t="s">
        <v>2018</v>
      </c>
      <c r="G346" s="4" t="s">
        <v>2020</v>
      </c>
      <c r="H346" s="4" t="s">
        <v>356</v>
      </c>
      <c r="I346" s="4" t="s">
        <v>965</v>
      </c>
      <c r="J346" s="4" t="s">
        <v>97</v>
      </c>
      <c r="K346" s="4" t="s">
        <v>98</v>
      </c>
      <c r="L346" s="2" t="s">
        <v>362</v>
      </c>
      <c r="M346" s="2" t="s">
        <v>381</v>
      </c>
      <c r="N346" s="4" t="s">
        <v>580</v>
      </c>
      <c r="O346" s="4" t="s">
        <v>155</v>
      </c>
      <c r="P346" s="4" t="s">
        <v>102</v>
      </c>
      <c r="Q346" s="152">
        <v>38000</v>
      </c>
      <c r="R346" s="167">
        <v>3.71</v>
      </c>
      <c r="S346" s="169">
        <v>3343</v>
      </c>
      <c r="U346" s="152">
        <v>4712.9610000000002</v>
      </c>
      <c r="V346" s="166">
        <v>9.2999999999999997E-5</v>
      </c>
      <c r="W346" s="166">
        <v>1.4677959239874E-2</v>
      </c>
      <c r="X346" s="166">
        <v>1.95233970126278E-3</v>
      </c>
    </row>
    <row r="347" spans="1:24">
      <c r="A347" s="4">
        <v>424</v>
      </c>
      <c r="B347" s="4">
        <v>7228</v>
      </c>
      <c r="C347" s="4" t="s">
        <v>2021</v>
      </c>
      <c r="D347" s="4" t="s">
        <v>2022</v>
      </c>
      <c r="E347" s="4" t="s">
        <v>350</v>
      </c>
      <c r="F347" s="4" t="s">
        <v>2023</v>
      </c>
      <c r="G347" s="4" t="s">
        <v>2024</v>
      </c>
      <c r="H347" s="4" t="s">
        <v>356</v>
      </c>
      <c r="I347" s="4" t="s">
        <v>965</v>
      </c>
      <c r="J347" s="4" t="s">
        <v>97</v>
      </c>
      <c r="K347" s="4" t="s">
        <v>98</v>
      </c>
      <c r="L347" s="2" t="s">
        <v>362</v>
      </c>
      <c r="M347" s="2" t="s">
        <v>381</v>
      </c>
      <c r="N347" s="4" t="s">
        <v>583</v>
      </c>
      <c r="O347" s="4" t="s">
        <v>155</v>
      </c>
      <c r="P347" s="4" t="s">
        <v>102</v>
      </c>
      <c r="Q347" s="152">
        <v>8287</v>
      </c>
      <c r="R347" s="167">
        <v>3.71</v>
      </c>
      <c r="S347" s="169">
        <v>16719</v>
      </c>
      <c r="U347" s="152">
        <v>5140.2179999999998</v>
      </c>
      <c r="V347" s="166">
        <v>9.9999999999999995E-7</v>
      </c>
      <c r="W347" s="166">
        <v>1.6008599540313299E-2</v>
      </c>
      <c r="X347" s="166">
        <v>2.1293303744341799E-3</v>
      </c>
    </row>
    <row r="348" spans="1:24">
      <c r="A348" s="4">
        <v>424</v>
      </c>
      <c r="B348" s="4">
        <v>7228</v>
      </c>
      <c r="C348" s="4" t="s">
        <v>2025</v>
      </c>
      <c r="D348" s="4" t="s">
        <v>2026</v>
      </c>
      <c r="E348" s="4" t="s">
        <v>350</v>
      </c>
      <c r="F348" s="4" t="s">
        <v>2027</v>
      </c>
      <c r="G348" s="4" t="s">
        <v>2028</v>
      </c>
      <c r="H348" s="4" t="s">
        <v>356</v>
      </c>
      <c r="I348" s="4" t="s">
        <v>965</v>
      </c>
      <c r="J348" s="4" t="s">
        <v>97</v>
      </c>
      <c r="K348" s="4" t="s">
        <v>319</v>
      </c>
      <c r="L348" s="2" t="s">
        <v>362</v>
      </c>
      <c r="M348" s="2" t="s">
        <v>401</v>
      </c>
      <c r="N348" s="4" t="s">
        <v>2029</v>
      </c>
      <c r="O348" s="4" t="s">
        <v>155</v>
      </c>
      <c r="P348" s="4" t="s">
        <v>1209</v>
      </c>
      <c r="Q348" s="152">
        <v>1830</v>
      </c>
      <c r="R348" s="167">
        <v>4.1524000000000001</v>
      </c>
      <c r="S348" s="169">
        <v>68850</v>
      </c>
      <c r="U348" s="152">
        <v>5231.8370000000004</v>
      </c>
      <c r="V348" s="166">
        <v>3.9999999999999998E-6</v>
      </c>
      <c r="W348" s="166">
        <v>1.62939361905096E-2</v>
      </c>
      <c r="X348" s="166">
        <v>2.1672834754954198E-3</v>
      </c>
    </row>
    <row r="349" spans="1:24">
      <c r="A349" s="4">
        <v>424</v>
      </c>
      <c r="B349" s="4">
        <v>7228</v>
      </c>
      <c r="C349" s="4" t="s">
        <v>2030</v>
      </c>
      <c r="D349" s="4" t="s">
        <v>2031</v>
      </c>
      <c r="E349" s="4" t="s">
        <v>350</v>
      </c>
      <c r="F349" s="4" t="s">
        <v>2032</v>
      </c>
      <c r="G349" s="4" t="s">
        <v>2033</v>
      </c>
      <c r="H349" s="4" t="s">
        <v>356</v>
      </c>
      <c r="I349" s="4" t="s">
        <v>965</v>
      </c>
      <c r="J349" s="4" t="s">
        <v>97</v>
      </c>
      <c r="K349" s="4" t="s">
        <v>98</v>
      </c>
      <c r="L349" s="2" t="s">
        <v>362</v>
      </c>
      <c r="M349" s="2" t="s">
        <v>379</v>
      </c>
      <c r="N349" s="4" t="s">
        <v>2001</v>
      </c>
      <c r="O349" s="4" t="s">
        <v>155</v>
      </c>
      <c r="P349" s="4" t="s">
        <v>102</v>
      </c>
      <c r="Q349" s="152">
        <v>3200</v>
      </c>
      <c r="R349" s="167">
        <v>3.71</v>
      </c>
      <c r="S349" s="169">
        <v>49380</v>
      </c>
      <c r="U349" s="152">
        <v>5862.3940000000002</v>
      </c>
      <c r="V349" s="166">
        <v>1.9999999999999999E-6</v>
      </c>
      <c r="W349" s="166">
        <v>1.8257729483822701E-2</v>
      </c>
      <c r="X349" s="166">
        <v>2.4284908783061099E-3</v>
      </c>
    </row>
    <row r="350" spans="1:24">
      <c r="A350" s="4">
        <v>424</v>
      </c>
      <c r="B350" s="4">
        <v>7228</v>
      </c>
      <c r="C350" s="4" t="s">
        <v>2038</v>
      </c>
      <c r="D350" s="4" t="s">
        <v>2039</v>
      </c>
      <c r="E350" s="4" t="s">
        <v>350</v>
      </c>
      <c r="F350" s="4" t="s">
        <v>2040</v>
      </c>
      <c r="G350" s="4" t="s">
        <v>2041</v>
      </c>
      <c r="H350" s="4" t="s">
        <v>356</v>
      </c>
      <c r="I350" s="4" t="s">
        <v>965</v>
      </c>
      <c r="J350" s="4" t="s">
        <v>97</v>
      </c>
      <c r="K350" s="4" t="s">
        <v>98</v>
      </c>
      <c r="L350" s="2" t="s">
        <v>362</v>
      </c>
      <c r="M350" s="2" t="s">
        <v>381</v>
      </c>
      <c r="N350" s="4" t="s">
        <v>578</v>
      </c>
      <c r="O350" s="4" t="s">
        <v>155</v>
      </c>
      <c r="P350" s="4" t="s">
        <v>102</v>
      </c>
      <c r="Q350" s="152">
        <v>9894</v>
      </c>
      <c r="R350" s="167">
        <v>3.71</v>
      </c>
      <c r="S350" s="169">
        <v>43030</v>
      </c>
      <c r="U350" s="152">
        <v>15794.91</v>
      </c>
      <c r="V350" s="166">
        <v>9.9999999999999995E-7</v>
      </c>
      <c r="W350" s="166">
        <v>4.9191374331218903E-2</v>
      </c>
      <c r="X350" s="166">
        <v>6.5430262815841999E-3</v>
      </c>
    </row>
    <row r="351" spans="1:24">
      <c r="A351" s="4">
        <v>424</v>
      </c>
      <c r="B351" s="4">
        <v>7228</v>
      </c>
      <c r="C351" s="4" t="s">
        <v>2042</v>
      </c>
      <c r="D351" s="4" t="s">
        <v>2043</v>
      </c>
      <c r="E351" s="4" t="s">
        <v>350</v>
      </c>
      <c r="F351" s="4" t="s">
        <v>2042</v>
      </c>
      <c r="G351" s="4" t="s">
        <v>2044</v>
      </c>
      <c r="H351" s="4" t="s">
        <v>356</v>
      </c>
      <c r="I351" s="4" t="s">
        <v>965</v>
      </c>
      <c r="J351" s="4" t="s">
        <v>97</v>
      </c>
      <c r="K351" s="4" t="s">
        <v>98</v>
      </c>
      <c r="L351" s="2" t="s">
        <v>362</v>
      </c>
      <c r="M351" s="2" t="s">
        <v>381</v>
      </c>
      <c r="N351" s="4" t="s">
        <v>568</v>
      </c>
      <c r="O351" s="4" t="s">
        <v>155</v>
      </c>
      <c r="P351" s="4" t="s">
        <v>102</v>
      </c>
      <c r="Q351" s="152">
        <v>15556</v>
      </c>
      <c r="R351" s="167">
        <v>3.71</v>
      </c>
      <c r="S351" s="169">
        <v>6683</v>
      </c>
      <c r="U351" s="152">
        <v>3856.944</v>
      </c>
      <c r="V351" s="166">
        <v>4.1E-5</v>
      </c>
      <c r="W351" s="166">
        <v>1.20119938102462E-2</v>
      </c>
      <c r="X351" s="166">
        <v>1.59773521807843E-3</v>
      </c>
    </row>
    <row r="352" spans="1:24">
      <c r="A352" s="4">
        <v>424</v>
      </c>
      <c r="B352" s="4">
        <v>7228</v>
      </c>
      <c r="C352" s="4" t="s">
        <v>2045</v>
      </c>
      <c r="D352" s="4" t="s">
        <v>2046</v>
      </c>
      <c r="E352" s="4" t="s">
        <v>350</v>
      </c>
      <c r="F352" s="4" t="s">
        <v>2047</v>
      </c>
      <c r="G352" s="4" t="s">
        <v>2048</v>
      </c>
      <c r="H352" s="4" t="s">
        <v>356</v>
      </c>
      <c r="I352" s="4" t="s">
        <v>965</v>
      </c>
      <c r="J352" s="4" t="s">
        <v>97</v>
      </c>
      <c r="K352" s="4" t="s">
        <v>98</v>
      </c>
      <c r="L352" s="2" t="s">
        <v>362</v>
      </c>
      <c r="M352" s="2" t="s">
        <v>381</v>
      </c>
      <c r="N352" s="4" t="s">
        <v>583</v>
      </c>
      <c r="O352" s="4" t="s">
        <v>155</v>
      </c>
      <c r="P352" s="4" t="s">
        <v>102</v>
      </c>
      <c r="Q352" s="152">
        <v>3100</v>
      </c>
      <c r="R352" s="167">
        <v>3.71</v>
      </c>
      <c r="S352" s="169">
        <v>70927</v>
      </c>
      <c r="U352" s="152">
        <v>8157.3140000000003</v>
      </c>
      <c r="V352" s="166">
        <v>6.9999999999999999E-6</v>
      </c>
      <c r="W352" s="166">
        <v>2.5404987692431099E-2</v>
      </c>
      <c r="X352" s="166">
        <v>3.3791595460549201E-3</v>
      </c>
    </row>
    <row r="353" spans="1:24">
      <c r="A353" s="4">
        <v>424</v>
      </c>
      <c r="B353" s="4">
        <v>7228</v>
      </c>
      <c r="C353" s="4" t="s">
        <v>2049</v>
      </c>
      <c r="D353" s="4" t="s">
        <v>2050</v>
      </c>
      <c r="E353" s="4" t="s">
        <v>350</v>
      </c>
      <c r="F353" s="4" t="s">
        <v>2049</v>
      </c>
      <c r="G353" s="4" t="s">
        <v>2051</v>
      </c>
      <c r="H353" s="4" t="s">
        <v>356</v>
      </c>
      <c r="I353" s="4" t="s">
        <v>965</v>
      </c>
      <c r="J353" s="4" t="s">
        <v>97</v>
      </c>
      <c r="K353" s="4" t="s">
        <v>98</v>
      </c>
      <c r="L353" s="2" t="s">
        <v>362</v>
      </c>
      <c r="M353" s="2" t="s">
        <v>379</v>
      </c>
      <c r="N353" s="4" t="s">
        <v>549</v>
      </c>
      <c r="O353" s="4" t="s">
        <v>155</v>
      </c>
      <c r="P353" s="4" t="s">
        <v>102</v>
      </c>
      <c r="Q353" s="152">
        <v>10000</v>
      </c>
      <c r="R353" s="167">
        <v>3.71</v>
      </c>
      <c r="S353" s="169">
        <v>8840</v>
      </c>
      <c r="T353" s="151">
        <v>3.7</v>
      </c>
      <c r="U353" s="152">
        <v>3293.3670000000002</v>
      </c>
      <c r="V353" s="166">
        <v>7.9999999999999996E-6</v>
      </c>
      <c r="W353" s="166">
        <v>1.02568008700318E-2</v>
      </c>
      <c r="X353" s="166">
        <v>1.3642740941881401E-3</v>
      </c>
    </row>
    <row r="354" spans="1:24">
      <c r="A354" s="4">
        <v>424</v>
      </c>
      <c r="B354" s="4">
        <v>7228</v>
      </c>
      <c r="C354" s="4" t="s">
        <v>2052</v>
      </c>
      <c r="D354" s="4" t="s">
        <v>2053</v>
      </c>
      <c r="E354" s="4" t="s">
        <v>350</v>
      </c>
      <c r="F354" s="4" t="s">
        <v>2054</v>
      </c>
      <c r="G354" s="4" t="s">
        <v>2055</v>
      </c>
      <c r="H354" s="4" t="s">
        <v>356</v>
      </c>
      <c r="I354" s="4" t="s">
        <v>965</v>
      </c>
      <c r="J354" s="4" t="s">
        <v>97</v>
      </c>
      <c r="K354" s="4" t="s">
        <v>98</v>
      </c>
      <c r="L354" s="2" t="s">
        <v>362</v>
      </c>
      <c r="M354" s="2" t="s">
        <v>379</v>
      </c>
      <c r="N354" s="4" t="s">
        <v>2017</v>
      </c>
      <c r="O354" s="4" t="s">
        <v>155</v>
      </c>
      <c r="P354" s="4" t="s">
        <v>102</v>
      </c>
      <c r="Q354" s="152">
        <v>577</v>
      </c>
      <c r="R354" s="167">
        <v>3.71</v>
      </c>
      <c r="S354" s="169">
        <v>52807</v>
      </c>
      <c r="U354" s="152">
        <v>1130.424</v>
      </c>
      <c r="V354" s="166">
        <v>3.9999999999999998E-6</v>
      </c>
      <c r="W354" s="166">
        <v>3.52057023549346E-3</v>
      </c>
      <c r="X354" s="166">
        <v>4.6827688573802801E-4</v>
      </c>
    </row>
    <row r="355" spans="1:24">
      <c r="A355" s="4">
        <v>424</v>
      </c>
      <c r="B355" s="4">
        <v>7228</v>
      </c>
      <c r="C355" s="4" t="s">
        <v>2056</v>
      </c>
      <c r="D355" s="4" t="s">
        <v>2057</v>
      </c>
      <c r="E355" s="4" t="s">
        <v>350</v>
      </c>
      <c r="F355" s="4" t="s">
        <v>2058</v>
      </c>
      <c r="G355" s="4" t="s">
        <v>2059</v>
      </c>
      <c r="H355" s="4" t="s">
        <v>356</v>
      </c>
      <c r="I355" s="4" t="s">
        <v>965</v>
      </c>
      <c r="J355" s="4" t="s">
        <v>97</v>
      </c>
      <c r="K355" s="4" t="s">
        <v>279</v>
      </c>
      <c r="L355" s="2" t="s">
        <v>362</v>
      </c>
      <c r="M355" s="2" t="s">
        <v>401</v>
      </c>
      <c r="N355" s="4" t="s">
        <v>568</v>
      </c>
      <c r="O355" s="4" t="s">
        <v>155</v>
      </c>
      <c r="P355" s="4" t="s">
        <v>102</v>
      </c>
      <c r="Q355" s="152">
        <v>13961</v>
      </c>
      <c r="R355" s="167">
        <v>3.71</v>
      </c>
      <c r="S355" s="169">
        <v>11907</v>
      </c>
      <c r="U355" s="152">
        <v>6167.268</v>
      </c>
      <c r="V355" s="166">
        <v>3.9999999999999998E-6</v>
      </c>
      <c r="W355" s="166">
        <v>1.9207223274103201E-2</v>
      </c>
      <c r="X355" s="166">
        <v>2.5547846220461299E-3</v>
      </c>
    </row>
    <row r="356" spans="1:24">
      <c r="A356" s="4">
        <v>424</v>
      </c>
      <c r="B356" s="4">
        <v>7228</v>
      </c>
      <c r="C356" s="4" t="s">
        <v>2060</v>
      </c>
      <c r="D356" s="4" t="s">
        <v>2061</v>
      </c>
      <c r="E356" s="4" t="s">
        <v>350</v>
      </c>
      <c r="F356" s="4" t="s">
        <v>2062</v>
      </c>
      <c r="G356" s="4" t="s">
        <v>2063</v>
      </c>
      <c r="H356" s="4" t="s">
        <v>356</v>
      </c>
      <c r="I356" s="4" t="s">
        <v>965</v>
      </c>
      <c r="J356" s="4" t="s">
        <v>97</v>
      </c>
      <c r="K356" s="4" t="s">
        <v>98</v>
      </c>
      <c r="L356" s="2" t="s">
        <v>362</v>
      </c>
      <c r="M356" s="2" t="s">
        <v>381</v>
      </c>
      <c r="N356" s="4" t="s">
        <v>582</v>
      </c>
      <c r="O356" s="4" t="s">
        <v>155</v>
      </c>
      <c r="P356" s="4" t="s">
        <v>102</v>
      </c>
      <c r="Q356" s="152">
        <v>27072</v>
      </c>
      <c r="R356" s="167">
        <v>3.71</v>
      </c>
      <c r="S356" s="169">
        <v>12144</v>
      </c>
      <c r="T356" s="151">
        <v>0.19</v>
      </c>
      <c r="U356" s="152">
        <v>12197.789000000001</v>
      </c>
      <c r="V356" s="166">
        <v>9.9999999999999995E-7</v>
      </c>
      <c r="W356" s="166">
        <v>3.7988567505546501E-2</v>
      </c>
      <c r="X356" s="166">
        <v>5.0529223663259102E-3</v>
      </c>
    </row>
    <row r="357" spans="1:24">
      <c r="A357" s="4">
        <v>424</v>
      </c>
      <c r="B357" s="4">
        <v>7228</v>
      </c>
      <c r="C357" s="4" t="s">
        <v>2064</v>
      </c>
      <c r="D357" s="4" t="s">
        <v>2065</v>
      </c>
      <c r="E357" s="4" t="s">
        <v>350</v>
      </c>
      <c r="F357" s="4" t="s">
        <v>2066</v>
      </c>
      <c r="G357" s="4" t="s">
        <v>2067</v>
      </c>
      <c r="H357" s="4" t="s">
        <v>356</v>
      </c>
      <c r="I357" s="4" t="s">
        <v>965</v>
      </c>
      <c r="J357" s="4" t="s">
        <v>97</v>
      </c>
      <c r="K357" s="4" t="s">
        <v>98</v>
      </c>
      <c r="L357" s="2" t="s">
        <v>362</v>
      </c>
      <c r="M357" s="2" t="s">
        <v>381</v>
      </c>
      <c r="N357" s="4" t="s">
        <v>568</v>
      </c>
      <c r="O357" s="4" t="s">
        <v>155</v>
      </c>
      <c r="P357" s="4" t="s">
        <v>102</v>
      </c>
      <c r="Q357" s="152">
        <v>4344</v>
      </c>
      <c r="R357" s="167">
        <v>3.71</v>
      </c>
      <c r="S357" s="169">
        <v>604.96</v>
      </c>
      <c r="U357" s="152">
        <v>97.497</v>
      </c>
      <c r="V357" s="166">
        <v>1.3799999999999999E-4</v>
      </c>
      <c r="W357" s="166">
        <v>3.0364223589983901E-4</v>
      </c>
      <c r="X357" s="166">
        <v>4.0387957374688998E-5</v>
      </c>
    </row>
    <row r="358" spans="1:24">
      <c r="A358" s="4">
        <v>424</v>
      </c>
      <c r="B358" s="4">
        <v>7228</v>
      </c>
      <c r="C358" s="4" t="s">
        <v>2068</v>
      </c>
      <c r="D358" s="4" t="s">
        <v>2069</v>
      </c>
      <c r="E358" s="4" t="s">
        <v>350</v>
      </c>
      <c r="F358" s="4" t="s">
        <v>2070</v>
      </c>
      <c r="G358" s="4" t="s">
        <v>2071</v>
      </c>
      <c r="H358" s="4" t="s">
        <v>356</v>
      </c>
      <c r="I358" s="4" t="s">
        <v>965</v>
      </c>
      <c r="J358" s="4" t="s">
        <v>97</v>
      </c>
      <c r="K358" s="4" t="s">
        <v>98</v>
      </c>
      <c r="L358" s="2" t="s">
        <v>362</v>
      </c>
      <c r="M358" s="2" t="s">
        <v>379</v>
      </c>
      <c r="N358" s="4" t="s">
        <v>602</v>
      </c>
      <c r="O358" s="4" t="s">
        <v>155</v>
      </c>
      <c r="P358" s="4" t="s">
        <v>102</v>
      </c>
      <c r="Q358" s="152">
        <v>10000</v>
      </c>
      <c r="R358" s="167">
        <v>3.71</v>
      </c>
      <c r="S358" s="169">
        <v>12628</v>
      </c>
      <c r="U358" s="152">
        <v>4684.9880000000003</v>
      </c>
      <c r="V358" s="166">
        <v>1.1E-5</v>
      </c>
      <c r="W358" s="166">
        <v>1.4590839403713101E-2</v>
      </c>
      <c r="X358" s="166">
        <v>1.94075174737049E-3</v>
      </c>
    </row>
    <row r="359" spans="1:24">
      <c r="A359" s="4">
        <v>424</v>
      </c>
      <c r="B359" s="4">
        <v>7228</v>
      </c>
      <c r="C359" s="4" t="s">
        <v>2072</v>
      </c>
      <c r="D359" s="4" t="s">
        <v>2073</v>
      </c>
      <c r="E359" s="4" t="s">
        <v>350</v>
      </c>
      <c r="F359" s="4" t="s">
        <v>2074</v>
      </c>
      <c r="G359" s="4" t="s">
        <v>2075</v>
      </c>
      <c r="H359" s="4" t="s">
        <v>356</v>
      </c>
      <c r="I359" s="4" t="s">
        <v>965</v>
      </c>
      <c r="J359" s="4" t="s">
        <v>97</v>
      </c>
      <c r="K359" s="4" t="s">
        <v>276</v>
      </c>
      <c r="L359" s="2" t="s">
        <v>362</v>
      </c>
      <c r="M359" s="2" t="s">
        <v>2076</v>
      </c>
      <c r="N359" s="4" t="s">
        <v>2077</v>
      </c>
      <c r="O359" s="4" t="s">
        <v>155</v>
      </c>
      <c r="P359" s="4" t="s">
        <v>1209</v>
      </c>
      <c r="Q359" s="152">
        <v>1760</v>
      </c>
      <c r="R359" s="167">
        <v>4.1524000000000001</v>
      </c>
      <c r="S359" s="169">
        <v>48640</v>
      </c>
      <c r="U359" s="152">
        <v>3554.72</v>
      </c>
      <c r="V359" s="166">
        <v>0</v>
      </c>
      <c r="W359" s="166">
        <v>1.1070754265820999E-2</v>
      </c>
      <c r="X359" s="166">
        <v>1.47253938526893E-3</v>
      </c>
    </row>
    <row r="360" spans="1:24">
      <c r="A360" s="4">
        <v>424</v>
      </c>
      <c r="B360" s="4">
        <v>7228</v>
      </c>
      <c r="C360" s="4" t="s">
        <v>2078</v>
      </c>
      <c r="D360" s="4" t="s">
        <v>2079</v>
      </c>
      <c r="E360" s="4" t="s">
        <v>350</v>
      </c>
      <c r="F360" s="4" t="s">
        <v>2080</v>
      </c>
      <c r="G360" s="4" t="s">
        <v>2081</v>
      </c>
      <c r="H360" s="4" t="s">
        <v>356</v>
      </c>
      <c r="I360" s="4" t="s">
        <v>965</v>
      </c>
      <c r="J360" s="4" t="s">
        <v>97</v>
      </c>
      <c r="K360" s="4" t="s">
        <v>98</v>
      </c>
      <c r="L360" s="2" t="s">
        <v>362</v>
      </c>
      <c r="M360" s="2" t="s">
        <v>379</v>
      </c>
      <c r="N360" s="4" t="s">
        <v>520</v>
      </c>
      <c r="O360" s="4" t="s">
        <v>155</v>
      </c>
      <c r="P360" s="4" t="s">
        <v>102</v>
      </c>
      <c r="Q360" s="152">
        <v>23281</v>
      </c>
      <c r="R360" s="167">
        <v>3.71</v>
      </c>
      <c r="S360" s="169">
        <v>4195</v>
      </c>
      <c r="T360" s="151">
        <v>6.423</v>
      </c>
      <c r="U360" s="152">
        <v>3647.1559999999999</v>
      </c>
      <c r="V360" s="166">
        <v>1.5999999999999999E-5</v>
      </c>
      <c r="W360" s="166">
        <v>1.13586350080757E-2</v>
      </c>
      <c r="X360" s="166">
        <v>1.5108308802341201E-3</v>
      </c>
    </row>
    <row r="361" spans="1:24">
      <c r="A361" s="4">
        <v>424</v>
      </c>
      <c r="B361" s="4">
        <v>7228</v>
      </c>
      <c r="C361" s="4" t="s">
        <v>2082</v>
      </c>
      <c r="D361" s="4" t="s">
        <v>2083</v>
      </c>
      <c r="E361" s="4" t="s">
        <v>350</v>
      </c>
      <c r="F361" s="4" t="s">
        <v>2084</v>
      </c>
      <c r="G361" s="4" t="s">
        <v>2085</v>
      </c>
      <c r="H361" s="4" t="s">
        <v>356</v>
      </c>
      <c r="I361" s="4" t="s">
        <v>965</v>
      </c>
      <c r="J361" s="4" t="s">
        <v>97</v>
      </c>
      <c r="K361" s="4" t="s">
        <v>306</v>
      </c>
      <c r="L361" s="2" t="s">
        <v>362</v>
      </c>
      <c r="M361" s="2" t="s">
        <v>379</v>
      </c>
      <c r="N361" s="4" t="s">
        <v>582</v>
      </c>
      <c r="O361" s="4" t="s">
        <v>155</v>
      </c>
      <c r="P361" s="4" t="s">
        <v>102</v>
      </c>
      <c r="Q361" s="152">
        <v>25824</v>
      </c>
      <c r="R361" s="167">
        <v>3.71</v>
      </c>
      <c r="S361" s="169">
        <v>17367</v>
      </c>
      <c r="T361" s="151">
        <v>12.811999999999999</v>
      </c>
      <c r="U361" s="152">
        <v>16686.342000000001</v>
      </c>
      <c r="V361" s="166">
        <v>5.0000000000000004E-6</v>
      </c>
      <c r="W361" s="166">
        <v>5.1967633570595202E-2</v>
      </c>
      <c r="X361" s="166">
        <v>6.9123011273207399E-3</v>
      </c>
    </row>
    <row r="362" spans="1:24">
      <c r="A362" s="4">
        <v>424</v>
      </c>
      <c r="B362" s="4">
        <v>7228</v>
      </c>
      <c r="C362" s="4" t="s">
        <v>2086</v>
      </c>
      <c r="D362" s="4" t="s">
        <v>2087</v>
      </c>
      <c r="E362" s="4" t="s">
        <v>350</v>
      </c>
      <c r="F362" s="4" t="s">
        <v>2086</v>
      </c>
      <c r="G362" s="4" t="s">
        <v>2088</v>
      </c>
      <c r="H362" s="4" t="s">
        <v>356</v>
      </c>
      <c r="I362" s="4" t="s">
        <v>965</v>
      </c>
      <c r="J362" s="4" t="s">
        <v>97</v>
      </c>
      <c r="K362" s="4" t="s">
        <v>98</v>
      </c>
      <c r="L362" s="2" t="s">
        <v>362</v>
      </c>
      <c r="M362" s="2" t="s">
        <v>381</v>
      </c>
      <c r="N362" s="4" t="s">
        <v>546</v>
      </c>
      <c r="O362" s="4" t="s">
        <v>155</v>
      </c>
      <c r="P362" s="4" t="s">
        <v>102</v>
      </c>
      <c r="Q362" s="152">
        <v>7051</v>
      </c>
      <c r="R362" s="167">
        <v>3.71</v>
      </c>
      <c r="S362" s="169">
        <v>26163</v>
      </c>
      <c r="U362" s="152">
        <v>6844.0339999999997</v>
      </c>
      <c r="V362" s="166">
        <v>1.9999999999999999E-6</v>
      </c>
      <c r="W362" s="166">
        <v>2.13149324194861E-2</v>
      </c>
      <c r="X362" s="166">
        <v>2.8351345110189199E-3</v>
      </c>
    </row>
    <row r="363" spans="1:24">
      <c r="A363" s="4">
        <v>424</v>
      </c>
      <c r="B363" s="4">
        <v>7228</v>
      </c>
      <c r="C363" s="4" t="s">
        <v>2089</v>
      </c>
      <c r="D363" s="4" t="s">
        <v>2090</v>
      </c>
      <c r="E363" s="4" t="s">
        <v>350</v>
      </c>
      <c r="F363" s="4" t="s">
        <v>2091</v>
      </c>
      <c r="G363" s="4" t="s">
        <v>2092</v>
      </c>
      <c r="H363" s="4" t="s">
        <v>356</v>
      </c>
      <c r="I363" s="4" t="s">
        <v>965</v>
      </c>
      <c r="J363" s="4" t="s">
        <v>97</v>
      </c>
      <c r="K363" s="4" t="s">
        <v>310</v>
      </c>
      <c r="L363" s="2" t="s">
        <v>362</v>
      </c>
      <c r="M363" s="2" t="s">
        <v>429</v>
      </c>
      <c r="N363" s="4" t="s">
        <v>602</v>
      </c>
      <c r="O363" s="4" t="s">
        <v>155</v>
      </c>
      <c r="P363" s="4" t="s">
        <v>1209</v>
      </c>
      <c r="Q363" s="152">
        <v>21248</v>
      </c>
      <c r="R363" s="167">
        <v>4.1524000000000001</v>
      </c>
      <c r="S363" s="169">
        <v>645</v>
      </c>
      <c r="U363" s="152">
        <v>569.08500000000004</v>
      </c>
      <c r="V363" s="166">
        <v>5.8859999999999997E-3</v>
      </c>
      <c r="W363" s="166">
        <v>1.77234697853088E-3</v>
      </c>
      <c r="X363" s="166">
        <v>2.35742810975993E-4</v>
      </c>
    </row>
    <row r="364" spans="1:24">
      <c r="A364" s="4">
        <v>424</v>
      </c>
      <c r="B364" s="4">
        <v>7228</v>
      </c>
      <c r="C364" s="4" t="s">
        <v>2093</v>
      </c>
      <c r="D364" s="4" t="s">
        <v>2094</v>
      </c>
      <c r="E364" s="4" t="s">
        <v>350</v>
      </c>
      <c r="F364" s="4" t="s">
        <v>2095</v>
      </c>
      <c r="G364" s="4" t="s">
        <v>2096</v>
      </c>
      <c r="H364" s="4" t="s">
        <v>356</v>
      </c>
      <c r="I364" s="4" t="s">
        <v>965</v>
      </c>
      <c r="J364" s="4" t="s">
        <v>97</v>
      </c>
      <c r="K364" s="4" t="s">
        <v>98</v>
      </c>
      <c r="L364" s="2" t="s">
        <v>362</v>
      </c>
      <c r="M364" s="2" t="s">
        <v>379</v>
      </c>
      <c r="N364" s="4" t="s">
        <v>2001</v>
      </c>
      <c r="O364" s="4" t="s">
        <v>155</v>
      </c>
      <c r="P364" s="4" t="s">
        <v>102</v>
      </c>
      <c r="Q364" s="152">
        <v>6124</v>
      </c>
      <c r="R364" s="167">
        <v>3.71</v>
      </c>
      <c r="S364" s="169">
        <v>27495</v>
      </c>
      <c r="U364" s="152">
        <v>6246.875</v>
      </c>
      <c r="V364" s="166">
        <v>3.9999999999999998E-6</v>
      </c>
      <c r="W364" s="166">
        <v>1.9455151191612199E-2</v>
      </c>
      <c r="X364" s="166">
        <v>2.58776192553184E-3</v>
      </c>
    </row>
    <row r="365" spans="1:24">
      <c r="A365" s="4">
        <v>424</v>
      </c>
      <c r="B365" s="4">
        <v>7228</v>
      </c>
      <c r="C365" s="4" t="s">
        <v>2097</v>
      </c>
      <c r="D365" s="4" t="s">
        <v>2098</v>
      </c>
      <c r="E365" s="4" t="s">
        <v>350</v>
      </c>
      <c r="F365" s="4" t="s">
        <v>2099</v>
      </c>
      <c r="G365" s="4" t="s">
        <v>2100</v>
      </c>
      <c r="H365" s="4" t="s">
        <v>356</v>
      </c>
      <c r="I365" s="4" t="s">
        <v>965</v>
      </c>
      <c r="J365" s="4" t="s">
        <v>97</v>
      </c>
      <c r="K365" s="4" t="s">
        <v>98</v>
      </c>
      <c r="L365" s="2" t="s">
        <v>362</v>
      </c>
      <c r="M365" s="2" t="s">
        <v>379</v>
      </c>
      <c r="N365" s="4" t="s">
        <v>583</v>
      </c>
      <c r="O365" s="4" t="s">
        <v>155</v>
      </c>
      <c r="P365" s="4" t="s">
        <v>102</v>
      </c>
      <c r="Q365" s="152">
        <v>9884</v>
      </c>
      <c r="R365" s="167">
        <v>3.71</v>
      </c>
      <c r="S365" s="169">
        <v>9619</v>
      </c>
      <c r="U365" s="152">
        <v>3527.2530000000002</v>
      </c>
      <c r="V365" s="166">
        <v>5.0000000000000004E-6</v>
      </c>
      <c r="W365" s="166">
        <v>1.09852100512602E-2</v>
      </c>
      <c r="X365" s="166">
        <v>1.4611610074187901E-3</v>
      </c>
    </row>
    <row r="366" spans="1:24">
      <c r="A366" s="4">
        <v>424</v>
      </c>
      <c r="B366" s="4">
        <v>7228</v>
      </c>
      <c r="C366" s="4" t="s">
        <v>2145</v>
      </c>
      <c r="D366" s="4" t="s">
        <v>2146</v>
      </c>
      <c r="E366" s="4" t="s">
        <v>1342</v>
      </c>
      <c r="F366" s="4" t="s">
        <v>2147</v>
      </c>
      <c r="G366" s="4" t="s">
        <v>2148</v>
      </c>
      <c r="H366" s="4" t="s">
        <v>356</v>
      </c>
      <c r="I366" s="4" t="s">
        <v>965</v>
      </c>
      <c r="J366" s="4" t="s">
        <v>97</v>
      </c>
      <c r="K366" s="4" t="s">
        <v>30</v>
      </c>
      <c r="L366" s="2" t="s">
        <v>362</v>
      </c>
      <c r="M366" s="2" t="s">
        <v>381</v>
      </c>
      <c r="N366" s="4" t="s">
        <v>514</v>
      </c>
      <c r="O366" s="4" t="s">
        <v>155</v>
      </c>
      <c r="P366" s="4" t="s">
        <v>102</v>
      </c>
      <c r="Q366" s="152">
        <v>20000</v>
      </c>
      <c r="R366" s="167">
        <v>3.71</v>
      </c>
      <c r="S366" s="169">
        <v>1177</v>
      </c>
      <c r="U366" s="152">
        <v>873.33399999999995</v>
      </c>
      <c r="V366" s="166">
        <v>4.08E-4</v>
      </c>
      <c r="W366" s="166">
        <v>2.71989515016952E-3</v>
      </c>
      <c r="X366" s="166">
        <v>3.6177776475373303E-4</v>
      </c>
    </row>
    <row r="367" spans="1:24">
      <c r="A367" s="4">
        <v>424</v>
      </c>
      <c r="B367" s="4">
        <v>7228</v>
      </c>
      <c r="C367" s="4" t="s">
        <v>2064</v>
      </c>
      <c r="D367" s="4" t="s">
        <v>2065</v>
      </c>
      <c r="E367" s="4" t="s">
        <v>350</v>
      </c>
      <c r="F367" s="4" t="s">
        <v>2149</v>
      </c>
      <c r="G367" s="4" t="s">
        <v>2150</v>
      </c>
      <c r="H367" s="4" t="s">
        <v>356</v>
      </c>
      <c r="I367" s="4" t="s">
        <v>965</v>
      </c>
      <c r="J367" s="4" t="s">
        <v>97</v>
      </c>
      <c r="K367" s="4" t="s">
        <v>98</v>
      </c>
      <c r="L367" s="2" t="s">
        <v>362</v>
      </c>
      <c r="M367" s="2" t="s">
        <v>381</v>
      </c>
      <c r="N367" s="4" t="s">
        <v>477</v>
      </c>
      <c r="O367" s="4" t="s">
        <v>155</v>
      </c>
      <c r="P367" s="4" t="s">
        <v>102</v>
      </c>
      <c r="Q367" s="152">
        <v>1063</v>
      </c>
      <c r="R367" s="167">
        <v>3.71</v>
      </c>
      <c r="S367" s="169">
        <v>604.96</v>
      </c>
      <c r="U367" s="152">
        <v>23.858000000000001</v>
      </c>
      <c r="V367" s="166">
        <v>3.3000000000000003E-5</v>
      </c>
      <c r="W367" s="166">
        <v>7.4302876786724097E-5</v>
      </c>
      <c r="X367" s="166">
        <v>9.8831488695429003E-6</v>
      </c>
    </row>
    <row r="368" spans="1:24">
      <c r="A368" s="4">
        <v>424</v>
      </c>
      <c r="B368" s="4">
        <v>7229</v>
      </c>
      <c r="C368" s="4" t="s">
        <v>1784</v>
      </c>
      <c r="D368" s="4" t="s">
        <v>1785</v>
      </c>
      <c r="E368" s="4" t="s">
        <v>349</v>
      </c>
      <c r="F368" s="4" t="s">
        <v>1786</v>
      </c>
      <c r="G368" s="4" t="s">
        <v>1787</v>
      </c>
      <c r="H368" s="4" t="s">
        <v>356</v>
      </c>
      <c r="I368" s="4" t="s">
        <v>965</v>
      </c>
      <c r="J368" s="4" t="s">
        <v>30</v>
      </c>
      <c r="K368" s="4" t="s">
        <v>98</v>
      </c>
      <c r="L368" s="2" t="s">
        <v>362</v>
      </c>
      <c r="M368" s="2" t="s">
        <v>31</v>
      </c>
      <c r="N368" s="4" t="s">
        <v>474</v>
      </c>
      <c r="O368" s="4" t="s">
        <v>155</v>
      </c>
      <c r="P368" s="4" t="s">
        <v>34</v>
      </c>
      <c r="Q368" s="152">
        <v>722</v>
      </c>
      <c r="R368" s="167">
        <v>1</v>
      </c>
      <c r="S368" s="169">
        <v>28560</v>
      </c>
      <c r="U368" s="152">
        <v>206.203</v>
      </c>
      <c r="V368" s="166">
        <v>1.2999999999999999E-5</v>
      </c>
      <c r="W368" s="166">
        <v>1.5901435443265801E-2</v>
      </c>
      <c r="X368" s="166">
        <v>1.4155721944083301E-3</v>
      </c>
    </row>
    <row r="369" spans="1:24">
      <c r="A369" s="4">
        <v>424</v>
      </c>
      <c r="B369" s="4">
        <v>7229</v>
      </c>
      <c r="C369" s="4" t="s">
        <v>1788</v>
      </c>
      <c r="D369" s="4" t="s">
        <v>1789</v>
      </c>
      <c r="E369" s="4" t="s">
        <v>1342</v>
      </c>
      <c r="F369" s="4" t="s">
        <v>1790</v>
      </c>
      <c r="G369" s="4" t="s">
        <v>1791</v>
      </c>
      <c r="H369" s="4" t="s">
        <v>356</v>
      </c>
      <c r="I369" s="4" t="s">
        <v>965</v>
      </c>
      <c r="J369" s="4" t="s">
        <v>30</v>
      </c>
      <c r="K369" s="4" t="s">
        <v>30</v>
      </c>
      <c r="L369" s="2" t="s">
        <v>362</v>
      </c>
      <c r="M369" s="2" t="s">
        <v>31</v>
      </c>
      <c r="N369" s="4" t="s">
        <v>489</v>
      </c>
      <c r="O369" s="4" t="s">
        <v>155</v>
      </c>
      <c r="P369" s="4" t="s">
        <v>34</v>
      </c>
      <c r="Q369" s="152">
        <v>9442</v>
      </c>
      <c r="R369" s="167">
        <v>1</v>
      </c>
      <c r="S369" s="169">
        <v>1588</v>
      </c>
      <c r="U369" s="152">
        <v>149.93899999999999</v>
      </c>
      <c r="V369" s="166">
        <v>6.9999999999999999E-6</v>
      </c>
      <c r="W369" s="166">
        <v>1.15625979270468E-2</v>
      </c>
      <c r="X369" s="166">
        <v>1.02932167218793E-3</v>
      </c>
    </row>
    <row r="370" spans="1:24">
      <c r="A370" s="4">
        <v>424</v>
      </c>
      <c r="B370" s="4">
        <v>7229</v>
      </c>
      <c r="C370" s="4" t="s">
        <v>1792</v>
      </c>
      <c r="D370" s="4" t="s">
        <v>1793</v>
      </c>
      <c r="E370" s="4" t="s">
        <v>1342</v>
      </c>
      <c r="F370" s="4" t="s">
        <v>1794</v>
      </c>
      <c r="G370" s="4" t="s">
        <v>1795</v>
      </c>
      <c r="H370" s="4" t="s">
        <v>356</v>
      </c>
      <c r="I370" s="4" t="s">
        <v>965</v>
      </c>
      <c r="J370" s="4" t="s">
        <v>30</v>
      </c>
      <c r="K370" s="4" t="s">
        <v>30</v>
      </c>
      <c r="L370" s="2" t="s">
        <v>362</v>
      </c>
      <c r="M370" s="2" t="s">
        <v>31</v>
      </c>
      <c r="N370" s="4" t="s">
        <v>478</v>
      </c>
      <c r="O370" s="4" t="s">
        <v>155</v>
      </c>
      <c r="P370" s="4" t="s">
        <v>34</v>
      </c>
      <c r="Q370" s="152">
        <v>464</v>
      </c>
      <c r="R370" s="167">
        <v>1</v>
      </c>
      <c r="S370" s="169">
        <v>12010</v>
      </c>
      <c r="U370" s="152">
        <v>55.725999999999999</v>
      </c>
      <c r="V370" s="166">
        <v>3.1999999999999999E-5</v>
      </c>
      <c r="W370" s="166">
        <v>4.2973617872351603E-3</v>
      </c>
      <c r="X370" s="166">
        <v>3.8255828393776698E-4</v>
      </c>
    </row>
    <row r="371" spans="1:24">
      <c r="A371" s="4">
        <v>424</v>
      </c>
      <c r="B371" s="4">
        <v>7229</v>
      </c>
      <c r="C371" s="4" t="s">
        <v>1796</v>
      </c>
      <c r="D371" s="4" t="s">
        <v>1797</v>
      </c>
      <c r="E371" s="4" t="s">
        <v>1342</v>
      </c>
      <c r="F371" s="4" t="s">
        <v>1798</v>
      </c>
      <c r="G371" s="4" t="s">
        <v>1799</v>
      </c>
      <c r="H371" s="4" t="s">
        <v>356</v>
      </c>
      <c r="I371" s="4" t="s">
        <v>965</v>
      </c>
      <c r="J371" s="4" t="s">
        <v>30</v>
      </c>
      <c r="K371" s="4" t="s">
        <v>30</v>
      </c>
      <c r="L371" s="2" t="s">
        <v>362</v>
      </c>
      <c r="M371" s="2" t="s">
        <v>31</v>
      </c>
      <c r="N371" s="4" t="s">
        <v>496</v>
      </c>
      <c r="O371" s="4" t="s">
        <v>155</v>
      </c>
      <c r="P371" s="4" t="s">
        <v>34</v>
      </c>
      <c r="Q371" s="152">
        <v>4800</v>
      </c>
      <c r="R371" s="167">
        <v>1</v>
      </c>
      <c r="S371" s="169">
        <v>1271</v>
      </c>
      <c r="U371" s="152">
        <v>61.008000000000003</v>
      </c>
      <c r="V371" s="166">
        <v>3.3000000000000003E-5</v>
      </c>
      <c r="W371" s="166">
        <v>4.7046543095488396E-3</v>
      </c>
      <c r="X371" s="166">
        <v>4.1881614076048798E-4</v>
      </c>
    </row>
    <row r="372" spans="1:24">
      <c r="A372" s="4">
        <v>424</v>
      </c>
      <c r="B372" s="4">
        <v>7229</v>
      </c>
      <c r="C372" s="4" t="s">
        <v>1804</v>
      </c>
      <c r="D372" s="4" t="s">
        <v>1805</v>
      </c>
      <c r="E372" s="4" t="s">
        <v>1342</v>
      </c>
      <c r="F372" s="4" t="s">
        <v>1806</v>
      </c>
      <c r="G372" s="4" t="s">
        <v>1807</v>
      </c>
      <c r="H372" s="4" t="s">
        <v>356</v>
      </c>
      <c r="I372" s="4" t="s">
        <v>965</v>
      </c>
      <c r="J372" s="4" t="s">
        <v>30</v>
      </c>
      <c r="K372" s="4" t="s">
        <v>30</v>
      </c>
      <c r="L372" s="2" t="s">
        <v>362</v>
      </c>
      <c r="M372" s="2" t="s">
        <v>31</v>
      </c>
      <c r="N372" s="4" t="s">
        <v>479</v>
      </c>
      <c r="O372" s="4" t="s">
        <v>155</v>
      </c>
      <c r="P372" s="4" t="s">
        <v>34</v>
      </c>
      <c r="Q372" s="152">
        <v>247</v>
      </c>
      <c r="R372" s="167">
        <v>1</v>
      </c>
      <c r="S372" s="169">
        <v>74080</v>
      </c>
      <c r="U372" s="152">
        <v>182.97800000000001</v>
      </c>
      <c r="V372" s="166">
        <v>6.0000000000000002E-6</v>
      </c>
      <c r="W372" s="166">
        <v>1.4110384775618001E-2</v>
      </c>
      <c r="X372" s="166">
        <v>1.2561298891557899E-3</v>
      </c>
    </row>
    <row r="373" spans="1:24">
      <c r="A373" s="4">
        <v>424</v>
      </c>
      <c r="B373" s="4">
        <v>7229</v>
      </c>
      <c r="C373" s="4" t="s">
        <v>1808</v>
      </c>
      <c r="D373" s="4" t="s">
        <v>1809</v>
      </c>
      <c r="E373" s="4" t="s">
        <v>1342</v>
      </c>
      <c r="F373" s="4" t="s">
        <v>1810</v>
      </c>
      <c r="G373" s="4" t="s">
        <v>1811</v>
      </c>
      <c r="H373" s="4" t="s">
        <v>356</v>
      </c>
      <c r="I373" s="4" t="s">
        <v>965</v>
      </c>
      <c r="J373" s="4" t="s">
        <v>30</v>
      </c>
      <c r="K373" s="4" t="s">
        <v>30</v>
      </c>
      <c r="L373" s="2" t="s">
        <v>362</v>
      </c>
      <c r="M373" s="2" t="s">
        <v>31</v>
      </c>
      <c r="N373" s="4" t="s">
        <v>484</v>
      </c>
      <c r="O373" s="4" t="s">
        <v>155</v>
      </c>
      <c r="P373" s="4" t="s">
        <v>34</v>
      </c>
      <c r="Q373" s="152">
        <v>73</v>
      </c>
      <c r="R373" s="167">
        <v>1</v>
      </c>
      <c r="S373" s="169">
        <v>148500</v>
      </c>
      <c r="T373" s="151">
        <v>0.81799999999999995</v>
      </c>
      <c r="U373" s="152">
        <v>109.223</v>
      </c>
      <c r="V373" s="166">
        <v>1.9000000000000001E-5</v>
      </c>
      <c r="W373" s="166">
        <v>8.4227539926134496E-3</v>
      </c>
      <c r="X373" s="166">
        <v>7.4980755006835904E-4</v>
      </c>
    </row>
    <row r="374" spans="1:24">
      <c r="A374" s="4">
        <v>424</v>
      </c>
      <c r="B374" s="4">
        <v>7229</v>
      </c>
      <c r="C374" s="4" t="s">
        <v>1812</v>
      </c>
      <c r="D374" s="4" t="s">
        <v>1813</v>
      </c>
      <c r="E374" s="4" t="s">
        <v>1342</v>
      </c>
      <c r="F374" s="4" t="s">
        <v>1814</v>
      </c>
      <c r="G374" s="4" t="s">
        <v>1815</v>
      </c>
      <c r="H374" s="4" t="s">
        <v>356</v>
      </c>
      <c r="I374" s="4" t="s">
        <v>965</v>
      </c>
      <c r="J374" s="4" t="s">
        <v>30</v>
      </c>
      <c r="K374" s="4" t="s">
        <v>98</v>
      </c>
      <c r="L374" s="2" t="s">
        <v>362</v>
      </c>
      <c r="M374" s="2" t="s">
        <v>31</v>
      </c>
      <c r="N374" s="4" t="s">
        <v>474</v>
      </c>
      <c r="O374" s="4" t="s">
        <v>155</v>
      </c>
      <c r="P374" s="4" t="s">
        <v>34</v>
      </c>
      <c r="Q374" s="152">
        <v>2778.8</v>
      </c>
      <c r="R374" s="167">
        <v>1</v>
      </c>
      <c r="S374" s="169">
        <v>6254</v>
      </c>
      <c r="U374" s="152">
        <v>173.786</v>
      </c>
      <c r="V374" s="166">
        <v>2.3E-5</v>
      </c>
      <c r="W374" s="166">
        <v>1.34015828898949E-2</v>
      </c>
      <c r="X374" s="166">
        <v>1.1930311680149401E-3</v>
      </c>
    </row>
    <row r="375" spans="1:24">
      <c r="A375" s="4">
        <v>424</v>
      </c>
      <c r="B375" s="4">
        <v>7229</v>
      </c>
      <c r="C375" s="4" t="s">
        <v>1820</v>
      </c>
      <c r="D375" s="4" t="s">
        <v>1821</v>
      </c>
      <c r="E375" s="4" t="s">
        <v>1342</v>
      </c>
      <c r="F375" s="4" t="s">
        <v>1822</v>
      </c>
      <c r="G375" s="4" t="s">
        <v>1823</v>
      </c>
      <c r="H375" s="4" t="s">
        <v>356</v>
      </c>
      <c r="I375" s="4" t="s">
        <v>965</v>
      </c>
      <c r="J375" s="4" t="s">
        <v>30</v>
      </c>
      <c r="K375" s="4" t="s">
        <v>30</v>
      </c>
      <c r="L375" s="2" t="s">
        <v>362</v>
      </c>
      <c r="M375" s="2" t="s">
        <v>31</v>
      </c>
      <c r="N375" s="4" t="s">
        <v>474</v>
      </c>
      <c r="O375" s="4" t="s">
        <v>155</v>
      </c>
      <c r="P375" s="4" t="s">
        <v>34</v>
      </c>
      <c r="Q375" s="152">
        <v>6573</v>
      </c>
      <c r="R375" s="167">
        <v>1</v>
      </c>
      <c r="S375" s="169">
        <v>1348</v>
      </c>
      <c r="U375" s="152">
        <v>88.603999999999999</v>
      </c>
      <c r="V375" s="166">
        <v>1.2E-5</v>
      </c>
      <c r="W375" s="166">
        <v>6.8327330617203898E-3</v>
      </c>
      <c r="X375" s="166">
        <v>6.0826124587903103E-4</v>
      </c>
    </row>
    <row r="376" spans="1:24">
      <c r="A376" s="4">
        <v>424</v>
      </c>
      <c r="B376" s="4">
        <v>7229</v>
      </c>
      <c r="C376" s="4" t="s">
        <v>1828</v>
      </c>
      <c r="D376" s="4" t="s">
        <v>1829</v>
      </c>
      <c r="E376" s="4" t="s">
        <v>1342</v>
      </c>
      <c r="F376" s="4" t="s">
        <v>1830</v>
      </c>
      <c r="G376" s="4" t="s">
        <v>1831</v>
      </c>
      <c r="H376" s="4" t="s">
        <v>356</v>
      </c>
      <c r="I376" s="4" t="s">
        <v>965</v>
      </c>
      <c r="J376" s="4" t="s">
        <v>30</v>
      </c>
      <c r="K376" s="4" t="s">
        <v>30</v>
      </c>
      <c r="L376" s="2" t="s">
        <v>362</v>
      </c>
      <c r="M376" s="2" t="s">
        <v>31</v>
      </c>
      <c r="N376" s="4" t="s">
        <v>480</v>
      </c>
      <c r="O376" s="4" t="s">
        <v>155</v>
      </c>
      <c r="P376" s="4" t="s">
        <v>34</v>
      </c>
      <c r="Q376" s="152">
        <v>4010</v>
      </c>
      <c r="R376" s="167">
        <v>1</v>
      </c>
      <c r="S376" s="169">
        <v>5176</v>
      </c>
      <c r="U376" s="152">
        <v>207.55799999999999</v>
      </c>
      <c r="V376" s="166">
        <v>4.0000000000000003E-5</v>
      </c>
      <c r="W376" s="166">
        <v>1.6005880496322001E-2</v>
      </c>
      <c r="X376" s="166">
        <v>1.42487006650782E-3</v>
      </c>
    </row>
    <row r="377" spans="1:24">
      <c r="A377" s="4">
        <v>424</v>
      </c>
      <c r="B377" s="4">
        <v>7229</v>
      </c>
      <c r="C377" s="4" t="s">
        <v>1836</v>
      </c>
      <c r="D377" s="4" t="s">
        <v>1837</v>
      </c>
      <c r="E377" s="4" t="s">
        <v>1342</v>
      </c>
      <c r="F377" s="4" t="s">
        <v>1838</v>
      </c>
      <c r="G377" s="4" t="s">
        <v>1839</v>
      </c>
      <c r="H377" s="4" t="s">
        <v>356</v>
      </c>
      <c r="I377" s="4" t="s">
        <v>965</v>
      </c>
      <c r="J377" s="4" t="s">
        <v>30</v>
      </c>
      <c r="K377" s="4" t="s">
        <v>30</v>
      </c>
      <c r="L377" s="2" t="s">
        <v>362</v>
      </c>
      <c r="M377" s="2" t="s">
        <v>31</v>
      </c>
      <c r="N377" s="4" t="s">
        <v>473</v>
      </c>
      <c r="O377" s="4" t="s">
        <v>155</v>
      </c>
      <c r="P377" s="4" t="s">
        <v>34</v>
      </c>
      <c r="Q377" s="152">
        <v>57981</v>
      </c>
      <c r="R377" s="167">
        <v>1</v>
      </c>
      <c r="S377" s="169">
        <v>96.1</v>
      </c>
      <c r="U377" s="152">
        <v>55.72</v>
      </c>
      <c r="V377" s="166">
        <v>1.9000000000000001E-5</v>
      </c>
      <c r="W377" s="166">
        <v>4.29684827600634E-3</v>
      </c>
      <c r="X377" s="166">
        <v>3.8251257031526902E-4</v>
      </c>
    </row>
    <row r="378" spans="1:24">
      <c r="A378" s="4">
        <v>424</v>
      </c>
      <c r="B378" s="4">
        <v>7229</v>
      </c>
      <c r="C378" s="4" t="s">
        <v>1840</v>
      </c>
      <c r="D378" s="4" t="s">
        <v>1841</v>
      </c>
      <c r="E378" s="4" t="s">
        <v>1342</v>
      </c>
      <c r="F378" s="4" t="s">
        <v>1842</v>
      </c>
      <c r="G378" s="4" t="s">
        <v>1843</v>
      </c>
      <c r="H378" s="4" t="s">
        <v>356</v>
      </c>
      <c r="I378" s="4" t="s">
        <v>965</v>
      </c>
      <c r="J378" s="4" t="s">
        <v>30</v>
      </c>
      <c r="K378" s="4" t="s">
        <v>30</v>
      </c>
      <c r="L378" s="2" t="s">
        <v>362</v>
      </c>
      <c r="M378" s="2" t="s">
        <v>31</v>
      </c>
      <c r="N378" s="4" t="s">
        <v>518</v>
      </c>
      <c r="O378" s="4" t="s">
        <v>155</v>
      </c>
      <c r="P378" s="4" t="s">
        <v>34</v>
      </c>
      <c r="Q378" s="152">
        <v>59127</v>
      </c>
      <c r="R378" s="167">
        <v>1</v>
      </c>
      <c r="S378" s="169">
        <v>428.6</v>
      </c>
      <c r="T378" s="151">
        <v>8.6940000000000008</v>
      </c>
      <c r="U378" s="152">
        <v>262.11200000000002</v>
      </c>
      <c r="V378" s="166">
        <v>2.0999999999999999E-5</v>
      </c>
      <c r="W378" s="166">
        <v>2.02128840488204E-2</v>
      </c>
      <c r="X378" s="166">
        <v>1.79938451031018E-3</v>
      </c>
    </row>
    <row r="379" spans="1:24">
      <c r="A379" s="4">
        <v>424</v>
      </c>
      <c r="B379" s="4">
        <v>7229</v>
      </c>
      <c r="C379" s="4" t="s">
        <v>1856</v>
      </c>
      <c r="D379" s="4" t="s">
        <v>1857</v>
      </c>
      <c r="E379" s="4" t="s">
        <v>1342</v>
      </c>
      <c r="F379" s="4" t="s">
        <v>1858</v>
      </c>
      <c r="G379" s="4" t="s">
        <v>1859</v>
      </c>
      <c r="H379" s="4" t="s">
        <v>356</v>
      </c>
      <c r="I379" s="4" t="s">
        <v>965</v>
      </c>
      <c r="J379" s="4" t="s">
        <v>30</v>
      </c>
      <c r="K379" s="4" t="s">
        <v>30</v>
      </c>
      <c r="L379" s="2" t="s">
        <v>362</v>
      </c>
      <c r="M379" s="2" t="s">
        <v>31</v>
      </c>
      <c r="N379" s="4" t="s">
        <v>481</v>
      </c>
      <c r="O379" s="4" t="s">
        <v>155</v>
      </c>
      <c r="P379" s="4" t="s">
        <v>34</v>
      </c>
      <c r="Q379" s="152">
        <v>13974</v>
      </c>
      <c r="R379" s="167">
        <v>1</v>
      </c>
      <c r="S379" s="169">
        <v>2085</v>
      </c>
      <c r="U379" s="152">
        <v>291.358</v>
      </c>
      <c r="V379" s="166">
        <v>1.1E-5</v>
      </c>
      <c r="W379" s="166">
        <v>2.2468171385000301E-2</v>
      </c>
      <c r="X379" s="166">
        <v>2.0001539348623201E-3</v>
      </c>
    </row>
    <row r="380" spans="1:24">
      <c r="A380" s="4">
        <v>424</v>
      </c>
      <c r="B380" s="4">
        <v>7229</v>
      </c>
      <c r="C380" s="4" t="s">
        <v>1860</v>
      </c>
      <c r="D380" s="4" t="s">
        <v>1861</v>
      </c>
      <c r="E380" s="4" t="s">
        <v>1342</v>
      </c>
      <c r="F380" s="4" t="s">
        <v>1862</v>
      </c>
      <c r="G380" s="4" t="s">
        <v>1863</v>
      </c>
      <c r="H380" s="4" t="s">
        <v>356</v>
      </c>
      <c r="I380" s="4" t="s">
        <v>965</v>
      </c>
      <c r="J380" s="4" t="s">
        <v>30</v>
      </c>
      <c r="K380" s="4" t="s">
        <v>30</v>
      </c>
      <c r="L380" s="2" t="s">
        <v>362</v>
      </c>
      <c r="M380" s="2" t="s">
        <v>31</v>
      </c>
      <c r="N380" s="4" t="s">
        <v>470</v>
      </c>
      <c r="O380" s="4" t="s">
        <v>155</v>
      </c>
      <c r="P380" s="4" t="s">
        <v>34</v>
      </c>
      <c r="Q380" s="152">
        <v>1385</v>
      </c>
      <c r="R380" s="167">
        <v>1</v>
      </c>
      <c r="S380" s="169">
        <v>16850</v>
      </c>
      <c r="U380" s="152">
        <v>233.37299999999999</v>
      </c>
      <c r="V380" s="166">
        <v>5.3000000000000001E-5</v>
      </c>
      <c r="W380" s="166">
        <v>1.7996605983726498E-2</v>
      </c>
      <c r="X380" s="166">
        <v>1.6020877558619701E-3</v>
      </c>
    </row>
    <row r="381" spans="1:24">
      <c r="A381" s="4">
        <v>424</v>
      </c>
      <c r="B381" s="4">
        <v>7229</v>
      </c>
      <c r="C381" s="4" t="s">
        <v>1864</v>
      </c>
      <c r="D381" s="4" t="s">
        <v>1865</v>
      </c>
      <c r="E381" s="4" t="s">
        <v>1342</v>
      </c>
      <c r="F381" s="4" t="s">
        <v>1866</v>
      </c>
      <c r="G381" s="4" t="s">
        <v>1867</v>
      </c>
      <c r="H381" s="4" t="s">
        <v>356</v>
      </c>
      <c r="I381" s="4" t="s">
        <v>965</v>
      </c>
      <c r="J381" s="4" t="s">
        <v>30</v>
      </c>
      <c r="K381" s="4" t="s">
        <v>30</v>
      </c>
      <c r="L381" s="2" t="s">
        <v>362</v>
      </c>
      <c r="M381" s="2" t="s">
        <v>31</v>
      </c>
      <c r="N381" s="4" t="s">
        <v>478</v>
      </c>
      <c r="O381" s="4" t="s">
        <v>155</v>
      </c>
      <c r="P381" s="4" t="s">
        <v>34</v>
      </c>
      <c r="Q381" s="152">
        <v>3043</v>
      </c>
      <c r="R381" s="167">
        <v>1</v>
      </c>
      <c r="S381" s="169">
        <v>4200</v>
      </c>
      <c r="U381" s="152">
        <v>127.806</v>
      </c>
      <c r="V381" s="166">
        <v>1.2E-5</v>
      </c>
      <c r="W381" s="166">
        <v>9.8558065939909293E-3</v>
      </c>
      <c r="X381" s="166">
        <v>8.7738027285003497E-4</v>
      </c>
    </row>
    <row r="382" spans="1:24">
      <c r="A382" s="4">
        <v>424</v>
      </c>
      <c r="B382" s="4">
        <v>7229</v>
      </c>
      <c r="C382" s="4" t="s">
        <v>1872</v>
      </c>
      <c r="D382" s="4" t="s">
        <v>1873</v>
      </c>
      <c r="E382" s="4" t="s">
        <v>1342</v>
      </c>
      <c r="F382" s="4" t="s">
        <v>1874</v>
      </c>
      <c r="G382" s="4" t="s">
        <v>1875</v>
      </c>
      <c r="H382" s="4" t="s">
        <v>356</v>
      </c>
      <c r="I382" s="4" t="s">
        <v>965</v>
      </c>
      <c r="J382" s="4" t="s">
        <v>30</v>
      </c>
      <c r="K382" s="4" t="s">
        <v>30</v>
      </c>
      <c r="L382" s="2" t="s">
        <v>362</v>
      </c>
      <c r="M382" s="2" t="s">
        <v>31</v>
      </c>
      <c r="N382" s="4" t="s">
        <v>510</v>
      </c>
      <c r="O382" s="4" t="s">
        <v>155</v>
      </c>
      <c r="P382" s="4" t="s">
        <v>34</v>
      </c>
      <c r="Q382" s="152">
        <v>585</v>
      </c>
      <c r="R382" s="167">
        <v>1</v>
      </c>
      <c r="S382" s="169">
        <v>19560</v>
      </c>
      <c r="U382" s="152">
        <v>114.426</v>
      </c>
      <c r="V382" s="166">
        <v>2.5999999999999998E-5</v>
      </c>
      <c r="W382" s="166">
        <v>8.8240029836158407E-3</v>
      </c>
      <c r="X382" s="166">
        <v>7.8552740169583702E-4</v>
      </c>
    </row>
    <row r="383" spans="1:24">
      <c r="A383" s="4">
        <v>424</v>
      </c>
      <c r="B383" s="4">
        <v>7229</v>
      </c>
      <c r="C383" s="4" t="s">
        <v>1880</v>
      </c>
      <c r="D383" s="4" t="s">
        <v>1881</v>
      </c>
      <c r="E383" s="4" t="s">
        <v>1342</v>
      </c>
      <c r="F383" s="4" t="s">
        <v>1882</v>
      </c>
      <c r="G383" s="4" t="s">
        <v>1883</v>
      </c>
      <c r="H383" s="4" t="s">
        <v>356</v>
      </c>
      <c r="I383" s="4" t="s">
        <v>965</v>
      </c>
      <c r="J383" s="4" t="s">
        <v>30</v>
      </c>
      <c r="K383" s="4" t="s">
        <v>334</v>
      </c>
      <c r="L383" s="2" t="s">
        <v>362</v>
      </c>
      <c r="M383" s="2" t="s">
        <v>31</v>
      </c>
      <c r="N383" s="4" t="s">
        <v>491</v>
      </c>
      <c r="O383" s="4" t="s">
        <v>155</v>
      </c>
      <c r="P383" s="4" t="s">
        <v>34</v>
      </c>
      <c r="Q383" s="152">
        <v>1330</v>
      </c>
      <c r="R383" s="167">
        <v>1</v>
      </c>
      <c r="S383" s="169">
        <v>16470</v>
      </c>
      <c r="U383" s="152">
        <v>219.05099999999999</v>
      </c>
      <c r="V383" s="166">
        <v>1.2E-5</v>
      </c>
      <c r="W383" s="166">
        <v>1.6892198255326899E-2</v>
      </c>
      <c r="X383" s="166">
        <v>1.5037715455305199E-3</v>
      </c>
    </row>
    <row r="384" spans="1:24">
      <c r="A384" s="4">
        <v>424</v>
      </c>
      <c r="B384" s="4">
        <v>7229</v>
      </c>
      <c r="C384" s="4" t="s">
        <v>1884</v>
      </c>
      <c r="D384" s="4" t="s">
        <v>1885</v>
      </c>
      <c r="E384" s="4" t="s">
        <v>1342</v>
      </c>
      <c r="F384" s="4" t="s">
        <v>1886</v>
      </c>
      <c r="G384" s="4" t="s">
        <v>1887</v>
      </c>
      <c r="H384" s="4" t="s">
        <v>356</v>
      </c>
      <c r="I384" s="4" t="s">
        <v>965</v>
      </c>
      <c r="J384" s="4" t="s">
        <v>30</v>
      </c>
      <c r="K384" s="4" t="s">
        <v>98</v>
      </c>
      <c r="L384" s="2" t="s">
        <v>362</v>
      </c>
      <c r="M384" s="2" t="s">
        <v>31</v>
      </c>
      <c r="N384" s="4" t="s">
        <v>500</v>
      </c>
      <c r="O384" s="4" t="s">
        <v>155</v>
      </c>
      <c r="P384" s="4" t="s">
        <v>34</v>
      </c>
      <c r="Q384" s="152">
        <v>3878</v>
      </c>
      <c r="R384" s="167">
        <v>1</v>
      </c>
      <c r="S384" s="169">
        <v>6629</v>
      </c>
      <c r="U384" s="152">
        <v>257.07299999999998</v>
      </c>
      <c r="V384" s="166">
        <v>3.0000000000000001E-6</v>
      </c>
      <c r="W384" s="166">
        <v>1.9824249435320102E-2</v>
      </c>
      <c r="X384" s="166">
        <v>1.7647876115196E-3</v>
      </c>
    </row>
    <row r="385" spans="1:24">
      <c r="A385" s="4">
        <v>424</v>
      </c>
      <c r="B385" s="4">
        <v>7229</v>
      </c>
      <c r="C385" s="4" t="s">
        <v>1892</v>
      </c>
      <c r="D385" s="4" t="s">
        <v>1893</v>
      </c>
      <c r="E385" s="4" t="s">
        <v>1342</v>
      </c>
      <c r="F385" s="4" t="s">
        <v>1894</v>
      </c>
      <c r="G385" s="4" t="s">
        <v>1895</v>
      </c>
      <c r="H385" s="4" t="s">
        <v>356</v>
      </c>
      <c r="I385" s="4" t="s">
        <v>965</v>
      </c>
      <c r="J385" s="4" t="s">
        <v>30</v>
      </c>
      <c r="K385" s="4" t="s">
        <v>30</v>
      </c>
      <c r="L385" s="2" t="s">
        <v>362</v>
      </c>
      <c r="M385" s="2" t="s">
        <v>31</v>
      </c>
      <c r="N385" s="4" t="s">
        <v>512</v>
      </c>
      <c r="O385" s="4" t="s">
        <v>155</v>
      </c>
      <c r="P385" s="4" t="s">
        <v>34</v>
      </c>
      <c r="Q385" s="152">
        <v>30861</v>
      </c>
      <c r="R385" s="167">
        <v>1</v>
      </c>
      <c r="S385" s="169">
        <v>1373</v>
      </c>
      <c r="U385" s="152">
        <v>423.72199999999998</v>
      </c>
      <c r="V385" s="166">
        <v>1.54E-4</v>
      </c>
      <c r="W385" s="166">
        <v>3.2675441289062503E-2</v>
      </c>
      <c r="X385" s="166">
        <v>2.9088220553325698E-3</v>
      </c>
    </row>
    <row r="386" spans="1:24">
      <c r="A386" s="4">
        <v>424</v>
      </c>
      <c r="B386" s="4">
        <v>7229</v>
      </c>
      <c r="C386" s="4" t="s">
        <v>1896</v>
      </c>
      <c r="D386" s="4" t="s">
        <v>1897</v>
      </c>
      <c r="E386" s="4" t="s">
        <v>1342</v>
      </c>
      <c r="F386" s="4" t="s">
        <v>1898</v>
      </c>
      <c r="G386" s="4" t="s">
        <v>1899</v>
      </c>
      <c r="H386" s="4" t="s">
        <v>356</v>
      </c>
      <c r="I386" s="4" t="s">
        <v>965</v>
      </c>
      <c r="J386" s="4" t="s">
        <v>30</v>
      </c>
      <c r="K386" s="4" t="s">
        <v>30</v>
      </c>
      <c r="L386" s="2" t="s">
        <v>362</v>
      </c>
      <c r="M386" s="2" t="s">
        <v>31</v>
      </c>
      <c r="N386" s="4" t="s">
        <v>478</v>
      </c>
      <c r="O386" s="4" t="s">
        <v>155</v>
      </c>
      <c r="P386" s="4" t="s">
        <v>34</v>
      </c>
      <c r="Q386" s="152">
        <v>2520</v>
      </c>
      <c r="R386" s="167">
        <v>1</v>
      </c>
      <c r="S386" s="169">
        <v>6329</v>
      </c>
      <c r="U386" s="152">
        <v>159.49100000000001</v>
      </c>
      <c r="V386" s="166">
        <v>3.1999999999999999E-5</v>
      </c>
      <c r="W386" s="166">
        <v>1.2299191574111501E-2</v>
      </c>
      <c r="X386" s="166">
        <v>1.09489446208371E-3</v>
      </c>
    </row>
    <row r="387" spans="1:24">
      <c r="A387" s="4">
        <v>424</v>
      </c>
      <c r="B387" s="4">
        <v>7229</v>
      </c>
      <c r="C387" s="4" t="s">
        <v>1212</v>
      </c>
      <c r="D387" s="4" t="s">
        <v>1900</v>
      </c>
      <c r="E387" s="4" t="s">
        <v>1342</v>
      </c>
      <c r="F387" s="4" t="s">
        <v>1901</v>
      </c>
      <c r="G387" s="4" t="s">
        <v>1902</v>
      </c>
      <c r="H387" s="4" t="s">
        <v>356</v>
      </c>
      <c r="I387" s="4" t="s">
        <v>965</v>
      </c>
      <c r="J387" s="4" t="s">
        <v>30</v>
      </c>
      <c r="K387" s="4" t="s">
        <v>30</v>
      </c>
      <c r="L387" s="2" t="s">
        <v>362</v>
      </c>
      <c r="M387" s="2" t="s">
        <v>31</v>
      </c>
      <c r="N387" s="4" t="s">
        <v>481</v>
      </c>
      <c r="O387" s="4" t="s">
        <v>155</v>
      </c>
      <c r="P387" s="4" t="s">
        <v>34</v>
      </c>
      <c r="Q387" s="152">
        <v>15544</v>
      </c>
      <c r="R387" s="167">
        <v>1</v>
      </c>
      <c r="S387" s="169">
        <v>3644</v>
      </c>
      <c r="U387" s="152">
        <v>566.423</v>
      </c>
      <c r="V387" s="166">
        <v>1.0000000000000001E-5</v>
      </c>
      <c r="W387" s="166">
        <v>4.36799452801786E-2</v>
      </c>
      <c r="X387" s="166">
        <v>3.88846127838626E-3</v>
      </c>
    </row>
    <row r="388" spans="1:24">
      <c r="A388" s="4">
        <v>424</v>
      </c>
      <c r="B388" s="4">
        <v>7229</v>
      </c>
      <c r="C388" s="4" t="s">
        <v>1903</v>
      </c>
      <c r="D388" s="4" t="s">
        <v>1904</v>
      </c>
      <c r="E388" s="4" t="s">
        <v>1342</v>
      </c>
      <c r="F388" s="4" t="s">
        <v>1905</v>
      </c>
      <c r="G388" s="4" t="s">
        <v>1906</v>
      </c>
      <c r="H388" s="4" t="s">
        <v>356</v>
      </c>
      <c r="I388" s="4" t="s">
        <v>965</v>
      </c>
      <c r="J388" s="4" t="s">
        <v>30</v>
      </c>
      <c r="K388" s="4" t="s">
        <v>30</v>
      </c>
      <c r="L388" s="2" t="s">
        <v>362</v>
      </c>
      <c r="M388" s="2" t="s">
        <v>31</v>
      </c>
      <c r="N388" s="4" t="s">
        <v>497</v>
      </c>
      <c r="O388" s="4" t="s">
        <v>155</v>
      </c>
      <c r="P388" s="4" t="s">
        <v>34</v>
      </c>
      <c r="Q388" s="152">
        <v>15519</v>
      </c>
      <c r="R388" s="167">
        <v>1</v>
      </c>
      <c r="S388" s="169">
        <v>954</v>
      </c>
      <c r="U388" s="152">
        <v>148.05099999999999</v>
      </c>
      <c r="V388" s="166">
        <v>2.0999999999999999E-5</v>
      </c>
      <c r="W388" s="166">
        <v>1.14170272487729E-2</v>
      </c>
      <c r="X388" s="166">
        <v>1.01636272862457E-3</v>
      </c>
    </row>
    <row r="389" spans="1:24">
      <c r="A389" s="4">
        <v>424</v>
      </c>
      <c r="B389" s="4">
        <v>7229</v>
      </c>
      <c r="C389" s="4" t="s">
        <v>1911</v>
      </c>
      <c r="D389" s="4" t="s">
        <v>1912</v>
      </c>
      <c r="E389" s="4" t="s">
        <v>1342</v>
      </c>
      <c r="F389" s="4" t="s">
        <v>1913</v>
      </c>
      <c r="G389" s="4" t="s">
        <v>1914</v>
      </c>
      <c r="H389" s="4" t="s">
        <v>356</v>
      </c>
      <c r="I389" s="4" t="s">
        <v>965</v>
      </c>
      <c r="J389" s="4" t="s">
        <v>30</v>
      </c>
      <c r="K389" s="4" t="s">
        <v>30</v>
      </c>
      <c r="L389" s="2" t="s">
        <v>362</v>
      </c>
      <c r="M389" s="2" t="s">
        <v>31</v>
      </c>
      <c r="N389" s="4" t="s">
        <v>492</v>
      </c>
      <c r="O389" s="4" t="s">
        <v>155</v>
      </c>
      <c r="P389" s="4" t="s">
        <v>34</v>
      </c>
      <c r="Q389" s="152">
        <v>790</v>
      </c>
      <c r="R389" s="167">
        <v>1</v>
      </c>
      <c r="S389" s="169">
        <v>15960</v>
      </c>
      <c r="U389" s="152">
        <v>126.084</v>
      </c>
      <c r="V389" s="166">
        <v>2.3499999999999999E-4</v>
      </c>
      <c r="W389" s="166">
        <v>9.7230139320278602E-3</v>
      </c>
      <c r="X389" s="166">
        <v>8.6555884952211801E-4</v>
      </c>
    </row>
    <row r="390" spans="1:24">
      <c r="A390" s="4">
        <v>424</v>
      </c>
      <c r="B390" s="4">
        <v>7229</v>
      </c>
      <c r="C390" s="4" t="s">
        <v>1915</v>
      </c>
      <c r="D390" s="4" t="s">
        <v>1916</v>
      </c>
      <c r="E390" s="4" t="s">
        <v>1342</v>
      </c>
      <c r="F390" s="4" t="s">
        <v>1917</v>
      </c>
      <c r="G390" s="4" t="s">
        <v>1918</v>
      </c>
      <c r="H390" s="4" t="s">
        <v>356</v>
      </c>
      <c r="I390" s="4" t="s">
        <v>965</v>
      </c>
      <c r="J390" s="4" t="s">
        <v>30</v>
      </c>
      <c r="K390" s="4" t="s">
        <v>30</v>
      </c>
      <c r="L390" s="2" t="s">
        <v>362</v>
      </c>
      <c r="M390" s="2" t="s">
        <v>31</v>
      </c>
      <c r="N390" s="4" t="s">
        <v>510</v>
      </c>
      <c r="O390" s="4" t="s">
        <v>155</v>
      </c>
      <c r="P390" s="4" t="s">
        <v>34</v>
      </c>
      <c r="Q390" s="152">
        <v>856</v>
      </c>
      <c r="R390" s="167">
        <v>1</v>
      </c>
      <c r="S390" s="169">
        <v>7125</v>
      </c>
      <c r="T390" s="151">
        <v>0.70199999999999996</v>
      </c>
      <c r="U390" s="152">
        <v>61.692</v>
      </c>
      <c r="V390" s="166">
        <v>1.2999999999999999E-5</v>
      </c>
      <c r="W390" s="166">
        <v>4.75739505134314E-3</v>
      </c>
      <c r="X390" s="166">
        <v>4.2351120919395399E-4</v>
      </c>
    </row>
    <row r="391" spans="1:24">
      <c r="A391" s="4">
        <v>424</v>
      </c>
      <c r="B391" s="4">
        <v>7229</v>
      </c>
      <c r="C391" s="4" t="s">
        <v>1923</v>
      </c>
      <c r="D391" s="4" t="s">
        <v>1924</v>
      </c>
      <c r="E391" s="4" t="s">
        <v>1342</v>
      </c>
      <c r="F391" s="4" t="s">
        <v>1925</v>
      </c>
      <c r="G391" s="4" t="s">
        <v>1926</v>
      </c>
      <c r="H391" s="4" t="s">
        <v>356</v>
      </c>
      <c r="I391" s="4" t="s">
        <v>965</v>
      </c>
      <c r="J391" s="4" t="s">
        <v>30</v>
      </c>
      <c r="K391" s="4" t="s">
        <v>30</v>
      </c>
      <c r="L391" s="2" t="s">
        <v>362</v>
      </c>
      <c r="M391" s="2" t="s">
        <v>31</v>
      </c>
      <c r="N391" s="4" t="s">
        <v>478</v>
      </c>
      <c r="O391" s="4" t="s">
        <v>155</v>
      </c>
      <c r="P391" s="4" t="s">
        <v>34</v>
      </c>
      <c r="Q391" s="152">
        <v>1603</v>
      </c>
      <c r="R391" s="167">
        <v>1</v>
      </c>
      <c r="S391" s="169">
        <v>10880</v>
      </c>
      <c r="U391" s="152">
        <v>174.40600000000001</v>
      </c>
      <c r="V391" s="166">
        <v>2.5999999999999998E-5</v>
      </c>
      <c r="W391" s="166">
        <v>1.3449413542042E-2</v>
      </c>
      <c r="X391" s="166">
        <v>1.19728913211267E-3</v>
      </c>
    </row>
    <row r="392" spans="1:24">
      <c r="A392" s="4">
        <v>424</v>
      </c>
      <c r="B392" s="4">
        <v>7229</v>
      </c>
      <c r="C392" s="4" t="s">
        <v>1927</v>
      </c>
      <c r="D392" s="4" t="s">
        <v>1483</v>
      </c>
      <c r="E392" s="4" t="s">
        <v>1342</v>
      </c>
      <c r="F392" s="4" t="s">
        <v>1928</v>
      </c>
      <c r="G392" s="4" t="s">
        <v>1929</v>
      </c>
      <c r="H392" s="4" t="s">
        <v>356</v>
      </c>
      <c r="I392" s="4" t="s">
        <v>965</v>
      </c>
      <c r="J392" s="4" t="s">
        <v>30</v>
      </c>
      <c r="K392" s="4" t="s">
        <v>30</v>
      </c>
      <c r="L392" s="2" t="s">
        <v>362</v>
      </c>
      <c r="M392" s="2" t="s">
        <v>31</v>
      </c>
      <c r="N392" s="4" t="s">
        <v>476</v>
      </c>
      <c r="O392" s="4" t="s">
        <v>155</v>
      </c>
      <c r="P392" s="4" t="s">
        <v>34</v>
      </c>
      <c r="Q392" s="152">
        <v>25536</v>
      </c>
      <c r="R392" s="167">
        <v>1</v>
      </c>
      <c r="S392" s="169">
        <v>1350</v>
      </c>
      <c r="U392" s="152">
        <v>344.73599999999999</v>
      </c>
      <c r="V392" s="166">
        <v>4.2200000000000001E-4</v>
      </c>
      <c r="W392" s="166">
        <v>2.6584443155924301E-2</v>
      </c>
      <c r="X392" s="166">
        <v>2.36659128476934E-3</v>
      </c>
    </row>
    <row r="393" spans="1:24">
      <c r="A393" s="4">
        <v>424</v>
      </c>
      <c r="B393" s="4">
        <v>7229</v>
      </c>
      <c r="C393" s="4" t="s">
        <v>1930</v>
      </c>
      <c r="D393" s="4" t="s">
        <v>1931</v>
      </c>
      <c r="E393" s="4" t="s">
        <v>1342</v>
      </c>
      <c r="F393" s="4" t="s">
        <v>1932</v>
      </c>
      <c r="G393" s="4" t="s">
        <v>1933</v>
      </c>
      <c r="H393" s="4" t="s">
        <v>356</v>
      </c>
      <c r="I393" s="4" t="s">
        <v>965</v>
      </c>
      <c r="J393" s="4" t="s">
        <v>30</v>
      </c>
      <c r="K393" s="4" t="s">
        <v>30</v>
      </c>
      <c r="L393" s="2" t="s">
        <v>362</v>
      </c>
      <c r="M393" s="2" t="s">
        <v>31</v>
      </c>
      <c r="N393" s="4" t="s">
        <v>509</v>
      </c>
      <c r="O393" s="4" t="s">
        <v>155</v>
      </c>
      <c r="P393" s="4" t="s">
        <v>34</v>
      </c>
      <c r="Q393" s="152">
        <v>20000</v>
      </c>
      <c r="R393" s="167">
        <v>1</v>
      </c>
      <c r="S393" s="169">
        <v>1049</v>
      </c>
      <c r="U393" s="152">
        <v>209.8</v>
      </c>
      <c r="V393" s="166">
        <v>1.4300000000000001E-4</v>
      </c>
      <c r="W393" s="166">
        <v>1.6178803995268599E-2</v>
      </c>
      <c r="X393" s="166">
        <v>1.44026400359872E-3</v>
      </c>
    </row>
    <row r="394" spans="1:24">
      <c r="A394" s="4">
        <v>424</v>
      </c>
      <c r="B394" s="4">
        <v>7229</v>
      </c>
      <c r="C394" s="4" t="s">
        <v>1938</v>
      </c>
      <c r="D394" s="4" t="s">
        <v>1939</v>
      </c>
      <c r="E394" s="4" t="s">
        <v>1342</v>
      </c>
      <c r="F394" s="4" t="s">
        <v>1940</v>
      </c>
      <c r="G394" s="4" t="s">
        <v>1941</v>
      </c>
      <c r="H394" s="4" t="s">
        <v>356</v>
      </c>
      <c r="I394" s="4" t="s">
        <v>965</v>
      </c>
      <c r="J394" s="4" t="s">
        <v>30</v>
      </c>
      <c r="K394" s="4" t="s">
        <v>98</v>
      </c>
      <c r="L394" s="2" t="s">
        <v>362</v>
      </c>
      <c r="M394" s="2" t="s">
        <v>31</v>
      </c>
      <c r="N394" s="4" t="s">
        <v>514</v>
      </c>
      <c r="O394" s="4" t="s">
        <v>155</v>
      </c>
      <c r="P394" s="4" t="s">
        <v>34</v>
      </c>
      <c r="Q394" s="152">
        <v>315</v>
      </c>
      <c r="R394" s="167">
        <v>1</v>
      </c>
      <c r="S394" s="169">
        <v>64880</v>
      </c>
      <c r="U394" s="152">
        <v>204.37200000000001</v>
      </c>
      <c r="V394" s="166">
        <v>5.0000000000000004E-6</v>
      </c>
      <c r="W394" s="166">
        <v>1.5760221783226998E-2</v>
      </c>
      <c r="X394" s="166">
        <v>1.4030011198449799E-3</v>
      </c>
    </row>
    <row r="395" spans="1:24">
      <c r="A395" s="4">
        <v>424</v>
      </c>
      <c r="B395" s="4">
        <v>7229</v>
      </c>
      <c r="C395" s="4" t="s">
        <v>1946</v>
      </c>
      <c r="D395" s="4" t="s">
        <v>1947</v>
      </c>
      <c r="E395" s="4" t="s">
        <v>1342</v>
      </c>
      <c r="F395" s="4" t="s">
        <v>1948</v>
      </c>
      <c r="G395" s="4" t="s">
        <v>1949</v>
      </c>
      <c r="H395" s="4" t="s">
        <v>356</v>
      </c>
      <c r="I395" s="4" t="s">
        <v>965</v>
      </c>
      <c r="J395" s="4" t="s">
        <v>30</v>
      </c>
      <c r="K395" s="4" t="s">
        <v>30</v>
      </c>
      <c r="L395" s="2" t="s">
        <v>362</v>
      </c>
      <c r="M395" s="2" t="s">
        <v>31</v>
      </c>
      <c r="N395" s="4" t="s">
        <v>518</v>
      </c>
      <c r="O395" s="4" t="s">
        <v>155</v>
      </c>
      <c r="P395" s="4" t="s">
        <v>34</v>
      </c>
      <c r="Q395" s="152">
        <v>8891</v>
      </c>
      <c r="R395" s="167">
        <v>1</v>
      </c>
      <c r="S395" s="169">
        <v>1670</v>
      </c>
      <c r="U395" s="152">
        <v>148.47999999999999</v>
      </c>
      <c r="V395" s="166">
        <v>5.3999999999999998E-5</v>
      </c>
      <c r="W395" s="166">
        <v>1.14500665566076E-2</v>
      </c>
      <c r="X395" s="166">
        <v>1.0193039426841599E-3</v>
      </c>
    </row>
    <row r="396" spans="1:24">
      <c r="A396" s="4">
        <v>424</v>
      </c>
      <c r="B396" s="4">
        <v>7229</v>
      </c>
      <c r="C396" s="4" t="s">
        <v>1217</v>
      </c>
      <c r="D396" s="4" t="s">
        <v>1954</v>
      </c>
      <c r="E396" s="4" t="s">
        <v>1342</v>
      </c>
      <c r="F396" s="4" t="s">
        <v>1955</v>
      </c>
      <c r="G396" s="4" t="s">
        <v>1956</v>
      </c>
      <c r="H396" s="4" t="s">
        <v>356</v>
      </c>
      <c r="I396" s="4" t="s">
        <v>965</v>
      </c>
      <c r="J396" s="4" t="s">
        <v>30</v>
      </c>
      <c r="K396" s="4" t="s">
        <v>30</v>
      </c>
      <c r="L396" s="2" t="s">
        <v>362</v>
      </c>
      <c r="M396" s="2" t="s">
        <v>31</v>
      </c>
      <c r="N396" s="4" t="s">
        <v>481</v>
      </c>
      <c r="O396" s="4" t="s">
        <v>155</v>
      </c>
      <c r="P396" s="4" t="s">
        <v>34</v>
      </c>
      <c r="Q396" s="152">
        <v>11325</v>
      </c>
      <c r="R396" s="167">
        <v>1</v>
      </c>
      <c r="S396" s="169">
        <v>3729</v>
      </c>
      <c r="U396" s="152">
        <v>422.30900000000003</v>
      </c>
      <c r="V396" s="166">
        <v>7.9999999999999996E-6</v>
      </c>
      <c r="W396" s="166">
        <v>3.2566532798564703E-2</v>
      </c>
      <c r="X396" s="166">
        <v>2.8991268406185502E-3</v>
      </c>
    </row>
    <row r="397" spans="1:24">
      <c r="A397" s="4">
        <v>424</v>
      </c>
      <c r="B397" s="4">
        <v>7229</v>
      </c>
      <c r="C397" s="4" t="s">
        <v>1961</v>
      </c>
      <c r="D397" s="4" t="s">
        <v>1962</v>
      </c>
      <c r="E397" s="4" t="s">
        <v>1342</v>
      </c>
      <c r="F397" s="4" t="s">
        <v>1963</v>
      </c>
      <c r="G397" s="4" t="s">
        <v>1964</v>
      </c>
      <c r="H397" s="4" t="s">
        <v>356</v>
      </c>
      <c r="I397" s="4" t="s">
        <v>965</v>
      </c>
      <c r="J397" s="4" t="s">
        <v>30</v>
      </c>
      <c r="K397" s="4" t="s">
        <v>30</v>
      </c>
      <c r="L397" s="2" t="s">
        <v>362</v>
      </c>
      <c r="M397" s="2" t="s">
        <v>31</v>
      </c>
      <c r="N397" s="4" t="s">
        <v>518</v>
      </c>
      <c r="O397" s="4" t="s">
        <v>155</v>
      </c>
      <c r="P397" s="4" t="s">
        <v>34</v>
      </c>
      <c r="Q397" s="152">
        <v>7694</v>
      </c>
      <c r="R397" s="167">
        <v>1</v>
      </c>
      <c r="S397" s="169">
        <v>1606</v>
      </c>
      <c r="U397" s="152">
        <v>123.566</v>
      </c>
      <c r="V397" s="166">
        <v>4.1E-5</v>
      </c>
      <c r="W397" s="166">
        <v>9.5288096764057206E-3</v>
      </c>
      <c r="X397" s="166">
        <v>8.4827046412601305E-4</v>
      </c>
    </row>
    <row r="398" spans="1:24">
      <c r="A398" s="4">
        <v>424</v>
      </c>
      <c r="B398" s="4">
        <v>7229</v>
      </c>
      <c r="C398" s="4" t="s">
        <v>1969</v>
      </c>
      <c r="D398" s="4" t="s">
        <v>1970</v>
      </c>
      <c r="E398" s="4" t="s">
        <v>1342</v>
      </c>
      <c r="F398" s="4" t="s">
        <v>1971</v>
      </c>
      <c r="G398" s="4" t="s">
        <v>1972</v>
      </c>
      <c r="H398" s="4" t="s">
        <v>356</v>
      </c>
      <c r="I398" s="4" t="s">
        <v>965</v>
      </c>
      <c r="J398" s="4" t="s">
        <v>30</v>
      </c>
      <c r="K398" s="4" t="s">
        <v>30</v>
      </c>
      <c r="L398" s="2" t="s">
        <v>362</v>
      </c>
      <c r="M398" s="2" t="s">
        <v>31</v>
      </c>
      <c r="N398" s="4" t="s">
        <v>496</v>
      </c>
      <c r="O398" s="4" t="s">
        <v>155</v>
      </c>
      <c r="P398" s="4" t="s">
        <v>34</v>
      </c>
      <c r="Q398" s="152">
        <v>29987</v>
      </c>
      <c r="R398" s="167">
        <v>1</v>
      </c>
      <c r="S398" s="169">
        <v>551.79999999999995</v>
      </c>
      <c r="U398" s="152">
        <v>165.46799999999999</v>
      </c>
      <c r="V398" s="166">
        <v>1.0399999999999999E-4</v>
      </c>
      <c r="W398" s="166">
        <v>1.27601460583935E-2</v>
      </c>
      <c r="X398" s="166">
        <v>1.1359293958898801E-3</v>
      </c>
    </row>
    <row r="399" spans="1:24">
      <c r="A399" s="4">
        <v>424</v>
      </c>
      <c r="B399" s="4">
        <v>7229</v>
      </c>
      <c r="C399" s="4" t="s">
        <v>1977</v>
      </c>
      <c r="D399" s="4" t="s">
        <v>1978</v>
      </c>
      <c r="E399" s="4" t="s">
        <v>1342</v>
      </c>
      <c r="F399" s="4" t="s">
        <v>1979</v>
      </c>
      <c r="G399" s="4" t="s">
        <v>1980</v>
      </c>
      <c r="H399" s="4" t="s">
        <v>356</v>
      </c>
      <c r="I399" s="4" t="s">
        <v>965</v>
      </c>
      <c r="J399" s="4" t="s">
        <v>30</v>
      </c>
      <c r="K399" s="4" t="s">
        <v>30</v>
      </c>
      <c r="L399" s="2" t="s">
        <v>362</v>
      </c>
      <c r="M399" s="2" t="s">
        <v>31</v>
      </c>
      <c r="N399" s="4" t="s">
        <v>492</v>
      </c>
      <c r="O399" s="4" t="s">
        <v>155</v>
      </c>
      <c r="P399" s="4" t="s">
        <v>34</v>
      </c>
      <c r="Q399" s="152">
        <v>3662</v>
      </c>
      <c r="R399" s="167">
        <v>1</v>
      </c>
      <c r="S399" s="169">
        <v>5930</v>
      </c>
      <c r="U399" s="152">
        <v>217.15700000000001</v>
      </c>
      <c r="V399" s="166">
        <v>3.1000000000000001E-5</v>
      </c>
      <c r="W399" s="166">
        <v>1.67461109040941E-2</v>
      </c>
      <c r="X399" s="166">
        <v>1.4907666068822E-3</v>
      </c>
    </row>
    <row r="400" spans="1:24">
      <c r="A400" s="4">
        <v>424</v>
      </c>
      <c r="B400" s="4">
        <v>7229</v>
      </c>
      <c r="C400" s="4" t="s">
        <v>1981</v>
      </c>
      <c r="D400" s="4" t="s">
        <v>1982</v>
      </c>
      <c r="E400" s="4" t="s">
        <v>1342</v>
      </c>
      <c r="F400" s="4" t="s">
        <v>1983</v>
      </c>
      <c r="G400" s="4" t="s">
        <v>1984</v>
      </c>
      <c r="H400" s="4" t="s">
        <v>356</v>
      </c>
      <c r="I400" s="4" t="s">
        <v>965</v>
      </c>
      <c r="J400" s="4" t="s">
        <v>30</v>
      </c>
      <c r="K400" s="4" t="s">
        <v>30</v>
      </c>
      <c r="L400" s="2" t="s">
        <v>362</v>
      </c>
      <c r="M400" s="2" t="s">
        <v>31</v>
      </c>
      <c r="N400" s="4" t="s">
        <v>496</v>
      </c>
      <c r="O400" s="4" t="s">
        <v>155</v>
      </c>
      <c r="P400" s="4" t="s">
        <v>34</v>
      </c>
      <c r="Q400" s="152">
        <v>9564</v>
      </c>
      <c r="R400" s="167">
        <v>1</v>
      </c>
      <c r="S400" s="169">
        <v>2140</v>
      </c>
      <c r="U400" s="152">
        <v>204.67</v>
      </c>
      <c r="V400" s="166">
        <v>2.6999999999999999E-5</v>
      </c>
      <c r="W400" s="166">
        <v>1.5783171316444401E-2</v>
      </c>
      <c r="X400" s="166">
        <v>1.4050441254096599E-3</v>
      </c>
    </row>
    <row r="401" spans="1:24">
      <c r="A401" s="4">
        <v>424</v>
      </c>
      <c r="B401" s="4">
        <v>7229</v>
      </c>
      <c r="C401" s="4" t="s">
        <v>1985</v>
      </c>
      <c r="D401" s="4" t="s">
        <v>1986</v>
      </c>
      <c r="E401" s="4" t="s">
        <v>1342</v>
      </c>
      <c r="F401" s="4" t="s">
        <v>1987</v>
      </c>
      <c r="G401" s="4" t="s">
        <v>1988</v>
      </c>
      <c r="H401" s="4" t="s">
        <v>356</v>
      </c>
      <c r="I401" s="4" t="s">
        <v>965</v>
      </c>
      <c r="J401" s="4" t="s">
        <v>30</v>
      </c>
      <c r="K401" s="4" t="s">
        <v>334</v>
      </c>
      <c r="L401" s="2" t="s">
        <v>362</v>
      </c>
      <c r="M401" s="2" t="s">
        <v>31</v>
      </c>
      <c r="N401" s="4" t="s">
        <v>488</v>
      </c>
      <c r="O401" s="4" t="s">
        <v>155</v>
      </c>
      <c r="P401" s="4" t="s">
        <v>34</v>
      </c>
      <c r="Q401" s="152">
        <v>2500</v>
      </c>
      <c r="R401" s="167">
        <v>1</v>
      </c>
      <c r="S401" s="169">
        <v>6800</v>
      </c>
      <c r="U401" s="152">
        <v>170</v>
      </c>
      <c r="V401" s="166">
        <v>2.3E-5</v>
      </c>
      <c r="W401" s="166">
        <v>1.31096123889212E-2</v>
      </c>
      <c r="X401" s="166">
        <v>1.16703946907427E-3</v>
      </c>
    </row>
    <row r="402" spans="1:24">
      <c r="A402" s="4">
        <v>424</v>
      </c>
      <c r="B402" s="4">
        <v>7229</v>
      </c>
      <c r="C402" s="4" t="s">
        <v>1989</v>
      </c>
      <c r="D402" s="4" t="s">
        <v>1990</v>
      </c>
      <c r="E402" s="4" t="s">
        <v>350</v>
      </c>
      <c r="F402" s="4" t="s">
        <v>1991</v>
      </c>
      <c r="G402" s="4" t="s">
        <v>1992</v>
      </c>
      <c r="H402" s="4" t="s">
        <v>356</v>
      </c>
      <c r="I402" s="4" t="s">
        <v>965</v>
      </c>
      <c r="J402" s="4" t="s">
        <v>97</v>
      </c>
      <c r="K402" s="4" t="s">
        <v>98</v>
      </c>
      <c r="L402" s="2" t="s">
        <v>362</v>
      </c>
      <c r="M402" s="2" t="s">
        <v>381</v>
      </c>
      <c r="N402" s="4" t="s">
        <v>549</v>
      </c>
      <c r="O402" s="4" t="s">
        <v>155</v>
      </c>
      <c r="P402" s="4" t="s">
        <v>102</v>
      </c>
      <c r="Q402" s="152">
        <v>639</v>
      </c>
      <c r="R402" s="167">
        <v>3.71</v>
      </c>
      <c r="S402" s="169">
        <v>18633</v>
      </c>
      <c r="U402" s="152">
        <v>441.73099999999999</v>
      </c>
      <c r="V402" s="166">
        <v>0</v>
      </c>
      <c r="W402" s="166">
        <v>3.4064222552037303E-2</v>
      </c>
      <c r="X402" s="166">
        <v>3.03245367003782E-3</v>
      </c>
    </row>
    <row r="403" spans="1:24">
      <c r="A403" s="4">
        <v>424</v>
      </c>
      <c r="B403" s="4">
        <v>7229</v>
      </c>
      <c r="C403" s="4" t="s">
        <v>1993</v>
      </c>
      <c r="D403" s="4" t="s">
        <v>1994</v>
      </c>
      <c r="E403" s="4" t="s">
        <v>350</v>
      </c>
      <c r="F403" s="4" t="s">
        <v>1995</v>
      </c>
      <c r="G403" s="4" t="s">
        <v>1996</v>
      </c>
      <c r="H403" s="4" t="s">
        <v>356</v>
      </c>
      <c r="I403" s="4" t="s">
        <v>965</v>
      </c>
      <c r="J403" s="4" t="s">
        <v>97</v>
      </c>
      <c r="K403" s="4" t="s">
        <v>98</v>
      </c>
      <c r="L403" s="2" t="s">
        <v>362</v>
      </c>
      <c r="M403" s="2" t="s">
        <v>381</v>
      </c>
      <c r="N403" s="4" t="s">
        <v>580</v>
      </c>
      <c r="O403" s="4" t="s">
        <v>155</v>
      </c>
      <c r="P403" s="4" t="s">
        <v>102</v>
      </c>
      <c r="Q403" s="152">
        <v>298</v>
      </c>
      <c r="R403" s="167">
        <v>3.71</v>
      </c>
      <c r="S403" s="169">
        <v>23300</v>
      </c>
      <c r="U403" s="152">
        <v>257.60000000000002</v>
      </c>
      <c r="V403" s="166">
        <v>0</v>
      </c>
      <c r="W403" s="166">
        <v>1.9864929333716599E-2</v>
      </c>
      <c r="X403" s="166">
        <v>1.7684090036415099E-3</v>
      </c>
    </row>
    <row r="404" spans="1:24">
      <c r="A404" s="4">
        <v>424</v>
      </c>
      <c r="B404" s="4">
        <v>7229</v>
      </c>
      <c r="C404" s="4" t="s">
        <v>1997</v>
      </c>
      <c r="D404" s="4" t="s">
        <v>1998</v>
      </c>
      <c r="E404" s="4" t="s">
        <v>350</v>
      </c>
      <c r="F404" s="4" t="s">
        <v>1999</v>
      </c>
      <c r="G404" s="4" t="s">
        <v>2000</v>
      </c>
      <c r="H404" s="4" t="s">
        <v>356</v>
      </c>
      <c r="I404" s="4" t="s">
        <v>965</v>
      </c>
      <c r="J404" s="4" t="s">
        <v>97</v>
      </c>
      <c r="K404" s="4" t="s">
        <v>98</v>
      </c>
      <c r="L404" s="2" t="s">
        <v>362</v>
      </c>
      <c r="M404" s="2" t="s">
        <v>381</v>
      </c>
      <c r="N404" s="4" t="s">
        <v>2001</v>
      </c>
      <c r="O404" s="4" t="s">
        <v>155</v>
      </c>
      <c r="P404" s="4" t="s">
        <v>102</v>
      </c>
      <c r="Q404" s="152">
        <v>86</v>
      </c>
      <c r="R404" s="167">
        <v>3.71</v>
      </c>
      <c r="S404" s="169">
        <v>46026</v>
      </c>
      <c r="U404" s="152">
        <v>146.851</v>
      </c>
      <c r="V404" s="166">
        <v>0</v>
      </c>
      <c r="W404" s="166">
        <v>1.1324434488316E-2</v>
      </c>
      <c r="X404" s="166">
        <v>1.00811996729815E-3</v>
      </c>
    </row>
    <row r="405" spans="1:24">
      <c r="A405" s="4">
        <v>424</v>
      </c>
      <c r="B405" s="4">
        <v>7229</v>
      </c>
      <c r="C405" s="4" t="s">
        <v>2002</v>
      </c>
      <c r="D405" s="4" t="s">
        <v>2003</v>
      </c>
      <c r="E405" s="4" t="s">
        <v>350</v>
      </c>
      <c r="F405" s="4" t="s">
        <v>2004</v>
      </c>
      <c r="G405" s="4" t="s">
        <v>2005</v>
      </c>
      <c r="H405" s="4" t="s">
        <v>356</v>
      </c>
      <c r="I405" s="4" t="s">
        <v>965</v>
      </c>
      <c r="J405" s="4" t="s">
        <v>97</v>
      </c>
      <c r="K405" s="4" t="s">
        <v>98</v>
      </c>
      <c r="L405" s="2" t="s">
        <v>362</v>
      </c>
      <c r="M405" s="2" t="s">
        <v>381</v>
      </c>
      <c r="N405" s="4" t="s">
        <v>568</v>
      </c>
      <c r="O405" s="4" t="s">
        <v>155</v>
      </c>
      <c r="P405" s="4" t="s">
        <v>102</v>
      </c>
      <c r="Q405" s="152">
        <v>235</v>
      </c>
      <c r="R405" s="167">
        <v>3.71</v>
      </c>
      <c r="S405" s="169">
        <v>19384</v>
      </c>
      <c r="U405" s="152">
        <v>168.999</v>
      </c>
      <c r="V405" s="166">
        <v>9.9999999999999995E-7</v>
      </c>
      <c r="W405" s="166">
        <v>1.30324510611688E-2</v>
      </c>
      <c r="X405" s="166">
        <v>1.16017043951781E-3</v>
      </c>
    </row>
    <row r="406" spans="1:24">
      <c r="A406" s="4">
        <v>424</v>
      </c>
      <c r="B406" s="4">
        <v>7229</v>
      </c>
      <c r="C406" s="4" t="s">
        <v>2010</v>
      </c>
      <c r="D406" s="4" t="s">
        <v>2011</v>
      </c>
      <c r="E406" s="4" t="s">
        <v>350</v>
      </c>
      <c r="F406" s="4" t="s">
        <v>2010</v>
      </c>
      <c r="G406" s="4" t="s">
        <v>2012</v>
      </c>
      <c r="H406" s="4" t="s">
        <v>356</v>
      </c>
      <c r="I406" s="4" t="s">
        <v>965</v>
      </c>
      <c r="J406" s="4" t="s">
        <v>97</v>
      </c>
      <c r="K406" s="4" t="s">
        <v>98</v>
      </c>
      <c r="L406" s="2" t="s">
        <v>362</v>
      </c>
      <c r="M406" s="2" t="s">
        <v>1528</v>
      </c>
      <c r="N406" s="4" t="s">
        <v>564</v>
      </c>
      <c r="O406" s="4" t="s">
        <v>155</v>
      </c>
      <c r="P406" s="4" t="s">
        <v>102</v>
      </c>
      <c r="Q406" s="152">
        <v>152</v>
      </c>
      <c r="R406" s="167">
        <v>3.71</v>
      </c>
      <c r="S406" s="169">
        <v>27802</v>
      </c>
      <c r="T406" s="151">
        <v>3.1E-2</v>
      </c>
      <c r="U406" s="152">
        <v>156.89599999999999</v>
      </c>
      <c r="V406" s="166">
        <v>0</v>
      </c>
      <c r="W406" s="166">
        <v>1.20990616503049E-2</v>
      </c>
      <c r="X406" s="166">
        <v>1.0770785638636799E-3</v>
      </c>
    </row>
    <row r="407" spans="1:24">
      <c r="A407" s="4">
        <v>424</v>
      </c>
      <c r="B407" s="4">
        <v>7229</v>
      </c>
      <c r="C407" s="4" t="s">
        <v>2013</v>
      </c>
      <c r="D407" s="4" t="s">
        <v>2014</v>
      </c>
      <c r="E407" s="4" t="s">
        <v>350</v>
      </c>
      <c r="F407" s="4" t="s">
        <v>2015</v>
      </c>
      <c r="G407" s="4" t="s">
        <v>2016</v>
      </c>
      <c r="H407" s="4" t="s">
        <v>356</v>
      </c>
      <c r="I407" s="4" t="s">
        <v>965</v>
      </c>
      <c r="J407" s="4" t="s">
        <v>97</v>
      </c>
      <c r="K407" s="4" t="s">
        <v>98</v>
      </c>
      <c r="L407" s="2" t="s">
        <v>362</v>
      </c>
      <c r="M407" s="2" t="s">
        <v>379</v>
      </c>
      <c r="N407" s="4" t="s">
        <v>2017</v>
      </c>
      <c r="O407" s="4" t="s">
        <v>155</v>
      </c>
      <c r="P407" s="4" t="s">
        <v>102</v>
      </c>
      <c r="Q407" s="152">
        <v>164</v>
      </c>
      <c r="R407" s="167">
        <v>3.71</v>
      </c>
      <c r="S407" s="169">
        <v>41733</v>
      </c>
      <c r="U407" s="152">
        <v>253.92</v>
      </c>
      <c r="V407" s="166">
        <v>0</v>
      </c>
      <c r="W407" s="166">
        <v>1.9581154438023898E-2</v>
      </c>
      <c r="X407" s="166">
        <v>1.74314689109533E-3</v>
      </c>
    </row>
    <row r="408" spans="1:24">
      <c r="A408" s="4">
        <v>424</v>
      </c>
      <c r="B408" s="4">
        <v>7229</v>
      </c>
      <c r="C408" s="4" t="s">
        <v>2018</v>
      </c>
      <c r="D408" s="4" t="s">
        <v>2019</v>
      </c>
      <c r="E408" s="4" t="s">
        <v>350</v>
      </c>
      <c r="F408" s="4" t="s">
        <v>2018</v>
      </c>
      <c r="G408" s="4" t="s">
        <v>2020</v>
      </c>
      <c r="H408" s="4" t="s">
        <v>356</v>
      </c>
      <c r="I408" s="4" t="s">
        <v>965</v>
      </c>
      <c r="J408" s="4" t="s">
        <v>97</v>
      </c>
      <c r="K408" s="4" t="s">
        <v>98</v>
      </c>
      <c r="L408" s="2" t="s">
        <v>362</v>
      </c>
      <c r="M408" s="2" t="s">
        <v>381</v>
      </c>
      <c r="N408" s="4" t="s">
        <v>580</v>
      </c>
      <c r="O408" s="4" t="s">
        <v>155</v>
      </c>
      <c r="P408" s="4" t="s">
        <v>102</v>
      </c>
      <c r="Q408" s="152">
        <v>2345</v>
      </c>
      <c r="R408" s="167">
        <v>3.71</v>
      </c>
      <c r="S408" s="169">
        <v>3343</v>
      </c>
      <c r="U408" s="152">
        <v>290.839</v>
      </c>
      <c r="V408" s="166">
        <v>6.0000000000000002E-6</v>
      </c>
      <c r="W408" s="166">
        <v>2.24281815534654E-2</v>
      </c>
      <c r="X408" s="166">
        <v>1.99659397363857E-3</v>
      </c>
    </row>
    <row r="409" spans="1:24">
      <c r="A409" s="4">
        <v>424</v>
      </c>
      <c r="B409" s="4">
        <v>7229</v>
      </c>
      <c r="C409" s="4" t="s">
        <v>2021</v>
      </c>
      <c r="D409" s="4" t="s">
        <v>2022</v>
      </c>
      <c r="E409" s="4" t="s">
        <v>350</v>
      </c>
      <c r="F409" s="4" t="s">
        <v>2023</v>
      </c>
      <c r="G409" s="4" t="s">
        <v>2024</v>
      </c>
      <c r="H409" s="4" t="s">
        <v>356</v>
      </c>
      <c r="I409" s="4" t="s">
        <v>965</v>
      </c>
      <c r="J409" s="4" t="s">
        <v>97</v>
      </c>
      <c r="K409" s="4" t="s">
        <v>98</v>
      </c>
      <c r="L409" s="2" t="s">
        <v>362</v>
      </c>
      <c r="M409" s="2" t="s">
        <v>381</v>
      </c>
      <c r="N409" s="4" t="s">
        <v>583</v>
      </c>
      <c r="O409" s="4" t="s">
        <v>155</v>
      </c>
      <c r="P409" s="4" t="s">
        <v>102</v>
      </c>
      <c r="Q409" s="152">
        <v>284</v>
      </c>
      <c r="R409" s="167">
        <v>3.71</v>
      </c>
      <c r="S409" s="169">
        <v>16719</v>
      </c>
      <c r="U409" s="152">
        <v>176.15799999999999</v>
      </c>
      <c r="V409" s="166">
        <v>0</v>
      </c>
      <c r="W409" s="166">
        <v>1.35844943403284E-2</v>
      </c>
      <c r="X409" s="166">
        <v>1.2093142491365399E-3</v>
      </c>
    </row>
    <row r="410" spans="1:24">
      <c r="A410" s="4">
        <v>424</v>
      </c>
      <c r="B410" s="4">
        <v>7229</v>
      </c>
      <c r="C410" s="4" t="s">
        <v>2025</v>
      </c>
      <c r="D410" s="4" t="s">
        <v>2026</v>
      </c>
      <c r="E410" s="4" t="s">
        <v>350</v>
      </c>
      <c r="F410" s="4" t="s">
        <v>2027</v>
      </c>
      <c r="G410" s="4" t="s">
        <v>2028</v>
      </c>
      <c r="H410" s="4" t="s">
        <v>356</v>
      </c>
      <c r="I410" s="4" t="s">
        <v>965</v>
      </c>
      <c r="J410" s="4" t="s">
        <v>97</v>
      </c>
      <c r="K410" s="4" t="s">
        <v>319</v>
      </c>
      <c r="L410" s="2" t="s">
        <v>362</v>
      </c>
      <c r="M410" s="2" t="s">
        <v>401</v>
      </c>
      <c r="N410" s="4" t="s">
        <v>2029</v>
      </c>
      <c r="O410" s="4" t="s">
        <v>155</v>
      </c>
      <c r="P410" s="4" t="s">
        <v>1209</v>
      </c>
      <c r="Q410" s="152">
        <v>84</v>
      </c>
      <c r="R410" s="167">
        <v>4.1524000000000001</v>
      </c>
      <c r="S410" s="169">
        <v>68850</v>
      </c>
      <c r="U410" s="152">
        <v>240.15</v>
      </c>
      <c r="V410" s="166">
        <v>0</v>
      </c>
      <c r="W410" s="166">
        <v>1.8519247795373901E-2</v>
      </c>
      <c r="X410" s="166">
        <v>1.6486141980088401E-3</v>
      </c>
    </row>
    <row r="411" spans="1:24">
      <c r="A411" s="4">
        <v>424</v>
      </c>
      <c r="B411" s="4">
        <v>7229</v>
      </c>
      <c r="C411" s="4" t="s">
        <v>2030</v>
      </c>
      <c r="D411" s="4" t="s">
        <v>2031</v>
      </c>
      <c r="E411" s="4" t="s">
        <v>350</v>
      </c>
      <c r="F411" s="4" t="s">
        <v>2032</v>
      </c>
      <c r="G411" s="4" t="s">
        <v>2033</v>
      </c>
      <c r="H411" s="4" t="s">
        <v>356</v>
      </c>
      <c r="I411" s="4" t="s">
        <v>965</v>
      </c>
      <c r="J411" s="4" t="s">
        <v>97</v>
      </c>
      <c r="K411" s="4" t="s">
        <v>98</v>
      </c>
      <c r="L411" s="2" t="s">
        <v>362</v>
      </c>
      <c r="M411" s="2" t="s">
        <v>379</v>
      </c>
      <c r="N411" s="4" t="s">
        <v>2001</v>
      </c>
      <c r="O411" s="4" t="s">
        <v>155</v>
      </c>
      <c r="P411" s="4" t="s">
        <v>102</v>
      </c>
      <c r="Q411" s="152">
        <v>158</v>
      </c>
      <c r="R411" s="167">
        <v>3.71</v>
      </c>
      <c r="S411" s="169">
        <v>49380</v>
      </c>
      <c r="U411" s="152">
        <v>289.45600000000002</v>
      </c>
      <c r="V411" s="166">
        <v>0</v>
      </c>
      <c r="W411" s="166">
        <v>2.23214813000591E-2</v>
      </c>
      <c r="X411" s="166">
        <v>1.9870953398581702E-3</v>
      </c>
    </row>
    <row r="412" spans="1:24">
      <c r="A412" s="4">
        <v>424</v>
      </c>
      <c r="B412" s="4">
        <v>7229</v>
      </c>
      <c r="C412" s="4" t="s">
        <v>2038</v>
      </c>
      <c r="D412" s="4" t="s">
        <v>2039</v>
      </c>
      <c r="E412" s="4" t="s">
        <v>350</v>
      </c>
      <c r="F412" s="4" t="s">
        <v>2040</v>
      </c>
      <c r="G412" s="4" t="s">
        <v>2041</v>
      </c>
      <c r="H412" s="4" t="s">
        <v>356</v>
      </c>
      <c r="I412" s="4" t="s">
        <v>965</v>
      </c>
      <c r="J412" s="4" t="s">
        <v>97</v>
      </c>
      <c r="K412" s="4" t="s">
        <v>98</v>
      </c>
      <c r="L412" s="2" t="s">
        <v>362</v>
      </c>
      <c r="M412" s="2" t="s">
        <v>381</v>
      </c>
      <c r="N412" s="4" t="s">
        <v>578</v>
      </c>
      <c r="O412" s="4" t="s">
        <v>155</v>
      </c>
      <c r="P412" s="4" t="s">
        <v>102</v>
      </c>
      <c r="Q412" s="152">
        <v>124</v>
      </c>
      <c r="R412" s="167">
        <v>3.71</v>
      </c>
      <c r="S412" s="169">
        <v>43030</v>
      </c>
      <c r="U412" s="152">
        <v>197.95500000000001</v>
      </c>
      <c r="V412" s="166">
        <v>0</v>
      </c>
      <c r="W412" s="166">
        <v>1.52653888216866E-2</v>
      </c>
      <c r="X412" s="166">
        <v>1.3589502677233199E-3</v>
      </c>
    </row>
    <row r="413" spans="1:24">
      <c r="A413" s="4">
        <v>424</v>
      </c>
      <c r="B413" s="4">
        <v>7229</v>
      </c>
      <c r="C413" s="4" t="s">
        <v>2042</v>
      </c>
      <c r="D413" s="4" t="s">
        <v>2043</v>
      </c>
      <c r="E413" s="4" t="s">
        <v>350</v>
      </c>
      <c r="F413" s="4" t="s">
        <v>2042</v>
      </c>
      <c r="G413" s="4" t="s">
        <v>2044</v>
      </c>
      <c r="H413" s="4" t="s">
        <v>356</v>
      </c>
      <c r="I413" s="4" t="s">
        <v>965</v>
      </c>
      <c r="J413" s="4" t="s">
        <v>97</v>
      </c>
      <c r="K413" s="4" t="s">
        <v>98</v>
      </c>
      <c r="L413" s="2" t="s">
        <v>362</v>
      </c>
      <c r="M413" s="2" t="s">
        <v>381</v>
      </c>
      <c r="N413" s="4" t="s">
        <v>568</v>
      </c>
      <c r="O413" s="4" t="s">
        <v>155</v>
      </c>
      <c r="P413" s="4" t="s">
        <v>102</v>
      </c>
      <c r="Q413" s="152">
        <v>658</v>
      </c>
      <c r="R413" s="167">
        <v>3.71</v>
      </c>
      <c r="S413" s="169">
        <v>6683</v>
      </c>
      <c r="U413" s="152">
        <v>163.14400000000001</v>
      </c>
      <c r="V413" s="166">
        <v>1.9999999999999999E-6</v>
      </c>
      <c r="W413" s="166">
        <v>1.25809140134655E-2</v>
      </c>
      <c r="X413" s="166">
        <v>1.1199738615576299E-3</v>
      </c>
    </row>
    <row r="414" spans="1:24">
      <c r="A414" s="4">
        <v>424</v>
      </c>
      <c r="B414" s="4">
        <v>7229</v>
      </c>
      <c r="C414" s="4" t="s">
        <v>2045</v>
      </c>
      <c r="D414" s="4" t="s">
        <v>2046</v>
      </c>
      <c r="E414" s="4" t="s">
        <v>350</v>
      </c>
      <c r="F414" s="4" t="s">
        <v>2047</v>
      </c>
      <c r="G414" s="4" t="s">
        <v>2048</v>
      </c>
      <c r="H414" s="4" t="s">
        <v>356</v>
      </c>
      <c r="I414" s="4" t="s">
        <v>965</v>
      </c>
      <c r="J414" s="4" t="s">
        <v>97</v>
      </c>
      <c r="K414" s="4" t="s">
        <v>98</v>
      </c>
      <c r="L414" s="2" t="s">
        <v>362</v>
      </c>
      <c r="M414" s="2" t="s">
        <v>381</v>
      </c>
      <c r="N414" s="4" t="s">
        <v>583</v>
      </c>
      <c r="O414" s="4" t="s">
        <v>155</v>
      </c>
      <c r="P414" s="4" t="s">
        <v>102</v>
      </c>
      <c r="Q414" s="152">
        <v>166</v>
      </c>
      <c r="R414" s="167">
        <v>3.71</v>
      </c>
      <c r="S414" s="169">
        <v>70927</v>
      </c>
      <c r="U414" s="152">
        <v>436.81099999999998</v>
      </c>
      <c r="V414" s="166">
        <v>0</v>
      </c>
      <c r="W414" s="166">
        <v>3.3684842283826101E-2</v>
      </c>
      <c r="X414" s="166">
        <v>2.9986806084357498E-3</v>
      </c>
    </row>
    <row r="415" spans="1:24">
      <c r="A415" s="4">
        <v>424</v>
      </c>
      <c r="B415" s="4">
        <v>7229</v>
      </c>
      <c r="C415" s="4" t="s">
        <v>2049</v>
      </c>
      <c r="D415" s="4" t="s">
        <v>2050</v>
      </c>
      <c r="E415" s="4" t="s">
        <v>350</v>
      </c>
      <c r="F415" s="4" t="s">
        <v>2049</v>
      </c>
      <c r="G415" s="4" t="s">
        <v>2051</v>
      </c>
      <c r="H415" s="4" t="s">
        <v>356</v>
      </c>
      <c r="I415" s="4" t="s">
        <v>965</v>
      </c>
      <c r="J415" s="4" t="s">
        <v>97</v>
      </c>
      <c r="K415" s="4" t="s">
        <v>98</v>
      </c>
      <c r="L415" s="2" t="s">
        <v>362</v>
      </c>
      <c r="M415" s="2" t="s">
        <v>379</v>
      </c>
      <c r="N415" s="4" t="s">
        <v>549</v>
      </c>
      <c r="O415" s="4" t="s">
        <v>155</v>
      </c>
      <c r="P415" s="4" t="s">
        <v>102</v>
      </c>
      <c r="Q415" s="152">
        <v>420</v>
      </c>
      <c r="R415" s="167">
        <v>3.71</v>
      </c>
      <c r="S415" s="169">
        <v>8840</v>
      </c>
      <c r="T415" s="151">
        <v>0.155</v>
      </c>
      <c r="U415" s="152">
        <v>138.321</v>
      </c>
      <c r="V415" s="166">
        <v>0</v>
      </c>
      <c r="W415" s="166">
        <v>1.06667066036911E-2</v>
      </c>
      <c r="X415" s="166">
        <v>9.4956793856565999E-4</v>
      </c>
    </row>
    <row r="416" spans="1:24">
      <c r="A416" s="4">
        <v>424</v>
      </c>
      <c r="B416" s="4">
        <v>7229</v>
      </c>
      <c r="C416" s="4" t="s">
        <v>2056</v>
      </c>
      <c r="D416" s="4" t="s">
        <v>2057</v>
      </c>
      <c r="E416" s="4" t="s">
        <v>350</v>
      </c>
      <c r="F416" s="4" t="s">
        <v>2058</v>
      </c>
      <c r="G416" s="4" t="s">
        <v>2059</v>
      </c>
      <c r="H416" s="4" t="s">
        <v>356</v>
      </c>
      <c r="I416" s="4" t="s">
        <v>965</v>
      </c>
      <c r="J416" s="4" t="s">
        <v>97</v>
      </c>
      <c r="K416" s="4" t="s">
        <v>279</v>
      </c>
      <c r="L416" s="2" t="s">
        <v>362</v>
      </c>
      <c r="M416" s="2" t="s">
        <v>401</v>
      </c>
      <c r="N416" s="4" t="s">
        <v>568</v>
      </c>
      <c r="O416" s="4" t="s">
        <v>155</v>
      </c>
      <c r="P416" s="4" t="s">
        <v>102</v>
      </c>
      <c r="Q416" s="152">
        <v>591</v>
      </c>
      <c r="R416" s="167">
        <v>3.71</v>
      </c>
      <c r="S416" s="169">
        <v>11907</v>
      </c>
      <c r="U416" s="152">
        <v>261.07400000000001</v>
      </c>
      <c r="V416" s="166">
        <v>0</v>
      </c>
      <c r="W416" s="166">
        <v>2.0132822928788398E-2</v>
      </c>
      <c r="X416" s="166">
        <v>1.79225733642862E-3</v>
      </c>
    </row>
    <row r="417" spans="1:24">
      <c r="A417" s="4">
        <v>424</v>
      </c>
      <c r="B417" s="4">
        <v>7229</v>
      </c>
      <c r="C417" s="4" t="s">
        <v>2060</v>
      </c>
      <c r="D417" s="4" t="s">
        <v>2061</v>
      </c>
      <c r="E417" s="4" t="s">
        <v>350</v>
      </c>
      <c r="F417" s="4" t="s">
        <v>2062</v>
      </c>
      <c r="G417" s="4" t="s">
        <v>2063</v>
      </c>
      <c r="H417" s="4" t="s">
        <v>356</v>
      </c>
      <c r="I417" s="4" t="s">
        <v>965</v>
      </c>
      <c r="J417" s="4" t="s">
        <v>97</v>
      </c>
      <c r="K417" s="4" t="s">
        <v>98</v>
      </c>
      <c r="L417" s="2" t="s">
        <v>362</v>
      </c>
      <c r="M417" s="2" t="s">
        <v>381</v>
      </c>
      <c r="N417" s="4" t="s">
        <v>582</v>
      </c>
      <c r="O417" s="4" t="s">
        <v>155</v>
      </c>
      <c r="P417" s="4" t="s">
        <v>102</v>
      </c>
      <c r="Q417" s="152">
        <v>1467</v>
      </c>
      <c r="R417" s="167">
        <v>3.71</v>
      </c>
      <c r="S417" s="169">
        <v>12144</v>
      </c>
      <c r="T417" s="151">
        <v>0.01</v>
      </c>
      <c r="U417" s="152">
        <v>660.98400000000004</v>
      </c>
      <c r="V417" s="166">
        <v>0</v>
      </c>
      <c r="W417" s="166">
        <v>5.09720176293963E-2</v>
      </c>
      <c r="X417" s="166">
        <v>4.5376136705709402E-3</v>
      </c>
    </row>
    <row r="418" spans="1:24">
      <c r="A418" s="4">
        <v>424</v>
      </c>
      <c r="B418" s="4">
        <v>7229</v>
      </c>
      <c r="C418" s="4" t="s">
        <v>2068</v>
      </c>
      <c r="D418" s="4" t="s">
        <v>2069</v>
      </c>
      <c r="E418" s="4" t="s">
        <v>350</v>
      </c>
      <c r="F418" s="4" t="s">
        <v>2070</v>
      </c>
      <c r="G418" s="4" t="s">
        <v>2071</v>
      </c>
      <c r="H418" s="4" t="s">
        <v>356</v>
      </c>
      <c r="I418" s="4" t="s">
        <v>965</v>
      </c>
      <c r="J418" s="4" t="s">
        <v>97</v>
      </c>
      <c r="K418" s="4" t="s">
        <v>98</v>
      </c>
      <c r="L418" s="2" t="s">
        <v>362</v>
      </c>
      <c r="M418" s="2" t="s">
        <v>379</v>
      </c>
      <c r="N418" s="4" t="s">
        <v>602</v>
      </c>
      <c r="O418" s="4" t="s">
        <v>155</v>
      </c>
      <c r="P418" s="4" t="s">
        <v>102</v>
      </c>
      <c r="Q418" s="152">
        <v>320</v>
      </c>
      <c r="R418" s="167">
        <v>3.71</v>
      </c>
      <c r="S418" s="169">
        <v>12628</v>
      </c>
      <c r="U418" s="152">
        <v>149.91999999999999</v>
      </c>
      <c r="V418" s="166">
        <v>0</v>
      </c>
      <c r="W418" s="166">
        <v>1.1561106207387701E-2</v>
      </c>
      <c r="X418" s="166">
        <v>1.02918887682623E-3</v>
      </c>
    </row>
    <row r="419" spans="1:24">
      <c r="A419" s="4">
        <v>424</v>
      </c>
      <c r="B419" s="4">
        <v>7229</v>
      </c>
      <c r="C419" s="4" t="s">
        <v>2072</v>
      </c>
      <c r="D419" s="4" t="s">
        <v>2073</v>
      </c>
      <c r="E419" s="4" t="s">
        <v>350</v>
      </c>
      <c r="F419" s="4" t="s">
        <v>2074</v>
      </c>
      <c r="G419" s="4" t="s">
        <v>2075</v>
      </c>
      <c r="H419" s="4" t="s">
        <v>356</v>
      </c>
      <c r="I419" s="4" t="s">
        <v>965</v>
      </c>
      <c r="J419" s="4" t="s">
        <v>97</v>
      </c>
      <c r="K419" s="4" t="s">
        <v>276</v>
      </c>
      <c r="L419" s="2" t="s">
        <v>362</v>
      </c>
      <c r="M419" s="2" t="s">
        <v>2076</v>
      </c>
      <c r="N419" s="4" t="s">
        <v>2077</v>
      </c>
      <c r="O419" s="4" t="s">
        <v>155</v>
      </c>
      <c r="P419" s="4" t="s">
        <v>1209</v>
      </c>
      <c r="Q419" s="152">
        <v>72</v>
      </c>
      <c r="R419" s="167">
        <v>4.1524000000000001</v>
      </c>
      <c r="S419" s="169">
        <v>48640</v>
      </c>
      <c r="U419" s="152">
        <v>145.41999999999999</v>
      </c>
      <c r="V419" s="166">
        <v>0</v>
      </c>
      <c r="W419" s="166">
        <v>1.12141451947337E-2</v>
      </c>
      <c r="X419" s="166">
        <v>9.9830183120012093E-4</v>
      </c>
    </row>
    <row r="420" spans="1:24">
      <c r="A420" s="4">
        <v>424</v>
      </c>
      <c r="B420" s="4">
        <v>7229</v>
      </c>
      <c r="C420" s="4" t="s">
        <v>2078</v>
      </c>
      <c r="D420" s="4" t="s">
        <v>2079</v>
      </c>
      <c r="E420" s="4" t="s">
        <v>350</v>
      </c>
      <c r="F420" s="4" t="s">
        <v>2080</v>
      </c>
      <c r="G420" s="4" t="s">
        <v>2081</v>
      </c>
      <c r="H420" s="4" t="s">
        <v>356</v>
      </c>
      <c r="I420" s="4" t="s">
        <v>965</v>
      </c>
      <c r="J420" s="4" t="s">
        <v>97</v>
      </c>
      <c r="K420" s="4" t="s">
        <v>98</v>
      </c>
      <c r="L420" s="2" t="s">
        <v>362</v>
      </c>
      <c r="M420" s="2" t="s">
        <v>379</v>
      </c>
      <c r="N420" s="4" t="s">
        <v>520</v>
      </c>
      <c r="O420" s="4" t="s">
        <v>155</v>
      </c>
      <c r="P420" s="4" t="s">
        <v>102</v>
      </c>
      <c r="Q420" s="152">
        <v>710</v>
      </c>
      <c r="R420" s="167">
        <v>3.71</v>
      </c>
      <c r="S420" s="169">
        <v>4195</v>
      </c>
      <c r="T420" s="151">
        <v>0.19600000000000001</v>
      </c>
      <c r="U420" s="152">
        <v>111.227</v>
      </c>
      <c r="V420" s="166">
        <v>0</v>
      </c>
      <c r="W420" s="166">
        <v>8.57732750440705E-3</v>
      </c>
      <c r="X420" s="166">
        <v>7.63567940824762E-4</v>
      </c>
    </row>
    <row r="421" spans="1:24">
      <c r="A421" s="4">
        <v>424</v>
      </c>
      <c r="B421" s="4">
        <v>7229</v>
      </c>
      <c r="C421" s="4" t="s">
        <v>2082</v>
      </c>
      <c r="D421" s="4" t="s">
        <v>2083</v>
      </c>
      <c r="E421" s="4" t="s">
        <v>350</v>
      </c>
      <c r="F421" s="4" t="s">
        <v>2084</v>
      </c>
      <c r="G421" s="4" t="s">
        <v>2085</v>
      </c>
      <c r="H421" s="4" t="s">
        <v>356</v>
      </c>
      <c r="I421" s="4" t="s">
        <v>965</v>
      </c>
      <c r="J421" s="4" t="s">
        <v>97</v>
      </c>
      <c r="K421" s="4" t="s">
        <v>306</v>
      </c>
      <c r="L421" s="2" t="s">
        <v>362</v>
      </c>
      <c r="M421" s="2" t="s">
        <v>379</v>
      </c>
      <c r="N421" s="4" t="s">
        <v>582</v>
      </c>
      <c r="O421" s="4" t="s">
        <v>155</v>
      </c>
      <c r="P421" s="4" t="s">
        <v>102</v>
      </c>
      <c r="Q421" s="152">
        <v>1240</v>
      </c>
      <c r="R421" s="167">
        <v>3.71</v>
      </c>
      <c r="S421" s="169">
        <v>17367</v>
      </c>
      <c r="T421" s="151">
        <v>0.61499999999999999</v>
      </c>
      <c r="U421" s="152">
        <v>801.23400000000004</v>
      </c>
      <c r="V421" s="166">
        <v>0</v>
      </c>
      <c r="W421" s="166">
        <v>6.1787446863179503E-2</v>
      </c>
      <c r="X421" s="166">
        <v>5.5004211446860098E-3</v>
      </c>
    </row>
    <row r="422" spans="1:24">
      <c r="A422" s="4">
        <v>424</v>
      </c>
      <c r="B422" s="4">
        <v>7229</v>
      </c>
      <c r="C422" s="4" t="s">
        <v>2086</v>
      </c>
      <c r="D422" s="4" t="s">
        <v>2087</v>
      </c>
      <c r="E422" s="4" t="s">
        <v>350</v>
      </c>
      <c r="F422" s="4" t="s">
        <v>2086</v>
      </c>
      <c r="G422" s="4" t="s">
        <v>2088</v>
      </c>
      <c r="H422" s="4" t="s">
        <v>356</v>
      </c>
      <c r="I422" s="4" t="s">
        <v>965</v>
      </c>
      <c r="J422" s="4" t="s">
        <v>97</v>
      </c>
      <c r="K422" s="4" t="s">
        <v>98</v>
      </c>
      <c r="L422" s="2" t="s">
        <v>362</v>
      </c>
      <c r="M422" s="2" t="s">
        <v>381</v>
      </c>
      <c r="N422" s="4" t="s">
        <v>546</v>
      </c>
      <c r="O422" s="4" t="s">
        <v>155</v>
      </c>
      <c r="P422" s="4" t="s">
        <v>102</v>
      </c>
      <c r="Q422" s="152">
        <v>395</v>
      </c>
      <c r="R422" s="167">
        <v>3.71</v>
      </c>
      <c r="S422" s="169">
        <v>26163</v>
      </c>
      <c r="U422" s="152">
        <v>383.40600000000001</v>
      </c>
      <c r="V422" s="166">
        <v>0</v>
      </c>
      <c r="W422" s="166">
        <v>2.9566469990555198E-2</v>
      </c>
      <c r="X422" s="166">
        <v>2.6320562665405698E-3</v>
      </c>
    </row>
    <row r="423" spans="1:24">
      <c r="A423" s="4">
        <v>424</v>
      </c>
      <c r="B423" s="4">
        <v>7229</v>
      </c>
      <c r="C423" s="4" t="s">
        <v>2093</v>
      </c>
      <c r="D423" s="4" t="s">
        <v>2094</v>
      </c>
      <c r="E423" s="4" t="s">
        <v>350</v>
      </c>
      <c r="F423" s="4" t="s">
        <v>2095</v>
      </c>
      <c r="G423" s="4" t="s">
        <v>2096</v>
      </c>
      <c r="H423" s="4" t="s">
        <v>356</v>
      </c>
      <c r="I423" s="4" t="s">
        <v>965</v>
      </c>
      <c r="J423" s="4" t="s">
        <v>97</v>
      </c>
      <c r="K423" s="4" t="s">
        <v>98</v>
      </c>
      <c r="L423" s="2" t="s">
        <v>362</v>
      </c>
      <c r="M423" s="2" t="s">
        <v>379</v>
      </c>
      <c r="N423" s="4" t="s">
        <v>2001</v>
      </c>
      <c r="O423" s="4" t="s">
        <v>155</v>
      </c>
      <c r="P423" s="4" t="s">
        <v>102</v>
      </c>
      <c r="Q423" s="152">
        <v>258</v>
      </c>
      <c r="R423" s="167">
        <v>3.71</v>
      </c>
      <c r="S423" s="169">
        <v>27495</v>
      </c>
      <c r="U423" s="152">
        <v>263.17700000000002</v>
      </c>
      <c r="V423" s="166">
        <v>0</v>
      </c>
      <c r="W423" s="166">
        <v>2.0294963254872098E-2</v>
      </c>
      <c r="X423" s="166">
        <v>1.8066913375611099E-3</v>
      </c>
    </row>
    <row r="424" spans="1:24">
      <c r="A424" s="4">
        <v>424</v>
      </c>
      <c r="B424" s="4">
        <v>7229</v>
      </c>
      <c r="C424" s="4" t="s">
        <v>2097</v>
      </c>
      <c r="D424" s="4" t="s">
        <v>2098</v>
      </c>
      <c r="E424" s="4" t="s">
        <v>350</v>
      </c>
      <c r="F424" s="4" t="s">
        <v>2099</v>
      </c>
      <c r="G424" s="4" t="s">
        <v>2100</v>
      </c>
      <c r="H424" s="4" t="s">
        <v>356</v>
      </c>
      <c r="I424" s="4" t="s">
        <v>965</v>
      </c>
      <c r="J424" s="4" t="s">
        <v>97</v>
      </c>
      <c r="K424" s="4" t="s">
        <v>98</v>
      </c>
      <c r="L424" s="2" t="s">
        <v>362</v>
      </c>
      <c r="M424" s="2" t="s">
        <v>379</v>
      </c>
      <c r="N424" s="4" t="s">
        <v>583</v>
      </c>
      <c r="O424" s="4" t="s">
        <v>155</v>
      </c>
      <c r="P424" s="4" t="s">
        <v>102</v>
      </c>
      <c r="Q424" s="152">
        <v>465</v>
      </c>
      <c r="R424" s="167">
        <v>3.71</v>
      </c>
      <c r="S424" s="169">
        <v>9619</v>
      </c>
      <c r="U424" s="152">
        <v>165.94200000000001</v>
      </c>
      <c r="V424" s="166">
        <v>0</v>
      </c>
      <c r="W424" s="166">
        <v>1.27966919947539E-2</v>
      </c>
      <c r="X424" s="166">
        <v>1.1391827758451001E-3</v>
      </c>
    </row>
    <row r="425" spans="1:24">
      <c r="A425" s="4">
        <v>424</v>
      </c>
      <c r="B425" s="4">
        <v>9817</v>
      </c>
      <c r="C425" s="4" t="s">
        <v>1860</v>
      </c>
      <c r="D425" s="4" t="s">
        <v>1861</v>
      </c>
      <c r="E425" s="4" t="s">
        <v>1342</v>
      </c>
      <c r="F425" s="4" t="s">
        <v>1862</v>
      </c>
      <c r="G425" s="4" t="s">
        <v>1863</v>
      </c>
      <c r="H425" s="4" t="s">
        <v>356</v>
      </c>
      <c r="I425" s="4" t="s">
        <v>965</v>
      </c>
      <c r="J425" s="4" t="s">
        <v>30</v>
      </c>
      <c r="K425" s="4" t="s">
        <v>30</v>
      </c>
      <c r="L425" s="2" t="s">
        <v>362</v>
      </c>
      <c r="M425" s="2" t="s">
        <v>31</v>
      </c>
      <c r="N425" s="4" t="s">
        <v>470</v>
      </c>
      <c r="O425" s="4" t="s">
        <v>155</v>
      </c>
      <c r="P425" s="4" t="s">
        <v>34</v>
      </c>
      <c r="Q425" s="152">
        <v>13</v>
      </c>
      <c r="R425" s="167">
        <v>1</v>
      </c>
      <c r="S425" s="169">
        <v>16850</v>
      </c>
      <c r="U425" s="152">
        <v>2.1909999999999998</v>
      </c>
      <c r="V425" s="166">
        <v>9.9999999999999995E-7</v>
      </c>
      <c r="W425" s="166">
        <v>6.1590769256308298E-2</v>
      </c>
      <c r="X425" s="166">
        <v>1.4273708571756901E-3</v>
      </c>
    </row>
    <row r="426" spans="1:24">
      <c r="A426" s="4">
        <v>424</v>
      </c>
      <c r="B426" s="4">
        <v>9817</v>
      </c>
      <c r="C426" s="4" t="s">
        <v>1212</v>
      </c>
      <c r="D426" s="4" t="s">
        <v>1900</v>
      </c>
      <c r="E426" s="4" t="s">
        <v>1342</v>
      </c>
      <c r="F426" s="4" t="s">
        <v>1901</v>
      </c>
      <c r="G426" s="4" t="s">
        <v>1902</v>
      </c>
      <c r="H426" s="4" t="s">
        <v>356</v>
      </c>
      <c r="I426" s="4" t="s">
        <v>965</v>
      </c>
      <c r="J426" s="4" t="s">
        <v>30</v>
      </c>
      <c r="K426" s="4" t="s">
        <v>30</v>
      </c>
      <c r="L426" s="2" t="s">
        <v>362</v>
      </c>
      <c r="M426" s="2" t="s">
        <v>31</v>
      </c>
      <c r="N426" s="4" t="s">
        <v>481</v>
      </c>
      <c r="O426" s="4" t="s">
        <v>155</v>
      </c>
      <c r="P426" s="4" t="s">
        <v>34</v>
      </c>
      <c r="Q426" s="152">
        <v>464</v>
      </c>
      <c r="R426" s="167">
        <v>1</v>
      </c>
      <c r="S426" s="169">
        <v>3644</v>
      </c>
      <c r="U426" s="152">
        <v>16.908000000000001</v>
      </c>
      <c r="V426" s="166">
        <v>0</v>
      </c>
      <c r="W426" s="166">
        <v>0.475410445610017</v>
      </c>
      <c r="X426" s="166">
        <v>1.10176739705381E-2</v>
      </c>
    </row>
    <row r="427" spans="1:24">
      <c r="A427" s="4">
        <v>424</v>
      </c>
      <c r="B427" s="4">
        <v>9817</v>
      </c>
      <c r="C427" s="4" t="s">
        <v>1217</v>
      </c>
      <c r="D427" s="4" t="s">
        <v>1954</v>
      </c>
      <c r="E427" s="4" t="s">
        <v>1342</v>
      </c>
      <c r="F427" s="4" t="s">
        <v>1955</v>
      </c>
      <c r="G427" s="4" t="s">
        <v>1956</v>
      </c>
      <c r="H427" s="4" t="s">
        <v>356</v>
      </c>
      <c r="I427" s="4" t="s">
        <v>965</v>
      </c>
      <c r="J427" s="4" t="s">
        <v>30</v>
      </c>
      <c r="K427" s="4" t="s">
        <v>30</v>
      </c>
      <c r="L427" s="2" t="s">
        <v>362</v>
      </c>
      <c r="M427" s="2" t="s">
        <v>31</v>
      </c>
      <c r="N427" s="4" t="s">
        <v>481</v>
      </c>
      <c r="O427" s="4" t="s">
        <v>155</v>
      </c>
      <c r="P427" s="4" t="s">
        <v>34</v>
      </c>
      <c r="Q427" s="152">
        <v>409</v>
      </c>
      <c r="R427" s="167">
        <v>1</v>
      </c>
      <c r="S427" s="169">
        <v>3729</v>
      </c>
      <c r="U427" s="152">
        <v>15.252000000000001</v>
      </c>
      <c r="V427" s="166">
        <v>0</v>
      </c>
      <c r="W427" s="166">
        <v>0.42883286569148799</v>
      </c>
      <c r="X427" s="166">
        <v>9.9382349413418801E-3</v>
      </c>
    </row>
    <row r="428" spans="1:24">
      <c r="A428" s="4">
        <v>424</v>
      </c>
      <c r="B428" s="4">
        <v>9817</v>
      </c>
      <c r="C428" s="4" t="s">
        <v>1973</v>
      </c>
      <c r="D428" s="4" t="s">
        <v>1974</v>
      </c>
      <c r="E428" s="4" t="s">
        <v>1342</v>
      </c>
      <c r="F428" s="4" t="s">
        <v>1975</v>
      </c>
      <c r="G428" s="4" t="s">
        <v>1976</v>
      </c>
      <c r="H428" s="4" t="s">
        <v>356</v>
      </c>
      <c r="I428" s="4" t="s">
        <v>965</v>
      </c>
      <c r="J428" s="4" t="s">
        <v>30</v>
      </c>
      <c r="K428" s="4" t="s">
        <v>30</v>
      </c>
      <c r="L428" s="2" t="s">
        <v>362</v>
      </c>
      <c r="M428" s="2" t="s">
        <v>31</v>
      </c>
      <c r="N428" s="4" t="s">
        <v>497</v>
      </c>
      <c r="O428" s="4" t="s">
        <v>155</v>
      </c>
      <c r="P428" s="4" t="s">
        <v>34</v>
      </c>
      <c r="Q428" s="152">
        <v>215.6</v>
      </c>
      <c r="R428" s="167">
        <v>1</v>
      </c>
      <c r="S428" s="169">
        <v>339.9</v>
      </c>
      <c r="U428" s="152">
        <v>0.73299999999999998</v>
      </c>
      <c r="V428" s="166">
        <v>1.9999999999999999E-6</v>
      </c>
      <c r="W428" s="166">
        <v>2.0604984490204301E-2</v>
      </c>
      <c r="X428" s="166">
        <v>4.77522114579896E-4</v>
      </c>
    </row>
    <row r="429" spans="1:24">
      <c r="A429" s="4">
        <v>424</v>
      </c>
      <c r="B429" s="4">
        <v>9817</v>
      </c>
      <c r="C429" s="4" t="s">
        <v>2006</v>
      </c>
      <c r="D429" s="4" t="s">
        <v>2007</v>
      </c>
      <c r="E429" s="4" t="s">
        <v>1342</v>
      </c>
      <c r="F429" s="4" t="s">
        <v>2008</v>
      </c>
      <c r="G429" s="4" t="s">
        <v>2009</v>
      </c>
      <c r="H429" s="4" t="s">
        <v>356</v>
      </c>
      <c r="I429" s="4" t="s">
        <v>965</v>
      </c>
      <c r="J429" s="4" t="s">
        <v>97</v>
      </c>
      <c r="K429" s="4" t="s">
        <v>98</v>
      </c>
      <c r="L429" s="2" t="s">
        <v>362</v>
      </c>
      <c r="M429" s="2" t="s">
        <v>379</v>
      </c>
      <c r="N429" s="4" t="s">
        <v>568</v>
      </c>
      <c r="O429" s="4" t="s">
        <v>155</v>
      </c>
      <c r="P429" s="4" t="s">
        <v>102</v>
      </c>
      <c r="Q429" s="152">
        <v>130</v>
      </c>
      <c r="R429" s="167">
        <v>3.71</v>
      </c>
      <c r="S429" s="169">
        <v>100</v>
      </c>
      <c r="U429" s="152">
        <v>0.48199999999999998</v>
      </c>
      <c r="V429" s="166">
        <v>0</v>
      </c>
      <c r="W429" s="166">
        <v>1.3560934951982399E-2</v>
      </c>
      <c r="X429" s="166">
        <v>3.14275719888535E-4</v>
      </c>
    </row>
    <row r="430" spans="1:24">
      <c r="A430" s="4">
        <v>969</v>
      </c>
      <c r="B430" s="4">
        <v>969</v>
      </c>
      <c r="C430" s="4" t="s">
        <v>1784</v>
      </c>
      <c r="D430" s="4" t="s">
        <v>1785</v>
      </c>
      <c r="E430" s="4" t="s">
        <v>349</v>
      </c>
      <c r="F430" s="4" t="s">
        <v>1786</v>
      </c>
      <c r="G430" s="4" t="s">
        <v>1787</v>
      </c>
      <c r="H430" s="4" t="s">
        <v>356</v>
      </c>
      <c r="I430" s="4" t="s">
        <v>965</v>
      </c>
      <c r="J430" s="4" t="s">
        <v>30</v>
      </c>
      <c r="K430" s="4" t="s">
        <v>98</v>
      </c>
      <c r="L430" s="2" t="s">
        <v>362</v>
      </c>
      <c r="M430" s="2" t="s">
        <v>31</v>
      </c>
      <c r="N430" s="4" t="s">
        <v>474</v>
      </c>
      <c r="O430" s="4" t="s">
        <v>155</v>
      </c>
      <c r="P430" s="4" t="s">
        <v>34</v>
      </c>
      <c r="Q430" s="152">
        <v>626</v>
      </c>
      <c r="R430" s="167">
        <v>1</v>
      </c>
      <c r="S430" s="169">
        <v>28560</v>
      </c>
      <c r="U430" s="152">
        <v>178.786</v>
      </c>
      <c r="V430" s="166">
        <v>1.1E-5</v>
      </c>
      <c r="W430" s="166">
        <v>1.55334989334256E-2</v>
      </c>
      <c r="X430" s="166">
        <v>2.3630992590749299E-3</v>
      </c>
    </row>
    <row r="431" spans="1:24">
      <c r="A431" s="4">
        <v>969</v>
      </c>
      <c r="B431" s="4">
        <v>969</v>
      </c>
      <c r="C431" s="4" t="s">
        <v>1788</v>
      </c>
      <c r="D431" s="4" t="s">
        <v>1789</v>
      </c>
      <c r="E431" s="4" t="s">
        <v>1342</v>
      </c>
      <c r="F431" s="4" t="s">
        <v>1790</v>
      </c>
      <c r="G431" s="4" t="s">
        <v>1791</v>
      </c>
      <c r="H431" s="4" t="s">
        <v>356</v>
      </c>
      <c r="I431" s="4" t="s">
        <v>965</v>
      </c>
      <c r="J431" s="4" t="s">
        <v>30</v>
      </c>
      <c r="K431" s="4" t="s">
        <v>30</v>
      </c>
      <c r="L431" s="2" t="s">
        <v>362</v>
      </c>
      <c r="M431" s="2" t="s">
        <v>31</v>
      </c>
      <c r="N431" s="4" t="s">
        <v>489</v>
      </c>
      <c r="O431" s="4" t="s">
        <v>155</v>
      </c>
      <c r="P431" s="4" t="s">
        <v>34</v>
      </c>
      <c r="Q431" s="152">
        <v>9304</v>
      </c>
      <c r="R431" s="167">
        <v>1</v>
      </c>
      <c r="S431" s="169">
        <v>1588</v>
      </c>
      <c r="U431" s="152">
        <v>147.74799999999999</v>
      </c>
      <c r="V431" s="166">
        <v>6.9999999999999999E-6</v>
      </c>
      <c r="W431" s="166">
        <v>1.28368053374336E-2</v>
      </c>
      <c r="X431" s="166">
        <v>1.9528533340613401E-3</v>
      </c>
    </row>
    <row r="432" spans="1:24">
      <c r="A432" s="4">
        <v>969</v>
      </c>
      <c r="B432" s="4">
        <v>969</v>
      </c>
      <c r="C432" s="4" t="s">
        <v>1792</v>
      </c>
      <c r="D432" s="4" t="s">
        <v>1793</v>
      </c>
      <c r="E432" s="4" t="s">
        <v>1342</v>
      </c>
      <c r="F432" s="4" t="s">
        <v>1794</v>
      </c>
      <c r="G432" s="4" t="s">
        <v>1795</v>
      </c>
      <c r="H432" s="4" t="s">
        <v>356</v>
      </c>
      <c r="I432" s="4" t="s">
        <v>965</v>
      </c>
      <c r="J432" s="4" t="s">
        <v>30</v>
      </c>
      <c r="K432" s="4" t="s">
        <v>30</v>
      </c>
      <c r="L432" s="2" t="s">
        <v>362</v>
      </c>
      <c r="M432" s="2" t="s">
        <v>31</v>
      </c>
      <c r="N432" s="4" t="s">
        <v>478</v>
      </c>
      <c r="O432" s="4" t="s">
        <v>155</v>
      </c>
      <c r="P432" s="4" t="s">
        <v>34</v>
      </c>
      <c r="Q432" s="152">
        <v>983</v>
      </c>
      <c r="R432" s="167">
        <v>1</v>
      </c>
      <c r="S432" s="169">
        <v>12010</v>
      </c>
      <c r="U432" s="152">
        <v>118.05800000000001</v>
      </c>
      <c r="V432" s="166">
        <v>6.7000000000000002E-5</v>
      </c>
      <c r="W432" s="166">
        <v>1.0257305270290401E-2</v>
      </c>
      <c r="X432" s="166">
        <v>1.56043597055717E-3</v>
      </c>
    </row>
    <row r="433" spans="1:24">
      <c r="A433" s="4">
        <v>969</v>
      </c>
      <c r="B433" s="4">
        <v>969</v>
      </c>
      <c r="C433" s="4" t="s">
        <v>1796</v>
      </c>
      <c r="D433" s="4" t="s">
        <v>1797</v>
      </c>
      <c r="E433" s="4" t="s">
        <v>1342</v>
      </c>
      <c r="F433" s="4" t="s">
        <v>1798</v>
      </c>
      <c r="G433" s="4" t="s">
        <v>1799</v>
      </c>
      <c r="H433" s="4" t="s">
        <v>356</v>
      </c>
      <c r="I433" s="4" t="s">
        <v>965</v>
      </c>
      <c r="J433" s="4" t="s">
        <v>30</v>
      </c>
      <c r="K433" s="4" t="s">
        <v>30</v>
      </c>
      <c r="L433" s="2" t="s">
        <v>362</v>
      </c>
      <c r="M433" s="2" t="s">
        <v>31</v>
      </c>
      <c r="N433" s="4" t="s">
        <v>496</v>
      </c>
      <c r="O433" s="4" t="s">
        <v>155</v>
      </c>
      <c r="P433" s="4" t="s">
        <v>34</v>
      </c>
      <c r="Q433" s="152">
        <v>4347</v>
      </c>
      <c r="R433" s="167">
        <v>1</v>
      </c>
      <c r="S433" s="169">
        <v>1271</v>
      </c>
      <c r="U433" s="152">
        <v>55.25</v>
      </c>
      <c r="V433" s="166">
        <v>3.0000000000000001E-5</v>
      </c>
      <c r="W433" s="166">
        <v>4.8003394203245103E-3</v>
      </c>
      <c r="X433" s="166">
        <v>7.3027194813573095E-4</v>
      </c>
    </row>
    <row r="434" spans="1:24">
      <c r="A434" s="4">
        <v>969</v>
      </c>
      <c r="B434" s="4">
        <v>969</v>
      </c>
      <c r="C434" s="4" t="s">
        <v>1800</v>
      </c>
      <c r="D434" s="4" t="s">
        <v>1801</v>
      </c>
      <c r="E434" s="4" t="s">
        <v>1342</v>
      </c>
      <c r="F434" s="4" t="s">
        <v>1802</v>
      </c>
      <c r="G434" s="4" t="s">
        <v>1803</v>
      </c>
      <c r="H434" s="4" t="s">
        <v>356</v>
      </c>
      <c r="I434" s="4" t="s">
        <v>965</v>
      </c>
      <c r="J434" s="4" t="s">
        <v>30</v>
      </c>
      <c r="K434" s="4" t="s">
        <v>30</v>
      </c>
      <c r="L434" s="2" t="s">
        <v>362</v>
      </c>
      <c r="M434" s="2" t="s">
        <v>31</v>
      </c>
      <c r="N434" s="4" t="s">
        <v>511</v>
      </c>
      <c r="O434" s="4" t="s">
        <v>155</v>
      </c>
      <c r="P434" s="4" t="s">
        <v>34</v>
      </c>
      <c r="Q434" s="152">
        <v>0</v>
      </c>
      <c r="R434" s="167">
        <v>1</v>
      </c>
      <c r="S434" s="169">
        <v>0</v>
      </c>
      <c r="T434" s="151">
        <v>1E-3</v>
      </c>
      <c r="U434" s="152">
        <v>1E-3</v>
      </c>
      <c r="V434" s="166">
        <v>0</v>
      </c>
      <c r="W434" s="166">
        <v>5.9080704904250701E-8</v>
      </c>
      <c r="X434" s="166">
        <v>8.9879022481170212E-9</v>
      </c>
    </row>
    <row r="435" spans="1:24">
      <c r="A435" s="4">
        <v>969</v>
      </c>
      <c r="B435" s="4">
        <v>969</v>
      </c>
      <c r="C435" s="4" t="s">
        <v>1804</v>
      </c>
      <c r="D435" s="4" t="s">
        <v>1805</v>
      </c>
      <c r="E435" s="4" t="s">
        <v>1342</v>
      </c>
      <c r="F435" s="4" t="s">
        <v>1806</v>
      </c>
      <c r="G435" s="4" t="s">
        <v>1807</v>
      </c>
      <c r="H435" s="4" t="s">
        <v>356</v>
      </c>
      <c r="I435" s="4" t="s">
        <v>965</v>
      </c>
      <c r="J435" s="4" t="s">
        <v>30</v>
      </c>
      <c r="K435" s="4" t="s">
        <v>30</v>
      </c>
      <c r="L435" s="2" t="s">
        <v>362</v>
      </c>
      <c r="M435" s="2" t="s">
        <v>31</v>
      </c>
      <c r="N435" s="4" t="s">
        <v>479</v>
      </c>
      <c r="O435" s="4" t="s">
        <v>155</v>
      </c>
      <c r="P435" s="4" t="s">
        <v>34</v>
      </c>
      <c r="Q435" s="152">
        <v>394</v>
      </c>
      <c r="R435" s="167">
        <v>1</v>
      </c>
      <c r="S435" s="169">
        <v>74080</v>
      </c>
      <c r="U435" s="152">
        <v>291.875</v>
      </c>
      <c r="V435" s="166">
        <v>9.0000000000000002E-6</v>
      </c>
      <c r="W435" s="166">
        <v>2.53591067059841E-2</v>
      </c>
      <c r="X435" s="166">
        <v>3.8578614209552999E-3</v>
      </c>
    </row>
    <row r="436" spans="1:24">
      <c r="A436" s="4">
        <v>969</v>
      </c>
      <c r="B436" s="4">
        <v>969</v>
      </c>
      <c r="C436" s="4" t="s">
        <v>1808</v>
      </c>
      <c r="D436" s="4" t="s">
        <v>1809</v>
      </c>
      <c r="E436" s="4" t="s">
        <v>1342</v>
      </c>
      <c r="F436" s="4" t="s">
        <v>1810</v>
      </c>
      <c r="G436" s="4" t="s">
        <v>1811</v>
      </c>
      <c r="H436" s="4" t="s">
        <v>356</v>
      </c>
      <c r="I436" s="4" t="s">
        <v>965</v>
      </c>
      <c r="J436" s="4" t="s">
        <v>30</v>
      </c>
      <c r="K436" s="4" t="s">
        <v>30</v>
      </c>
      <c r="L436" s="2" t="s">
        <v>362</v>
      </c>
      <c r="M436" s="2" t="s">
        <v>31</v>
      </c>
      <c r="N436" s="4" t="s">
        <v>484</v>
      </c>
      <c r="O436" s="4" t="s">
        <v>155</v>
      </c>
      <c r="P436" s="4" t="s">
        <v>34</v>
      </c>
      <c r="Q436" s="152">
        <v>43</v>
      </c>
      <c r="R436" s="167">
        <v>1</v>
      </c>
      <c r="S436" s="169">
        <v>148500</v>
      </c>
      <c r="T436" s="151">
        <v>0.48199999999999998</v>
      </c>
      <c r="U436" s="152">
        <v>64.337000000000003</v>
      </c>
      <c r="V436" s="166">
        <v>1.1E-5</v>
      </c>
      <c r="W436" s="166">
        <v>5.5897905694313301E-3</v>
      </c>
      <c r="X436" s="166">
        <v>8.5037054495063305E-4</v>
      </c>
    </row>
    <row r="437" spans="1:24">
      <c r="A437" s="4">
        <v>969</v>
      </c>
      <c r="B437" s="4">
        <v>969</v>
      </c>
      <c r="C437" s="4" t="s">
        <v>1812</v>
      </c>
      <c r="D437" s="4" t="s">
        <v>1813</v>
      </c>
      <c r="E437" s="4" t="s">
        <v>1342</v>
      </c>
      <c r="F437" s="4" t="s">
        <v>1814</v>
      </c>
      <c r="G437" s="4" t="s">
        <v>1815</v>
      </c>
      <c r="H437" s="4" t="s">
        <v>356</v>
      </c>
      <c r="I437" s="4" t="s">
        <v>965</v>
      </c>
      <c r="J437" s="4" t="s">
        <v>30</v>
      </c>
      <c r="K437" s="4" t="s">
        <v>98</v>
      </c>
      <c r="L437" s="2" t="s">
        <v>362</v>
      </c>
      <c r="M437" s="2" t="s">
        <v>31</v>
      </c>
      <c r="N437" s="4" t="s">
        <v>474</v>
      </c>
      <c r="O437" s="4" t="s">
        <v>155</v>
      </c>
      <c r="P437" s="4" t="s">
        <v>34</v>
      </c>
      <c r="Q437" s="152">
        <v>1699.5</v>
      </c>
      <c r="R437" s="167">
        <v>1</v>
      </c>
      <c r="S437" s="169">
        <v>6254</v>
      </c>
      <c r="U437" s="152">
        <v>106.28700000000001</v>
      </c>
      <c r="V437" s="166">
        <v>1.4E-5</v>
      </c>
      <c r="W437" s="166">
        <v>9.2345513681878991E-3</v>
      </c>
      <c r="X437" s="166">
        <v>1.4048452051647199E-3</v>
      </c>
    </row>
    <row r="438" spans="1:24">
      <c r="A438" s="4">
        <v>969</v>
      </c>
      <c r="B438" s="4">
        <v>969</v>
      </c>
      <c r="C438" s="4" t="s">
        <v>1816</v>
      </c>
      <c r="D438" s="4" t="s">
        <v>1817</v>
      </c>
      <c r="E438" s="4" t="s">
        <v>349</v>
      </c>
      <c r="F438" s="4" t="s">
        <v>1818</v>
      </c>
      <c r="G438" s="4" t="s">
        <v>1819</v>
      </c>
      <c r="H438" s="4" t="s">
        <v>356</v>
      </c>
      <c r="I438" s="4" t="s">
        <v>965</v>
      </c>
      <c r="J438" s="4" t="s">
        <v>30</v>
      </c>
      <c r="K438" s="4" t="s">
        <v>271</v>
      </c>
      <c r="L438" s="2" t="s">
        <v>362</v>
      </c>
      <c r="M438" s="2" t="s">
        <v>31</v>
      </c>
      <c r="N438" s="4" t="s">
        <v>487</v>
      </c>
      <c r="O438" s="4" t="s">
        <v>155</v>
      </c>
      <c r="P438" s="4" t="s">
        <v>34</v>
      </c>
      <c r="Q438" s="152">
        <v>1834</v>
      </c>
      <c r="R438" s="167">
        <v>1</v>
      </c>
      <c r="S438" s="169">
        <v>4556</v>
      </c>
      <c r="U438" s="152">
        <v>83.557000000000002</v>
      </c>
      <c r="V438" s="166">
        <v>1.0000000000000001E-5</v>
      </c>
      <c r="W438" s="166">
        <v>7.2597188572245197E-3</v>
      </c>
      <c r="X438" s="166">
        <v>1.10441545244412E-3</v>
      </c>
    </row>
    <row r="439" spans="1:24">
      <c r="A439" s="4">
        <v>969</v>
      </c>
      <c r="B439" s="4">
        <v>969</v>
      </c>
      <c r="C439" s="4" t="s">
        <v>1820</v>
      </c>
      <c r="D439" s="4" t="s">
        <v>1821</v>
      </c>
      <c r="E439" s="4" t="s">
        <v>1342</v>
      </c>
      <c r="F439" s="4" t="s">
        <v>1822</v>
      </c>
      <c r="G439" s="4" t="s">
        <v>1823</v>
      </c>
      <c r="H439" s="4" t="s">
        <v>356</v>
      </c>
      <c r="I439" s="4" t="s">
        <v>965</v>
      </c>
      <c r="J439" s="4" t="s">
        <v>30</v>
      </c>
      <c r="K439" s="4" t="s">
        <v>30</v>
      </c>
      <c r="L439" s="2" t="s">
        <v>362</v>
      </c>
      <c r="M439" s="2" t="s">
        <v>31</v>
      </c>
      <c r="N439" s="4" t="s">
        <v>474</v>
      </c>
      <c r="O439" s="4" t="s">
        <v>155</v>
      </c>
      <c r="P439" s="4" t="s">
        <v>34</v>
      </c>
      <c r="Q439" s="152">
        <v>3996</v>
      </c>
      <c r="R439" s="167">
        <v>1</v>
      </c>
      <c r="S439" s="169">
        <v>1348</v>
      </c>
      <c r="U439" s="152">
        <v>53.866</v>
      </c>
      <c r="V439" s="166">
        <v>6.9999999999999999E-6</v>
      </c>
      <c r="W439" s="166">
        <v>4.68006761298347E-3</v>
      </c>
      <c r="X439" s="166">
        <v>7.1197509048419295E-4</v>
      </c>
    </row>
    <row r="440" spans="1:24">
      <c r="A440" s="4">
        <v>969</v>
      </c>
      <c r="B440" s="4">
        <v>969</v>
      </c>
      <c r="C440" s="4" t="s">
        <v>1828</v>
      </c>
      <c r="D440" s="4" t="s">
        <v>1829</v>
      </c>
      <c r="E440" s="4" t="s">
        <v>1342</v>
      </c>
      <c r="F440" s="4" t="s">
        <v>1830</v>
      </c>
      <c r="G440" s="4" t="s">
        <v>1831</v>
      </c>
      <c r="H440" s="4" t="s">
        <v>356</v>
      </c>
      <c r="I440" s="4" t="s">
        <v>965</v>
      </c>
      <c r="J440" s="4" t="s">
        <v>30</v>
      </c>
      <c r="K440" s="4" t="s">
        <v>30</v>
      </c>
      <c r="L440" s="2" t="s">
        <v>362</v>
      </c>
      <c r="M440" s="2" t="s">
        <v>31</v>
      </c>
      <c r="N440" s="4" t="s">
        <v>480</v>
      </c>
      <c r="O440" s="4" t="s">
        <v>155</v>
      </c>
      <c r="P440" s="4" t="s">
        <v>34</v>
      </c>
      <c r="Q440" s="152">
        <v>2552</v>
      </c>
      <c r="R440" s="167">
        <v>1</v>
      </c>
      <c r="S440" s="169">
        <v>5176</v>
      </c>
      <c r="U440" s="152">
        <v>132.09200000000001</v>
      </c>
      <c r="V440" s="166">
        <v>2.5000000000000001E-5</v>
      </c>
      <c r="W440" s="166">
        <v>1.1476558990402799E-2</v>
      </c>
      <c r="X440" s="166">
        <v>1.7459201023017599E-3</v>
      </c>
    </row>
    <row r="441" spans="1:24">
      <c r="A441" s="4">
        <v>969</v>
      </c>
      <c r="B441" s="4">
        <v>969</v>
      </c>
      <c r="C441" s="4" t="s">
        <v>1832</v>
      </c>
      <c r="D441" s="4" t="s">
        <v>1833</v>
      </c>
      <c r="E441" s="4" t="s">
        <v>1342</v>
      </c>
      <c r="F441" s="4" t="s">
        <v>1834</v>
      </c>
      <c r="G441" s="4" t="s">
        <v>1835</v>
      </c>
      <c r="H441" s="4" t="s">
        <v>356</v>
      </c>
      <c r="I441" s="4" t="s">
        <v>965</v>
      </c>
      <c r="J441" s="4" t="s">
        <v>30</v>
      </c>
      <c r="K441" s="4" t="s">
        <v>98</v>
      </c>
      <c r="L441" s="2" t="s">
        <v>362</v>
      </c>
      <c r="M441" s="2" t="s">
        <v>31</v>
      </c>
      <c r="N441" s="4" t="s">
        <v>498</v>
      </c>
      <c r="O441" s="4" t="s">
        <v>155</v>
      </c>
      <c r="P441" s="4" t="s">
        <v>34</v>
      </c>
      <c r="Q441" s="152">
        <v>3800</v>
      </c>
      <c r="R441" s="167">
        <v>1</v>
      </c>
      <c r="S441" s="169">
        <v>843.5</v>
      </c>
      <c r="U441" s="152">
        <v>32.052999999999997</v>
      </c>
      <c r="V441" s="166">
        <v>6.8999999999999997E-5</v>
      </c>
      <c r="W441" s="166">
        <v>2.7848732857293401E-3</v>
      </c>
      <c r="X441" s="166">
        <v>4.2366063346896301E-4</v>
      </c>
    </row>
    <row r="442" spans="1:24">
      <c r="A442" s="4">
        <v>969</v>
      </c>
      <c r="B442" s="4">
        <v>969</v>
      </c>
      <c r="C442" s="4" t="s">
        <v>1836</v>
      </c>
      <c r="D442" s="4" t="s">
        <v>1837</v>
      </c>
      <c r="E442" s="4" t="s">
        <v>1342</v>
      </c>
      <c r="F442" s="4" t="s">
        <v>1838</v>
      </c>
      <c r="G442" s="4" t="s">
        <v>1839</v>
      </c>
      <c r="H442" s="4" t="s">
        <v>356</v>
      </c>
      <c r="I442" s="4" t="s">
        <v>965</v>
      </c>
      <c r="J442" s="4" t="s">
        <v>30</v>
      </c>
      <c r="K442" s="4" t="s">
        <v>30</v>
      </c>
      <c r="L442" s="2" t="s">
        <v>362</v>
      </c>
      <c r="M442" s="2" t="s">
        <v>31</v>
      </c>
      <c r="N442" s="4" t="s">
        <v>473</v>
      </c>
      <c r="O442" s="4" t="s">
        <v>155</v>
      </c>
      <c r="P442" s="4" t="s">
        <v>34</v>
      </c>
      <c r="Q442" s="152">
        <v>45645</v>
      </c>
      <c r="R442" s="167">
        <v>1</v>
      </c>
      <c r="S442" s="169">
        <v>96.1</v>
      </c>
      <c r="U442" s="152">
        <v>43.865000000000002</v>
      </c>
      <c r="V442" s="166">
        <v>1.5E-5</v>
      </c>
      <c r="W442" s="166">
        <v>3.8111264163466101E-3</v>
      </c>
      <c r="X442" s="166">
        <v>5.7978373380706595E-4</v>
      </c>
    </row>
    <row r="443" spans="1:24">
      <c r="A443" s="4">
        <v>969</v>
      </c>
      <c r="B443" s="4">
        <v>969</v>
      </c>
      <c r="C443" s="4" t="s">
        <v>1840</v>
      </c>
      <c r="D443" s="4" t="s">
        <v>1841</v>
      </c>
      <c r="E443" s="4" t="s">
        <v>1342</v>
      </c>
      <c r="F443" s="4" t="s">
        <v>1842</v>
      </c>
      <c r="G443" s="4" t="s">
        <v>1843</v>
      </c>
      <c r="H443" s="4" t="s">
        <v>356</v>
      </c>
      <c r="I443" s="4" t="s">
        <v>965</v>
      </c>
      <c r="J443" s="4" t="s">
        <v>30</v>
      </c>
      <c r="K443" s="4" t="s">
        <v>30</v>
      </c>
      <c r="L443" s="2" t="s">
        <v>362</v>
      </c>
      <c r="M443" s="2" t="s">
        <v>31</v>
      </c>
      <c r="N443" s="4" t="s">
        <v>518</v>
      </c>
      <c r="O443" s="4" t="s">
        <v>155</v>
      </c>
      <c r="P443" s="4" t="s">
        <v>34</v>
      </c>
      <c r="Q443" s="152">
        <v>28110</v>
      </c>
      <c r="R443" s="167">
        <v>1</v>
      </c>
      <c r="S443" s="169">
        <v>428.6</v>
      </c>
      <c r="T443" s="151">
        <v>4.133</v>
      </c>
      <c r="U443" s="152">
        <v>124.613</v>
      </c>
      <c r="V443" s="166">
        <v>1.0000000000000001E-5</v>
      </c>
      <c r="W443" s="166">
        <v>1.08267754965236E-2</v>
      </c>
      <c r="X443" s="166">
        <v>1.6470690385764399E-3</v>
      </c>
    </row>
    <row r="444" spans="1:24">
      <c r="A444" s="4">
        <v>969</v>
      </c>
      <c r="B444" s="4">
        <v>969</v>
      </c>
      <c r="C444" s="4" t="s">
        <v>1844</v>
      </c>
      <c r="D444" s="4" t="s">
        <v>1845</v>
      </c>
      <c r="E444" s="4" t="s">
        <v>1342</v>
      </c>
      <c r="F444" s="4" t="s">
        <v>1846</v>
      </c>
      <c r="G444" s="4" t="s">
        <v>1847</v>
      </c>
      <c r="H444" s="4" t="s">
        <v>356</v>
      </c>
      <c r="I444" s="4" t="s">
        <v>965</v>
      </c>
      <c r="J444" s="4" t="s">
        <v>30</v>
      </c>
      <c r="K444" s="4" t="s">
        <v>30</v>
      </c>
      <c r="L444" s="2" t="s">
        <v>362</v>
      </c>
      <c r="M444" s="2" t="s">
        <v>31</v>
      </c>
      <c r="N444" s="4" t="s">
        <v>497</v>
      </c>
      <c r="O444" s="4" t="s">
        <v>155</v>
      </c>
      <c r="P444" s="4" t="s">
        <v>34</v>
      </c>
      <c r="Q444" s="152">
        <v>257.44</v>
      </c>
      <c r="R444" s="167">
        <v>1</v>
      </c>
      <c r="S444" s="169">
        <v>41490</v>
      </c>
      <c r="U444" s="152">
        <v>106.812</v>
      </c>
      <c r="V444" s="166">
        <v>1.1E-5</v>
      </c>
      <c r="W444" s="166">
        <v>9.2801760950166502E-3</v>
      </c>
      <c r="X444" s="166">
        <v>1.41178605980581E-3</v>
      </c>
    </row>
    <row r="445" spans="1:24">
      <c r="A445" s="4">
        <v>969</v>
      </c>
      <c r="B445" s="4">
        <v>969</v>
      </c>
      <c r="C445" s="4" t="s">
        <v>1848</v>
      </c>
      <c r="D445" s="4" t="s">
        <v>1849</v>
      </c>
      <c r="E445" s="4" t="s">
        <v>1342</v>
      </c>
      <c r="F445" s="4" t="s">
        <v>1850</v>
      </c>
      <c r="G445" s="4" t="s">
        <v>1851</v>
      </c>
      <c r="H445" s="4" t="s">
        <v>356</v>
      </c>
      <c r="I445" s="4" t="s">
        <v>965</v>
      </c>
      <c r="J445" s="4" t="s">
        <v>30</v>
      </c>
      <c r="K445" s="4" t="s">
        <v>30</v>
      </c>
      <c r="L445" s="2" t="s">
        <v>362</v>
      </c>
      <c r="M445" s="2" t="s">
        <v>31</v>
      </c>
      <c r="N445" s="4" t="s">
        <v>481</v>
      </c>
      <c r="O445" s="4" t="s">
        <v>155</v>
      </c>
      <c r="P445" s="4" t="s">
        <v>34</v>
      </c>
      <c r="Q445" s="152">
        <v>694</v>
      </c>
      <c r="R445" s="167">
        <v>1</v>
      </c>
      <c r="S445" s="169">
        <v>15410</v>
      </c>
      <c r="U445" s="152">
        <v>106.94499999999999</v>
      </c>
      <c r="V445" s="166">
        <v>6.9999999999999999E-6</v>
      </c>
      <c r="W445" s="166">
        <v>9.2917788503927307E-3</v>
      </c>
      <c r="X445" s="166">
        <v>1.4135511780673201E-3</v>
      </c>
    </row>
    <row r="446" spans="1:24">
      <c r="A446" s="4">
        <v>969</v>
      </c>
      <c r="B446" s="4">
        <v>969</v>
      </c>
      <c r="C446" s="4" t="s">
        <v>1856</v>
      </c>
      <c r="D446" s="4" t="s">
        <v>1857</v>
      </c>
      <c r="E446" s="4" t="s">
        <v>1342</v>
      </c>
      <c r="F446" s="4" t="s">
        <v>1858</v>
      </c>
      <c r="G446" s="4" t="s">
        <v>1859</v>
      </c>
      <c r="H446" s="4" t="s">
        <v>356</v>
      </c>
      <c r="I446" s="4" t="s">
        <v>965</v>
      </c>
      <c r="J446" s="4" t="s">
        <v>30</v>
      </c>
      <c r="K446" s="4" t="s">
        <v>30</v>
      </c>
      <c r="L446" s="2" t="s">
        <v>362</v>
      </c>
      <c r="M446" s="2" t="s">
        <v>31</v>
      </c>
      <c r="N446" s="4" t="s">
        <v>481</v>
      </c>
      <c r="O446" s="4" t="s">
        <v>155</v>
      </c>
      <c r="P446" s="4" t="s">
        <v>34</v>
      </c>
      <c r="Q446" s="152">
        <v>13848</v>
      </c>
      <c r="R446" s="167">
        <v>1</v>
      </c>
      <c r="S446" s="169">
        <v>2085</v>
      </c>
      <c r="U446" s="152">
        <v>288.73099999999999</v>
      </c>
      <c r="V446" s="166">
        <v>1.1E-5</v>
      </c>
      <c r="W446" s="166">
        <v>2.5085910575835601E-2</v>
      </c>
      <c r="X446" s="166">
        <v>3.8163003035597402E-3</v>
      </c>
    </row>
    <row r="447" spans="1:24">
      <c r="A447" s="4">
        <v>969</v>
      </c>
      <c r="B447" s="4">
        <v>969</v>
      </c>
      <c r="C447" s="4" t="s">
        <v>1860</v>
      </c>
      <c r="D447" s="4" t="s">
        <v>1861</v>
      </c>
      <c r="E447" s="4" t="s">
        <v>1342</v>
      </c>
      <c r="F447" s="4" t="s">
        <v>1862</v>
      </c>
      <c r="G447" s="4" t="s">
        <v>1863</v>
      </c>
      <c r="H447" s="4" t="s">
        <v>356</v>
      </c>
      <c r="I447" s="4" t="s">
        <v>965</v>
      </c>
      <c r="J447" s="4" t="s">
        <v>30</v>
      </c>
      <c r="K447" s="4" t="s">
        <v>30</v>
      </c>
      <c r="L447" s="2" t="s">
        <v>362</v>
      </c>
      <c r="M447" s="2" t="s">
        <v>31</v>
      </c>
      <c r="N447" s="4" t="s">
        <v>470</v>
      </c>
      <c r="O447" s="4" t="s">
        <v>155</v>
      </c>
      <c r="P447" s="4" t="s">
        <v>34</v>
      </c>
      <c r="Q447" s="152">
        <v>1213</v>
      </c>
      <c r="R447" s="167">
        <v>1</v>
      </c>
      <c r="S447" s="169">
        <v>16850</v>
      </c>
      <c r="U447" s="152">
        <v>204.39099999999999</v>
      </c>
      <c r="V447" s="166">
        <v>4.6999999999999997E-5</v>
      </c>
      <c r="W447" s="166">
        <v>1.77581394349004E-2</v>
      </c>
      <c r="X447" s="166">
        <v>2.70153210947612E-3</v>
      </c>
    </row>
    <row r="448" spans="1:24">
      <c r="A448" s="4">
        <v>969</v>
      </c>
      <c r="B448" s="4">
        <v>969</v>
      </c>
      <c r="C448" s="4" t="s">
        <v>2151</v>
      </c>
      <c r="D448" s="4" t="s">
        <v>2152</v>
      </c>
      <c r="E448" s="4" t="s">
        <v>1342</v>
      </c>
      <c r="F448" s="4" t="s">
        <v>2153</v>
      </c>
      <c r="G448" s="4" t="s">
        <v>2154</v>
      </c>
      <c r="H448" s="4" t="s">
        <v>356</v>
      </c>
      <c r="I448" s="4" t="s">
        <v>965</v>
      </c>
      <c r="J448" s="4" t="s">
        <v>30</v>
      </c>
      <c r="K448" s="4" t="s">
        <v>30</v>
      </c>
      <c r="L448" s="2" t="s">
        <v>362</v>
      </c>
      <c r="M448" s="2" t="s">
        <v>31</v>
      </c>
      <c r="N448" s="4" t="s">
        <v>511</v>
      </c>
      <c r="O448" s="4" t="s">
        <v>155</v>
      </c>
      <c r="P448" s="4" t="s">
        <v>34</v>
      </c>
      <c r="Q448" s="152">
        <v>123</v>
      </c>
      <c r="R448" s="167">
        <v>1</v>
      </c>
      <c r="S448" s="169">
        <v>34100</v>
      </c>
      <c r="U448" s="152">
        <v>41.942999999999998</v>
      </c>
      <c r="V448" s="166">
        <v>2.0999999999999999E-5</v>
      </c>
      <c r="W448" s="166">
        <v>3.6441500085279202E-3</v>
      </c>
      <c r="X448" s="166">
        <v>5.5438174116584197E-4</v>
      </c>
    </row>
    <row r="449" spans="1:24">
      <c r="A449" s="4">
        <v>969</v>
      </c>
      <c r="B449" s="4">
        <v>969</v>
      </c>
      <c r="C449" s="4" t="s">
        <v>1864</v>
      </c>
      <c r="D449" s="4" t="s">
        <v>1865</v>
      </c>
      <c r="E449" s="4" t="s">
        <v>1342</v>
      </c>
      <c r="F449" s="4" t="s">
        <v>1866</v>
      </c>
      <c r="G449" s="4" t="s">
        <v>1867</v>
      </c>
      <c r="H449" s="4" t="s">
        <v>356</v>
      </c>
      <c r="I449" s="4" t="s">
        <v>965</v>
      </c>
      <c r="J449" s="4" t="s">
        <v>30</v>
      </c>
      <c r="K449" s="4" t="s">
        <v>30</v>
      </c>
      <c r="L449" s="2" t="s">
        <v>362</v>
      </c>
      <c r="M449" s="2" t="s">
        <v>31</v>
      </c>
      <c r="N449" s="4" t="s">
        <v>478</v>
      </c>
      <c r="O449" s="4" t="s">
        <v>155</v>
      </c>
      <c r="P449" s="4" t="s">
        <v>34</v>
      </c>
      <c r="Q449" s="152">
        <v>2577</v>
      </c>
      <c r="R449" s="167">
        <v>1</v>
      </c>
      <c r="S449" s="169">
        <v>4200</v>
      </c>
      <c r="U449" s="152">
        <v>108.23399999999999</v>
      </c>
      <c r="V449" s="166">
        <v>1.0000000000000001E-5</v>
      </c>
      <c r="W449" s="166">
        <v>9.4037367861862804E-3</v>
      </c>
      <c r="X449" s="166">
        <v>1.4305832528275001E-3</v>
      </c>
    </row>
    <row r="450" spans="1:24">
      <c r="A450" s="4">
        <v>969</v>
      </c>
      <c r="B450" s="4">
        <v>969</v>
      </c>
      <c r="C450" s="4" t="s">
        <v>1868</v>
      </c>
      <c r="D450" s="4" t="s">
        <v>1869</v>
      </c>
      <c r="E450" s="4" t="s">
        <v>1342</v>
      </c>
      <c r="F450" s="4" t="s">
        <v>1870</v>
      </c>
      <c r="G450" s="4" t="s">
        <v>1871</v>
      </c>
      <c r="H450" s="4" t="s">
        <v>356</v>
      </c>
      <c r="I450" s="4" t="s">
        <v>965</v>
      </c>
      <c r="J450" s="4" t="s">
        <v>30</v>
      </c>
      <c r="K450" s="4" t="s">
        <v>30</v>
      </c>
      <c r="L450" s="2" t="s">
        <v>362</v>
      </c>
      <c r="M450" s="2" t="s">
        <v>31</v>
      </c>
      <c r="N450" s="4" t="s">
        <v>484</v>
      </c>
      <c r="O450" s="4" t="s">
        <v>155</v>
      </c>
      <c r="P450" s="4" t="s">
        <v>34</v>
      </c>
      <c r="Q450" s="152">
        <v>69</v>
      </c>
      <c r="R450" s="167">
        <v>1</v>
      </c>
      <c r="S450" s="169">
        <v>81100</v>
      </c>
      <c r="U450" s="152">
        <v>55.959000000000003</v>
      </c>
      <c r="V450" s="166">
        <v>9.0000000000000002E-6</v>
      </c>
      <c r="W450" s="166">
        <v>4.8619075966720099E-3</v>
      </c>
      <c r="X450" s="166">
        <v>7.3963826750350105E-4</v>
      </c>
    </row>
    <row r="451" spans="1:24">
      <c r="A451" s="4">
        <v>969</v>
      </c>
      <c r="B451" s="4">
        <v>969</v>
      </c>
      <c r="C451" s="4" t="s">
        <v>1872</v>
      </c>
      <c r="D451" s="4" t="s">
        <v>1873</v>
      </c>
      <c r="E451" s="4" t="s">
        <v>1342</v>
      </c>
      <c r="F451" s="4" t="s">
        <v>1874</v>
      </c>
      <c r="G451" s="4" t="s">
        <v>1875</v>
      </c>
      <c r="H451" s="4" t="s">
        <v>356</v>
      </c>
      <c r="I451" s="4" t="s">
        <v>965</v>
      </c>
      <c r="J451" s="4" t="s">
        <v>30</v>
      </c>
      <c r="K451" s="4" t="s">
        <v>30</v>
      </c>
      <c r="L451" s="2" t="s">
        <v>362</v>
      </c>
      <c r="M451" s="2" t="s">
        <v>31</v>
      </c>
      <c r="N451" s="4" t="s">
        <v>510</v>
      </c>
      <c r="O451" s="4" t="s">
        <v>155</v>
      </c>
      <c r="P451" s="4" t="s">
        <v>34</v>
      </c>
      <c r="Q451" s="152">
        <v>658</v>
      </c>
      <c r="R451" s="167">
        <v>1</v>
      </c>
      <c r="S451" s="169">
        <v>19560</v>
      </c>
      <c r="U451" s="152">
        <v>128.70500000000001</v>
      </c>
      <c r="V451" s="166">
        <v>2.9E-5</v>
      </c>
      <c r="W451" s="166">
        <v>1.1182309277295001E-2</v>
      </c>
      <c r="X451" s="166">
        <v>1.70115611950508E-3</v>
      </c>
    </row>
    <row r="452" spans="1:24">
      <c r="A452" s="4">
        <v>969</v>
      </c>
      <c r="B452" s="4">
        <v>969</v>
      </c>
      <c r="C452" s="4" t="s">
        <v>1876</v>
      </c>
      <c r="D452" s="4" t="s">
        <v>1877</v>
      </c>
      <c r="E452" s="4" t="s">
        <v>1342</v>
      </c>
      <c r="F452" s="4" t="s">
        <v>1878</v>
      </c>
      <c r="G452" s="4" t="s">
        <v>1879</v>
      </c>
      <c r="H452" s="4" t="s">
        <v>356</v>
      </c>
      <c r="I452" s="4" t="s">
        <v>965</v>
      </c>
      <c r="J452" s="4" t="s">
        <v>30</v>
      </c>
      <c r="K452" s="4" t="s">
        <v>30</v>
      </c>
      <c r="L452" s="2" t="s">
        <v>362</v>
      </c>
      <c r="M452" s="2" t="s">
        <v>31</v>
      </c>
      <c r="N452" s="4" t="s">
        <v>518</v>
      </c>
      <c r="O452" s="4" t="s">
        <v>155</v>
      </c>
      <c r="P452" s="4" t="s">
        <v>34</v>
      </c>
      <c r="Q452" s="152">
        <v>1570</v>
      </c>
      <c r="R452" s="167">
        <v>1</v>
      </c>
      <c r="S452" s="169">
        <v>29.8</v>
      </c>
      <c r="U452" s="152">
        <v>0.46800000000000003</v>
      </c>
      <c r="V452" s="166">
        <v>4.8999999999999998E-5</v>
      </c>
      <c r="W452" s="166">
        <v>4.0649262641915801E-5</v>
      </c>
      <c r="X452" s="166">
        <v>6.1839410967706299E-6</v>
      </c>
    </row>
    <row r="453" spans="1:24">
      <c r="A453" s="4">
        <v>969</v>
      </c>
      <c r="B453" s="4">
        <v>969</v>
      </c>
      <c r="C453" s="4" t="s">
        <v>1880</v>
      </c>
      <c r="D453" s="4" t="s">
        <v>1881</v>
      </c>
      <c r="E453" s="4" t="s">
        <v>1342</v>
      </c>
      <c r="F453" s="4" t="s">
        <v>1882</v>
      </c>
      <c r="G453" s="4" t="s">
        <v>1883</v>
      </c>
      <c r="H453" s="4" t="s">
        <v>356</v>
      </c>
      <c r="I453" s="4" t="s">
        <v>965</v>
      </c>
      <c r="J453" s="4" t="s">
        <v>30</v>
      </c>
      <c r="K453" s="4" t="s">
        <v>334</v>
      </c>
      <c r="L453" s="2" t="s">
        <v>362</v>
      </c>
      <c r="M453" s="2" t="s">
        <v>31</v>
      </c>
      <c r="N453" s="4" t="s">
        <v>491</v>
      </c>
      <c r="O453" s="4" t="s">
        <v>155</v>
      </c>
      <c r="P453" s="4" t="s">
        <v>34</v>
      </c>
      <c r="Q453" s="152">
        <v>60</v>
      </c>
      <c r="R453" s="167">
        <v>1</v>
      </c>
      <c r="S453" s="169">
        <v>16470</v>
      </c>
      <c r="U453" s="152">
        <v>9.8819999999999997</v>
      </c>
      <c r="V453" s="166">
        <v>9.9999999999999995E-7</v>
      </c>
      <c r="W453" s="166">
        <v>8.5858165568206699E-4</v>
      </c>
      <c r="X453" s="166">
        <v>1.3061536767043001E-4</v>
      </c>
    </row>
    <row r="454" spans="1:24">
      <c r="A454" s="4">
        <v>969</v>
      </c>
      <c r="B454" s="4">
        <v>969</v>
      </c>
      <c r="C454" s="4" t="s">
        <v>1884</v>
      </c>
      <c r="D454" s="4" t="s">
        <v>1885</v>
      </c>
      <c r="E454" s="4" t="s">
        <v>1342</v>
      </c>
      <c r="F454" s="4" t="s">
        <v>1886</v>
      </c>
      <c r="G454" s="4" t="s">
        <v>1887</v>
      </c>
      <c r="H454" s="4" t="s">
        <v>356</v>
      </c>
      <c r="I454" s="4" t="s">
        <v>965</v>
      </c>
      <c r="J454" s="4" t="s">
        <v>30</v>
      </c>
      <c r="K454" s="4" t="s">
        <v>98</v>
      </c>
      <c r="L454" s="2" t="s">
        <v>362</v>
      </c>
      <c r="M454" s="2" t="s">
        <v>31</v>
      </c>
      <c r="N454" s="4" t="s">
        <v>500</v>
      </c>
      <c r="O454" s="4" t="s">
        <v>155</v>
      </c>
      <c r="P454" s="4" t="s">
        <v>34</v>
      </c>
      <c r="Q454" s="152">
        <v>7882</v>
      </c>
      <c r="R454" s="167">
        <v>1</v>
      </c>
      <c r="S454" s="169">
        <v>6629</v>
      </c>
      <c r="U454" s="152">
        <v>522.49800000000005</v>
      </c>
      <c r="V454" s="166">
        <v>6.9999999999999999E-6</v>
      </c>
      <c r="W454" s="166">
        <v>4.5396378166626603E-2</v>
      </c>
      <c r="X454" s="166">
        <v>6.9061161345561096E-3</v>
      </c>
    </row>
    <row r="455" spans="1:24">
      <c r="A455" s="4">
        <v>969</v>
      </c>
      <c r="B455" s="4">
        <v>969</v>
      </c>
      <c r="C455" s="4" t="s">
        <v>1892</v>
      </c>
      <c r="D455" s="4" t="s">
        <v>1893</v>
      </c>
      <c r="E455" s="4" t="s">
        <v>1342</v>
      </c>
      <c r="F455" s="4" t="s">
        <v>1894</v>
      </c>
      <c r="G455" s="4" t="s">
        <v>1895</v>
      </c>
      <c r="H455" s="4" t="s">
        <v>356</v>
      </c>
      <c r="I455" s="4" t="s">
        <v>965</v>
      </c>
      <c r="J455" s="4" t="s">
        <v>30</v>
      </c>
      <c r="K455" s="4" t="s">
        <v>30</v>
      </c>
      <c r="L455" s="2" t="s">
        <v>362</v>
      </c>
      <c r="M455" s="2" t="s">
        <v>31</v>
      </c>
      <c r="N455" s="4" t="s">
        <v>512</v>
      </c>
      <c r="O455" s="4" t="s">
        <v>155</v>
      </c>
      <c r="P455" s="4" t="s">
        <v>34</v>
      </c>
      <c r="Q455" s="152">
        <v>19366</v>
      </c>
      <c r="R455" s="167">
        <v>1</v>
      </c>
      <c r="S455" s="169">
        <v>1373</v>
      </c>
      <c r="U455" s="152">
        <v>265.89499999999998</v>
      </c>
      <c r="V455" s="166">
        <v>9.7E-5</v>
      </c>
      <c r="W455" s="166">
        <v>2.3101874507415601E-2</v>
      </c>
      <c r="X455" s="166">
        <v>3.5144704207139398E-3</v>
      </c>
    </row>
    <row r="456" spans="1:24">
      <c r="A456" s="4">
        <v>969</v>
      </c>
      <c r="B456" s="4">
        <v>969</v>
      </c>
      <c r="C456" s="4" t="s">
        <v>1896</v>
      </c>
      <c r="D456" s="4" t="s">
        <v>1897</v>
      </c>
      <c r="E456" s="4" t="s">
        <v>1342</v>
      </c>
      <c r="F456" s="4" t="s">
        <v>1898</v>
      </c>
      <c r="G456" s="4" t="s">
        <v>1899</v>
      </c>
      <c r="H456" s="4" t="s">
        <v>356</v>
      </c>
      <c r="I456" s="4" t="s">
        <v>965</v>
      </c>
      <c r="J456" s="4" t="s">
        <v>30</v>
      </c>
      <c r="K456" s="4" t="s">
        <v>30</v>
      </c>
      <c r="L456" s="2" t="s">
        <v>362</v>
      </c>
      <c r="M456" s="2" t="s">
        <v>31</v>
      </c>
      <c r="N456" s="4" t="s">
        <v>478</v>
      </c>
      <c r="O456" s="4" t="s">
        <v>155</v>
      </c>
      <c r="P456" s="4" t="s">
        <v>34</v>
      </c>
      <c r="Q456" s="152">
        <v>2529</v>
      </c>
      <c r="R456" s="167">
        <v>1</v>
      </c>
      <c r="S456" s="169">
        <v>6329</v>
      </c>
      <c r="U456" s="152">
        <v>160.06</v>
      </c>
      <c r="V456" s="166">
        <v>3.1999999999999999E-5</v>
      </c>
      <c r="W456" s="166">
        <v>1.3906590955975601E-2</v>
      </c>
      <c r="X456" s="166">
        <v>2.1155989983434298E-3</v>
      </c>
    </row>
    <row r="457" spans="1:24">
      <c r="A457" s="4">
        <v>969</v>
      </c>
      <c r="B457" s="4">
        <v>969</v>
      </c>
      <c r="C457" s="4" t="s">
        <v>1212</v>
      </c>
      <c r="D457" s="4" t="s">
        <v>1900</v>
      </c>
      <c r="E457" s="4" t="s">
        <v>1342</v>
      </c>
      <c r="F457" s="4" t="s">
        <v>1901</v>
      </c>
      <c r="G457" s="4" t="s">
        <v>1902</v>
      </c>
      <c r="H457" s="4" t="s">
        <v>356</v>
      </c>
      <c r="I457" s="4" t="s">
        <v>965</v>
      </c>
      <c r="J457" s="4" t="s">
        <v>30</v>
      </c>
      <c r="K457" s="4" t="s">
        <v>30</v>
      </c>
      <c r="L457" s="2" t="s">
        <v>362</v>
      </c>
      <c r="M457" s="2" t="s">
        <v>31</v>
      </c>
      <c r="N457" s="4" t="s">
        <v>481</v>
      </c>
      <c r="O457" s="4" t="s">
        <v>155</v>
      </c>
      <c r="P457" s="4" t="s">
        <v>34</v>
      </c>
      <c r="Q457" s="152">
        <v>14198</v>
      </c>
      <c r="R457" s="167">
        <v>1</v>
      </c>
      <c r="S457" s="169">
        <v>3644</v>
      </c>
      <c r="U457" s="152">
        <v>517.375</v>
      </c>
      <c r="V457" s="166">
        <v>9.0000000000000002E-6</v>
      </c>
      <c r="W457" s="166">
        <v>4.4951304102237202E-2</v>
      </c>
      <c r="X457" s="166">
        <v>6.8384073590703198E-3</v>
      </c>
    </row>
    <row r="458" spans="1:24">
      <c r="A458" s="4">
        <v>969</v>
      </c>
      <c r="B458" s="4">
        <v>969</v>
      </c>
      <c r="C458" s="4" t="s">
        <v>1903</v>
      </c>
      <c r="D458" s="4" t="s">
        <v>1904</v>
      </c>
      <c r="E458" s="4" t="s">
        <v>1342</v>
      </c>
      <c r="F458" s="4" t="s">
        <v>1905</v>
      </c>
      <c r="G458" s="4" t="s">
        <v>1906</v>
      </c>
      <c r="H458" s="4" t="s">
        <v>356</v>
      </c>
      <c r="I458" s="4" t="s">
        <v>965</v>
      </c>
      <c r="J458" s="4" t="s">
        <v>30</v>
      </c>
      <c r="K458" s="4" t="s">
        <v>30</v>
      </c>
      <c r="L458" s="2" t="s">
        <v>362</v>
      </c>
      <c r="M458" s="2" t="s">
        <v>31</v>
      </c>
      <c r="N458" s="4" t="s">
        <v>497</v>
      </c>
      <c r="O458" s="4" t="s">
        <v>155</v>
      </c>
      <c r="P458" s="4" t="s">
        <v>34</v>
      </c>
      <c r="Q458" s="152">
        <v>15680</v>
      </c>
      <c r="R458" s="167">
        <v>1</v>
      </c>
      <c r="S458" s="169">
        <v>954</v>
      </c>
      <c r="U458" s="152">
        <v>149.58699999999999</v>
      </c>
      <c r="V458" s="166">
        <v>2.0999999999999999E-5</v>
      </c>
      <c r="W458" s="166">
        <v>1.29966429715487E-2</v>
      </c>
      <c r="X458" s="166">
        <v>1.9771693105434299E-3</v>
      </c>
    </row>
    <row r="459" spans="1:24">
      <c r="A459" s="4">
        <v>969</v>
      </c>
      <c r="B459" s="4">
        <v>969</v>
      </c>
      <c r="C459" s="4" t="s">
        <v>1907</v>
      </c>
      <c r="D459" s="4" t="s">
        <v>1908</v>
      </c>
      <c r="E459" s="4" t="s">
        <v>1342</v>
      </c>
      <c r="F459" s="4" t="s">
        <v>1909</v>
      </c>
      <c r="G459" s="4" t="s">
        <v>1910</v>
      </c>
      <c r="H459" s="4" t="s">
        <v>356</v>
      </c>
      <c r="I459" s="4" t="s">
        <v>965</v>
      </c>
      <c r="J459" s="4" t="s">
        <v>30</v>
      </c>
      <c r="K459" s="4" t="s">
        <v>30</v>
      </c>
      <c r="L459" s="2" t="s">
        <v>362</v>
      </c>
      <c r="M459" s="2" t="s">
        <v>31</v>
      </c>
      <c r="N459" s="4" t="s">
        <v>497</v>
      </c>
      <c r="O459" s="4" t="s">
        <v>155</v>
      </c>
      <c r="P459" s="4" t="s">
        <v>34</v>
      </c>
      <c r="Q459" s="152">
        <v>4662</v>
      </c>
      <c r="R459" s="167">
        <v>1</v>
      </c>
      <c r="S459" s="169">
        <v>768.4</v>
      </c>
      <c r="U459" s="152">
        <v>35.823</v>
      </c>
      <c r="V459" s="166">
        <v>3.1000000000000001E-5</v>
      </c>
      <c r="W459" s="166">
        <v>3.1124069827788699E-3</v>
      </c>
      <c r="X459" s="166">
        <v>4.73488083172154E-4</v>
      </c>
    </row>
    <row r="460" spans="1:24">
      <c r="A460" s="4">
        <v>969</v>
      </c>
      <c r="B460" s="4">
        <v>969</v>
      </c>
      <c r="C460" s="4" t="s">
        <v>1911</v>
      </c>
      <c r="D460" s="4" t="s">
        <v>1912</v>
      </c>
      <c r="E460" s="4" t="s">
        <v>1342</v>
      </c>
      <c r="F460" s="4" t="s">
        <v>1913</v>
      </c>
      <c r="G460" s="4" t="s">
        <v>1914</v>
      </c>
      <c r="H460" s="4" t="s">
        <v>356</v>
      </c>
      <c r="I460" s="4" t="s">
        <v>965</v>
      </c>
      <c r="J460" s="4" t="s">
        <v>30</v>
      </c>
      <c r="K460" s="4" t="s">
        <v>30</v>
      </c>
      <c r="L460" s="2" t="s">
        <v>362</v>
      </c>
      <c r="M460" s="2" t="s">
        <v>31</v>
      </c>
      <c r="N460" s="4" t="s">
        <v>492</v>
      </c>
      <c r="O460" s="4" t="s">
        <v>155</v>
      </c>
      <c r="P460" s="4" t="s">
        <v>34</v>
      </c>
      <c r="Q460" s="152">
        <v>378</v>
      </c>
      <c r="R460" s="167">
        <v>1</v>
      </c>
      <c r="S460" s="169">
        <v>15960</v>
      </c>
      <c r="U460" s="152">
        <v>60.329000000000001</v>
      </c>
      <c r="V460" s="166">
        <v>1.13E-4</v>
      </c>
      <c r="W460" s="166">
        <v>5.2415706323934701E-3</v>
      </c>
      <c r="X460" s="166">
        <v>7.97396113450298E-4</v>
      </c>
    </row>
    <row r="461" spans="1:24">
      <c r="A461" s="4">
        <v>969</v>
      </c>
      <c r="B461" s="4">
        <v>969</v>
      </c>
      <c r="C461" s="4" t="s">
        <v>2137</v>
      </c>
      <c r="D461" s="4" t="s">
        <v>2138</v>
      </c>
      <c r="E461" s="4" t="s">
        <v>1342</v>
      </c>
      <c r="F461" s="4" t="s">
        <v>2139</v>
      </c>
      <c r="G461" s="4" t="s">
        <v>2140</v>
      </c>
      <c r="H461" s="4" t="s">
        <v>356</v>
      </c>
      <c r="I461" s="4" t="s">
        <v>965</v>
      </c>
      <c r="J461" s="4" t="s">
        <v>30</v>
      </c>
      <c r="K461" s="4" t="s">
        <v>30</v>
      </c>
      <c r="L461" s="2" t="s">
        <v>362</v>
      </c>
      <c r="M461" s="2" t="s">
        <v>31</v>
      </c>
      <c r="N461" s="4" t="s">
        <v>509</v>
      </c>
      <c r="O461" s="4" t="s">
        <v>155</v>
      </c>
      <c r="P461" s="4" t="s">
        <v>34</v>
      </c>
      <c r="Q461" s="152">
        <v>1800</v>
      </c>
      <c r="R461" s="167">
        <v>1</v>
      </c>
      <c r="S461" s="169">
        <v>589.5</v>
      </c>
      <c r="U461" s="152">
        <v>10.611000000000001</v>
      </c>
      <c r="V461" s="166">
        <v>7.7000000000000001E-5</v>
      </c>
      <c r="W461" s="166">
        <v>9.2191964667500705E-4</v>
      </c>
      <c r="X461" s="166">
        <v>1.40250927580544E-4</v>
      </c>
    </row>
    <row r="462" spans="1:24">
      <c r="A462" s="4">
        <v>969</v>
      </c>
      <c r="B462" s="4">
        <v>969</v>
      </c>
      <c r="C462" s="4" t="s">
        <v>1915</v>
      </c>
      <c r="D462" s="4" t="s">
        <v>1916</v>
      </c>
      <c r="E462" s="4" t="s">
        <v>1342</v>
      </c>
      <c r="F462" s="4" t="s">
        <v>1917</v>
      </c>
      <c r="G462" s="4" t="s">
        <v>1918</v>
      </c>
      <c r="H462" s="4" t="s">
        <v>356</v>
      </c>
      <c r="I462" s="4" t="s">
        <v>965</v>
      </c>
      <c r="J462" s="4" t="s">
        <v>30</v>
      </c>
      <c r="K462" s="4" t="s">
        <v>30</v>
      </c>
      <c r="L462" s="2" t="s">
        <v>362</v>
      </c>
      <c r="M462" s="2" t="s">
        <v>31</v>
      </c>
      <c r="N462" s="4" t="s">
        <v>510</v>
      </c>
      <c r="O462" s="4" t="s">
        <v>155</v>
      </c>
      <c r="P462" s="4" t="s">
        <v>34</v>
      </c>
      <c r="Q462" s="152">
        <v>645</v>
      </c>
      <c r="R462" s="167">
        <v>1</v>
      </c>
      <c r="S462" s="169">
        <v>7125</v>
      </c>
      <c r="T462" s="151">
        <v>0.52900000000000003</v>
      </c>
      <c r="U462" s="152">
        <v>46.484999999999999</v>
      </c>
      <c r="V462" s="166">
        <v>1.0000000000000001E-5</v>
      </c>
      <c r="W462" s="166">
        <v>4.0387873964409298E-3</v>
      </c>
      <c r="X462" s="166">
        <v>6.1441762380743704E-4</v>
      </c>
    </row>
    <row r="463" spans="1:24">
      <c r="A463" s="4">
        <v>969</v>
      </c>
      <c r="B463" s="4">
        <v>969</v>
      </c>
      <c r="C463" s="4" t="s">
        <v>1919</v>
      </c>
      <c r="D463" s="4" t="s">
        <v>1920</v>
      </c>
      <c r="E463" s="4" t="s">
        <v>1342</v>
      </c>
      <c r="F463" s="4" t="s">
        <v>1921</v>
      </c>
      <c r="G463" s="4" t="s">
        <v>1922</v>
      </c>
      <c r="H463" s="4" t="s">
        <v>356</v>
      </c>
      <c r="I463" s="4" t="s">
        <v>965</v>
      </c>
      <c r="J463" s="4" t="s">
        <v>30</v>
      </c>
      <c r="K463" s="4" t="s">
        <v>30</v>
      </c>
      <c r="L463" s="2" t="s">
        <v>362</v>
      </c>
      <c r="M463" s="2" t="s">
        <v>31</v>
      </c>
      <c r="N463" s="4" t="s">
        <v>497</v>
      </c>
      <c r="O463" s="4" t="s">
        <v>155</v>
      </c>
      <c r="P463" s="4" t="s">
        <v>34</v>
      </c>
      <c r="Q463" s="152">
        <v>332.25</v>
      </c>
      <c r="R463" s="167">
        <v>1</v>
      </c>
      <c r="S463" s="169">
        <v>28210</v>
      </c>
      <c r="U463" s="152">
        <v>93.727999999999994</v>
      </c>
      <c r="V463" s="166">
        <v>6.9999999999999999E-6</v>
      </c>
      <c r="W463" s="166">
        <v>8.1433824442231802E-3</v>
      </c>
      <c r="X463" s="166">
        <v>1.23884651505646E-3</v>
      </c>
    </row>
    <row r="464" spans="1:24">
      <c r="A464" s="4">
        <v>969</v>
      </c>
      <c r="B464" s="4">
        <v>969</v>
      </c>
      <c r="C464" s="4" t="s">
        <v>1923</v>
      </c>
      <c r="D464" s="4" t="s">
        <v>1924</v>
      </c>
      <c r="E464" s="4" t="s">
        <v>1342</v>
      </c>
      <c r="F464" s="4" t="s">
        <v>1925</v>
      </c>
      <c r="G464" s="4" t="s">
        <v>1926</v>
      </c>
      <c r="H464" s="4" t="s">
        <v>356</v>
      </c>
      <c r="I464" s="4" t="s">
        <v>965</v>
      </c>
      <c r="J464" s="4" t="s">
        <v>30</v>
      </c>
      <c r="K464" s="4" t="s">
        <v>30</v>
      </c>
      <c r="L464" s="2" t="s">
        <v>362</v>
      </c>
      <c r="M464" s="2" t="s">
        <v>31</v>
      </c>
      <c r="N464" s="4" t="s">
        <v>478</v>
      </c>
      <c r="O464" s="4" t="s">
        <v>155</v>
      </c>
      <c r="P464" s="4" t="s">
        <v>34</v>
      </c>
      <c r="Q464" s="152">
        <v>1582</v>
      </c>
      <c r="R464" s="167">
        <v>1</v>
      </c>
      <c r="S464" s="169">
        <v>10880</v>
      </c>
      <c r="U464" s="152">
        <v>172.12200000000001</v>
      </c>
      <c r="V464" s="166">
        <v>2.5999999999999998E-5</v>
      </c>
      <c r="W464" s="166">
        <v>1.49545080253639E-2</v>
      </c>
      <c r="X464" s="166">
        <v>2.2750178170433798E-3</v>
      </c>
    </row>
    <row r="465" spans="1:24">
      <c r="A465" s="4">
        <v>969</v>
      </c>
      <c r="B465" s="4">
        <v>969</v>
      </c>
      <c r="C465" s="4" t="s">
        <v>1927</v>
      </c>
      <c r="D465" s="4" t="s">
        <v>1483</v>
      </c>
      <c r="E465" s="4" t="s">
        <v>1342</v>
      </c>
      <c r="F465" s="4" t="s">
        <v>1928</v>
      </c>
      <c r="G465" s="4" t="s">
        <v>1929</v>
      </c>
      <c r="H465" s="4" t="s">
        <v>356</v>
      </c>
      <c r="I465" s="4" t="s">
        <v>965</v>
      </c>
      <c r="J465" s="4" t="s">
        <v>30</v>
      </c>
      <c r="K465" s="4" t="s">
        <v>30</v>
      </c>
      <c r="L465" s="2" t="s">
        <v>362</v>
      </c>
      <c r="M465" s="2" t="s">
        <v>31</v>
      </c>
      <c r="N465" s="4" t="s">
        <v>476</v>
      </c>
      <c r="O465" s="4" t="s">
        <v>155</v>
      </c>
      <c r="P465" s="4" t="s">
        <v>34</v>
      </c>
      <c r="Q465" s="152">
        <v>12467</v>
      </c>
      <c r="R465" s="167">
        <v>1</v>
      </c>
      <c r="S465" s="169">
        <v>1350</v>
      </c>
      <c r="U465" s="152">
        <v>168.304</v>
      </c>
      <c r="V465" s="166">
        <v>2.0599999999999999E-4</v>
      </c>
      <c r="W465" s="166">
        <v>1.46228654390551E-2</v>
      </c>
      <c r="X465" s="166">
        <v>2.2245652851738398E-3</v>
      </c>
    </row>
    <row r="466" spans="1:24">
      <c r="A466" s="4">
        <v>969</v>
      </c>
      <c r="B466" s="4">
        <v>969</v>
      </c>
      <c r="C466" s="4" t="s">
        <v>1930</v>
      </c>
      <c r="D466" s="4" t="s">
        <v>1931</v>
      </c>
      <c r="E466" s="4" t="s">
        <v>1342</v>
      </c>
      <c r="F466" s="4" t="s">
        <v>1932</v>
      </c>
      <c r="G466" s="4" t="s">
        <v>1933</v>
      </c>
      <c r="H466" s="4" t="s">
        <v>356</v>
      </c>
      <c r="I466" s="4" t="s">
        <v>965</v>
      </c>
      <c r="J466" s="4" t="s">
        <v>30</v>
      </c>
      <c r="K466" s="4" t="s">
        <v>30</v>
      </c>
      <c r="L466" s="2" t="s">
        <v>362</v>
      </c>
      <c r="M466" s="2" t="s">
        <v>31</v>
      </c>
      <c r="N466" s="4" t="s">
        <v>509</v>
      </c>
      <c r="O466" s="4" t="s">
        <v>155</v>
      </c>
      <c r="P466" s="4" t="s">
        <v>34</v>
      </c>
      <c r="Q466" s="152">
        <v>9857</v>
      </c>
      <c r="R466" s="167">
        <v>1</v>
      </c>
      <c r="S466" s="169">
        <v>1049</v>
      </c>
      <c r="U466" s="152">
        <v>103.4</v>
      </c>
      <c r="V466" s="166">
        <v>7.1000000000000005E-5</v>
      </c>
      <c r="W466" s="166">
        <v>8.9837363991914394E-3</v>
      </c>
      <c r="X466" s="166">
        <v>1.3666889166207999E-3</v>
      </c>
    </row>
    <row r="467" spans="1:24">
      <c r="A467" s="4">
        <v>969</v>
      </c>
      <c r="B467" s="4">
        <v>969</v>
      </c>
      <c r="C467" s="4" t="s">
        <v>1934</v>
      </c>
      <c r="D467" s="4" t="s">
        <v>1935</v>
      </c>
      <c r="E467" s="4" t="s">
        <v>348</v>
      </c>
      <c r="F467" s="4" t="s">
        <v>1936</v>
      </c>
      <c r="G467" s="4" t="s">
        <v>1937</v>
      </c>
      <c r="H467" s="4" t="s">
        <v>356</v>
      </c>
      <c r="I467" s="4" t="s">
        <v>965</v>
      </c>
      <c r="J467" s="4" t="s">
        <v>30</v>
      </c>
      <c r="K467" s="4" t="s">
        <v>30</v>
      </c>
      <c r="L467" s="2" t="s">
        <v>362</v>
      </c>
      <c r="M467" s="2" t="s">
        <v>31</v>
      </c>
      <c r="N467" s="4" t="s">
        <v>487</v>
      </c>
      <c r="O467" s="4" t="s">
        <v>155</v>
      </c>
      <c r="P467" s="4" t="s">
        <v>34</v>
      </c>
      <c r="Q467" s="152">
        <v>10420.06</v>
      </c>
      <c r="R467" s="167">
        <v>1</v>
      </c>
      <c r="S467" s="169">
        <v>1025</v>
      </c>
      <c r="U467" s="152">
        <v>106.806</v>
      </c>
      <c r="V467" s="166">
        <v>9.0000000000000002E-6</v>
      </c>
      <c r="W467" s="166">
        <v>9.2796338557823797E-3</v>
      </c>
      <c r="X467" s="166">
        <v>1.41170356936768E-3</v>
      </c>
    </row>
    <row r="468" spans="1:24">
      <c r="A468" s="4">
        <v>969</v>
      </c>
      <c r="B468" s="4">
        <v>969</v>
      </c>
      <c r="C468" s="4" t="s">
        <v>1938</v>
      </c>
      <c r="D468" s="4" t="s">
        <v>1939</v>
      </c>
      <c r="E468" s="4" t="s">
        <v>1342</v>
      </c>
      <c r="F468" s="4" t="s">
        <v>1940</v>
      </c>
      <c r="G468" s="4" t="s">
        <v>1941</v>
      </c>
      <c r="H468" s="4" t="s">
        <v>356</v>
      </c>
      <c r="I468" s="4" t="s">
        <v>965</v>
      </c>
      <c r="J468" s="4" t="s">
        <v>30</v>
      </c>
      <c r="K468" s="4" t="s">
        <v>98</v>
      </c>
      <c r="L468" s="2" t="s">
        <v>362</v>
      </c>
      <c r="M468" s="2" t="s">
        <v>31</v>
      </c>
      <c r="N468" s="4" t="s">
        <v>514</v>
      </c>
      <c r="O468" s="4" t="s">
        <v>155</v>
      </c>
      <c r="P468" s="4" t="s">
        <v>34</v>
      </c>
      <c r="Q468" s="152">
        <v>400</v>
      </c>
      <c r="R468" s="167">
        <v>1</v>
      </c>
      <c r="S468" s="169">
        <v>64880</v>
      </c>
      <c r="U468" s="152">
        <v>259.52</v>
      </c>
      <c r="V468" s="166">
        <v>6.0000000000000002E-6</v>
      </c>
      <c r="W468" s="166">
        <v>2.2547977259928201E-2</v>
      </c>
      <c r="X468" s="166">
        <v>3.43020645798725E-3</v>
      </c>
    </row>
    <row r="469" spans="1:24">
      <c r="A469" s="4">
        <v>969</v>
      </c>
      <c r="B469" s="4">
        <v>969</v>
      </c>
      <c r="C469" s="4" t="s">
        <v>2155</v>
      </c>
      <c r="D469" s="4" t="s">
        <v>2156</v>
      </c>
      <c r="E469" s="4" t="s">
        <v>1342</v>
      </c>
      <c r="F469" s="4" t="s">
        <v>2157</v>
      </c>
      <c r="G469" s="4" t="s">
        <v>2158</v>
      </c>
      <c r="H469" s="4" t="s">
        <v>356</v>
      </c>
      <c r="I469" s="4" t="s">
        <v>965</v>
      </c>
      <c r="J469" s="4" t="s">
        <v>30</v>
      </c>
      <c r="K469" s="4" t="s">
        <v>334</v>
      </c>
      <c r="L469" s="2" t="s">
        <v>362</v>
      </c>
      <c r="M469" s="2" t="s">
        <v>31</v>
      </c>
      <c r="N469" s="4" t="s">
        <v>498</v>
      </c>
      <c r="O469" s="4" t="s">
        <v>155</v>
      </c>
      <c r="P469" s="4" t="s">
        <v>34</v>
      </c>
      <c r="Q469" s="152">
        <v>1819</v>
      </c>
      <c r="R469" s="167">
        <v>1</v>
      </c>
      <c r="S469" s="169">
        <v>5570</v>
      </c>
      <c r="U469" s="152">
        <v>101.318</v>
      </c>
      <c r="V469" s="166">
        <v>2.5000000000000001E-5</v>
      </c>
      <c r="W469" s="166">
        <v>8.8028773289710992E-3</v>
      </c>
      <c r="X469" s="166">
        <v>1.3391749652138199E-3</v>
      </c>
    </row>
    <row r="470" spans="1:24">
      <c r="A470" s="4">
        <v>969</v>
      </c>
      <c r="B470" s="4">
        <v>969</v>
      </c>
      <c r="C470" s="4" t="s">
        <v>1942</v>
      </c>
      <c r="D470" s="4" t="s">
        <v>1943</v>
      </c>
      <c r="E470" s="4" t="s">
        <v>1342</v>
      </c>
      <c r="F470" s="4" t="s">
        <v>1944</v>
      </c>
      <c r="G470" s="4" t="s">
        <v>1945</v>
      </c>
      <c r="H470" s="4" t="s">
        <v>356</v>
      </c>
      <c r="I470" s="4" t="s">
        <v>965</v>
      </c>
      <c r="J470" s="4" t="s">
        <v>30</v>
      </c>
      <c r="K470" s="4" t="s">
        <v>30</v>
      </c>
      <c r="L470" s="2" t="s">
        <v>362</v>
      </c>
      <c r="M470" s="2" t="s">
        <v>31</v>
      </c>
      <c r="N470" s="4" t="s">
        <v>514</v>
      </c>
      <c r="O470" s="4" t="s">
        <v>155</v>
      </c>
      <c r="P470" s="4" t="s">
        <v>34</v>
      </c>
      <c r="Q470" s="152">
        <v>9600</v>
      </c>
      <c r="R470" s="167">
        <v>1</v>
      </c>
      <c r="S470" s="169">
        <v>48</v>
      </c>
      <c r="U470" s="152">
        <v>4.6079999999999997</v>
      </c>
      <c r="V470" s="166">
        <v>6.3999999999999997E-5</v>
      </c>
      <c r="W470" s="166">
        <v>4.0035865911586401E-4</v>
      </c>
      <c r="X470" s="166">
        <v>6.0906255234298902E-5</v>
      </c>
    </row>
    <row r="471" spans="1:24">
      <c r="A471" s="4">
        <v>969</v>
      </c>
      <c r="B471" s="4">
        <v>969</v>
      </c>
      <c r="C471" s="4" t="s">
        <v>1946</v>
      </c>
      <c r="D471" s="4" t="s">
        <v>1947</v>
      </c>
      <c r="E471" s="4" t="s">
        <v>1342</v>
      </c>
      <c r="F471" s="4" t="s">
        <v>1948</v>
      </c>
      <c r="G471" s="4" t="s">
        <v>1949</v>
      </c>
      <c r="H471" s="4" t="s">
        <v>356</v>
      </c>
      <c r="I471" s="4" t="s">
        <v>965</v>
      </c>
      <c r="J471" s="4" t="s">
        <v>30</v>
      </c>
      <c r="K471" s="4" t="s">
        <v>30</v>
      </c>
      <c r="L471" s="2" t="s">
        <v>362</v>
      </c>
      <c r="M471" s="2" t="s">
        <v>31</v>
      </c>
      <c r="N471" s="4" t="s">
        <v>518</v>
      </c>
      <c r="O471" s="4" t="s">
        <v>155</v>
      </c>
      <c r="P471" s="4" t="s">
        <v>34</v>
      </c>
      <c r="Q471" s="152">
        <v>5980</v>
      </c>
      <c r="R471" s="167">
        <v>1</v>
      </c>
      <c r="S471" s="169">
        <v>1670</v>
      </c>
      <c r="U471" s="152">
        <v>99.866</v>
      </c>
      <c r="V471" s="166">
        <v>3.6000000000000001E-5</v>
      </c>
      <c r="W471" s="166">
        <v>8.6766965823057395E-3</v>
      </c>
      <c r="X471" s="166">
        <v>1.3199791851624301E-3</v>
      </c>
    </row>
    <row r="472" spans="1:24">
      <c r="A472" s="4">
        <v>969</v>
      </c>
      <c r="B472" s="4">
        <v>969</v>
      </c>
      <c r="C472" s="4" t="s">
        <v>1950</v>
      </c>
      <c r="D472" s="4" t="s">
        <v>1951</v>
      </c>
      <c r="E472" s="4" t="s">
        <v>1342</v>
      </c>
      <c r="F472" s="4" t="s">
        <v>1952</v>
      </c>
      <c r="G472" s="4" t="s">
        <v>1953</v>
      </c>
      <c r="H472" s="4" t="s">
        <v>356</v>
      </c>
      <c r="I472" s="4" t="s">
        <v>965</v>
      </c>
      <c r="J472" s="4" t="s">
        <v>30</v>
      </c>
      <c r="K472" s="4" t="s">
        <v>30</v>
      </c>
      <c r="L472" s="2" t="s">
        <v>362</v>
      </c>
      <c r="M472" s="2" t="s">
        <v>31</v>
      </c>
      <c r="N472" s="4" t="s">
        <v>497</v>
      </c>
      <c r="O472" s="4" t="s">
        <v>155</v>
      </c>
      <c r="P472" s="4" t="s">
        <v>34</v>
      </c>
      <c r="Q472" s="152">
        <v>573</v>
      </c>
      <c r="R472" s="167">
        <v>1</v>
      </c>
      <c r="S472" s="169">
        <v>25940</v>
      </c>
      <c r="U472" s="152">
        <v>148.636</v>
      </c>
      <c r="V472" s="166">
        <v>5.0000000000000004E-6</v>
      </c>
      <c r="W472" s="166">
        <v>1.29140168680723E-2</v>
      </c>
      <c r="X472" s="166">
        <v>1.9645994648993699E-3</v>
      </c>
    </row>
    <row r="473" spans="1:24">
      <c r="A473" s="4">
        <v>969</v>
      </c>
      <c r="B473" s="4">
        <v>969</v>
      </c>
      <c r="C473" s="4" t="s">
        <v>1217</v>
      </c>
      <c r="D473" s="4" t="s">
        <v>1954</v>
      </c>
      <c r="E473" s="4" t="s">
        <v>1342</v>
      </c>
      <c r="F473" s="4" t="s">
        <v>1955</v>
      </c>
      <c r="G473" s="4" t="s">
        <v>1956</v>
      </c>
      <c r="H473" s="4" t="s">
        <v>356</v>
      </c>
      <c r="I473" s="4" t="s">
        <v>965</v>
      </c>
      <c r="J473" s="4" t="s">
        <v>30</v>
      </c>
      <c r="K473" s="4" t="s">
        <v>30</v>
      </c>
      <c r="L473" s="2" t="s">
        <v>362</v>
      </c>
      <c r="M473" s="2" t="s">
        <v>31</v>
      </c>
      <c r="N473" s="4" t="s">
        <v>481</v>
      </c>
      <c r="O473" s="4" t="s">
        <v>155</v>
      </c>
      <c r="P473" s="4" t="s">
        <v>34</v>
      </c>
      <c r="Q473" s="152">
        <v>10252</v>
      </c>
      <c r="R473" s="167">
        <v>1</v>
      </c>
      <c r="S473" s="169">
        <v>3729</v>
      </c>
      <c r="U473" s="152">
        <v>382.29700000000003</v>
      </c>
      <c r="V473" s="166">
        <v>7.9999999999999996E-6</v>
      </c>
      <c r="W473" s="166">
        <v>3.3215266131230499E-2</v>
      </c>
      <c r="X473" s="166">
        <v>5.0530129187949602E-3</v>
      </c>
    </row>
    <row r="474" spans="1:24">
      <c r="A474" s="4">
        <v>969</v>
      </c>
      <c r="B474" s="4">
        <v>969</v>
      </c>
      <c r="C474" s="4" t="s">
        <v>2159</v>
      </c>
      <c r="D474" s="4" t="s">
        <v>2160</v>
      </c>
      <c r="E474" s="4" t="s">
        <v>1342</v>
      </c>
      <c r="F474" s="4" t="s">
        <v>2161</v>
      </c>
      <c r="G474" s="4" t="s">
        <v>2162</v>
      </c>
      <c r="H474" s="4" t="s">
        <v>356</v>
      </c>
      <c r="I474" s="4" t="s">
        <v>965</v>
      </c>
      <c r="J474" s="4" t="s">
        <v>30</v>
      </c>
      <c r="K474" s="4" t="s">
        <v>30</v>
      </c>
      <c r="L474" s="2" t="s">
        <v>362</v>
      </c>
      <c r="M474" s="2" t="s">
        <v>31</v>
      </c>
      <c r="N474" s="4" t="s">
        <v>473</v>
      </c>
      <c r="O474" s="4" t="s">
        <v>155</v>
      </c>
      <c r="P474" s="4" t="s">
        <v>34</v>
      </c>
      <c r="Q474" s="152">
        <v>111</v>
      </c>
      <c r="R474" s="167">
        <v>1</v>
      </c>
      <c r="S474" s="169">
        <v>5597</v>
      </c>
      <c r="U474" s="152">
        <v>6.2130000000000001</v>
      </c>
      <c r="V474" s="166">
        <v>9.0000000000000002E-6</v>
      </c>
      <c r="W474" s="166">
        <v>5.3977782784925201E-4</v>
      </c>
      <c r="X474" s="166">
        <v>8.2115986264425295E-5</v>
      </c>
    </row>
    <row r="475" spans="1:24">
      <c r="A475" s="4">
        <v>969</v>
      </c>
      <c r="B475" s="4">
        <v>969</v>
      </c>
      <c r="C475" s="4" t="s">
        <v>1957</v>
      </c>
      <c r="D475" s="4" t="s">
        <v>1958</v>
      </c>
      <c r="E475" s="4" t="s">
        <v>1342</v>
      </c>
      <c r="F475" s="4" t="s">
        <v>1959</v>
      </c>
      <c r="G475" s="4" t="s">
        <v>1960</v>
      </c>
      <c r="H475" s="4" t="s">
        <v>356</v>
      </c>
      <c r="I475" s="4" t="s">
        <v>965</v>
      </c>
      <c r="J475" s="4" t="s">
        <v>30</v>
      </c>
      <c r="K475" s="4" t="s">
        <v>30</v>
      </c>
      <c r="L475" s="2" t="s">
        <v>362</v>
      </c>
      <c r="M475" s="2" t="s">
        <v>31</v>
      </c>
      <c r="N475" s="4" t="s">
        <v>493</v>
      </c>
      <c r="O475" s="4" t="s">
        <v>155</v>
      </c>
      <c r="P475" s="4" t="s">
        <v>34</v>
      </c>
      <c r="Q475" s="152">
        <v>2200</v>
      </c>
      <c r="R475" s="167">
        <v>1</v>
      </c>
      <c r="S475" s="169">
        <v>402.3</v>
      </c>
      <c r="U475" s="152">
        <v>8.8510000000000009</v>
      </c>
      <c r="V475" s="166">
        <v>4.3999999999999999E-5</v>
      </c>
      <c r="W475" s="166">
        <v>7.6897012768464899E-4</v>
      </c>
      <c r="X475" s="166">
        <v>1.1698283476056501E-4</v>
      </c>
    </row>
    <row r="476" spans="1:24">
      <c r="A476" s="4">
        <v>969</v>
      </c>
      <c r="B476" s="4">
        <v>969</v>
      </c>
      <c r="C476" s="4" t="s">
        <v>1961</v>
      </c>
      <c r="D476" s="4" t="s">
        <v>1962</v>
      </c>
      <c r="E476" s="4" t="s">
        <v>1342</v>
      </c>
      <c r="F476" s="4" t="s">
        <v>1963</v>
      </c>
      <c r="G476" s="4" t="s">
        <v>1964</v>
      </c>
      <c r="H476" s="4" t="s">
        <v>356</v>
      </c>
      <c r="I476" s="4" t="s">
        <v>965</v>
      </c>
      <c r="J476" s="4" t="s">
        <v>30</v>
      </c>
      <c r="K476" s="4" t="s">
        <v>30</v>
      </c>
      <c r="L476" s="2" t="s">
        <v>362</v>
      </c>
      <c r="M476" s="2" t="s">
        <v>31</v>
      </c>
      <c r="N476" s="4" t="s">
        <v>518</v>
      </c>
      <c r="O476" s="4" t="s">
        <v>155</v>
      </c>
      <c r="P476" s="4" t="s">
        <v>34</v>
      </c>
      <c r="Q476" s="152">
        <v>6331</v>
      </c>
      <c r="R476" s="167">
        <v>1</v>
      </c>
      <c r="S476" s="169">
        <v>1606</v>
      </c>
      <c r="U476" s="152">
        <v>101.676</v>
      </c>
      <c r="V476" s="166">
        <v>3.4E-5</v>
      </c>
      <c r="W476" s="166">
        <v>8.8339433537439893E-3</v>
      </c>
      <c r="X476" s="166">
        <v>1.34390101569593E-3</v>
      </c>
    </row>
    <row r="477" spans="1:24">
      <c r="A477" s="4">
        <v>969</v>
      </c>
      <c r="B477" s="4">
        <v>969</v>
      </c>
      <c r="C477" s="4" t="s">
        <v>1965</v>
      </c>
      <c r="D477" s="4" t="s">
        <v>1966</v>
      </c>
      <c r="E477" s="4" t="s">
        <v>1342</v>
      </c>
      <c r="F477" s="4" t="s">
        <v>1967</v>
      </c>
      <c r="G477" s="4" t="s">
        <v>1968</v>
      </c>
      <c r="H477" s="4" t="s">
        <v>356</v>
      </c>
      <c r="I477" s="4" t="s">
        <v>965</v>
      </c>
      <c r="J477" s="4" t="s">
        <v>30</v>
      </c>
      <c r="K477" s="4" t="s">
        <v>30</v>
      </c>
      <c r="L477" s="2" t="s">
        <v>362</v>
      </c>
      <c r="M477" s="2" t="s">
        <v>31</v>
      </c>
      <c r="N477" s="4" t="s">
        <v>511</v>
      </c>
      <c r="O477" s="4" t="s">
        <v>155</v>
      </c>
      <c r="P477" s="4" t="s">
        <v>34</v>
      </c>
      <c r="Q477" s="152">
        <v>628</v>
      </c>
      <c r="R477" s="167">
        <v>1</v>
      </c>
      <c r="S477" s="169">
        <v>4798</v>
      </c>
      <c r="U477" s="152">
        <v>30.131</v>
      </c>
      <c r="V477" s="166">
        <v>3.8499999999999998E-4</v>
      </c>
      <c r="W477" s="166">
        <v>2.6179216396766702E-3</v>
      </c>
      <c r="X477" s="166">
        <v>3.9826240781618097E-4</v>
      </c>
    </row>
    <row r="478" spans="1:24">
      <c r="A478" s="4">
        <v>969</v>
      </c>
      <c r="B478" s="4">
        <v>969</v>
      </c>
      <c r="C478" s="4" t="s">
        <v>1969</v>
      </c>
      <c r="D478" s="4" t="s">
        <v>1970</v>
      </c>
      <c r="E478" s="4" t="s">
        <v>1342</v>
      </c>
      <c r="F478" s="4" t="s">
        <v>1971</v>
      </c>
      <c r="G478" s="4" t="s">
        <v>1972</v>
      </c>
      <c r="H478" s="4" t="s">
        <v>356</v>
      </c>
      <c r="I478" s="4" t="s">
        <v>965</v>
      </c>
      <c r="J478" s="4" t="s">
        <v>30</v>
      </c>
      <c r="K478" s="4" t="s">
        <v>30</v>
      </c>
      <c r="L478" s="2" t="s">
        <v>362</v>
      </c>
      <c r="M478" s="2" t="s">
        <v>31</v>
      </c>
      <c r="N478" s="4" t="s">
        <v>496</v>
      </c>
      <c r="O478" s="4" t="s">
        <v>155</v>
      </c>
      <c r="P478" s="4" t="s">
        <v>34</v>
      </c>
      <c r="Q478" s="152">
        <v>23684</v>
      </c>
      <c r="R478" s="167">
        <v>1</v>
      </c>
      <c r="S478" s="169">
        <v>551.79999999999995</v>
      </c>
      <c r="U478" s="152">
        <v>130.68799999999999</v>
      </c>
      <c r="V478" s="166">
        <v>8.2000000000000001E-5</v>
      </c>
      <c r="W478" s="166">
        <v>1.1354643523098E-2</v>
      </c>
      <c r="X478" s="166">
        <v>1.7273731959226699E-3</v>
      </c>
    </row>
    <row r="479" spans="1:24">
      <c r="A479" s="4">
        <v>969</v>
      </c>
      <c r="B479" s="4">
        <v>969</v>
      </c>
      <c r="C479" s="4" t="s">
        <v>2163</v>
      </c>
      <c r="D479" s="4" t="s">
        <v>2164</v>
      </c>
      <c r="E479" s="4" t="s">
        <v>1342</v>
      </c>
      <c r="F479" s="4" t="s">
        <v>2165</v>
      </c>
      <c r="G479" s="4" t="s">
        <v>2166</v>
      </c>
      <c r="H479" s="4" t="s">
        <v>356</v>
      </c>
      <c r="I479" s="4" t="s">
        <v>965</v>
      </c>
      <c r="J479" s="4" t="s">
        <v>30</v>
      </c>
      <c r="K479" s="4" t="s">
        <v>30</v>
      </c>
      <c r="L479" s="2" t="s">
        <v>362</v>
      </c>
      <c r="M479" s="2" t="s">
        <v>31</v>
      </c>
      <c r="N479" s="4" t="s">
        <v>489</v>
      </c>
      <c r="O479" s="4" t="s">
        <v>155</v>
      </c>
      <c r="P479" s="4" t="s">
        <v>34</v>
      </c>
      <c r="Q479" s="152">
        <v>6600</v>
      </c>
      <c r="R479" s="167">
        <v>1</v>
      </c>
      <c r="S479" s="169">
        <v>194</v>
      </c>
      <c r="U479" s="152">
        <v>12.804</v>
      </c>
      <c r="V479" s="166">
        <v>8.0000000000000007E-5</v>
      </c>
      <c r="W479" s="166">
        <v>1.1124549199912201E-3</v>
      </c>
      <c r="X479" s="166">
        <v>1.69236912330721E-4</v>
      </c>
    </row>
    <row r="480" spans="1:24">
      <c r="A480" s="4">
        <v>969</v>
      </c>
      <c r="B480" s="4">
        <v>969</v>
      </c>
      <c r="C480" s="4" t="s">
        <v>1973</v>
      </c>
      <c r="D480" s="4" t="s">
        <v>1974</v>
      </c>
      <c r="E480" s="4" t="s">
        <v>1342</v>
      </c>
      <c r="F480" s="4" t="s">
        <v>1975</v>
      </c>
      <c r="G480" s="4" t="s">
        <v>1976</v>
      </c>
      <c r="H480" s="4" t="s">
        <v>356</v>
      </c>
      <c r="I480" s="4" t="s">
        <v>965</v>
      </c>
      <c r="J480" s="4" t="s">
        <v>30</v>
      </c>
      <c r="K480" s="4" t="s">
        <v>30</v>
      </c>
      <c r="L480" s="2" t="s">
        <v>362</v>
      </c>
      <c r="M480" s="2" t="s">
        <v>31</v>
      </c>
      <c r="N480" s="4" t="s">
        <v>497</v>
      </c>
      <c r="O480" s="4" t="s">
        <v>155</v>
      </c>
      <c r="P480" s="4" t="s">
        <v>34</v>
      </c>
      <c r="Q480" s="152">
        <v>12682.2</v>
      </c>
      <c r="R480" s="167">
        <v>1</v>
      </c>
      <c r="S480" s="169">
        <v>339.9</v>
      </c>
      <c r="U480" s="152">
        <v>43.106999999999999</v>
      </c>
      <c r="V480" s="166">
        <v>1.34E-4</v>
      </c>
      <c r="W480" s="166">
        <v>3.7452647061602998E-3</v>
      </c>
      <c r="X480" s="166">
        <v>5.6976424243491996E-4</v>
      </c>
    </row>
    <row r="481" spans="1:24">
      <c r="A481" s="4">
        <v>969</v>
      </c>
      <c r="B481" s="4">
        <v>969</v>
      </c>
      <c r="C481" s="4" t="s">
        <v>2123</v>
      </c>
      <c r="D481" s="4" t="s">
        <v>2124</v>
      </c>
      <c r="E481" s="4" t="s">
        <v>1342</v>
      </c>
      <c r="F481" s="4" t="s">
        <v>2125</v>
      </c>
      <c r="G481" s="4" t="s">
        <v>2126</v>
      </c>
      <c r="H481" s="4" t="s">
        <v>356</v>
      </c>
      <c r="I481" s="4" t="s">
        <v>965</v>
      </c>
      <c r="J481" s="4" t="s">
        <v>30</v>
      </c>
      <c r="K481" s="4" t="s">
        <v>30</v>
      </c>
      <c r="L481" s="2" t="s">
        <v>362</v>
      </c>
      <c r="M481" s="2" t="s">
        <v>31</v>
      </c>
      <c r="N481" s="4" t="s">
        <v>509</v>
      </c>
      <c r="O481" s="4" t="s">
        <v>155</v>
      </c>
      <c r="P481" s="4" t="s">
        <v>34</v>
      </c>
      <c r="Q481" s="152">
        <v>184</v>
      </c>
      <c r="R481" s="167">
        <v>1</v>
      </c>
      <c r="S481" s="169">
        <v>20800</v>
      </c>
      <c r="U481" s="152">
        <v>38.271999999999998</v>
      </c>
      <c r="V481" s="166">
        <v>1.2999999999999999E-5</v>
      </c>
      <c r="W481" s="166">
        <v>3.3252010854345399E-3</v>
      </c>
      <c r="X481" s="166">
        <v>5.0586028652931602E-4</v>
      </c>
    </row>
    <row r="482" spans="1:24">
      <c r="A482" s="4">
        <v>969</v>
      </c>
      <c r="B482" s="4">
        <v>969</v>
      </c>
      <c r="C482" s="4" t="s">
        <v>1977</v>
      </c>
      <c r="D482" s="4" t="s">
        <v>1978</v>
      </c>
      <c r="E482" s="4" t="s">
        <v>1342</v>
      </c>
      <c r="F482" s="4" t="s">
        <v>1979</v>
      </c>
      <c r="G482" s="4" t="s">
        <v>1980</v>
      </c>
      <c r="H482" s="4" t="s">
        <v>356</v>
      </c>
      <c r="I482" s="4" t="s">
        <v>965</v>
      </c>
      <c r="J482" s="4" t="s">
        <v>30</v>
      </c>
      <c r="K482" s="4" t="s">
        <v>30</v>
      </c>
      <c r="L482" s="2" t="s">
        <v>362</v>
      </c>
      <c r="M482" s="2" t="s">
        <v>31</v>
      </c>
      <c r="N482" s="4" t="s">
        <v>492</v>
      </c>
      <c r="O482" s="4" t="s">
        <v>155</v>
      </c>
      <c r="P482" s="4" t="s">
        <v>34</v>
      </c>
      <c r="Q482" s="152">
        <v>2911</v>
      </c>
      <c r="R482" s="167">
        <v>1</v>
      </c>
      <c r="S482" s="169">
        <v>5930</v>
      </c>
      <c r="U482" s="152">
        <v>172.62200000000001</v>
      </c>
      <c r="V482" s="166">
        <v>2.5000000000000001E-5</v>
      </c>
      <c r="W482" s="166">
        <v>1.4998010538519201E-2</v>
      </c>
      <c r="X482" s="166">
        <v>2.2816358209487202E-3</v>
      </c>
    </row>
    <row r="483" spans="1:24">
      <c r="A483" s="4">
        <v>969</v>
      </c>
      <c r="B483" s="4">
        <v>969</v>
      </c>
      <c r="C483" s="4" t="s">
        <v>1981</v>
      </c>
      <c r="D483" s="4" t="s">
        <v>1982</v>
      </c>
      <c r="E483" s="4" t="s">
        <v>1342</v>
      </c>
      <c r="F483" s="4" t="s">
        <v>1983</v>
      </c>
      <c r="G483" s="4" t="s">
        <v>1984</v>
      </c>
      <c r="H483" s="4" t="s">
        <v>356</v>
      </c>
      <c r="I483" s="4" t="s">
        <v>965</v>
      </c>
      <c r="J483" s="4" t="s">
        <v>30</v>
      </c>
      <c r="K483" s="4" t="s">
        <v>30</v>
      </c>
      <c r="L483" s="2" t="s">
        <v>362</v>
      </c>
      <c r="M483" s="2" t="s">
        <v>31</v>
      </c>
      <c r="N483" s="4" t="s">
        <v>496</v>
      </c>
      <c r="O483" s="4" t="s">
        <v>155</v>
      </c>
      <c r="P483" s="4" t="s">
        <v>34</v>
      </c>
      <c r="Q483" s="152">
        <v>5295</v>
      </c>
      <c r="R483" s="167">
        <v>1</v>
      </c>
      <c r="S483" s="169">
        <v>2140</v>
      </c>
      <c r="U483" s="152">
        <v>113.313</v>
      </c>
      <c r="V483" s="166">
        <v>1.5E-5</v>
      </c>
      <c r="W483" s="166">
        <v>9.8450175217873002E-3</v>
      </c>
      <c r="X483" s="166">
        <v>1.4977149521189499E-3</v>
      </c>
    </row>
    <row r="484" spans="1:24">
      <c r="A484" s="4">
        <v>969</v>
      </c>
      <c r="B484" s="4">
        <v>969</v>
      </c>
      <c r="C484" s="4" t="s">
        <v>1985</v>
      </c>
      <c r="D484" s="4" t="s">
        <v>1986</v>
      </c>
      <c r="E484" s="4" t="s">
        <v>1342</v>
      </c>
      <c r="F484" s="4" t="s">
        <v>1987</v>
      </c>
      <c r="G484" s="4" t="s">
        <v>1988</v>
      </c>
      <c r="H484" s="4" t="s">
        <v>356</v>
      </c>
      <c r="I484" s="4" t="s">
        <v>965</v>
      </c>
      <c r="J484" s="4" t="s">
        <v>30</v>
      </c>
      <c r="K484" s="4" t="s">
        <v>334</v>
      </c>
      <c r="L484" s="2" t="s">
        <v>362</v>
      </c>
      <c r="M484" s="2" t="s">
        <v>31</v>
      </c>
      <c r="N484" s="4" t="s">
        <v>488</v>
      </c>
      <c r="O484" s="4" t="s">
        <v>155</v>
      </c>
      <c r="P484" s="4" t="s">
        <v>34</v>
      </c>
      <c r="Q484" s="152">
        <v>1350</v>
      </c>
      <c r="R484" s="167">
        <v>1</v>
      </c>
      <c r="S484" s="169">
        <v>6800</v>
      </c>
      <c r="U484" s="152">
        <v>91.8</v>
      </c>
      <c r="V484" s="166">
        <v>1.2999999999999999E-5</v>
      </c>
      <c r="W484" s="166">
        <v>7.9758951620738493E-3</v>
      </c>
      <c r="X484" s="166">
        <v>1.2133668034958001E-3</v>
      </c>
    </row>
    <row r="485" spans="1:24">
      <c r="A485" s="4">
        <v>969</v>
      </c>
      <c r="B485" s="4">
        <v>969</v>
      </c>
      <c r="C485" s="4" t="s">
        <v>2167</v>
      </c>
      <c r="D485" s="4" t="s">
        <v>2168</v>
      </c>
      <c r="E485" s="4" t="s">
        <v>1342</v>
      </c>
      <c r="F485" s="4" t="s">
        <v>2169</v>
      </c>
      <c r="G485" s="4" t="s">
        <v>2170</v>
      </c>
      <c r="H485" s="4" t="s">
        <v>356</v>
      </c>
      <c r="I485" s="4" t="s">
        <v>965</v>
      </c>
      <c r="J485" s="4" t="s">
        <v>30</v>
      </c>
      <c r="K485" s="4" t="s">
        <v>30</v>
      </c>
      <c r="L485" s="2" t="s">
        <v>362</v>
      </c>
      <c r="M485" s="2" t="s">
        <v>31</v>
      </c>
      <c r="N485" s="4" t="s">
        <v>495</v>
      </c>
      <c r="O485" s="4" t="s">
        <v>155</v>
      </c>
      <c r="P485" s="4" t="s">
        <v>34</v>
      </c>
      <c r="Q485" s="152">
        <v>109</v>
      </c>
      <c r="R485" s="167">
        <v>1</v>
      </c>
      <c r="S485" s="169">
        <v>19990</v>
      </c>
      <c r="U485" s="152">
        <v>21.789000000000001</v>
      </c>
      <c r="V485" s="166">
        <v>1.2999999999999999E-5</v>
      </c>
      <c r="W485" s="166">
        <v>1.89311086357237E-3</v>
      </c>
      <c r="X485" s="166">
        <v>2.8799750128595102E-4</v>
      </c>
    </row>
    <row r="486" spans="1:24">
      <c r="A486" s="4">
        <v>969</v>
      </c>
      <c r="B486" s="4">
        <v>969</v>
      </c>
      <c r="C486" s="4" t="s">
        <v>1989</v>
      </c>
      <c r="D486" s="4" t="s">
        <v>1990</v>
      </c>
      <c r="E486" s="4" t="s">
        <v>350</v>
      </c>
      <c r="F486" s="4" t="s">
        <v>1991</v>
      </c>
      <c r="G486" s="4" t="s">
        <v>1992</v>
      </c>
      <c r="H486" s="4" t="s">
        <v>356</v>
      </c>
      <c r="I486" s="4" t="s">
        <v>965</v>
      </c>
      <c r="J486" s="4" t="s">
        <v>97</v>
      </c>
      <c r="K486" s="4" t="s">
        <v>98</v>
      </c>
      <c r="L486" s="2" t="s">
        <v>362</v>
      </c>
      <c r="M486" s="2" t="s">
        <v>381</v>
      </c>
      <c r="N486" s="4" t="s">
        <v>549</v>
      </c>
      <c r="O486" s="4" t="s">
        <v>155</v>
      </c>
      <c r="P486" s="4" t="s">
        <v>102</v>
      </c>
      <c r="Q486" s="152">
        <v>392</v>
      </c>
      <c r="R486" s="167">
        <v>3.71</v>
      </c>
      <c r="S486" s="169">
        <v>18633</v>
      </c>
      <c r="U486" s="152">
        <v>270.983</v>
      </c>
      <c r="V486" s="166">
        <v>0</v>
      </c>
      <c r="W486" s="166">
        <v>2.3543960269750999E-2</v>
      </c>
      <c r="X486" s="166">
        <v>3.58172458810402E-3</v>
      </c>
    </row>
    <row r="487" spans="1:24">
      <c r="A487" s="4">
        <v>969</v>
      </c>
      <c r="B487" s="4">
        <v>969</v>
      </c>
      <c r="C487" s="4" t="s">
        <v>1993</v>
      </c>
      <c r="D487" s="4" t="s">
        <v>1994</v>
      </c>
      <c r="E487" s="4" t="s">
        <v>350</v>
      </c>
      <c r="F487" s="4" t="s">
        <v>1995</v>
      </c>
      <c r="G487" s="4" t="s">
        <v>1996</v>
      </c>
      <c r="H487" s="4" t="s">
        <v>356</v>
      </c>
      <c r="I487" s="4" t="s">
        <v>965</v>
      </c>
      <c r="J487" s="4" t="s">
        <v>97</v>
      </c>
      <c r="K487" s="4" t="s">
        <v>98</v>
      </c>
      <c r="L487" s="2" t="s">
        <v>362</v>
      </c>
      <c r="M487" s="2" t="s">
        <v>381</v>
      </c>
      <c r="N487" s="4" t="s">
        <v>580</v>
      </c>
      <c r="O487" s="4" t="s">
        <v>155</v>
      </c>
      <c r="P487" s="4" t="s">
        <v>102</v>
      </c>
      <c r="Q487" s="152">
        <v>205</v>
      </c>
      <c r="R487" s="167">
        <v>3.71</v>
      </c>
      <c r="S487" s="169">
        <v>23300</v>
      </c>
      <c r="U487" s="152">
        <v>177.208</v>
      </c>
      <c r="V487" s="166">
        <v>0</v>
      </c>
      <c r="W487" s="166">
        <v>1.5396444730556199E-2</v>
      </c>
      <c r="X487" s="166">
        <v>2.34224930848479E-3</v>
      </c>
    </row>
    <row r="488" spans="1:24">
      <c r="A488" s="4">
        <v>969</v>
      </c>
      <c r="B488" s="4">
        <v>969</v>
      </c>
      <c r="C488" s="4" t="s">
        <v>1997</v>
      </c>
      <c r="D488" s="4" t="s">
        <v>1998</v>
      </c>
      <c r="E488" s="4" t="s">
        <v>350</v>
      </c>
      <c r="F488" s="4" t="s">
        <v>1999</v>
      </c>
      <c r="G488" s="4" t="s">
        <v>2000</v>
      </c>
      <c r="H488" s="4" t="s">
        <v>356</v>
      </c>
      <c r="I488" s="4" t="s">
        <v>965</v>
      </c>
      <c r="J488" s="4" t="s">
        <v>97</v>
      </c>
      <c r="K488" s="4" t="s">
        <v>98</v>
      </c>
      <c r="L488" s="2" t="s">
        <v>362</v>
      </c>
      <c r="M488" s="2" t="s">
        <v>381</v>
      </c>
      <c r="N488" s="4" t="s">
        <v>2001</v>
      </c>
      <c r="O488" s="4" t="s">
        <v>155</v>
      </c>
      <c r="P488" s="4" t="s">
        <v>102</v>
      </c>
      <c r="Q488" s="152">
        <v>89</v>
      </c>
      <c r="R488" s="167">
        <v>3.71</v>
      </c>
      <c r="S488" s="169">
        <v>46026</v>
      </c>
      <c r="U488" s="152">
        <v>151.97300000000001</v>
      </c>
      <c r="V488" s="166">
        <v>0</v>
      </c>
      <c r="W488" s="166">
        <v>1.32039510310904E-2</v>
      </c>
      <c r="X488" s="166">
        <v>2.0087069263763401E-3</v>
      </c>
    </row>
    <row r="489" spans="1:24">
      <c r="A489" s="4">
        <v>969</v>
      </c>
      <c r="B489" s="4">
        <v>969</v>
      </c>
      <c r="C489" s="4" t="s">
        <v>2002</v>
      </c>
      <c r="D489" s="4" t="s">
        <v>2003</v>
      </c>
      <c r="E489" s="4" t="s">
        <v>350</v>
      </c>
      <c r="F489" s="4" t="s">
        <v>2004</v>
      </c>
      <c r="G489" s="4" t="s">
        <v>2005</v>
      </c>
      <c r="H489" s="4" t="s">
        <v>356</v>
      </c>
      <c r="I489" s="4" t="s">
        <v>965</v>
      </c>
      <c r="J489" s="4" t="s">
        <v>97</v>
      </c>
      <c r="K489" s="4" t="s">
        <v>98</v>
      </c>
      <c r="L489" s="2" t="s">
        <v>362</v>
      </c>
      <c r="M489" s="2" t="s">
        <v>381</v>
      </c>
      <c r="N489" s="4" t="s">
        <v>568</v>
      </c>
      <c r="O489" s="4" t="s">
        <v>155</v>
      </c>
      <c r="P489" s="4" t="s">
        <v>102</v>
      </c>
      <c r="Q489" s="152">
        <v>105</v>
      </c>
      <c r="R489" s="167">
        <v>3.71</v>
      </c>
      <c r="S489" s="169">
        <v>19384</v>
      </c>
      <c r="U489" s="152">
        <v>75.510000000000005</v>
      </c>
      <c r="V489" s="166">
        <v>9.9999999999999995E-7</v>
      </c>
      <c r="W489" s="166">
        <v>6.5605970666797004E-3</v>
      </c>
      <c r="X489" s="166">
        <v>9.9805859155140098E-4</v>
      </c>
    </row>
    <row r="490" spans="1:24">
      <c r="A490" s="4">
        <v>969</v>
      </c>
      <c r="B490" s="4">
        <v>969</v>
      </c>
      <c r="C490" s="4" t="s">
        <v>2171</v>
      </c>
      <c r="D490" s="4" t="s">
        <v>2172</v>
      </c>
      <c r="E490" s="4" t="s">
        <v>350</v>
      </c>
      <c r="F490" s="4" t="s">
        <v>2171</v>
      </c>
      <c r="G490" s="4" t="s">
        <v>2173</v>
      </c>
      <c r="H490" s="4" t="s">
        <v>356</v>
      </c>
      <c r="I490" s="4" t="s">
        <v>965</v>
      </c>
      <c r="J490" s="4" t="s">
        <v>97</v>
      </c>
      <c r="K490" s="4" t="s">
        <v>98</v>
      </c>
      <c r="L490" s="2" t="s">
        <v>362</v>
      </c>
      <c r="M490" s="2" t="s">
        <v>381</v>
      </c>
      <c r="N490" s="4" t="s">
        <v>564</v>
      </c>
      <c r="O490" s="4" t="s">
        <v>155</v>
      </c>
      <c r="P490" s="4" t="s">
        <v>102</v>
      </c>
      <c r="Q490" s="152">
        <v>8</v>
      </c>
      <c r="R490" s="167">
        <v>3.71</v>
      </c>
      <c r="S490" s="169">
        <v>126</v>
      </c>
      <c r="U490" s="152">
        <v>3.6999999999999998E-2</v>
      </c>
      <c r="V490" s="166">
        <v>9.9999999999999995E-7</v>
      </c>
      <c r="W490" s="166">
        <v>3.24916074288718E-6</v>
      </c>
      <c r="X490" s="166">
        <v>4.9429232763585703E-7</v>
      </c>
    </row>
    <row r="491" spans="1:24">
      <c r="A491" s="4">
        <v>969</v>
      </c>
      <c r="B491" s="4">
        <v>969</v>
      </c>
      <c r="C491" s="4" t="s">
        <v>2006</v>
      </c>
      <c r="D491" s="4" t="s">
        <v>2007</v>
      </c>
      <c r="E491" s="4" t="s">
        <v>1342</v>
      </c>
      <c r="F491" s="4" t="s">
        <v>2008</v>
      </c>
      <c r="G491" s="4" t="s">
        <v>2009</v>
      </c>
      <c r="H491" s="4" t="s">
        <v>356</v>
      </c>
      <c r="I491" s="4" t="s">
        <v>965</v>
      </c>
      <c r="J491" s="4" t="s">
        <v>97</v>
      </c>
      <c r="K491" s="4" t="s">
        <v>98</v>
      </c>
      <c r="L491" s="2" t="s">
        <v>362</v>
      </c>
      <c r="M491" s="2" t="s">
        <v>379</v>
      </c>
      <c r="N491" s="4" t="s">
        <v>568</v>
      </c>
      <c r="O491" s="4" t="s">
        <v>155</v>
      </c>
      <c r="P491" s="4" t="s">
        <v>102</v>
      </c>
      <c r="Q491" s="152">
        <v>5928</v>
      </c>
      <c r="R491" s="167">
        <v>3.71</v>
      </c>
      <c r="S491" s="169">
        <v>100</v>
      </c>
      <c r="U491" s="152">
        <v>21.992999999999999</v>
      </c>
      <c r="V491" s="166">
        <v>0</v>
      </c>
      <c r="W491" s="166">
        <v>1.91081596069794E-3</v>
      </c>
      <c r="X491" s="166">
        <v>2.9069096410965899E-4</v>
      </c>
    </row>
    <row r="492" spans="1:24">
      <c r="A492" s="4">
        <v>969</v>
      </c>
      <c r="B492" s="4">
        <v>969</v>
      </c>
      <c r="C492" s="4" t="s">
        <v>2010</v>
      </c>
      <c r="D492" s="4" t="s">
        <v>2011</v>
      </c>
      <c r="E492" s="4" t="s">
        <v>350</v>
      </c>
      <c r="F492" s="4" t="s">
        <v>2010</v>
      </c>
      <c r="G492" s="4" t="s">
        <v>2012</v>
      </c>
      <c r="H492" s="4" t="s">
        <v>356</v>
      </c>
      <c r="I492" s="4" t="s">
        <v>965</v>
      </c>
      <c r="J492" s="4" t="s">
        <v>97</v>
      </c>
      <c r="K492" s="4" t="s">
        <v>98</v>
      </c>
      <c r="L492" s="2" t="s">
        <v>362</v>
      </c>
      <c r="M492" s="2" t="s">
        <v>1528</v>
      </c>
      <c r="N492" s="4" t="s">
        <v>564</v>
      </c>
      <c r="O492" s="4" t="s">
        <v>155</v>
      </c>
      <c r="P492" s="4" t="s">
        <v>102</v>
      </c>
      <c r="Q492" s="152">
        <v>112</v>
      </c>
      <c r="R492" s="167">
        <v>3.71</v>
      </c>
      <c r="S492" s="169">
        <v>27802</v>
      </c>
      <c r="T492" s="151">
        <v>2.3E-2</v>
      </c>
      <c r="U492" s="152">
        <v>115.607</v>
      </c>
      <c r="V492" s="166">
        <v>0</v>
      </c>
      <c r="W492" s="166">
        <v>1.0044352379552E-2</v>
      </c>
      <c r="X492" s="166">
        <v>1.5280396108909599E-3</v>
      </c>
    </row>
    <row r="493" spans="1:24">
      <c r="A493" s="4">
        <v>969</v>
      </c>
      <c r="B493" s="4">
        <v>969</v>
      </c>
      <c r="C493" s="4" t="s">
        <v>2013</v>
      </c>
      <c r="D493" s="4" t="s">
        <v>2014</v>
      </c>
      <c r="E493" s="4" t="s">
        <v>350</v>
      </c>
      <c r="F493" s="4" t="s">
        <v>2015</v>
      </c>
      <c r="G493" s="4" t="s">
        <v>2016</v>
      </c>
      <c r="H493" s="4" t="s">
        <v>356</v>
      </c>
      <c r="I493" s="4" t="s">
        <v>965</v>
      </c>
      <c r="J493" s="4" t="s">
        <v>97</v>
      </c>
      <c r="K493" s="4" t="s">
        <v>98</v>
      </c>
      <c r="L493" s="2" t="s">
        <v>362</v>
      </c>
      <c r="M493" s="2" t="s">
        <v>379</v>
      </c>
      <c r="N493" s="4" t="s">
        <v>2017</v>
      </c>
      <c r="O493" s="4" t="s">
        <v>155</v>
      </c>
      <c r="P493" s="4" t="s">
        <v>102</v>
      </c>
      <c r="Q493" s="152">
        <v>76</v>
      </c>
      <c r="R493" s="167">
        <v>3.71</v>
      </c>
      <c r="S493" s="169">
        <v>41733</v>
      </c>
      <c r="U493" s="152">
        <v>117.67</v>
      </c>
      <c r="V493" s="166">
        <v>0</v>
      </c>
      <c r="W493" s="166">
        <v>1.02236003189496E-2</v>
      </c>
      <c r="X493" s="166">
        <v>1.55530846220364E-3</v>
      </c>
    </row>
    <row r="494" spans="1:24">
      <c r="A494" s="4">
        <v>969</v>
      </c>
      <c r="B494" s="4">
        <v>969</v>
      </c>
      <c r="C494" s="4" t="s">
        <v>2018</v>
      </c>
      <c r="D494" s="4" t="s">
        <v>2019</v>
      </c>
      <c r="E494" s="4" t="s">
        <v>350</v>
      </c>
      <c r="F494" s="4" t="s">
        <v>2018</v>
      </c>
      <c r="G494" s="4" t="s">
        <v>2020</v>
      </c>
      <c r="H494" s="4" t="s">
        <v>356</v>
      </c>
      <c r="I494" s="4" t="s">
        <v>965</v>
      </c>
      <c r="J494" s="4" t="s">
        <v>97</v>
      </c>
      <c r="K494" s="4" t="s">
        <v>98</v>
      </c>
      <c r="L494" s="2" t="s">
        <v>362</v>
      </c>
      <c r="M494" s="2" t="s">
        <v>381</v>
      </c>
      <c r="N494" s="4" t="s">
        <v>580</v>
      </c>
      <c r="O494" s="4" t="s">
        <v>155</v>
      </c>
      <c r="P494" s="4" t="s">
        <v>102</v>
      </c>
      <c r="Q494" s="152">
        <v>1500</v>
      </c>
      <c r="R494" s="167">
        <v>3.71</v>
      </c>
      <c r="S494" s="169">
        <v>3343</v>
      </c>
      <c r="U494" s="152">
        <v>186.03800000000001</v>
      </c>
      <c r="V494" s="166">
        <v>3.9999999999999998E-6</v>
      </c>
      <c r="W494" s="166">
        <v>1.61636076837379E-2</v>
      </c>
      <c r="X494" s="166">
        <v>2.45895721917659E-3</v>
      </c>
    </row>
    <row r="495" spans="1:24">
      <c r="A495" s="4">
        <v>969</v>
      </c>
      <c r="B495" s="4">
        <v>969</v>
      </c>
      <c r="C495" s="4" t="s">
        <v>2021</v>
      </c>
      <c r="D495" s="4" t="s">
        <v>2022</v>
      </c>
      <c r="E495" s="4" t="s">
        <v>350</v>
      </c>
      <c r="F495" s="4" t="s">
        <v>2023</v>
      </c>
      <c r="G495" s="4" t="s">
        <v>2024</v>
      </c>
      <c r="H495" s="4" t="s">
        <v>356</v>
      </c>
      <c r="I495" s="4" t="s">
        <v>965</v>
      </c>
      <c r="J495" s="4" t="s">
        <v>97</v>
      </c>
      <c r="K495" s="4" t="s">
        <v>98</v>
      </c>
      <c r="L495" s="2" t="s">
        <v>362</v>
      </c>
      <c r="M495" s="2" t="s">
        <v>381</v>
      </c>
      <c r="N495" s="4" t="s">
        <v>583</v>
      </c>
      <c r="O495" s="4" t="s">
        <v>155</v>
      </c>
      <c r="P495" s="4" t="s">
        <v>102</v>
      </c>
      <c r="Q495" s="152">
        <v>250</v>
      </c>
      <c r="R495" s="167">
        <v>3.71</v>
      </c>
      <c r="S495" s="169">
        <v>16719</v>
      </c>
      <c r="U495" s="152">
        <v>155.06899999999999</v>
      </c>
      <c r="V495" s="166">
        <v>0</v>
      </c>
      <c r="W495" s="166">
        <v>1.34728964435344E-2</v>
      </c>
      <c r="X495" s="166">
        <v>2.0496213853531502E-3</v>
      </c>
    </row>
    <row r="496" spans="1:24">
      <c r="A496" s="4">
        <v>969</v>
      </c>
      <c r="B496" s="4">
        <v>969</v>
      </c>
      <c r="C496" s="4" t="s">
        <v>2025</v>
      </c>
      <c r="D496" s="4" t="s">
        <v>2026</v>
      </c>
      <c r="E496" s="4" t="s">
        <v>350</v>
      </c>
      <c r="F496" s="4" t="s">
        <v>2027</v>
      </c>
      <c r="G496" s="4" t="s">
        <v>2028</v>
      </c>
      <c r="H496" s="4" t="s">
        <v>356</v>
      </c>
      <c r="I496" s="4" t="s">
        <v>965</v>
      </c>
      <c r="J496" s="4" t="s">
        <v>97</v>
      </c>
      <c r="K496" s="4" t="s">
        <v>319</v>
      </c>
      <c r="L496" s="2" t="s">
        <v>362</v>
      </c>
      <c r="M496" s="2" t="s">
        <v>401</v>
      </c>
      <c r="N496" s="4" t="s">
        <v>2029</v>
      </c>
      <c r="O496" s="4" t="s">
        <v>155</v>
      </c>
      <c r="P496" s="4" t="s">
        <v>1209</v>
      </c>
      <c r="Q496" s="152">
        <v>53</v>
      </c>
      <c r="R496" s="167">
        <v>4.1524000000000001</v>
      </c>
      <c r="S496" s="169">
        <v>68850</v>
      </c>
      <c r="U496" s="152">
        <v>151.523</v>
      </c>
      <c r="V496" s="166">
        <v>0</v>
      </c>
      <c r="W496" s="166">
        <v>1.3164845060720701E-2</v>
      </c>
      <c r="X496" s="166">
        <v>2.0027577651472901E-3</v>
      </c>
    </row>
    <row r="497" spans="1:24">
      <c r="A497" s="4">
        <v>969</v>
      </c>
      <c r="B497" s="4">
        <v>969</v>
      </c>
      <c r="C497" s="4" t="s">
        <v>2030</v>
      </c>
      <c r="D497" s="4" t="s">
        <v>2031</v>
      </c>
      <c r="E497" s="4" t="s">
        <v>350</v>
      </c>
      <c r="F497" s="4" t="s">
        <v>2032</v>
      </c>
      <c r="G497" s="4" t="s">
        <v>2033</v>
      </c>
      <c r="H497" s="4" t="s">
        <v>356</v>
      </c>
      <c r="I497" s="4" t="s">
        <v>965</v>
      </c>
      <c r="J497" s="4" t="s">
        <v>97</v>
      </c>
      <c r="K497" s="4" t="s">
        <v>98</v>
      </c>
      <c r="L497" s="2" t="s">
        <v>362</v>
      </c>
      <c r="M497" s="2" t="s">
        <v>379</v>
      </c>
      <c r="N497" s="4" t="s">
        <v>2001</v>
      </c>
      <c r="O497" s="4" t="s">
        <v>155</v>
      </c>
      <c r="P497" s="4" t="s">
        <v>102</v>
      </c>
      <c r="Q497" s="152">
        <v>127</v>
      </c>
      <c r="R497" s="167">
        <v>3.71</v>
      </c>
      <c r="S497" s="169">
        <v>49380</v>
      </c>
      <c r="U497" s="152">
        <v>232.66399999999999</v>
      </c>
      <c r="V497" s="166">
        <v>0</v>
      </c>
      <c r="W497" s="166">
        <v>2.0214614881387601E-2</v>
      </c>
      <c r="X497" s="166">
        <v>3.0752338319540102E-3</v>
      </c>
    </row>
    <row r="498" spans="1:24">
      <c r="A498" s="4">
        <v>969</v>
      </c>
      <c r="B498" s="4">
        <v>969</v>
      </c>
      <c r="C498" s="4" t="s">
        <v>2038</v>
      </c>
      <c r="D498" s="4" t="s">
        <v>2039</v>
      </c>
      <c r="E498" s="4" t="s">
        <v>350</v>
      </c>
      <c r="F498" s="4" t="s">
        <v>2040</v>
      </c>
      <c r="G498" s="4" t="s">
        <v>2041</v>
      </c>
      <c r="H498" s="4" t="s">
        <v>356</v>
      </c>
      <c r="I498" s="4" t="s">
        <v>965</v>
      </c>
      <c r="J498" s="4" t="s">
        <v>97</v>
      </c>
      <c r="K498" s="4" t="s">
        <v>98</v>
      </c>
      <c r="L498" s="2" t="s">
        <v>362</v>
      </c>
      <c r="M498" s="2" t="s">
        <v>381</v>
      </c>
      <c r="N498" s="4" t="s">
        <v>578</v>
      </c>
      <c r="O498" s="4" t="s">
        <v>155</v>
      </c>
      <c r="P498" s="4" t="s">
        <v>102</v>
      </c>
      <c r="Q498" s="152">
        <v>327</v>
      </c>
      <c r="R498" s="167">
        <v>3.71</v>
      </c>
      <c r="S498" s="169">
        <v>43030</v>
      </c>
      <c r="U498" s="152">
        <v>522.02700000000004</v>
      </c>
      <c r="V498" s="166">
        <v>0</v>
      </c>
      <c r="W498" s="166">
        <v>4.5355479635540097E-2</v>
      </c>
      <c r="X498" s="166">
        <v>6.8998942724423501E-3</v>
      </c>
    </row>
    <row r="499" spans="1:24">
      <c r="A499" s="4">
        <v>969</v>
      </c>
      <c r="B499" s="4">
        <v>969</v>
      </c>
      <c r="C499" s="4" t="s">
        <v>2042</v>
      </c>
      <c r="D499" s="4" t="s">
        <v>2043</v>
      </c>
      <c r="E499" s="4" t="s">
        <v>350</v>
      </c>
      <c r="F499" s="4" t="s">
        <v>2042</v>
      </c>
      <c r="G499" s="4" t="s">
        <v>2044</v>
      </c>
      <c r="H499" s="4" t="s">
        <v>356</v>
      </c>
      <c r="I499" s="4" t="s">
        <v>965</v>
      </c>
      <c r="J499" s="4" t="s">
        <v>97</v>
      </c>
      <c r="K499" s="4" t="s">
        <v>98</v>
      </c>
      <c r="L499" s="2" t="s">
        <v>362</v>
      </c>
      <c r="M499" s="2" t="s">
        <v>381</v>
      </c>
      <c r="N499" s="4" t="s">
        <v>568</v>
      </c>
      <c r="O499" s="4" t="s">
        <v>155</v>
      </c>
      <c r="P499" s="4" t="s">
        <v>102</v>
      </c>
      <c r="Q499" s="152">
        <v>498</v>
      </c>
      <c r="R499" s="167">
        <v>3.71</v>
      </c>
      <c r="S499" s="169">
        <v>6683</v>
      </c>
      <c r="U499" s="152">
        <v>123.474</v>
      </c>
      <c r="V499" s="166">
        <v>9.9999999999999995E-7</v>
      </c>
      <c r="W499" s="166">
        <v>1.0727819781615199E-2</v>
      </c>
      <c r="X499" s="166">
        <v>1.6320149816905099E-3</v>
      </c>
    </row>
    <row r="500" spans="1:24">
      <c r="A500" s="4">
        <v>969</v>
      </c>
      <c r="B500" s="4">
        <v>969</v>
      </c>
      <c r="C500" s="4" t="s">
        <v>2045</v>
      </c>
      <c r="D500" s="4" t="s">
        <v>2046</v>
      </c>
      <c r="E500" s="4" t="s">
        <v>350</v>
      </c>
      <c r="F500" s="4" t="s">
        <v>2047</v>
      </c>
      <c r="G500" s="4" t="s">
        <v>2048</v>
      </c>
      <c r="H500" s="4" t="s">
        <v>356</v>
      </c>
      <c r="I500" s="4" t="s">
        <v>965</v>
      </c>
      <c r="J500" s="4" t="s">
        <v>97</v>
      </c>
      <c r="K500" s="4" t="s">
        <v>98</v>
      </c>
      <c r="L500" s="2" t="s">
        <v>362</v>
      </c>
      <c r="M500" s="2" t="s">
        <v>381</v>
      </c>
      <c r="N500" s="4" t="s">
        <v>583</v>
      </c>
      <c r="O500" s="4" t="s">
        <v>155</v>
      </c>
      <c r="P500" s="4" t="s">
        <v>102</v>
      </c>
      <c r="Q500" s="152">
        <v>70</v>
      </c>
      <c r="R500" s="167">
        <v>3.71</v>
      </c>
      <c r="S500" s="169">
        <v>70927</v>
      </c>
      <c r="U500" s="152">
        <v>184.197</v>
      </c>
      <c r="V500" s="166">
        <v>0</v>
      </c>
      <c r="W500" s="166">
        <v>1.6003696111858302E-2</v>
      </c>
      <c r="X500" s="166">
        <v>2.4346299945992001E-3</v>
      </c>
    </row>
    <row r="501" spans="1:24">
      <c r="A501" s="4">
        <v>969</v>
      </c>
      <c r="B501" s="4">
        <v>969</v>
      </c>
      <c r="C501" s="4" t="s">
        <v>2049</v>
      </c>
      <c r="D501" s="4" t="s">
        <v>2050</v>
      </c>
      <c r="E501" s="4" t="s">
        <v>350</v>
      </c>
      <c r="F501" s="4" t="s">
        <v>2049</v>
      </c>
      <c r="G501" s="4" t="s">
        <v>2051</v>
      </c>
      <c r="H501" s="4" t="s">
        <v>356</v>
      </c>
      <c r="I501" s="4" t="s">
        <v>965</v>
      </c>
      <c r="J501" s="4" t="s">
        <v>97</v>
      </c>
      <c r="K501" s="4" t="s">
        <v>98</v>
      </c>
      <c r="L501" s="2" t="s">
        <v>362</v>
      </c>
      <c r="M501" s="2" t="s">
        <v>379</v>
      </c>
      <c r="N501" s="4" t="s">
        <v>549</v>
      </c>
      <c r="O501" s="4" t="s">
        <v>155</v>
      </c>
      <c r="P501" s="4" t="s">
        <v>102</v>
      </c>
      <c r="Q501" s="152">
        <v>310</v>
      </c>
      <c r="R501" s="167">
        <v>3.71</v>
      </c>
      <c r="S501" s="169">
        <v>8840</v>
      </c>
      <c r="T501" s="151">
        <v>0.115</v>
      </c>
      <c r="U501" s="152">
        <v>102.09399999999999</v>
      </c>
      <c r="V501" s="166">
        <v>0</v>
      </c>
      <c r="W501" s="166">
        <v>8.8703055292945893E-3</v>
      </c>
      <c r="X501" s="166">
        <v>1.3494327655270699E-3</v>
      </c>
    </row>
    <row r="502" spans="1:24">
      <c r="A502" s="4">
        <v>969</v>
      </c>
      <c r="B502" s="4">
        <v>969</v>
      </c>
      <c r="C502" s="4" t="s">
        <v>2056</v>
      </c>
      <c r="D502" s="4" t="s">
        <v>2057</v>
      </c>
      <c r="E502" s="4" t="s">
        <v>350</v>
      </c>
      <c r="F502" s="4" t="s">
        <v>2058</v>
      </c>
      <c r="G502" s="4" t="s">
        <v>2059</v>
      </c>
      <c r="H502" s="4" t="s">
        <v>356</v>
      </c>
      <c r="I502" s="4" t="s">
        <v>965</v>
      </c>
      <c r="J502" s="4" t="s">
        <v>97</v>
      </c>
      <c r="K502" s="4" t="s">
        <v>279</v>
      </c>
      <c r="L502" s="2" t="s">
        <v>362</v>
      </c>
      <c r="M502" s="2" t="s">
        <v>401</v>
      </c>
      <c r="N502" s="4" t="s">
        <v>568</v>
      </c>
      <c r="O502" s="4" t="s">
        <v>155</v>
      </c>
      <c r="P502" s="4" t="s">
        <v>102</v>
      </c>
      <c r="Q502" s="152">
        <v>442</v>
      </c>
      <c r="R502" s="167">
        <v>3.71</v>
      </c>
      <c r="S502" s="169">
        <v>11907</v>
      </c>
      <c r="U502" s="152">
        <v>195.25299999999999</v>
      </c>
      <c r="V502" s="166">
        <v>0</v>
      </c>
      <c r="W502" s="166">
        <v>1.69642743837068E-2</v>
      </c>
      <c r="X502" s="166">
        <v>2.58076202912776E-3</v>
      </c>
    </row>
    <row r="503" spans="1:24">
      <c r="A503" s="4">
        <v>969</v>
      </c>
      <c r="B503" s="4">
        <v>969</v>
      </c>
      <c r="C503" s="4" t="s">
        <v>2060</v>
      </c>
      <c r="D503" s="4" t="s">
        <v>2061</v>
      </c>
      <c r="E503" s="4" t="s">
        <v>350</v>
      </c>
      <c r="F503" s="4" t="s">
        <v>2062</v>
      </c>
      <c r="G503" s="4" t="s">
        <v>2063</v>
      </c>
      <c r="H503" s="4" t="s">
        <v>356</v>
      </c>
      <c r="I503" s="4" t="s">
        <v>965</v>
      </c>
      <c r="J503" s="4" t="s">
        <v>97</v>
      </c>
      <c r="K503" s="4" t="s">
        <v>98</v>
      </c>
      <c r="L503" s="2" t="s">
        <v>362</v>
      </c>
      <c r="M503" s="2" t="s">
        <v>381</v>
      </c>
      <c r="N503" s="4" t="s">
        <v>582</v>
      </c>
      <c r="O503" s="4" t="s">
        <v>155</v>
      </c>
      <c r="P503" s="4" t="s">
        <v>102</v>
      </c>
      <c r="Q503" s="152">
        <v>1043</v>
      </c>
      <c r="R503" s="167">
        <v>3.71</v>
      </c>
      <c r="S503" s="169">
        <v>12144</v>
      </c>
      <c r="T503" s="151">
        <v>7.0000000000000001E-3</v>
      </c>
      <c r="U503" s="152">
        <v>469.94299999999998</v>
      </c>
      <c r="V503" s="166">
        <v>0</v>
      </c>
      <c r="W503" s="166">
        <v>4.08302314632338E-2</v>
      </c>
      <c r="X503" s="166">
        <v>6.2114717445277898E-3</v>
      </c>
    </row>
    <row r="504" spans="1:24">
      <c r="A504" s="4">
        <v>969</v>
      </c>
      <c r="B504" s="4">
        <v>969</v>
      </c>
      <c r="C504" s="4" t="s">
        <v>2064</v>
      </c>
      <c r="D504" s="4" t="s">
        <v>2065</v>
      </c>
      <c r="E504" s="4" t="s">
        <v>350</v>
      </c>
      <c r="F504" s="4" t="s">
        <v>2066</v>
      </c>
      <c r="G504" s="4" t="s">
        <v>2067</v>
      </c>
      <c r="H504" s="4" t="s">
        <v>356</v>
      </c>
      <c r="I504" s="4" t="s">
        <v>965</v>
      </c>
      <c r="J504" s="4" t="s">
        <v>97</v>
      </c>
      <c r="K504" s="4" t="s">
        <v>98</v>
      </c>
      <c r="L504" s="2" t="s">
        <v>362</v>
      </c>
      <c r="M504" s="2" t="s">
        <v>381</v>
      </c>
      <c r="N504" s="4" t="s">
        <v>568</v>
      </c>
      <c r="O504" s="4" t="s">
        <v>155</v>
      </c>
      <c r="P504" s="4" t="s">
        <v>102</v>
      </c>
      <c r="Q504" s="152">
        <v>329</v>
      </c>
      <c r="R504" s="167">
        <v>3.71</v>
      </c>
      <c r="S504" s="169">
        <v>604.96</v>
      </c>
      <c r="U504" s="152">
        <v>7.3840000000000003</v>
      </c>
      <c r="V504" s="166">
        <v>1.0000000000000001E-5</v>
      </c>
      <c r="W504" s="166">
        <v>6.4155400904028004E-4</v>
      </c>
      <c r="X504" s="166">
        <v>9.7599118519094697E-5</v>
      </c>
    </row>
    <row r="505" spans="1:24">
      <c r="A505" s="4">
        <v>969</v>
      </c>
      <c r="B505" s="4">
        <v>969</v>
      </c>
      <c r="C505" s="4" t="s">
        <v>2068</v>
      </c>
      <c r="D505" s="4" t="s">
        <v>2069</v>
      </c>
      <c r="E505" s="4" t="s">
        <v>350</v>
      </c>
      <c r="F505" s="4" t="s">
        <v>2070</v>
      </c>
      <c r="G505" s="4" t="s">
        <v>2071</v>
      </c>
      <c r="H505" s="4" t="s">
        <v>356</v>
      </c>
      <c r="I505" s="4" t="s">
        <v>965</v>
      </c>
      <c r="J505" s="4" t="s">
        <v>97</v>
      </c>
      <c r="K505" s="4" t="s">
        <v>98</v>
      </c>
      <c r="L505" s="2" t="s">
        <v>362</v>
      </c>
      <c r="M505" s="2" t="s">
        <v>379</v>
      </c>
      <c r="N505" s="4" t="s">
        <v>602</v>
      </c>
      <c r="O505" s="4" t="s">
        <v>155</v>
      </c>
      <c r="P505" s="4" t="s">
        <v>102</v>
      </c>
      <c r="Q505" s="152">
        <v>240</v>
      </c>
      <c r="R505" s="167">
        <v>3.71</v>
      </c>
      <c r="S505" s="169">
        <v>12628</v>
      </c>
      <c r="U505" s="152">
        <v>112.44</v>
      </c>
      <c r="V505" s="166">
        <v>0</v>
      </c>
      <c r="W505" s="166">
        <v>9.7691433002807908E-3</v>
      </c>
      <c r="X505" s="166">
        <v>1.4861722650918101E-3</v>
      </c>
    </row>
    <row r="506" spans="1:24">
      <c r="A506" s="4">
        <v>969</v>
      </c>
      <c r="B506" s="4">
        <v>969</v>
      </c>
      <c r="C506" s="4" t="s">
        <v>2072</v>
      </c>
      <c r="D506" s="4" t="s">
        <v>2073</v>
      </c>
      <c r="E506" s="4" t="s">
        <v>350</v>
      </c>
      <c r="F506" s="4" t="s">
        <v>2074</v>
      </c>
      <c r="G506" s="4" t="s">
        <v>2075</v>
      </c>
      <c r="H506" s="4" t="s">
        <v>356</v>
      </c>
      <c r="I506" s="4" t="s">
        <v>965</v>
      </c>
      <c r="J506" s="4" t="s">
        <v>97</v>
      </c>
      <c r="K506" s="4" t="s">
        <v>276</v>
      </c>
      <c r="L506" s="2" t="s">
        <v>362</v>
      </c>
      <c r="M506" s="2" t="s">
        <v>2076</v>
      </c>
      <c r="N506" s="4" t="s">
        <v>2077</v>
      </c>
      <c r="O506" s="4" t="s">
        <v>155</v>
      </c>
      <c r="P506" s="4" t="s">
        <v>1209</v>
      </c>
      <c r="Q506" s="152">
        <v>54</v>
      </c>
      <c r="R506" s="167">
        <v>4.1524000000000001</v>
      </c>
      <c r="S506" s="169">
        <v>48640</v>
      </c>
      <c r="U506" s="152">
        <v>109.065</v>
      </c>
      <c r="V506" s="166">
        <v>0</v>
      </c>
      <c r="W506" s="166">
        <v>9.4759609878424592E-3</v>
      </c>
      <c r="X506" s="166">
        <v>1.4415706651389501E-3</v>
      </c>
    </row>
    <row r="507" spans="1:24">
      <c r="A507" s="4">
        <v>969</v>
      </c>
      <c r="B507" s="4">
        <v>969</v>
      </c>
      <c r="C507" s="4" t="s">
        <v>2174</v>
      </c>
      <c r="D507" s="4" t="s">
        <v>2175</v>
      </c>
      <c r="E507" s="4" t="s">
        <v>350</v>
      </c>
      <c r="F507" s="4" t="s">
        <v>2174</v>
      </c>
      <c r="G507" s="4" t="s">
        <v>2176</v>
      </c>
      <c r="H507" s="4" t="s">
        <v>356</v>
      </c>
      <c r="I507" s="4" t="s">
        <v>965</v>
      </c>
      <c r="J507" s="4" t="s">
        <v>97</v>
      </c>
      <c r="K507" s="4" t="s">
        <v>319</v>
      </c>
      <c r="L507" s="2" t="s">
        <v>362</v>
      </c>
      <c r="M507" s="2" t="s">
        <v>401</v>
      </c>
      <c r="N507" s="4" t="s">
        <v>2017</v>
      </c>
      <c r="O507" s="4" t="s">
        <v>155</v>
      </c>
      <c r="P507" s="4" t="s">
        <v>1209</v>
      </c>
      <c r="Q507" s="152">
        <v>175</v>
      </c>
      <c r="R507" s="167">
        <v>4.1524000000000001</v>
      </c>
      <c r="S507" s="169">
        <v>21110</v>
      </c>
      <c r="U507" s="152">
        <v>153.4</v>
      </c>
      <c r="V507" s="166">
        <v>0</v>
      </c>
      <c r="W507" s="166">
        <v>1.33279151739679E-2</v>
      </c>
      <c r="X507" s="166">
        <v>2.0275654961963699E-3</v>
      </c>
    </row>
    <row r="508" spans="1:24">
      <c r="A508" s="4">
        <v>969</v>
      </c>
      <c r="B508" s="4">
        <v>969</v>
      </c>
      <c r="C508" s="4" t="s">
        <v>2078</v>
      </c>
      <c r="D508" s="4" t="s">
        <v>2079</v>
      </c>
      <c r="E508" s="4" t="s">
        <v>350</v>
      </c>
      <c r="F508" s="4" t="s">
        <v>2080</v>
      </c>
      <c r="G508" s="4" t="s">
        <v>2081</v>
      </c>
      <c r="H508" s="4" t="s">
        <v>356</v>
      </c>
      <c r="I508" s="4" t="s">
        <v>965</v>
      </c>
      <c r="J508" s="4" t="s">
        <v>97</v>
      </c>
      <c r="K508" s="4" t="s">
        <v>98</v>
      </c>
      <c r="L508" s="2" t="s">
        <v>362</v>
      </c>
      <c r="M508" s="2" t="s">
        <v>379</v>
      </c>
      <c r="N508" s="4" t="s">
        <v>520</v>
      </c>
      <c r="O508" s="4" t="s">
        <v>155</v>
      </c>
      <c r="P508" s="4" t="s">
        <v>102</v>
      </c>
      <c r="Q508" s="152">
        <v>727</v>
      </c>
      <c r="R508" s="167">
        <v>3.71</v>
      </c>
      <c r="S508" s="169">
        <v>4195</v>
      </c>
      <c r="T508" s="151">
        <v>0.20100000000000001</v>
      </c>
      <c r="U508" s="152">
        <v>113.89</v>
      </c>
      <c r="V508" s="166">
        <v>9.9999999999999995E-7</v>
      </c>
      <c r="W508" s="166">
        <v>9.8951858589150492E-3</v>
      </c>
      <c r="X508" s="166">
        <v>1.5053470227041801E-3</v>
      </c>
    </row>
    <row r="509" spans="1:24">
      <c r="A509" s="4">
        <v>969</v>
      </c>
      <c r="B509" s="4">
        <v>969</v>
      </c>
      <c r="C509" s="4" t="s">
        <v>2082</v>
      </c>
      <c r="D509" s="4" t="s">
        <v>2083</v>
      </c>
      <c r="E509" s="4" t="s">
        <v>350</v>
      </c>
      <c r="F509" s="4" t="s">
        <v>2084</v>
      </c>
      <c r="G509" s="4" t="s">
        <v>2085</v>
      </c>
      <c r="H509" s="4" t="s">
        <v>356</v>
      </c>
      <c r="I509" s="4" t="s">
        <v>965</v>
      </c>
      <c r="J509" s="4" t="s">
        <v>97</v>
      </c>
      <c r="K509" s="4" t="s">
        <v>306</v>
      </c>
      <c r="L509" s="2" t="s">
        <v>362</v>
      </c>
      <c r="M509" s="2" t="s">
        <v>379</v>
      </c>
      <c r="N509" s="4" t="s">
        <v>582</v>
      </c>
      <c r="O509" s="4" t="s">
        <v>155</v>
      </c>
      <c r="P509" s="4" t="s">
        <v>102</v>
      </c>
      <c r="Q509" s="152">
        <v>770</v>
      </c>
      <c r="R509" s="167">
        <v>3.71</v>
      </c>
      <c r="S509" s="169">
        <v>17367</v>
      </c>
      <c r="T509" s="151">
        <v>0.38200000000000001</v>
      </c>
      <c r="U509" s="152">
        <v>497.54</v>
      </c>
      <c r="V509" s="166">
        <v>0</v>
      </c>
      <c r="W509" s="166">
        <v>4.32279989171813E-2</v>
      </c>
      <c r="X509" s="166">
        <v>6.5762422652032504E-3</v>
      </c>
    </row>
    <row r="510" spans="1:24">
      <c r="A510" s="4">
        <v>969</v>
      </c>
      <c r="B510" s="4">
        <v>969</v>
      </c>
      <c r="C510" s="4" t="s">
        <v>2086</v>
      </c>
      <c r="D510" s="4" t="s">
        <v>2087</v>
      </c>
      <c r="E510" s="4" t="s">
        <v>350</v>
      </c>
      <c r="F510" s="4" t="s">
        <v>2086</v>
      </c>
      <c r="G510" s="4" t="s">
        <v>2088</v>
      </c>
      <c r="H510" s="4" t="s">
        <v>356</v>
      </c>
      <c r="I510" s="4" t="s">
        <v>965</v>
      </c>
      <c r="J510" s="4" t="s">
        <v>97</v>
      </c>
      <c r="K510" s="4" t="s">
        <v>98</v>
      </c>
      <c r="L510" s="2" t="s">
        <v>362</v>
      </c>
      <c r="M510" s="2" t="s">
        <v>381</v>
      </c>
      <c r="N510" s="4" t="s">
        <v>546</v>
      </c>
      <c r="O510" s="4" t="s">
        <v>155</v>
      </c>
      <c r="P510" s="4" t="s">
        <v>102</v>
      </c>
      <c r="Q510" s="152">
        <v>229</v>
      </c>
      <c r="R510" s="167">
        <v>3.71</v>
      </c>
      <c r="S510" s="169">
        <v>26163</v>
      </c>
      <c r="U510" s="152">
        <v>222.27799999999999</v>
      </c>
      <c r="V510" s="166">
        <v>0</v>
      </c>
      <c r="W510" s="166">
        <v>1.9312286196627001E-2</v>
      </c>
      <c r="X510" s="166">
        <v>2.9379632623586899E-3</v>
      </c>
    </row>
    <row r="511" spans="1:24">
      <c r="A511" s="4">
        <v>969</v>
      </c>
      <c r="B511" s="4">
        <v>969</v>
      </c>
      <c r="C511" s="4" t="s">
        <v>2089</v>
      </c>
      <c r="D511" s="4" t="s">
        <v>2090</v>
      </c>
      <c r="E511" s="4" t="s">
        <v>350</v>
      </c>
      <c r="F511" s="4" t="s">
        <v>2091</v>
      </c>
      <c r="G511" s="4" t="s">
        <v>2092</v>
      </c>
      <c r="H511" s="4" t="s">
        <v>356</v>
      </c>
      <c r="I511" s="4" t="s">
        <v>965</v>
      </c>
      <c r="J511" s="4" t="s">
        <v>97</v>
      </c>
      <c r="K511" s="4" t="s">
        <v>310</v>
      </c>
      <c r="L511" s="2" t="s">
        <v>362</v>
      </c>
      <c r="M511" s="2" t="s">
        <v>429</v>
      </c>
      <c r="N511" s="4" t="s">
        <v>602</v>
      </c>
      <c r="O511" s="4" t="s">
        <v>155</v>
      </c>
      <c r="P511" s="4" t="s">
        <v>1209</v>
      </c>
      <c r="Q511" s="152">
        <v>1226</v>
      </c>
      <c r="R511" s="167">
        <v>4.1524000000000001</v>
      </c>
      <c r="S511" s="169">
        <v>645</v>
      </c>
      <c r="U511" s="152">
        <v>32.835999999999999</v>
      </c>
      <c r="V511" s="166">
        <v>3.4000000000000002E-4</v>
      </c>
      <c r="W511" s="166">
        <v>2.8528972002757201E-3</v>
      </c>
      <c r="X511" s="166">
        <v>4.3400905932928401E-4</v>
      </c>
    </row>
    <row r="512" spans="1:24">
      <c r="A512" s="4">
        <v>969</v>
      </c>
      <c r="B512" s="4">
        <v>969</v>
      </c>
      <c r="C512" s="4" t="s">
        <v>2093</v>
      </c>
      <c r="D512" s="4" t="s">
        <v>2094</v>
      </c>
      <c r="E512" s="4" t="s">
        <v>350</v>
      </c>
      <c r="F512" s="4" t="s">
        <v>2095</v>
      </c>
      <c r="G512" s="4" t="s">
        <v>2096</v>
      </c>
      <c r="H512" s="4" t="s">
        <v>356</v>
      </c>
      <c r="I512" s="4" t="s">
        <v>965</v>
      </c>
      <c r="J512" s="4" t="s">
        <v>97</v>
      </c>
      <c r="K512" s="4" t="s">
        <v>98</v>
      </c>
      <c r="L512" s="2" t="s">
        <v>362</v>
      </c>
      <c r="M512" s="2" t="s">
        <v>379</v>
      </c>
      <c r="N512" s="4" t="s">
        <v>2001</v>
      </c>
      <c r="O512" s="4" t="s">
        <v>155</v>
      </c>
      <c r="P512" s="4" t="s">
        <v>102</v>
      </c>
      <c r="Q512" s="152">
        <v>226</v>
      </c>
      <c r="R512" s="167">
        <v>3.71</v>
      </c>
      <c r="S512" s="169">
        <v>27495</v>
      </c>
      <c r="U512" s="152">
        <v>230.535</v>
      </c>
      <c r="V512" s="166">
        <v>0</v>
      </c>
      <c r="W512" s="166">
        <v>2.00296254617107E-2</v>
      </c>
      <c r="X512" s="166">
        <v>3.0470915336573601E-3</v>
      </c>
    </row>
    <row r="513" spans="1:24">
      <c r="A513" s="4">
        <v>969</v>
      </c>
      <c r="B513" s="4">
        <v>969</v>
      </c>
      <c r="C513" s="4" t="s">
        <v>2097</v>
      </c>
      <c r="D513" s="4" t="s">
        <v>2098</v>
      </c>
      <c r="E513" s="4" t="s">
        <v>350</v>
      </c>
      <c r="F513" s="4" t="s">
        <v>2099</v>
      </c>
      <c r="G513" s="4" t="s">
        <v>2100</v>
      </c>
      <c r="H513" s="4" t="s">
        <v>356</v>
      </c>
      <c r="I513" s="4" t="s">
        <v>965</v>
      </c>
      <c r="J513" s="4" t="s">
        <v>97</v>
      </c>
      <c r="K513" s="4" t="s">
        <v>98</v>
      </c>
      <c r="L513" s="2" t="s">
        <v>362</v>
      </c>
      <c r="M513" s="2" t="s">
        <v>379</v>
      </c>
      <c r="N513" s="4" t="s">
        <v>583</v>
      </c>
      <c r="O513" s="4" t="s">
        <v>155</v>
      </c>
      <c r="P513" s="4" t="s">
        <v>102</v>
      </c>
      <c r="Q513" s="152">
        <v>314</v>
      </c>
      <c r="R513" s="167">
        <v>3.71</v>
      </c>
      <c r="S513" s="169">
        <v>9619</v>
      </c>
      <c r="U513" s="152">
        <v>112.056</v>
      </c>
      <c r="V513" s="166">
        <v>0</v>
      </c>
      <c r="W513" s="166">
        <v>9.7357684884436402E-3</v>
      </c>
      <c r="X513" s="166">
        <v>1.48109498060734E-3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W339"/>
  <sheetViews>
    <sheetView rightToLeft="1" zoomScale="70" zoomScaleNormal="70" workbookViewId="0">
      <selection activeCell="D354" sqref="D354"/>
    </sheetView>
  </sheetViews>
  <sheetFormatPr defaultColWidth="9" defaultRowHeight="14.25"/>
  <cols>
    <col min="1" max="4" width="11.625" style="2" customWidth="1"/>
    <col min="5" max="5" width="11.625" style="4" customWidth="1"/>
    <col min="6" max="15" width="11.625" style="2" customWidth="1"/>
    <col min="16" max="16" width="11.625" style="4" customWidth="1"/>
    <col min="17" max="18" width="11.625" style="2" customWidth="1"/>
    <col min="19" max="19" width="11.625" style="132" customWidth="1"/>
    <col min="20" max="24" width="11.625" style="2" customWidth="1"/>
    <col min="25" max="25" width="9" style="2" customWidth="1"/>
    <col min="26" max="16384" width="9" style="2"/>
  </cols>
  <sheetData>
    <row r="1" spans="1:23" ht="66.75" customHeight="1">
      <c r="A1" s="19" t="s">
        <v>0</v>
      </c>
      <c r="B1" s="19" t="s">
        <v>1</v>
      </c>
      <c r="C1" s="19" t="s">
        <v>2</v>
      </c>
      <c r="D1" s="19" t="s">
        <v>173</v>
      </c>
      <c r="E1" s="19" t="s">
        <v>174</v>
      </c>
      <c r="F1" s="19" t="s">
        <v>3</v>
      </c>
      <c r="G1" s="19" t="s">
        <v>4</v>
      </c>
      <c r="H1" s="19" t="s">
        <v>175</v>
      </c>
      <c r="I1" s="19" t="s">
        <v>5</v>
      </c>
      <c r="J1" s="19" t="s">
        <v>6</v>
      </c>
      <c r="K1" s="19" t="s">
        <v>7</v>
      </c>
      <c r="L1" s="19" t="s">
        <v>8</v>
      </c>
      <c r="M1" s="19" t="s">
        <v>604</v>
      </c>
      <c r="N1" s="19" t="s">
        <v>141</v>
      </c>
      <c r="O1" s="19" t="s">
        <v>11</v>
      </c>
      <c r="P1" s="19" t="s">
        <v>17</v>
      </c>
      <c r="Q1" s="157" t="s">
        <v>18</v>
      </c>
      <c r="R1" s="168" t="s">
        <v>19</v>
      </c>
      <c r="S1" s="19" t="s">
        <v>16</v>
      </c>
      <c r="T1" s="19" t="s">
        <v>20</v>
      </c>
      <c r="U1" s="163" t="s">
        <v>23</v>
      </c>
      <c r="V1" s="163" t="s">
        <v>24</v>
      </c>
      <c r="W1" s="163" t="s">
        <v>25</v>
      </c>
    </row>
    <row r="2" spans="1:23">
      <c r="A2" s="20">
        <v>1182</v>
      </c>
      <c r="B2" s="20">
        <v>1182</v>
      </c>
      <c r="C2" s="20" t="s">
        <v>1571</v>
      </c>
      <c r="D2" s="20" t="s">
        <v>1572</v>
      </c>
      <c r="E2" s="18" t="s">
        <v>1342</v>
      </c>
      <c r="F2" s="20" t="s">
        <v>1576</v>
      </c>
      <c r="G2" s="20" t="s">
        <v>1577</v>
      </c>
      <c r="H2" s="18" t="s">
        <v>356</v>
      </c>
      <c r="I2" s="20" t="s">
        <v>1015</v>
      </c>
      <c r="J2" s="18" t="s">
        <v>30</v>
      </c>
      <c r="K2" s="18" t="s">
        <v>98</v>
      </c>
      <c r="L2" s="18" t="s">
        <v>31</v>
      </c>
      <c r="M2" s="20" t="s">
        <v>1578</v>
      </c>
      <c r="N2" s="20" t="s">
        <v>155</v>
      </c>
      <c r="O2" s="18" t="s">
        <v>34</v>
      </c>
      <c r="P2" s="154">
        <v>5380</v>
      </c>
      <c r="Q2" s="173">
        <v>1</v>
      </c>
      <c r="R2" s="174">
        <v>10350</v>
      </c>
      <c r="S2" s="131"/>
      <c r="T2" s="153">
        <v>556.83000000000004</v>
      </c>
      <c r="U2" s="172">
        <v>8.4900000000000004E-4</v>
      </c>
      <c r="V2" s="172">
        <v>6.6199394248585199E-3</v>
      </c>
      <c r="W2" s="172">
        <v>1.35175334844648E-3</v>
      </c>
    </row>
    <row r="3" spans="1:23">
      <c r="A3" s="20">
        <v>1182</v>
      </c>
      <c r="B3" s="20">
        <v>1182</v>
      </c>
      <c r="C3" s="20" t="s">
        <v>1579</v>
      </c>
      <c r="D3" s="20" t="s">
        <v>1580</v>
      </c>
      <c r="E3" s="18" t="s">
        <v>1342</v>
      </c>
      <c r="F3" s="20" t="s">
        <v>1581</v>
      </c>
      <c r="G3" s="20" t="s">
        <v>1582</v>
      </c>
      <c r="H3" s="18" t="s">
        <v>356</v>
      </c>
      <c r="I3" s="20" t="s">
        <v>1014</v>
      </c>
      <c r="J3" s="18" t="s">
        <v>30</v>
      </c>
      <c r="K3" s="18" t="s">
        <v>30</v>
      </c>
      <c r="L3" s="18" t="s">
        <v>31</v>
      </c>
      <c r="M3" s="20" t="s">
        <v>1575</v>
      </c>
      <c r="N3" s="20" t="s">
        <v>155</v>
      </c>
      <c r="O3" s="18" t="s">
        <v>34</v>
      </c>
      <c r="P3" s="154">
        <v>13431</v>
      </c>
      <c r="Q3" s="173">
        <v>1</v>
      </c>
      <c r="R3" s="174">
        <v>2013</v>
      </c>
      <c r="S3" s="131"/>
      <c r="T3" s="153">
        <v>270.36599999999999</v>
      </c>
      <c r="U3" s="172">
        <v>2.7500000000000002E-4</v>
      </c>
      <c r="V3" s="172">
        <v>3.2142785789908601E-3</v>
      </c>
      <c r="W3" s="172">
        <v>6.5633709814249001E-4</v>
      </c>
    </row>
    <row r="4" spans="1:23">
      <c r="A4" s="20">
        <v>1182</v>
      </c>
      <c r="B4" s="20">
        <v>1182</v>
      </c>
      <c r="C4" s="20" t="s">
        <v>1579</v>
      </c>
      <c r="D4" s="20" t="s">
        <v>1580</v>
      </c>
      <c r="E4" s="18" t="s">
        <v>1342</v>
      </c>
      <c r="F4" s="20" t="s">
        <v>1583</v>
      </c>
      <c r="G4" s="20" t="s">
        <v>1584</v>
      </c>
      <c r="H4" s="18" t="s">
        <v>356</v>
      </c>
      <c r="I4" s="20" t="s">
        <v>1014</v>
      </c>
      <c r="J4" s="18" t="s">
        <v>30</v>
      </c>
      <c r="K4" s="18" t="s">
        <v>30</v>
      </c>
      <c r="L4" s="18" t="s">
        <v>31</v>
      </c>
      <c r="M4" s="20" t="s">
        <v>1575</v>
      </c>
      <c r="N4" s="20" t="s">
        <v>155</v>
      </c>
      <c r="O4" s="18" t="s">
        <v>34</v>
      </c>
      <c r="P4" s="154">
        <v>2945</v>
      </c>
      <c r="Q4" s="173">
        <v>1</v>
      </c>
      <c r="R4" s="174">
        <v>2076</v>
      </c>
      <c r="S4" s="131"/>
      <c r="T4" s="153">
        <v>61.137999999999998</v>
      </c>
      <c r="U4" s="172">
        <v>4.1E-5</v>
      </c>
      <c r="V4" s="172">
        <v>7.2684873398503203E-4</v>
      </c>
      <c r="W4" s="172">
        <v>1.4841830822331901E-4</v>
      </c>
    </row>
    <row r="5" spans="1:23">
      <c r="A5" s="20">
        <v>1182</v>
      </c>
      <c r="B5" s="20">
        <v>1182</v>
      </c>
      <c r="C5" s="20" t="s">
        <v>1585</v>
      </c>
      <c r="D5" s="20" t="s">
        <v>1586</v>
      </c>
      <c r="E5" s="18" t="s">
        <v>1342</v>
      </c>
      <c r="F5" s="20" t="s">
        <v>1587</v>
      </c>
      <c r="G5" s="20" t="s">
        <v>1588</v>
      </c>
      <c r="H5" s="18" t="s">
        <v>356</v>
      </c>
      <c r="I5" s="20" t="s">
        <v>1015</v>
      </c>
      <c r="J5" s="18" t="s">
        <v>30</v>
      </c>
      <c r="K5" s="18" t="s">
        <v>98</v>
      </c>
      <c r="L5" s="18" t="s">
        <v>31</v>
      </c>
      <c r="M5" s="20" t="s">
        <v>1578</v>
      </c>
      <c r="N5" s="20" t="s">
        <v>155</v>
      </c>
      <c r="O5" s="18" t="s">
        <v>34</v>
      </c>
      <c r="P5" s="154">
        <v>35859</v>
      </c>
      <c r="Q5" s="173">
        <v>1</v>
      </c>
      <c r="R5" s="174">
        <v>11220</v>
      </c>
      <c r="S5" s="131"/>
      <c r="T5" s="153">
        <v>4023.38</v>
      </c>
      <c r="U5" s="172">
        <v>4.4149999999999997E-3</v>
      </c>
      <c r="V5" s="172">
        <v>4.7832427418061797E-2</v>
      </c>
      <c r="W5" s="172">
        <v>9.7671050710664703E-3</v>
      </c>
    </row>
    <row r="6" spans="1:23">
      <c r="A6" s="20">
        <v>1182</v>
      </c>
      <c r="B6" s="20">
        <v>1182</v>
      </c>
      <c r="C6" s="20" t="s">
        <v>1585</v>
      </c>
      <c r="D6" s="20" t="s">
        <v>1586</v>
      </c>
      <c r="E6" s="18" t="s">
        <v>1342</v>
      </c>
      <c r="F6" s="20" t="s">
        <v>1589</v>
      </c>
      <c r="G6" s="20" t="s">
        <v>1590</v>
      </c>
      <c r="H6" s="18" t="s">
        <v>356</v>
      </c>
      <c r="I6" s="20" t="s">
        <v>1015</v>
      </c>
      <c r="J6" s="18" t="s">
        <v>30</v>
      </c>
      <c r="K6" s="18" t="s">
        <v>98</v>
      </c>
      <c r="L6" s="18" t="s">
        <v>31</v>
      </c>
      <c r="M6" s="20" t="s">
        <v>1578</v>
      </c>
      <c r="N6" s="20" t="s">
        <v>155</v>
      </c>
      <c r="O6" s="18" t="s">
        <v>34</v>
      </c>
      <c r="P6" s="154">
        <v>3622</v>
      </c>
      <c r="Q6" s="173">
        <v>1</v>
      </c>
      <c r="R6" s="174">
        <v>10530</v>
      </c>
      <c r="S6" s="131"/>
      <c r="T6" s="153">
        <v>381.39699999999999</v>
      </c>
      <c r="U6" s="172">
        <v>6.3E-5</v>
      </c>
      <c r="V6" s="172">
        <v>4.53427866466784E-3</v>
      </c>
      <c r="W6" s="172">
        <v>9.2587348227664496E-4</v>
      </c>
    </row>
    <row r="7" spans="1:23">
      <c r="A7" s="20">
        <v>1182</v>
      </c>
      <c r="B7" s="20">
        <v>1182</v>
      </c>
      <c r="C7" s="20" t="s">
        <v>1571</v>
      </c>
      <c r="D7" s="20" t="s">
        <v>1572</v>
      </c>
      <c r="E7" s="18" t="s">
        <v>1342</v>
      </c>
      <c r="F7" s="20" t="s">
        <v>1591</v>
      </c>
      <c r="G7" s="20" t="s">
        <v>1592</v>
      </c>
      <c r="H7" s="18" t="s">
        <v>356</v>
      </c>
      <c r="I7" s="20" t="s">
        <v>1015</v>
      </c>
      <c r="J7" s="18" t="s">
        <v>30</v>
      </c>
      <c r="K7" s="18" t="s">
        <v>98</v>
      </c>
      <c r="L7" s="18" t="s">
        <v>31</v>
      </c>
      <c r="M7" s="20" t="s">
        <v>1578</v>
      </c>
      <c r="N7" s="20" t="s">
        <v>155</v>
      </c>
      <c r="O7" s="18" t="s">
        <v>34</v>
      </c>
      <c r="P7" s="154">
        <v>4108</v>
      </c>
      <c r="Q7" s="173">
        <v>1</v>
      </c>
      <c r="R7" s="174">
        <v>3167</v>
      </c>
      <c r="S7" s="131"/>
      <c r="T7" s="153">
        <v>130.1</v>
      </c>
      <c r="U7" s="172">
        <v>2.05E-4</v>
      </c>
      <c r="V7" s="172">
        <v>1.54671354336563E-3</v>
      </c>
      <c r="W7" s="172">
        <v>3.1582996114450199E-4</v>
      </c>
    </row>
    <row r="8" spans="1:23">
      <c r="A8" s="20">
        <v>1182</v>
      </c>
      <c r="B8" s="20">
        <v>1182</v>
      </c>
      <c r="C8" s="20" t="s">
        <v>1593</v>
      </c>
      <c r="D8" s="20" t="s">
        <v>1594</v>
      </c>
      <c r="E8" s="18" t="s">
        <v>350</v>
      </c>
      <c r="F8" s="20" t="s">
        <v>1595</v>
      </c>
      <c r="G8" s="20" t="s">
        <v>1596</v>
      </c>
      <c r="H8" s="18" t="s">
        <v>356</v>
      </c>
      <c r="I8" s="20" t="s">
        <v>1015</v>
      </c>
      <c r="J8" s="18" t="s">
        <v>97</v>
      </c>
      <c r="K8" s="18" t="s">
        <v>98</v>
      </c>
      <c r="L8" s="18" t="s">
        <v>379</v>
      </c>
      <c r="M8" s="20" t="s">
        <v>770</v>
      </c>
      <c r="N8" s="20" t="s">
        <v>155</v>
      </c>
      <c r="O8" s="18" t="s">
        <v>102</v>
      </c>
      <c r="P8" s="154">
        <v>6240</v>
      </c>
      <c r="Q8" s="173">
        <v>3.71</v>
      </c>
      <c r="R8" s="174">
        <v>8078</v>
      </c>
      <c r="S8" s="131"/>
      <c r="T8" s="153">
        <v>1870.0889999999999</v>
      </c>
      <c r="U8" s="172">
        <v>2.8E-5</v>
      </c>
      <c r="V8" s="172">
        <v>2.2232778342609699E-2</v>
      </c>
      <c r="W8" s="172">
        <v>4.5398047687624302E-3</v>
      </c>
    </row>
    <row r="9" spans="1:23">
      <c r="A9" s="20">
        <v>1182</v>
      </c>
      <c r="B9" s="20">
        <v>1182</v>
      </c>
      <c r="C9" s="20" t="s">
        <v>1538</v>
      </c>
      <c r="D9" s="20" t="s">
        <v>1539</v>
      </c>
      <c r="E9" s="18" t="s">
        <v>350</v>
      </c>
      <c r="F9" s="20" t="s">
        <v>1597</v>
      </c>
      <c r="G9" s="20" t="s">
        <v>1598</v>
      </c>
      <c r="H9" s="18" t="s">
        <v>356</v>
      </c>
      <c r="I9" s="20" t="s">
        <v>1015</v>
      </c>
      <c r="J9" s="18" t="s">
        <v>97</v>
      </c>
      <c r="K9" s="18" t="s">
        <v>98</v>
      </c>
      <c r="L9" s="18" t="s">
        <v>379</v>
      </c>
      <c r="M9" s="20" t="s">
        <v>770</v>
      </c>
      <c r="N9" s="20" t="s">
        <v>155</v>
      </c>
      <c r="O9" s="18" t="s">
        <v>102</v>
      </c>
      <c r="P9" s="154">
        <v>1706</v>
      </c>
      <c r="Q9" s="173">
        <v>3.71</v>
      </c>
      <c r="R9" s="174">
        <v>11497</v>
      </c>
      <c r="S9" s="131"/>
      <c r="T9" s="153">
        <v>727.67499999999995</v>
      </c>
      <c r="U9" s="172">
        <v>8.7999999999999998E-5</v>
      </c>
      <c r="V9" s="172">
        <v>8.6510507119705801E-3</v>
      </c>
      <c r="W9" s="172">
        <v>1.7664945276650299E-3</v>
      </c>
    </row>
    <row r="10" spans="1:23">
      <c r="A10" s="20">
        <v>1182</v>
      </c>
      <c r="B10" s="20">
        <v>1182</v>
      </c>
      <c r="C10" s="20" t="s">
        <v>1599</v>
      </c>
      <c r="D10" s="20" t="s">
        <v>1600</v>
      </c>
      <c r="E10" s="18" t="s">
        <v>350</v>
      </c>
      <c r="F10" s="20" t="s">
        <v>1601</v>
      </c>
      <c r="G10" s="20" t="s">
        <v>1602</v>
      </c>
      <c r="H10" s="18" t="s">
        <v>356</v>
      </c>
      <c r="I10" s="20" t="s">
        <v>1015</v>
      </c>
      <c r="J10" s="18" t="s">
        <v>97</v>
      </c>
      <c r="K10" s="18" t="s">
        <v>319</v>
      </c>
      <c r="L10" s="18" t="s">
        <v>381</v>
      </c>
      <c r="M10" s="20" t="s">
        <v>770</v>
      </c>
      <c r="N10" s="20" t="s">
        <v>155</v>
      </c>
      <c r="O10" s="18" t="s">
        <v>102</v>
      </c>
      <c r="P10" s="154">
        <v>3184</v>
      </c>
      <c r="Q10" s="173">
        <v>3.71</v>
      </c>
      <c r="R10" s="174">
        <v>13492.9</v>
      </c>
      <c r="S10" s="131"/>
      <c r="T10" s="153">
        <v>1593.8679999999999</v>
      </c>
      <c r="U10" s="172">
        <v>0</v>
      </c>
      <c r="V10" s="172">
        <v>1.8948885013712599E-2</v>
      </c>
      <c r="W10" s="172">
        <v>3.8692527412606801E-3</v>
      </c>
    </row>
    <row r="11" spans="1:23">
      <c r="A11" s="20">
        <v>1182</v>
      </c>
      <c r="B11" s="20">
        <v>1182</v>
      </c>
      <c r="C11" s="20" t="s">
        <v>1603</v>
      </c>
      <c r="D11" s="20" t="s">
        <v>1604</v>
      </c>
      <c r="E11" s="18" t="s">
        <v>350</v>
      </c>
      <c r="F11" s="20" t="s">
        <v>1605</v>
      </c>
      <c r="G11" s="20" t="s">
        <v>1606</v>
      </c>
      <c r="H11" s="18" t="s">
        <v>356</v>
      </c>
      <c r="I11" s="20" t="s">
        <v>1015</v>
      </c>
      <c r="J11" s="18" t="s">
        <v>97</v>
      </c>
      <c r="K11" s="18" t="s">
        <v>1607</v>
      </c>
      <c r="L11" s="18" t="s">
        <v>194</v>
      </c>
      <c r="M11" s="20" t="s">
        <v>770</v>
      </c>
      <c r="N11" s="20" t="s">
        <v>155</v>
      </c>
      <c r="O11" s="18" t="s">
        <v>102</v>
      </c>
      <c r="P11" s="154">
        <v>5610</v>
      </c>
      <c r="Q11" s="173">
        <v>3.71</v>
      </c>
      <c r="R11" s="174">
        <v>7671.1</v>
      </c>
      <c r="S11" s="131"/>
      <c r="T11" s="153">
        <v>1596.5940000000001</v>
      </c>
      <c r="U11" s="172">
        <v>0</v>
      </c>
      <c r="V11" s="172">
        <v>1.8981293524867299E-2</v>
      </c>
      <c r="W11" s="172">
        <v>3.8758703718249402E-3</v>
      </c>
    </row>
    <row r="12" spans="1:23">
      <c r="A12" s="20">
        <v>1182</v>
      </c>
      <c r="B12" s="20">
        <v>1182</v>
      </c>
      <c r="C12" s="20" t="s">
        <v>1603</v>
      </c>
      <c r="D12" s="20" t="s">
        <v>1604</v>
      </c>
      <c r="E12" s="18" t="s">
        <v>350</v>
      </c>
      <c r="F12" s="20" t="s">
        <v>1608</v>
      </c>
      <c r="G12" s="20" t="s">
        <v>1609</v>
      </c>
      <c r="H12" s="18" t="s">
        <v>356</v>
      </c>
      <c r="I12" s="20" t="s">
        <v>1015</v>
      </c>
      <c r="J12" s="18" t="s">
        <v>97</v>
      </c>
      <c r="K12" s="18" t="s">
        <v>319</v>
      </c>
      <c r="L12" s="18" t="s">
        <v>399</v>
      </c>
      <c r="M12" s="20" t="s">
        <v>770</v>
      </c>
      <c r="N12" s="20" t="s">
        <v>155</v>
      </c>
      <c r="O12" s="18" t="s">
        <v>1209</v>
      </c>
      <c r="P12" s="154">
        <v>5458</v>
      </c>
      <c r="Q12" s="173">
        <v>4.1524000000000001</v>
      </c>
      <c r="R12" s="174">
        <v>11358</v>
      </c>
      <c r="S12" s="131"/>
      <c r="T12" s="153">
        <v>2574.154</v>
      </c>
      <c r="U12" s="172">
        <v>1.0859999999999999E-3</v>
      </c>
      <c r="V12" s="172">
        <v>3.0603138521988101E-2</v>
      </c>
      <c r="W12" s="172">
        <v>6.2489839128630799E-3</v>
      </c>
    </row>
    <row r="13" spans="1:23">
      <c r="A13" s="20">
        <v>1182</v>
      </c>
      <c r="B13" s="20">
        <v>1182</v>
      </c>
      <c r="C13" s="20" t="s">
        <v>1610</v>
      </c>
      <c r="D13" s="20" t="s">
        <v>1611</v>
      </c>
      <c r="E13" s="18" t="s">
        <v>350</v>
      </c>
      <c r="F13" s="20" t="s">
        <v>1612</v>
      </c>
      <c r="G13" s="20" t="s">
        <v>1613</v>
      </c>
      <c r="H13" s="18" t="s">
        <v>356</v>
      </c>
      <c r="I13" s="20" t="s">
        <v>1015</v>
      </c>
      <c r="J13" s="18" t="s">
        <v>97</v>
      </c>
      <c r="K13" s="18" t="s">
        <v>98</v>
      </c>
      <c r="L13" s="18" t="s">
        <v>1528</v>
      </c>
      <c r="M13" s="20" t="s">
        <v>770</v>
      </c>
      <c r="N13" s="20" t="s">
        <v>155</v>
      </c>
      <c r="O13" s="18" t="s">
        <v>1209</v>
      </c>
      <c r="P13" s="154">
        <v>1956</v>
      </c>
      <c r="Q13" s="173">
        <v>4.1524000000000001</v>
      </c>
      <c r="R13" s="174">
        <v>7237.3</v>
      </c>
      <c r="S13" s="131"/>
      <c r="T13" s="153">
        <v>587.82000000000005</v>
      </c>
      <c r="U13" s="172">
        <v>0</v>
      </c>
      <c r="V13" s="172">
        <v>6.9883717298529196E-3</v>
      </c>
      <c r="W13" s="172">
        <v>1.4269850945379801E-3</v>
      </c>
    </row>
    <row r="14" spans="1:23">
      <c r="A14" s="20">
        <v>1182</v>
      </c>
      <c r="B14" s="20">
        <v>1182</v>
      </c>
      <c r="C14" s="20" t="s">
        <v>1593</v>
      </c>
      <c r="D14" s="20" t="s">
        <v>1594</v>
      </c>
      <c r="E14" s="18" t="s">
        <v>350</v>
      </c>
      <c r="F14" s="20" t="s">
        <v>1614</v>
      </c>
      <c r="G14" s="20" t="s">
        <v>1615</v>
      </c>
      <c r="H14" s="18" t="s">
        <v>356</v>
      </c>
      <c r="I14" s="20" t="s">
        <v>1015</v>
      </c>
      <c r="J14" s="18" t="s">
        <v>97</v>
      </c>
      <c r="K14" s="18" t="s">
        <v>98</v>
      </c>
      <c r="L14" s="18" t="s">
        <v>379</v>
      </c>
      <c r="M14" s="20" t="s">
        <v>770</v>
      </c>
      <c r="N14" s="20" t="s">
        <v>155</v>
      </c>
      <c r="O14" s="18" t="s">
        <v>102</v>
      </c>
      <c r="P14" s="154">
        <v>4336</v>
      </c>
      <c r="Q14" s="173">
        <v>3.71</v>
      </c>
      <c r="R14" s="174">
        <v>9040</v>
      </c>
      <c r="S14" s="131"/>
      <c r="T14" s="153">
        <v>1454.2249999999999</v>
      </c>
      <c r="U14" s="172">
        <v>2.5000000000000001E-5</v>
      </c>
      <c r="V14" s="172">
        <v>1.7288726485630099E-2</v>
      </c>
      <c r="W14" s="172">
        <v>3.5302579702722E-3</v>
      </c>
    </row>
    <row r="15" spans="1:23">
      <c r="A15" s="20">
        <v>1182</v>
      </c>
      <c r="B15" s="20">
        <v>1182</v>
      </c>
      <c r="C15" s="20" t="s">
        <v>1593</v>
      </c>
      <c r="D15" s="20" t="s">
        <v>1594</v>
      </c>
      <c r="E15" s="18" t="s">
        <v>350</v>
      </c>
      <c r="F15" s="20" t="s">
        <v>1616</v>
      </c>
      <c r="G15" s="20" t="s">
        <v>1617</v>
      </c>
      <c r="H15" s="18" t="s">
        <v>356</v>
      </c>
      <c r="I15" s="20" t="s">
        <v>1015</v>
      </c>
      <c r="J15" s="18" t="s">
        <v>97</v>
      </c>
      <c r="K15" s="18" t="s">
        <v>98</v>
      </c>
      <c r="L15" s="18" t="s">
        <v>379</v>
      </c>
      <c r="M15" s="20" t="s">
        <v>770</v>
      </c>
      <c r="N15" s="20" t="s">
        <v>155</v>
      </c>
      <c r="O15" s="18" t="s">
        <v>102</v>
      </c>
      <c r="P15" s="154">
        <v>4164</v>
      </c>
      <c r="Q15" s="173">
        <v>3.71</v>
      </c>
      <c r="R15" s="174">
        <v>20037</v>
      </c>
      <c r="S15" s="131"/>
      <c r="T15" s="153">
        <v>3095.404</v>
      </c>
      <c r="U15" s="172">
        <v>4.3000000000000002E-5</v>
      </c>
      <c r="V15" s="172">
        <v>3.6800076260987101E-2</v>
      </c>
      <c r="W15" s="172">
        <v>7.5143627632119001E-3</v>
      </c>
    </row>
    <row r="16" spans="1:23">
      <c r="A16" s="20">
        <v>1182</v>
      </c>
      <c r="B16" s="20">
        <v>1182</v>
      </c>
      <c r="C16" s="20" t="s">
        <v>1593</v>
      </c>
      <c r="D16" s="20" t="s">
        <v>1594</v>
      </c>
      <c r="E16" s="18" t="s">
        <v>350</v>
      </c>
      <c r="F16" s="20" t="s">
        <v>1618</v>
      </c>
      <c r="G16" s="20" t="s">
        <v>1619</v>
      </c>
      <c r="H16" s="18" t="s">
        <v>356</v>
      </c>
      <c r="I16" s="20" t="s">
        <v>1015</v>
      </c>
      <c r="J16" s="18" t="s">
        <v>97</v>
      </c>
      <c r="K16" s="18" t="s">
        <v>98</v>
      </c>
      <c r="L16" s="18" t="s">
        <v>379</v>
      </c>
      <c r="M16" s="20" t="s">
        <v>770</v>
      </c>
      <c r="N16" s="20" t="s">
        <v>155</v>
      </c>
      <c r="O16" s="18" t="s">
        <v>102</v>
      </c>
      <c r="P16" s="154">
        <v>27624</v>
      </c>
      <c r="Q16" s="173">
        <v>3.71</v>
      </c>
      <c r="R16" s="174">
        <v>4532</v>
      </c>
      <c r="S16" s="131"/>
      <c r="T16" s="153">
        <v>4644.6220000000003</v>
      </c>
      <c r="U16" s="172">
        <v>3.1000000000000001E-5</v>
      </c>
      <c r="V16" s="172">
        <v>5.5218139065963498E-2</v>
      </c>
      <c r="W16" s="172">
        <v>1.1275224679113301E-2</v>
      </c>
    </row>
    <row r="17" spans="1:23">
      <c r="A17" s="20">
        <v>1182</v>
      </c>
      <c r="B17" s="20">
        <v>1182</v>
      </c>
      <c r="C17" s="20" t="s">
        <v>1620</v>
      </c>
      <c r="D17" s="20" t="s">
        <v>1621</v>
      </c>
      <c r="E17" s="18" t="s">
        <v>350</v>
      </c>
      <c r="F17" s="20" t="s">
        <v>1622</v>
      </c>
      <c r="G17" s="20" t="s">
        <v>1623</v>
      </c>
      <c r="H17" s="18" t="s">
        <v>356</v>
      </c>
      <c r="I17" s="20" t="s">
        <v>1015</v>
      </c>
      <c r="J17" s="18" t="s">
        <v>97</v>
      </c>
      <c r="K17" s="18" t="s">
        <v>98</v>
      </c>
      <c r="L17" s="18" t="s">
        <v>381</v>
      </c>
      <c r="M17" s="20" t="s">
        <v>770</v>
      </c>
      <c r="N17" s="20" t="s">
        <v>155</v>
      </c>
      <c r="O17" s="18" t="s">
        <v>102</v>
      </c>
      <c r="P17" s="154">
        <v>1019</v>
      </c>
      <c r="Q17" s="173">
        <v>3.71</v>
      </c>
      <c r="R17" s="174">
        <v>19131</v>
      </c>
      <c r="S17" s="131"/>
      <c r="T17" s="153">
        <v>723.24599999999998</v>
      </c>
      <c r="U17" s="172">
        <v>7.3999999999999996E-5</v>
      </c>
      <c r="V17" s="172">
        <v>8.59839031064593E-3</v>
      </c>
      <c r="W17" s="172">
        <v>1.7557415782416799E-3</v>
      </c>
    </row>
    <row r="18" spans="1:23">
      <c r="A18" s="20">
        <v>1182</v>
      </c>
      <c r="B18" s="20">
        <v>1182</v>
      </c>
      <c r="C18" s="20" t="s">
        <v>1620</v>
      </c>
      <c r="D18" s="20" t="s">
        <v>1621</v>
      </c>
      <c r="E18" s="18" t="s">
        <v>350</v>
      </c>
      <c r="F18" s="20" t="s">
        <v>1624</v>
      </c>
      <c r="G18" s="20" t="s">
        <v>1625</v>
      </c>
      <c r="H18" s="18" t="s">
        <v>356</v>
      </c>
      <c r="I18" s="20" t="s">
        <v>1015</v>
      </c>
      <c r="J18" s="18" t="s">
        <v>97</v>
      </c>
      <c r="K18" s="18" t="s">
        <v>334</v>
      </c>
      <c r="L18" s="18" t="s">
        <v>381</v>
      </c>
      <c r="M18" s="20" t="s">
        <v>770</v>
      </c>
      <c r="N18" s="20" t="s">
        <v>155</v>
      </c>
      <c r="O18" s="18" t="s">
        <v>102</v>
      </c>
      <c r="P18" s="154">
        <v>1866</v>
      </c>
      <c r="Q18" s="173">
        <v>3.71</v>
      </c>
      <c r="R18" s="174">
        <v>12725</v>
      </c>
      <c r="S18" s="131"/>
      <c r="T18" s="153">
        <v>880.93399999999997</v>
      </c>
      <c r="U18" s="172">
        <v>2.61E-4</v>
      </c>
      <c r="V18" s="172">
        <v>1.0473087453984601E-2</v>
      </c>
      <c r="W18" s="172">
        <v>2.1385438938210698E-3</v>
      </c>
    </row>
    <row r="19" spans="1:23">
      <c r="A19" s="20">
        <v>1182</v>
      </c>
      <c r="B19" s="20">
        <v>1182</v>
      </c>
      <c r="C19" s="20" t="s">
        <v>1626</v>
      </c>
      <c r="D19" s="20" t="s">
        <v>1627</v>
      </c>
      <c r="E19" s="18" t="s">
        <v>350</v>
      </c>
      <c r="F19" s="20" t="s">
        <v>1628</v>
      </c>
      <c r="G19" s="20" t="s">
        <v>1629</v>
      </c>
      <c r="H19" s="18" t="s">
        <v>356</v>
      </c>
      <c r="I19" s="20" t="s">
        <v>1015</v>
      </c>
      <c r="J19" s="18" t="s">
        <v>97</v>
      </c>
      <c r="K19" s="18" t="s">
        <v>327</v>
      </c>
      <c r="L19" s="18" t="s">
        <v>379</v>
      </c>
      <c r="M19" s="20" t="s">
        <v>770</v>
      </c>
      <c r="N19" s="20" t="s">
        <v>155</v>
      </c>
      <c r="O19" s="18" t="s">
        <v>102</v>
      </c>
      <c r="P19" s="154">
        <v>5418</v>
      </c>
      <c r="Q19" s="173">
        <v>3.71</v>
      </c>
      <c r="R19" s="174">
        <v>4116</v>
      </c>
      <c r="S19" s="131"/>
      <c r="T19" s="153">
        <v>827.34799999999996</v>
      </c>
      <c r="U19" s="172">
        <v>3.6000000000000001E-5</v>
      </c>
      <c r="V19" s="172">
        <v>9.8360259631260806E-3</v>
      </c>
      <c r="W19" s="172">
        <v>2.0084596214181199E-3</v>
      </c>
    </row>
    <row r="20" spans="1:23">
      <c r="A20" s="2">
        <v>1182</v>
      </c>
      <c r="B20" s="2">
        <v>1182</v>
      </c>
      <c r="C20" s="2" t="s">
        <v>1593</v>
      </c>
      <c r="D20" s="2" t="s">
        <v>1594</v>
      </c>
      <c r="E20" s="18" t="s">
        <v>350</v>
      </c>
      <c r="F20" s="2" t="s">
        <v>1630</v>
      </c>
      <c r="G20" s="2" t="s">
        <v>1631</v>
      </c>
      <c r="H20" s="18" t="s">
        <v>356</v>
      </c>
      <c r="I20" s="20" t="s">
        <v>1015</v>
      </c>
      <c r="J20" s="18" t="s">
        <v>97</v>
      </c>
      <c r="K20" s="18" t="s">
        <v>98</v>
      </c>
      <c r="L20" s="18" t="s">
        <v>379</v>
      </c>
      <c r="M20" s="20" t="s">
        <v>770</v>
      </c>
      <c r="N20" s="20" t="s">
        <v>155</v>
      </c>
      <c r="O20" s="2" t="s">
        <v>102</v>
      </c>
      <c r="P20" s="154">
        <v>7792</v>
      </c>
      <c r="Q20" s="158">
        <v>3.71</v>
      </c>
      <c r="R20" s="175">
        <v>15402</v>
      </c>
      <c r="T20" s="151">
        <v>4452.4589999999998</v>
      </c>
      <c r="U20" s="164">
        <v>2.5999999999999998E-5</v>
      </c>
      <c r="V20" s="164">
        <v>5.2933591629055698E-2</v>
      </c>
      <c r="W20" s="164">
        <v>1.0808733303689399E-2</v>
      </c>
    </row>
    <row r="21" spans="1:23">
      <c r="A21" s="2">
        <v>1182</v>
      </c>
      <c r="B21" s="2">
        <v>1182</v>
      </c>
      <c r="C21" s="2" t="s">
        <v>1632</v>
      </c>
      <c r="D21" s="2" t="s">
        <v>1633</v>
      </c>
      <c r="E21" s="4" t="s">
        <v>350</v>
      </c>
      <c r="F21" s="2" t="s">
        <v>1634</v>
      </c>
      <c r="G21" s="2" t="s">
        <v>1635</v>
      </c>
      <c r="H21" s="4" t="s">
        <v>356</v>
      </c>
      <c r="I21" s="2" t="s">
        <v>1015</v>
      </c>
      <c r="J21" s="2" t="s">
        <v>97</v>
      </c>
      <c r="K21" s="2" t="s">
        <v>320</v>
      </c>
      <c r="L21" s="4" t="s">
        <v>1636</v>
      </c>
      <c r="M21" s="2" t="s">
        <v>770</v>
      </c>
      <c r="N21" s="2" t="s">
        <v>155</v>
      </c>
      <c r="O21" s="2" t="s">
        <v>1208</v>
      </c>
      <c r="P21" s="152">
        <v>5000</v>
      </c>
      <c r="Q21" s="158">
        <v>2.7435</v>
      </c>
      <c r="R21" s="175">
        <v>6219</v>
      </c>
      <c r="T21" s="151">
        <v>853.09100000000001</v>
      </c>
      <c r="U21" s="164">
        <v>6.7000000000000002E-5</v>
      </c>
      <c r="V21" s="164">
        <v>1.0142077286375201E-2</v>
      </c>
      <c r="W21" s="164">
        <v>2.0709535317770199E-3</v>
      </c>
    </row>
    <row r="22" spans="1:23">
      <c r="A22" s="2">
        <v>1182</v>
      </c>
      <c r="B22" s="2">
        <v>1182</v>
      </c>
      <c r="C22" s="2" t="s">
        <v>1637</v>
      </c>
      <c r="D22" s="2" t="s">
        <v>1638</v>
      </c>
      <c r="E22" s="4" t="s">
        <v>350</v>
      </c>
      <c r="F22" s="2" t="s">
        <v>1639</v>
      </c>
      <c r="G22" s="2" t="s">
        <v>1640</v>
      </c>
      <c r="H22" s="2" t="s">
        <v>356</v>
      </c>
      <c r="I22" s="2" t="s">
        <v>1017</v>
      </c>
      <c r="J22" s="2" t="s">
        <v>97</v>
      </c>
      <c r="K22" s="2" t="s">
        <v>1607</v>
      </c>
      <c r="L22" s="4" t="s">
        <v>415</v>
      </c>
      <c r="M22" s="2" t="s">
        <v>767</v>
      </c>
      <c r="N22" s="2" t="s">
        <v>155</v>
      </c>
      <c r="O22" s="2" t="s">
        <v>102</v>
      </c>
      <c r="P22" s="152">
        <v>10452</v>
      </c>
      <c r="Q22" s="158">
        <v>3.71</v>
      </c>
      <c r="R22" s="175">
        <v>4584</v>
      </c>
      <c r="T22" s="151">
        <v>1777.5340000000001</v>
      </c>
      <c r="U22" s="164">
        <v>0</v>
      </c>
      <c r="V22" s="164">
        <v>2.1132423702677101E-2</v>
      </c>
      <c r="W22" s="164">
        <v>4.3151187144728504E-3</v>
      </c>
    </row>
    <row r="23" spans="1:23">
      <c r="A23" s="2">
        <v>1182</v>
      </c>
      <c r="B23" s="2">
        <v>1182</v>
      </c>
      <c r="C23" s="2" t="s">
        <v>1593</v>
      </c>
      <c r="D23" s="2" t="s">
        <v>1594</v>
      </c>
      <c r="E23" s="4" t="s">
        <v>350</v>
      </c>
      <c r="F23" s="2" t="s">
        <v>1641</v>
      </c>
      <c r="G23" s="2" t="s">
        <v>1642</v>
      </c>
      <c r="H23" s="2" t="s">
        <v>356</v>
      </c>
      <c r="I23" s="2" t="s">
        <v>1015</v>
      </c>
      <c r="J23" s="2" t="s">
        <v>97</v>
      </c>
      <c r="K23" s="2" t="s">
        <v>98</v>
      </c>
      <c r="L23" s="2" t="s">
        <v>379</v>
      </c>
      <c r="M23" s="2" t="s">
        <v>770</v>
      </c>
      <c r="N23" s="2" t="s">
        <v>155</v>
      </c>
      <c r="O23" s="2" t="s">
        <v>102</v>
      </c>
      <c r="P23" s="152">
        <v>4823</v>
      </c>
      <c r="Q23" s="158">
        <v>3.71</v>
      </c>
      <c r="R23" s="175">
        <v>13544</v>
      </c>
      <c r="T23" s="151">
        <v>2423.473</v>
      </c>
      <c r="U23" s="164">
        <v>3.4999999999999997E-5</v>
      </c>
      <c r="V23" s="164">
        <v>2.8811741304217601E-2</v>
      </c>
      <c r="W23" s="164">
        <v>5.8831909603738203E-3</v>
      </c>
    </row>
    <row r="24" spans="1:23">
      <c r="A24" s="2">
        <v>1182</v>
      </c>
      <c r="B24" s="2">
        <v>1182</v>
      </c>
      <c r="C24" s="2" t="s">
        <v>1534</v>
      </c>
      <c r="D24" s="2" t="s">
        <v>1535</v>
      </c>
      <c r="E24" s="4" t="s">
        <v>350</v>
      </c>
      <c r="F24" s="2" t="s">
        <v>1643</v>
      </c>
      <c r="G24" s="2" t="s">
        <v>1644</v>
      </c>
      <c r="H24" s="2" t="s">
        <v>356</v>
      </c>
      <c r="I24" s="2" t="s">
        <v>1017</v>
      </c>
      <c r="J24" s="2" t="s">
        <v>97</v>
      </c>
      <c r="K24" s="2" t="s">
        <v>98</v>
      </c>
      <c r="L24" s="2" t="s">
        <v>415</v>
      </c>
      <c r="M24" s="2" t="s">
        <v>767</v>
      </c>
      <c r="N24" s="2" t="s">
        <v>155</v>
      </c>
      <c r="O24" s="2" t="s">
        <v>102</v>
      </c>
      <c r="P24" s="152">
        <v>69735</v>
      </c>
      <c r="Q24" s="158">
        <v>3.71</v>
      </c>
      <c r="R24" s="175">
        <v>2890.75</v>
      </c>
      <c r="T24" s="151">
        <v>7478.857</v>
      </c>
      <c r="U24" s="164">
        <v>0</v>
      </c>
      <c r="V24" s="164">
        <v>8.8913281552827503E-2</v>
      </c>
      <c r="W24" s="164">
        <v>1.81555779210122E-2</v>
      </c>
    </row>
    <row r="25" spans="1:23">
      <c r="A25" s="2">
        <v>1182</v>
      </c>
      <c r="B25" s="2">
        <v>1182</v>
      </c>
      <c r="C25" s="2" t="s">
        <v>1637</v>
      </c>
      <c r="D25" s="2" t="s">
        <v>1638</v>
      </c>
      <c r="E25" s="4" t="s">
        <v>350</v>
      </c>
      <c r="F25" s="2" t="s">
        <v>1645</v>
      </c>
      <c r="G25" s="2" t="s">
        <v>1646</v>
      </c>
      <c r="H25" s="2" t="s">
        <v>356</v>
      </c>
      <c r="I25" s="2" t="s">
        <v>1015</v>
      </c>
      <c r="J25" s="2" t="s">
        <v>97</v>
      </c>
      <c r="K25" s="2" t="s">
        <v>271</v>
      </c>
      <c r="L25" s="2" t="s">
        <v>415</v>
      </c>
      <c r="M25" s="2" t="s">
        <v>770</v>
      </c>
      <c r="N25" s="2" t="s">
        <v>155</v>
      </c>
      <c r="O25" s="2" t="s">
        <v>1211</v>
      </c>
      <c r="P25" s="152">
        <v>117642</v>
      </c>
      <c r="Q25" s="158">
        <v>4.9748000000000001</v>
      </c>
      <c r="R25" s="175">
        <v>799.3</v>
      </c>
      <c r="T25" s="151">
        <v>4677.8670000000002</v>
      </c>
      <c r="U25" s="164">
        <v>1.9000000000000001E-4</v>
      </c>
      <c r="V25" s="164">
        <v>5.56133719315852E-2</v>
      </c>
      <c r="W25" s="164">
        <v>1.1355928944701299E-2</v>
      </c>
    </row>
    <row r="26" spans="1:23">
      <c r="A26" s="2">
        <v>1182</v>
      </c>
      <c r="B26" s="2">
        <v>1182</v>
      </c>
      <c r="C26" s="2" t="s">
        <v>1637</v>
      </c>
      <c r="D26" s="2" t="s">
        <v>1638</v>
      </c>
      <c r="E26" s="4" t="s">
        <v>350</v>
      </c>
      <c r="F26" s="2" t="s">
        <v>1647</v>
      </c>
      <c r="G26" s="11" t="s">
        <v>1648</v>
      </c>
      <c r="H26" s="2" t="s">
        <v>356</v>
      </c>
      <c r="I26" s="2" t="s">
        <v>1015</v>
      </c>
      <c r="J26" s="2" t="s">
        <v>97</v>
      </c>
      <c r="K26" s="2" t="s">
        <v>306</v>
      </c>
      <c r="L26" s="2" t="s">
        <v>379</v>
      </c>
      <c r="M26" s="2" t="s">
        <v>770</v>
      </c>
      <c r="N26" s="2" t="s">
        <v>155</v>
      </c>
      <c r="O26" s="2" t="s">
        <v>102</v>
      </c>
      <c r="P26" s="152">
        <v>8638</v>
      </c>
      <c r="Q26" s="158">
        <v>3.71</v>
      </c>
      <c r="R26" s="175">
        <v>3178</v>
      </c>
      <c r="T26" s="151">
        <v>1018.453</v>
      </c>
      <c r="U26" s="164">
        <v>5.1E-5</v>
      </c>
      <c r="V26" s="164">
        <v>1.2107999440748401E-2</v>
      </c>
      <c r="W26" s="164">
        <v>2.47238346706921E-3</v>
      </c>
    </row>
    <row r="27" spans="1:23">
      <c r="A27" s="2">
        <v>1182</v>
      </c>
      <c r="B27" s="2">
        <v>1182</v>
      </c>
      <c r="C27" s="2" t="s">
        <v>1637</v>
      </c>
      <c r="D27" s="2" t="s">
        <v>1638</v>
      </c>
      <c r="E27" s="4" t="s">
        <v>350</v>
      </c>
      <c r="F27" s="2" t="s">
        <v>1649</v>
      </c>
      <c r="G27" s="2" t="s">
        <v>1650</v>
      </c>
      <c r="H27" s="2" t="s">
        <v>356</v>
      </c>
      <c r="I27" s="2" t="s">
        <v>1017</v>
      </c>
      <c r="J27" s="2" t="s">
        <v>97</v>
      </c>
      <c r="K27" s="2" t="s">
        <v>259</v>
      </c>
      <c r="L27" s="2" t="s">
        <v>415</v>
      </c>
      <c r="M27" s="2" t="s">
        <v>767</v>
      </c>
      <c r="N27" s="2" t="s">
        <v>155</v>
      </c>
      <c r="O27" s="2" t="s">
        <v>102</v>
      </c>
      <c r="P27" s="152">
        <v>83057</v>
      </c>
      <c r="Q27" s="158">
        <v>3.71</v>
      </c>
      <c r="R27" s="175">
        <v>624.54999999999995</v>
      </c>
      <c r="T27" s="151">
        <v>1924.498</v>
      </c>
      <c r="U27" s="164">
        <v>0</v>
      </c>
      <c r="V27" s="164">
        <v>2.2879617136553801E-2</v>
      </c>
      <c r="W27" s="164">
        <v>4.6718855099148002E-3</v>
      </c>
    </row>
    <row r="28" spans="1:23">
      <c r="A28" s="2">
        <v>1182</v>
      </c>
      <c r="B28" s="2">
        <v>1182</v>
      </c>
      <c r="C28" s="2" t="s">
        <v>1637</v>
      </c>
      <c r="D28" s="2" t="s">
        <v>1638</v>
      </c>
      <c r="E28" s="4" t="s">
        <v>350</v>
      </c>
      <c r="F28" s="2" t="s">
        <v>1651</v>
      </c>
      <c r="G28" s="2" t="s">
        <v>1652</v>
      </c>
      <c r="H28" s="2" t="s">
        <v>356</v>
      </c>
      <c r="I28" s="2" t="s">
        <v>1015</v>
      </c>
      <c r="J28" s="2" t="s">
        <v>97</v>
      </c>
      <c r="K28" s="2" t="s">
        <v>98</v>
      </c>
      <c r="L28" s="2" t="s">
        <v>381</v>
      </c>
      <c r="M28" s="2" t="s">
        <v>770</v>
      </c>
      <c r="N28" s="2" t="s">
        <v>155</v>
      </c>
      <c r="O28" s="2" t="s">
        <v>102</v>
      </c>
      <c r="P28" s="152">
        <v>1887</v>
      </c>
      <c r="Q28" s="158">
        <v>3.71</v>
      </c>
      <c r="R28" s="175">
        <v>6111</v>
      </c>
      <c r="T28" s="151">
        <v>427.81700000000001</v>
      </c>
      <c r="U28" s="164">
        <v>0</v>
      </c>
      <c r="V28" s="164">
        <v>5.0861537399841698E-3</v>
      </c>
      <c r="W28" s="164">
        <v>1.03856318124605E-3</v>
      </c>
    </row>
    <row r="29" spans="1:23">
      <c r="A29" s="2">
        <v>1182</v>
      </c>
      <c r="B29" s="2">
        <v>1182</v>
      </c>
      <c r="C29" s="2" t="s">
        <v>1637</v>
      </c>
      <c r="D29" s="2" t="s">
        <v>1638</v>
      </c>
      <c r="E29" s="4" t="s">
        <v>350</v>
      </c>
      <c r="F29" s="2" t="s">
        <v>1653</v>
      </c>
      <c r="G29" s="2" t="s">
        <v>1654</v>
      </c>
      <c r="H29" s="2" t="s">
        <v>356</v>
      </c>
      <c r="I29" s="2" t="s">
        <v>1015</v>
      </c>
      <c r="J29" s="2" t="s">
        <v>97</v>
      </c>
      <c r="K29" s="2" t="s">
        <v>98</v>
      </c>
      <c r="L29" s="2" t="s">
        <v>379</v>
      </c>
      <c r="M29" s="2" t="s">
        <v>770</v>
      </c>
      <c r="N29" s="2" t="s">
        <v>155</v>
      </c>
      <c r="O29" s="2" t="s">
        <v>102</v>
      </c>
      <c r="P29" s="152">
        <v>3711</v>
      </c>
      <c r="Q29" s="158">
        <v>3.71</v>
      </c>
      <c r="R29" s="175">
        <v>12856</v>
      </c>
      <c r="T29" s="151">
        <v>1769.99</v>
      </c>
      <c r="U29" s="164">
        <v>8.0699999999999999E-4</v>
      </c>
      <c r="V29" s="164">
        <v>2.1042731694517699E-2</v>
      </c>
      <c r="W29" s="164">
        <v>4.2968041250820398E-3</v>
      </c>
    </row>
    <row r="30" spans="1:23">
      <c r="A30" s="2">
        <v>1182</v>
      </c>
      <c r="B30" s="2">
        <v>1182</v>
      </c>
      <c r="C30" s="2" t="s">
        <v>1637</v>
      </c>
      <c r="D30" s="2" t="s">
        <v>1638</v>
      </c>
      <c r="E30" s="4" t="s">
        <v>350</v>
      </c>
      <c r="F30" s="2" t="s">
        <v>1655</v>
      </c>
      <c r="G30" s="2" t="s">
        <v>1656</v>
      </c>
      <c r="H30" s="2" t="s">
        <v>356</v>
      </c>
      <c r="I30" s="2" t="s">
        <v>1017</v>
      </c>
      <c r="J30" s="2" t="s">
        <v>97</v>
      </c>
      <c r="K30" s="2" t="s">
        <v>98</v>
      </c>
      <c r="L30" s="2" t="s">
        <v>415</v>
      </c>
      <c r="M30" s="2" t="s">
        <v>767</v>
      </c>
      <c r="N30" s="2" t="s">
        <v>155</v>
      </c>
      <c r="O30" s="2" t="s">
        <v>102</v>
      </c>
      <c r="P30" s="152">
        <v>222090</v>
      </c>
      <c r="Q30" s="158">
        <v>3.71</v>
      </c>
      <c r="R30" s="175">
        <v>595.6</v>
      </c>
      <c r="T30" s="151">
        <v>4907.4690000000001</v>
      </c>
      <c r="U30" s="164">
        <v>0</v>
      </c>
      <c r="V30" s="164">
        <v>5.8343031706899903E-2</v>
      </c>
      <c r="W30" s="164">
        <v>1.19133096856104E-2</v>
      </c>
    </row>
    <row r="31" spans="1:23">
      <c r="A31" s="2">
        <v>1182</v>
      </c>
      <c r="B31" s="2">
        <v>1182</v>
      </c>
      <c r="C31" s="2" t="s">
        <v>1657</v>
      </c>
      <c r="D31" s="2" t="s">
        <v>1604</v>
      </c>
      <c r="E31" s="4" t="s">
        <v>350</v>
      </c>
      <c r="F31" s="2" t="s">
        <v>1658</v>
      </c>
      <c r="G31" s="2" t="s">
        <v>1659</v>
      </c>
      <c r="H31" s="2" t="s">
        <v>356</v>
      </c>
      <c r="I31" s="2" t="s">
        <v>1015</v>
      </c>
      <c r="J31" s="2" t="s">
        <v>97</v>
      </c>
      <c r="K31" s="2" t="s">
        <v>331</v>
      </c>
      <c r="L31" s="2" t="s">
        <v>399</v>
      </c>
      <c r="M31" s="2" t="s">
        <v>770</v>
      </c>
      <c r="N31" s="2" t="s">
        <v>155</v>
      </c>
      <c r="O31" s="2" t="s">
        <v>1209</v>
      </c>
      <c r="P31" s="152">
        <v>1297</v>
      </c>
      <c r="Q31" s="158">
        <v>4.1524000000000001</v>
      </c>
      <c r="R31" s="175">
        <v>24366</v>
      </c>
      <c r="T31" s="151">
        <v>1312.271</v>
      </c>
      <c r="U31" s="164">
        <v>5.8E-5</v>
      </c>
      <c r="V31" s="164">
        <v>1.5601084472418199E-2</v>
      </c>
      <c r="W31" s="164">
        <v>3.1856512305531398E-3</v>
      </c>
    </row>
    <row r="32" spans="1:23">
      <c r="A32" s="2">
        <v>1182</v>
      </c>
      <c r="B32" s="2">
        <v>1182</v>
      </c>
      <c r="C32" s="2" t="s">
        <v>1657</v>
      </c>
      <c r="D32" s="2" t="s">
        <v>1604</v>
      </c>
      <c r="E32" s="4" t="s">
        <v>350</v>
      </c>
      <c r="F32" s="2" t="s">
        <v>1660</v>
      </c>
      <c r="G32" s="2" t="s">
        <v>1661</v>
      </c>
      <c r="H32" s="2" t="s">
        <v>356</v>
      </c>
      <c r="I32" s="2" t="s">
        <v>1015</v>
      </c>
      <c r="J32" s="2" t="s">
        <v>97</v>
      </c>
      <c r="K32" s="2" t="s">
        <v>319</v>
      </c>
      <c r="L32" s="2" t="s">
        <v>399</v>
      </c>
      <c r="M32" s="2" t="s">
        <v>770</v>
      </c>
      <c r="N32" s="2" t="s">
        <v>155</v>
      </c>
      <c r="O32" s="2" t="s">
        <v>1209</v>
      </c>
      <c r="P32" s="152">
        <v>919</v>
      </c>
      <c r="Q32" s="158">
        <v>4.1524000000000001</v>
      </c>
      <c r="R32" s="175">
        <v>15648.2</v>
      </c>
      <c r="T32" s="151">
        <v>597.14400000000001</v>
      </c>
      <c r="U32" s="164">
        <v>2.8600000000000001E-4</v>
      </c>
      <c r="V32" s="164">
        <v>7.0992173374273401E-3</v>
      </c>
      <c r="W32" s="164">
        <v>1.4496191266012699E-3</v>
      </c>
    </row>
    <row r="33" spans="1:23">
      <c r="A33" s="2">
        <v>1182</v>
      </c>
      <c r="B33" s="2">
        <v>1182</v>
      </c>
      <c r="C33" s="2" t="s">
        <v>1662</v>
      </c>
      <c r="D33" s="2" t="s">
        <v>1663</v>
      </c>
      <c r="E33" s="4" t="s">
        <v>350</v>
      </c>
      <c r="F33" s="2" t="s">
        <v>1664</v>
      </c>
      <c r="G33" s="2" t="s">
        <v>1665</v>
      </c>
      <c r="H33" s="2" t="s">
        <v>356</v>
      </c>
      <c r="I33" s="2" t="s">
        <v>1015</v>
      </c>
      <c r="J33" s="2" t="s">
        <v>97</v>
      </c>
      <c r="K33" s="2" t="s">
        <v>98</v>
      </c>
      <c r="L33" s="2" t="s">
        <v>379</v>
      </c>
      <c r="M33" s="2" t="s">
        <v>770</v>
      </c>
      <c r="N33" s="2" t="s">
        <v>155</v>
      </c>
      <c r="O33" s="2" t="s">
        <v>102</v>
      </c>
      <c r="P33" s="152">
        <v>2853</v>
      </c>
      <c r="Q33" s="158">
        <v>3.71</v>
      </c>
      <c r="R33" s="175">
        <v>9638</v>
      </c>
      <c r="T33" s="151">
        <v>1020.147</v>
      </c>
      <c r="U33" s="164">
        <v>3.6999999999999998E-5</v>
      </c>
      <c r="V33" s="164">
        <v>1.2128134183325199E-2</v>
      </c>
      <c r="W33" s="164">
        <v>2.4764948650672202E-3</v>
      </c>
    </row>
    <row r="34" spans="1:23">
      <c r="A34" s="2">
        <v>1182</v>
      </c>
      <c r="B34" s="2">
        <v>1182</v>
      </c>
      <c r="C34" s="2" t="s">
        <v>1637</v>
      </c>
      <c r="D34" s="2" t="s">
        <v>1638</v>
      </c>
      <c r="E34" s="4" t="s">
        <v>350</v>
      </c>
      <c r="F34" s="2" t="s">
        <v>1666</v>
      </c>
      <c r="G34" s="2" t="s">
        <v>1667</v>
      </c>
      <c r="H34" s="2" t="s">
        <v>356</v>
      </c>
      <c r="I34" s="2" t="s">
        <v>1015</v>
      </c>
      <c r="J34" s="2" t="s">
        <v>97</v>
      </c>
      <c r="K34" s="2" t="s">
        <v>306</v>
      </c>
      <c r="L34" s="2" t="s">
        <v>381</v>
      </c>
      <c r="M34" s="2" t="s">
        <v>770</v>
      </c>
      <c r="N34" s="2" t="s">
        <v>155</v>
      </c>
      <c r="O34" s="2" t="s">
        <v>102</v>
      </c>
      <c r="P34" s="152">
        <v>2712</v>
      </c>
      <c r="Q34" s="158">
        <v>3.71</v>
      </c>
      <c r="R34" s="175">
        <v>5091</v>
      </c>
      <c r="T34" s="151">
        <v>512.23199999999997</v>
      </c>
      <c r="U34" s="164">
        <v>1.7E-5</v>
      </c>
      <c r="V34" s="164">
        <v>6.0897306184277897E-3</v>
      </c>
      <c r="W34" s="164">
        <v>1.2434877762907599E-3</v>
      </c>
    </row>
    <row r="35" spans="1:23">
      <c r="A35" s="2">
        <v>1182</v>
      </c>
      <c r="B35" s="2">
        <v>1182</v>
      </c>
      <c r="D35" s="2" t="s">
        <v>1668</v>
      </c>
      <c r="E35" s="4" t="s">
        <v>350</v>
      </c>
      <c r="F35" s="2" t="s">
        <v>1669</v>
      </c>
      <c r="G35" s="2" t="s">
        <v>1670</v>
      </c>
      <c r="H35" s="2" t="s">
        <v>356</v>
      </c>
      <c r="I35" s="2" t="s">
        <v>1015</v>
      </c>
      <c r="J35" s="2" t="s">
        <v>97</v>
      </c>
      <c r="K35" s="2" t="s">
        <v>98</v>
      </c>
      <c r="L35" s="2" t="s">
        <v>1528</v>
      </c>
      <c r="M35" s="2" t="s">
        <v>770</v>
      </c>
      <c r="N35" s="2" t="s">
        <v>155</v>
      </c>
      <c r="O35" s="2" t="s">
        <v>102</v>
      </c>
      <c r="P35" s="152">
        <v>10150</v>
      </c>
      <c r="Q35" s="158">
        <v>3.71</v>
      </c>
      <c r="R35" s="175">
        <v>8078</v>
      </c>
      <c r="T35" s="151">
        <v>3041.8919999999998</v>
      </c>
      <c r="U35" s="164">
        <v>2.04E-4</v>
      </c>
      <c r="V35" s="164">
        <v>3.6163894259212799E-2</v>
      </c>
      <c r="W35" s="164">
        <v>7.3844580773940096E-3</v>
      </c>
    </row>
    <row r="36" spans="1:23">
      <c r="A36" s="2">
        <v>1182</v>
      </c>
      <c r="B36" s="2">
        <v>1182</v>
      </c>
      <c r="C36" s="2" t="s">
        <v>1593</v>
      </c>
      <c r="D36" s="2" t="s">
        <v>1594</v>
      </c>
      <c r="E36" s="4" t="s">
        <v>350</v>
      </c>
      <c r="F36" s="2" t="s">
        <v>1671</v>
      </c>
      <c r="G36" s="2" t="s">
        <v>1672</v>
      </c>
      <c r="H36" s="2" t="s">
        <v>356</v>
      </c>
      <c r="I36" s="2" t="s">
        <v>1015</v>
      </c>
      <c r="J36" s="2" t="s">
        <v>97</v>
      </c>
      <c r="K36" s="2" t="s">
        <v>98</v>
      </c>
      <c r="L36" s="2" t="s">
        <v>379</v>
      </c>
      <c r="M36" s="2" t="s">
        <v>770</v>
      </c>
      <c r="N36" s="2" t="s">
        <v>155</v>
      </c>
      <c r="O36" s="2" t="s">
        <v>102</v>
      </c>
      <c r="P36" s="152">
        <v>5399</v>
      </c>
      <c r="Q36" s="158">
        <v>3.71</v>
      </c>
      <c r="R36" s="175">
        <v>8780</v>
      </c>
      <c r="T36" s="151">
        <v>1758.6590000000001</v>
      </c>
      <c r="U36" s="164">
        <v>1.2E-5</v>
      </c>
      <c r="V36" s="164">
        <v>2.09080313693484E-2</v>
      </c>
      <c r="W36" s="164">
        <v>4.2692990976340899E-3</v>
      </c>
    </row>
    <row r="37" spans="1:23">
      <c r="A37" s="2">
        <v>1182</v>
      </c>
      <c r="B37" s="2">
        <v>1182</v>
      </c>
      <c r="C37" s="2" t="s">
        <v>1538</v>
      </c>
      <c r="D37" s="2" t="s">
        <v>1539</v>
      </c>
      <c r="E37" s="4" t="s">
        <v>350</v>
      </c>
      <c r="F37" s="2" t="s">
        <v>1673</v>
      </c>
      <c r="G37" s="2" t="s">
        <v>1674</v>
      </c>
      <c r="H37" s="2" t="s">
        <v>356</v>
      </c>
      <c r="I37" s="2" t="s">
        <v>1015</v>
      </c>
      <c r="J37" s="2" t="s">
        <v>97</v>
      </c>
      <c r="K37" s="2" t="s">
        <v>98</v>
      </c>
      <c r="L37" s="2" t="s">
        <v>381</v>
      </c>
      <c r="M37" s="2" t="s">
        <v>770</v>
      </c>
      <c r="N37" s="2" t="s">
        <v>155</v>
      </c>
      <c r="O37" s="2" t="s">
        <v>102</v>
      </c>
      <c r="P37" s="152">
        <v>1115</v>
      </c>
      <c r="Q37" s="158">
        <v>3.71</v>
      </c>
      <c r="R37" s="175">
        <v>48807</v>
      </c>
      <c r="S37" s="155">
        <v>0.56799999999999995</v>
      </c>
      <c r="T37" s="151">
        <v>2021.0809999999999</v>
      </c>
      <c r="U37" s="164">
        <v>1.9999999999999999E-6</v>
      </c>
      <c r="V37" s="164">
        <v>2.40278668047922E-2</v>
      </c>
      <c r="W37" s="164">
        <v>4.9063514520147102E-3</v>
      </c>
    </row>
    <row r="38" spans="1:23">
      <c r="A38" s="2">
        <v>1182</v>
      </c>
      <c r="B38" s="2">
        <v>1182</v>
      </c>
      <c r="C38" s="2" t="s">
        <v>1593</v>
      </c>
      <c r="D38" s="2" t="s">
        <v>1594</v>
      </c>
      <c r="E38" s="4" t="s">
        <v>350</v>
      </c>
      <c r="F38" s="2" t="s">
        <v>1675</v>
      </c>
      <c r="G38" s="2" t="s">
        <v>1676</v>
      </c>
      <c r="H38" s="2" t="s">
        <v>356</v>
      </c>
      <c r="I38" s="2" t="s">
        <v>1015</v>
      </c>
      <c r="J38" s="2" t="s">
        <v>97</v>
      </c>
      <c r="K38" s="2" t="s">
        <v>98</v>
      </c>
      <c r="L38" s="2" t="s">
        <v>379</v>
      </c>
      <c r="M38" s="2" t="s">
        <v>770</v>
      </c>
      <c r="N38" s="2" t="s">
        <v>155</v>
      </c>
      <c r="O38" s="2" t="s">
        <v>102</v>
      </c>
      <c r="P38" s="152">
        <v>4858</v>
      </c>
      <c r="Q38" s="158">
        <v>3.71</v>
      </c>
      <c r="R38" s="175">
        <v>4467</v>
      </c>
      <c r="T38" s="151">
        <v>805.09500000000003</v>
      </c>
      <c r="U38" s="164">
        <v>7.8999999999999996E-5</v>
      </c>
      <c r="V38" s="164">
        <v>9.5714726473091795E-3</v>
      </c>
      <c r="W38" s="164">
        <v>1.9544393642001701E-3</v>
      </c>
    </row>
    <row r="39" spans="1:23">
      <c r="A39" s="2">
        <v>1182</v>
      </c>
      <c r="B39" s="2">
        <v>1182</v>
      </c>
      <c r="C39" s="2" t="s">
        <v>1677</v>
      </c>
      <c r="D39" s="2" t="s">
        <v>1678</v>
      </c>
      <c r="E39" s="4" t="s">
        <v>350</v>
      </c>
      <c r="F39" s="2" t="s">
        <v>1679</v>
      </c>
      <c r="G39" s="2" t="s">
        <v>1680</v>
      </c>
      <c r="H39" s="2" t="s">
        <v>356</v>
      </c>
      <c r="I39" s="2" t="s">
        <v>1015</v>
      </c>
      <c r="J39" s="2" t="s">
        <v>97</v>
      </c>
      <c r="K39" s="2" t="s">
        <v>98</v>
      </c>
      <c r="L39" s="2" t="s">
        <v>379</v>
      </c>
      <c r="M39" s="2" t="s">
        <v>770</v>
      </c>
      <c r="N39" s="2" t="s">
        <v>155</v>
      </c>
      <c r="O39" s="2" t="s">
        <v>102</v>
      </c>
      <c r="P39" s="152">
        <v>1800</v>
      </c>
      <c r="Q39" s="158">
        <v>3.71</v>
      </c>
      <c r="R39" s="175">
        <v>17916</v>
      </c>
      <c r="T39" s="151">
        <v>1196.43</v>
      </c>
      <c r="U39" s="164">
        <v>9.0000000000000002E-6</v>
      </c>
      <c r="V39" s="164">
        <v>1.4223905507344099E-2</v>
      </c>
      <c r="W39" s="164">
        <v>2.9044392499029E-3</v>
      </c>
    </row>
    <row r="40" spans="1:23">
      <c r="A40" s="2">
        <v>1182</v>
      </c>
      <c r="B40" s="2">
        <v>1182</v>
      </c>
      <c r="C40" s="2" t="s">
        <v>1681</v>
      </c>
      <c r="D40" s="2" t="s">
        <v>1682</v>
      </c>
      <c r="E40" s="4" t="s">
        <v>350</v>
      </c>
      <c r="F40" s="2" t="s">
        <v>1683</v>
      </c>
      <c r="G40" s="2" t="s">
        <v>1684</v>
      </c>
      <c r="H40" s="2" t="s">
        <v>356</v>
      </c>
      <c r="I40" s="2" t="s">
        <v>1015</v>
      </c>
      <c r="J40" s="2" t="s">
        <v>97</v>
      </c>
      <c r="K40" s="2" t="s">
        <v>98</v>
      </c>
      <c r="L40" s="2" t="s">
        <v>1528</v>
      </c>
      <c r="M40" s="2" t="s">
        <v>770</v>
      </c>
      <c r="N40" s="2" t="s">
        <v>155</v>
      </c>
      <c r="O40" s="2" t="s">
        <v>1209</v>
      </c>
      <c r="P40" s="152">
        <v>1500</v>
      </c>
      <c r="Q40" s="158">
        <v>4.1524000000000001</v>
      </c>
      <c r="R40" s="175">
        <v>12402</v>
      </c>
      <c r="T40" s="151">
        <v>772.471</v>
      </c>
      <c r="U40" s="164">
        <v>5.9000000000000003E-4</v>
      </c>
      <c r="V40" s="164">
        <v>9.1836126683217199E-3</v>
      </c>
      <c r="W40" s="164">
        <v>1.87524059942659E-3</v>
      </c>
    </row>
    <row r="41" spans="1:23">
      <c r="A41" s="2">
        <v>1182</v>
      </c>
      <c r="B41" s="2">
        <v>1182</v>
      </c>
      <c r="C41" s="2" t="s">
        <v>1593</v>
      </c>
      <c r="D41" s="2" t="s">
        <v>1594</v>
      </c>
      <c r="E41" s="4" t="s">
        <v>350</v>
      </c>
      <c r="F41" s="2" t="s">
        <v>1685</v>
      </c>
      <c r="G41" s="2" t="s">
        <v>1686</v>
      </c>
      <c r="H41" s="2" t="s">
        <v>356</v>
      </c>
      <c r="I41" s="2" t="s">
        <v>1017</v>
      </c>
      <c r="J41" s="2" t="s">
        <v>97</v>
      </c>
      <c r="K41" s="2" t="s">
        <v>98</v>
      </c>
      <c r="L41" s="2" t="s">
        <v>1528</v>
      </c>
      <c r="M41" s="2" t="s">
        <v>767</v>
      </c>
      <c r="N41" s="2" t="s">
        <v>155</v>
      </c>
      <c r="O41" s="2" t="s">
        <v>102</v>
      </c>
      <c r="P41" s="152">
        <v>124000</v>
      </c>
      <c r="Q41" s="158">
        <v>3.71</v>
      </c>
      <c r="R41" s="175">
        <v>1075.2</v>
      </c>
      <c r="T41" s="151">
        <v>4946.3500000000004</v>
      </c>
      <c r="U41" s="164">
        <v>0</v>
      </c>
      <c r="V41" s="164">
        <v>5.8805268939791502E-2</v>
      </c>
      <c r="W41" s="164">
        <v>1.20076958555188E-2</v>
      </c>
    </row>
    <row r="42" spans="1:23">
      <c r="A42" s="2">
        <v>1182</v>
      </c>
      <c r="B42" s="2">
        <v>1182</v>
      </c>
      <c r="C42" s="2" t="s">
        <v>1687</v>
      </c>
      <c r="D42" s="2" t="s">
        <v>1688</v>
      </c>
      <c r="E42" s="4" t="s">
        <v>350</v>
      </c>
      <c r="F42" s="2" t="s">
        <v>1689</v>
      </c>
      <c r="G42" s="2" t="s">
        <v>1690</v>
      </c>
      <c r="H42" s="2" t="s">
        <v>356</v>
      </c>
      <c r="I42" s="2" t="s">
        <v>1015</v>
      </c>
      <c r="J42" s="2" t="s">
        <v>97</v>
      </c>
      <c r="K42" s="2" t="s">
        <v>98</v>
      </c>
      <c r="L42" s="2" t="s">
        <v>1691</v>
      </c>
      <c r="M42" s="2" t="s">
        <v>770</v>
      </c>
      <c r="N42" s="2" t="s">
        <v>155</v>
      </c>
      <c r="O42" s="2" t="s">
        <v>102</v>
      </c>
      <c r="P42" s="152">
        <v>6150</v>
      </c>
      <c r="Q42" s="158">
        <v>3.71</v>
      </c>
      <c r="R42" s="175">
        <v>3453</v>
      </c>
      <c r="T42" s="151">
        <v>787.85400000000004</v>
      </c>
      <c r="U42" s="164">
        <v>0</v>
      </c>
      <c r="V42" s="164">
        <v>9.3664925875903398E-3</v>
      </c>
      <c r="W42" s="164">
        <v>1.9125836213742999E-3</v>
      </c>
    </row>
    <row r="43" spans="1:23">
      <c r="A43" s="2">
        <v>1182</v>
      </c>
      <c r="B43" s="2">
        <v>1182</v>
      </c>
      <c r="C43" s="2" t="s">
        <v>1692</v>
      </c>
      <c r="D43" s="2" t="s">
        <v>1693</v>
      </c>
      <c r="E43" s="4" t="s">
        <v>350</v>
      </c>
      <c r="F43" s="2" t="s">
        <v>1694</v>
      </c>
      <c r="G43" s="2" t="s">
        <v>1695</v>
      </c>
      <c r="H43" s="2" t="s">
        <v>356</v>
      </c>
      <c r="I43" s="2" t="s">
        <v>1015</v>
      </c>
      <c r="J43" s="2" t="s">
        <v>97</v>
      </c>
      <c r="K43" s="2" t="s">
        <v>271</v>
      </c>
      <c r="L43" s="2" t="s">
        <v>1691</v>
      </c>
      <c r="M43" s="2" t="s">
        <v>770</v>
      </c>
      <c r="N43" s="2" t="s">
        <v>155</v>
      </c>
      <c r="O43" s="2" t="s">
        <v>1211</v>
      </c>
      <c r="P43" s="152">
        <v>6662</v>
      </c>
      <c r="Q43" s="158">
        <v>4.9748000000000001</v>
      </c>
      <c r="R43" s="175">
        <v>3242.5</v>
      </c>
      <c r="T43" s="151">
        <v>1074.633</v>
      </c>
      <c r="U43" s="164">
        <v>1.3100000000000001E-4</v>
      </c>
      <c r="V43" s="164">
        <v>1.27759036765183E-2</v>
      </c>
      <c r="W43" s="164">
        <v>2.60876564962413E-3</v>
      </c>
    </row>
    <row r="44" spans="1:23">
      <c r="A44" s="2">
        <v>1182</v>
      </c>
      <c r="B44" s="2">
        <v>1182</v>
      </c>
      <c r="C44" s="2" t="s">
        <v>1692</v>
      </c>
      <c r="D44" s="2" t="s">
        <v>1693</v>
      </c>
      <c r="E44" s="4" t="s">
        <v>350</v>
      </c>
      <c r="F44" s="2" t="s">
        <v>1696</v>
      </c>
      <c r="G44" s="2" t="s">
        <v>1697</v>
      </c>
      <c r="H44" s="2" t="s">
        <v>356</v>
      </c>
      <c r="I44" s="2" t="s">
        <v>1015</v>
      </c>
      <c r="J44" s="2" t="s">
        <v>97</v>
      </c>
      <c r="K44" s="2" t="s">
        <v>98</v>
      </c>
      <c r="L44" s="2" t="s">
        <v>379</v>
      </c>
      <c r="M44" s="2" t="s">
        <v>770</v>
      </c>
      <c r="N44" s="2" t="s">
        <v>155</v>
      </c>
      <c r="O44" s="2" t="s">
        <v>102</v>
      </c>
      <c r="P44" s="152">
        <v>8340</v>
      </c>
      <c r="Q44" s="158">
        <v>3.71</v>
      </c>
      <c r="R44" s="175">
        <v>10563</v>
      </c>
      <c r="S44" s="155">
        <v>3.0059999999999998</v>
      </c>
      <c r="T44" s="151">
        <v>3279.491</v>
      </c>
      <c r="U44" s="164">
        <v>1.0460000000000001E-3</v>
      </c>
      <c r="V44" s="164">
        <v>3.898862177457E-2</v>
      </c>
      <c r="W44" s="164">
        <v>7.9612511010574601E-3</v>
      </c>
    </row>
    <row r="45" spans="1:23">
      <c r="A45" s="2">
        <v>1182</v>
      </c>
      <c r="B45" s="2">
        <v>1182</v>
      </c>
      <c r="C45" s="2" t="s">
        <v>1698</v>
      </c>
      <c r="D45" s="2" t="s">
        <v>1699</v>
      </c>
      <c r="E45" s="4" t="s">
        <v>350</v>
      </c>
      <c r="F45" s="2" t="s">
        <v>1700</v>
      </c>
      <c r="G45" s="2" t="s">
        <v>1701</v>
      </c>
      <c r="H45" s="2" t="s">
        <v>356</v>
      </c>
      <c r="I45" s="2" t="s">
        <v>1015</v>
      </c>
      <c r="J45" s="2" t="s">
        <v>97</v>
      </c>
      <c r="K45" s="2" t="s">
        <v>282</v>
      </c>
      <c r="L45" s="2" t="s">
        <v>379</v>
      </c>
      <c r="M45" s="2" t="s">
        <v>770</v>
      </c>
      <c r="N45" s="2" t="s">
        <v>155</v>
      </c>
      <c r="O45" s="2" t="s">
        <v>102</v>
      </c>
      <c r="P45" s="152">
        <v>17508</v>
      </c>
      <c r="Q45" s="158">
        <v>3.71</v>
      </c>
      <c r="R45" s="175">
        <v>5046</v>
      </c>
      <c r="T45" s="151">
        <v>3277.6129999999998</v>
      </c>
      <c r="U45" s="164">
        <v>7.9600000000000005E-4</v>
      </c>
      <c r="V45" s="164">
        <v>3.8966292278892201E-2</v>
      </c>
      <c r="W45" s="164">
        <v>7.9566915471681408E-3</v>
      </c>
    </row>
    <row r="46" spans="1:23">
      <c r="A46" s="2">
        <v>1182</v>
      </c>
      <c r="B46" s="2">
        <v>14769</v>
      </c>
      <c r="C46" s="2" t="s">
        <v>1702</v>
      </c>
      <c r="D46" s="2" t="s">
        <v>1703</v>
      </c>
      <c r="E46" s="4" t="s">
        <v>1342</v>
      </c>
      <c r="F46" s="2" t="s">
        <v>1704</v>
      </c>
      <c r="G46" s="2" t="s">
        <v>1705</v>
      </c>
      <c r="H46" s="2" t="s">
        <v>356</v>
      </c>
      <c r="I46" s="2" t="s">
        <v>1015</v>
      </c>
      <c r="J46" s="2" t="s">
        <v>30</v>
      </c>
      <c r="K46" s="2" t="s">
        <v>271</v>
      </c>
      <c r="L46" s="2" t="s">
        <v>31</v>
      </c>
      <c r="M46" s="2" t="s">
        <v>1578</v>
      </c>
      <c r="N46" s="2" t="s">
        <v>155</v>
      </c>
      <c r="O46" s="2" t="s">
        <v>34</v>
      </c>
      <c r="P46" s="152">
        <v>2943</v>
      </c>
      <c r="Q46" s="158">
        <v>1</v>
      </c>
      <c r="R46" s="175">
        <v>4670</v>
      </c>
      <c r="T46" s="151">
        <v>137.43799999999999</v>
      </c>
      <c r="U46" s="164">
        <v>1.8799999999999999E-4</v>
      </c>
      <c r="V46" s="164">
        <v>1.1682694876408E-2</v>
      </c>
      <c r="W46" s="164">
        <v>8.0070568289125205E-3</v>
      </c>
    </row>
    <row r="47" spans="1:23">
      <c r="A47" s="2">
        <v>1182</v>
      </c>
      <c r="B47" s="2">
        <v>14769</v>
      </c>
      <c r="C47" s="2" t="s">
        <v>1571</v>
      </c>
      <c r="D47" s="2" t="s">
        <v>1572</v>
      </c>
      <c r="E47" s="4" t="s">
        <v>1342</v>
      </c>
      <c r="F47" s="2" t="s">
        <v>1706</v>
      </c>
      <c r="G47" s="2" t="s">
        <v>1707</v>
      </c>
      <c r="H47" s="2" t="s">
        <v>356</v>
      </c>
      <c r="I47" s="2" t="s">
        <v>1014</v>
      </c>
      <c r="J47" s="2" t="s">
        <v>30</v>
      </c>
      <c r="K47" s="2" t="s">
        <v>30</v>
      </c>
      <c r="L47" s="2" t="s">
        <v>31</v>
      </c>
      <c r="M47" s="2" t="s">
        <v>1575</v>
      </c>
      <c r="N47" s="2" t="s">
        <v>155</v>
      </c>
      <c r="O47" s="2" t="s">
        <v>34</v>
      </c>
      <c r="P47" s="152">
        <v>4079</v>
      </c>
      <c r="Q47" s="158">
        <v>1</v>
      </c>
      <c r="R47" s="175">
        <v>3265</v>
      </c>
      <c r="T47" s="151">
        <v>133.179</v>
      </c>
      <c r="U47" s="164">
        <v>1.02E-4</v>
      </c>
      <c r="V47" s="164">
        <v>1.13206869848197E-2</v>
      </c>
      <c r="W47" s="164">
        <v>7.7589447459447602E-3</v>
      </c>
    </row>
    <row r="48" spans="1:23">
      <c r="A48" s="2">
        <v>1182</v>
      </c>
      <c r="B48" s="2">
        <v>14769</v>
      </c>
      <c r="C48" s="2" t="s">
        <v>1571</v>
      </c>
      <c r="D48" s="2" t="s">
        <v>1572</v>
      </c>
      <c r="E48" s="4" t="s">
        <v>1342</v>
      </c>
      <c r="F48" s="2" t="s">
        <v>1708</v>
      </c>
      <c r="G48" s="2" t="s">
        <v>1709</v>
      </c>
      <c r="H48" s="2" t="s">
        <v>356</v>
      </c>
      <c r="I48" s="2" t="s">
        <v>1014</v>
      </c>
      <c r="J48" s="2" t="s">
        <v>30</v>
      </c>
      <c r="K48" s="2" t="s">
        <v>30</v>
      </c>
      <c r="L48" s="2" t="s">
        <v>31</v>
      </c>
      <c r="M48" s="2" t="s">
        <v>1575</v>
      </c>
      <c r="N48" s="2" t="s">
        <v>155</v>
      </c>
      <c r="O48" s="2" t="s">
        <v>34</v>
      </c>
      <c r="P48" s="152">
        <v>8027</v>
      </c>
      <c r="Q48" s="158">
        <v>1</v>
      </c>
      <c r="R48" s="175">
        <v>3034</v>
      </c>
      <c r="T48" s="151">
        <v>243.53899999999999</v>
      </c>
      <c r="U48" s="164">
        <v>2.23E-4</v>
      </c>
      <c r="V48" s="164">
        <v>2.0701638995232099E-2</v>
      </c>
      <c r="W48" s="164">
        <v>1.4188438681317301E-2</v>
      </c>
    </row>
    <row r="49" spans="1:23">
      <c r="A49" s="2">
        <v>1182</v>
      </c>
      <c r="B49" s="2">
        <v>14769</v>
      </c>
      <c r="C49" s="2" t="s">
        <v>1579</v>
      </c>
      <c r="D49" s="2" t="s">
        <v>1580</v>
      </c>
      <c r="E49" s="4" t="s">
        <v>1342</v>
      </c>
      <c r="F49" s="2" t="s">
        <v>1710</v>
      </c>
      <c r="G49" s="2" t="s">
        <v>1711</v>
      </c>
      <c r="H49" s="2" t="s">
        <v>356</v>
      </c>
      <c r="I49" s="2" t="s">
        <v>1015</v>
      </c>
      <c r="J49" s="2" t="s">
        <v>30</v>
      </c>
      <c r="K49" s="2" t="s">
        <v>1607</v>
      </c>
      <c r="L49" s="2" t="s">
        <v>31</v>
      </c>
      <c r="M49" s="2" t="s">
        <v>1578</v>
      </c>
      <c r="N49" s="2" t="s">
        <v>155</v>
      </c>
      <c r="O49" s="2" t="s">
        <v>34</v>
      </c>
      <c r="P49" s="152">
        <v>13977</v>
      </c>
      <c r="Q49" s="158">
        <v>1</v>
      </c>
      <c r="R49" s="175">
        <v>3582</v>
      </c>
      <c r="T49" s="151">
        <v>500.65600000000001</v>
      </c>
      <c r="U49" s="164">
        <v>6.6299999999999996E-4</v>
      </c>
      <c r="V49" s="164">
        <v>4.2557434376786503E-2</v>
      </c>
      <c r="W49" s="164">
        <v>2.9167910242676402E-2</v>
      </c>
    </row>
    <row r="50" spans="1:23">
      <c r="A50" s="2">
        <v>1182</v>
      </c>
      <c r="B50" s="2">
        <v>14769</v>
      </c>
      <c r="C50" s="2" t="s">
        <v>1579</v>
      </c>
      <c r="D50" s="2" t="s">
        <v>1580</v>
      </c>
      <c r="E50" s="4" t="s">
        <v>1342</v>
      </c>
      <c r="F50" s="2" t="s">
        <v>1712</v>
      </c>
      <c r="G50" s="2" t="s">
        <v>1713</v>
      </c>
      <c r="H50" s="2" t="s">
        <v>356</v>
      </c>
      <c r="I50" s="2" t="s">
        <v>1015</v>
      </c>
      <c r="J50" s="2" t="s">
        <v>30</v>
      </c>
      <c r="K50" s="2" t="s">
        <v>98</v>
      </c>
      <c r="L50" s="2" t="s">
        <v>31</v>
      </c>
      <c r="M50" s="2" t="s">
        <v>1578</v>
      </c>
      <c r="N50" s="2" t="s">
        <v>155</v>
      </c>
      <c r="O50" s="2" t="s">
        <v>34</v>
      </c>
      <c r="P50" s="152">
        <v>1416</v>
      </c>
      <c r="Q50" s="158">
        <v>1</v>
      </c>
      <c r="R50" s="175">
        <v>7865</v>
      </c>
      <c r="T50" s="151">
        <v>111.36799999999999</v>
      </c>
      <c r="U50" s="164">
        <v>2.2900000000000001E-4</v>
      </c>
      <c r="V50" s="164">
        <v>9.4666838094659301E-3</v>
      </c>
      <c r="W50" s="164">
        <v>6.48825258603736E-3</v>
      </c>
    </row>
    <row r="51" spans="1:23">
      <c r="A51" s="2">
        <v>1182</v>
      </c>
      <c r="B51" s="2">
        <v>14769</v>
      </c>
      <c r="C51" s="2" t="s">
        <v>1579</v>
      </c>
      <c r="D51" s="2" t="s">
        <v>1580</v>
      </c>
      <c r="E51" s="4" t="s">
        <v>1342</v>
      </c>
      <c r="F51" s="2" t="s">
        <v>1581</v>
      </c>
      <c r="G51" s="2" t="s">
        <v>1582</v>
      </c>
      <c r="H51" s="2" t="s">
        <v>356</v>
      </c>
      <c r="I51" s="2" t="s">
        <v>1014</v>
      </c>
      <c r="J51" s="2" t="s">
        <v>30</v>
      </c>
      <c r="K51" s="2" t="s">
        <v>30</v>
      </c>
      <c r="L51" s="2" t="s">
        <v>31</v>
      </c>
      <c r="M51" s="2" t="s">
        <v>1575</v>
      </c>
      <c r="N51" s="2" t="s">
        <v>155</v>
      </c>
      <c r="O51" s="2" t="s">
        <v>34</v>
      </c>
      <c r="P51" s="152">
        <v>9728</v>
      </c>
      <c r="Q51" s="158">
        <v>1</v>
      </c>
      <c r="R51" s="175">
        <v>2013</v>
      </c>
      <c r="T51" s="151">
        <v>195.82499999999999</v>
      </c>
      <c r="U51" s="164">
        <v>1.9900000000000001E-4</v>
      </c>
      <c r="V51" s="164">
        <v>1.66457446545204E-2</v>
      </c>
      <c r="W51" s="164">
        <v>1.1408619742133599E-2</v>
      </c>
    </row>
    <row r="52" spans="1:23">
      <c r="A52" s="2">
        <v>1182</v>
      </c>
      <c r="B52" s="2">
        <v>14769</v>
      </c>
      <c r="C52" s="2" t="s">
        <v>1579</v>
      </c>
      <c r="D52" s="2" t="s">
        <v>1580</v>
      </c>
      <c r="E52" s="4" t="s">
        <v>1342</v>
      </c>
      <c r="F52" s="2" t="s">
        <v>1583</v>
      </c>
      <c r="G52" s="2" t="s">
        <v>1584</v>
      </c>
      <c r="H52" s="2" t="s">
        <v>356</v>
      </c>
      <c r="I52" s="2" t="s">
        <v>1014</v>
      </c>
      <c r="J52" s="2" t="s">
        <v>30</v>
      </c>
      <c r="K52" s="2" t="s">
        <v>30</v>
      </c>
      <c r="L52" s="2" t="s">
        <v>31</v>
      </c>
      <c r="M52" s="2" t="s">
        <v>1575</v>
      </c>
      <c r="N52" s="2" t="s">
        <v>155</v>
      </c>
      <c r="O52" s="2" t="s">
        <v>34</v>
      </c>
      <c r="P52" s="152">
        <v>1015</v>
      </c>
      <c r="Q52" s="158">
        <v>1</v>
      </c>
      <c r="R52" s="175">
        <v>2076</v>
      </c>
      <c r="T52" s="151">
        <v>21.071000000000002</v>
      </c>
      <c r="U52" s="164">
        <v>1.4E-5</v>
      </c>
      <c r="V52" s="164">
        <v>1.791138969607E-3</v>
      </c>
      <c r="W52" s="164">
        <v>1.2276064443902199E-3</v>
      </c>
    </row>
    <row r="53" spans="1:23">
      <c r="A53" s="2">
        <v>1182</v>
      </c>
      <c r="B53" s="2">
        <v>14769</v>
      </c>
      <c r="C53" s="2" t="s">
        <v>1585</v>
      </c>
      <c r="D53" s="2" t="s">
        <v>1586</v>
      </c>
      <c r="E53" s="4" t="s">
        <v>1342</v>
      </c>
      <c r="F53" s="2" t="s">
        <v>1587</v>
      </c>
      <c r="G53" s="2" t="s">
        <v>1588</v>
      </c>
      <c r="H53" s="2" t="s">
        <v>356</v>
      </c>
      <c r="I53" s="2" t="s">
        <v>1015</v>
      </c>
      <c r="J53" s="2" t="s">
        <v>30</v>
      </c>
      <c r="K53" s="2" t="s">
        <v>98</v>
      </c>
      <c r="L53" s="2" t="s">
        <v>31</v>
      </c>
      <c r="M53" s="2" t="s">
        <v>1578</v>
      </c>
      <c r="N53" s="2" t="s">
        <v>155</v>
      </c>
      <c r="O53" s="2" t="s">
        <v>34</v>
      </c>
      <c r="P53" s="152">
        <v>7827</v>
      </c>
      <c r="Q53" s="158">
        <v>1</v>
      </c>
      <c r="R53" s="175">
        <v>11220</v>
      </c>
      <c r="T53" s="151">
        <v>878.18899999999996</v>
      </c>
      <c r="U53" s="164">
        <v>9.6400000000000001E-4</v>
      </c>
      <c r="V53" s="164">
        <v>7.4649015112227601E-2</v>
      </c>
      <c r="W53" s="164">
        <v>5.1162759324733E-2</v>
      </c>
    </row>
    <row r="54" spans="1:23">
      <c r="A54" s="2">
        <v>1182</v>
      </c>
      <c r="B54" s="2">
        <v>14769</v>
      </c>
      <c r="C54" s="2" t="s">
        <v>1585</v>
      </c>
      <c r="D54" s="2" t="s">
        <v>1586</v>
      </c>
      <c r="E54" s="4" t="s">
        <v>1342</v>
      </c>
      <c r="F54" s="2" t="s">
        <v>1589</v>
      </c>
      <c r="G54" s="2" t="s">
        <v>1590</v>
      </c>
      <c r="H54" s="2" t="s">
        <v>356</v>
      </c>
      <c r="I54" s="2" t="s">
        <v>1015</v>
      </c>
      <c r="J54" s="2" t="s">
        <v>30</v>
      </c>
      <c r="K54" s="2" t="s">
        <v>98</v>
      </c>
      <c r="L54" s="2" t="s">
        <v>31</v>
      </c>
      <c r="M54" s="2" t="s">
        <v>1578</v>
      </c>
      <c r="N54" s="2" t="s">
        <v>155</v>
      </c>
      <c r="O54" s="2" t="s">
        <v>34</v>
      </c>
      <c r="P54" s="152">
        <v>8196</v>
      </c>
      <c r="Q54" s="158">
        <v>1</v>
      </c>
      <c r="R54" s="175">
        <v>10530</v>
      </c>
      <c r="T54" s="151">
        <v>863.03899999999999</v>
      </c>
      <c r="U54" s="164">
        <v>1.4300000000000001E-4</v>
      </c>
      <c r="V54" s="164">
        <v>7.3361163803205495E-2</v>
      </c>
      <c r="W54" s="164">
        <v>5.0280094945699003E-2</v>
      </c>
    </row>
    <row r="55" spans="1:23">
      <c r="A55" s="2">
        <v>1182</v>
      </c>
      <c r="B55" s="2">
        <v>14769</v>
      </c>
      <c r="C55" s="2" t="s">
        <v>1702</v>
      </c>
      <c r="D55" s="2" t="s">
        <v>1703</v>
      </c>
      <c r="E55" s="4" t="s">
        <v>1342</v>
      </c>
      <c r="F55" s="2" t="s">
        <v>1714</v>
      </c>
      <c r="G55" s="2" t="s">
        <v>1715</v>
      </c>
      <c r="H55" s="2" t="s">
        <v>356</v>
      </c>
      <c r="I55" s="2" t="s">
        <v>1015</v>
      </c>
      <c r="J55" s="2" t="s">
        <v>30</v>
      </c>
      <c r="K55" s="2" t="s">
        <v>334</v>
      </c>
      <c r="L55" s="2" t="s">
        <v>31</v>
      </c>
      <c r="M55" s="2" t="s">
        <v>1578</v>
      </c>
      <c r="N55" s="2" t="s">
        <v>155</v>
      </c>
      <c r="O55" s="2" t="s">
        <v>34</v>
      </c>
      <c r="P55" s="152">
        <v>44090</v>
      </c>
      <c r="Q55" s="158">
        <v>1</v>
      </c>
      <c r="R55" s="175">
        <v>1505</v>
      </c>
      <c r="T55" s="151">
        <v>663.55399999999997</v>
      </c>
      <c r="U55" s="164">
        <v>6.5200000000000002E-4</v>
      </c>
      <c r="V55" s="164">
        <v>5.6404335896432602E-2</v>
      </c>
      <c r="W55" s="164">
        <v>3.8658265725302003E-2</v>
      </c>
    </row>
    <row r="56" spans="1:23">
      <c r="A56" s="2">
        <v>1182</v>
      </c>
      <c r="B56" s="2">
        <v>14769</v>
      </c>
      <c r="C56" s="2" t="s">
        <v>1702</v>
      </c>
      <c r="D56" s="2" t="s">
        <v>1703</v>
      </c>
      <c r="E56" s="4" t="s">
        <v>1342</v>
      </c>
      <c r="F56" s="2" t="s">
        <v>1716</v>
      </c>
      <c r="G56" s="2" t="s">
        <v>1717</v>
      </c>
      <c r="H56" s="2" t="s">
        <v>356</v>
      </c>
      <c r="I56" s="2" t="s">
        <v>1015</v>
      </c>
      <c r="J56" s="2" t="s">
        <v>30</v>
      </c>
      <c r="K56" s="2" t="s">
        <v>98</v>
      </c>
      <c r="L56" s="2" t="s">
        <v>31</v>
      </c>
      <c r="M56" s="2" t="s">
        <v>1578</v>
      </c>
      <c r="N56" s="2" t="s">
        <v>155</v>
      </c>
      <c r="O56" s="2" t="s">
        <v>34</v>
      </c>
      <c r="P56" s="152">
        <v>157</v>
      </c>
      <c r="Q56" s="158">
        <v>1</v>
      </c>
      <c r="R56" s="175">
        <v>23280</v>
      </c>
      <c r="T56" s="151">
        <v>36.549999999999997</v>
      </c>
      <c r="U56" s="164">
        <v>7.9999999999999996E-6</v>
      </c>
      <c r="V56" s="164">
        <v>3.10683736645634E-3</v>
      </c>
      <c r="W56" s="164">
        <v>2.12935659234245E-3</v>
      </c>
    </row>
    <row r="57" spans="1:23">
      <c r="A57" s="2">
        <v>1182</v>
      </c>
      <c r="B57" s="2">
        <v>14769</v>
      </c>
      <c r="C57" s="2" t="s">
        <v>1702</v>
      </c>
      <c r="D57" s="2" t="s">
        <v>1703</v>
      </c>
      <c r="E57" s="4" t="s">
        <v>1342</v>
      </c>
      <c r="F57" s="2" t="s">
        <v>1718</v>
      </c>
      <c r="G57" s="2" t="s">
        <v>1719</v>
      </c>
      <c r="H57" s="2" t="s">
        <v>356</v>
      </c>
      <c r="I57" s="2" t="s">
        <v>1015</v>
      </c>
      <c r="J57" s="2" t="s">
        <v>30</v>
      </c>
      <c r="K57" s="2" t="s">
        <v>30</v>
      </c>
      <c r="L57" s="2" t="s">
        <v>85</v>
      </c>
      <c r="M57" s="2" t="s">
        <v>1578</v>
      </c>
      <c r="N57" s="2" t="s">
        <v>155</v>
      </c>
      <c r="O57" s="2" t="s">
        <v>34</v>
      </c>
      <c r="P57" s="152">
        <v>68</v>
      </c>
      <c r="Q57" s="158">
        <v>1</v>
      </c>
      <c r="R57" s="175">
        <v>50740</v>
      </c>
      <c r="T57" s="151">
        <v>34.503</v>
      </c>
      <c r="U57" s="164">
        <v>3.4999999999999997E-5</v>
      </c>
      <c r="V57" s="164">
        <v>2.9328865711886398E-3</v>
      </c>
      <c r="W57" s="164">
        <v>2.01013462190859E-3</v>
      </c>
    </row>
    <row r="58" spans="1:23">
      <c r="A58" s="2">
        <v>1182</v>
      </c>
      <c r="B58" s="2">
        <v>14769</v>
      </c>
      <c r="C58" s="2" t="s">
        <v>1593</v>
      </c>
      <c r="D58" s="2" t="s">
        <v>1594</v>
      </c>
      <c r="E58" s="4" t="s">
        <v>350</v>
      </c>
      <c r="F58" s="2" t="s">
        <v>1595</v>
      </c>
      <c r="G58" s="2" t="s">
        <v>1596</v>
      </c>
      <c r="H58" s="2" t="s">
        <v>356</v>
      </c>
      <c r="I58" s="2" t="s">
        <v>1015</v>
      </c>
      <c r="J58" s="2" t="s">
        <v>97</v>
      </c>
      <c r="K58" s="2" t="s">
        <v>98</v>
      </c>
      <c r="L58" s="2" t="s">
        <v>379</v>
      </c>
      <c r="M58" s="2" t="s">
        <v>770</v>
      </c>
      <c r="N58" s="2" t="s">
        <v>155</v>
      </c>
      <c r="O58" s="2" t="s">
        <v>102</v>
      </c>
      <c r="P58" s="152">
        <v>174</v>
      </c>
      <c r="Q58" s="158">
        <v>3.71</v>
      </c>
      <c r="R58" s="175">
        <v>8078</v>
      </c>
      <c r="T58" s="151">
        <v>52.146999999999998</v>
      </c>
      <c r="U58" s="164">
        <v>9.9999999999999995E-7</v>
      </c>
      <c r="V58" s="164">
        <v>4.4326444601949398E-3</v>
      </c>
      <c r="W58" s="164">
        <v>3.0380350142344601E-3</v>
      </c>
    </row>
    <row r="59" spans="1:23">
      <c r="A59" s="2">
        <v>1182</v>
      </c>
      <c r="B59" s="2">
        <v>14769</v>
      </c>
      <c r="C59" s="2" t="s">
        <v>1538</v>
      </c>
      <c r="D59" s="2" t="s">
        <v>1539</v>
      </c>
      <c r="E59" s="4" t="s">
        <v>350</v>
      </c>
      <c r="F59" s="2" t="s">
        <v>1597</v>
      </c>
      <c r="G59" s="2" t="s">
        <v>1598</v>
      </c>
      <c r="H59" s="2" t="s">
        <v>356</v>
      </c>
      <c r="I59" s="2" t="s">
        <v>1015</v>
      </c>
      <c r="J59" s="2" t="s">
        <v>97</v>
      </c>
      <c r="K59" s="2" t="s">
        <v>98</v>
      </c>
      <c r="L59" s="2" t="s">
        <v>379</v>
      </c>
      <c r="M59" s="2" t="s">
        <v>770</v>
      </c>
      <c r="N59" s="2" t="s">
        <v>155</v>
      </c>
      <c r="O59" s="2" t="s">
        <v>102</v>
      </c>
      <c r="P59" s="152">
        <v>66</v>
      </c>
      <c r="Q59" s="158">
        <v>3.71</v>
      </c>
      <c r="R59" s="175">
        <v>11497</v>
      </c>
      <c r="T59" s="151">
        <v>28.152000000000001</v>
      </c>
      <c r="U59" s="164">
        <v>3.0000000000000001E-6</v>
      </c>
      <c r="V59" s="164">
        <v>2.3929755869388702E-3</v>
      </c>
      <c r="W59" s="164">
        <v>1.64009175258979E-3</v>
      </c>
    </row>
    <row r="60" spans="1:23">
      <c r="A60" s="2">
        <v>1182</v>
      </c>
      <c r="B60" s="2">
        <v>14769</v>
      </c>
      <c r="C60" s="2" t="s">
        <v>1599</v>
      </c>
      <c r="D60" s="2" t="s">
        <v>1600</v>
      </c>
      <c r="E60" s="4" t="s">
        <v>350</v>
      </c>
      <c r="F60" s="2" t="s">
        <v>1601</v>
      </c>
      <c r="G60" s="2" t="s">
        <v>1602</v>
      </c>
      <c r="H60" s="2" t="s">
        <v>356</v>
      </c>
      <c r="I60" s="2" t="s">
        <v>1015</v>
      </c>
      <c r="J60" s="2" t="s">
        <v>97</v>
      </c>
      <c r="K60" s="2" t="s">
        <v>319</v>
      </c>
      <c r="L60" s="2" t="s">
        <v>381</v>
      </c>
      <c r="M60" s="2" t="s">
        <v>770</v>
      </c>
      <c r="N60" s="2" t="s">
        <v>155</v>
      </c>
      <c r="O60" s="2" t="s">
        <v>102</v>
      </c>
      <c r="P60" s="152">
        <v>602</v>
      </c>
      <c r="Q60" s="158">
        <v>3.71</v>
      </c>
      <c r="R60" s="175">
        <v>13492.9</v>
      </c>
      <c r="T60" s="151">
        <v>301.35300000000001</v>
      </c>
      <c r="U60" s="164">
        <v>0</v>
      </c>
      <c r="V60" s="164">
        <v>2.5616016482295102E-2</v>
      </c>
      <c r="W60" s="164">
        <v>1.7556642698791401E-2</v>
      </c>
    </row>
    <row r="61" spans="1:23">
      <c r="A61" s="2">
        <v>1182</v>
      </c>
      <c r="B61" s="2">
        <v>14769</v>
      </c>
      <c r="C61" s="2" t="s">
        <v>1603</v>
      </c>
      <c r="D61" s="2" t="s">
        <v>1604</v>
      </c>
      <c r="E61" s="4" t="s">
        <v>350</v>
      </c>
      <c r="F61" s="2" t="s">
        <v>1720</v>
      </c>
      <c r="G61" s="2" t="s">
        <v>1721</v>
      </c>
      <c r="H61" s="2" t="s">
        <v>356</v>
      </c>
      <c r="I61" s="2" t="s">
        <v>1015</v>
      </c>
      <c r="J61" s="2" t="s">
        <v>97</v>
      </c>
      <c r="K61" s="2" t="s">
        <v>1607</v>
      </c>
      <c r="L61" s="2" t="s">
        <v>381</v>
      </c>
      <c r="M61" s="2" t="s">
        <v>770</v>
      </c>
      <c r="N61" s="2" t="s">
        <v>155</v>
      </c>
      <c r="O61" s="2" t="s">
        <v>102</v>
      </c>
      <c r="P61" s="152">
        <v>1050</v>
      </c>
      <c r="Q61" s="158">
        <v>3.71</v>
      </c>
      <c r="R61" s="175">
        <v>5653</v>
      </c>
      <c r="T61" s="151">
        <v>220.21299999999999</v>
      </c>
      <c r="U61" s="164">
        <v>0</v>
      </c>
      <c r="V61" s="164">
        <v>1.87188035121332E-2</v>
      </c>
      <c r="W61" s="164">
        <v>1.2829447749557301E-2</v>
      </c>
    </row>
    <row r="62" spans="1:23">
      <c r="A62" s="2">
        <v>1182</v>
      </c>
      <c r="B62" s="2">
        <v>14769</v>
      </c>
      <c r="C62" s="2" t="s">
        <v>1603</v>
      </c>
      <c r="D62" s="2" t="s">
        <v>1604</v>
      </c>
      <c r="E62" s="4" t="s">
        <v>350</v>
      </c>
      <c r="F62" s="2" t="s">
        <v>1608</v>
      </c>
      <c r="G62" s="2" t="s">
        <v>1609</v>
      </c>
      <c r="H62" s="2" t="s">
        <v>356</v>
      </c>
      <c r="I62" s="2" t="s">
        <v>1015</v>
      </c>
      <c r="J62" s="2" t="s">
        <v>97</v>
      </c>
      <c r="K62" s="2" t="s">
        <v>319</v>
      </c>
      <c r="L62" s="2" t="s">
        <v>399</v>
      </c>
      <c r="M62" s="2" t="s">
        <v>770</v>
      </c>
      <c r="N62" s="2" t="s">
        <v>155</v>
      </c>
      <c r="O62" s="2" t="s">
        <v>1209</v>
      </c>
      <c r="P62" s="152">
        <v>132</v>
      </c>
      <c r="Q62" s="158">
        <v>4.1524000000000001</v>
      </c>
      <c r="R62" s="175">
        <v>11358</v>
      </c>
      <c r="T62" s="151">
        <v>62.255000000000003</v>
      </c>
      <c r="U62" s="164">
        <v>2.5999999999999998E-5</v>
      </c>
      <c r="V62" s="164">
        <v>5.2918907462977602E-3</v>
      </c>
      <c r="W62" s="164">
        <v>3.6269431313805198E-3</v>
      </c>
    </row>
    <row r="63" spans="1:23">
      <c r="A63" s="2">
        <v>1182</v>
      </c>
      <c r="B63" s="2">
        <v>14769</v>
      </c>
      <c r="C63" s="2" t="s">
        <v>1610</v>
      </c>
      <c r="D63" s="2" t="s">
        <v>1611</v>
      </c>
      <c r="E63" s="4" t="s">
        <v>350</v>
      </c>
      <c r="F63" s="2" t="s">
        <v>1612</v>
      </c>
      <c r="G63" s="2" t="s">
        <v>1613</v>
      </c>
      <c r="H63" s="2" t="s">
        <v>356</v>
      </c>
      <c r="I63" s="2" t="s">
        <v>1015</v>
      </c>
      <c r="J63" s="2" t="s">
        <v>97</v>
      </c>
      <c r="K63" s="2" t="s">
        <v>98</v>
      </c>
      <c r="L63" s="2" t="s">
        <v>1528</v>
      </c>
      <c r="M63" s="2" t="s">
        <v>770</v>
      </c>
      <c r="N63" s="2" t="s">
        <v>155</v>
      </c>
      <c r="O63" s="2" t="s">
        <v>1209</v>
      </c>
      <c r="P63" s="152">
        <v>180</v>
      </c>
      <c r="Q63" s="158">
        <v>4.1524000000000001</v>
      </c>
      <c r="R63" s="175">
        <v>7237.3</v>
      </c>
      <c r="T63" s="151">
        <v>54.094000000000001</v>
      </c>
      <c r="U63" s="164">
        <v>0</v>
      </c>
      <c r="V63" s="164">
        <v>4.5981607955362797E-3</v>
      </c>
      <c r="W63" s="164">
        <v>3.1514761951616302E-3</v>
      </c>
    </row>
    <row r="64" spans="1:23">
      <c r="A64" s="2">
        <v>1182</v>
      </c>
      <c r="B64" s="2">
        <v>14769</v>
      </c>
      <c r="C64" s="2" t="s">
        <v>1593</v>
      </c>
      <c r="D64" s="2" t="s">
        <v>1594</v>
      </c>
      <c r="E64" s="4" t="s">
        <v>350</v>
      </c>
      <c r="F64" s="2" t="s">
        <v>1614</v>
      </c>
      <c r="G64" s="2" t="s">
        <v>1615</v>
      </c>
      <c r="H64" s="2" t="s">
        <v>356</v>
      </c>
      <c r="I64" s="2" t="s">
        <v>1015</v>
      </c>
      <c r="J64" s="2" t="s">
        <v>97</v>
      </c>
      <c r="K64" s="2" t="s">
        <v>98</v>
      </c>
      <c r="L64" s="2" t="s">
        <v>379</v>
      </c>
      <c r="M64" s="2" t="s">
        <v>770</v>
      </c>
      <c r="N64" s="2" t="s">
        <v>155</v>
      </c>
      <c r="O64" s="2" t="s">
        <v>102</v>
      </c>
      <c r="P64" s="152">
        <v>522</v>
      </c>
      <c r="Q64" s="158">
        <v>3.71</v>
      </c>
      <c r="R64" s="175">
        <v>9040</v>
      </c>
      <c r="T64" s="151">
        <v>175.07</v>
      </c>
      <c r="U64" s="164">
        <v>3.0000000000000001E-6</v>
      </c>
      <c r="V64" s="164">
        <v>1.48815694182331E-2</v>
      </c>
      <c r="W64" s="164">
        <v>1.01994936353106E-2</v>
      </c>
    </row>
    <row r="65" spans="1:23">
      <c r="A65" s="2">
        <v>1182</v>
      </c>
      <c r="B65" s="2">
        <v>14769</v>
      </c>
      <c r="C65" s="2" t="s">
        <v>1593</v>
      </c>
      <c r="D65" s="2" t="s">
        <v>1594</v>
      </c>
      <c r="E65" s="4" t="s">
        <v>350</v>
      </c>
      <c r="F65" s="2" t="s">
        <v>1616</v>
      </c>
      <c r="G65" s="2" t="s">
        <v>1617</v>
      </c>
      <c r="H65" s="2" t="s">
        <v>356</v>
      </c>
      <c r="I65" s="2" t="s">
        <v>1015</v>
      </c>
      <c r="J65" s="2" t="s">
        <v>97</v>
      </c>
      <c r="K65" s="2" t="s">
        <v>98</v>
      </c>
      <c r="L65" s="2" t="s">
        <v>379</v>
      </c>
      <c r="M65" s="2" t="s">
        <v>770</v>
      </c>
      <c r="N65" s="2" t="s">
        <v>155</v>
      </c>
      <c r="O65" s="2" t="s">
        <v>102</v>
      </c>
      <c r="P65" s="152">
        <v>91</v>
      </c>
      <c r="Q65" s="158">
        <v>3.71</v>
      </c>
      <c r="R65" s="175">
        <v>20037</v>
      </c>
      <c r="T65" s="151">
        <v>67.647000000000006</v>
      </c>
      <c r="U65" s="164">
        <v>9.9999999999999995E-7</v>
      </c>
      <c r="V65" s="164">
        <v>5.7502124625791202E-3</v>
      </c>
      <c r="W65" s="164">
        <v>3.9410665478535802E-3</v>
      </c>
    </row>
    <row r="66" spans="1:23">
      <c r="A66" s="2">
        <v>1182</v>
      </c>
      <c r="B66" s="2">
        <v>14769</v>
      </c>
      <c r="C66" s="2" t="s">
        <v>1593</v>
      </c>
      <c r="D66" s="2" t="s">
        <v>1594</v>
      </c>
      <c r="E66" s="4" t="s">
        <v>350</v>
      </c>
      <c r="F66" s="2" t="s">
        <v>1618</v>
      </c>
      <c r="G66" s="2" t="s">
        <v>1619</v>
      </c>
      <c r="H66" s="2" t="s">
        <v>356</v>
      </c>
      <c r="I66" s="2" t="s">
        <v>1015</v>
      </c>
      <c r="J66" s="2" t="s">
        <v>97</v>
      </c>
      <c r="K66" s="2" t="s">
        <v>98</v>
      </c>
      <c r="L66" s="2" t="s">
        <v>379</v>
      </c>
      <c r="M66" s="2" t="s">
        <v>770</v>
      </c>
      <c r="N66" s="2" t="s">
        <v>155</v>
      </c>
      <c r="O66" s="2" t="s">
        <v>102</v>
      </c>
      <c r="P66" s="152">
        <v>796</v>
      </c>
      <c r="Q66" s="158">
        <v>3.71</v>
      </c>
      <c r="R66" s="175">
        <v>4532</v>
      </c>
      <c r="T66" s="151">
        <v>133.83699999999999</v>
      </c>
      <c r="U66" s="164">
        <v>9.9999999999999995E-7</v>
      </c>
      <c r="V66" s="164">
        <v>1.1376607371311E-2</v>
      </c>
      <c r="W66" s="164">
        <v>7.7972713236108999E-3</v>
      </c>
    </row>
    <row r="67" spans="1:23">
      <c r="A67" s="2">
        <v>1182</v>
      </c>
      <c r="B67" s="2">
        <v>14769</v>
      </c>
      <c r="C67" s="2" t="s">
        <v>1620</v>
      </c>
      <c r="D67" s="2" t="s">
        <v>1621</v>
      </c>
      <c r="E67" s="4" t="s">
        <v>350</v>
      </c>
      <c r="F67" s="2" t="s">
        <v>1622</v>
      </c>
      <c r="G67" s="2" t="s">
        <v>1623</v>
      </c>
      <c r="H67" s="2" t="s">
        <v>356</v>
      </c>
      <c r="I67" s="2" t="s">
        <v>1015</v>
      </c>
      <c r="J67" s="2" t="s">
        <v>97</v>
      </c>
      <c r="K67" s="2" t="s">
        <v>98</v>
      </c>
      <c r="L67" s="2" t="s">
        <v>381</v>
      </c>
      <c r="M67" s="2" t="s">
        <v>770</v>
      </c>
      <c r="N67" s="2" t="s">
        <v>155</v>
      </c>
      <c r="O67" s="2" t="s">
        <v>102</v>
      </c>
      <c r="P67" s="152">
        <v>40</v>
      </c>
      <c r="Q67" s="158">
        <v>3.71</v>
      </c>
      <c r="R67" s="175">
        <v>19131</v>
      </c>
      <c r="T67" s="151">
        <v>28.39</v>
      </c>
      <c r="U67" s="164">
        <v>3.0000000000000001E-6</v>
      </c>
      <c r="V67" s="164">
        <v>2.41327861306256E-3</v>
      </c>
      <c r="W67" s="164">
        <v>1.6540069909565501E-3</v>
      </c>
    </row>
    <row r="68" spans="1:23">
      <c r="A68" s="2">
        <v>1182</v>
      </c>
      <c r="B68" s="2">
        <v>14769</v>
      </c>
      <c r="C68" s="2" t="s">
        <v>1620</v>
      </c>
      <c r="D68" s="2" t="s">
        <v>1621</v>
      </c>
      <c r="E68" s="4" t="s">
        <v>350</v>
      </c>
      <c r="F68" s="2" t="s">
        <v>1624</v>
      </c>
      <c r="G68" s="2" t="s">
        <v>1625</v>
      </c>
      <c r="H68" s="2" t="s">
        <v>356</v>
      </c>
      <c r="I68" s="2" t="s">
        <v>1015</v>
      </c>
      <c r="J68" s="2" t="s">
        <v>97</v>
      </c>
      <c r="K68" s="2" t="s">
        <v>334</v>
      </c>
      <c r="L68" s="2" t="s">
        <v>381</v>
      </c>
      <c r="M68" s="2" t="s">
        <v>770</v>
      </c>
      <c r="N68" s="2" t="s">
        <v>155</v>
      </c>
      <c r="O68" s="2" t="s">
        <v>102</v>
      </c>
      <c r="P68" s="152">
        <v>19</v>
      </c>
      <c r="Q68" s="158">
        <v>3.71</v>
      </c>
      <c r="R68" s="175">
        <v>12725</v>
      </c>
      <c r="T68" s="151">
        <v>8.9700000000000006</v>
      </c>
      <c r="U68" s="164">
        <v>3.0000000000000001E-6</v>
      </c>
      <c r="V68" s="164">
        <v>7.6246724775652197E-4</v>
      </c>
      <c r="W68" s="164">
        <v>5.2257793664539198E-4</v>
      </c>
    </row>
    <row r="69" spans="1:23">
      <c r="A69" s="2">
        <v>1182</v>
      </c>
      <c r="B69" s="2">
        <v>14769</v>
      </c>
      <c r="C69" s="2" t="s">
        <v>1722</v>
      </c>
      <c r="D69" s="2" t="s">
        <v>1723</v>
      </c>
      <c r="E69" s="4" t="s">
        <v>350</v>
      </c>
      <c r="F69" s="2" t="s">
        <v>1724</v>
      </c>
      <c r="G69" s="2" t="s">
        <v>1725</v>
      </c>
      <c r="H69" s="2" t="s">
        <v>356</v>
      </c>
      <c r="I69" s="2" t="s">
        <v>1015</v>
      </c>
      <c r="J69" s="2" t="s">
        <v>97</v>
      </c>
      <c r="K69" s="2" t="s">
        <v>98</v>
      </c>
      <c r="L69" s="2" t="s">
        <v>381</v>
      </c>
      <c r="M69" s="2" t="s">
        <v>770</v>
      </c>
      <c r="N69" s="2" t="s">
        <v>155</v>
      </c>
      <c r="O69" s="2" t="s">
        <v>102</v>
      </c>
      <c r="P69" s="152">
        <v>839</v>
      </c>
      <c r="Q69" s="158">
        <v>3.71</v>
      </c>
      <c r="R69" s="175">
        <v>2120</v>
      </c>
      <c r="T69" s="151">
        <v>65.989000000000004</v>
      </c>
      <c r="U69" s="164">
        <v>0</v>
      </c>
      <c r="V69" s="164">
        <v>5.6092865029038199E-3</v>
      </c>
      <c r="W69" s="164">
        <v>3.8444790584321199E-3</v>
      </c>
    </row>
    <row r="70" spans="1:23">
      <c r="A70" s="2">
        <v>1182</v>
      </c>
      <c r="B70" s="2">
        <v>14769</v>
      </c>
      <c r="C70" s="2" t="s">
        <v>1626</v>
      </c>
      <c r="D70" s="2" t="s">
        <v>1627</v>
      </c>
      <c r="E70" s="4" t="s">
        <v>350</v>
      </c>
      <c r="F70" s="2" t="s">
        <v>1628</v>
      </c>
      <c r="G70" s="2" t="s">
        <v>1629</v>
      </c>
      <c r="H70" s="2" t="s">
        <v>356</v>
      </c>
      <c r="I70" s="2" t="s">
        <v>1015</v>
      </c>
      <c r="J70" s="2" t="s">
        <v>97</v>
      </c>
      <c r="K70" s="2" t="s">
        <v>327</v>
      </c>
      <c r="L70" s="2" t="s">
        <v>379</v>
      </c>
      <c r="M70" s="2" t="s">
        <v>770</v>
      </c>
      <c r="N70" s="2" t="s">
        <v>155</v>
      </c>
      <c r="O70" s="2" t="s">
        <v>102</v>
      </c>
      <c r="P70" s="152">
        <v>336</v>
      </c>
      <c r="Q70" s="158">
        <v>3.71</v>
      </c>
      <c r="R70" s="175">
        <v>4116</v>
      </c>
      <c r="T70" s="151">
        <v>51.308</v>
      </c>
      <c r="U70" s="164">
        <v>1.9999999999999999E-6</v>
      </c>
      <c r="V70" s="164">
        <v>4.3613851905007703E-3</v>
      </c>
      <c r="W70" s="164">
        <v>2.9891955103302599E-3</v>
      </c>
    </row>
    <row r="71" spans="1:23">
      <c r="A71" s="2">
        <v>1182</v>
      </c>
      <c r="B71" s="2">
        <v>14769</v>
      </c>
      <c r="C71" s="2" t="s">
        <v>1593</v>
      </c>
      <c r="D71" s="2" t="s">
        <v>1594</v>
      </c>
      <c r="E71" s="4" t="s">
        <v>350</v>
      </c>
      <c r="F71" s="2" t="s">
        <v>1630</v>
      </c>
      <c r="G71" s="2" t="s">
        <v>1631</v>
      </c>
      <c r="H71" s="2" t="s">
        <v>356</v>
      </c>
      <c r="I71" s="2" t="s">
        <v>1015</v>
      </c>
      <c r="J71" s="2" t="s">
        <v>97</v>
      </c>
      <c r="K71" s="2" t="s">
        <v>98</v>
      </c>
      <c r="L71" s="2" t="s">
        <v>379</v>
      </c>
      <c r="M71" s="2" t="s">
        <v>770</v>
      </c>
      <c r="N71" s="2" t="s">
        <v>155</v>
      </c>
      <c r="O71" s="2" t="s">
        <v>102</v>
      </c>
      <c r="P71" s="152">
        <v>344</v>
      </c>
      <c r="Q71" s="158">
        <v>3.71</v>
      </c>
      <c r="R71" s="175">
        <v>15402</v>
      </c>
      <c r="T71" s="151">
        <v>196.566</v>
      </c>
      <c r="U71" s="164">
        <v>9.9999999999999995E-7</v>
      </c>
      <c r="V71" s="164">
        <v>1.6708803925887299E-2</v>
      </c>
      <c r="W71" s="164">
        <v>1.14518391512482E-2</v>
      </c>
    </row>
    <row r="72" spans="1:23">
      <c r="A72" s="2">
        <v>1182</v>
      </c>
      <c r="B72" s="2">
        <v>14769</v>
      </c>
      <c r="C72" s="2" t="s">
        <v>1632</v>
      </c>
      <c r="D72" s="2" t="s">
        <v>1633</v>
      </c>
      <c r="E72" s="4" t="s">
        <v>350</v>
      </c>
      <c r="F72" s="2" t="s">
        <v>1634</v>
      </c>
      <c r="G72" s="2" t="s">
        <v>1635</v>
      </c>
      <c r="H72" s="2" t="s">
        <v>356</v>
      </c>
      <c r="I72" s="2" t="s">
        <v>1015</v>
      </c>
      <c r="J72" s="2" t="s">
        <v>97</v>
      </c>
      <c r="K72" s="2" t="s">
        <v>320</v>
      </c>
      <c r="L72" s="2" t="s">
        <v>1636</v>
      </c>
      <c r="M72" s="2" t="s">
        <v>770</v>
      </c>
      <c r="N72" s="2" t="s">
        <v>155</v>
      </c>
      <c r="O72" s="2" t="s">
        <v>1208</v>
      </c>
      <c r="P72" s="152">
        <v>95</v>
      </c>
      <c r="Q72" s="158">
        <v>2.7435</v>
      </c>
      <c r="R72" s="175">
        <v>6219</v>
      </c>
      <c r="T72" s="151">
        <v>16.209</v>
      </c>
      <c r="U72" s="164">
        <v>9.9999999999999995E-7</v>
      </c>
      <c r="V72" s="164">
        <v>1.37779631253653E-3</v>
      </c>
      <c r="W72" s="164">
        <v>9.4431066546334997E-4</v>
      </c>
    </row>
    <row r="73" spans="1:23">
      <c r="A73" s="2">
        <v>1182</v>
      </c>
      <c r="B73" s="2">
        <v>14769</v>
      </c>
      <c r="C73" s="2" t="s">
        <v>1637</v>
      </c>
      <c r="D73" s="2" t="s">
        <v>1638</v>
      </c>
      <c r="E73" s="4" t="s">
        <v>350</v>
      </c>
      <c r="F73" s="2" t="s">
        <v>1639</v>
      </c>
      <c r="G73" s="2" t="s">
        <v>1640</v>
      </c>
      <c r="H73" s="2" t="s">
        <v>356</v>
      </c>
      <c r="I73" s="2" t="s">
        <v>1017</v>
      </c>
      <c r="J73" s="2" t="s">
        <v>97</v>
      </c>
      <c r="K73" s="2" t="s">
        <v>1607</v>
      </c>
      <c r="L73" s="2" t="s">
        <v>415</v>
      </c>
      <c r="M73" s="2" t="s">
        <v>767</v>
      </c>
      <c r="N73" s="2" t="s">
        <v>155</v>
      </c>
      <c r="O73" s="2" t="s">
        <v>102</v>
      </c>
      <c r="P73" s="152">
        <v>123</v>
      </c>
      <c r="Q73" s="158">
        <v>3.71</v>
      </c>
      <c r="R73" s="175">
        <v>4584</v>
      </c>
      <c r="T73" s="151">
        <v>20.917999999999999</v>
      </c>
      <c r="U73" s="164">
        <v>0</v>
      </c>
      <c r="V73" s="164">
        <v>1.77811367278278E-3</v>
      </c>
      <c r="W73" s="164">
        <v>1.21867919832342E-3</v>
      </c>
    </row>
    <row r="74" spans="1:23">
      <c r="A74" s="2">
        <v>1182</v>
      </c>
      <c r="B74" s="2">
        <v>14769</v>
      </c>
      <c r="C74" s="2" t="s">
        <v>1593</v>
      </c>
      <c r="D74" s="2" t="s">
        <v>1594</v>
      </c>
      <c r="E74" s="4" t="s">
        <v>350</v>
      </c>
      <c r="F74" s="2" t="s">
        <v>1641</v>
      </c>
      <c r="G74" s="2" t="s">
        <v>1642</v>
      </c>
      <c r="H74" s="2" t="s">
        <v>356</v>
      </c>
      <c r="I74" s="2" t="s">
        <v>1015</v>
      </c>
      <c r="J74" s="2" t="s">
        <v>97</v>
      </c>
      <c r="K74" s="2" t="s">
        <v>98</v>
      </c>
      <c r="L74" s="2" t="s">
        <v>379</v>
      </c>
      <c r="M74" s="2" t="s">
        <v>770</v>
      </c>
      <c r="N74" s="2" t="s">
        <v>155</v>
      </c>
      <c r="O74" s="2" t="s">
        <v>102</v>
      </c>
      <c r="P74" s="152">
        <v>148</v>
      </c>
      <c r="Q74" s="158">
        <v>3.71</v>
      </c>
      <c r="R74" s="175">
        <v>13544</v>
      </c>
      <c r="T74" s="151">
        <v>74.367000000000004</v>
      </c>
      <c r="U74" s="164">
        <v>9.9999999999999995E-7</v>
      </c>
      <c r="V74" s="164">
        <v>6.3214755360766102E-3</v>
      </c>
      <c r="W74" s="164">
        <v>4.3325974353879797E-3</v>
      </c>
    </row>
    <row r="75" spans="1:23">
      <c r="A75" s="2">
        <v>1182</v>
      </c>
      <c r="B75" s="2">
        <v>14769</v>
      </c>
      <c r="C75" s="2" t="s">
        <v>1726</v>
      </c>
      <c r="D75" s="2" t="s">
        <v>1539</v>
      </c>
      <c r="E75" s="4" t="s">
        <v>350</v>
      </c>
      <c r="F75" s="2" t="s">
        <v>1727</v>
      </c>
      <c r="G75" s="2" t="s">
        <v>1728</v>
      </c>
      <c r="H75" s="2" t="s">
        <v>356</v>
      </c>
      <c r="I75" s="2" t="s">
        <v>1015</v>
      </c>
      <c r="J75" s="2" t="s">
        <v>97</v>
      </c>
      <c r="K75" s="2" t="s">
        <v>98</v>
      </c>
      <c r="L75" s="2" t="s">
        <v>381</v>
      </c>
      <c r="M75" s="2" t="s">
        <v>770</v>
      </c>
      <c r="N75" s="2" t="s">
        <v>155</v>
      </c>
      <c r="O75" s="2" t="s">
        <v>102</v>
      </c>
      <c r="P75" s="152">
        <v>274</v>
      </c>
      <c r="Q75" s="158">
        <v>3.71</v>
      </c>
      <c r="R75" s="175">
        <v>5121</v>
      </c>
      <c r="T75" s="151">
        <v>52.057000000000002</v>
      </c>
      <c r="U75" s="164">
        <v>0</v>
      </c>
      <c r="V75" s="164">
        <v>4.4250189993115703E-3</v>
      </c>
      <c r="W75" s="164">
        <v>3.03280869451237E-3</v>
      </c>
    </row>
    <row r="76" spans="1:23">
      <c r="A76" s="2">
        <v>1182</v>
      </c>
      <c r="B76" s="2">
        <v>14769</v>
      </c>
      <c r="C76" s="2" t="s">
        <v>1534</v>
      </c>
      <c r="D76" s="2" t="s">
        <v>1535</v>
      </c>
      <c r="E76" s="4" t="s">
        <v>350</v>
      </c>
      <c r="F76" s="2" t="s">
        <v>1643</v>
      </c>
      <c r="G76" s="2" t="s">
        <v>1644</v>
      </c>
      <c r="H76" s="2" t="s">
        <v>356</v>
      </c>
      <c r="I76" s="2" t="s">
        <v>1017</v>
      </c>
      <c r="J76" s="2" t="s">
        <v>97</v>
      </c>
      <c r="K76" s="2" t="s">
        <v>98</v>
      </c>
      <c r="L76" s="2" t="s">
        <v>415</v>
      </c>
      <c r="M76" s="2" t="s">
        <v>767</v>
      </c>
      <c r="N76" s="2" t="s">
        <v>155</v>
      </c>
      <c r="O76" s="2" t="s">
        <v>102</v>
      </c>
      <c r="P76" s="152">
        <v>2302</v>
      </c>
      <c r="Q76" s="158">
        <v>3.71</v>
      </c>
      <c r="R76" s="175">
        <v>2890.75</v>
      </c>
      <c r="T76" s="151">
        <v>246.88200000000001</v>
      </c>
      <c r="U76" s="164">
        <v>0</v>
      </c>
      <c r="V76" s="164">
        <v>2.09858060437716E-2</v>
      </c>
      <c r="W76" s="164">
        <v>1.4383200397739E-2</v>
      </c>
    </row>
    <row r="77" spans="1:23">
      <c r="A77" s="2">
        <v>1182</v>
      </c>
      <c r="B77" s="2">
        <v>14769</v>
      </c>
      <c r="C77" s="2" t="s">
        <v>1637</v>
      </c>
      <c r="D77" s="2" t="s">
        <v>1638</v>
      </c>
      <c r="E77" s="4" t="s">
        <v>350</v>
      </c>
      <c r="F77" s="2" t="s">
        <v>1645</v>
      </c>
      <c r="G77" s="2" t="s">
        <v>1646</v>
      </c>
      <c r="H77" s="2" t="s">
        <v>356</v>
      </c>
      <c r="I77" s="2" t="s">
        <v>1015</v>
      </c>
      <c r="J77" s="2" t="s">
        <v>97</v>
      </c>
      <c r="K77" s="2" t="s">
        <v>271</v>
      </c>
      <c r="L77" s="2" t="s">
        <v>415</v>
      </c>
      <c r="M77" s="2" t="s">
        <v>770</v>
      </c>
      <c r="N77" s="2" t="s">
        <v>155</v>
      </c>
      <c r="O77" s="2" t="s">
        <v>1211</v>
      </c>
      <c r="P77" s="152">
        <v>7240</v>
      </c>
      <c r="Q77" s="158">
        <v>4.9748000000000001</v>
      </c>
      <c r="R77" s="175">
        <v>799.3</v>
      </c>
      <c r="T77" s="151">
        <v>287.88799999999998</v>
      </c>
      <c r="U77" s="164">
        <v>1.2E-5</v>
      </c>
      <c r="V77" s="164">
        <v>2.4471460877280801E-2</v>
      </c>
      <c r="W77" s="164">
        <v>1.6772189978751E-2</v>
      </c>
    </row>
    <row r="78" spans="1:23">
      <c r="A78" s="2">
        <v>1182</v>
      </c>
      <c r="B78" s="2">
        <v>14769</v>
      </c>
      <c r="C78" s="2" t="s">
        <v>1637</v>
      </c>
      <c r="D78" s="2" t="s">
        <v>1638</v>
      </c>
      <c r="E78" s="4" t="s">
        <v>350</v>
      </c>
      <c r="F78" s="2" t="s">
        <v>1647</v>
      </c>
      <c r="G78" s="2" t="s">
        <v>1648</v>
      </c>
      <c r="H78" s="2" t="s">
        <v>356</v>
      </c>
      <c r="I78" s="2" t="s">
        <v>1015</v>
      </c>
      <c r="J78" s="2" t="s">
        <v>97</v>
      </c>
      <c r="K78" s="2" t="s">
        <v>306</v>
      </c>
      <c r="L78" s="2" t="s">
        <v>379</v>
      </c>
      <c r="M78" s="2" t="s">
        <v>770</v>
      </c>
      <c r="N78" s="2" t="s">
        <v>155</v>
      </c>
      <c r="O78" s="2" t="s">
        <v>102</v>
      </c>
      <c r="P78" s="152">
        <v>39</v>
      </c>
      <c r="Q78" s="158">
        <v>3.71</v>
      </c>
      <c r="R78" s="175">
        <v>3178</v>
      </c>
      <c r="T78" s="151">
        <v>4.5979999999999999</v>
      </c>
      <c r="U78" s="164">
        <v>0</v>
      </c>
      <c r="V78" s="164">
        <v>3.90866365924678E-4</v>
      </c>
      <c r="W78" s="164">
        <v>2.6789103349685901E-4</v>
      </c>
    </row>
    <row r="79" spans="1:23">
      <c r="A79" s="2">
        <v>1182</v>
      </c>
      <c r="B79" s="2">
        <v>14769</v>
      </c>
      <c r="C79" s="2" t="s">
        <v>1637</v>
      </c>
      <c r="D79" s="2" t="s">
        <v>1638</v>
      </c>
      <c r="E79" s="4" t="s">
        <v>350</v>
      </c>
      <c r="F79" s="2" t="s">
        <v>1649</v>
      </c>
      <c r="G79" s="2" t="s">
        <v>1650</v>
      </c>
      <c r="H79" s="2" t="s">
        <v>356</v>
      </c>
      <c r="I79" s="2" t="s">
        <v>1017</v>
      </c>
      <c r="J79" s="2" t="s">
        <v>97</v>
      </c>
      <c r="K79" s="2" t="s">
        <v>259</v>
      </c>
      <c r="L79" s="2" t="s">
        <v>415</v>
      </c>
      <c r="M79" s="2" t="s">
        <v>767</v>
      </c>
      <c r="N79" s="2" t="s">
        <v>155</v>
      </c>
      <c r="O79" s="2" t="s">
        <v>102</v>
      </c>
      <c r="P79" s="152">
        <v>1047</v>
      </c>
      <c r="Q79" s="158">
        <v>3.71</v>
      </c>
      <c r="R79" s="175">
        <v>624.54999999999995</v>
      </c>
      <c r="T79" s="151">
        <v>24.26</v>
      </c>
      <c r="U79" s="164">
        <v>0</v>
      </c>
      <c r="V79" s="164">
        <v>2.0621663480793898E-3</v>
      </c>
      <c r="W79" s="164">
        <v>1.4133625258917501E-3</v>
      </c>
    </row>
    <row r="80" spans="1:23">
      <c r="A80" s="2">
        <v>1182</v>
      </c>
      <c r="B80" s="2">
        <v>14769</v>
      </c>
      <c r="C80" s="2" t="s">
        <v>1637</v>
      </c>
      <c r="D80" s="2" t="s">
        <v>1638</v>
      </c>
      <c r="E80" s="4" t="s">
        <v>350</v>
      </c>
      <c r="F80" s="2" t="s">
        <v>1651</v>
      </c>
      <c r="G80" s="2" t="s">
        <v>1652</v>
      </c>
      <c r="H80" s="2" t="s">
        <v>356</v>
      </c>
      <c r="I80" s="2" t="s">
        <v>1015</v>
      </c>
      <c r="J80" s="2" t="s">
        <v>97</v>
      </c>
      <c r="K80" s="2" t="s">
        <v>98</v>
      </c>
      <c r="L80" s="2" t="s">
        <v>381</v>
      </c>
      <c r="M80" s="2" t="s">
        <v>770</v>
      </c>
      <c r="N80" s="2" t="s">
        <v>155</v>
      </c>
      <c r="O80" s="2" t="s">
        <v>102</v>
      </c>
      <c r="P80" s="152">
        <v>102</v>
      </c>
      <c r="Q80" s="158">
        <v>3.71</v>
      </c>
      <c r="R80" s="175">
        <v>6111</v>
      </c>
      <c r="T80" s="151">
        <v>23.125</v>
      </c>
      <c r="U80" s="164">
        <v>0</v>
      </c>
      <c r="V80" s="164">
        <v>1.9657227166005199E-3</v>
      </c>
      <c r="W80" s="164">
        <v>1.34726222572921E-3</v>
      </c>
    </row>
    <row r="81" spans="1:23">
      <c r="A81" s="2">
        <v>1182</v>
      </c>
      <c r="B81" s="2">
        <v>14769</v>
      </c>
      <c r="C81" s="2" t="s">
        <v>1637</v>
      </c>
      <c r="D81" s="2" t="s">
        <v>1638</v>
      </c>
      <c r="E81" s="4" t="s">
        <v>350</v>
      </c>
      <c r="F81" s="2" t="s">
        <v>1653</v>
      </c>
      <c r="G81" s="2" t="s">
        <v>1654</v>
      </c>
      <c r="H81" s="2" t="s">
        <v>356</v>
      </c>
      <c r="I81" s="2" t="s">
        <v>1015</v>
      </c>
      <c r="J81" s="2" t="s">
        <v>97</v>
      </c>
      <c r="K81" s="2" t="s">
        <v>98</v>
      </c>
      <c r="L81" s="2" t="s">
        <v>379</v>
      </c>
      <c r="M81" s="2" t="s">
        <v>770</v>
      </c>
      <c r="N81" s="2" t="s">
        <v>155</v>
      </c>
      <c r="O81" s="2" t="s">
        <v>102</v>
      </c>
      <c r="P81" s="152">
        <v>155</v>
      </c>
      <c r="Q81" s="158">
        <v>3.71</v>
      </c>
      <c r="R81" s="175">
        <v>12856</v>
      </c>
      <c r="T81" s="151">
        <v>73.927999999999997</v>
      </c>
      <c r="U81" s="164">
        <v>3.4E-5</v>
      </c>
      <c r="V81" s="164">
        <v>6.2841618664438697E-3</v>
      </c>
      <c r="W81" s="164">
        <v>4.3070234837950198E-3</v>
      </c>
    </row>
    <row r="82" spans="1:23">
      <c r="A82" s="2">
        <v>1182</v>
      </c>
      <c r="B82" s="2">
        <v>14769</v>
      </c>
      <c r="C82" s="2" t="s">
        <v>1637</v>
      </c>
      <c r="D82" s="2" t="s">
        <v>1638</v>
      </c>
      <c r="E82" s="4" t="s">
        <v>350</v>
      </c>
      <c r="F82" s="2" t="s">
        <v>1729</v>
      </c>
      <c r="G82" s="2" t="s">
        <v>1730</v>
      </c>
      <c r="H82" s="2" t="s">
        <v>356</v>
      </c>
      <c r="I82" s="2" t="s">
        <v>1015</v>
      </c>
      <c r="J82" s="2" t="s">
        <v>97</v>
      </c>
      <c r="K82" s="2" t="s">
        <v>98</v>
      </c>
      <c r="L82" s="2" t="s">
        <v>379</v>
      </c>
      <c r="M82" s="2" t="s">
        <v>770</v>
      </c>
      <c r="N82" s="2" t="s">
        <v>155</v>
      </c>
      <c r="O82" s="2" t="s">
        <v>102</v>
      </c>
      <c r="P82" s="152">
        <v>234</v>
      </c>
      <c r="Q82" s="158">
        <v>3.71</v>
      </c>
      <c r="R82" s="175">
        <v>57682</v>
      </c>
      <c r="T82" s="151">
        <v>500.76100000000002</v>
      </c>
      <c r="U82" s="164">
        <v>0</v>
      </c>
      <c r="V82" s="164">
        <v>4.2566306581372997E-2</v>
      </c>
      <c r="W82" s="164">
        <v>2.9173991052547199E-2</v>
      </c>
    </row>
    <row r="83" spans="1:23">
      <c r="A83" s="2">
        <v>1182</v>
      </c>
      <c r="B83" s="2">
        <v>14769</v>
      </c>
      <c r="C83" s="2" t="s">
        <v>1657</v>
      </c>
      <c r="D83" s="2" t="s">
        <v>1604</v>
      </c>
      <c r="E83" s="4" t="s">
        <v>350</v>
      </c>
      <c r="F83" s="2" t="s">
        <v>1658</v>
      </c>
      <c r="G83" s="2" t="s">
        <v>1659</v>
      </c>
      <c r="H83" s="2" t="s">
        <v>356</v>
      </c>
      <c r="I83" s="2" t="s">
        <v>1015</v>
      </c>
      <c r="J83" s="2" t="s">
        <v>97</v>
      </c>
      <c r="K83" s="2" t="s">
        <v>331</v>
      </c>
      <c r="L83" s="2" t="s">
        <v>399</v>
      </c>
      <c r="M83" s="2" t="s">
        <v>770</v>
      </c>
      <c r="N83" s="2" t="s">
        <v>155</v>
      </c>
      <c r="O83" s="2" t="s">
        <v>1209</v>
      </c>
      <c r="P83" s="152">
        <v>229</v>
      </c>
      <c r="Q83" s="158">
        <v>4.1524000000000001</v>
      </c>
      <c r="R83" s="175">
        <v>24366</v>
      </c>
      <c r="T83" s="151">
        <v>231.696</v>
      </c>
      <c r="U83" s="164">
        <v>1.0000000000000001E-5</v>
      </c>
      <c r="V83" s="164">
        <v>1.9694946075028402E-2</v>
      </c>
      <c r="W83" s="164">
        <v>1.34984739508669E-2</v>
      </c>
    </row>
    <row r="84" spans="1:23">
      <c r="A84" s="2">
        <v>1182</v>
      </c>
      <c r="B84" s="2">
        <v>14769</v>
      </c>
      <c r="C84" s="2" t="s">
        <v>1657</v>
      </c>
      <c r="D84" s="2" t="s">
        <v>1604</v>
      </c>
      <c r="E84" s="4" t="s">
        <v>350</v>
      </c>
      <c r="F84" s="2" t="s">
        <v>1731</v>
      </c>
      <c r="G84" s="2" t="s">
        <v>1732</v>
      </c>
      <c r="H84" s="2" t="s">
        <v>356</v>
      </c>
      <c r="I84" s="2" t="s">
        <v>1015</v>
      </c>
      <c r="J84" s="2" t="s">
        <v>97</v>
      </c>
      <c r="K84" s="2" t="s">
        <v>98</v>
      </c>
      <c r="L84" s="2" t="s">
        <v>415</v>
      </c>
      <c r="M84" s="2" t="s">
        <v>770</v>
      </c>
      <c r="N84" s="2" t="s">
        <v>155</v>
      </c>
      <c r="O84" s="2" t="s">
        <v>102</v>
      </c>
      <c r="P84" s="152">
        <v>150</v>
      </c>
      <c r="Q84" s="158">
        <v>3.71</v>
      </c>
      <c r="R84" s="175">
        <v>40841</v>
      </c>
      <c r="T84" s="151">
        <v>227.28</v>
      </c>
      <c r="U84" s="164">
        <v>1.7E-5</v>
      </c>
      <c r="V84" s="164">
        <v>1.9319568730611601E-2</v>
      </c>
      <c r="W84" s="164">
        <v>1.32411987450322E-2</v>
      </c>
    </row>
    <row r="85" spans="1:23">
      <c r="A85" s="2">
        <v>1182</v>
      </c>
      <c r="B85" s="2">
        <v>14769</v>
      </c>
      <c r="C85" s="2" t="s">
        <v>1657</v>
      </c>
      <c r="D85" s="2" t="s">
        <v>1604</v>
      </c>
      <c r="E85" s="4" t="s">
        <v>350</v>
      </c>
      <c r="F85" s="2" t="s">
        <v>1660</v>
      </c>
      <c r="G85" s="2" t="s">
        <v>1661</v>
      </c>
      <c r="H85" s="2" t="s">
        <v>356</v>
      </c>
      <c r="I85" s="2" t="s">
        <v>1015</v>
      </c>
      <c r="J85" s="2" t="s">
        <v>97</v>
      </c>
      <c r="K85" s="2" t="s">
        <v>319</v>
      </c>
      <c r="L85" s="2" t="s">
        <v>399</v>
      </c>
      <c r="M85" s="2" t="s">
        <v>770</v>
      </c>
      <c r="N85" s="2" t="s">
        <v>155</v>
      </c>
      <c r="O85" s="2" t="s">
        <v>1209</v>
      </c>
      <c r="P85" s="152">
        <v>27</v>
      </c>
      <c r="Q85" s="158">
        <v>4.1524000000000001</v>
      </c>
      <c r="R85" s="175">
        <v>15648.2</v>
      </c>
      <c r="T85" s="151">
        <v>17.544</v>
      </c>
      <c r="U85" s="164">
        <v>7.9999999999999996E-6</v>
      </c>
      <c r="V85" s="164">
        <v>1.4912938477203699E-3</v>
      </c>
      <c r="W85" s="164">
        <v>1.02209932841933E-3</v>
      </c>
    </row>
    <row r="86" spans="1:23">
      <c r="A86" s="2">
        <v>1182</v>
      </c>
      <c r="B86" s="2">
        <v>14769</v>
      </c>
      <c r="C86" s="2" t="s">
        <v>1637</v>
      </c>
      <c r="D86" s="2" t="s">
        <v>1638</v>
      </c>
      <c r="E86" s="4" t="s">
        <v>350</v>
      </c>
      <c r="F86" s="2" t="s">
        <v>1666</v>
      </c>
      <c r="G86" s="2" t="s">
        <v>1667</v>
      </c>
      <c r="H86" s="2" t="s">
        <v>356</v>
      </c>
      <c r="I86" s="2" t="s">
        <v>1015</v>
      </c>
      <c r="J86" s="2" t="s">
        <v>97</v>
      </c>
      <c r="K86" s="2" t="s">
        <v>306</v>
      </c>
      <c r="L86" s="2" t="s">
        <v>381</v>
      </c>
      <c r="M86" s="2" t="s">
        <v>770</v>
      </c>
      <c r="N86" s="2" t="s">
        <v>155</v>
      </c>
      <c r="O86" s="2" t="s">
        <v>102</v>
      </c>
      <c r="P86" s="152">
        <v>150</v>
      </c>
      <c r="Q86" s="158">
        <v>3.71</v>
      </c>
      <c r="R86" s="175">
        <v>5091</v>
      </c>
      <c r="T86" s="151">
        <v>28.331</v>
      </c>
      <c r="U86" s="164">
        <v>9.9999999999999995E-7</v>
      </c>
      <c r="V86" s="164">
        <v>2.4082643521839298E-3</v>
      </c>
      <c r="W86" s="164">
        <v>1.6505703291045601E-3</v>
      </c>
    </row>
    <row r="87" spans="1:23">
      <c r="A87" s="2">
        <v>1182</v>
      </c>
      <c r="B87" s="2">
        <v>14769</v>
      </c>
      <c r="D87" s="2" t="s">
        <v>1668</v>
      </c>
      <c r="E87" s="4" t="s">
        <v>350</v>
      </c>
      <c r="F87" s="2" t="s">
        <v>1669</v>
      </c>
      <c r="G87" s="2" t="s">
        <v>1670</v>
      </c>
      <c r="H87" s="2" t="s">
        <v>356</v>
      </c>
      <c r="I87" s="2" t="s">
        <v>1015</v>
      </c>
      <c r="J87" s="2" t="s">
        <v>97</v>
      </c>
      <c r="K87" s="2" t="s">
        <v>98</v>
      </c>
      <c r="L87" s="2" t="s">
        <v>1528</v>
      </c>
      <c r="M87" s="2" t="s">
        <v>770</v>
      </c>
      <c r="N87" s="2" t="s">
        <v>155</v>
      </c>
      <c r="O87" s="2" t="s">
        <v>102</v>
      </c>
      <c r="P87" s="152">
        <v>427</v>
      </c>
      <c r="Q87" s="158">
        <v>3.71</v>
      </c>
      <c r="R87" s="175">
        <v>8078</v>
      </c>
      <c r="T87" s="151">
        <v>127.96899999999999</v>
      </c>
      <c r="U87" s="164">
        <v>9.0000000000000002E-6</v>
      </c>
      <c r="V87" s="164">
        <v>1.0877811405191E-2</v>
      </c>
      <c r="W87" s="164">
        <v>7.4554077648167601E-3</v>
      </c>
    </row>
    <row r="88" spans="1:23">
      <c r="A88" s="2">
        <v>1182</v>
      </c>
      <c r="B88" s="2">
        <v>14769</v>
      </c>
      <c r="C88" s="2" t="s">
        <v>1593</v>
      </c>
      <c r="D88" s="2" t="s">
        <v>1594</v>
      </c>
      <c r="E88" s="4" t="s">
        <v>350</v>
      </c>
      <c r="F88" s="2" t="s">
        <v>1671</v>
      </c>
      <c r="G88" s="2" t="s">
        <v>1672</v>
      </c>
      <c r="H88" s="2" t="s">
        <v>356</v>
      </c>
      <c r="I88" s="2" t="s">
        <v>1015</v>
      </c>
      <c r="J88" s="2" t="s">
        <v>97</v>
      </c>
      <c r="K88" s="2" t="s">
        <v>98</v>
      </c>
      <c r="L88" s="2" t="s">
        <v>379</v>
      </c>
      <c r="M88" s="2" t="s">
        <v>770</v>
      </c>
      <c r="N88" s="2" t="s">
        <v>155</v>
      </c>
      <c r="O88" s="2" t="s">
        <v>102</v>
      </c>
      <c r="P88" s="152">
        <v>445</v>
      </c>
      <c r="Q88" s="158">
        <v>3.71</v>
      </c>
      <c r="R88" s="175">
        <v>8780</v>
      </c>
      <c r="T88" s="151">
        <v>144.953</v>
      </c>
      <c r="U88" s="164">
        <v>9.9999999999999995E-7</v>
      </c>
      <c r="V88" s="164">
        <v>1.23215211817165E-2</v>
      </c>
      <c r="W88" s="164">
        <v>8.4448940389503097E-3</v>
      </c>
    </row>
    <row r="89" spans="1:23">
      <c r="A89" s="2">
        <v>1182</v>
      </c>
      <c r="B89" s="2">
        <v>14769</v>
      </c>
      <c r="C89" s="2" t="s">
        <v>1538</v>
      </c>
      <c r="D89" s="2" t="s">
        <v>1539</v>
      </c>
      <c r="E89" s="4" t="s">
        <v>350</v>
      </c>
      <c r="F89" s="2" t="s">
        <v>1673</v>
      </c>
      <c r="G89" s="2" t="s">
        <v>1674</v>
      </c>
      <c r="H89" s="2" t="s">
        <v>356</v>
      </c>
      <c r="I89" s="2" t="s">
        <v>1015</v>
      </c>
      <c r="J89" s="2" t="s">
        <v>97</v>
      </c>
      <c r="K89" s="2" t="s">
        <v>98</v>
      </c>
      <c r="L89" s="2" t="s">
        <v>381</v>
      </c>
      <c r="M89" s="2" t="s">
        <v>770</v>
      </c>
      <c r="N89" s="2" t="s">
        <v>155</v>
      </c>
      <c r="O89" s="2" t="s">
        <v>102</v>
      </c>
      <c r="P89" s="152">
        <v>335</v>
      </c>
      <c r="Q89" s="158">
        <v>3.71</v>
      </c>
      <c r="R89" s="175">
        <v>48807</v>
      </c>
      <c r="S89" s="155">
        <v>0.17100000000000001</v>
      </c>
      <c r="T89" s="151">
        <v>607.23099999999999</v>
      </c>
      <c r="U89" s="164">
        <v>9.9999999999999995E-7</v>
      </c>
      <c r="V89" s="164">
        <v>5.1616630925543999E-2</v>
      </c>
      <c r="W89" s="164">
        <v>3.5376880207018402E-2</v>
      </c>
    </row>
    <row r="90" spans="1:23">
      <c r="A90" s="2">
        <v>1182</v>
      </c>
      <c r="B90" s="2">
        <v>14769</v>
      </c>
      <c r="C90" s="2" t="s">
        <v>1593</v>
      </c>
      <c r="D90" s="2" t="s">
        <v>1594</v>
      </c>
      <c r="E90" s="4" t="s">
        <v>350</v>
      </c>
      <c r="F90" s="2" t="s">
        <v>1675</v>
      </c>
      <c r="G90" s="2" t="s">
        <v>1676</v>
      </c>
      <c r="H90" s="2" t="s">
        <v>356</v>
      </c>
      <c r="I90" s="2" t="s">
        <v>1015</v>
      </c>
      <c r="J90" s="2" t="s">
        <v>97</v>
      </c>
      <c r="K90" s="2" t="s">
        <v>98</v>
      </c>
      <c r="L90" s="2" t="s">
        <v>379</v>
      </c>
      <c r="M90" s="2" t="s">
        <v>770</v>
      </c>
      <c r="N90" s="2" t="s">
        <v>155</v>
      </c>
      <c r="O90" s="2" t="s">
        <v>102</v>
      </c>
      <c r="P90" s="152">
        <v>78</v>
      </c>
      <c r="Q90" s="158">
        <v>3.71</v>
      </c>
      <c r="R90" s="175">
        <v>4467</v>
      </c>
      <c r="T90" s="151">
        <v>12.927</v>
      </c>
      <c r="U90" s="164">
        <v>9.9999999999999995E-7</v>
      </c>
      <c r="V90" s="164">
        <v>1.0988043150318E-3</v>
      </c>
      <c r="W90" s="164">
        <v>7.5309581285743995E-4</v>
      </c>
    </row>
    <row r="91" spans="1:23">
      <c r="A91" s="2">
        <v>1182</v>
      </c>
      <c r="B91" s="2">
        <v>14769</v>
      </c>
      <c r="C91" s="2" t="s">
        <v>1677</v>
      </c>
      <c r="D91" s="2" t="s">
        <v>1678</v>
      </c>
      <c r="E91" s="4" t="s">
        <v>350</v>
      </c>
      <c r="F91" s="2" t="s">
        <v>1679</v>
      </c>
      <c r="G91" s="2" t="s">
        <v>1680</v>
      </c>
      <c r="H91" s="2" t="s">
        <v>356</v>
      </c>
      <c r="I91" s="2" t="s">
        <v>1015</v>
      </c>
      <c r="J91" s="2" t="s">
        <v>97</v>
      </c>
      <c r="K91" s="2" t="s">
        <v>98</v>
      </c>
      <c r="L91" s="2" t="s">
        <v>379</v>
      </c>
      <c r="M91" s="2" t="s">
        <v>770</v>
      </c>
      <c r="N91" s="2" t="s">
        <v>155</v>
      </c>
      <c r="O91" s="2" t="s">
        <v>102</v>
      </c>
      <c r="P91" s="152">
        <v>410</v>
      </c>
      <c r="Q91" s="158">
        <v>3.71</v>
      </c>
      <c r="R91" s="175">
        <v>17916</v>
      </c>
      <c r="T91" s="151">
        <v>272.52</v>
      </c>
      <c r="U91" s="164">
        <v>1.9999999999999999E-6</v>
      </c>
      <c r="V91" s="164">
        <v>2.3165128389744199E-2</v>
      </c>
      <c r="W91" s="164">
        <v>1.5876859014806899E-2</v>
      </c>
    </row>
    <row r="92" spans="1:23">
      <c r="A92" s="2">
        <v>1182</v>
      </c>
      <c r="B92" s="2">
        <v>14769</v>
      </c>
      <c r="C92" s="2" t="s">
        <v>1681</v>
      </c>
      <c r="D92" s="2" t="s">
        <v>1682</v>
      </c>
      <c r="E92" s="4" t="s">
        <v>350</v>
      </c>
      <c r="F92" s="2" t="s">
        <v>1683</v>
      </c>
      <c r="G92" s="2" t="s">
        <v>1684</v>
      </c>
      <c r="H92" s="2" t="s">
        <v>356</v>
      </c>
      <c r="I92" s="2" t="s">
        <v>1015</v>
      </c>
      <c r="J92" s="2" t="s">
        <v>97</v>
      </c>
      <c r="K92" s="2" t="s">
        <v>98</v>
      </c>
      <c r="L92" s="2" t="s">
        <v>1528</v>
      </c>
      <c r="M92" s="2" t="s">
        <v>770</v>
      </c>
      <c r="N92" s="2" t="s">
        <v>155</v>
      </c>
      <c r="O92" s="2" t="s">
        <v>1209</v>
      </c>
      <c r="P92" s="152">
        <v>777</v>
      </c>
      <c r="Q92" s="158">
        <v>4.1524000000000001</v>
      </c>
      <c r="R92" s="175">
        <v>12402</v>
      </c>
      <c r="T92" s="151">
        <v>400.14</v>
      </c>
      <c r="U92" s="164">
        <v>3.0600000000000001E-4</v>
      </c>
      <c r="V92" s="164">
        <v>3.4013225600330703E-2</v>
      </c>
      <c r="W92" s="164">
        <v>2.3311901337630898E-2</v>
      </c>
    </row>
    <row r="93" spans="1:23">
      <c r="A93" s="2">
        <v>1182</v>
      </c>
      <c r="B93" s="2">
        <v>14769</v>
      </c>
      <c r="C93" s="2" t="s">
        <v>1538</v>
      </c>
      <c r="D93" s="2" t="s">
        <v>1539</v>
      </c>
      <c r="E93" s="4" t="s">
        <v>350</v>
      </c>
      <c r="F93" s="2" t="s">
        <v>1733</v>
      </c>
      <c r="G93" s="2" t="s">
        <v>1734</v>
      </c>
      <c r="H93" s="2" t="s">
        <v>356</v>
      </c>
      <c r="I93" s="2" t="s">
        <v>1015</v>
      </c>
      <c r="J93" s="2" t="s">
        <v>97</v>
      </c>
      <c r="K93" s="2" t="s">
        <v>98</v>
      </c>
      <c r="L93" s="2" t="s">
        <v>415</v>
      </c>
      <c r="M93" s="2" t="s">
        <v>770</v>
      </c>
      <c r="N93" s="2" t="s">
        <v>155</v>
      </c>
      <c r="O93" s="2" t="s">
        <v>102</v>
      </c>
      <c r="P93" s="152">
        <v>140</v>
      </c>
      <c r="Q93" s="158">
        <v>3.71</v>
      </c>
      <c r="R93" s="175">
        <v>112716</v>
      </c>
      <c r="T93" s="151">
        <v>585.447</v>
      </c>
      <c r="U93" s="164">
        <v>2.8E-5</v>
      </c>
      <c r="V93" s="164">
        <v>4.9764930872660103E-2</v>
      </c>
      <c r="W93" s="164">
        <v>3.41077665555541E-2</v>
      </c>
    </row>
    <row r="94" spans="1:23">
      <c r="A94" s="2">
        <v>1182</v>
      </c>
      <c r="B94" s="2">
        <v>14769</v>
      </c>
      <c r="C94" s="2" t="s">
        <v>1593</v>
      </c>
      <c r="D94" s="2" t="s">
        <v>1594</v>
      </c>
      <c r="E94" s="4" t="s">
        <v>350</v>
      </c>
      <c r="F94" s="2" t="s">
        <v>1735</v>
      </c>
      <c r="G94" s="2" t="s">
        <v>1736</v>
      </c>
      <c r="H94" s="2" t="s">
        <v>356</v>
      </c>
      <c r="I94" s="2" t="s">
        <v>1015</v>
      </c>
      <c r="J94" s="2" t="s">
        <v>97</v>
      </c>
      <c r="K94" s="2" t="s">
        <v>98</v>
      </c>
      <c r="L94" s="2" t="s">
        <v>379</v>
      </c>
      <c r="M94" s="2" t="s">
        <v>770</v>
      </c>
      <c r="N94" s="2" t="s">
        <v>155</v>
      </c>
      <c r="O94" s="2" t="s">
        <v>102</v>
      </c>
      <c r="P94" s="152">
        <v>89</v>
      </c>
      <c r="Q94" s="158">
        <v>3.71</v>
      </c>
      <c r="R94" s="175">
        <v>22576</v>
      </c>
      <c r="T94" s="151">
        <v>74.543999999999997</v>
      </c>
      <c r="U94" s="164">
        <v>0</v>
      </c>
      <c r="V94" s="164">
        <v>6.33646155349503E-3</v>
      </c>
      <c r="W94" s="164">
        <v>4.3428685153380896E-3</v>
      </c>
    </row>
    <row r="95" spans="1:23">
      <c r="A95" s="2">
        <v>1182</v>
      </c>
      <c r="B95" s="2">
        <v>14769</v>
      </c>
      <c r="C95" s="2" t="s">
        <v>1593</v>
      </c>
      <c r="D95" s="2" t="s">
        <v>1594</v>
      </c>
      <c r="E95" s="4" t="s">
        <v>350</v>
      </c>
      <c r="F95" s="2" t="s">
        <v>1685</v>
      </c>
      <c r="G95" s="2" t="s">
        <v>1686</v>
      </c>
      <c r="H95" s="2" t="s">
        <v>356</v>
      </c>
      <c r="I95" s="2" t="s">
        <v>1017</v>
      </c>
      <c r="J95" s="2" t="s">
        <v>97</v>
      </c>
      <c r="K95" s="2" t="s">
        <v>98</v>
      </c>
      <c r="L95" s="2" t="s">
        <v>1528</v>
      </c>
      <c r="M95" s="2" t="s">
        <v>767</v>
      </c>
      <c r="N95" s="2" t="s">
        <v>155</v>
      </c>
      <c r="O95" s="2" t="s">
        <v>102</v>
      </c>
      <c r="P95" s="152">
        <v>9833</v>
      </c>
      <c r="Q95" s="158">
        <v>3.71</v>
      </c>
      <c r="R95" s="175">
        <v>1075.2</v>
      </c>
      <c r="T95" s="151">
        <v>392.238</v>
      </c>
      <c r="U95" s="164">
        <v>0</v>
      </c>
      <c r="V95" s="164">
        <v>3.3341497048158697E-2</v>
      </c>
      <c r="W95" s="164">
        <v>2.28515136661438E-2</v>
      </c>
    </row>
    <row r="96" spans="1:23">
      <c r="A96" s="2">
        <v>1182</v>
      </c>
      <c r="B96" s="2">
        <v>14769</v>
      </c>
      <c r="C96" s="2" t="s">
        <v>1687</v>
      </c>
      <c r="D96" s="2" t="s">
        <v>1688</v>
      </c>
      <c r="E96" s="4" t="s">
        <v>350</v>
      </c>
      <c r="F96" s="2" t="s">
        <v>1689</v>
      </c>
      <c r="G96" s="2" t="s">
        <v>1690</v>
      </c>
      <c r="H96" s="2" t="s">
        <v>356</v>
      </c>
      <c r="I96" s="2" t="s">
        <v>1015</v>
      </c>
      <c r="J96" s="2" t="s">
        <v>97</v>
      </c>
      <c r="K96" s="2" t="s">
        <v>98</v>
      </c>
      <c r="L96" s="2" t="s">
        <v>1691</v>
      </c>
      <c r="M96" s="2" t="s">
        <v>770</v>
      </c>
      <c r="N96" s="2" t="s">
        <v>155</v>
      </c>
      <c r="O96" s="2" t="s">
        <v>102</v>
      </c>
      <c r="P96" s="152">
        <v>369</v>
      </c>
      <c r="Q96" s="158">
        <v>3.71</v>
      </c>
      <c r="R96" s="175">
        <v>3453</v>
      </c>
      <c r="T96" s="151">
        <v>47.271000000000001</v>
      </c>
      <c r="U96" s="164">
        <v>0</v>
      </c>
      <c r="V96" s="164">
        <v>4.0182110681406596E-3</v>
      </c>
      <c r="W96" s="164">
        <v>2.7539916700332198E-3</v>
      </c>
    </row>
    <row r="97" spans="1:23">
      <c r="A97" s="2">
        <v>1182</v>
      </c>
      <c r="B97" s="2">
        <v>14769</v>
      </c>
      <c r="C97" s="2" t="s">
        <v>1692</v>
      </c>
      <c r="D97" s="2" t="s">
        <v>1693</v>
      </c>
      <c r="E97" s="4" t="s">
        <v>350</v>
      </c>
      <c r="F97" s="2" t="s">
        <v>1694</v>
      </c>
      <c r="G97" s="2" t="s">
        <v>1695</v>
      </c>
      <c r="H97" s="2" t="s">
        <v>356</v>
      </c>
      <c r="I97" s="2" t="s">
        <v>1015</v>
      </c>
      <c r="J97" s="2" t="s">
        <v>97</v>
      </c>
      <c r="K97" s="2" t="s">
        <v>271</v>
      </c>
      <c r="L97" s="2" t="s">
        <v>1691</v>
      </c>
      <c r="M97" s="2" t="s">
        <v>770</v>
      </c>
      <c r="N97" s="2" t="s">
        <v>155</v>
      </c>
      <c r="O97" s="2" t="s">
        <v>1211</v>
      </c>
      <c r="P97" s="152">
        <v>314</v>
      </c>
      <c r="Q97" s="158">
        <v>4.9748000000000001</v>
      </c>
      <c r="R97" s="175">
        <v>3242.5</v>
      </c>
      <c r="T97" s="151">
        <v>50.651000000000003</v>
      </c>
      <c r="U97" s="164">
        <v>6.0000000000000002E-6</v>
      </c>
      <c r="V97" s="164">
        <v>4.3054757745380496E-3</v>
      </c>
      <c r="W97" s="164">
        <v>2.9508764516181399E-3</v>
      </c>
    </row>
    <row r="98" spans="1:23">
      <c r="A98" s="2">
        <v>1182</v>
      </c>
      <c r="B98" s="2">
        <v>14769</v>
      </c>
      <c r="C98" s="2" t="s">
        <v>1692</v>
      </c>
      <c r="D98" s="2" t="s">
        <v>1693</v>
      </c>
      <c r="E98" s="4" t="s">
        <v>350</v>
      </c>
      <c r="F98" s="2" t="s">
        <v>1737</v>
      </c>
      <c r="G98" s="2" t="s">
        <v>1738</v>
      </c>
      <c r="H98" s="2" t="s">
        <v>356</v>
      </c>
      <c r="I98" s="2" t="s">
        <v>1015</v>
      </c>
      <c r="J98" s="2" t="s">
        <v>97</v>
      </c>
      <c r="K98" s="2" t="s">
        <v>98</v>
      </c>
      <c r="L98" s="2" t="s">
        <v>379</v>
      </c>
      <c r="M98" s="2" t="s">
        <v>770</v>
      </c>
      <c r="N98" s="2" t="s">
        <v>155</v>
      </c>
      <c r="O98" s="2" t="s">
        <v>102</v>
      </c>
      <c r="P98" s="152">
        <v>101</v>
      </c>
      <c r="Q98" s="158">
        <v>3.71</v>
      </c>
      <c r="R98" s="175">
        <v>52767</v>
      </c>
      <c r="S98" s="155">
        <v>0.16600000000000001</v>
      </c>
      <c r="T98" s="151">
        <v>198.33699999999999</v>
      </c>
      <c r="U98" s="164">
        <v>0</v>
      </c>
      <c r="V98" s="164">
        <v>1.6859323207319098E-2</v>
      </c>
      <c r="W98" s="164">
        <v>1.1555001688062E-2</v>
      </c>
    </row>
    <row r="99" spans="1:23">
      <c r="A99" s="2">
        <v>1182</v>
      </c>
      <c r="B99" s="2">
        <v>14769</v>
      </c>
      <c r="C99" s="2" t="s">
        <v>1692</v>
      </c>
      <c r="D99" s="2" t="s">
        <v>1693</v>
      </c>
      <c r="E99" s="4" t="s">
        <v>350</v>
      </c>
      <c r="F99" s="2" t="s">
        <v>1739</v>
      </c>
      <c r="G99" s="2" t="s">
        <v>1740</v>
      </c>
      <c r="H99" s="2" t="s">
        <v>356</v>
      </c>
      <c r="I99" s="2" t="s">
        <v>1015</v>
      </c>
      <c r="J99" s="2" t="s">
        <v>97</v>
      </c>
      <c r="K99" s="2" t="s">
        <v>98</v>
      </c>
      <c r="L99" s="2" t="s">
        <v>381</v>
      </c>
      <c r="M99" s="2" t="s">
        <v>770</v>
      </c>
      <c r="N99" s="2" t="s">
        <v>155</v>
      </c>
      <c r="O99" s="2" t="s">
        <v>102</v>
      </c>
      <c r="P99" s="152">
        <v>38</v>
      </c>
      <c r="Q99" s="158">
        <v>3.71</v>
      </c>
      <c r="R99" s="175">
        <v>19072</v>
      </c>
      <c r="S99" s="155">
        <v>0.04</v>
      </c>
      <c r="T99" s="151">
        <v>27.036999999999999</v>
      </c>
      <c r="U99" s="164">
        <v>0</v>
      </c>
      <c r="V99" s="164">
        <v>2.2982691287964799E-3</v>
      </c>
      <c r="W99" s="164">
        <v>1.5751820720380501E-3</v>
      </c>
    </row>
    <row r="100" spans="1:23">
      <c r="A100" s="2">
        <v>1182</v>
      </c>
      <c r="B100" s="2">
        <v>14769</v>
      </c>
      <c r="C100" s="2" t="s">
        <v>1692</v>
      </c>
      <c r="D100" s="2" t="s">
        <v>1693</v>
      </c>
      <c r="E100" s="4" t="s">
        <v>350</v>
      </c>
      <c r="F100" s="2" t="s">
        <v>1696</v>
      </c>
      <c r="G100" s="2" t="s">
        <v>1697</v>
      </c>
      <c r="H100" s="2" t="s">
        <v>356</v>
      </c>
      <c r="I100" s="2" t="s">
        <v>1015</v>
      </c>
      <c r="J100" s="2" t="s">
        <v>97</v>
      </c>
      <c r="K100" s="2" t="s">
        <v>98</v>
      </c>
      <c r="L100" s="2" t="s">
        <v>379</v>
      </c>
      <c r="M100" s="2" t="s">
        <v>770</v>
      </c>
      <c r="N100" s="2" t="s">
        <v>155</v>
      </c>
      <c r="O100" s="2" t="s">
        <v>102</v>
      </c>
      <c r="P100" s="152">
        <v>917</v>
      </c>
      <c r="Q100" s="158">
        <v>3.71</v>
      </c>
      <c r="R100" s="175">
        <v>10563</v>
      </c>
      <c r="S100" s="155">
        <v>0.33</v>
      </c>
      <c r="T100" s="151">
        <v>360.58699999999999</v>
      </c>
      <c r="U100" s="164">
        <v>1.15E-4</v>
      </c>
      <c r="V100" s="164">
        <v>3.0651072983000401E-2</v>
      </c>
      <c r="W100" s="164">
        <v>2.1007557403355599E-2</v>
      </c>
    </row>
    <row r="101" spans="1:23">
      <c r="A101" s="2">
        <v>1182</v>
      </c>
      <c r="B101" s="2">
        <v>14769</v>
      </c>
      <c r="C101" s="2" t="s">
        <v>1692</v>
      </c>
      <c r="D101" s="2" t="s">
        <v>1693</v>
      </c>
      <c r="E101" s="4" t="s">
        <v>350</v>
      </c>
      <c r="F101" s="2" t="s">
        <v>1741</v>
      </c>
      <c r="G101" s="2" t="s">
        <v>1742</v>
      </c>
      <c r="H101" s="2" t="s">
        <v>356</v>
      </c>
      <c r="I101" s="2" t="s">
        <v>1015</v>
      </c>
      <c r="J101" s="2" t="s">
        <v>97</v>
      </c>
      <c r="K101" s="2" t="s">
        <v>334</v>
      </c>
      <c r="L101" s="2" t="s">
        <v>379</v>
      </c>
      <c r="M101" s="2" t="s">
        <v>770</v>
      </c>
      <c r="N101" s="2" t="s">
        <v>155</v>
      </c>
      <c r="O101" s="2" t="s">
        <v>102</v>
      </c>
      <c r="P101" s="152">
        <v>1347</v>
      </c>
      <c r="Q101" s="158">
        <v>3.71</v>
      </c>
      <c r="R101" s="175">
        <v>11970</v>
      </c>
      <c r="T101" s="151">
        <v>598.18499999999995</v>
      </c>
      <c r="U101" s="164">
        <v>5.0000000000000004E-6</v>
      </c>
      <c r="V101" s="164">
        <v>5.0847727396358601E-2</v>
      </c>
      <c r="W101" s="164">
        <v>3.4849890987555698E-2</v>
      </c>
    </row>
    <row r="102" spans="1:23">
      <c r="A102" s="2">
        <v>1182</v>
      </c>
      <c r="B102" s="2">
        <v>14769</v>
      </c>
      <c r="C102" s="2" t="s">
        <v>1698</v>
      </c>
      <c r="D102" s="2" t="s">
        <v>1699</v>
      </c>
      <c r="E102" s="4" t="s">
        <v>350</v>
      </c>
      <c r="F102" s="2" t="s">
        <v>1743</v>
      </c>
      <c r="G102" s="2" t="s">
        <v>1744</v>
      </c>
      <c r="H102" s="2" t="s">
        <v>356</v>
      </c>
      <c r="I102" s="2" t="s">
        <v>1015</v>
      </c>
      <c r="J102" s="2" t="s">
        <v>97</v>
      </c>
      <c r="K102" s="2" t="s">
        <v>334</v>
      </c>
      <c r="L102" s="2" t="s">
        <v>379</v>
      </c>
      <c r="M102" s="2" t="s">
        <v>770</v>
      </c>
      <c r="N102" s="2" t="s">
        <v>155</v>
      </c>
      <c r="O102" s="2" t="s">
        <v>102</v>
      </c>
      <c r="P102" s="152">
        <v>2657</v>
      </c>
      <c r="Q102" s="158">
        <v>3.71</v>
      </c>
      <c r="R102" s="175">
        <v>3303</v>
      </c>
      <c r="T102" s="151">
        <v>325.59199999999998</v>
      </c>
      <c r="U102" s="164">
        <v>3.0000000000000001E-5</v>
      </c>
      <c r="V102" s="164">
        <v>2.7676421058777101E-2</v>
      </c>
      <c r="W102" s="164">
        <v>1.8968797745976498E-2</v>
      </c>
    </row>
    <row r="103" spans="1:23">
      <c r="A103" s="2">
        <v>1182</v>
      </c>
      <c r="B103" s="2">
        <v>14769</v>
      </c>
      <c r="C103" s="2" t="s">
        <v>1698</v>
      </c>
      <c r="D103" s="2" t="s">
        <v>1699</v>
      </c>
      <c r="E103" s="4" t="s">
        <v>350</v>
      </c>
      <c r="F103" s="2" t="s">
        <v>1700</v>
      </c>
      <c r="G103" s="2" t="s">
        <v>1701</v>
      </c>
      <c r="H103" s="2" t="s">
        <v>356</v>
      </c>
      <c r="I103" s="2" t="s">
        <v>1015</v>
      </c>
      <c r="J103" s="2" t="s">
        <v>97</v>
      </c>
      <c r="K103" s="2" t="s">
        <v>282</v>
      </c>
      <c r="L103" s="2" t="s">
        <v>379</v>
      </c>
      <c r="M103" s="2" t="s">
        <v>770</v>
      </c>
      <c r="N103" s="2" t="s">
        <v>155</v>
      </c>
      <c r="O103" s="2" t="s">
        <v>102</v>
      </c>
      <c r="P103" s="152">
        <v>2371</v>
      </c>
      <c r="Q103" s="158">
        <v>3.71</v>
      </c>
      <c r="R103" s="175">
        <v>5046</v>
      </c>
      <c r="T103" s="151">
        <v>443.86700000000002</v>
      </c>
      <c r="U103" s="164">
        <v>1.08E-4</v>
      </c>
      <c r="V103" s="164">
        <v>3.7730156033491398E-2</v>
      </c>
      <c r="W103" s="164">
        <v>2.5859402023241801E-2</v>
      </c>
    </row>
    <row r="104" spans="1:23">
      <c r="A104" s="2">
        <v>12904</v>
      </c>
      <c r="B104" s="2">
        <v>12905</v>
      </c>
      <c r="C104" s="2" t="s">
        <v>1702</v>
      </c>
      <c r="D104" s="2" t="s">
        <v>1703</v>
      </c>
      <c r="E104" s="4" t="s">
        <v>1342</v>
      </c>
      <c r="F104" s="2" t="s">
        <v>1704</v>
      </c>
      <c r="G104" s="2" t="s">
        <v>1705</v>
      </c>
      <c r="H104" s="2" t="s">
        <v>356</v>
      </c>
      <c r="I104" s="2" t="s">
        <v>1015</v>
      </c>
      <c r="J104" s="2" t="s">
        <v>30</v>
      </c>
      <c r="K104" s="2" t="s">
        <v>271</v>
      </c>
      <c r="L104" s="2" t="s">
        <v>31</v>
      </c>
      <c r="M104" s="2" t="s">
        <v>1578</v>
      </c>
      <c r="N104" s="2" t="s">
        <v>155</v>
      </c>
      <c r="O104" s="2" t="s">
        <v>34</v>
      </c>
      <c r="P104" s="152">
        <v>4225</v>
      </c>
      <c r="Q104" s="158">
        <v>1</v>
      </c>
      <c r="R104" s="175">
        <v>4670</v>
      </c>
      <c r="T104" s="151">
        <v>197.30799999999999</v>
      </c>
      <c r="U104" s="164">
        <v>2.7E-4</v>
      </c>
      <c r="V104" s="164">
        <v>1.54401174760212E-2</v>
      </c>
      <c r="W104" s="164">
        <v>5.8297852495076997E-3</v>
      </c>
    </row>
    <row r="105" spans="1:23">
      <c r="A105" s="2">
        <v>12904</v>
      </c>
      <c r="B105" s="2">
        <v>12905</v>
      </c>
      <c r="C105" s="2" t="s">
        <v>1571</v>
      </c>
      <c r="D105" s="2" t="s">
        <v>1572</v>
      </c>
      <c r="E105" s="4" t="s">
        <v>1342</v>
      </c>
      <c r="F105" s="2" t="s">
        <v>1706</v>
      </c>
      <c r="G105" s="2" t="s">
        <v>1707</v>
      </c>
      <c r="H105" s="2" t="s">
        <v>356</v>
      </c>
      <c r="I105" s="2" t="s">
        <v>1014</v>
      </c>
      <c r="J105" s="2" t="s">
        <v>30</v>
      </c>
      <c r="K105" s="2" t="s">
        <v>30</v>
      </c>
      <c r="L105" s="2" t="s">
        <v>31</v>
      </c>
      <c r="M105" s="2" t="s">
        <v>1575</v>
      </c>
      <c r="N105" s="2" t="s">
        <v>155</v>
      </c>
      <c r="O105" s="2" t="s">
        <v>34</v>
      </c>
      <c r="P105" s="152">
        <v>535</v>
      </c>
      <c r="Q105" s="158">
        <v>1</v>
      </c>
      <c r="R105" s="175">
        <v>3265</v>
      </c>
      <c r="T105" s="151">
        <v>17.468</v>
      </c>
      <c r="U105" s="164">
        <v>1.2999999999999999E-5</v>
      </c>
      <c r="V105" s="164">
        <v>1.36692275783622E-3</v>
      </c>
      <c r="W105" s="164">
        <v>5.1611434584132999E-4</v>
      </c>
    </row>
    <row r="106" spans="1:23">
      <c r="A106" s="2">
        <v>12904</v>
      </c>
      <c r="B106" s="2">
        <v>12905</v>
      </c>
      <c r="C106" s="2" t="s">
        <v>1571</v>
      </c>
      <c r="D106" s="2" t="s">
        <v>1572</v>
      </c>
      <c r="E106" s="4" t="s">
        <v>1342</v>
      </c>
      <c r="F106" s="2" t="s">
        <v>1708</v>
      </c>
      <c r="G106" s="2" t="s">
        <v>1709</v>
      </c>
      <c r="H106" s="2" t="s">
        <v>356</v>
      </c>
      <c r="I106" s="2" t="s">
        <v>1014</v>
      </c>
      <c r="J106" s="2" t="s">
        <v>30</v>
      </c>
      <c r="K106" s="2" t="s">
        <v>30</v>
      </c>
      <c r="L106" s="2" t="s">
        <v>31</v>
      </c>
      <c r="M106" s="2" t="s">
        <v>1575</v>
      </c>
      <c r="N106" s="2" t="s">
        <v>155</v>
      </c>
      <c r="O106" s="2" t="s">
        <v>34</v>
      </c>
      <c r="P106" s="152">
        <v>2514</v>
      </c>
      <c r="Q106" s="158">
        <v>1</v>
      </c>
      <c r="R106" s="175">
        <v>3034</v>
      </c>
      <c r="T106" s="151">
        <v>76.275000000000006</v>
      </c>
      <c r="U106" s="164">
        <v>6.9999999999999994E-5</v>
      </c>
      <c r="V106" s="164">
        <v>5.9688113977184E-3</v>
      </c>
      <c r="W106" s="164">
        <v>2.25366735049474E-3</v>
      </c>
    </row>
    <row r="107" spans="1:23">
      <c r="A107" s="2">
        <v>12904</v>
      </c>
      <c r="B107" s="2">
        <v>12905</v>
      </c>
      <c r="C107" s="2" t="s">
        <v>1571</v>
      </c>
      <c r="D107" s="2" t="s">
        <v>1572</v>
      </c>
      <c r="E107" s="4" t="s">
        <v>1342</v>
      </c>
      <c r="F107" s="2" t="s">
        <v>1745</v>
      </c>
      <c r="G107" s="2" t="s">
        <v>1746</v>
      </c>
      <c r="H107" s="2" t="s">
        <v>356</v>
      </c>
      <c r="I107" s="2" t="s">
        <v>1016</v>
      </c>
      <c r="J107" s="2" t="s">
        <v>30</v>
      </c>
      <c r="K107" s="2" t="s">
        <v>30</v>
      </c>
      <c r="L107" s="2" t="s">
        <v>31</v>
      </c>
      <c r="M107" s="2" t="s">
        <v>1747</v>
      </c>
      <c r="N107" s="2" t="s">
        <v>155</v>
      </c>
      <c r="O107" s="2" t="s">
        <v>34</v>
      </c>
      <c r="P107" s="152">
        <v>107069</v>
      </c>
      <c r="Q107" s="158">
        <v>1</v>
      </c>
      <c r="R107" s="175">
        <v>465.93</v>
      </c>
      <c r="T107" s="151">
        <v>498.86700000000002</v>
      </c>
      <c r="U107" s="164">
        <v>7.3899999999999997E-4</v>
      </c>
      <c r="V107" s="164">
        <v>3.9038347658909602E-2</v>
      </c>
      <c r="W107" s="164">
        <v>1.47398608657291E-2</v>
      </c>
    </row>
    <row r="108" spans="1:23">
      <c r="A108" s="2">
        <v>12904</v>
      </c>
      <c r="B108" s="2">
        <v>12905</v>
      </c>
      <c r="C108" s="2" t="s">
        <v>1571</v>
      </c>
      <c r="D108" s="2" t="s">
        <v>1572</v>
      </c>
      <c r="E108" s="4" t="s">
        <v>1342</v>
      </c>
      <c r="F108" s="2" t="s">
        <v>1748</v>
      </c>
      <c r="G108" s="2" t="s">
        <v>1749</v>
      </c>
      <c r="H108" s="2" t="s">
        <v>356</v>
      </c>
      <c r="I108" s="2" t="s">
        <v>1015</v>
      </c>
      <c r="J108" s="2" t="s">
        <v>30</v>
      </c>
      <c r="K108" s="2" t="s">
        <v>331</v>
      </c>
      <c r="L108" s="2" t="s">
        <v>31</v>
      </c>
      <c r="M108" s="2" t="s">
        <v>1578</v>
      </c>
      <c r="N108" s="2" t="s">
        <v>155</v>
      </c>
      <c r="O108" s="2" t="s">
        <v>34</v>
      </c>
      <c r="P108" s="152">
        <v>13816</v>
      </c>
      <c r="Q108" s="158">
        <v>1</v>
      </c>
      <c r="R108" s="175">
        <v>5257</v>
      </c>
      <c r="T108" s="151">
        <v>726.30700000000002</v>
      </c>
      <c r="U108" s="164">
        <v>2.199E-3</v>
      </c>
      <c r="V108" s="164">
        <v>5.6836497631720197E-2</v>
      </c>
      <c r="W108" s="164">
        <v>2.14599776226875E-2</v>
      </c>
    </row>
    <row r="109" spans="1:23">
      <c r="A109" s="2">
        <v>12904</v>
      </c>
      <c r="B109" s="2">
        <v>12905</v>
      </c>
      <c r="C109" s="2" t="s">
        <v>1579</v>
      </c>
      <c r="D109" s="2" t="s">
        <v>1580</v>
      </c>
      <c r="E109" s="4" t="s">
        <v>1342</v>
      </c>
      <c r="F109" s="2" t="s">
        <v>1750</v>
      </c>
      <c r="G109" s="2" t="s">
        <v>1751</v>
      </c>
      <c r="H109" s="2" t="s">
        <v>356</v>
      </c>
      <c r="I109" s="2" t="s">
        <v>1016</v>
      </c>
      <c r="J109" s="2" t="s">
        <v>30</v>
      </c>
      <c r="K109" s="2" t="s">
        <v>30</v>
      </c>
      <c r="L109" s="2" t="s">
        <v>31</v>
      </c>
      <c r="M109" s="2" t="s">
        <v>1747</v>
      </c>
      <c r="N109" s="2" t="s">
        <v>155</v>
      </c>
      <c r="O109" s="2" t="s">
        <v>34</v>
      </c>
      <c r="P109" s="152">
        <v>111655</v>
      </c>
      <c r="Q109" s="158">
        <v>1</v>
      </c>
      <c r="R109" s="175">
        <v>400.33</v>
      </c>
      <c r="T109" s="151">
        <v>446.988</v>
      </c>
      <c r="U109" s="164">
        <v>1.034E-3</v>
      </c>
      <c r="V109" s="164">
        <v>3.4978672153800398E-2</v>
      </c>
      <c r="W109" s="164">
        <v>1.32070333847058E-2</v>
      </c>
    </row>
    <row r="110" spans="1:23">
      <c r="A110" s="2">
        <v>12904</v>
      </c>
      <c r="B110" s="2">
        <v>12905</v>
      </c>
      <c r="C110" s="2" t="s">
        <v>1579</v>
      </c>
      <c r="D110" s="2" t="s">
        <v>1580</v>
      </c>
      <c r="E110" s="4" t="s">
        <v>1342</v>
      </c>
      <c r="F110" s="2" t="s">
        <v>1581</v>
      </c>
      <c r="G110" s="2" t="s">
        <v>1582</v>
      </c>
      <c r="H110" s="2" t="s">
        <v>356</v>
      </c>
      <c r="I110" s="2" t="s">
        <v>1014</v>
      </c>
      <c r="J110" s="2" t="s">
        <v>30</v>
      </c>
      <c r="K110" s="2" t="s">
        <v>30</v>
      </c>
      <c r="L110" s="2" t="s">
        <v>31</v>
      </c>
      <c r="M110" s="2" t="s">
        <v>1575</v>
      </c>
      <c r="N110" s="2" t="s">
        <v>155</v>
      </c>
      <c r="O110" s="2" t="s">
        <v>34</v>
      </c>
      <c r="P110" s="152">
        <v>2144</v>
      </c>
      <c r="Q110" s="158">
        <v>1</v>
      </c>
      <c r="R110" s="175">
        <v>2013</v>
      </c>
      <c r="T110" s="151">
        <v>43.158999999999999</v>
      </c>
      <c r="U110" s="164">
        <v>4.3999999999999999E-5</v>
      </c>
      <c r="V110" s="164">
        <v>3.3773460558504101E-3</v>
      </c>
      <c r="W110" s="164">
        <v>1.27519769518966E-3</v>
      </c>
    </row>
    <row r="111" spans="1:23">
      <c r="A111" s="2">
        <v>12904</v>
      </c>
      <c r="B111" s="2">
        <v>12905</v>
      </c>
      <c r="C111" s="2" t="s">
        <v>1579</v>
      </c>
      <c r="D111" s="2" t="s">
        <v>1580</v>
      </c>
      <c r="E111" s="4" t="s">
        <v>1342</v>
      </c>
      <c r="F111" s="2" t="s">
        <v>1752</v>
      </c>
      <c r="G111" s="2" t="s">
        <v>1753</v>
      </c>
      <c r="H111" s="2" t="s">
        <v>356</v>
      </c>
      <c r="I111" s="2" t="s">
        <v>1016</v>
      </c>
      <c r="J111" s="2" t="s">
        <v>30</v>
      </c>
      <c r="K111" s="2" t="s">
        <v>30</v>
      </c>
      <c r="L111" s="2" t="s">
        <v>31</v>
      </c>
      <c r="M111" s="2" t="s">
        <v>1747</v>
      </c>
      <c r="N111" s="2" t="s">
        <v>155</v>
      </c>
      <c r="O111" s="2" t="s">
        <v>34</v>
      </c>
      <c r="P111" s="152">
        <v>58603</v>
      </c>
      <c r="Q111" s="158">
        <v>1</v>
      </c>
      <c r="R111" s="175">
        <v>389.18</v>
      </c>
      <c r="T111" s="151">
        <v>228.071</v>
      </c>
      <c r="U111" s="164">
        <v>2.5700000000000001E-4</v>
      </c>
      <c r="V111" s="164">
        <v>1.78474991182184E-2</v>
      </c>
      <c r="W111" s="164">
        <v>6.7387497058606404E-3</v>
      </c>
    </row>
    <row r="112" spans="1:23">
      <c r="A112" s="2">
        <v>12904</v>
      </c>
      <c r="B112" s="2">
        <v>12905</v>
      </c>
      <c r="C112" s="2" t="s">
        <v>1579</v>
      </c>
      <c r="D112" s="2" t="s">
        <v>1580</v>
      </c>
      <c r="E112" s="4" t="s">
        <v>1342</v>
      </c>
      <c r="F112" s="2" t="s">
        <v>1583</v>
      </c>
      <c r="G112" s="2" t="s">
        <v>1584</v>
      </c>
      <c r="H112" s="2" t="s">
        <v>356</v>
      </c>
      <c r="I112" s="2" t="s">
        <v>1014</v>
      </c>
      <c r="J112" s="2" t="s">
        <v>30</v>
      </c>
      <c r="K112" s="2" t="s">
        <v>30</v>
      </c>
      <c r="L112" s="2" t="s">
        <v>31</v>
      </c>
      <c r="M112" s="2" t="s">
        <v>1575</v>
      </c>
      <c r="N112" s="2" t="s">
        <v>155</v>
      </c>
      <c r="O112" s="2" t="s">
        <v>34</v>
      </c>
      <c r="P112" s="152">
        <v>1098</v>
      </c>
      <c r="Q112" s="158">
        <v>1</v>
      </c>
      <c r="R112" s="175">
        <v>2076</v>
      </c>
      <c r="T112" s="151">
        <v>22.794</v>
      </c>
      <c r="U112" s="164">
        <v>1.5E-5</v>
      </c>
      <c r="V112" s="164">
        <v>1.7837611292262901E-3</v>
      </c>
      <c r="W112" s="164">
        <v>6.7350163209304399E-4</v>
      </c>
    </row>
    <row r="113" spans="1:23">
      <c r="A113" s="2">
        <v>12904</v>
      </c>
      <c r="B113" s="2">
        <v>12905</v>
      </c>
      <c r="C113" s="2" t="s">
        <v>1585</v>
      </c>
      <c r="D113" s="2" t="s">
        <v>1586</v>
      </c>
      <c r="E113" s="4" t="s">
        <v>1342</v>
      </c>
      <c r="F113" s="2" t="s">
        <v>1587</v>
      </c>
      <c r="G113" s="2" t="s">
        <v>1588</v>
      </c>
      <c r="H113" s="2" t="s">
        <v>356</v>
      </c>
      <c r="I113" s="2" t="s">
        <v>1015</v>
      </c>
      <c r="J113" s="2" t="s">
        <v>30</v>
      </c>
      <c r="K113" s="2" t="s">
        <v>98</v>
      </c>
      <c r="L113" s="2" t="s">
        <v>31</v>
      </c>
      <c r="M113" s="2" t="s">
        <v>1578</v>
      </c>
      <c r="N113" s="2" t="s">
        <v>155</v>
      </c>
      <c r="O113" s="2" t="s">
        <v>34</v>
      </c>
      <c r="P113" s="152">
        <v>2585</v>
      </c>
      <c r="Q113" s="158">
        <v>1</v>
      </c>
      <c r="R113" s="175">
        <v>11220</v>
      </c>
      <c r="T113" s="151">
        <v>290.03699999999998</v>
      </c>
      <c r="U113" s="164">
        <v>3.1799999999999998E-4</v>
      </c>
      <c r="V113" s="164">
        <v>2.2696579462984201E-2</v>
      </c>
      <c r="W113" s="164">
        <v>8.56963584461546E-3</v>
      </c>
    </row>
    <row r="114" spans="1:23">
      <c r="A114" s="2">
        <v>12904</v>
      </c>
      <c r="B114" s="2">
        <v>12905</v>
      </c>
      <c r="C114" s="2" t="s">
        <v>1585</v>
      </c>
      <c r="D114" s="2" t="s">
        <v>1586</v>
      </c>
      <c r="E114" s="4" t="s">
        <v>1342</v>
      </c>
      <c r="F114" s="2" t="s">
        <v>1589</v>
      </c>
      <c r="G114" s="2" t="s">
        <v>1590</v>
      </c>
      <c r="H114" s="2" t="s">
        <v>356</v>
      </c>
      <c r="I114" s="2" t="s">
        <v>1015</v>
      </c>
      <c r="J114" s="2" t="s">
        <v>30</v>
      </c>
      <c r="K114" s="2" t="s">
        <v>98</v>
      </c>
      <c r="L114" s="2" t="s">
        <v>31</v>
      </c>
      <c r="M114" s="2" t="s">
        <v>1578</v>
      </c>
      <c r="N114" s="2" t="s">
        <v>155</v>
      </c>
      <c r="O114" s="2" t="s">
        <v>34</v>
      </c>
      <c r="P114" s="152">
        <v>7139</v>
      </c>
      <c r="Q114" s="158">
        <v>1</v>
      </c>
      <c r="R114" s="175">
        <v>10530</v>
      </c>
      <c r="T114" s="151">
        <v>751.73699999999997</v>
      </c>
      <c r="U114" s="164">
        <v>1.25E-4</v>
      </c>
      <c r="V114" s="164">
        <v>5.8826466094986297E-2</v>
      </c>
      <c r="W114" s="164">
        <v>2.2211337760468301E-2</v>
      </c>
    </row>
    <row r="115" spans="1:23">
      <c r="A115" s="2">
        <v>12904</v>
      </c>
      <c r="B115" s="2">
        <v>12905</v>
      </c>
      <c r="C115" s="2" t="s">
        <v>1571</v>
      </c>
      <c r="D115" s="2" t="s">
        <v>1572</v>
      </c>
      <c r="E115" s="4" t="s">
        <v>1342</v>
      </c>
      <c r="F115" s="2" t="s">
        <v>1591</v>
      </c>
      <c r="G115" s="2" t="s">
        <v>1592</v>
      </c>
      <c r="H115" s="2" t="s">
        <v>356</v>
      </c>
      <c r="I115" s="2" t="s">
        <v>1015</v>
      </c>
      <c r="J115" s="2" t="s">
        <v>30</v>
      </c>
      <c r="K115" s="2" t="s">
        <v>98</v>
      </c>
      <c r="L115" s="2" t="s">
        <v>31</v>
      </c>
      <c r="M115" s="2" t="s">
        <v>1578</v>
      </c>
      <c r="N115" s="2" t="s">
        <v>155</v>
      </c>
      <c r="O115" s="2" t="s">
        <v>34</v>
      </c>
      <c r="P115" s="152">
        <v>1710</v>
      </c>
      <c r="Q115" s="158">
        <v>1</v>
      </c>
      <c r="R115" s="175">
        <v>3167</v>
      </c>
      <c r="T115" s="151">
        <v>54.155999999999999</v>
      </c>
      <c r="U115" s="164">
        <v>8.6000000000000003E-5</v>
      </c>
      <c r="V115" s="164">
        <v>4.2379046412131397E-3</v>
      </c>
      <c r="W115" s="164">
        <v>1.6001221496231199E-3</v>
      </c>
    </row>
    <row r="116" spans="1:23">
      <c r="A116" s="2">
        <v>12904</v>
      </c>
      <c r="B116" s="2">
        <v>12905</v>
      </c>
      <c r="C116" s="2" t="s">
        <v>1702</v>
      </c>
      <c r="D116" s="2" t="s">
        <v>1703</v>
      </c>
      <c r="E116" s="4" t="s">
        <v>1342</v>
      </c>
      <c r="F116" s="2" t="s">
        <v>1714</v>
      </c>
      <c r="G116" s="2" t="s">
        <v>1715</v>
      </c>
      <c r="H116" s="2" t="s">
        <v>356</v>
      </c>
      <c r="I116" s="2" t="s">
        <v>1015</v>
      </c>
      <c r="J116" s="2" t="s">
        <v>30</v>
      </c>
      <c r="K116" s="2" t="s">
        <v>334</v>
      </c>
      <c r="L116" s="2" t="s">
        <v>31</v>
      </c>
      <c r="M116" s="2" t="s">
        <v>1578</v>
      </c>
      <c r="N116" s="2" t="s">
        <v>155</v>
      </c>
      <c r="O116" s="2" t="s">
        <v>34</v>
      </c>
      <c r="P116" s="152">
        <v>12681</v>
      </c>
      <c r="Q116" s="158">
        <v>1</v>
      </c>
      <c r="R116" s="175">
        <v>1505</v>
      </c>
      <c r="T116" s="151">
        <v>190.84899999999999</v>
      </c>
      <c r="U116" s="164">
        <v>1.8799999999999999E-4</v>
      </c>
      <c r="V116" s="164">
        <v>1.4934717393849901E-2</v>
      </c>
      <c r="W116" s="164">
        <v>5.6389593734275604E-3</v>
      </c>
    </row>
    <row r="117" spans="1:23">
      <c r="A117" s="2">
        <v>12904</v>
      </c>
      <c r="B117" s="2">
        <v>12905</v>
      </c>
      <c r="C117" s="2" t="s">
        <v>1593</v>
      </c>
      <c r="D117" s="2" t="s">
        <v>1594</v>
      </c>
      <c r="E117" s="4" t="s">
        <v>350</v>
      </c>
      <c r="F117" s="2" t="s">
        <v>1595</v>
      </c>
      <c r="G117" s="2" t="s">
        <v>1596</v>
      </c>
      <c r="H117" s="2" t="s">
        <v>356</v>
      </c>
      <c r="I117" s="2" t="s">
        <v>1015</v>
      </c>
      <c r="J117" s="2" t="s">
        <v>97</v>
      </c>
      <c r="K117" s="2" t="s">
        <v>98</v>
      </c>
      <c r="L117" s="2" t="s">
        <v>379</v>
      </c>
      <c r="M117" s="2" t="s">
        <v>770</v>
      </c>
      <c r="N117" s="2" t="s">
        <v>155</v>
      </c>
      <c r="O117" s="2" t="s">
        <v>102</v>
      </c>
      <c r="P117" s="152">
        <v>429</v>
      </c>
      <c r="Q117" s="158">
        <v>3.71</v>
      </c>
      <c r="R117" s="175">
        <v>8078</v>
      </c>
      <c r="T117" s="151">
        <v>128.56899999999999</v>
      </c>
      <c r="U117" s="164">
        <v>1.9999999999999999E-6</v>
      </c>
      <c r="V117" s="164">
        <v>1.0061021037823199E-2</v>
      </c>
      <c r="W117" s="164">
        <v>3.7987788714936E-3</v>
      </c>
    </row>
    <row r="118" spans="1:23">
      <c r="A118" s="2">
        <v>12904</v>
      </c>
      <c r="B118" s="2">
        <v>12905</v>
      </c>
      <c r="C118" s="2" t="s">
        <v>1538</v>
      </c>
      <c r="D118" s="2" t="s">
        <v>1539</v>
      </c>
      <c r="E118" s="4" t="s">
        <v>350</v>
      </c>
      <c r="F118" s="2" t="s">
        <v>1597</v>
      </c>
      <c r="G118" s="2" t="s">
        <v>1598</v>
      </c>
      <c r="H118" s="2" t="s">
        <v>356</v>
      </c>
      <c r="I118" s="2" t="s">
        <v>1015</v>
      </c>
      <c r="J118" s="2" t="s">
        <v>97</v>
      </c>
      <c r="K118" s="2" t="s">
        <v>98</v>
      </c>
      <c r="L118" s="2" t="s">
        <v>379</v>
      </c>
      <c r="M118" s="2" t="s">
        <v>770</v>
      </c>
      <c r="N118" s="2" t="s">
        <v>155</v>
      </c>
      <c r="O118" s="2" t="s">
        <v>102</v>
      </c>
      <c r="P118" s="152">
        <v>210</v>
      </c>
      <c r="Q118" s="158">
        <v>3.71</v>
      </c>
      <c r="R118" s="175">
        <v>11497</v>
      </c>
      <c r="T118" s="151">
        <v>89.572999999999993</v>
      </c>
      <c r="U118" s="164">
        <v>1.1E-5</v>
      </c>
      <c r="V118" s="164">
        <v>7.0094629123300702E-3</v>
      </c>
      <c r="W118" s="164">
        <v>2.6465901931598201E-3</v>
      </c>
    </row>
    <row r="119" spans="1:23">
      <c r="A119" s="2">
        <v>12904</v>
      </c>
      <c r="B119" s="2">
        <v>12905</v>
      </c>
      <c r="C119" s="2" t="s">
        <v>1599</v>
      </c>
      <c r="D119" s="2" t="s">
        <v>1600</v>
      </c>
      <c r="E119" s="4" t="s">
        <v>350</v>
      </c>
      <c r="F119" s="2" t="s">
        <v>1601</v>
      </c>
      <c r="G119" s="2" t="s">
        <v>1602</v>
      </c>
      <c r="H119" s="2" t="s">
        <v>356</v>
      </c>
      <c r="I119" s="2" t="s">
        <v>1015</v>
      </c>
      <c r="J119" s="2" t="s">
        <v>97</v>
      </c>
      <c r="K119" s="2" t="s">
        <v>319</v>
      </c>
      <c r="L119" s="2" t="s">
        <v>381</v>
      </c>
      <c r="M119" s="2" t="s">
        <v>770</v>
      </c>
      <c r="N119" s="2" t="s">
        <v>155</v>
      </c>
      <c r="O119" s="2" t="s">
        <v>102</v>
      </c>
      <c r="P119" s="152">
        <v>2234</v>
      </c>
      <c r="Q119" s="158">
        <v>3.71</v>
      </c>
      <c r="R119" s="175">
        <v>13492.9</v>
      </c>
      <c r="T119" s="151">
        <v>1118.31</v>
      </c>
      <c r="U119" s="164">
        <v>0</v>
      </c>
      <c r="V119" s="164">
        <v>8.7512358121549297E-2</v>
      </c>
      <c r="W119" s="164">
        <v>3.3042381660564502E-2</v>
      </c>
    </row>
    <row r="120" spans="1:23">
      <c r="A120" s="2">
        <v>12904</v>
      </c>
      <c r="B120" s="2">
        <v>12905</v>
      </c>
      <c r="C120" s="2" t="s">
        <v>1603</v>
      </c>
      <c r="D120" s="2" t="s">
        <v>1604</v>
      </c>
      <c r="E120" s="4" t="s">
        <v>350</v>
      </c>
      <c r="F120" s="2" t="s">
        <v>1608</v>
      </c>
      <c r="G120" s="2" t="s">
        <v>1609</v>
      </c>
      <c r="H120" s="2" t="s">
        <v>356</v>
      </c>
      <c r="I120" s="2" t="s">
        <v>1015</v>
      </c>
      <c r="J120" s="2" t="s">
        <v>97</v>
      </c>
      <c r="K120" s="2" t="s">
        <v>319</v>
      </c>
      <c r="L120" s="2" t="s">
        <v>399</v>
      </c>
      <c r="M120" s="2" t="s">
        <v>770</v>
      </c>
      <c r="N120" s="2" t="s">
        <v>155</v>
      </c>
      <c r="O120" s="2" t="s">
        <v>1209</v>
      </c>
      <c r="P120" s="152">
        <v>150</v>
      </c>
      <c r="Q120" s="158">
        <v>4.1524000000000001</v>
      </c>
      <c r="R120" s="175">
        <v>11358</v>
      </c>
      <c r="T120" s="151">
        <v>70.744</v>
      </c>
      <c r="U120" s="164">
        <v>3.0000000000000001E-5</v>
      </c>
      <c r="V120" s="164">
        <v>5.5360411836711297E-3</v>
      </c>
      <c r="W120" s="164">
        <v>2.0902646164030298E-3</v>
      </c>
    </row>
    <row r="121" spans="1:23">
      <c r="A121" s="2">
        <v>12904</v>
      </c>
      <c r="B121" s="2">
        <v>12905</v>
      </c>
      <c r="C121" s="2" t="s">
        <v>1610</v>
      </c>
      <c r="D121" s="2" t="s">
        <v>1611</v>
      </c>
      <c r="E121" s="4" t="s">
        <v>350</v>
      </c>
      <c r="F121" s="2" t="s">
        <v>1612</v>
      </c>
      <c r="G121" s="2" t="s">
        <v>1613</v>
      </c>
      <c r="H121" s="2" t="s">
        <v>356</v>
      </c>
      <c r="I121" s="2" t="s">
        <v>1015</v>
      </c>
      <c r="J121" s="2" t="s">
        <v>97</v>
      </c>
      <c r="K121" s="2" t="s">
        <v>98</v>
      </c>
      <c r="L121" s="2" t="s">
        <v>1528</v>
      </c>
      <c r="M121" s="2" t="s">
        <v>770</v>
      </c>
      <c r="N121" s="2" t="s">
        <v>155</v>
      </c>
      <c r="O121" s="2" t="s">
        <v>1209</v>
      </c>
      <c r="P121" s="152">
        <v>469</v>
      </c>
      <c r="Q121" s="158">
        <v>4.1524000000000001</v>
      </c>
      <c r="R121" s="175">
        <v>7237.3</v>
      </c>
      <c r="T121" s="151">
        <v>140.94499999999999</v>
      </c>
      <c r="U121" s="164">
        <v>0</v>
      </c>
      <c r="V121" s="164">
        <v>1.10294944606888E-2</v>
      </c>
      <c r="W121" s="164">
        <v>4.1644491511356003E-3</v>
      </c>
    </row>
    <row r="122" spans="1:23">
      <c r="A122" s="2">
        <v>12904</v>
      </c>
      <c r="B122" s="2">
        <v>12905</v>
      </c>
      <c r="C122" s="2" t="s">
        <v>1593</v>
      </c>
      <c r="D122" s="2" t="s">
        <v>1594</v>
      </c>
      <c r="E122" s="4" t="s">
        <v>350</v>
      </c>
      <c r="F122" s="2" t="s">
        <v>1614</v>
      </c>
      <c r="G122" s="2" t="s">
        <v>1615</v>
      </c>
      <c r="H122" s="2" t="s">
        <v>356</v>
      </c>
      <c r="I122" s="2" t="s">
        <v>1015</v>
      </c>
      <c r="J122" s="2" t="s">
        <v>97</v>
      </c>
      <c r="K122" s="2" t="s">
        <v>98</v>
      </c>
      <c r="L122" s="2" t="s">
        <v>379</v>
      </c>
      <c r="M122" s="2" t="s">
        <v>770</v>
      </c>
      <c r="N122" s="2" t="s">
        <v>155</v>
      </c>
      <c r="O122" s="2" t="s">
        <v>102</v>
      </c>
      <c r="P122" s="152">
        <v>555</v>
      </c>
      <c r="Q122" s="158">
        <v>3.71</v>
      </c>
      <c r="R122" s="175">
        <v>9040</v>
      </c>
      <c r="T122" s="151">
        <v>186.13800000000001</v>
      </c>
      <c r="U122" s="164">
        <v>3.0000000000000001E-6</v>
      </c>
      <c r="V122" s="164">
        <v>1.4566067886754099E-2</v>
      </c>
      <c r="W122" s="164">
        <v>5.4997669442220596E-3</v>
      </c>
    </row>
    <row r="123" spans="1:23">
      <c r="A123" s="2">
        <v>12904</v>
      </c>
      <c r="B123" s="2">
        <v>12905</v>
      </c>
      <c r="C123" s="2" t="s">
        <v>1593</v>
      </c>
      <c r="D123" s="2" t="s">
        <v>1594</v>
      </c>
      <c r="E123" s="4" t="s">
        <v>350</v>
      </c>
      <c r="F123" s="2" t="s">
        <v>1616</v>
      </c>
      <c r="G123" s="2" t="s">
        <v>1617</v>
      </c>
      <c r="H123" s="2" t="s">
        <v>356</v>
      </c>
      <c r="I123" s="2" t="s">
        <v>1015</v>
      </c>
      <c r="J123" s="2" t="s">
        <v>97</v>
      </c>
      <c r="K123" s="2" t="s">
        <v>98</v>
      </c>
      <c r="L123" s="2" t="s">
        <v>379</v>
      </c>
      <c r="M123" s="2" t="s">
        <v>770</v>
      </c>
      <c r="N123" s="2" t="s">
        <v>155</v>
      </c>
      <c r="O123" s="2" t="s">
        <v>102</v>
      </c>
      <c r="P123" s="152">
        <v>303</v>
      </c>
      <c r="Q123" s="158">
        <v>3.71</v>
      </c>
      <c r="R123" s="175">
        <v>20037</v>
      </c>
      <c r="T123" s="151">
        <v>225.24199999999999</v>
      </c>
      <c r="U123" s="164">
        <v>3.0000000000000001E-6</v>
      </c>
      <c r="V123" s="164">
        <v>1.7626100530337301E-2</v>
      </c>
      <c r="W123" s="164">
        <v>6.6551553793345701E-3</v>
      </c>
    </row>
    <row r="124" spans="1:23">
      <c r="A124" s="2">
        <v>12904</v>
      </c>
      <c r="B124" s="2">
        <v>12905</v>
      </c>
      <c r="C124" s="2" t="s">
        <v>1593</v>
      </c>
      <c r="D124" s="2" t="s">
        <v>1594</v>
      </c>
      <c r="E124" s="4" t="s">
        <v>350</v>
      </c>
      <c r="F124" s="2" t="s">
        <v>1618</v>
      </c>
      <c r="G124" s="2" t="s">
        <v>1619</v>
      </c>
      <c r="H124" s="2" t="s">
        <v>356</v>
      </c>
      <c r="I124" s="2" t="s">
        <v>1015</v>
      </c>
      <c r="J124" s="2" t="s">
        <v>97</v>
      </c>
      <c r="K124" s="2" t="s">
        <v>98</v>
      </c>
      <c r="L124" s="2" t="s">
        <v>379</v>
      </c>
      <c r="M124" s="2" t="s">
        <v>770</v>
      </c>
      <c r="N124" s="2" t="s">
        <v>155</v>
      </c>
      <c r="O124" s="2" t="s">
        <v>102</v>
      </c>
      <c r="P124" s="152">
        <v>1335</v>
      </c>
      <c r="Q124" s="158">
        <v>3.71</v>
      </c>
      <c r="R124" s="175">
        <v>4532</v>
      </c>
      <c r="T124" s="151">
        <v>224.46299999999999</v>
      </c>
      <c r="U124" s="164">
        <v>9.9999999999999995E-7</v>
      </c>
      <c r="V124" s="164">
        <v>1.7565158903332E-2</v>
      </c>
      <c r="W124" s="164">
        <v>6.6321454120368403E-3</v>
      </c>
    </row>
    <row r="125" spans="1:23">
      <c r="A125" s="2">
        <v>12904</v>
      </c>
      <c r="B125" s="2">
        <v>12905</v>
      </c>
      <c r="C125" s="2" t="s">
        <v>1620</v>
      </c>
      <c r="D125" s="2" t="s">
        <v>1621</v>
      </c>
      <c r="E125" s="4" t="s">
        <v>350</v>
      </c>
      <c r="F125" s="2" t="s">
        <v>1624</v>
      </c>
      <c r="G125" s="2" t="s">
        <v>1625</v>
      </c>
      <c r="H125" s="2" t="s">
        <v>356</v>
      </c>
      <c r="I125" s="2" t="s">
        <v>1015</v>
      </c>
      <c r="J125" s="2" t="s">
        <v>97</v>
      </c>
      <c r="K125" s="2" t="s">
        <v>334</v>
      </c>
      <c r="L125" s="2" t="s">
        <v>381</v>
      </c>
      <c r="M125" s="2" t="s">
        <v>770</v>
      </c>
      <c r="N125" s="2" t="s">
        <v>155</v>
      </c>
      <c r="O125" s="2" t="s">
        <v>102</v>
      </c>
      <c r="P125" s="152">
        <v>143</v>
      </c>
      <c r="Q125" s="158">
        <v>3.71</v>
      </c>
      <c r="R125" s="175">
        <v>12725</v>
      </c>
      <c r="T125" s="151">
        <v>67.510000000000005</v>
      </c>
      <c r="U125" s="164">
        <v>2.0000000000000002E-5</v>
      </c>
      <c r="V125" s="164">
        <v>5.2829286418379197E-3</v>
      </c>
      <c r="W125" s="164">
        <v>1.9946959288502102E-3</v>
      </c>
    </row>
    <row r="126" spans="1:23">
      <c r="A126" s="2">
        <v>12904</v>
      </c>
      <c r="B126" s="2">
        <v>12905</v>
      </c>
      <c r="C126" s="2" t="s">
        <v>1722</v>
      </c>
      <c r="D126" s="2" t="s">
        <v>1723</v>
      </c>
      <c r="E126" s="4" t="s">
        <v>350</v>
      </c>
      <c r="F126" s="2" t="s">
        <v>1724</v>
      </c>
      <c r="G126" s="2" t="s">
        <v>1725</v>
      </c>
      <c r="H126" s="2" t="s">
        <v>356</v>
      </c>
      <c r="I126" s="2" t="s">
        <v>1015</v>
      </c>
      <c r="J126" s="2" t="s">
        <v>97</v>
      </c>
      <c r="K126" s="2" t="s">
        <v>98</v>
      </c>
      <c r="L126" s="2" t="s">
        <v>381</v>
      </c>
      <c r="M126" s="2" t="s">
        <v>770</v>
      </c>
      <c r="N126" s="2" t="s">
        <v>155</v>
      </c>
      <c r="O126" s="2" t="s">
        <v>102</v>
      </c>
      <c r="P126" s="152">
        <v>652</v>
      </c>
      <c r="Q126" s="158">
        <v>3.71</v>
      </c>
      <c r="R126" s="175">
        <v>2120</v>
      </c>
      <c r="T126" s="151">
        <v>51.280999999999999</v>
      </c>
      <c r="U126" s="164">
        <v>0</v>
      </c>
      <c r="V126" s="164">
        <v>4.0129557673178199E-3</v>
      </c>
      <c r="W126" s="164">
        <v>1.5151873277887101E-3</v>
      </c>
    </row>
    <row r="127" spans="1:23">
      <c r="A127" s="2">
        <v>12904</v>
      </c>
      <c r="B127" s="2">
        <v>12905</v>
      </c>
      <c r="C127" s="2" t="s">
        <v>1626</v>
      </c>
      <c r="D127" s="2" t="s">
        <v>1627</v>
      </c>
      <c r="E127" s="4" t="s">
        <v>350</v>
      </c>
      <c r="F127" s="2" t="s">
        <v>1628</v>
      </c>
      <c r="G127" s="2" t="s">
        <v>1629</v>
      </c>
      <c r="H127" s="2" t="s">
        <v>356</v>
      </c>
      <c r="I127" s="2" t="s">
        <v>1015</v>
      </c>
      <c r="J127" s="2" t="s">
        <v>97</v>
      </c>
      <c r="K127" s="2" t="s">
        <v>327</v>
      </c>
      <c r="L127" s="2" t="s">
        <v>379</v>
      </c>
      <c r="M127" s="2" t="s">
        <v>770</v>
      </c>
      <c r="N127" s="2" t="s">
        <v>155</v>
      </c>
      <c r="O127" s="2" t="s">
        <v>102</v>
      </c>
      <c r="P127" s="152">
        <v>813</v>
      </c>
      <c r="Q127" s="158">
        <v>3.71</v>
      </c>
      <c r="R127" s="175">
        <v>4116</v>
      </c>
      <c r="T127" s="151">
        <v>124.148</v>
      </c>
      <c r="U127" s="164">
        <v>5.0000000000000004E-6</v>
      </c>
      <c r="V127" s="164">
        <v>9.7150899900319398E-3</v>
      </c>
      <c r="W127" s="164">
        <v>3.6681643393896698E-3</v>
      </c>
    </row>
    <row r="128" spans="1:23">
      <c r="A128" s="2">
        <v>12904</v>
      </c>
      <c r="B128" s="2">
        <v>12905</v>
      </c>
      <c r="C128" s="2" t="s">
        <v>1593</v>
      </c>
      <c r="D128" s="2" t="s">
        <v>1594</v>
      </c>
      <c r="E128" s="4" t="s">
        <v>350</v>
      </c>
      <c r="F128" s="2" t="s">
        <v>1630</v>
      </c>
      <c r="G128" s="2" t="s">
        <v>1631</v>
      </c>
      <c r="H128" s="2" t="s">
        <v>356</v>
      </c>
      <c r="I128" s="2" t="s">
        <v>1015</v>
      </c>
      <c r="J128" s="2" t="s">
        <v>97</v>
      </c>
      <c r="K128" s="2" t="s">
        <v>98</v>
      </c>
      <c r="L128" s="2" t="s">
        <v>379</v>
      </c>
      <c r="M128" s="2" t="s">
        <v>770</v>
      </c>
      <c r="N128" s="2" t="s">
        <v>155</v>
      </c>
      <c r="O128" s="2" t="s">
        <v>102</v>
      </c>
      <c r="P128" s="152">
        <v>1013</v>
      </c>
      <c r="Q128" s="158">
        <v>3.71</v>
      </c>
      <c r="R128" s="175">
        <v>15402</v>
      </c>
      <c r="T128" s="151">
        <v>578.84299999999996</v>
      </c>
      <c r="U128" s="164">
        <v>3.0000000000000001E-6</v>
      </c>
      <c r="V128" s="164">
        <v>4.5296795643083698E-2</v>
      </c>
      <c r="W128" s="164">
        <v>1.7102887429459101E-2</v>
      </c>
    </row>
    <row r="129" spans="1:23">
      <c r="A129" s="2">
        <v>12904</v>
      </c>
      <c r="B129" s="2">
        <v>12905</v>
      </c>
      <c r="C129" s="2" t="s">
        <v>1632</v>
      </c>
      <c r="D129" s="2" t="s">
        <v>1633</v>
      </c>
      <c r="E129" s="4" t="s">
        <v>350</v>
      </c>
      <c r="F129" s="2" t="s">
        <v>1634</v>
      </c>
      <c r="G129" s="2" t="s">
        <v>1635</v>
      </c>
      <c r="H129" s="2" t="s">
        <v>356</v>
      </c>
      <c r="I129" s="2" t="s">
        <v>1015</v>
      </c>
      <c r="J129" s="2" t="s">
        <v>97</v>
      </c>
      <c r="K129" s="2" t="s">
        <v>320</v>
      </c>
      <c r="L129" s="2" t="s">
        <v>1636</v>
      </c>
      <c r="M129" s="2" t="s">
        <v>770</v>
      </c>
      <c r="N129" s="2" t="s">
        <v>155</v>
      </c>
      <c r="O129" s="2" t="s">
        <v>1208</v>
      </c>
      <c r="P129" s="152">
        <v>430</v>
      </c>
      <c r="Q129" s="158">
        <v>2.7435</v>
      </c>
      <c r="R129" s="175">
        <v>6219</v>
      </c>
      <c r="T129" s="151">
        <v>73.366</v>
      </c>
      <c r="U129" s="164">
        <v>6.0000000000000002E-6</v>
      </c>
      <c r="V129" s="164">
        <v>5.7411776223235999E-3</v>
      </c>
      <c r="W129" s="164">
        <v>2.16771877995133E-3</v>
      </c>
    </row>
    <row r="130" spans="1:23">
      <c r="A130" s="2">
        <v>12904</v>
      </c>
      <c r="B130" s="2">
        <v>12905</v>
      </c>
      <c r="C130" s="2" t="s">
        <v>1637</v>
      </c>
      <c r="D130" s="2" t="s">
        <v>1638</v>
      </c>
      <c r="E130" s="4" t="s">
        <v>350</v>
      </c>
      <c r="F130" s="2" t="s">
        <v>1639</v>
      </c>
      <c r="G130" s="2" t="s">
        <v>1640</v>
      </c>
      <c r="H130" s="2" t="s">
        <v>356</v>
      </c>
      <c r="I130" s="2" t="s">
        <v>1017</v>
      </c>
      <c r="J130" s="2" t="s">
        <v>97</v>
      </c>
      <c r="K130" s="2" t="s">
        <v>1607</v>
      </c>
      <c r="L130" s="2" t="s">
        <v>415</v>
      </c>
      <c r="M130" s="2" t="s">
        <v>767</v>
      </c>
      <c r="N130" s="2" t="s">
        <v>155</v>
      </c>
      <c r="O130" s="2" t="s">
        <v>102</v>
      </c>
      <c r="P130" s="152">
        <v>871</v>
      </c>
      <c r="Q130" s="158">
        <v>3.71</v>
      </c>
      <c r="R130" s="175">
        <v>4584</v>
      </c>
      <c r="T130" s="151">
        <v>148.12799999999999</v>
      </c>
      <c r="U130" s="164">
        <v>0</v>
      </c>
      <c r="V130" s="164">
        <v>1.1591607843617799E-2</v>
      </c>
      <c r="W130" s="164">
        <v>4.37668848891522E-3</v>
      </c>
    </row>
    <row r="131" spans="1:23">
      <c r="A131" s="2">
        <v>12904</v>
      </c>
      <c r="B131" s="2">
        <v>12905</v>
      </c>
      <c r="C131" s="2" t="s">
        <v>1593</v>
      </c>
      <c r="D131" s="2" t="s">
        <v>1594</v>
      </c>
      <c r="E131" s="4" t="s">
        <v>350</v>
      </c>
      <c r="F131" s="2" t="s">
        <v>1641</v>
      </c>
      <c r="G131" s="2" t="s">
        <v>1642</v>
      </c>
      <c r="H131" s="2" t="s">
        <v>356</v>
      </c>
      <c r="I131" s="2" t="s">
        <v>1015</v>
      </c>
      <c r="J131" s="2" t="s">
        <v>97</v>
      </c>
      <c r="K131" s="2" t="s">
        <v>98</v>
      </c>
      <c r="L131" s="2" t="s">
        <v>379</v>
      </c>
      <c r="M131" s="2" t="s">
        <v>770</v>
      </c>
      <c r="N131" s="2" t="s">
        <v>155</v>
      </c>
      <c r="O131" s="2" t="s">
        <v>102</v>
      </c>
      <c r="P131" s="152">
        <v>461</v>
      </c>
      <c r="Q131" s="158">
        <v>3.71</v>
      </c>
      <c r="R131" s="175">
        <v>13544</v>
      </c>
      <c r="T131" s="151">
        <v>231.64400000000001</v>
      </c>
      <c r="U131" s="164">
        <v>3.0000000000000001E-6</v>
      </c>
      <c r="V131" s="164">
        <v>1.8127119033371001E-2</v>
      </c>
      <c r="W131" s="164">
        <v>6.8443268855263098E-3</v>
      </c>
    </row>
    <row r="132" spans="1:23">
      <c r="A132" s="2">
        <v>12904</v>
      </c>
      <c r="B132" s="2">
        <v>12905</v>
      </c>
      <c r="C132" s="2" t="s">
        <v>1534</v>
      </c>
      <c r="D132" s="2" t="s">
        <v>1535</v>
      </c>
      <c r="E132" s="4" t="s">
        <v>350</v>
      </c>
      <c r="F132" s="2" t="s">
        <v>1643</v>
      </c>
      <c r="G132" s="2" t="s">
        <v>1644</v>
      </c>
      <c r="H132" s="2" t="s">
        <v>356</v>
      </c>
      <c r="I132" s="2" t="s">
        <v>1017</v>
      </c>
      <c r="J132" s="2" t="s">
        <v>97</v>
      </c>
      <c r="K132" s="2" t="s">
        <v>98</v>
      </c>
      <c r="L132" s="2" t="s">
        <v>415</v>
      </c>
      <c r="M132" s="2" t="s">
        <v>767</v>
      </c>
      <c r="N132" s="2" t="s">
        <v>155</v>
      </c>
      <c r="O132" s="2" t="s">
        <v>102</v>
      </c>
      <c r="P132" s="152">
        <v>5261</v>
      </c>
      <c r="Q132" s="158">
        <v>3.71</v>
      </c>
      <c r="R132" s="175">
        <v>2890.75</v>
      </c>
      <c r="T132" s="151">
        <v>564.226</v>
      </c>
      <c r="U132" s="164">
        <v>0</v>
      </c>
      <c r="V132" s="164">
        <v>4.4152952717105197E-2</v>
      </c>
      <c r="W132" s="164">
        <v>1.6671002203975601E-2</v>
      </c>
    </row>
    <row r="133" spans="1:23">
      <c r="A133" s="2">
        <v>12904</v>
      </c>
      <c r="B133" s="2">
        <v>12905</v>
      </c>
      <c r="C133" s="2" t="s">
        <v>1637</v>
      </c>
      <c r="D133" s="2" t="s">
        <v>1638</v>
      </c>
      <c r="E133" s="4" t="s">
        <v>350</v>
      </c>
      <c r="F133" s="2" t="s">
        <v>1645</v>
      </c>
      <c r="G133" s="2" t="s">
        <v>1646</v>
      </c>
      <c r="H133" s="2" t="s">
        <v>356</v>
      </c>
      <c r="I133" s="2" t="s">
        <v>1015</v>
      </c>
      <c r="J133" s="2" t="s">
        <v>97</v>
      </c>
      <c r="K133" s="2" t="s">
        <v>271</v>
      </c>
      <c r="L133" s="2" t="s">
        <v>415</v>
      </c>
      <c r="M133" s="2" t="s">
        <v>770</v>
      </c>
      <c r="N133" s="2" t="s">
        <v>155</v>
      </c>
      <c r="O133" s="2" t="s">
        <v>1211</v>
      </c>
      <c r="P133" s="152">
        <v>5066</v>
      </c>
      <c r="Q133" s="158">
        <v>4.9748000000000001</v>
      </c>
      <c r="R133" s="175">
        <v>799.3</v>
      </c>
      <c r="T133" s="151">
        <v>201.44200000000001</v>
      </c>
      <c r="U133" s="164">
        <v>7.9999999999999996E-6</v>
      </c>
      <c r="V133" s="164">
        <v>1.57636807400225E-2</v>
      </c>
      <c r="W133" s="164">
        <v>5.9519542904289697E-3</v>
      </c>
    </row>
    <row r="134" spans="1:23">
      <c r="A134" s="2">
        <v>12904</v>
      </c>
      <c r="B134" s="2">
        <v>12905</v>
      </c>
      <c r="C134" s="2" t="s">
        <v>1637</v>
      </c>
      <c r="D134" s="2" t="s">
        <v>1638</v>
      </c>
      <c r="E134" s="4" t="s">
        <v>350</v>
      </c>
      <c r="F134" s="2" t="s">
        <v>1647</v>
      </c>
      <c r="G134" s="2" t="s">
        <v>1648</v>
      </c>
      <c r="H134" s="2" t="s">
        <v>356</v>
      </c>
      <c r="I134" s="2" t="s">
        <v>1015</v>
      </c>
      <c r="J134" s="2" t="s">
        <v>97</v>
      </c>
      <c r="K134" s="2" t="s">
        <v>306</v>
      </c>
      <c r="L134" s="2" t="s">
        <v>379</v>
      </c>
      <c r="M134" s="2" t="s">
        <v>770</v>
      </c>
      <c r="N134" s="2" t="s">
        <v>155</v>
      </c>
      <c r="O134" s="2" t="s">
        <v>102</v>
      </c>
      <c r="P134" s="152">
        <v>400</v>
      </c>
      <c r="Q134" s="158">
        <v>3.71</v>
      </c>
      <c r="R134" s="175">
        <v>3178</v>
      </c>
      <c r="T134" s="151">
        <v>47.161999999999999</v>
      </c>
      <c r="U134" s="164">
        <v>1.9999999999999999E-6</v>
      </c>
      <c r="V134" s="164">
        <v>3.6905814991712101E-3</v>
      </c>
      <c r="W134" s="164">
        <v>1.39346722065995E-3</v>
      </c>
    </row>
    <row r="135" spans="1:23">
      <c r="A135" s="2">
        <v>12904</v>
      </c>
      <c r="B135" s="2">
        <v>12905</v>
      </c>
      <c r="C135" s="2" t="s">
        <v>1637</v>
      </c>
      <c r="D135" s="2" t="s">
        <v>1638</v>
      </c>
      <c r="E135" s="4" t="s">
        <v>350</v>
      </c>
      <c r="F135" s="2" t="s">
        <v>1649</v>
      </c>
      <c r="G135" s="2" t="s">
        <v>1650</v>
      </c>
      <c r="H135" s="2" t="s">
        <v>356</v>
      </c>
      <c r="I135" s="2" t="s">
        <v>1017</v>
      </c>
      <c r="J135" s="2" t="s">
        <v>97</v>
      </c>
      <c r="K135" s="2" t="s">
        <v>259</v>
      </c>
      <c r="L135" s="2" t="s">
        <v>415</v>
      </c>
      <c r="M135" s="2" t="s">
        <v>767</v>
      </c>
      <c r="N135" s="2" t="s">
        <v>155</v>
      </c>
      <c r="O135" s="2" t="s">
        <v>102</v>
      </c>
      <c r="P135" s="152">
        <v>6921</v>
      </c>
      <c r="Q135" s="158">
        <v>3.71</v>
      </c>
      <c r="R135" s="175">
        <v>624.54999999999995</v>
      </c>
      <c r="T135" s="151">
        <v>160.36500000000001</v>
      </c>
      <c r="U135" s="164">
        <v>0</v>
      </c>
      <c r="V135" s="164">
        <v>1.2549227081342301E-2</v>
      </c>
      <c r="W135" s="164">
        <v>4.73826051162822E-3</v>
      </c>
    </row>
    <row r="136" spans="1:23">
      <c r="A136" s="2">
        <v>12904</v>
      </c>
      <c r="B136" s="2">
        <v>12905</v>
      </c>
      <c r="C136" s="2" t="s">
        <v>1637</v>
      </c>
      <c r="D136" s="2" t="s">
        <v>1638</v>
      </c>
      <c r="E136" s="4" t="s">
        <v>350</v>
      </c>
      <c r="F136" s="2" t="s">
        <v>1651</v>
      </c>
      <c r="G136" s="2" t="s">
        <v>1652</v>
      </c>
      <c r="H136" s="2" t="s">
        <v>356</v>
      </c>
      <c r="I136" s="2" t="s">
        <v>1015</v>
      </c>
      <c r="J136" s="2" t="s">
        <v>97</v>
      </c>
      <c r="K136" s="2" t="s">
        <v>98</v>
      </c>
      <c r="L136" s="2" t="s">
        <v>381</v>
      </c>
      <c r="M136" s="2" t="s">
        <v>770</v>
      </c>
      <c r="N136" s="2" t="s">
        <v>155</v>
      </c>
      <c r="O136" s="2" t="s">
        <v>102</v>
      </c>
      <c r="P136" s="152">
        <v>302</v>
      </c>
      <c r="Q136" s="158">
        <v>3.71</v>
      </c>
      <c r="R136" s="175">
        <v>6111</v>
      </c>
      <c r="T136" s="151">
        <v>68.468999999999994</v>
      </c>
      <c r="U136" s="164">
        <v>0</v>
      </c>
      <c r="V136" s="164">
        <v>5.3579683366216501E-3</v>
      </c>
      <c r="W136" s="164">
        <v>2.0230289584697802E-3</v>
      </c>
    </row>
    <row r="137" spans="1:23">
      <c r="A137" s="2">
        <v>12904</v>
      </c>
      <c r="B137" s="2">
        <v>12905</v>
      </c>
      <c r="C137" s="2" t="s">
        <v>1637</v>
      </c>
      <c r="D137" s="2" t="s">
        <v>1638</v>
      </c>
      <c r="E137" s="4" t="s">
        <v>350</v>
      </c>
      <c r="F137" s="2" t="s">
        <v>1653</v>
      </c>
      <c r="G137" s="2" t="s">
        <v>1654</v>
      </c>
      <c r="H137" s="2" t="s">
        <v>356</v>
      </c>
      <c r="I137" s="2" t="s">
        <v>1015</v>
      </c>
      <c r="J137" s="2" t="s">
        <v>97</v>
      </c>
      <c r="K137" s="2" t="s">
        <v>98</v>
      </c>
      <c r="L137" s="2" t="s">
        <v>379</v>
      </c>
      <c r="M137" s="2" t="s">
        <v>770</v>
      </c>
      <c r="N137" s="2" t="s">
        <v>155</v>
      </c>
      <c r="O137" s="2" t="s">
        <v>102</v>
      </c>
      <c r="P137" s="152">
        <v>250</v>
      </c>
      <c r="Q137" s="158">
        <v>3.71</v>
      </c>
      <c r="R137" s="175">
        <v>12856</v>
      </c>
      <c r="T137" s="151">
        <v>119.239</v>
      </c>
      <c r="U137" s="164">
        <v>5.3999999999999998E-5</v>
      </c>
      <c r="V137" s="164">
        <v>9.3309699011455798E-3</v>
      </c>
      <c r="W137" s="164">
        <v>3.52313062240487E-3</v>
      </c>
    </row>
    <row r="138" spans="1:23">
      <c r="A138" s="2">
        <v>12904</v>
      </c>
      <c r="B138" s="2">
        <v>12905</v>
      </c>
      <c r="C138" s="2" t="s">
        <v>1637</v>
      </c>
      <c r="D138" s="2" t="s">
        <v>1638</v>
      </c>
      <c r="E138" s="4" t="s">
        <v>350</v>
      </c>
      <c r="F138" s="2" t="s">
        <v>1655</v>
      </c>
      <c r="G138" s="2" t="s">
        <v>1656</v>
      </c>
      <c r="H138" s="2" t="s">
        <v>356</v>
      </c>
      <c r="I138" s="2" t="s">
        <v>1017</v>
      </c>
      <c r="J138" s="2" t="s">
        <v>97</v>
      </c>
      <c r="K138" s="2" t="s">
        <v>98</v>
      </c>
      <c r="L138" s="2" t="s">
        <v>415</v>
      </c>
      <c r="M138" s="2" t="s">
        <v>767</v>
      </c>
      <c r="N138" s="2" t="s">
        <v>155</v>
      </c>
      <c r="O138" s="2" t="s">
        <v>102</v>
      </c>
      <c r="P138" s="152">
        <v>6197</v>
      </c>
      <c r="Q138" s="158">
        <v>3.71</v>
      </c>
      <c r="R138" s="175">
        <v>595.6</v>
      </c>
      <c r="T138" s="151">
        <v>136.934</v>
      </c>
      <c r="U138" s="164">
        <v>0</v>
      </c>
      <c r="V138" s="164">
        <v>1.07156149957495E-2</v>
      </c>
      <c r="W138" s="164">
        <v>4.0459364599162396E-3</v>
      </c>
    </row>
    <row r="139" spans="1:23">
      <c r="A139" s="2">
        <v>12904</v>
      </c>
      <c r="B139" s="2">
        <v>12905</v>
      </c>
      <c r="C139" s="2" t="s">
        <v>1657</v>
      </c>
      <c r="D139" s="2" t="s">
        <v>1604</v>
      </c>
      <c r="E139" s="4" t="s">
        <v>350</v>
      </c>
      <c r="F139" s="2" t="s">
        <v>1658</v>
      </c>
      <c r="G139" s="2" t="s">
        <v>1659</v>
      </c>
      <c r="H139" s="2" t="s">
        <v>356</v>
      </c>
      <c r="I139" s="2" t="s">
        <v>1015</v>
      </c>
      <c r="J139" s="2" t="s">
        <v>97</v>
      </c>
      <c r="K139" s="2" t="s">
        <v>331</v>
      </c>
      <c r="L139" s="2" t="s">
        <v>399</v>
      </c>
      <c r="M139" s="2" t="s">
        <v>770</v>
      </c>
      <c r="N139" s="2" t="s">
        <v>155</v>
      </c>
      <c r="O139" s="2" t="s">
        <v>1209</v>
      </c>
      <c r="P139" s="152">
        <v>125</v>
      </c>
      <c r="Q139" s="158">
        <v>4.1524000000000001</v>
      </c>
      <c r="R139" s="175">
        <v>24366</v>
      </c>
      <c r="T139" s="151">
        <v>126.47199999999999</v>
      </c>
      <c r="U139" s="164">
        <v>6.0000000000000002E-6</v>
      </c>
      <c r="V139" s="164">
        <v>9.8969287052687403E-3</v>
      </c>
      <c r="W139" s="164">
        <v>3.7368218908314398E-3</v>
      </c>
    </row>
    <row r="140" spans="1:23">
      <c r="A140" s="2">
        <v>12904</v>
      </c>
      <c r="B140" s="2">
        <v>12905</v>
      </c>
      <c r="C140" s="2" t="s">
        <v>1657</v>
      </c>
      <c r="D140" s="2" t="s">
        <v>1604</v>
      </c>
      <c r="E140" s="4" t="s">
        <v>350</v>
      </c>
      <c r="F140" s="2" t="s">
        <v>1660</v>
      </c>
      <c r="G140" s="2" t="s">
        <v>1661</v>
      </c>
      <c r="H140" s="2" t="s">
        <v>356</v>
      </c>
      <c r="I140" s="2" t="s">
        <v>1015</v>
      </c>
      <c r="J140" s="2" t="s">
        <v>97</v>
      </c>
      <c r="K140" s="2" t="s">
        <v>319</v>
      </c>
      <c r="L140" s="2" t="s">
        <v>399</v>
      </c>
      <c r="M140" s="2" t="s">
        <v>770</v>
      </c>
      <c r="N140" s="2" t="s">
        <v>155</v>
      </c>
      <c r="O140" s="2" t="s">
        <v>1209</v>
      </c>
      <c r="P140" s="152">
        <v>78</v>
      </c>
      <c r="Q140" s="158">
        <v>4.1524000000000001</v>
      </c>
      <c r="R140" s="175">
        <v>15648.2</v>
      </c>
      <c r="T140" s="151">
        <v>50.683</v>
      </c>
      <c r="U140" s="164">
        <v>2.4000000000000001E-5</v>
      </c>
      <c r="V140" s="164">
        <v>3.9661138772819002E-3</v>
      </c>
      <c r="W140" s="164">
        <v>1.49750105305572E-3</v>
      </c>
    </row>
    <row r="141" spans="1:23">
      <c r="A141" s="2">
        <v>12904</v>
      </c>
      <c r="B141" s="2">
        <v>12905</v>
      </c>
      <c r="C141" s="2" t="s">
        <v>1662</v>
      </c>
      <c r="D141" s="2" t="s">
        <v>1663</v>
      </c>
      <c r="E141" s="4" t="s">
        <v>350</v>
      </c>
      <c r="F141" s="2" t="s">
        <v>1664</v>
      </c>
      <c r="G141" s="2" t="s">
        <v>1665</v>
      </c>
      <c r="H141" s="2" t="s">
        <v>356</v>
      </c>
      <c r="I141" s="2" t="s">
        <v>1015</v>
      </c>
      <c r="J141" s="2" t="s">
        <v>97</v>
      </c>
      <c r="K141" s="2" t="s">
        <v>98</v>
      </c>
      <c r="L141" s="2" t="s">
        <v>379</v>
      </c>
      <c r="M141" s="2" t="s">
        <v>770</v>
      </c>
      <c r="N141" s="2" t="s">
        <v>155</v>
      </c>
      <c r="O141" s="2" t="s">
        <v>102</v>
      </c>
      <c r="P141" s="152">
        <v>136</v>
      </c>
      <c r="Q141" s="158">
        <v>3.71</v>
      </c>
      <c r="R141" s="175">
        <v>9638</v>
      </c>
      <c r="T141" s="151">
        <v>48.628999999999998</v>
      </c>
      <c r="U141" s="164">
        <v>1.9999999999999999E-6</v>
      </c>
      <c r="V141" s="164">
        <v>3.8054563644632201E-3</v>
      </c>
      <c r="W141" s="164">
        <v>1.4368409706497799E-3</v>
      </c>
    </row>
    <row r="142" spans="1:23">
      <c r="A142" s="2">
        <v>12904</v>
      </c>
      <c r="B142" s="2">
        <v>12905</v>
      </c>
      <c r="C142" s="2" t="s">
        <v>1637</v>
      </c>
      <c r="D142" s="2" t="s">
        <v>1638</v>
      </c>
      <c r="E142" s="4" t="s">
        <v>350</v>
      </c>
      <c r="F142" s="2" t="s">
        <v>1666</v>
      </c>
      <c r="G142" s="2" t="s">
        <v>1667</v>
      </c>
      <c r="H142" s="2" t="s">
        <v>356</v>
      </c>
      <c r="I142" s="2" t="s">
        <v>1015</v>
      </c>
      <c r="J142" s="2" t="s">
        <v>97</v>
      </c>
      <c r="K142" s="2" t="s">
        <v>306</v>
      </c>
      <c r="L142" s="2" t="s">
        <v>381</v>
      </c>
      <c r="M142" s="2" t="s">
        <v>770</v>
      </c>
      <c r="N142" s="2" t="s">
        <v>155</v>
      </c>
      <c r="O142" s="2" t="s">
        <v>102</v>
      </c>
      <c r="P142" s="152">
        <v>419</v>
      </c>
      <c r="Q142" s="158">
        <v>3.71</v>
      </c>
      <c r="R142" s="175">
        <v>5091</v>
      </c>
      <c r="T142" s="151">
        <v>79.138999999999996</v>
      </c>
      <c r="U142" s="164">
        <v>3.0000000000000001E-6</v>
      </c>
      <c r="V142" s="164">
        <v>6.1929565943561801E-3</v>
      </c>
      <c r="W142" s="164">
        <v>2.3382987247790501E-3</v>
      </c>
    </row>
    <row r="143" spans="1:23">
      <c r="A143" s="2">
        <v>12904</v>
      </c>
      <c r="B143" s="2">
        <v>12905</v>
      </c>
      <c r="D143" s="2" t="s">
        <v>1668</v>
      </c>
      <c r="E143" s="4" t="s">
        <v>350</v>
      </c>
      <c r="F143" s="2" t="s">
        <v>1669</v>
      </c>
      <c r="G143" s="2" t="s">
        <v>1670</v>
      </c>
      <c r="H143" s="2" t="s">
        <v>356</v>
      </c>
      <c r="I143" s="2" t="s">
        <v>1015</v>
      </c>
      <c r="J143" s="2" t="s">
        <v>97</v>
      </c>
      <c r="K143" s="2" t="s">
        <v>98</v>
      </c>
      <c r="L143" s="2" t="s">
        <v>1528</v>
      </c>
      <c r="M143" s="2" t="s">
        <v>770</v>
      </c>
      <c r="N143" s="2" t="s">
        <v>155</v>
      </c>
      <c r="O143" s="2" t="s">
        <v>102</v>
      </c>
      <c r="P143" s="152">
        <v>628</v>
      </c>
      <c r="Q143" s="158">
        <v>3.71</v>
      </c>
      <c r="R143" s="175">
        <v>8078</v>
      </c>
      <c r="T143" s="151">
        <v>188.208</v>
      </c>
      <c r="U143" s="164">
        <v>1.2999999999999999E-5</v>
      </c>
      <c r="V143" s="164">
        <v>1.47280214726176E-2</v>
      </c>
      <c r="W143" s="164">
        <v>5.56091638997198E-3</v>
      </c>
    </row>
    <row r="144" spans="1:23">
      <c r="A144" s="2">
        <v>12904</v>
      </c>
      <c r="B144" s="2">
        <v>12905</v>
      </c>
      <c r="C144" s="2" t="s">
        <v>1593</v>
      </c>
      <c r="D144" s="2" t="s">
        <v>1594</v>
      </c>
      <c r="E144" s="4" t="s">
        <v>350</v>
      </c>
      <c r="F144" s="2" t="s">
        <v>1671</v>
      </c>
      <c r="G144" s="2" t="s">
        <v>1672</v>
      </c>
      <c r="H144" s="2" t="s">
        <v>356</v>
      </c>
      <c r="I144" s="2" t="s">
        <v>1015</v>
      </c>
      <c r="J144" s="2" t="s">
        <v>97</v>
      </c>
      <c r="K144" s="2" t="s">
        <v>98</v>
      </c>
      <c r="L144" s="2" t="s">
        <v>379</v>
      </c>
      <c r="M144" s="2" t="s">
        <v>770</v>
      </c>
      <c r="N144" s="2" t="s">
        <v>155</v>
      </c>
      <c r="O144" s="2" t="s">
        <v>102</v>
      </c>
      <c r="P144" s="152">
        <v>194</v>
      </c>
      <c r="Q144" s="158">
        <v>3.71</v>
      </c>
      <c r="R144" s="175">
        <v>8780</v>
      </c>
      <c r="T144" s="151">
        <v>63.192999999999998</v>
      </c>
      <c r="U144" s="164">
        <v>0</v>
      </c>
      <c r="V144" s="164">
        <v>4.9451237249593296E-3</v>
      </c>
      <c r="W144" s="164">
        <v>1.8671496116224799E-3</v>
      </c>
    </row>
    <row r="145" spans="1:23">
      <c r="A145" s="2">
        <v>12904</v>
      </c>
      <c r="B145" s="2">
        <v>12905</v>
      </c>
      <c r="C145" s="2" t="s">
        <v>1538</v>
      </c>
      <c r="D145" s="2" t="s">
        <v>1539</v>
      </c>
      <c r="E145" s="4" t="s">
        <v>350</v>
      </c>
      <c r="F145" s="2" t="s">
        <v>1673</v>
      </c>
      <c r="G145" s="2" t="s">
        <v>1674</v>
      </c>
      <c r="H145" s="2" t="s">
        <v>356</v>
      </c>
      <c r="I145" s="2" t="s">
        <v>1015</v>
      </c>
      <c r="J145" s="2" t="s">
        <v>97</v>
      </c>
      <c r="K145" s="2" t="s">
        <v>98</v>
      </c>
      <c r="L145" s="2" t="s">
        <v>381</v>
      </c>
      <c r="M145" s="2" t="s">
        <v>770</v>
      </c>
      <c r="N145" s="2" t="s">
        <v>155</v>
      </c>
      <c r="O145" s="2" t="s">
        <v>102</v>
      </c>
      <c r="P145" s="152">
        <v>262</v>
      </c>
      <c r="Q145" s="158">
        <v>3.71</v>
      </c>
      <c r="R145" s="175">
        <v>48807</v>
      </c>
      <c r="S145" s="155">
        <v>0.13300000000000001</v>
      </c>
      <c r="T145" s="151">
        <v>474.90899999999999</v>
      </c>
      <c r="U145" s="164">
        <v>0</v>
      </c>
      <c r="V145" s="164">
        <v>3.7163555096567297E-2</v>
      </c>
      <c r="W145" s="164">
        <v>1.40319881411333E-2</v>
      </c>
    </row>
    <row r="146" spans="1:23">
      <c r="A146" s="2">
        <v>12904</v>
      </c>
      <c r="B146" s="2">
        <v>12905</v>
      </c>
      <c r="C146" s="2" t="s">
        <v>1593</v>
      </c>
      <c r="D146" s="2" t="s">
        <v>1594</v>
      </c>
      <c r="E146" s="4" t="s">
        <v>350</v>
      </c>
      <c r="F146" s="2" t="s">
        <v>1675</v>
      </c>
      <c r="G146" s="2" t="s">
        <v>1676</v>
      </c>
      <c r="H146" s="2" t="s">
        <v>356</v>
      </c>
      <c r="I146" s="2" t="s">
        <v>1015</v>
      </c>
      <c r="J146" s="2" t="s">
        <v>97</v>
      </c>
      <c r="K146" s="2" t="s">
        <v>98</v>
      </c>
      <c r="L146" s="2" t="s">
        <v>379</v>
      </c>
      <c r="M146" s="2" t="s">
        <v>770</v>
      </c>
      <c r="N146" s="2" t="s">
        <v>155</v>
      </c>
      <c r="O146" s="2" t="s">
        <v>102</v>
      </c>
      <c r="P146" s="152">
        <v>324</v>
      </c>
      <c r="Q146" s="158">
        <v>3.71</v>
      </c>
      <c r="R146" s="175">
        <v>4467</v>
      </c>
      <c r="T146" s="151">
        <v>53.695</v>
      </c>
      <c r="U146" s="164">
        <v>5.0000000000000004E-6</v>
      </c>
      <c r="V146" s="164">
        <v>4.2018629078055996E-3</v>
      </c>
      <c r="W146" s="164">
        <v>1.58651373206333E-3</v>
      </c>
    </row>
    <row r="147" spans="1:23">
      <c r="A147" s="2">
        <v>12904</v>
      </c>
      <c r="B147" s="2">
        <v>12905</v>
      </c>
      <c r="C147" s="2" t="s">
        <v>1677</v>
      </c>
      <c r="D147" s="2" t="s">
        <v>1678</v>
      </c>
      <c r="E147" s="4" t="s">
        <v>350</v>
      </c>
      <c r="F147" s="2" t="s">
        <v>1679</v>
      </c>
      <c r="G147" s="2" t="s">
        <v>1680</v>
      </c>
      <c r="H147" s="2" t="s">
        <v>356</v>
      </c>
      <c r="I147" s="2" t="s">
        <v>1015</v>
      </c>
      <c r="J147" s="2" t="s">
        <v>97</v>
      </c>
      <c r="K147" s="2" t="s">
        <v>98</v>
      </c>
      <c r="L147" s="2" t="s">
        <v>379</v>
      </c>
      <c r="M147" s="2" t="s">
        <v>770</v>
      </c>
      <c r="N147" s="2" t="s">
        <v>155</v>
      </c>
      <c r="O147" s="2" t="s">
        <v>102</v>
      </c>
      <c r="P147" s="152">
        <v>164</v>
      </c>
      <c r="Q147" s="158">
        <v>3.71</v>
      </c>
      <c r="R147" s="175">
        <v>17916</v>
      </c>
      <c r="T147" s="151">
        <v>109.008</v>
      </c>
      <c r="U147" s="164">
        <v>9.9999999999999995E-7</v>
      </c>
      <c r="V147" s="164">
        <v>8.5303297158754107E-3</v>
      </c>
      <c r="W147" s="164">
        <v>3.2208297915012202E-3</v>
      </c>
    </row>
    <row r="148" spans="1:23">
      <c r="A148" s="2">
        <v>12904</v>
      </c>
      <c r="B148" s="2">
        <v>12905</v>
      </c>
      <c r="C148" s="2" t="s">
        <v>1681</v>
      </c>
      <c r="D148" s="2" t="s">
        <v>1682</v>
      </c>
      <c r="E148" s="4" t="s">
        <v>350</v>
      </c>
      <c r="F148" s="2" t="s">
        <v>1683</v>
      </c>
      <c r="G148" s="2" t="s">
        <v>1684</v>
      </c>
      <c r="H148" s="2" t="s">
        <v>356</v>
      </c>
      <c r="I148" s="2" t="s">
        <v>1015</v>
      </c>
      <c r="J148" s="2" t="s">
        <v>97</v>
      </c>
      <c r="K148" s="2" t="s">
        <v>98</v>
      </c>
      <c r="L148" s="2" t="s">
        <v>1528</v>
      </c>
      <c r="M148" s="2" t="s">
        <v>770</v>
      </c>
      <c r="N148" s="2" t="s">
        <v>155</v>
      </c>
      <c r="O148" s="2" t="s">
        <v>1209</v>
      </c>
      <c r="P148" s="152">
        <v>230</v>
      </c>
      <c r="Q148" s="158">
        <v>4.1524000000000001</v>
      </c>
      <c r="R148" s="175">
        <v>12402</v>
      </c>
      <c r="T148" s="151">
        <v>118.446</v>
      </c>
      <c r="U148" s="164">
        <v>9.0000000000000006E-5</v>
      </c>
      <c r="V148" s="164">
        <v>9.2688478222542406E-3</v>
      </c>
      <c r="W148" s="164">
        <v>3.4996749472941098E-3</v>
      </c>
    </row>
    <row r="149" spans="1:23">
      <c r="A149" s="2">
        <v>12904</v>
      </c>
      <c r="B149" s="2">
        <v>12905</v>
      </c>
      <c r="C149" s="2" t="s">
        <v>1538</v>
      </c>
      <c r="D149" s="2" t="s">
        <v>1539</v>
      </c>
      <c r="E149" s="4" t="s">
        <v>350</v>
      </c>
      <c r="F149" s="2" t="s">
        <v>1733</v>
      </c>
      <c r="G149" s="2" t="s">
        <v>1734</v>
      </c>
      <c r="H149" s="2" t="s">
        <v>356</v>
      </c>
      <c r="I149" s="2" t="s">
        <v>1015</v>
      </c>
      <c r="J149" s="2" t="s">
        <v>97</v>
      </c>
      <c r="K149" s="2" t="s">
        <v>98</v>
      </c>
      <c r="L149" s="2" t="s">
        <v>415</v>
      </c>
      <c r="M149" s="2" t="s">
        <v>770</v>
      </c>
      <c r="N149" s="2" t="s">
        <v>155</v>
      </c>
      <c r="O149" s="2" t="s">
        <v>102</v>
      </c>
      <c r="P149" s="152">
        <v>305</v>
      </c>
      <c r="Q149" s="158">
        <v>3.71</v>
      </c>
      <c r="R149" s="175">
        <v>112716</v>
      </c>
      <c r="T149" s="151">
        <v>1275.4380000000001</v>
      </c>
      <c r="U149" s="164">
        <v>6.0000000000000002E-5</v>
      </c>
      <c r="V149" s="164">
        <v>9.9808223095875906E-2</v>
      </c>
      <c r="W149" s="164">
        <v>3.7684979255342602E-2</v>
      </c>
    </row>
    <row r="150" spans="1:23">
      <c r="A150" s="2">
        <v>12904</v>
      </c>
      <c r="B150" s="2">
        <v>12905</v>
      </c>
      <c r="C150" s="2" t="s">
        <v>1593</v>
      </c>
      <c r="D150" s="2" t="s">
        <v>1594</v>
      </c>
      <c r="E150" s="4" t="s">
        <v>350</v>
      </c>
      <c r="F150" s="2" t="s">
        <v>1685</v>
      </c>
      <c r="G150" s="2" t="s">
        <v>1686</v>
      </c>
      <c r="H150" s="2" t="s">
        <v>356</v>
      </c>
      <c r="I150" s="2" t="s">
        <v>1017</v>
      </c>
      <c r="J150" s="2" t="s">
        <v>97</v>
      </c>
      <c r="K150" s="2" t="s">
        <v>98</v>
      </c>
      <c r="L150" s="2" t="s">
        <v>1528</v>
      </c>
      <c r="M150" s="2" t="s">
        <v>767</v>
      </c>
      <c r="N150" s="2" t="s">
        <v>155</v>
      </c>
      <c r="O150" s="2" t="s">
        <v>102</v>
      </c>
      <c r="P150" s="152">
        <v>12377</v>
      </c>
      <c r="Q150" s="158">
        <v>3.71</v>
      </c>
      <c r="R150" s="175">
        <v>1075.2</v>
      </c>
      <c r="T150" s="151">
        <v>493.71800000000002</v>
      </c>
      <c r="U150" s="164">
        <v>0</v>
      </c>
      <c r="V150" s="164">
        <v>3.8635413327429403E-2</v>
      </c>
      <c r="W150" s="164">
        <v>1.4587723381941701E-2</v>
      </c>
    </row>
    <row r="151" spans="1:23">
      <c r="A151" s="2">
        <v>12904</v>
      </c>
      <c r="B151" s="2">
        <v>12905</v>
      </c>
      <c r="C151" s="2" t="s">
        <v>1687</v>
      </c>
      <c r="D151" s="2" t="s">
        <v>1688</v>
      </c>
      <c r="E151" s="4" t="s">
        <v>350</v>
      </c>
      <c r="F151" s="2" t="s">
        <v>1689</v>
      </c>
      <c r="G151" s="2" t="s">
        <v>1690</v>
      </c>
      <c r="H151" s="2" t="s">
        <v>356</v>
      </c>
      <c r="I151" s="2" t="s">
        <v>1015</v>
      </c>
      <c r="J151" s="2" t="s">
        <v>97</v>
      </c>
      <c r="K151" s="2" t="s">
        <v>98</v>
      </c>
      <c r="L151" s="2" t="s">
        <v>1691</v>
      </c>
      <c r="M151" s="2" t="s">
        <v>770</v>
      </c>
      <c r="N151" s="2" t="s">
        <v>155</v>
      </c>
      <c r="O151" s="2" t="s">
        <v>102</v>
      </c>
      <c r="P151" s="152">
        <v>615</v>
      </c>
      <c r="Q151" s="158">
        <v>3.71</v>
      </c>
      <c r="R151" s="175">
        <v>3453</v>
      </c>
      <c r="T151" s="151">
        <v>78.784999999999997</v>
      </c>
      <c r="U151" s="164">
        <v>0</v>
      </c>
      <c r="V151" s="164">
        <v>6.1652772331124003E-3</v>
      </c>
      <c r="W151" s="164">
        <v>2.3278477206241E-3</v>
      </c>
    </row>
    <row r="152" spans="1:23">
      <c r="A152" s="2">
        <v>12904</v>
      </c>
      <c r="B152" s="2">
        <v>12905</v>
      </c>
      <c r="C152" s="2" t="s">
        <v>1692</v>
      </c>
      <c r="D152" s="2" t="s">
        <v>1693</v>
      </c>
      <c r="E152" s="4" t="s">
        <v>350</v>
      </c>
      <c r="F152" s="2" t="s">
        <v>1694</v>
      </c>
      <c r="G152" s="2" t="s">
        <v>1695</v>
      </c>
      <c r="H152" s="2" t="s">
        <v>356</v>
      </c>
      <c r="I152" s="2" t="s">
        <v>1015</v>
      </c>
      <c r="J152" s="2" t="s">
        <v>97</v>
      </c>
      <c r="K152" s="2" t="s">
        <v>271</v>
      </c>
      <c r="L152" s="2" t="s">
        <v>1691</v>
      </c>
      <c r="M152" s="2" t="s">
        <v>770</v>
      </c>
      <c r="N152" s="2" t="s">
        <v>155</v>
      </c>
      <c r="O152" s="2" t="s">
        <v>1211</v>
      </c>
      <c r="P152" s="152">
        <v>629</v>
      </c>
      <c r="Q152" s="158">
        <v>4.9748000000000001</v>
      </c>
      <c r="R152" s="175">
        <v>3242.5</v>
      </c>
      <c r="T152" s="151">
        <v>101.46299999999999</v>
      </c>
      <c r="U152" s="164">
        <v>1.2E-5</v>
      </c>
      <c r="V152" s="164">
        <v>7.9398676341057798E-3</v>
      </c>
      <c r="W152" s="164">
        <v>2.9978867251650998E-3</v>
      </c>
    </row>
    <row r="153" spans="1:23">
      <c r="A153" s="2">
        <v>12904</v>
      </c>
      <c r="B153" s="2">
        <v>12905</v>
      </c>
      <c r="C153" s="2" t="s">
        <v>1692</v>
      </c>
      <c r="D153" s="2" t="s">
        <v>1693</v>
      </c>
      <c r="E153" s="4" t="s">
        <v>350</v>
      </c>
      <c r="F153" s="2" t="s">
        <v>1737</v>
      </c>
      <c r="G153" s="2" t="s">
        <v>1738</v>
      </c>
      <c r="H153" s="2" t="s">
        <v>356</v>
      </c>
      <c r="I153" s="2" t="s">
        <v>1015</v>
      </c>
      <c r="J153" s="2" t="s">
        <v>97</v>
      </c>
      <c r="K153" s="2" t="s">
        <v>98</v>
      </c>
      <c r="L153" s="2" t="s">
        <v>379</v>
      </c>
      <c r="M153" s="2" t="s">
        <v>770</v>
      </c>
      <c r="N153" s="2" t="s">
        <v>155</v>
      </c>
      <c r="O153" s="2" t="s">
        <v>102</v>
      </c>
      <c r="P153" s="152">
        <v>288</v>
      </c>
      <c r="Q153" s="158">
        <v>3.71</v>
      </c>
      <c r="R153" s="175">
        <v>52767</v>
      </c>
      <c r="S153" s="155">
        <v>0.47199999999999998</v>
      </c>
      <c r="T153" s="151">
        <v>565.55600000000004</v>
      </c>
      <c r="U153" s="164">
        <v>0</v>
      </c>
      <c r="V153" s="164">
        <v>4.4257039918610602E-2</v>
      </c>
      <c r="W153" s="164">
        <v>1.6710302813763098E-2</v>
      </c>
    </row>
    <row r="154" spans="1:23">
      <c r="A154" s="2">
        <v>12904</v>
      </c>
      <c r="B154" s="2">
        <v>12905</v>
      </c>
      <c r="C154" s="2" t="s">
        <v>1692</v>
      </c>
      <c r="D154" s="2" t="s">
        <v>1693</v>
      </c>
      <c r="E154" s="4" t="s">
        <v>350</v>
      </c>
      <c r="F154" s="2" t="s">
        <v>1696</v>
      </c>
      <c r="G154" s="2" t="s">
        <v>1697</v>
      </c>
      <c r="H154" s="2" t="s">
        <v>356</v>
      </c>
      <c r="I154" s="2" t="s">
        <v>1015</v>
      </c>
      <c r="J154" s="2" t="s">
        <v>97</v>
      </c>
      <c r="K154" s="2" t="s">
        <v>98</v>
      </c>
      <c r="L154" s="2" t="s">
        <v>379</v>
      </c>
      <c r="M154" s="2" t="s">
        <v>770</v>
      </c>
      <c r="N154" s="2" t="s">
        <v>155</v>
      </c>
      <c r="O154" s="2" t="s">
        <v>102</v>
      </c>
      <c r="P154" s="152">
        <v>660</v>
      </c>
      <c r="Q154" s="158">
        <v>3.71</v>
      </c>
      <c r="R154" s="175">
        <v>10563</v>
      </c>
      <c r="S154" s="155">
        <v>0.23799999999999999</v>
      </c>
      <c r="T154" s="151">
        <v>259.52800000000002</v>
      </c>
      <c r="U154" s="164">
        <v>8.2999999999999998E-5</v>
      </c>
      <c r="V154" s="164">
        <v>2.0309131796358799E-2</v>
      </c>
      <c r="W154" s="164">
        <v>7.6681979370036898E-3</v>
      </c>
    </row>
    <row r="155" spans="1:23">
      <c r="A155" s="2">
        <v>12904</v>
      </c>
      <c r="B155" s="2">
        <v>12905</v>
      </c>
      <c r="C155" s="2" t="s">
        <v>1698</v>
      </c>
      <c r="D155" s="2" t="s">
        <v>1699</v>
      </c>
      <c r="E155" s="4" t="s">
        <v>350</v>
      </c>
      <c r="F155" s="2" t="s">
        <v>1700</v>
      </c>
      <c r="G155" s="2" t="s">
        <v>1701</v>
      </c>
      <c r="H155" s="2" t="s">
        <v>356</v>
      </c>
      <c r="I155" s="2" t="s">
        <v>1015</v>
      </c>
      <c r="J155" s="2" t="s">
        <v>97</v>
      </c>
      <c r="K155" s="2" t="s">
        <v>282</v>
      </c>
      <c r="L155" s="2" t="s">
        <v>379</v>
      </c>
      <c r="M155" s="2" t="s">
        <v>770</v>
      </c>
      <c r="N155" s="2" t="s">
        <v>155</v>
      </c>
      <c r="O155" s="2" t="s">
        <v>102</v>
      </c>
      <c r="P155" s="152">
        <v>2090</v>
      </c>
      <c r="Q155" s="158">
        <v>3.71</v>
      </c>
      <c r="R155" s="175">
        <v>5046</v>
      </c>
      <c r="T155" s="151">
        <v>391.262</v>
      </c>
      <c r="U155" s="164">
        <v>9.5000000000000005E-5</v>
      </c>
      <c r="V155" s="164">
        <v>3.0617832891495798E-2</v>
      </c>
      <c r="W155" s="164">
        <v>1.15604943317265E-2</v>
      </c>
    </row>
    <row r="156" spans="1:23">
      <c r="A156" s="2">
        <v>12904</v>
      </c>
      <c r="B156" s="2">
        <v>13680</v>
      </c>
      <c r="C156" s="2" t="s">
        <v>1702</v>
      </c>
      <c r="D156" s="2" t="s">
        <v>1703</v>
      </c>
      <c r="E156" s="4" t="s">
        <v>1342</v>
      </c>
      <c r="F156" s="2" t="s">
        <v>1704</v>
      </c>
      <c r="G156" s="2" t="s">
        <v>1705</v>
      </c>
      <c r="H156" s="2" t="s">
        <v>356</v>
      </c>
      <c r="I156" s="2" t="s">
        <v>1015</v>
      </c>
      <c r="J156" s="2" t="s">
        <v>30</v>
      </c>
      <c r="K156" s="2" t="s">
        <v>271</v>
      </c>
      <c r="L156" s="2" t="s">
        <v>31</v>
      </c>
      <c r="M156" s="2" t="s">
        <v>1578</v>
      </c>
      <c r="N156" s="2" t="s">
        <v>155</v>
      </c>
      <c r="O156" s="2" t="s">
        <v>34</v>
      </c>
      <c r="P156" s="152">
        <v>10150</v>
      </c>
      <c r="Q156" s="158">
        <v>1</v>
      </c>
      <c r="R156" s="175">
        <v>4670</v>
      </c>
      <c r="T156" s="151">
        <v>474.005</v>
      </c>
      <c r="U156" s="164">
        <v>6.4899999999999995E-4</v>
      </c>
      <c r="V156" s="164">
        <v>2.03842381578506E-2</v>
      </c>
      <c r="W156" s="164">
        <v>1.29225090204961E-2</v>
      </c>
    </row>
    <row r="157" spans="1:23">
      <c r="A157" s="2">
        <v>12904</v>
      </c>
      <c r="B157" s="2">
        <v>13680</v>
      </c>
      <c r="C157" s="2" t="s">
        <v>1571</v>
      </c>
      <c r="D157" s="2" t="s">
        <v>1572</v>
      </c>
      <c r="E157" s="4" t="s">
        <v>1342</v>
      </c>
      <c r="F157" s="2" t="s">
        <v>1576</v>
      </c>
      <c r="G157" s="2" t="s">
        <v>1577</v>
      </c>
      <c r="H157" s="2" t="s">
        <v>356</v>
      </c>
      <c r="I157" s="2" t="s">
        <v>1015</v>
      </c>
      <c r="J157" s="2" t="s">
        <v>30</v>
      </c>
      <c r="K157" s="2" t="s">
        <v>98</v>
      </c>
      <c r="L157" s="2" t="s">
        <v>31</v>
      </c>
      <c r="M157" s="2" t="s">
        <v>1578</v>
      </c>
      <c r="N157" s="2" t="s">
        <v>155</v>
      </c>
      <c r="O157" s="2" t="s">
        <v>34</v>
      </c>
      <c r="P157" s="152">
        <v>2984</v>
      </c>
      <c r="Q157" s="158">
        <v>1</v>
      </c>
      <c r="R157" s="175">
        <v>10350</v>
      </c>
      <c r="T157" s="151">
        <v>308.84399999999999</v>
      </c>
      <c r="U157" s="164">
        <v>4.7100000000000001E-4</v>
      </c>
      <c r="V157" s="164">
        <v>1.32816102142872E-2</v>
      </c>
      <c r="W157" s="164">
        <v>8.4198254784782697E-3</v>
      </c>
    </row>
    <row r="158" spans="1:23">
      <c r="A158" s="2">
        <v>12904</v>
      </c>
      <c r="B158" s="2">
        <v>13680</v>
      </c>
      <c r="C158" s="2" t="s">
        <v>1571</v>
      </c>
      <c r="D158" s="2" t="s">
        <v>1572</v>
      </c>
      <c r="E158" s="4" t="s">
        <v>1342</v>
      </c>
      <c r="F158" s="2" t="s">
        <v>1706</v>
      </c>
      <c r="G158" s="2" t="s">
        <v>1707</v>
      </c>
      <c r="H158" s="2" t="s">
        <v>356</v>
      </c>
      <c r="I158" s="2" t="s">
        <v>1014</v>
      </c>
      <c r="J158" s="2" t="s">
        <v>30</v>
      </c>
      <c r="K158" s="2" t="s">
        <v>30</v>
      </c>
      <c r="L158" s="2" t="s">
        <v>31</v>
      </c>
      <c r="M158" s="2" t="s">
        <v>1575</v>
      </c>
      <c r="N158" s="2" t="s">
        <v>155</v>
      </c>
      <c r="O158" s="2" t="s">
        <v>34</v>
      </c>
      <c r="P158" s="152">
        <v>4309</v>
      </c>
      <c r="Q158" s="158">
        <v>1</v>
      </c>
      <c r="R158" s="175">
        <v>3265</v>
      </c>
      <c r="T158" s="151">
        <v>140.68899999999999</v>
      </c>
      <c r="U158" s="164">
        <v>1.08E-4</v>
      </c>
      <c r="V158" s="164">
        <v>6.0502210410314601E-3</v>
      </c>
      <c r="W158" s="164">
        <v>3.8355142523986501E-3</v>
      </c>
    </row>
    <row r="159" spans="1:23">
      <c r="A159" s="2">
        <v>12904</v>
      </c>
      <c r="B159" s="2">
        <v>13680</v>
      </c>
      <c r="C159" s="2" t="s">
        <v>1571</v>
      </c>
      <c r="D159" s="2" t="s">
        <v>1572</v>
      </c>
      <c r="E159" s="4" t="s">
        <v>1342</v>
      </c>
      <c r="F159" s="2" t="s">
        <v>1708</v>
      </c>
      <c r="G159" s="2" t="s">
        <v>1709</v>
      </c>
      <c r="H159" s="2" t="s">
        <v>356</v>
      </c>
      <c r="I159" s="2" t="s">
        <v>1014</v>
      </c>
      <c r="J159" s="2" t="s">
        <v>30</v>
      </c>
      <c r="K159" s="2" t="s">
        <v>30</v>
      </c>
      <c r="L159" s="2" t="s">
        <v>31</v>
      </c>
      <c r="M159" s="2" t="s">
        <v>1575</v>
      </c>
      <c r="N159" s="2" t="s">
        <v>155</v>
      </c>
      <c r="O159" s="2" t="s">
        <v>34</v>
      </c>
      <c r="P159" s="152">
        <v>11258</v>
      </c>
      <c r="Q159" s="158">
        <v>1</v>
      </c>
      <c r="R159" s="175">
        <v>3034</v>
      </c>
      <c r="T159" s="151">
        <v>341.56799999999998</v>
      </c>
      <c r="U159" s="164">
        <v>3.1300000000000002E-4</v>
      </c>
      <c r="V159" s="164">
        <v>1.46888698463392E-2</v>
      </c>
      <c r="W159" s="164">
        <v>9.3119522849131903E-3</v>
      </c>
    </row>
    <row r="160" spans="1:23">
      <c r="A160" s="2">
        <v>12904</v>
      </c>
      <c r="B160" s="2">
        <v>13680</v>
      </c>
      <c r="C160" s="2" t="s">
        <v>1579</v>
      </c>
      <c r="D160" s="2" t="s">
        <v>1580</v>
      </c>
      <c r="E160" s="4" t="s">
        <v>1342</v>
      </c>
      <c r="F160" s="2" t="s">
        <v>1710</v>
      </c>
      <c r="G160" s="2" t="s">
        <v>1711</v>
      </c>
      <c r="H160" s="2" t="s">
        <v>356</v>
      </c>
      <c r="I160" s="2" t="s">
        <v>1015</v>
      </c>
      <c r="J160" s="2" t="s">
        <v>30</v>
      </c>
      <c r="K160" s="2" t="s">
        <v>1607</v>
      </c>
      <c r="L160" s="2" t="s">
        <v>31</v>
      </c>
      <c r="M160" s="2" t="s">
        <v>1578</v>
      </c>
      <c r="N160" s="2" t="s">
        <v>155</v>
      </c>
      <c r="O160" s="2" t="s">
        <v>34</v>
      </c>
      <c r="P160" s="152">
        <v>15540</v>
      </c>
      <c r="Q160" s="158">
        <v>1</v>
      </c>
      <c r="R160" s="175">
        <v>3582</v>
      </c>
      <c r="T160" s="151">
        <v>556.64300000000003</v>
      </c>
      <c r="U160" s="164">
        <v>7.3700000000000002E-4</v>
      </c>
      <c r="V160" s="164">
        <v>2.39380162742013E-2</v>
      </c>
      <c r="W160" s="164">
        <v>1.51754129264337E-2</v>
      </c>
    </row>
    <row r="161" spans="1:23">
      <c r="A161" s="2">
        <v>12904</v>
      </c>
      <c r="B161" s="2">
        <v>13680</v>
      </c>
      <c r="C161" s="2" t="s">
        <v>1579</v>
      </c>
      <c r="D161" s="2" t="s">
        <v>1580</v>
      </c>
      <c r="E161" s="4" t="s">
        <v>1342</v>
      </c>
      <c r="F161" s="2" t="s">
        <v>1712</v>
      </c>
      <c r="G161" s="2" t="s">
        <v>1713</v>
      </c>
      <c r="H161" s="2" t="s">
        <v>356</v>
      </c>
      <c r="I161" s="2" t="s">
        <v>1015</v>
      </c>
      <c r="J161" s="2" t="s">
        <v>30</v>
      </c>
      <c r="K161" s="2" t="s">
        <v>98</v>
      </c>
      <c r="L161" s="2" t="s">
        <v>31</v>
      </c>
      <c r="M161" s="2" t="s">
        <v>1578</v>
      </c>
      <c r="N161" s="2" t="s">
        <v>155</v>
      </c>
      <c r="O161" s="2" t="s">
        <v>34</v>
      </c>
      <c r="P161" s="152">
        <v>3812</v>
      </c>
      <c r="Q161" s="158">
        <v>1</v>
      </c>
      <c r="R161" s="175">
        <v>7865</v>
      </c>
      <c r="T161" s="151">
        <v>299.81400000000002</v>
      </c>
      <c r="U161" s="164">
        <v>6.1700000000000004E-4</v>
      </c>
      <c r="V161" s="164">
        <v>1.2893273071402599E-2</v>
      </c>
      <c r="W161" s="164">
        <v>8.1736406471855892E-3</v>
      </c>
    </row>
    <row r="162" spans="1:23">
      <c r="A162" s="2">
        <v>12904</v>
      </c>
      <c r="B162" s="2">
        <v>13680</v>
      </c>
      <c r="C162" s="2" t="s">
        <v>1579</v>
      </c>
      <c r="D162" s="2" t="s">
        <v>1580</v>
      </c>
      <c r="E162" s="4" t="s">
        <v>1342</v>
      </c>
      <c r="F162" s="2" t="s">
        <v>1581</v>
      </c>
      <c r="G162" s="2" t="s">
        <v>1582</v>
      </c>
      <c r="H162" s="2" t="s">
        <v>356</v>
      </c>
      <c r="I162" s="2" t="s">
        <v>1014</v>
      </c>
      <c r="J162" s="2" t="s">
        <v>30</v>
      </c>
      <c r="K162" s="2" t="s">
        <v>30</v>
      </c>
      <c r="L162" s="2" t="s">
        <v>31</v>
      </c>
      <c r="M162" s="2" t="s">
        <v>1575</v>
      </c>
      <c r="N162" s="2" t="s">
        <v>155</v>
      </c>
      <c r="O162" s="2" t="s">
        <v>34</v>
      </c>
      <c r="P162" s="152">
        <v>3118</v>
      </c>
      <c r="Q162" s="158">
        <v>1</v>
      </c>
      <c r="R162" s="175">
        <v>2013</v>
      </c>
      <c r="T162" s="151">
        <v>62.765000000000001</v>
      </c>
      <c r="U162" s="164">
        <v>6.3999999999999997E-5</v>
      </c>
      <c r="V162" s="164">
        <v>2.6991775163098799E-3</v>
      </c>
      <c r="W162" s="164">
        <v>1.71113315750784E-3</v>
      </c>
    </row>
    <row r="163" spans="1:23">
      <c r="A163" s="2">
        <v>12904</v>
      </c>
      <c r="B163" s="2">
        <v>13680</v>
      </c>
      <c r="C163" s="2" t="s">
        <v>1585</v>
      </c>
      <c r="D163" s="2" t="s">
        <v>1586</v>
      </c>
      <c r="E163" s="4" t="s">
        <v>1342</v>
      </c>
      <c r="F163" s="2" t="s">
        <v>1587</v>
      </c>
      <c r="G163" s="2" t="s">
        <v>1588</v>
      </c>
      <c r="H163" s="2" t="s">
        <v>356</v>
      </c>
      <c r="I163" s="2" t="s">
        <v>1015</v>
      </c>
      <c r="J163" s="2" t="s">
        <v>30</v>
      </c>
      <c r="K163" s="2" t="s">
        <v>98</v>
      </c>
      <c r="L163" s="2" t="s">
        <v>31</v>
      </c>
      <c r="M163" s="2" t="s">
        <v>1578</v>
      </c>
      <c r="N163" s="2" t="s">
        <v>155</v>
      </c>
      <c r="O163" s="2" t="s">
        <v>34</v>
      </c>
      <c r="P163" s="152">
        <v>4456</v>
      </c>
      <c r="Q163" s="158">
        <v>1</v>
      </c>
      <c r="R163" s="175">
        <v>11220</v>
      </c>
      <c r="T163" s="151">
        <v>499.96300000000002</v>
      </c>
      <c r="U163" s="164">
        <v>5.4900000000000001E-4</v>
      </c>
      <c r="V163" s="164">
        <v>2.1500551553171598E-2</v>
      </c>
      <c r="W163" s="164">
        <v>1.36301915842999E-2</v>
      </c>
    </row>
    <row r="164" spans="1:23">
      <c r="A164" s="2">
        <v>12904</v>
      </c>
      <c r="B164" s="2">
        <v>13680</v>
      </c>
      <c r="C164" s="2" t="s">
        <v>1585</v>
      </c>
      <c r="D164" s="2" t="s">
        <v>1586</v>
      </c>
      <c r="E164" s="4" t="s">
        <v>1342</v>
      </c>
      <c r="F164" s="2" t="s">
        <v>1589</v>
      </c>
      <c r="G164" s="2" t="s">
        <v>1590</v>
      </c>
      <c r="H164" s="2" t="s">
        <v>356</v>
      </c>
      <c r="I164" s="2" t="s">
        <v>1015</v>
      </c>
      <c r="J164" s="2" t="s">
        <v>30</v>
      </c>
      <c r="K164" s="2" t="s">
        <v>98</v>
      </c>
      <c r="L164" s="2" t="s">
        <v>31</v>
      </c>
      <c r="M164" s="2" t="s">
        <v>1578</v>
      </c>
      <c r="N164" s="2" t="s">
        <v>155</v>
      </c>
      <c r="O164" s="2" t="s">
        <v>34</v>
      </c>
      <c r="P164" s="152">
        <v>5021</v>
      </c>
      <c r="Q164" s="158">
        <v>1</v>
      </c>
      <c r="R164" s="175">
        <v>10530</v>
      </c>
      <c r="T164" s="151">
        <v>528.71100000000001</v>
      </c>
      <c r="U164" s="164">
        <v>8.7999999999999998E-5</v>
      </c>
      <c r="V164" s="164">
        <v>2.2736842556400901E-2</v>
      </c>
      <c r="W164" s="164">
        <v>1.44139334890733E-2</v>
      </c>
    </row>
    <row r="165" spans="1:23">
      <c r="A165" s="2">
        <v>12904</v>
      </c>
      <c r="B165" s="2">
        <v>13680</v>
      </c>
      <c r="C165" s="2" t="s">
        <v>1571</v>
      </c>
      <c r="D165" s="2" t="s">
        <v>1572</v>
      </c>
      <c r="E165" s="4" t="s">
        <v>1342</v>
      </c>
      <c r="F165" s="2" t="s">
        <v>1591</v>
      </c>
      <c r="G165" s="2" t="s">
        <v>1592</v>
      </c>
      <c r="H165" s="2" t="s">
        <v>356</v>
      </c>
      <c r="I165" s="2" t="s">
        <v>1015</v>
      </c>
      <c r="J165" s="2" t="s">
        <v>30</v>
      </c>
      <c r="K165" s="2" t="s">
        <v>98</v>
      </c>
      <c r="L165" s="2" t="s">
        <v>31</v>
      </c>
      <c r="M165" s="2" t="s">
        <v>1578</v>
      </c>
      <c r="N165" s="2" t="s">
        <v>155</v>
      </c>
      <c r="O165" s="2" t="s">
        <v>34</v>
      </c>
      <c r="P165" s="152">
        <v>2687</v>
      </c>
      <c r="Q165" s="158">
        <v>1</v>
      </c>
      <c r="R165" s="175">
        <v>3167</v>
      </c>
      <c r="T165" s="151">
        <v>85.096999999999994</v>
      </c>
      <c r="U165" s="164">
        <v>1.34E-4</v>
      </c>
      <c r="V165" s="164">
        <v>3.6595466839963202E-3</v>
      </c>
      <c r="W165" s="164">
        <v>2.3199554807328401E-3</v>
      </c>
    </row>
    <row r="166" spans="1:23">
      <c r="A166" s="2">
        <v>12904</v>
      </c>
      <c r="B166" s="2">
        <v>13680</v>
      </c>
      <c r="C166" s="2" t="s">
        <v>1754</v>
      </c>
      <c r="D166" s="2" t="s">
        <v>1755</v>
      </c>
      <c r="E166" s="4" t="s">
        <v>1342</v>
      </c>
      <c r="F166" s="2" t="s">
        <v>1756</v>
      </c>
      <c r="G166" s="2" t="s">
        <v>1757</v>
      </c>
      <c r="H166" s="2" t="s">
        <v>356</v>
      </c>
      <c r="I166" s="2" t="s">
        <v>1015</v>
      </c>
      <c r="J166" s="2" t="s">
        <v>30</v>
      </c>
      <c r="K166" s="2" t="s">
        <v>98</v>
      </c>
      <c r="L166" s="2" t="s">
        <v>31</v>
      </c>
      <c r="M166" s="2" t="s">
        <v>1578</v>
      </c>
      <c r="N166" s="2" t="s">
        <v>155</v>
      </c>
      <c r="O166" s="2" t="s">
        <v>34</v>
      </c>
      <c r="P166" s="152">
        <v>2290</v>
      </c>
      <c r="Q166" s="158">
        <v>1</v>
      </c>
      <c r="R166" s="175">
        <v>21020</v>
      </c>
      <c r="T166" s="151">
        <v>481.358</v>
      </c>
      <c r="U166" s="164">
        <v>8.0000000000000007E-5</v>
      </c>
      <c r="V166" s="164">
        <v>2.0700448542075801E-2</v>
      </c>
      <c r="W166" s="164">
        <v>1.3122969371816701E-2</v>
      </c>
    </row>
    <row r="167" spans="1:23">
      <c r="A167" s="2">
        <v>12904</v>
      </c>
      <c r="B167" s="2">
        <v>13680</v>
      </c>
      <c r="C167" s="2" t="s">
        <v>1702</v>
      </c>
      <c r="D167" s="2" t="s">
        <v>1703</v>
      </c>
      <c r="E167" s="4" t="s">
        <v>1342</v>
      </c>
      <c r="F167" s="2" t="s">
        <v>1714</v>
      </c>
      <c r="G167" s="2" t="s">
        <v>1715</v>
      </c>
      <c r="H167" s="2" t="s">
        <v>356</v>
      </c>
      <c r="I167" s="2" t="s">
        <v>1015</v>
      </c>
      <c r="J167" s="2" t="s">
        <v>30</v>
      </c>
      <c r="K167" s="2" t="s">
        <v>334</v>
      </c>
      <c r="L167" s="2" t="s">
        <v>31</v>
      </c>
      <c r="M167" s="2" t="s">
        <v>1578</v>
      </c>
      <c r="N167" s="2" t="s">
        <v>155</v>
      </c>
      <c r="O167" s="2" t="s">
        <v>34</v>
      </c>
      <c r="P167" s="152">
        <v>45482</v>
      </c>
      <c r="Q167" s="158">
        <v>1</v>
      </c>
      <c r="R167" s="175">
        <v>1505</v>
      </c>
      <c r="T167" s="151">
        <v>684.50400000000002</v>
      </c>
      <c r="U167" s="164">
        <v>6.7299999999999999E-4</v>
      </c>
      <c r="V167" s="164">
        <v>2.94365979144211E-2</v>
      </c>
      <c r="W167" s="164">
        <v>1.8661217512086499E-2</v>
      </c>
    </row>
    <row r="168" spans="1:23">
      <c r="A168" s="2">
        <v>12904</v>
      </c>
      <c r="B168" s="2">
        <v>13680</v>
      </c>
      <c r="C168" s="2" t="s">
        <v>1702</v>
      </c>
      <c r="D168" s="2" t="s">
        <v>1703</v>
      </c>
      <c r="E168" s="4" t="s">
        <v>1342</v>
      </c>
      <c r="F168" s="2" t="s">
        <v>1758</v>
      </c>
      <c r="G168" s="2" t="s">
        <v>1759</v>
      </c>
      <c r="H168" s="2" t="s">
        <v>356</v>
      </c>
      <c r="I168" s="2" t="s">
        <v>1014</v>
      </c>
      <c r="J168" s="2" t="s">
        <v>30</v>
      </c>
      <c r="K168" s="2" t="s">
        <v>30</v>
      </c>
      <c r="L168" s="2" t="s">
        <v>31</v>
      </c>
      <c r="M168" s="2" t="s">
        <v>1575</v>
      </c>
      <c r="N168" s="2" t="s">
        <v>155</v>
      </c>
      <c r="O168" s="2" t="s">
        <v>34</v>
      </c>
      <c r="P168" s="152">
        <v>0.81</v>
      </c>
      <c r="Q168" s="158">
        <v>1</v>
      </c>
      <c r="R168" s="175">
        <v>26520</v>
      </c>
      <c r="T168" s="151">
        <v>0.215</v>
      </c>
      <c r="U168" s="164">
        <v>0</v>
      </c>
      <c r="V168" s="164">
        <v>9.2378328649786404E-6</v>
      </c>
      <c r="W168" s="164">
        <v>5.8562884520433403E-6</v>
      </c>
    </row>
    <row r="169" spans="1:23">
      <c r="A169" s="2">
        <v>12904</v>
      </c>
      <c r="B169" s="2">
        <v>13680</v>
      </c>
      <c r="C169" s="2" t="s">
        <v>1593</v>
      </c>
      <c r="D169" s="2" t="s">
        <v>1594</v>
      </c>
      <c r="E169" s="4" t="s">
        <v>350</v>
      </c>
      <c r="F169" s="2" t="s">
        <v>1595</v>
      </c>
      <c r="G169" s="2" t="s">
        <v>1596</v>
      </c>
      <c r="H169" s="2" t="s">
        <v>356</v>
      </c>
      <c r="I169" s="2" t="s">
        <v>1015</v>
      </c>
      <c r="J169" s="2" t="s">
        <v>97</v>
      </c>
      <c r="K169" s="2" t="s">
        <v>98</v>
      </c>
      <c r="L169" s="2" t="s">
        <v>379</v>
      </c>
      <c r="M169" s="2" t="s">
        <v>770</v>
      </c>
      <c r="N169" s="2" t="s">
        <v>155</v>
      </c>
      <c r="O169" s="2" t="s">
        <v>102</v>
      </c>
      <c r="P169" s="152">
        <v>558</v>
      </c>
      <c r="Q169" s="158">
        <v>3.71</v>
      </c>
      <c r="R169" s="175">
        <v>8078</v>
      </c>
      <c r="T169" s="151">
        <v>167.22900000000001</v>
      </c>
      <c r="U169" s="164">
        <v>1.9999999999999999E-6</v>
      </c>
      <c r="V169" s="164">
        <v>7.1915668080425998E-3</v>
      </c>
      <c r="W169" s="164">
        <v>4.55906599151656E-3</v>
      </c>
    </row>
    <row r="170" spans="1:23">
      <c r="A170" s="2">
        <v>12904</v>
      </c>
      <c r="B170" s="2">
        <v>13680</v>
      </c>
      <c r="C170" s="2" t="s">
        <v>1538</v>
      </c>
      <c r="D170" s="2" t="s">
        <v>1539</v>
      </c>
      <c r="E170" s="4" t="s">
        <v>350</v>
      </c>
      <c r="F170" s="2" t="s">
        <v>1597</v>
      </c>
      <c r="G170" s="2" t="s">
        <v>1598</v>
      </c>
      <c r="H170" s="2" t="s">
        <v>356</v>
      </c>
      <c r="I170" s="2" t="s">
        <v>1015</v>
      </c>
      <c r="J170" s="2" t="s">
        <v>97</v>
      </c>
      <c r="K170" s="2" t="s">
        <v>98</v>
      </c>
      <c r="L170" s="2" t="s">
        <v>379</v>
      </c>
      <c r="M170" s="2" t="s">
        <v>770</v>
      </c>
      <c r="N170" s="2" t="s">
        <v>155</v>
      </c>
      <c r="O170" s="2" t="s">
        <v>102</v>
      </c>
      <c r="P170" s="152">
        <v>292</v>
      </c>
      <c r="Q170" s="158">
        <v>3.71</v>
      </c>
      <c r="R170" s="175">
        <v>11497</v>
      </c>
      <c r="T170" s="151">
        <v>124.54900000000001</v>
      </c>
      <c r="U170" s="164">
        <v>1.5E-5</v>
      </c>
      <c r="V170" s="164">
        <v>5.3561515210752602E-3</v>
      </c>
      <c r="W170" s="164">
        <v>3.3955115619359998E-3</v>
      </c>
    </row>
    <row r="171" spans="1:23">
      <c r="A171" s="2">
        <v>12904</v>
      </c>
      <c r="B171" s="2">
        <v>13680</v>
      </c>
      <c r="C171" s="2" t="s">
        <v>1599</v>
      </c>
      <c r="D171" s="2" t="s">
        <v>1600</v>
      </c>
      <c r="E171" s="4" t="s">
        <v>350</v>
      </c>
      <c r="F171" s="2" t="s">
        <v>1601</v>
      </c>
      <c r="G171" s="2" t="s">
        <v>1602</v>
      </c>
      <c r="H171" s="2" t="s">
        <v>356</v>
      </c>
      <c r="I171" s="2" t="s">
        <v>1015</v>
      </c>
      <c r="J171" s="2" t="s">
        <v>97</v>
      </c>
      <c r="K171" s="2" t="s">
        <v>319</v>
      </c>
      <c r="L171" s="2" t="s">
        <v>381</v>
      </c>
      <c r="M171" s="2" t="s">
        <v>770</v>
      </c>
      <c r="N171" s="2" t="s">
        <v>155</v>
      </c>
      <c r="O171" s="2" t="s">
        <v>102</v>
      </c>
      <c r="P171" s="152">
        <v>1373</v>
      </c>
      <c r="Q171" s="158">
        <v>3.71</v>
      </c>
      <c r="R171" s="175">
        <v>13492.9</v>
      </c>
      <c r="T171" s="151">
        <v>687.30499999999995</v>
      </c>
      <c r="U171" s="164">
        <v>0</v>
      </c>
      <c r="V171" s="164">
        <v>2.95570652579462E-2</v>
      </c>
      <c r="W171" s="164">
        <v>1.8737587319058099E-2</v>
      </c>
    </row>
    <row r="172" spans="1:23">
      <c r="A172" s="2">
        <v>12904</v>
      </c>
      <c r="B172" s="2">
        <v>13680</v>
      </c>
      <c r="C172" s="2" t="s">
        <v>1603</v>
      </c>
      <c r="D172" s="2" t="s">
        <v>1604</v>
      </c>
      <c r="E172" s="4" t="s">
        <v>350</v>
      </c>
      <c r="F172" s="2" t="s">
        <v>1605</v>
      </c>
      <c r="G172" s="2" t="s">
        <v>1606</v>
      </c>
      <c r="H172" s="2" t="s">
        <v>356</v>
      </c>
      <c r="I172" s="2" t="s">
        <v>1015</v>
      </c>
      <c r="J172" s="2" t="s">
        <v>97</v>
      </c>
      <c r="K172" s="2" t="s">
        <v>1607</v>
      </c>
      <c r="L172" s="2" t="s">
        <v>194</v>
      </c>
      <c r="M172" s="2" t="s">
        <v>770</v>
      </c>
      <c r="N172" s="2" t="s">
        <v>155</v>
      </c>
      <c r="O172" s="2" t="s">
        <v>102</v>
      </c>
      <c r="P172" s="152">
        <v>550</v>
      </c>
      <c r="Q172" s="158">
        <v>3.71</v>
      </c>
      <c r="R172" s="175">
        <v>7671.1</v>
      </c>
      <c r="T172" s="151">
        <v>156.529</v>
      </c>
      <c r="U172" s="164">
        <v>0</v>
      </c>
      <c r="V172" s="164">
        <v>6.7314063059113203E-3</v>
      </c>
      <c r="W172" s="164">
        <v>4.2673490191372197E-3</v>
      </c>
    </row>
    <row r="173" spans="1:23">
      <c r="A173" s="2">
        <v>12904</v>
      </c>
      <c r="B173" s="2">
        <v>13680</v>
      </c>
      <c r="C173" s="2" t="s">
        <v>1603</v>
      </c>
      <c r="D173" s="2" t="s">
        <v>1604</v>
      </c>
      <c r="E173" s="4" t="s">
        <v>350</v>
      </c>
      <c r="F173" s="2" t="s">
        <v>1720</v>
      </c>
      <c r="G173" s="2" t="s">
        <v>1721</v>
      </c>
      <c r="H173" s="2" t="s">
        <v>356</v>
      </c>
      <c r="I173" s="2" t="s">
        <v>1015</v>
      </c>
      <c r="J173" s="2" t="s">
        <v>97</v>
      </c>
      <c r="K173" s="2" t="s">
        <v>1607</v>
      </c>
      <c r="L173" s="2" t="s">
        <v>381</v>
      </c>
      <c r="M173" s="2" t="s">
        <v>770</v>
      </c>
      <c r="N173" s="2" t="s">
        <v>155</v>
      </c>
      <c r="O173" s="2" t="s">
        <v>102</v>
      </c>
      <c r="P173" s="152">
        <v>5206</v>
      </c>
      <c r="Q173" s="158">
        <v>3.71</v>
      </c>
      <c r="R173" s="175">
        <v>5653</v>
      </c>
      <c r="T173" s="151">
        <v>1091.835</v>
      </c>
      <c r="U173" s="164">
        <v>0</v>
      </c>
      <c r="V173" s="164">
        <v>4.6953570258415102E-2</v>
      </c>
      <c r="W173" s="164">
        <v>2.9766034448296699E-2</v>
      </c>
    </row>
    <row r="174" spans="1:23">
      <c r="A174" s="2">
        <v>12904</v>
      </c>
      <c r="B174" s="2">
        <v>13680</v>
      </c>
      <c r="C174" s="2" t="s">
        <v>1603</v>
      </c>
      <c r="D174" s="2" t="s">
        <v>1604</v>
      </c>
      <c r="E174" s="4" t="s">
        <v>350</v>
      </c>
      <c r="F174" s="2" t="s">
        <v>1608</v>
      </c>
      <c r="G174" s="2" t="s">
        <v>1609</v>
      </c>
      <c r="H174" s="2" t="s">
        <v>356</v>
      </c>
      <c r="I174" s="2" t="s">
        <v>1015</v>
      </c>
      <c r="J174" s="2" t="s">
        <v>97</v>
      </c>
      <c r="K174" s="2" t="s">
        <v>319</v>
      </c>
      <c r="L174" s="2" t="s">
        <v>399</v>
      </c>
      <c r="M174" s="2" t="s">
        <v>770</v>
      </c>
      <c r="N174" s="2" t="s">
        <v>155</v>
      </c>
      <c r="O174" s="2" t="s">
        <v>1209</v>
      </c>
      <c r="P174" s="152">
        <v>70</v>
      </c>
      <c r="Q174" s="158">
        <v>4.1524000000000001</v>
      </c>
      <c r="R174" s="175">
        <v>11358</v>
      </c>
      <c r="T174" s="151">
        <v>33.014000000000003</v>
      </c>
      <c r="U174" s="164">
        <v>1.4E-5</v>
      </c>
      <c r="V174" s="164">
        <v>1.4197459832559899E-3</v>
      </c>
      <c r="W174" s="164">
        <v>9.00042480536496E-4</v>
      </c>
    </row>
    <row r="175" spans="1:23">
      <c r="A175" s="2">
        <v>12904</v>
      </c>
      <c r="B175" s="2">
        <v>13680</v>
      </c>
      <c r="C175" s="2" t="s">
        <v>1603</v>
      </c>
      <c r="D175" s="2" t="s">
        <v>1604</v>
      </c>
      <c r="E175" s="4" t="s">
        <v>350</v>
      </c>
      <c r="F175" s="2" t="s">
        <v>1760</v>
      </c>
      <c r="G175" s="2" t="s">
        <v>1761</v>
      </c>
      <c r="H175" s="2" t="s">
        <v>356</v>
      </c>
      <c r="I175" s="2" t="s">
        <v>1015</v>
      </c>
      <c r="J175" s="2" t="s">
        <v>97</v>
      </c>
      <c r="K175" s="2" t="s">
        <v>98</v>
      </c>
      <c r="L175" s="2" t="s">
        <v>399</v>
      </c>
      <c r="M175" s="2" t="s">
        <v>770</v>
      </c>
      <c r="N175" s="2" t="s">
        <v>155</v>
      </c>
      <c r="O175" s="2" t="s">
        <v>102</v>
      </c>
      <c r="P175" s="152">
        <v>555</v>
      </c>
      <c r="Q175" s="158">
        <v>3.71</v>
      </c>
      <c r="R175" s="175">
        <v>11230.77</v>
      </c>
      <c r="T175" s="151">
        <v>231.24700000000001</v>
      </c>
      <c r="U175" s="164">
        <v>0</v>
      </c>
      <c r="V175" s="164">
        <v>9.9446153103615598E-3</v>
      </c>
      <c r="W175" s="164">
        <v>6.30435045246063E-3</v>
      </c>
    </row>
    <row r="176" spans="1:23">
      <c r="A176" s="2">
        <v>12904</v>
      </c>
      <c r="B176" s="2">
        <v>13680</v>
      </c>
      <c r="C176" s="2" t="s">
        <v>1610</v>
      </c>
      <c r="D176" s="2" t="s">
        <v>1611</v>
      </c>
      <c r="E176" s="4" t="s">
        <v>350</v>
      </c>
      <c r="F176" s="2" t="s">
        <v>1612</v>
      </c>
      <c r="G176" s="2" t="s">
        <v>1613</v>
      </c>
      <c r="H176" s="2" t="s">
        <v>356</v>
      </c>
      <c r="I176" s="2" t="s">
        <v>1015</v>
      </c>
      <c r="J176" s="2" t="s">
        <v>97</v>
      </c>
      <c r="K176" s="2" t="s">
        <v>98</v>
      </c>
      <c r="L176" s="2" t="s">
        <v>1528</v>
      </c>
      <c r="M176" s="2" t="s">
        <v>770</v>
      </c>
      <c r="N176" s="2" t="s">
        <v>155</v>
      </c>
      <c r="O176" s="2" t="s">
        <v>1209</v>
      </c>
      <c r="P176" s="152">
        <v>595</v>
      </c>
      <c r="Q176" s="158">
        <v>4.1524000000000001</v>
      </c>
      <c r="R176" s="175">
        <v>7237.3</v>
      </c>
      <c r="T176" s="151">
        <v>178.81</v>
      </c>
      <c r="U176" s="164">
        <v>0</v>
      </c>
      <c r="V176" s="164">
        <v>7.6896094945639801E-3</v>
      </c>
      <c r="W176" s="164">
        <v>4.8747982283225601E-3</v>
      </c>
    </row>
    <row r="177" spans="1:23">
      <c r="A177" s="2">
        <v>12904</v>
      </c>
      <c r="B177" s="2">
        <v>13680</v>
      </c>
      <c r="C177" s="2" t="s">
        <v>1593</v>
      </c>
      <c r="D177" s="2" t="s">
        <v>1594</v>
      </c>
      <c r="E177" s="4" t="s">
        <v>350</v>
      </c>
      <c r="F177" s="2" t="s">
        <v>1614</v>
      </c>
      <c r="G177" s="2" t="s">
        <v>1615</v>
      </c>
      <c r="H177" s="2" t="s">
        <v>356</v>
      </c>
      <c r="I177" s="2" t="s">
        <v>1015</v>
      </c>
      <c r="J177" s="2" t="s">
        <v>97</v>
      </c>
      <c r="K177" s="2" t="s">
        <v>98</v>
      </c>
      <c r="L177" s="2" t="s">
        <v>379</v>
      </c>
      <c r="M177" s="2" t="s">
        <v>770</v>
      </c>
      <c r="N177" s="2" t="s">
        <v>155</v>
      </c>
      <c r="O177" s="2" t="s">
        <v>102</v>
      </c>
      <c r="P177" s="152">
        <v>552</v>
      </c>
      <c r="Q177" s="158">
        <v>3.71</v>
      </c>
      <c r="R177" s="175">
        <v>9040</v>
      </c>
      <c r="T177" s="151">
        <v>185.13200000000001</v>
      </c>
      <c r="U177" s="164">
        <v>3.0000000000000001E-6</v>
      </c>
      <c r="V177" s="164">
        <v>7.9614648080580906E-3</v>
      </c>
      <c r="W177" s="164">
        <v>5.0471398539302199E-3</v>
      </c>
    </row>
    <row r="178" spans="1:23">
      <c r="A178" s="2">
        <v>12904</v>
      </c>
      <c r="B178" s="2">
        <v>13680</v>
      </c>
      <c r="C178" s="2" t="s">
        <v>1593</v>
      </c>
      <c r="D178" s="2" t="s">
        <v>1594</v>
      </c>
      <c r="E178" s="4" t="s">
        <v>350</v>
      </c>
      <c r="F178" s="2" t="s">
        <v>1616</v>
      </c>
      <c r="G178" s="2" t="s">
        <v>1617</v>
      </c>
      <c r="H178" s="2" t="s">
        <v>356</v>
      </c>
      <c r="I178" s="2" t="s">
        <v>1015</v>
      </c>
      <c r="J178" s="2" t="s">
        <v>97</v>
      </c>
      <c r="K178" s="2" t="s">
        <v>98</v>
      </c>
      <c r="L178" s="2" t="s">
        <v>379</v>
      </c>
      <c r="M178" s="2" t="s">
        <v>770</v>
      </c>
      <c r="N178" s="2" t="s">
        <v>155</v>
      </c>
      <c r="O178" s="2" t="s">
        <v>102</v>
      </c>
      <c r="P178" s="152">
        <v>540</v>
      </c>
      <c r="Q178" s="158">
        <v>3.71</v>
      </c>
      <c r="R178" s="175">
        <v>20037</v>
      </c>
      <c r="T178" s="151">
        <v>401.42099999999999</v>
      </c>
      <c r="U178" s="164">
        <v>6.0000000000000002E-6</v>
      </c>
      <c r="V178" s="164">
        <v>1.7262827448436199E-2</v>
      </c>
      <c r="W178" s="164">
        <v>1.09437027616246E-2</v>
      </c>
    </row>
    <row r="179" spans="1:23">
      <c r="A179" s="2">
        <v>12904</v>
      </c>
      <c r="B179" s="2">
        <v>13680</v>
      </c>
      <c r="C179" s="2" t="s">
        <v>1593</v>
      </c>
      <c r="D179" s="2" t="s">
        <v>1594</v>
      </c>
      <c r="E179" s="4" t="s">
        <v>350</v>
      </c>
      <c r="F179" s="2" t="s">
        <v>1618</v>
      </c>
      <c r="G179" s="2" t="s">
        <v>1619</v>
      </c>
      <c r="H179" s="2" t="s">
        <v>356</v>
      </c>
      <c r="I179" s="2" t="s">
        <v>1015</v>
      </c>
      <c r="J179" s="2" t="s">
        <v>97</v>
      </c>
      <c r="K179" s="2" t="s">
        <v>98</v>
      </c>
      <c r="L179" s="2" t="s">
        <v>379</v>
      </c>
      <c r="M179" s="2" t="s">
        <v>770</v>
      </c>
      <c r="N179" s="2" t="s">
        <v>155</v>
      </c>
      <c r="O179" s="2" t="s">
        <v>102</v>
      </c>
      <c r="P179" s="152">
        <v>4194</v>
      </c>
      <c r="Q179" s="158">
        <v>3.71</v>
      </c>
      <c r="R179" s="175">
        <v>4532</v>
      </c>
      <c r="T179" s="151">
        <v>705.16700000000003</v>
      </c>
      <c r="U179" s="164">
        <v>5.0000000000000004E-6</v>
      </c>
      <c r="V179" s="164">
        <v>3.0325208732413199E-2</v>
      </c>
      <c r="W179" s="164">
        <v>1.9224548906779299E-2</v>
      </c>
    </row>
    <row r="180" spans="1:23">
      <c r="A180" s="2">
        <v>12904</v>
      </c>
      <c r="B180" s="2">
        <v>13680</v>
      </c>
      <c r="C180" s="2" t="s">
        <v>1620</v>
      </c>
      <c r="D180" s="2" t="s">
        <v>1621</v>
      </c>
      <c r="E180" s="4" t="s">
        <v>350</v>
      </c>
      <c r="F180" s="2" t="s">
        <v>1622</v>
      </c>
      <c r="G180" s="2" t="s">
        <v>1623</v>
      </c>
      <c r="H180" s="2" t="s">
        <v>356</v>
      </c>
      <c r="I180" s="2" t="s">
        <v>1015</v>
      </c>
      <c r="J180" s="2" t="s">
        <v>97</v>
      </c>
      <c r="K180" s="2" t="s">
        <v>98</v>
      </c>
      <c r="L180" s="2" t="s">
        <v>381</v>
      </c>
      <c r="M180" s="2" t="s">
        <v>770</v>
      </c>
      <c r="N180" s="2" t="s">
        <v>155</v>
      </c>
      <c r="O180" s="2" t="s">
        <v>102</v>
      </c>
      <c r="P180" s="152">
        <v>362</v>
      </c>
      <c r="Q180" s="158">
        <v>3.71</v>
      </c>
      <c r="R180" s="175">
        <v>19131</v>
      </c>
      <c r="T180" s="151">
        <v>256.93299999999999</v>
      </c>
      <c r="U180" s="164">
        <v>2.5999999999999998E-5</v>
      </c>
      <c r="V180" s="164">
        <v>1.1049222363960399E-2</v>
      </c>
      <c r="W180" s="164">
        <v>7.0046118261601203E-3</v>
      </c>
    </row>
    <row r="181" spans="1:23">
      <c r="A181" s="2">
        <v>12904</v>
      </c>
      <c r="B181" s="2">
        <v>13680</v>
      </c>
      <c r="C181" s="2" t="s">
        <v>1620</v>
      </c>
      <c r="D181" s="2" t="s">
        <v>1621</v>
      </c>
      <c r="E181" s="4" t="s">
        <v>350</v>
      </c>
      <c r="F181" s="2" t="s">
        <v>1624</v>
      </c>
      <c r="G181" s="2" t="s">
        <v>1625</v>
      </c>
      <c r="H181" s="2" t="s">
        <v>356</v>
      </c>
      <c r="I181" s="2" t="s">
        <v>1015</v>
      </c>
      <c r="J181" s="2" t="s">
        <v>97</v>
      </c>
      <c r="K181" s="2" t="s">
        <v>334</v>
      </c>
      <c r="L181" s="2" t="s">
        <v>381</v>
      </c>
      <c r="M181" s="2" t="s">
        <v>770</v>
      </c>
      <c r="N181" s="2" t="s">
        <v>155</v>
      </c>
      <c r="O181" s="2" t="s">
        <v>102</v>
      </c>
      <c r="P181" s="152">
        <v>157</v>
      </c>
      <c r="Q181" s="158">
        <v>3.71</v>
      </c>
      <c r="R181" s="175">
        <v>12725</v>
      </c>
      <c r="T181" s="151">
        <v>74.119</v>
      </c>
      <c r="U181" s="164">
        <v>2.1999999999999999E-5</v>
      </c>
      <c r="V181" s="164">
        <v>3.1874465800465399E-3</v>
      </c>
      <c r="W181" s="164">
        <v>2.0206694439123501E-3</v>
      </c>
    </row>
    <row r="182" spans="1:23">
      <c r="A182" s="2">
        <v>12904</v>
      </c>
      <c r="B182" s="2">
        <v>13680</v>
      </c>
      <c r="C182" s="2" t="s">
        <v>1722</v>
      </c>
      <c r="D182" s="2" t="s">
        <v>1723</v>
      </c>
      <c r="E182" s="4" t="s">
        <v>350</v>
      </c>
      <c r="F182" s="2" t="s">
        <v>1724</v>
      </c>
      <c r="G182" s="2" t="s">
        <v>1725</v>
      </c>
      <c r="H182" s="2" t="s">
        <v>356</v>
      </c>
      <c r="I182" s="2" t="s">
        <v>1015</v>
      </c>
      <c r="J182" s="2" t="s">
        <v>97</v>
      </c>
      <c r="K182" s="2" t="s">
        <v>98</v>
      </c>
      <c r="L182" s="2" t="s">
        <v>381</v>
      </c>
      <c r="M182" s="2" t="s">
        <v>770</v>
      </c>
      <c r="N182" s="2" t="s">
        <v>155</v>
      </c>
      <c r="O182" s="2" t="s">
        <v>102</v>
      </c>
      <c r="P182" s="152">
        <v>3671</v>
      </c>
      <c r="Q182" s="158">
        <v>3.71</v>
      </c>
      <c r="R182" s="175">
        <v>2120</v>
      </c>
      <c r="T182" s="151">
        <v>288.73099999999999</v>
      </c>
      <c r="U182" s="164">
        <v>0</v>
      </c>
      <c r="V182" s="164">
        <v>1.24166865256686E-2</v>
      </c>
      <c r="W182" s="164">
        <v>7.8715104479304895E-3</v>
      </c>
    </row>
    <row r="183" spans="1:23">
      <c r="A183" s="2">
        <v>12904</v>
      </c>
      <c r="B183" s="2">
        <v>13680</v>
      </c>
      <c r="C183" s="2" t="s">
        <v>1626</v>
      </c>
      <c r="D183" s="2" t="s">
        <v>1627</v>
      </c>
      <c r="E183" s="4" t="s">
        <v>350</v>
      </c>
      <c r="F183" s="2" t="s">
        <v>1628</v>
      </c>
      <c r="G183" s="2" t="s">
        <v>1629</v>
      </c>
      <c r="H183" s="2" t="s">
        <v>356</v>
      </c>
      <c r="I183" s="2" t="s">
        <v>1015</v>
      </c>
      <c r="J183" s="2" t="s">
        <v>97</v>
      </c>
      <c r="K183" s="2" t="s">
        <v>327</v>
      </c>
      <c r="L183" s="2" t="s">
        <v>379</v>
      </c>
      <c r="M183" s="2" t="s">
        <v>770</v>
      </c>
      <c r="N183" s="2" t="s">
        <v>155</v>
      </c>
      <c r="O183" s="2" t="s">
        <v>102</v>
      </c>
      <c r="P183" s="152">
        <v>1083</v>
      </c>
      <c r="Q183" s="158">
        <v>3.71</v>
      </c>
      <c r="R183" s="175">
        <v>4116</v>
      </c>
      <c r="T183" s="151">
        <v>165.37799999999999</v>
      </c>
      <c r="U183" s="164">
        <v>6.9999999999999999E-6</v>
      </c>
      <c r="V183" s="164">
        <v>7.1119598181621103E-3</v>
      </c>
      <c r="W183" s="164">
        <v>4.5085994478636102E-3</v>
      </c>
    </row>
    <row r="184" spans="1:23">
      <c r="A184" s="2">
        <v>12904</v>
      </c>
      <c r="B184" s="2">
        <v>13680</v>
      </c>
      <c r="C184" s="2" t="s">
        <v>1593</v>
      </c>
      <c r="D184" s="2" t="s">
        <v>1594</v>
      </c>
      <c r="E184" s="4" t="s">
        <v>350</v>
      </c>
      <c r="F184" s="2" t="s">
        <v>1630</v>
      </c>
      <c r="G184" s="2" t="s">
        <v>1631</v>
      </c>
      <c r="H184" s="2" t="s">
        <v>356</v>
      </c>
      <c r="I184" s="2" t="s">
        <v>1015</v>
      </c>
      <c r="J184" s="2" t="s">
        <v>97</v>
      </c>
      <c r="K184" s="2" t="s">
        <v>98</v>
      </c>
      <c r="L184" s="2" t="s">
        <v>379</v>
      </c>
      <c r="M184" s="2" t="s">
        <v>770</v>
      </c>
      <c r="N184" s="2" t="s">
        <v>155</v>
      </c>
      <c r="O184" s="2" t="s">
        <v>102</v>
      </c>
      <c r="P184" s="152">
        <v>799</v>
      </c>
      <c r="Q184" s="158">
        <v>3.71</v>
      </c>
      <c r="R184" s="175">
        <v>15402</v>
      </c>
      <c r="T184" s="151">
        <v>456.56</v>
      </c>
      <c r="U184" s="164">
        <v>3.0000000000000001E-6</v>
      </c>
      <c r="V184" s="164">
        <v>1.96340263679129E-2</v>
      </c>
      <c r="W184" s="164">
        <v>1.24469151548986E-2</v>
      </c>
    </row>
    <row r="185" spans="1:23">
      <c r="A185" s="2">
        <v>12904</v>
      </c>
      <c r="B185" s="2">
        <v>13680</v>
      </c>
      <c r="C185" s="2" t="s">
        <v>1632</v>
      </c>
      <c r="D185" s="2" t="s">
        <v>1633</v>
      </c>
      <c r="E185" s="4" t="s">
        <v>350</v>
      </c>
      <c r="F185" s="2" t="s">
        <v>1634</v>
      </c>
      <c r="G185" s="2" t="s">
        <v>1635</v>
      </c>
      <c r="H185" s="2" t="s">
        <v>356</v>
      </c>
      <c r="I185" s="2" t="s">
        <v>1015</v>
      </c>
      <c r="J185" s="2" t="s">
        <v>97</v>
      </c>
      <c r="K185" s="2" t="s">
        <v>320</v>
      </c>
      <c r="L185" s="2" t="s">
        <v>1636</v>
      </c>
      <c r="M185" s="2" t="s">
        <v>770</v>
      </c>
      <c r="N185" s="2" t="s">
        <v>155</v>
      </c>
      <c r="O185" s="2" t="s">
        <v>1208</v>
      </c>
      <c r="P185" s="152">
        <v>580</v>
      </c>
      <c r="Q185" s="158">
        <v>2.7435</v>
      </c>
      <c r="R185" s="175">
        <v>6219</v>
      </c>
      <c r="T185" s="151">
        <v>98.959000000000003</v>
      </c>
      <c r="U185" s="164">
        <v>7.9999999999999996E-6</v>
      </c>
      <c r="V185" s="164">
        <v>4.2556419061967098E-3</v>
      </c>
      <c r="W185" s="164">
        <v>2.6978477436817301E-3</v>
      </c>
    </row>
    <row r="186" spans="1:23">
      <c r="A186" s="2">
        <v>12904</v>
      </c>
      <c r="B186" s="2">
        <v>13680</v>
      </c>
      <c r="C186" s="2" t="s">
        <v>1637</v>
      </c>
      <c r="D186" s="2" t="s">
        <v>1638</v>
      </c>
      <c r="E186" s="4" t="s">
        <v>350</v>
      </c>
      <c r="F186" s="2" t="s">
        <v>1639</v>
      </c>
      <c r="G186" s="2" t="s">
        <v>1640</v>
      </c>
      <c r="H186" s="2" t="s">
        <v>356</v>
      </c>
      <c r="I186" s="2" t="s">
        <v>1017</v>
      </c>
      <c r="J186" s="2" t="s">
        <v>97</v>
      </c>
      <c r="K186" s="2" t="s">
        <v>1607</v>
      </c>
      <c r="L186" s="2" t="s">
        <v>415</v>
      </c>
      <c r="M186" s="2" t="s">
        <v>767</v>
      </c>
      <c r="N186" s="2" t="s">
        <v>155</v>
      </c>
      <c r="O186" s="2" t="s">
        <v>102</v>
      </c>
      <c r="P186" s="152">
        <v>818</v>
      </c>
      <c r="Q186" s="158">
        <v>3.71</v>
      </c>
      <c r="R186" s="175">
        <v>4584</v>
      </c>
      <c r="T186" s="151">
        <v>139.114</v>
      </c>
      <c r="U186" s="164">
        <v>0</v>
      </c>
      <c r="V186" s="164">
        <v>5.98250932416978E-3</v>
      </c>
      <c r="W186" s="164">
        <v>3.7925886711155702E-3</v>
      </c>
    </row>
    <row r="187" spans="1:23">
      <c r="A187" s="2">
        <v>12904</v>
      </c>
      <c r="B187" s="2">
        <v>13680</v>
      </c>
      <c r="C187" s="2" t="s">
        <v>1593</v>
      </c>
      <c r="D187" s="2" t="s">
        <v>1594</v>
      </c>
      <c r="E187" s="4" t="s">
        <v>350</v>
      </c>
      <c r="F187" s="2" t="s">
        <v>1641</v>
      </c>
      <c r="G187" s="2" t="s">
        <v>1642</v>
      </c>
      <c r="H187" s="2" t="s">
        <v>356</v>
      </c>
      <c r="I187" s="2" t="s">
        <v>1015</v>
      </c>
      <c r="J187" s="2" t="s">
        <v>97</v>
      </c>
      <c r="K187" s="2" t="s">
        <v>98</v>
      </c>
      <c r="L187" s="2" t="s">
        <v>379</v>
      </c>
      <c r="M187" s="2" t="s">
        <v>770</v>
      </c>
      <c r="N187" s="2" t="s">
        <v>155</v>
      </c>
      <c r="O187" s="2" t="s">
        <v>102</v>
      </c>
      <c r="P187" s="152">
        <v>435</v>
      </c>
      <c r="Q187" s="158">
        <v>3.71</v>
      </c>
      <c r="R187" s="175">
        <v>13544</v>
      </c>
      <c r="T187" s="151">
        <v>218.58</v>
      </c>
      <c r="U187" s="164">
        <v>3.0000000000000001E-6</v>
      </c>
      <c r="V187" s="164">
        <v>9.3998662389675903E-3</v>
      </c>
      <c r="W187" s="164">
        <v>5.9590088834266001E-3</v>
      </c>
    </row>
    <row r="188" spans="1:23">
      <c r="A188" s="2">
        <v>12904</v>
      </c>
      <c r="B188" s="2">
        <v>13680</v>
      </c>
      <c r="C188" s="2" t="s">
        <v>1726</v>
      </c>
      <c r="D188" s="2" t="s">
        <v>1539</v>
      </c>
      <c r="E188" s="4" t="s">
        <v>350</v>
      </c>
      <c r="F188" s="2" t="s">
        <v>1727</v>
      </c>
      <c r="G188" s="2" t="s">
        <v>1728</v>
      </c>
      <c r="H188" s="2" t="s">
        <v>356</v>
      </c>
      <c r="I188" s="2" t="s">
        <v>1015</v>
      </c>
      <c r="J188" s="2" t="s">
        <v>97</v>
      </c>
      <c r="K188" s="2" t="s">
        <v>98</v>
      </c>
      <c r="L188" s="2" t="s">
        <v>381</v>
      </c>
      <c r="M188" s="2" t="s">
        <v>770</v>
      </c>
      <c r="N188" s="2" t="s">
        <v>155</v>
      </c>
      <c r="O188" s="2" t="s">
        <v>102</v>
      </c>
      <c r="P188" s="152">
        <v>1600</v>
      </c>
      <c r="Q188" s="158">
        <v>3.71</v>
      </c>
      <c r="R188" s="175">
        <v>5121</v>
      </c>
      <c r="T188" s="151">
        <v>303.983</v>
      </c>
      <c r="U188" s="164">
        <v>0</v>
      </c>
      <c r="V188" s="164">
        <v>1.30725475445894E-2</v>
      </c>
      <c r="W188" s="164">
        <v>8.2872910067899892E-3</v>
      </c>
    </row>
    <row r="189" spans="1:23">
      <c r="A189" s="2">
        <v>12904</v>
      </c>
      <c r="B189" s="2">
        <v>13680</v>
      </c>
      <c r="C189" s="2" t="s">
        <v>1534</v>
      </c>
      <c r="D189" s="2" t="s">
        <v>1535</v>
      </c>
      <c r="E189" s="4" t="s">
        <v>350</v>
      </c>
      <c r="F189" s="2" t="s">
        <v>1643</v>
      </c>
      <c r="G189" s="2" t="s">
        <v>1644</v>
      </c>
      <c r="H189" s="2" t="s">
        <v>356</v>
      </c>
      <c r="I189" s="2" t="s">
        <v>1017</v>
      </c>
      <c r="J189" s="2" t="s">
        <v>97</v>
      </c>
      <c r="K189" s="2" t="s">
        <v>98</v>
      </c>
      <c r="L189" s="2" t="s">
        <v>415</v>
      </c>
      <c r="M189" s="2" t="s">
        <v>767</v>
      </c>
      <c r="N189" s="2" t="s">
        <v>155</v>
      </c>
      <c r="O189" s="2" t="s">
        <v>102</v>
      </c>
      <c r="P189" s="152">
        <v>8480</v>
      </c>
      <c r="Q189" s="158">
        <v>3.71</v>
      </c>
      <c r="R189" s="175">
        <v>2890.75</v>
      </c>
      <c r="T189" s="151">
        <v>909.45299999999997</v>
      </c>
      <c r="U189" s="164">
        <v>0</v>
      </c>
      <c r="V189" s="164">
        <v>3.9110364014248403E-2</v>
      </c>
      <c r="W189" s="164">
        <v>2.4793864154023501E-2</v>
      </c>
    </row>
    <row r="190" spans="1:23">
      <c r="A190" s="2">
        <v>12904</v>
      </c>
      <c r="B190" s="2">
        <v>13680</v>
      </c>
      <c r="C190" s="2" t="s">
        <v>1637</v>
      </c>
      <c r="D190" s="2" t="s">
        <v>1638</v>
      </c>
      <c r="E190" s="4" t="s">
        <v>350</v>
      </c>
      <c r="F190" s="2" t="s">
        <v>1645</v>
      </c>
      <c r="G190" s="2" t="s">
        <v>1646</v>
      </c>
      <c r="H190" s="2" t="s">
        <v>356</v>
      </c>
      <c r="I190" s="2" t="s">
        <v>1015</v>
      </c>
      <c r="J190" s="2" t="s">
        <v>97</v>
      </c>
      <c r="K190" s="2" t="s">
        <v>271</v>
      </c>
      <c r="L190" s="2" t="s">
        <v>415</v>
      </c>
      <c r="M190" s="2" t="s">
        <v>770</v>
      </c>
      <c r="N190" s="2" t="s">
        <v>155</v>
      </c>
      <c r="O190" s="2" t="s">
        <v>1211</v>
      </c>
      <c r="P190" s="152">
        <v>11276</v>
      </c>
      <c r="Q190" s="158">
        <v>4.9748000000000001</v>
      </c>
      <c r="R190" s="175">
        <v>799.3</v>
      </c>
      <c r="T190" s="151">
        <v>448.37400000000002</v>
      </c>
      <c r="U190" s="164">
        <v>1.8E-5</v>
      </c>
      <c r="V190" s="164">
        <v>1.9281999521379999E-2</v>
      </c>
      <c r="W190" s="164">
        <v>1.2223749095684E-2</v>
      </c>
    </row>
    <row r="191" spans="1:23">
      <c r="A191" s="2">
        <v>12904</v>
      </c>
      <c r="B191" s="2">
        <v>13680</v>
      </c>
      <c r="C191" s="2" t="s">
        <v>1637</v>
      </c>
      <c r="D191" s="2" t="s">
        <v>1638</v>
      </c>
      <c r="E191" s="4" t="s">
        <v>350</v>
      </c>
      <c r="F191" s="2" t="s">
        <v>1647</v>
      </c>
      <c r="G191" s="2" t="s">
        <v>1648</v>
      </c>
      <c r="H191" s="2" t="s">
        <v>356</v>
      </c>
      <c r="I191" s="2" t="s">
        <v>1015</v>
      </c>
      <c r="J191" s="2" t="s">
        <v>97</v>
      </c>
      <c r="K191" s="2" t="s">
        <v>306</v>
      </c>
      <c r="L191" s="2" t="s">
        <v>379</v>
      </c>
      <c r="M191" s="2" t="s">
        <v>770</v>
      </c>
      <c r="N191" s="2" t="s">
        <v>155</v>
      </c>
      <c r="O191" s="2" t="s">
        <v>102</v>
      </c>
      <c r="P191" s="152">
        <v>700</v>
      </c>
      <c r="Q191" s="158">
        <v>3.71</v>
      </c>
      <c r="R191" s="175">
        <v>3178</v>
      </c>
      <c r="T191" s="151">
        <v>82.533000000000001</v>
      </c>
      <c r="U191" s="164">
        <v>3.9999999999999998E-6</v>
      </c>
      <c r="V191" s="164">
        <v>3.54925664759002E-3</v>
      </c>
      <c r="W191" s="164">
        <v>2.2500375382865901E-3</v>
      </c>
    </row>
    <row r="192" spans="1:23">
      <c r="A192" s="2">
        <v>12904</v>
      </c>
      <c r="B192" s="2">
        <v>13680</v>
      </c>
      <c r="C192" s="2" t="s">
        <v>1637</v>
      </c>
      <c r="D192" s="2" t="s">
        <v>1638</v>
      </c>
      <c r="E192" s="4" t="s">
        <v>350</v>
      </c>
      <c r="F192" s="2" t="s">
        <v>1649</v>
      </c>
      <c r="G192" s="2" t="s">
        <v>1650</v>
      </c>
      <c r="H192" s="2" t="s">
        <v>356</v>
      </c>
      <c r="I192" s="2" t="s">
        <v>1017</v>
      </c>
      <c r="J192" s="2" t="s">
        <v>97</v>
      </c>
      <c r="K192" s="2" t="s">
        <v>259</v>
      </c>
      <c r="L192" s="2" t="s">
        <v>415</v>
      </c>
      <c r="M192" s="2" t="s">
        <v>767</v>
      </c>
      <c r="N192" s="2" t="s">
        <v>155</v>
      </c>
      <c r="O192" s="2" t="s">
        <v>102</v>
      </c>
      <c r="P192" s="152">
        <v>5687</v>
      </c>
      <c r="Q192" s="158">
        <v>3.71</v>
      </c>
      <c r="R192" s="175">
        <v>624.54999999999995</v>
      </c>
      <c r="T192" s="151">
        <v>131.77199999999999</v>
      </c>
      <c r="U192" s="164">
        <v>0</v>
      </c>
      <c r="V192" s="164">
        <v>5.6667742590254897E-3</v>
      </c>
      <c r="W192" s="164">
        <v>3.5924296464898398E-3</v>
      </c>
    </row>
    <row r="193" spans="1:23">
      <c r="A193" s="2">
        <v>12904</v>
      </c>
      <c r="B193" s="2">
        <v>13680</v>
      </c>
      <c r="C193" s="2" t="s">
        <v>1637</v>
      </c>
      <c r="D193" s="2" t="s">
        <v>1638</v>
      </c>
      <c r="E193" s="4" t="s">
        <v>350</v>
      </c>
      <c r="F193" s="2" t="s">
        <v>1651</v>
      </c>
      <c r="G193" s="2" t="s">
        <v>1652</v>
      </c>
      <c r="H193" s="2" t="s">
        <v>356</v>
      </c>
      <c r="I193" s="2" t="s">
        <v>1015</v>
      </c>
      <c r="J193" s="2" t="s">
        <v>97</v>
      </c>
      <c r="K193" s="2" t="s">
        <v>98</v>
      </c>
      <c r="L193" s="2" t="s">
        <v>381</v>
      </c>
      <c r="M193" s="2" t="s">
        <v>770</v>
      </c>
      <c r="N193" s="2" t="s">
        <v>155</v>
      </c>
      <c r="O193" s="2" t="s">
        <v>102</v>
      </c>
      <c r="P193" s="152">
        <v>830</v>
      </c>
      <c r="Q193" s="158">
        <v>3.71</v>
      </c>
      <c r="R193" s="175">
        <v>6111</v>
      </c>
      <c r="T193" s="151">
        <v>188.17599999999999</v>
      </c>
      <c r="U193" s="164">
        <v>0</v>
      </c>
      <c r="V193" s="164">
        <v>8.0923721657559997E-3</v>
      </c>
      <c r="W193" s="164">
        <v>5.13012806754903E-3</v>
      </c>
    </row>
    <row r="194" spans="1:23">
      <c r="A194" s="2">
        <v>12904</v>
      </c>
      <c r="B194" s="2">
        <v>13680</v>
      </c>
      <c r="C194" s="2" t="s">
        <v>1637</v>
      </c>
      <c r="D194" s="2" t="s">
        <v>1638</v>
      </c>
      <c r="E194" s="4" t="s">
        <v>350</v>
      </c>
      <c r="F194" s="2" t="s">
        <v>1653</v>
      </c>
      <c r="G194" s="2" t="s">
        <v>1654</v>
      </c>
      <c r="H194" s="2" t="s">
        <v>356</v>
      </c>
      <c r="I194" s="2" t="s">
        <v>1015</v>
      </c>
      <c r="J194" s="2" t="s">
        <v>97</v>
      </c>
      <c r="K194" s="2" t="s">
        <v>98</v>
      </c>
      <c r="L194" s="2" t="s">
        <v>379</v>
      </c>
      <c r="M194" s="2" t="s">
        <v>770</v>
      </c>
      <c r="N194" s="2" t="s">
        <v>155</v>
      </c>
      <c r="O194" s="2" t="s">
        <v>102</v>
      </c>
      <c r="P194" s="152">
        <v>96</v>
      </c>
      <c r="Q194" s="158">
        <v>3.71</v>
      </c>
      <c r="R194" s="175">
        <v>12856</v>
      </c>
      <c r="T194" s="151">
        <v>45.787999999999997</v>
      </c>
      <c r="U194" s="164">
        <v>2.0999999999999999E-5</v>
      </c>
      <c r="V194" s="164">
        <v>1.9690764057790498E-3</v>
      </c>
      <c r="W194" s="164">
        <v>1.2482883794175999E-3</v>
      </c>
    </row>
    <row r="195" spans="1:23">
      <c r="A195" s="2">
        <v>12904</v>
      </c>
      <c r="B195" s="2">
        <v>13680</v>
      </c>
      <c r="C195" s="2" t="s">
        <v>1637</v>
      </c>
      <c r="D195" s="2" t="s">
        <v>1638</v>
      </c>
      <c r="E195" s="4" t="s">
        <v>350</v>
      </c>
      <c r="F195" s="2" t="s">
        <v>1655</v>
      </c>
      <c r="G195" s="2" t="s">
        <v>1656</v>
      </c>
      <c r="H195" s="2" t="s">
        <v>356</v>
      </c>
      <c r="I195" s="2" t="s">
        <v>1017</v>
      </c>
      <c r="J195" s="2" t="s">
        <v>97</v>
      </c>
      <c r="K195" s="2" t="s">
        <v>98</v>
      </c>
      <c r="L195" s="2" t="s">
        <v>415</v>
      </c>
      <c r="M195" s="2" t="s">
        <v>767</v>
      </c>
      <c r="N195" s="2" t="s">
        <v>155</v>
      </c>
      <c r="O195" s="2" t="s">
        <v>102</v>
      </c>
      <c r="P195" s="152">
        <v>20000</v>
      </c>
      <c r="Q195" s="158">
        <v>3.71</v>
      </c>
      <c r="R195" s="175">
        <v>595.6</v>
      </c>
      <c r="T195" s="151">
        <v>441.935</v>
      </c>
      <c r="U195" s="164">
        <v>0</v>
      </c>
      <c r="V195" s="164">
        <v>1.9005099876873301E-2</v>
      </c>
      <c r="W195" s="164">
        <v>1.2048209635921001E-2</v>
      </c>
    </row>
    <row r="196" spans="1:23">
      <c r="A196" s="2">
        <v>12904</v>
      </c>
      <c r="B196" s="2">
        <v>13680</v>
      </c>
      <c r="C196" s="2" t="s">
        <v>1637</v>
      </c>
      <c r="D196" s="2" t="s">
        <v>1638</v>
      </c>
      <c r="E196" s="4" t="s">
        <v>350</v>
      </c>
      <c r="F196" s="2" t="s">
        <v>1729</v>
      </c>
      <c r="G196" s="2" t="s">
        <v>1730</v>
      </c>
      <c r="H196" s="2" t="s">
        <v>356</v>
      </c>
      <c r="I196" s="2" t="s">
        <v>1015</v>
      </c>
      <c r="J196" s="2" t="s">
        <v>97</v>
      </c>
      <c r="K196" s="2" t="s">
        <v>98</v>
      </c>
      <c r="L196" s="2" t="s">
        <v>379</v>
      </c>
      <c r="M196" s="2" t="s">
        <v>770</v>
      </c>
      <c r="N196" s="2" t="s">
        <v>155</v>
      </c>
      <c r="O196" s="2" t="s">
        <v>102</v>
      </c>
      <c r="P196" s="152">
        <v>665</v>
      </c>
      <c r="Q196" s="158">
        <v>3.71</v>
      </c>
      <c r="R196" s="175">
        <v>57682</v>
      </c>
      <c r="T196" s="151">
        <v>1423.1010000000001</v>
      </c>
      <c r="U196" s="164">
        <v>9.9999999999999995E-7</v>
      </c>
      <c r="V196" s="164">
        <v>6.1199437019815402E-2</v>
      </c>
      <c r="W196" s="164">
        <v>3.8797146639167703E-2</v>
      </c>
    </row>
    <row r="197" spans="1:23">
      <c r="A197" s="2">
        <v>12904</v>
      </c>
      <c r="B197" s="2">
        <v>13680</v>
      </c>
      <c r="C197" s="2" t="s">
        <v>1657</v>
      </c>
      <c r="D197" s="2" t="s">
        <v>1604</v>
      </c>
      <c r="E197" s="4" t="s">
        <v>350</v>
      </c>
      <c r="F197" s="2" t="s">
        <v>1658</v>
      </c>
      <c r="G197" s="2" t="s">
        <v>1659</v>
      </c>
      <c r="H197" s="2" t="s">
        <v>356</v>
      </c>
      <c r="I197" s="2" t="s">
        <v>1015</v>
      </c>
      <c r="J197" s="2" t="s">
        <v>97</v>
      </c>
      <c r="K197" s="2" t="s">
        <v>331</v>
      </c>
      <c r="L197" s="2" t="s">
        <v>399</v>
      </c>
      <c r="M197" s="2" t="s">
        <v>770</v>
      </c>
      <c r="N197" s="2" t="s">
        <v>155</v>
      </c>
      <c r="O197" s="2" t="s">
        <v>1209</v>
      </c>
      <c r="P197" s="152">
        <v>1012</v>
      </c>
      <c r="Q197" s="158">
        <v>4.1524000000000001</v>
      </c>
      <c r="R197" s="175">
        <v>24366</v>
      </c>
      <c r="T197" s="151">
        <v>1023.915</v>
      </c>
      <c r="U197" s="164">
        <v>4.5000000000000003E-5</v>
      </c>
      <c r="V197" s="164">
        <v>4.40327182798173E-2</v>
      </c>
      <c r="W197" s="164">
        <v>2.7914371621917001E-2</v>
      </c>
    </row>
    <row r="198" spans="1:23">
      <c r="A198" s="2">
        <v>12904</v>
      </c>
      <c r="B198" s="2">
        <v>13680</v>
      </c>
      <c r="C198" s="2" t="s">
        <v>1657</v>
      </c>
      <c r="D198" s="2" t="s">
        <v>1604</v>
      </c>
      <c r="E198" s="4" t="s">
        <v>350</v>
      </c>
      <c r="F198" s="2" t="s">
        <v>1660</v>
      </c>
      <c r="G198" s="2" t="s">
        <v>1661</v>
      </c>
      <c r="H198" s="2" t="s">
        <v>356</v>
      </c>
      <c r="I198" s="2" t="s">
        <v>1015</v>
      </c>
      <c r="J198" s="2" t="s">
        <v>97</v>
      </c>
      <c r="K198" s="2" t="s">
        <v>319</v>
      </c>
      <c r="L198" s="2" t="s">
        <v>399</v>
      </c>
      <c r="M198" s="2" t="s">
        <v>770</v>
      </c>
      <c r="N198" s="2" t="s">
        <v>155</v>
      </c>
      <c r="O198" s="2" t="s">
        <v>1209</v>
      </c>
      <c r="P198" s="152">
        <v>93</v>
      </c>
      <c r="Q198" s="158">
        <v>4.1524000000000001</v>
      </c>
      <c r="R198" s="175">
        <v>15648.2</v>
      </c>
      <c r="T198" s="151">
        <v>60.429000000000002</v>
      </c>
      <c r="U198" s="164">
        <v>2.9E-5</v>
      </c>
      <c r="V198" s="164">
        <v>2.5987115762990602E-3</v>
      </c>
      <c r="W198" s="164">
        <v>1.6474431630136099E-3</v>
      </c>
    </row>
    <row r="199" spans="1:23">
      <c r="A199" s="2">
        <v>12904</v>
      </c>
      <c r="B199" s="2">
        <v>13680</v>
      </c>
      <c r="C199" s="2" t="s">
        <v>1662</v>
      </c>
      <c r="D199" s="2" t="s">
        <v>1663</v>
      </c>
      <c r="E199" s="4" t="s">
        <v>350</v>
      </c>
      <c r="F199" s="2" t="s">
        <v>1664</v>
      </c>
      <c r="G199" s="2" t="s">
        <v>1665</v>
      </c>
      <c r="H199" s="2" t="s">
        <v>356</v>
      </c>
      <c r="I199" s="2" t="s">
        <v>1015</v>
      </c>
      <c r="J199" s="2" t="s">
        <v>97</v>
      </c>
      <c r="K199" s="2" t="s">
        <v>98</v>
      </c>
      <c r="L199" s="2" t="s">
        <v>379</v>
      </c>
      <c r="M199" s="2" t="s">
        <v>770</v>
      </c>
      <c r="N199" s="2" t="s">
        <v>155</v>
      </c>
      <c r="O199" s="2" t="s">
        <v>102</v>
      </c>
      <c r="P199" s="152">
        <v>919</v>
      </c>
      <c r="Q199" s="158">
        <v>3.71</v>
      </c>
      <c r="R199" s="175">
        <v>9638</v>
      </c>
      <c r="T199" s="151">
        <v>328.60700000000003</v>
      </c>
      <c r="U199" s="164">
        <v>1.2E-5</v>
      </c>
      <c r="V199" s="164">
        <v>1.41314883522185E-2</v>
      </c>
      <c r="W199" s="164">
        <v>8.9586024403001292E-3</v>
      </c>
    </row>
    <row r="200" spans="1:23">
      <c r="A200" s="2">
        <v>12904</v>
      </c>
      <c r="B200" s="2">
        <v>13680</v>
      </c>
      <c r="C200" s="2" t="s">
        <v>1637</v>
      </c>
      <c r="D200" s="2" t="s">
        <v>1638</v>
      </c>
      <c r="E200" s="4" t="s">
        <v>350</v>
      </c>
      <c r="F200" s="2" t="s">
        <v>1666</v>
      </c>
      <c r="G200" s="2" t="s">
        <v>1667</v>
      </c>
      <c r="H200" s="2" t="s">
        <v>356</v>
      </c>
      <c r="I200" s="2" t="s">
        <v>1015</v>
      </c>
      <c r="J200" s="2" t="s">
        <v>97</v>
      </c>
      <c r="K200" s="2" t="s">
        <v>306</v>
      </c>
      <c r="L200" s="2" t="s">
        <v>381</v>
      </c>
      <c r="M200" s="2" t="s">
        <v>770</v>
      </c>
      <c r="N200" s="2" t="s">
        <v>155</v>
      </c>
      <c r="O200" s="2" t="s">
        <v>102</v>
      </c>
      <c r="P200" s="152">
        <v>1171</v>
      </c>
      <c r="Q200" s="158">
        <v>3.71</v>
      </c>
      <c r="R200" s="175">
        <v>5091</v>
      </c>
      <c r="T200" s="151">
        <v>221.17400000000001</v>
      </c>
      <c r="U200" s="164">
        <v>6.9999999999999999E-6</v>
      </c>
      <c r="V200" s="164">
        <v>9.5114222823264594E-3</v>
      </c>
      <c r="W200" s="164">
        <v>6.0297294060888901E-3</v>
      </c>
    </row>
    <row r="201" spans="1:23">
      <c r="A201" s="2">
        <v>12904</v>
      </c>
      <c r="B201" s="2">
        <v>13680</v>
      </c>
      <c r="D201" s="2" t="s">
        <v>1668</v>
      </c>
      <c r="E201" s="4" t="s">
        <v>350</v>
      </c>
      <c r="F201" s="2" t="s">
        <v>1669</v>
      </c>
      <c r="G201" s="2" t="s">
        <v>1670</v>
      </c>
      <c r="H201" s="2" t="s">
        <v>356</v>
      </c>
      <c r="I201" s="2" t="s">
        <v>1015</v>
      </c>
      <c r="J201" s="2" t="s">
        <v>97</v>
      </c>
      <c r="K201" s="2" t="s">
        <v>98</v>
      </c>
      <c r="L201" s="2" t="s">
        <v>1528</v>
      </c>
      <c r="M201" s="2" t="s">
        <v>770</v>
      </c>
      <c r="N201" s="2" t="s">
        <v>155</v>
      </c>
      <c r="O201" s="2" t="s">
        <v>102</v>
      </c>
      <c r="P201" s="152">
        <v>817</v>
      </c>
      <c r="Q201" s="158">
        <v>3.71</v>
      </c>
      <c r="R201" s="175">
        <v>8078</v>
      </c>
      <c r="T201" s="151">
        <v>244.85</v>
      </c>
      <c r="U201" s="164">
        <v>1.5999999999999999E-5</v>
      </c>
      <c r="V201" s="164">
        <v>1.05295879608796E-2</v>
      </c>
      <c r="W201" s="164">
        <v>6.6751916040663599E-3</v>
      </c>
    </row>
    <row r="202" spans="1:23">
      <c r="A202" s="2">
        <v>12904</v>
      </c>
      <c r="B202" s="2">
        <v>13680</v>
      </c>
      <c r="C202" s="2" t="s">
        <v>1593</v>
      </c>
      <c r="D202" s="2" t="s">
        <v>1594</v>
      </c>
      <c r="E202" s="4" t="s">
        <v>350</v>
      </c>
      <c r="F202" s="2" t="s">
        <v>1671</v>
      </c>
      <c r="G202" s="2" t="s">
        <v>1672</v>
      </c>
      <c r="H202" s="2" t="s">
        <v>356</v>
      </c>
      <c r="I202" s="2" t="s">
        <v>1015</v>
      </c>
      <c r="J202" s="2" t="s">
        <v>97</v>
      </c>
      <c r="K202" s="2" t="s">
        <v>98</v>
      </c>
      <c r="L202" s="2" t="s">
        <v>379</v>
      </c>
      <c r="M202" s="2" t="s">
        <v>770</v>
      </c>
      <c r="N202" s="2" t="s">
        <v>155</v>
      </c>
      <c r="O202" s="2" t="s">
        <v>102</v>
      </c>
      <c r="P202" s="152">
        <v>655</v>
      </c>
      <c r="Q202" s="158">
        <v>3.71</v>
      </c>
      <c r="R202" s="175">
        <v>8780</v>
      </c>
      <c r="T202" s="151">
        <v>213.358</v>
      </c>
      <c r="U202" s="164">
        <v>9.9999999999999995E-7</v>
      </c>
      <c r="V202" s="164">
        <v>9.1753214306506594E-3</v>
      </c>
      <c r="W202" s="164">
        <v>5.8166595697799004E-3</v>
      </c>
    </row>
    <row r="203" spans="1:23">
      <c r="A203" s="2">
        <v>12904</v>
      </c>
      <c r="B203" s="2">
        <v>13680</v>
      </c>
      <c r="C203" s="2" t="s">
        <v>1538</v>
      </c>
      <c r="D203" s="2" t="s">
        <v>1539</v>
      </c>
      <c r="E203" s="4" t="s">
        <v>350</v>
      </c>
      <c r="F203" s="2" t="s">
        <v>1673</v>
      </c>
      <c r="G203" s="2" t="s">
        <v>1674</v>
      </c>
      <c r="H203" s="2" t="s">
        <v>356</v>
      </c>
      <c r="I203" s="2" t="s">
        <v>1015</v>
      </c>
      <c r="J203" s="2" t="s">
        <v>97</v>
      </c>
      <c r="K203" s="2" t="s">
        <v>98</v>
      </c>
      <c r="L203" s="2" t="s">
        <v>381</v>
      </c>
      <c r="M203" s="2" t="s">
        <v>770</v>
      </c>
      <c r="N203" s="2" t="s">
        <v>155</v>
      </c>
      <c r="O203" s="2" t="s">
        <v>102</v>
      </c>
      <c r="P203" s="152">
        <v>492</v>
      </c>
      <c r="Q203" s="158">
        <v>3.71</v>
      </c>
      <c r="R203" s="175">
        <v>48807</v>
      </c>
      <c r="S203" s="155">
        <v>0.251</v>
      </c>
      <c r="T203" s="151">
        <v>891.81399999999996</v>
      </c>
      <c r="U203" s="164">
        <v>9.9999999999999995E-7</v>
      </c>
      <c r="V203" s="164">
        <v>3.8351788780029698E-2</v>
      </c>
      <c r="W203" s="164">
        <v>2.4312968315238399E-2</v>
      </c>
    </row>
    <row r="204" spans="1:23">
      <c r="A204" s="2">
        <v>12904</v>
      </c>
      <c r="B204" s="2">
        <v>13680</v>
      </c>
      <c r="C204" s="2" t="s">
        <v>1593</v>
      </c>
      <c r="D204" s="2" t="s">
        <v>1594</v>
      </c>
      <c r="E204" s="4" t="s">
        <v>350</v>
      </c>
      <c r="F204" s="2" t="s">
        <v>1675</v>
      </c>
      <c r="G204" s="2" t="s">
        <v>1676</v>
      </c>
      <c r="H204" s="2" t="s">
        <v>356</v>
      </c>
      <c r="I204" s="2" t="s">
        <v>1015</v>
      </c>
      <c r="J204" s="2" t="s">
        <v>97</v>
      </c>
      <c r="K204" s="2" t="s">
        <v>98</v>
      </c>
      <c r="L204" s="2" t="s">
        <v>379</v>
      </c>
      <c r="M204" s="2" t="s">
        <v>770</v>
      </c>
      <c r="N204" s="2" t="s">
        <v>155</v>
      </c>
      <c r="O204" s="2" t="s">
        <v>102</v>
      </c>
      <c r="P204" s="152">
        <v>432</v>
      </c>
      <c r="Q204" s="158">
        <v>3.71</v>
      </c>
      <c r="R204" s="175">
        <v>4467</v>
      </c>
      <c r="T204" s="151">
        <v>71.593999999999994</v>
      </c>
      <c r="U204" s="164">
        <v>6.9999999999999999E-6</v>
      </c>
      <c r="V204" s="164">
        <v>3.0788261800534802E-3</v>
      </c>
      <c r="W204" s="164">
        <v>1.9518099610192001E-3</v>
      </c>
    </row>
    <row r="205" spans="1:23">
      <c r="A205" s="2">
        <v>12904</v>
      </c>
      <c r="B205" s="2">
        <v>13680</v>
      </c>
      <c r="C205" s="2" t="s">
        <v>1677</v>
      </c>
      <c r="D205" s="2" t="s">
        <v>1678</v>
      </c>
      <c r="E205" s="4" t="s">
        <v>350</v>
      </c>
      <c r="F205" s="2" t="s">
        <v>1679</v>
      </c>
      <c r="G205" s="2" t="s">
        <v>1680</v>
      </c>
      <c r="H205" s="2" t="s">
        <v>356</v>
      </c>
      <c r="I205" s="2" t="s">
        <v>1015</v>
      </c>
      <c r="J205" s="2" t="s">
        <v>97</v>
      </c>
      <c r="K205" s="2" t="s">
        <v>98</v>
      </c>
      <c r="L205" s="2" t="s">
        <v>379</v>
      </c>
      <c r="M205" s="2" t="s">
        <v>770</v>
      </c>
      <c r="N205" s="2" t="s">
        <v>155</v>
      </c>
      <c r="O205" s="2" t="s">
        <v>102</v>
      </c>
      <c r="P205" s="152">
        <v>849</v>
      </c>
      <c r="Q205" s="158">
        <v>3.71</v>
      </c>
      <c r="R205" s="175">
        <v>17916</v>
      </c>
      <c r="T205" s="151">
        <v>564.31600000000003</v>
      </c>
      <c r="U205" s="164">
        <v>3.9999999999999998E-6</v>
      </c>
      <c r="V205" s="164">
        <v>2.4268012811917299E-2</v>
      </c>
      <c r="W205" s="164">
        <v>1.5384612956493401E-2</v>
      </c>
    </row>
    <row r="206" spans="1:23">
      <c r="A206" s="2">
        <v>12904</v>
      </c>
      <c r="B206" s="2">
        <v>13680</v>
      </c>
      <c r="C206" s="2" t="s">
        <v>1681</v>
      </c>
      <c r="D206" s="2" t="s">
        <v>1682</v>
      </c>
      <c r="E206" s="4" t="s">
        <v>350</v>
      </c>
      <c r="F206" s="2" t="s">
        <v>1683</v>
      </c>
      <c r="G206" s="2" t="s">
        <v>1684</v>
      </c>
      <c r="H206" s="2" t="s">
        <v>356</v>
      </c>
      <c r="I206" s="2" t="s">
        <v>1015</v>
      </c>
      <c r="J206" s="2" t="s">
        <v>97</v>
      </c>
      <c r="K206" s="2" t="s">
        <v>98</v>
      </c>
      <c r="L206" s="2" t="s">
        <v>1528</v>
      </c>
      <c r="M206" s="2" t="s">
        <v>770</v>
      </c>
      <c r="N206" s="2" t="s">
        <v>155</v>
      </c>
      <c r="O206" s="2" t="s">
        <v>1209</v>
      </c>
      <c r="P206" s="152">
        <v>885</v>
      </c>
      <c r="Q206" s="158">
        <v>4.1524000000000001</v>
      </c>
      <c r="R206" s="175">
        <v>12402</v>
      </c>
      <c r="T206" s="151">
        <v>455.75799999999998</v>
      </c>
      <c r="U206" s="164">
        <v>3.48E-4</v>
      </c>
      <c r="V206" s="164">
        <v>1.9599533834731401E-2</v>
      </c>
      <c r="W206" s="164">
        <v>1.24250487467588E-2</v>
      </c>
    </row>
    <row r="207" spans="1:23">
      <c r="A207" s="2">
        <v>12904</v>
      </c>
      <c r="B207" s="2">
        <v>13680</v>
      </c>
      <c r="C207" s="2" t="s">
        <v>1538</v>
      </c>
      <c r="D207" s="2" t="s">
        <v>1539</v>
      </c>
      <c r="E207" s="4" t="s">
        <v>350</v>
      </c>
      <c r="F207" s="2" t="s">
        <v>1733</v>
      </c>
      <c r="G207" s="2" t="s">
        <v>1734</v>
      </c>
      <c r="H207" s="2" t="s">
        <v>356</v>
      </c>
      <c r="I207" s="2" t="s">
        <v>1015</v>
      </c>
      <c r="J207" s="2" t="s">
        <v>97</v>
      </c>
      <c r="K207" s="2" t="s">
        <v>98</v>
      </c>
      <c r="L207" s="2" t="s">
        <v>415</v>
      </c>
      <c r="M207" s="2" t="s">
        <v>770</v>
      </c>
      <c r="N207" s="2" t="s">
        <v>155</v>
      </c>
      <c r="O207" s="2" t="s">
        <v>102</v>
      </c>
      <c r="P207" s="152">
        <v>67</v>
      </c>
      <c r="Q207" s="158">
        <v>3.71</v>
      </c>
      <c r="R207" s="175">
        <v>112716</v>
      </c>
      <c r="T207" s="151">
        <v>280.178</v>
      </c>
      <c r="U207" s="164">
        <v>1.2999999999999999E-5</v>
      </c>
      <c r="V207" s="164">
        <v>1.2048856793766801E-2</v>
      </c>
      <c r="W207" s="164">
        <v>7.6383262105948401E-3</v>
      </c>
    </row>
    <row r="208" spans="1:23">
      <c r="A208" s="2">
        <v>12904</v>
      </c>
      <c r="B208" s="2">
        <v>13680</v>
      </c>
      <c r="C208" s="2" t="s">
        <v>1593</v>
      </c>
      <c r="D208" s="2" t="s">
        <v>1594</v>
      </c>
      <c r="E208" s="4" t="s">
        <v>350</v>
      </c>
      <c r="F208" s="2" t="s">
        <v>1685</v>
      </c>
      <c r="G208" s="2" t="s">
        <v>1686</v>
      </c>
      <c r="H208" s="2" t="s">
        <v>356</v>
      </c>
      <c r="I208" s="2" t="s">
        <v>1017</v>
      </c>
      <c r="J208" s="2" t="s">
        <v>97</v>
      </c>
      <c r="K208" s="2" t="s">
        <v>98</v>
      </c>
      <c r="L208" s="2" t="s">
        <v>1528</v>
      </c>
      <c r="M208" s="2" t="s">
        <v>767</v>
      </c>
      <c r="N208" s="2" t="s">
        <v>155</v>
      </c>
      <c r="O208" s="2" t="s">
        <v>102</v>
      </c>
      <c r="P208" s="152">
        <v>18800</v>
      </c>
      <c r="Q208" s="158">
        <v>3.71</v>
      </c>
      <c r="R208" s="175">
        <v>1075.2</v>
      </c>
      <c r="T208" s="151">
        <v>749.93</v>
      </c>
      <c r="U208" s="164">
        <v>0</v>
      </c>
      <c r="V208" s="164">
        <v>3.2250212196704701E-2</v>
      </c>
      <c r="W208" s="164">
        <v>2.0444897415227901E-2</v>
      </c>
    </row>
    <row r="209" spans="1:23">
      <c r="A209" s="2">
        <v>12904</v>
      </c>
      <c r="B209" s="2">
        <v>13680</v>
      </c>
      <c r="C209" s="2" t="s">
        <v>1687</v>
      </c>
      <c r="D209" s="2" t="s">
        <v>1688</v>
      </c>
      <c r="E209" s="4" t="s">
        <v>350</v>
      </c>
      <c r="F209" s="2" t="s">
        <v>1689</v>
      </c>
      <c r="G209" s="2" t="s">
        <v>1690</v>
      </c>
      <c r="H209" s="2" t="s">
        <v>356</v>
      </c>
      <c r="I209" s="2" t="s">
        <v>1015</v>
      </c>
      <c r="J209" s="2" t="s">
        <v>97</v>
      </c>
      <c r="K209" s="2" t="s">
        <v>98</v>
      </c>
      <c r="L209" s="2" t="s">
        <v>1691</v>
      </c>
      <c r="M209" s="2" t="s">
        <v>770</v>
      </c>
      <c r="N209" s="2" t="s">
        <v>155</v>
      </c>
      <c r="O209" s="2" t="s">
        <v>102</v>
      </c>
      <c r="P209" s="152">
        <v>966</v>
      </c>
      <c r="Q209" s="158">
        <v>3.71</v>
      </c>
      <c r="R209" s="175">
        <v>3453</v>
      </c>
      <c r="T209" s="151">
        <v>123.751</v>
      </c>
      <c r="U209" s="164">
        <v>0</v>
      </c>
      <c r="V209" s="164">
        <v>5.3218076846120602E-3</v>
      </c>
      <c r="W209" s="164">
        <v>3.3737394195062801E-3</v>
      </c>
    </row>
    <row r="210" spans="1:23">
      <c r="A210" s="2">
        <v>12904</v>
      </c>
      <c r="B210" s="2">
        <v>13680</v>
      </c>
      <c r="C210" s="2" t="s">
        <v>1692</v>
      </c>
      <c r="D210" s="2" t="s">
        <v>1693</v>
      </c>
      <c r="E210" s="4" t="s">
        <v>350</v>
      </c>
      <c r="F210" s="2" t="s">
        <v>1694</v>
      </c>
      <c r="G210" s="2" t="s">
        <v>1695</v>
      </c>
      <c r="H210" s="2" t="s">
        <v>356</v>
      </c>
      <c r="I210" s="2" t="s">
        <v>1015</v>
      </c>
      <c r="J210" s="2" t="s">
        <v>97</v>
      </c>
      <c r="K210" s="2" t="s">
        <v>271</v>
      </c>
      <c r="L210" s="2" t="s">
        <v>1691</v>
      </c>
      <c r="M210" s="2" t="s">
        <v>770</v>
      </c>
      <c r="N210" s="2" t="s">
        <v>155</v>
      </c>
      <c r="O210" s="2" t="s">
        <v>1211</v>
      </c>
      <c r="P210" s="152">
        <v>817</v>
      </c>
      <c r="Q210" s="158">
        <v>4.9748000000000001</v>
      </c>
      <c r="R210" s="175">
        <v>3242.5</v>
      </c>
      <c r="T210" s="151">
        <v>131.78899999999999</v>
      </c>
      <c r="U210" s="164">
        <v>1.5999999999999999E-5</v>
      </c>
      <c r="V210" s="164">
        <v>5.6674699861621698E-3</v>
      </c>
      <c r="W210" s="164">
        <v>3.59287070002002E-3</v>
      </c>
    </row>
    <row r="211" spans="1:23">
      <c r="A211" s="2">
        <v>12904</v>
      </c>
      <c r="B211" s="2">
        <v>13680</v>
      </c>
      <c r="C211" s="2" t="s">
        <v>1692</v>
      </c>
      <c r="D211" s="2" t="s">
        <v>1693</v>
      </c>
      <c r="E211" s="4" t="s">
        <v>350</v>
      </c>
      <c r="F211" s="2" t="s">
        <v>1737</v>
      </c>
      <c r="G211" s="2" t="s">
        <v>1738</v>
      </c>
      <c r="H211" s="2" t="s">
        <v>356</v>
      </c>
      <c r="I211" s="2" t="s">
        <v>1015</v>
      </c>
      <c r="J211" s="2" t="s">
        <v>97</v>
      </c>
      <c r="K211" s="2" t="s">
        <v>98</v>
      </c>
      <c r="L211" s="2" t="s">
        <v>379</v>
      </c>
      <c r="M211" s="2" t="s">
        <v>770</v>
      </c>
      <c r="N211" s="2" t="s">
        <v>155</v>
      </c>
      <c r="O211" s="2" t="s">
        <v>102</v>
      </c>
      <c r="P211" s="152">
        <v>610</v>
      </c>
      <c r="Q211" s="158">
        <v>3.71</v>
      </c>
      <c r="R211" s="175">
        <v>52767</v>
      </c>
      <c r="S211" s="155">
        <v>1</v>
      </c>
      <c r="T211" s="151">
        <v>1197.8779999999999</v>
      </c>
      <c r="U211" s="164">
        <v>9.9999999999999995E-7</v>
      </c>
      <c r="V211" s="164">
        <v>5.15138800312296E-2</v>
      </c>
      <c r="W211" s="164">
        <v>3.26570252088592E-2</v>
      </c>
    </row>
    <row r="212" spans="1:23">
      <c r="A212" s="2">
        <v>12904</v>
      </c>
      <c r="B212" s="2">
        <v>13680</v>
      </c>
      <c r="C212" s="2" t="s">
        <v>1692</v>
      </c>
      <c r="D212" s="2" t="s">
        <v>1693</v>
      </c>
      <c r="E212" s="4" t="s">
        <v>350</v>
      </c>
      <c r="F212" s="2" t="s">
        <v>1739</v>
      </c>
      <c r="G212" s="2" t="s">
        <v>1740</v>
      </c>
      <c r="H212" s="2" t="s">
        <v>356</v>
      </c>
      <c r="I212" s="2" t="s">
        <v>1015</v>
      </c>
      <c r="J212" s="2" t="s">
        <v>97</v>
      </c>
      <c r="K212" s="2" t="s">
        <v>98</v>
      </c>
      <c r="L212" s="2" t="s">
        <v>381</v>
      </c>
      <c r="M212" s="2" t="s">
        <v>770</v>
      </c>
      <c r="N212" s="2" t="s">
        <v>155</v>
      </c>
      <c r="O212" s="2" t="s">
        <v>102</v>
      </c>
      <c r="P212" s="152">
        <v>205</v>
      </c>
      <c r="Q212" s="158">
        <v>3.71</v>
      </c>
      <c r="R212" s="175">
        <v>19072</v>
      </c>
      <c r="S212" s="155">
        <v>0.218</v>
      </c>
      <c r="T212" s="151">
        <v>145.86000000000001</v>
      </c>
      <c r="U212" s="164">
        <v>0</v>
      </c>
      <c r="V212" s="164">
        <v>6.2725875842532001E-3</v>
      </c>
      <c r="W212" s="164">
        <v>3.9764826633045397E-3</v>
      </c>
    </row>
    <row r="213" spans="1:23">
      <c r="A213" s="2">
        <v>12904</v>
      </c>
      <c r="B213" s="2">
        <v>13680</v>
      </c>
      <c r="C213" s="2" t="s">
        <v>1692</v>
      </c>
      <c r="D213" s="2" t="s">
        <v>1693</v>
      </c>
      <c r="E213" s="4" t="s">
        <v>350</v>
      </c>
      <c r="F213" s="2" t="s">
        <v>1696</v>
      </c>
      <c r="G213" s="2" t="s">
        <v>1697</v>
      </c>
      <c r="H213" s="2" t="s">
        <v>356</v>
      </c>
      <c r="I213" s="2" t="s">
        <v>1015</v>
      </c>
      <c r="J213" s="2" t="s">
        <v>97</v>
      </c>
      <c r="K213" s="2" t="s">
        <v>98</v>
      </c>
      <c r="L213" s="2" t="s">
        <v>379</v>
      </c>
      <c r="M213" s="2" t="s">
        <v>770</v>
      </c>
      <c r="N213" s="2" t="s">
        <v>155</v>
      </c>
      <c r="O213" s="2" t="s">
        <v>102</v>
      </c>
      <c r="P213" s="152">
        <v>1330</v>
      </c>
      <c r="Q213" s="158">
        <v>3.71</v>
      </c>
      <c r="R213" s="175">
        <v>10563</v>
      </c>
      <c r="S213" s="155">
        <v>0.47899999999999998</v>
      </c>
      <c r="T213" s="151">
        <v>522.98800000000006</v>
      </c>
      <c r="U213" s="164">
        <v>1.6699999999999999E-4</v>
      </c>
      <c r="V213" s="164">
        <v>2.2490734431801301E-2</v>
      </c>
      <c r="W213" s="164">
        <v>1.42579141943846E-2</v>
      </c>
    </row>
    <row r="214" spans="1:23">
      <c r="A214" s="2">
        <v>12904</v>
      </c>
      <c r="B214" s="2">
        <v>13680</v>
      </c>
      <c r="C214" s="2" t="s">
        <v>1692</v>
      </c>
      <c r="D214" s="2" t="s">
        <v>1693</v>
      </c>
      <c r="E214" s="4" t="s">
        <v>350</v>
      </c>
      <c r="F214" s="2" t="s">
        <v>1741</v>
      </c>
      <c r="G214" s="2" t="s">
        <v>1742</v>
      </c>
      <c r="H214" s="2" t="s">
        <v>356</v>
      </c>
      <c r="I214" s="2" t="s">
        <v>1015</v>
      </c>
      <c r="J214" s="2" t="s">
        <v>97</v>
      </c>
      <c r="K214" s="2" t="s">
        <v>334</v>
      </c>
      <c r="L214" s="2" t="s">
        <v>379</v>
      </c>
      <c r="M214" s="2" t="s">
        <v>770</v>
      </c>
      <c r="N214" s="2" t="s">
        <v>155</v>
      </c>
      <c r="O214" s="2" t="s">
        <v>102</v>
      </c>
      <c r="P214" s="152">
        <v>2230</v>
      </c>
      <c r="Q214" s="158">
        <v>3.71</v>
      </c>
      <c r="R214" s="175">
        <v>11970</v>
      </c>
      <c r="T214" s="151">
        <v>990.31399999999996</v>
      </c>
      <c r="U214" s="164">
        <v>9.0000000000000002E-6</v>
      </c>
      <c r="V214" s="164">
        <v>4.2587729308543203E-2</v>
      </c>
      <c r="W214" s="164">
        <v>2.6998326446659102E-2</v>
      </c>
    </row>
    <row r="215" spans="1:23">
      <c r="A215" s="2">
        <v>12904</v>
      </c>
      <c r="B215" s="2">
        <v>13680</v>
      </c>
      <c r="C215" s="2" t="s">
        <v>1698</v>
      </c>
      <c r="D215" s="2" t="s">
        <v>1699</v>
      </c>
      <c r="E215" s="4" t="s">
        <v>350</v>
      </c>
      <c r="F215" s="2" t="s">
        <v>1700</v>
      </c>
      <c r="G215" s="2" t="s">
        <v>1701</v>
      </c>
      <c r="H215" s="2" t="s">
        <v>356</v>
      </c>
      <c r="I215" s="2" t="s">
        <v>1015</v>
      </c>
      <c r="J215" s="2" t="s">
        <v>97</v>
      </c>
      <c r="K215" s="2" t="s">
        <v>282</v>
      </c>
      <c r="L215" s="2" t="s">
        <v>379</v>
      </c>
      <c r="M215" s="2" t="s">
        <v>770</v>
      </c>
      <c r="N215" s="2" t="s">
        <v>155</v>
      </c>
      <c r="O215" s="2" t="s">
        <v>102</v>
      </c>
      <c r="P215" s="152">
        <v>4995</v>
      </c>
      <c r="Q215" s="158">
        <v>3.71</v>
      </c>
      <c r="R215" s="175">
        <v>5046</v>
      </c>
      <c r="T215" s="151">
        <v>935.09699999999998</v>
      </c>
      <c r="U215" s="164">
        <v>2.2699999999999999E-4</v>
      </c>
      <c r="V215" s="164">
        <v>4.0213160781029197E-2</v>
      </c>
      <c r="W215" s="164">
        <v>2.5492977903389301E-2</v>
      </c>
    </row>
    <row r="216" spans="1:23">
      <c r="A216" s="2">
        <v>424</v>
      </c>
      <c r="B216" s="2">
        <v>7228</v>
      </c>
      <c r="C216" s="2" t="s">
        <v>1585</v>
      </c>
      <c r="D216" s="2" t="s">
        <v>1586</v>
      </c>
      <c r="E216" s="4" t="s">
        <v>1342</v>
      </c>
      <c r="F216" s="2" t="s">
        <v>1587</v>
      </c>
      <c r="G216" s="2" t="s">
        <v>1588</v>
      </c>
      <c r="H216" s="2" t="s">
        <v>356</v>
      </c>
      <c r="I216" s="2" t="s">
        <v>1015</v>
      </c>
      <c r="J216" s="2" t="s">
        <v>30</v>
      </c>
      <c r="K216" s="2" t="s">
        <v>98</v>
      </c>
      <c r="L216" s="2" t="s">
        <v>31</v>
      </c>
      <c r="M216" s="2" t="s">
        <v>1578</v>
      </c>
      <c r="N216" s="2" t="s">
        <v>155</v>
      </c>
      <c r="O216" s="2" t="s">
        <v>34</v>
      </c>
      <c r="P216" s="152">
        <v>159292</v>
      </c>
      <c r="Q216" s="158">
        <v>1</v>
      </c>
      <c r="R216" s="175">
        <v>11220</v>
      </c>
      <c r="T216" s="151">
        <v>17872.562000000002</v>
      </c>
      <c r="U216" s="164">
        <v>1.9611E-2</v>
      </c>
      <c r="V216" s="164">
        <v>4.1494843128619903E-2</v>
      </c>
      <c r="W216" s="164">
        <v>7.4036916866784298E-3</v>
      </c>
    </row>
    <row r="217" spans="1:23">
      <c r="A217" s="2">
        <v>424</v>
      </c>
      <c r="B217" s="2">
        <v>7228</v>
      </c>
      <c r="C217" s="2" t="s">
        <v>1571</v>
      </c>
      <c r="D217" s="2" t="s">
        <v>1572</v>
      </c>
      <c r="E217" s="4" t="s">
        <v>1342</v>
      </c>
      <c r="F217" s="2" t="s">
        <v>1591</v>
      </c>
      <c r="G217" s="2" t="s">
        <v>1592</v>
      </c>
      <c r="H217" s="2" t="s">
        <v>356</v>
      </c>
      <c r="I217" s="2" t="s">
        <v>1015</v>
      </c>
      <c r="J217" s="2" t="s">
        <v>30</v>
      </c>
      <c r="K217" s="2" t="s">
        <v>98</v>
      </c>
      <c r="L217" s="2" t="s">
        <v>31</v>
      </c>
      <c r="M217" s="2" t="s">
        <v>1578</v>
      </c>
      <c r="N217" s="2" t="s">
        <v>155</v>
      </c>
      <c r="O217" s="2" t="s">
        <v>34</v>
      </c>
      <c r="P217" s="152">
        <v>125683</v>
      </c>
      <c r="Q217" s="158">
        <v>1</v>
      </c>
      <c r="R217" s="175">
        <v>3167</v>
      </c>
      <c r="T217" s="151">
        <v>3980.3809999999999</v>
      </c>
      <c r="U217" s="164">
        <v>6.2839999999999997E-3</v>
      </c>
      <c r="V217" s="164">
        <v>9.2412752747837897E-3</v>
      </c>
      <c r="W217" s="164">
        <v>1.64886881760575E-3</v>
      </c>
    </row>
    <row r="218" spans="1:23">
      <c r="A218" s="2">
        <v>424</v>
      </c>
      <c r="B218" s="2">
        <v>7228</v>
      </c>
      <c r="C218" s="2" t="s">
        <v>1702</v>
      </c>
      <c r="D218" s="2" t="s">
        <v>1703</v>
      </c>
      <c r="E218" s="4" t="s">
        <v>1342</v>
      </c>
      <c r="F218" s="2" t="s">
        <v>1714</v>
      </c>
      <c r="G218" s="2" t="s">
        <v>1715</v>
      </c>
      <c r="H218" s="2" t="s">
        <v>356</v>
      </c>
      <c r="I218" s="2" t="s">
        <v>1015</v>
      </c>
      <c r="J218" s="2" t="s">
        <v>30</v>
      </c>
      <c r="K218" s="2" t="s">
        <v>334</v>
      </c>
      <c r="L218" s="2" t="s">
        <v>31</v>
      </c>
      <c r="M218" s="2" t="s">
        <v>1578</v>
      </c>
      <c r="N218" s="2" t="s">
        <v>155</v>
      </c>
      <c r="O218" s="2" t="s">
        <v>34</v>
      </c>
      <c r="P218" s="152">
        <v>935828</v>
      </c>
      <c r="Q218" s="158">
        <v>1</v>
      </c>
      <c r="R218" s="175">
        <v>1505</v>
      </c>
      <c r="T218" s="151">
        <v>14084.210999999999</v>
      </c>
      <c r="U218" s="164">
        <v>1.3842E-2</v>
      </c>
      <c r="V218" s="164">
        <v>3.2699404235025702E-2</v>
      </c>
      <c r="W218" s="164">
        <v>5.8343709492714698E-3</v>
      </c>
    </row>
    <row r="219" spans="1:23">
      <c r="A219" s="2">
        <v>424</v>
      </c>
      <c r="B219" s="2">
        <v>7228</v>
      </c>
      <c r="C219" s="2" t="s">
        <v>1593</v>
      </c>
      <c r="D219" s="2" t="s">
        <v>1594</v>
      </c>
      <c r="E219" s="4" t="s">
        <v>350</v>
      </c>
      <c r="F219" s="2" t="s">
        <v>1595</v>
      </c>
      <c r="G219" s="2" t="s">
        <v>1596</v>
      </c>
      <c r="H219" s="2" t="s">
        <v>356</v>
      </c>
      <c r="I219" s="2" t="s">
        <v>1015</v>
      </c>
      <c r="J219" s="2" t="s">
        <v>97</v>
      </c>
      <c r="K219" s="2" t="s">
        <v>98</v>
      </c>
      <c r="L219" s="2" t="s">
        <v>379</v>
      </c>
      <c r="M219" s="2" t="s">
        <v>770</v>
      </c>
      <c r="N219" s="2" t="s">
        <v>155</v>
      </c>
      <c r="O219" s="2" t="s">
        <v>102</v>
      </c>
      <c r="P219" s="152">
        <v>32000</v>
      </c>
      <c r="Q219" s="158">
        <v>3.71</v>
      </c>
      <c r="R219" s="175">
        <v>8078</v>
      </c>
      <c r="T219" s="151">
        <v>9590.2019999999993</v>
      </c>
      <c r="U219" s="164">
        <v>1.4200000000000001E-4</v>
      </c>
      <c r="V219" s="164">
        <v>2.2265632764770199E-2</v>
      </c>
      <c r="W219" s="164">
        <v>3.9727317365242602E-3</v>
      </c>
    </row>
    <row r="220" spans="1:23">
      <c r="A220" s="2">
        <v>424</v>
      </c>
      <c r="B220" s="2">
        <v>7228</v>
      </c>
      <c r="C220" s="2" t="s">
        <v>1538</v>
      </c>
      <c r="D220" s="2" t="s">
        <v>1539</v>
      </c>
      <c r="E220" s="4" t="s">
        <v>350</v>
      </c>
      <c r="F220" s="2" t="s">
        <v>1597</v>
      </c>
      <c r="G220" s="2" t="s">
        <v>1598</v>
      </c>
      <c r="H220" s="2" t="s">
        <v>356</v>
      </c>
      <c r="I220" s="2" t="s">
        <v>1015</v>
      </c>
      <c r="J220" s="2" t="s">
        <v>97</v>
      </c>
      <c r="K220" s="2" t="s">
        <v>98</v>
      </c>
      <c r="L220" s="2" t="s">
        <v>379</v>
      </c>
      <c r="M220" s="2" t="s">
        <v>770</v>
      </c>
      <c r="N220" s="2" t="s">
        <v>155</v>
      </c>
      <c r="O220" s="2" t="s">
        <v>102</v>
      </c>
      <c r="P220" s="152">
        <v>15319</v>
      </c>
      <c r="Q220" s="158">
        <v>3.71</v>
      </c>
      <c r="R220" s="175">
        <v>11497</v>
      </c>
      <c r="T220" s="151">
        <v>6534.1459999999997</v>
      </c>
      <c r="U220" s="164">
        <v>7.94E-4</v>
      </c>
      <c r="V220" s="164">
        <v>1.5170369615140801E-2</v>
      </c>
      <c r="W220" s="164">
        <v>2.7067638032830599E-3</v>
      </c>
    </row>
    <row r="221" spans="1:23">
      <c r="A221" s="2">
        <v>424</v>
      </c>
      <c r="B221" s="2">
        <v>7228</v>
      </c>
      <c r="C221" s="2" t="s">
        <v>1603</v>
      </c>
      <c r="D221" s="2" t="s">
        <v>1604</v>
      </c>
      <c r="E221" s="4" t="s">
        <v>350</v>
      </c>
      <c r="F221" s="2" t="s">
        <v>1608</v>
      </c>
      <c r="G221" s="2" t="s">
        <v>1609</v>
      </c>
      <c r="H221" s="2" t="s">
        <v>356</v>
      </c>
      <c r="I221" s="2" t="s">
        <v>1015</v>
      </c>
      <c r="J221" s="2" t="s">
        <v>97</v>
      </c>
      <c r="K221" s="2" t="s">
        <v>319</v>
      </c>
      <c r="L221" s="2" t="s">
        <v>399</v>
      </c>
      <c r="M221" s="2" t="s">
        <v>770</v>
      </c>
      <c r="N221" s="2" t="s">
        <v>155</v>
      </c>
      <c r="O221" s="2" t="s">
        <v>1209</v>
      </c>
      <c r="P221" s="152">
        <v>39890</v>
      </c>
      <c r="Q221" s="158">
        <v>4.1524000000000001</v>
      </c>
      <c r="R221" s="175">
        <v>11358</v>
      </c>
      <c r="T221" s="151">
        <v>18813.304</v>
      </c>
      <c r="U221" s="164">
        <v>7.9399999999999991E-3</v>
      </c>
      <c r="V221" s="164">
        <v>4.3678969941174602E-2</v>
      </c>
      <c r="W221" s="164">
        <v>7.7933931605372103E-3</v>
      </c>
    </row>
    <row r="222" spans="1:23">
      <c r="A222" s="2">
        <v>424</v>
      </c>
      <c r="B222" s="2">
        <v>7228</v>
      </c>
      <c r="C222" s="2" t="s">
        <v>1610</v>
      </c>
      <c r="D222" s="2" t="s">
        <v>1611</v>
      </c>
      <c r="E222" s="4" t="s">
        <v>350</v>
      </c>
      <c r="F222" s="2" t="s">
        <v>1612</v>
      </c>
      <c r="G222" s="2" t="s">
        <v>1613</v>
      </c>
      <c r="H222" s="2" t="s">
        <v>356</v>
      </c>
      <c r="I222" s="2" t="s">
        <v>1015</v>
      </c>
      <c r="J222" s="2" t="s">
        <v>97</v>
      </c>
      <c r="K222" s="2" t="s">
        <v>98</v>
      </c>
      <c r="L222" s="2" t="s">
        <v>1528</v>
      </c>
      <c r="M222" s="2" t="s">
        <v>770</v>
      </c>
      <c r="N222" s="2" t="s">
        <v>155</v>
      </c>
      <c r="O222" s="2" t="s">
        <v>1209</v>
      </c>
      <c r="P222" s="152">
        <v>13615</v>
      </c>
      <c r="Q222" s="158">
        <v>4.1524000000000001</v>
      </c>
      <c r="R222" s="175">
        <v>7237.3</v>
      </c>
      <c r="T222" s="151">
        <v>4091.6019999999999</v>
      </c>
      <c r="U222" s="164">
        <v>0</v>
      </c>
      <c r="V222" s="164">
        <v>9.4994991545664601E-3</v>
      </c>
      <c r="W222" s="164">
        <v>1.6949422534330101E-3</v>
      </c>
    </row>
    <row r="223" spans="1:23">
      <c r="A223" s="2">
        <v>424</v>
      </c>
      <c r="B223" s="2">
        <v>7228</v>
      </c>
      <c r="C223" s="2" t="s">
        <v>1593</v>
      </c>
      <c r="D223" s="2" t="s">
        <v>1594</v>
      </c>
      <c r="E223" s="4" t="s">
        <v>350</v>
      </c>
      <c r="F223" s="2" t="s">
        <v>1616</v>
      </c>
      <c r="G223" s="2" t="s">
        <v>1617</v>
      </c>
      <c r="H223" s="2" t="s">
        <v>356</v>
      </c>
      <c r="I223" s="2" t="s">
        <v>1015</v>
      </c>
      <c r="J223" s="2" t="s">
        <v>97</v>
      </c>
      <c r="K223" s="2" t="s">
        <v>98</v>
      </c>
      <c r="L223" s="2" t="s">
        <v>379</v>
      </c>
      <c r="M223" s="2" t="s">
        <v>770</v>
      </c>
      <c r="N223" s="2" t="s">
        <v>155</v>
      </c>
      <c r="O223" s="2" t="s">
        <v>102</v>
      </c>
      <c r="P223" s="152">
        <v>15457</v>
      </c>
      <c r="Q223" s="158">
        <v>3.71</v>
      </c>
      <c r="R223" s="175">
        <v>20037</v>
      </c>
      <c r="T223" s="151">
        <v>11490.312</v>
      </c>
      <c r="U223" s="164">
        <v>1.5899999999999999E-4</v>
      </c>
      <c r="V223" s="164">
        <v>2.6677130898234098E-2</v>
      </c>
      <c r="W223" s="164">
        <v>4.75985055886286E-3</v>
      </c>
    </row>
    <row r="224" spans="1:23">
      <c r="A224" s="2">
        <v>424</v>
      </c>
      <c r="B224" s="2">
        <v>7228</v>
      </c>
      <c r="C224" s="2" t="s">
        <v>1593</v>
      </c>
      <c r="D224" s="2" t="s">
        <v>1594</v>
      </c>
      <c r="E224" s="4" t="s">
        <v>350</v>
      </c>
      <c r="F224" s="2" t="s">
        <v>1618</v>
      </c>
      <c r="G224" s="2" t="s">
        <v>1619</v>
      </c>
      <c r="H224" s="2" t="s">
        <v>356</v>
      </c>
      <c r="I224" s="2" t="s">
        <v>1015</v>
      </c>
      <c r="J224" s="2" t="s">
        <v>97</v>
      </c>
      <c r="K224" s="2" t="s">
        <v>98</v>
      </c>
      <c r="L224" s="2" t="s">
        <v>379</v>
      </c>
      <c r="M224" s="2" t="s">
        <v>770</v>
      </c>
      <c r="N224" s="2" t="s">
        <v>155</v>
      </c>
      <c r="O224" s="2" t="s">
        <v>102</v>
      </c>
      <c r="P224" s="152">
        <v>125952</v>
      </c>
      <c r="Q224" s="158">
        <v>3.71</v>
      </c>
      <c r="R224" s="175">
        <v>4532</v>
      </c>
      <c r="T224" s="151">
        <v>21177.217000000001</v>
      </c>
      <c r="U224" s="164">
        <v>1.3999999999999999E-4</v>
      </c>
      <c r="V224" s="164">
        <v>4.9167280082644003E-2</v>
      </c>
      <c r="W224" s="164">
        <v>8.7726414985140298E-3</v>
      </c>
    </row>
    <row r="225" spans="1:23">
      <c r="A225" s="2">
        <v>424</v>
      </c>
      <c r="B225" s="2">
        <v>7228</v>
      </c>
      <c r="C225" s="2" t="s">
        <v>1620</v>
      </c>
      <c r="D225" s="2" t="s">
        <v>1621</v>
      </c>
      <c r="E225" s="4" t="s">
        <v>350</v>
      </c>
      <c r="F225" s="2" t="s">
        <v>1622</v>
      </c>
      <c r="G225" s="2" t="s">
        <v>1623</v>
      </c>
      <c r="H225" s="2" t="s">
        <v>356</v>
      </c>
      <c r="I225" s="2" t="s">
        <v>1015</v>
      </c>
      <c r="J225" s="2" t="s">
        <v>97</v>
      </c>
      <c r="K225" s="2" t="s">
        <v>98</v>
      </c>
      <c r="L225" s="2" t="s">
        <v>381</v>
      </c>
      <c r="M225" s="2" t="s">
        <v>770</v>
      </c>
      <c r="N225" s="2" t="s">
        <v>155</v>
      </c>
      <c r="O225" s="2" t="s">
        <v>102</v>
      </c>
      <c r="P225" s="152">
        <v>8901</v>
      </c>
      <c r="Q225" s="158">
        <v>3.71</v>
      </c>
      <c r="R225" s="175">
        <v>19131</v>
      </c>
      <c r="T225" s="151">
        <v>6317.5749999999998</v>
      </c>
      <c r="U225" s="164">
        <v>6.4300000000000002E-4</v>
      </c>
      <c r="V225" s="164">
        <v>1.46675537168216E-2</v>
      </c>
      <c r="W225" s="164">
        <v>2.61704918802889E-3</v>
      </c>
    </row>
    <row r="226" spans="1:23">
      <c r="A226" s="2">
        <v>424</v>
      </c>
      <c r="B226" s="2">
        <v>7228</v>
      </c>
      <c r="C226" s="2" t="s">
        <v>1620</v>
      </c>
      <c r="D226" s="2" t="s">
        <v>1621</v>
      </c>
      <c r="E226" s="4" t="s">
        <v>350</v>
      </c>
      <c r="F226" s="2" t="s">
        <v>1624</v>
      </c>
      <c r="G226" s="2" t="s">
        <v>1625</v>
      </c>
      <c r="H226" s="2" t="s">
        <v>356</v>
      </c>
      <c r="I226" s="2" t="s">
        <v>1015</v>
      </c>
      <c r="J226" s="2" t="s">
        <v>97</v>
      </c>
      <c r="K226" s="2" t="s">
        <v>334</v>
      </c>
      <c r="L226" s="2" t="s">
        <v>381</v>
      </c>
      <c r="M226" s="2" t="s">
        <v>770</v>
      </c>
      <c r="N226" s="2" t="s">
        <v>155</v>
      </c>
      <c r="O226" s="2" t="s">
        <v>102</v>
      </c>
      <c r="P226" s="152">
        <v>9000</v>
      </c>
      <c r="Q226" s="158">
        <v>3.71</v>
      </c>
      <c r="R226" s="175">
        <v>12725</v>
      </c>
      <c r="T226" s="151">
        <v>4248.8770000000004</v>
      </c>
      <c r="U226" s="164">
        <v>1.2589999999999999E-3</v>
      </c>
      <c r="V226" s="164">
        <v>9.8646462319931707E-3</v>
      </c>
      <c r="W226" s="164">
        <v>1.7600933945803401E-3</v>
      </c>
    </row>
    <row r="227" spans="1:23">
      <c r="A227" s="2">
        <v>424</v>
      </c>
      <c r="B227" s="2">
        <v>7228</v>
      </c>
      <c r="C227" s="2" t="s">
        <v>1593</v>
      </c>
      <c r="D227" s="2" t="s">
        <v>1594</v>
      </c>
      <c r="E227" s="4" t="s">
        <v>350</v>
      </c>
      <c r="F227" s="2" t="s">
        <v>1630</v>
      </c>
      <c r="G227" s="2" t="s">
        <v>1631</v>
      </c>
      <c r="H227" s="2" t="s">
        <v>356</v>
      </c>
      <c r="I227" s="2" t="s">
        <v>1015</v>
      </c>
      <c r="J227" s="2" t="s">
        <v>97</v>
      </c>
      <c r="K227" s="2" t="s">
        <v>98</v>
      </c>
      <c r="L227" s="2" t="s">
        <v>379</v>
      </c>
      <c r="M227" s="2" t="s">
        <v>770</v>
      </c>
      <c r="N227" s="2" t="s">
        <v>155</v>
      </c>
      <c r="O227" s="2" t="s">
        <v>102</v>
      </c>
      <c r="P227" s="152">
        <v>55598</v>
      </c>
      <c r="Q227" s="158">
        <v>3.71</v>
      </c>
      <c r="R227" s="175">
        <v>15402</v>
      </c>
      <c r="T227" s="151">
        <v>31769.487000000001</v>
      </c>
      <c r="U227" s="164">
        <v>1.85E-4</v>
      </c>
      <c r="V227" s="164">
        <v>7.3759421678937398E-2</v>
      </c>
      <c r="W227" s="164">
        <v>1.3160479132451599E-2</v>
      </c>
    </row>
    <row r="228" spans="1:23">
      <c r="A228" s="2">
        <v>424</v>
      </c>
      <c r="B228" s="2">
        <v>7228</v>
      </c>
      <c r="C228" s="2" t="s">
        <v>1632</v>
      </c>
      <c r="D228" s="2" t="s">
        <v>1633</v>
      </c>
      <c r="E228" s="4" t="s">
        <v>350</v>
      </c>
      <c r="F228" s="2" t="s">
        <v>1634</v>
      </c>
      <c r="G228" s="2" t="s">
        <v>1635</v>
      </c>
      <c r="H228" s="2" t="s">
        <v>356</v>
      </c>
      <c r="I228" s="2" t="s">
        <v>1015</v>
      </c>
      <c r="J228" s="2" t="s">
        <v>97</v>
      </c>
      <c r="K228" s="2" t="s">
        <v>320</v>
      </c>
      <c r="L228" s="2" t="s">
        <v>1636</v>
      </c>
      <c r="M228" s="2" t="s">
        <v>770</v>
      </c>
      <c r="N228" s="2" t="s">
        <v>155</v>
      </c>
      <c r="O228" s="2" t="s">
        <v>1208</v>
      </c>
      <c r="P228" s="152">
        <v>35420</v>
      </c>
      <c r="Q228" s="158">
        <v>2.7435</v>
      </c>
      <c r="R228" s="175">
        <v>6219</v>
      </c>
      <c r="T228" s="151">
        <v>6043.299</v>
      </c>
      <c r="U228" s="164">
        <v>4.7600000000000002E-4</v>
      </c>
      <c r="V228" s="164">
        <v>1.4030766050427799E-2</v>
      </c>
      <c r="W228" s="164">
        <v>2.5034307430272999E-3</v>
      </c>
    </row>
    <row r="229" spans="1:23">
      <c r="A229" s="2">
        <v>424</v>
      </c>
      <c r="B229" s="2">
        <v>7228</v>
      </c>
      <c r="C229" s="2" t="s">
        <v>1637</v>
      </c>
      <c r="D229" s="2" t="s">
        <v>1638</v>
      </c>
      <c r="E229" s="4" t="s">
        <v>350</v>
      </c>
      <c r="F229" s="2" t="s">
        <v>1639</v>
      </c>
      <c r="G229" s="2" t="s">
        <v>1640</v>
      </c>
      <c r="H229" s="2" t="s">
        <v>356</v>
      </c>
      <c r="I229" s="2" t="s">
        <v>1017</v>
      </c>
      <c r="J229" s="2" t="s">
        <v>97</v>
      </c>
      <c r="K229" s="2" t="s">
        <v>1607</v>
      </c>
      <c r="L229" s="2" t="s">
        <v>415</v>
      </c>
      <c r="M229" s="2" t="s">
        <v>767</v>
      </c>
      <c r="N229" s="2" t="s">
        <v>155</v>
      </c>
      <c r="O229" s="2" t="s">
        <v>102</v>
      </c>
      <c r="P229" s="152">
        <v>65328</v>
      </c>
      <c r="Q229" s="158">
        <v>3.71</v>
      </c>
      <c r="R229" s="175">
        <v>4584</v>
      </c>
      <c r="T229" s="151">
        <v>11110.098</v>
      </c>
      <c r="U229" s="164">
        <v>0</v>
      </c>
      <c r="V229" s="164">
        <v>2.5794385504091601E-2</v>
      </c>
      <c r="W229" s="164">
        <v>4.6023472586139902E-3</v>
      </c>
    </row>
    <row r="230" spans="1:23">
      <c r="A230" s="2">
        <v>424</v>
      </c>
      <c r="B230" s="2">
        <v>7228</v>
      </c>
      <c r="C230" s="2" t="s">
        <v>1593</v>
      </c>
      <c r="D230" s="2" t="s">
        <v>1594</v>
      </c>
      <c r="E230" s="4" t="s">
        <v>350</v>
      </c>
      <c r="F230" s="2" t="s">
        <v>1641</v>
      </c>
      <c r="G230" s="2" t="s">
        <v>1642</v>
      </c>
      <c r="H230" s="2" t="s">
        <v>356</v>
      </c>
      <c r="I230" s="2" t="s">
        <v>1015</v>
      </c>
      <c r="J230" s="2" t="s">
        <v>97</v>
      </c>
      <c r="K230" s="2" t="s">
        <v>98</v>
      </c>
      <c r="L230" s="2" t="s">
        <v>379</v>
      </c>
      <c r="M230" s="2" t="s">
        <v>770</v>
      </c>
      <c r="N230" s="2" t="s">
        <v>155</v>
      </c>
      <c r="O230" s="2" t="s">
        <v>102</v>
      </c>
      <c r="P230" s="152">
        <v>39632</v>
      </c>
      <c r="Q230" s="158">
        <v>3.71</v>
      </c>
      <c r="R230" s="175">
        <v>13544</v>
      </c>
      <c r="T230" s="151">
        <v>19914.382000000001</v>
      </c>
      <c r="U230" s="164">
        <v>2.8600000000000001E-4</v>
      </c>
      <c r="V230" s="164">
        <v>4.6235349939421903E-2</v>
      </c>
      <c r="W230" s="164">
        <v>8.2495136785097293E-3</v>
      </c>
    </row>
    <row r="231" spans="1:23">
      <c r="A231" s="2">
        <v>424</v>
      </c>
      <c r="B231" s="2">
        <v>7228</v>
      </c>
      <c r="C231" s="2" t="s">
        <v>1534</v>
      </c>
      <c r="D231" s="2" t="s">
        <v>1535</v>
      </c>
      <c r="E231" s="4" t="s">
        <v>350</v>
      </c>
      <c r="F231" s="2" t="s">
        <v>1643</v>
      </c>
      <c r="G231" s="2" t="s">
        <v>1644</v>
      </c>
      <c r="H231" s="2" t="s">
        <v>356</v>
      </c>
      <c r="I231" s="2" t="s">
        <v>1017</v>
      </c>
      <c r="J231" s="2" t="s">
        <v>97</v>
      </c>
      <c r="K231" s="2" t="s">
        <v>98</v>
      </c>
      <c r="L231" s="2" t="s">
        <v>415</v>
      </c>
      <c r="M231" s="2" t="s">
        <v>767</v>
      </c>
      <c r="N231" s="2" t="s">
        <v>155</v>
      </c>
      <c r="O231" s="2" t="s">
        <v>102</v>
      </c>
      <c r="P231" s="152">
        <v>505650</v>
      </c>
      <c r="Q231" s="158">
        <v>3.71</v>
      </c>
      <c r="R231" s="175">
        <v>2890.75</v>
      </c>
      <c r="T231" s="151">
        <v>54229.357000000004</v>
      </c>
      <c r="U231" s="164">
        <v>0</v>
      </c>
      <c r="V231" s="164">
        <v>0.12590464723863501</v>
      </c>
      <c r="W231" s="164">
        <v>2.2464458708410601E-2</v>
      </c>
    </row>
    <row r="232" spans="1:23">
      <c r="A232" s="2">
        <v>424</v>
      </c>
      <c r="B232" s="2">
        <v>7228</v>
      </c>
      <c r="C232" s="2" t="s">
        <v>1637</v>
      </c>
      <c r="D232" s="2" t="s">
        <v>1638</v>
      </c>
      <c r="E232" s="4" t="s">
        <v>350</v>
      </c>
      <c r="F232" s="2" t="s">
        <v>1645</v>
      </c>
      <c r="G232" s="2" t="s">
        <v>1646</v>
      </c>
      <c r="H232" s="2" t="s">
        <v>356</v>
      </c>
      <c r="I232" s="2" t="s">
        <v>1015</v>
      </c>
      <c r="J232" s="2" t="s">
        <v>97</v>
      </c>
      <c r="K232" s="2" t="s">
        <v>271</v>
      </c>
      <c r="L232" s="2" t="s">
        <v>415</v>
      </c>
      <c r="M232" s="2" t="s">
        <v>770</v>
      </c>
      <c r="N232" s="2" t="s">
        <v>155</v>
      </c>
      <c r="O232" s="2" t="s">
        <v>1211</v>
      </c>
      <c r="P232" s="152">
        <v>832298</v>
      </c>
      <c r="Q232" s="158">
        <v>4.9748000000000001</v>
      </c>
      <c r="R232" s="175">
        <v>799.3</v>
      </c>
      <c r="T232" s="151">
        <v>33095.144999999997</v>
      </c>
      <c r="U232" s="164">
        <v>1.343E-3</v>
      </c>
      <c r="V232" s="164">
        <v>7.6837211360464897E-2</v>
      </c>
      <c r="W232" s="164">
        <v>1.37096318502445E-2</v>
      </c>
    </row>
    <row r="233" spans="1:23">
      <c r="A233" s="2">
        <v>424</v>
      </c>
      <c r="B233" s="2">
        <v>7228</v>
      </c>
      <c r="C233" s="2" t="s">
        <v>1637</v>
      </c>
      <c r="D233" s="2" t="s">
        <v>1638</v>
      </c>
      <c r="E233" s="4" t="s">
        <v>350</v>
      </c>
      <c r="F233" s="2" t="s">
        <v>1647</v>
      </c>
      <c r="G233" s="2" t="s">
        <v>1648</v>
      </c>
      <c r="H233" s="2" t="s">
        <v>356</v>
      </c>
      <c r="I233" s="2" t="s">
        <v>1015</v>
      </c>
      <c r="J233" s="2" t="s">
        <v>97</v>
      </c>
      <c r="K233" s="2" t="s">
        <v>306</v>
      </c>
      <c r="L233" s="2" t="s">
        <v>379</v>
      </c>
      <c r="M233" s="2" t="s">
        <v>770</v>
      </c>
      <c r="N233" s="2" t="s">
        <v>155</v>
      </c>
      <c r="O233" s="2" t="s">
        <v>102</v>
      </c>
      <c r="P233" s="152">
        <v>16250</v>
      </c>
      <c r="Q233" s="158">
        <v>3.71</v>
      </c>
      <c r="R233" s="175">
        <v>3178</v>
      </c>
      <c r="T233" s="151">
        <v>1915.9369999999999</v>
      </c>
      <c r="U233" s="164">
        <v>9.5000000000000005E-5</v>
      </c>
      <c r="V233" s="164">
        <v>4.4482426809491996E-3</v>
      </c>
      <c r="W233" s="164">
        <v>7.93674945467063E-4</v>
      </c>
    </row>
    <row r="234" spans="1:23">
      <c r="A234" s="2">
        <v>424</v>
      </c>
      <c r="B234" s="2">
        <v>7228</v>
      </c>
      <c r="C234" s="2" t="s">
        <v>1637</v>
      </c>
      <c r="D234" s="2" t="s">
        <v>1638</v>
      </c>
      <c r="E234" s="4" t="s">
        <v>350</v>
      </c>
      <c r="F234" s="2" t="s">
        <v>1649</v>
      </c>
      <c r="G234" s="2" t="s">
        <v>1650</v>
      </c>
      <c r="H234" s="2" t="s">
        <v>356</v>
      </c>
      <c r="I234" s="2" t="s">
        <v>1017</v>
      </c>
      <c r="J234" s="2" t="s">
        <v>97</v>
      </c>
      <c r="K234" s="2" t="s">
        <v>259</v>
      </c>
      <c r="L234" s="2" t="s">
        <v>415</v>
      </c>
      <c r="M234" s="2" t="s">
        <v>767</v>
      </c>
      <c r="N234" s="2" t="s">
        <v>155</v>
      </c>
      <c r="O234" s="2" t="s">
        <v>102</v>
      </c>
      <c r="P234" s="152">
        <v>519103</v>
      </c>
      <c r="Q234" s="158">
        <v>3.71</v>
      </c>
      <c r="R234" s="175">
        <v>624.54999999999995</v>
      </c>
      <c r="T234" s="151">
        <v>12028.034</v>
      </c>
      <c r="U234" s="164">
        <v>0</v>
      </c>
      <c r="V234" s="164">
        <v>2.792556483519E-2</v>
      </c>
      <c r="W234" s="164">
        <v>4.9826016108853299E-3</v>
      </c>
    </row>
    <row r="235" spans="1:23">
      <c r="A235" s="2">
        <v>424</v>
      </c>
      <c r="B235" s="2">
        <v>7228</v>
      </c>
      <c r="C235" s="2" t="s">
        <v>1637</v>
      </c>
      <c r="D235" s="2" t="s">
        <v>1638</v>
      </c>
      <c r="E235" s="4" t="s">
        <v>350</v>
      </c>
      <c r="F235" s="2" t="s">
        <v>1651</v>
      </c>
      <c r="G235" s="2" t="s">
        <v>1652</v>
      </c>
      <c r="H235" s="2" t="s">
        <v>356</v>
      </c>
      <c r="I235" s="2" t="s">
        <v>1015</v>
      </c>
      <c r="J235" s="2" t="s">
        <v>97</v>
      </c>
      <c r="K235" s="2" t="s">
        <v>98</v>
      </c>
      <c r="L235" s="2" t="s">
        <v>381</v>
      </c>
      <c r="M235" s="2" t="s">
        <v>770</v>
      </c>
      <c r="N235" s="2" t="s">
        <v>155</v>
      </c>
      <c r="O235" s="2" t="s">
        <v>102</v>
      </c>
      <c r="P235" s="152">
        <v>39623</v>
      </c>
      <c r="Q235" s="158">
        <v>3.71</v>
      </c>
      <c r="R235" s="175">
        <v>6111</v>
      </c>
      <c r="T235" s="151">
        <v>8983.2510000000002</v>
      </c>
      <c r="U235" s="164">
        <v>0</v>
      </c>
      <c r="V235" s="164">
        <v>2.0856472292693901E-2</v>
      </c>
      <c r="W235" s="164">
        <v>3.7213031520139301E-3</v>
      </c>
    </row>
    <row r="236" spans="1:23">
      <c r="A236" s="2">
        <v>424</v>
      </c>
      <c r="B236" s="2">
        <v>7228</v>
      </c>
      <c r="C236" s="2" t="s">
        <v>1637</v>
      </c>
      <c r="D236" s="2" t="s">
        <v>1638</v>
      </c>
      <c r="E236" s="4" t="s">
        <v>350</v>
      </c>
      <c r="F236" s="2" t="s">
        <v>1653</v>
      </c>
      <c r="G236" s="2" t="s">
        <v>1654</v>
      </c>
      <c r="H236" s="2" t="s">
        <v>356</v>
      </c>
      <c r="I236" s="2" t="s">
        <v>1015</v>
      </c>
      <c r="J236" s="2" t="s">
        <v>97</v>
      </c>
      <c r="K236" s="2" t="s">
        <v>98</v>
      </c>
      <c r="L236" s="2" t="s">
        <v>379</v>
      </c>
      <c r="M236" s="2" t="s">
        <v>770</v>
      </c>
      <c r="N236" s="2" t="s">
        <v>155</v>
      </c>
      <c r="O236" s="2" t="s">
        <v>102</v>
      </c>
      <c r="P236" s="152">
        <v>20384</v>
      </c>
      <c r="Q236" s="158">
        <v>3.71</v>
      </c>
      <c r="R236" s="175">
        <v>12856</v>
      </c>
      <c r="T236" s="151">
        <v>9722.3040000000001</v>
      </c>
      <c r="U236" s="164">
        <v>4.431E-3</v>
      </c>
      <c r="V236" s="164">
        <v>2.25723351030967E-2</v>
      </c>
      <c r="W236" s="164">
        <v>4.0274549112935699E-3</v>
      </c>
    </row>
    <row r="237" spans="1:23">
      <c r="A237" s="2">
        <v>424</v>
      </c>
      <c r="B237" s="2">
        <v>7228</v>
      </c>
      <c r="C237" s="2" t="s">
        <v>1637</v>
      </c>
      <c r="D237" s="2" t="s">
        <v>1638</v>
      </c>
      <c r="E237" s="4" t="s">
        <v>350</v>
      </c>
      <c r="F237" s="2" t="s">
        <v>1655</v>
      </c>
      <c r="G237" s="2" t="s">
        <v>1656</v>
      </c>
      <c r="H237" s="2" t="s">
        <v>356</v>
      </c>
      <c r="I237" s="2" t="s">
        <v>1017</v>
      </c>
      <c r="J237" s="2" t="s">
        <v>97</v>
      </c>
      <c r="K237" s="2" t="s">
        <v>98</v>
      </c>
      <c r="L237" s="2" t="s">
        <v>415</v>
      </c>
      <c r="M237" s="2" t="s">
        <v>767</v>
      </c>
      <c r="N237" s="2" t="s">
        <v>155</v>
      </c>
      <c r="O237" s="2" t="s">
        <v>102</v>
      </c>
      <c r="P237" s="152">
        <v>811990</v>
      </c>
      <c r="Q237" s="158">
        <v>3.71</v>
      </c>
      <c r="R237" s="175">
        <v>595.6</v>
      </c>
      <c r="T237" s="151">
        <v>17942.348000000002</v>
      </c>
      <c r="U237" s="164">
        <v>0</v>
      </c>
      <c r="V237" s="164">
        <v>4.1656865159017203E-2</v>
      </c>
      <c r="W237" s="164">
        <v>7.4326003671087403E-3</v>
      </c>
    </row>
    <row r="238" spans="1:23">
      <c r="A238" s="2">
        <v>424</v>
      </c>
      <c r="B238" s="2">
        <v>7228</v>
      </c>
      <c r="C238" s="2" t="s">
        <v>1657</v>
      </c>
      <c r="D238" s="2" t="s">
        <v>1604</v>
      </c>
      <c r="E238" s="4" t="s">
        <v>350</v>
      </c>
      <c r="F238" s="2" t="s">
        <v>1660</v>
      </c>
      <c r="G238" s="2" t="s">
        <v>1661</v>
      </c>
      <c r="H238" s="2" t="s">
        <v>356</v>
      </c>
      <c r="I238" s="2" t="s">
        <v>1015</v>
      </c>
      <c r="J238" s="2" t="s">
        <v>97</v>
      </c>
      <c r="K238" s="2" t="s">
        <v>319</v>
      </c>
      <c r="L238" s="2" t="s">
        <v>399</v>
      </c>
      <c r="M238" s="2" t="s">
        <v>770</v>
      </c>
      <c r="N238" s="2" t="s">
        <v>155</v>
      </c>
      <c r="O238" s="2" t="s">
        <v>1209</v>
      </c>
      <c r="P238" s="152">
        <v>5533</v>
      </c>
      <c r="Q238" s="158">
        <v>4.1524000000000001</v>
      </c>
      <c r="R238" s="175">
        <v>15648.2</v>
      </c>
      <c r="T238" s="151">
        <v>3595.21</v>
      </c>
      <c r="U238" s="164">
        <v>1.7240000000000001E-3</v>
      </c>
      <c r="V238" s="164">
        <v>8.3470217631403405E-3</v>
      </c>
      <c r="W238" s="164">
        <v>1.48931218861898E-3</v>
      </c>
    </row>
    <row r="239" spans="1:23">
      <c r="A239" s="2">
        <v>424</v>
      </c>
      <c r="B239" s="2">
        <v>7228</v>
      </c>
      <c r="C239" s="2" t="s">
        <v>1662</v>
      </c>
      <c r="D239" s="2" t="s">
        <v>1663</v>
      </c>
      <c r="E239" s="4" t="s">
        <v>350</v>
      </c>
      <c r="F239" s="2" t="s">
        <v>1664</v>
      </c>
      <c r="G239" s="2" t="s">
        <v>1665</v>
      </c>
      <c r="H239" s="2" t="s">
        <v>356</v>
      </c>
      <c r="I239" s="2" t="s">
        <v>1015</v>
      </c>
      <c r="J239" s="2" t="s">
        <v>97</v>
      </c>
      <c r="K239" s="2" t="s">
        <v>98</v>
      </c>
      <c r="L239" s="2" t="s">
        <v>379</v>
      </c>
      <c r="M239" s="2" t="s">
        <v>770</v>
      </c>
      <c r="N239" s="2" t="s">
        <v>155</v>
      </c>
      <c r="O239" s="2" t="s">
        <v>102</v>
      </c>
      <c r="P239" s="152">
        <v>25118</v>
      </c>
      <c r="Q239" s="158">
        <v>3.71</v>
      </c>
      <c r="R239" s="175">
        <v>9638</v>
      </c>
      <c r="T239" s="151">
        <v>8981.4380000000001</v>
      </c>
      <c r="U239" s="164">
        <v>3.2299999999999999E-4</v>
      </c>
      <c r="V239" s="164">
        <v>2.0852262946291701E-2</v>
      </c>
      <c r="W239" s="164">
        <v>3.7205521019890498E-3</v>
      </c>
    </row>
    <row r="240" spans="1:23">
      <c r="A240" s="2">
        <v>424</v>
      </c>
      <c r="B240" s="2">
        <v>7228</v>
      </c>
      <c r="C240" s="2" t="s">
        <v>1637</v>
      </c>
      <c r="D240" s="2" t="s">
        <v>1638</v>
      </c>
      <c r="E240" s="4" t="s">
        <v>350</v>
      </c>
      <c r="F240" s="2" t="s">
        <v>1666</v>
      </c>
      <c r="G240" s="2" t="s">
        <v>1667</v>
      </c>
      <c r="H240" s="2" t="s">
        <v>356</v>
      </c>
      <c r="I240" s="2" t="s">
        <v>1015</v>
      </c>
      <c r="J240" s="2" t="s">
        <v>97</v>
      </c>
      <c r="K240" s="2" t="s">
        <v>306</v>
      </c>
      <c r="L240" s="2" t="s">
        <v>381</v>
      </c>
      <c r="M240" s="2" t="s">
        <v>770</v>
      </c>
      <c r="N240" s="2" t="s">
        <v>155</v>
      </c>
      <c r="O240" s="2" t="s">
        <v>102</v>
      </c>
      <c r="P240" s="152">
        <v>57155</v>
      </c>
      <c r="Q240" s="158">
        <v>3.71</v>
      </c>
      <c r="R240" s="175">
        <v>5091</v>
      </c>
      <c r="T240" s="151">
        <v>10795.213</v>
      </c>
      <c r="U240" s="164">
        <v>3.6099999999999999E-4</v>
      </c>
      <c r="V240" s="164">
        <v>2.5063316636440101E-2</v>
      </c>
      <c r="W240" s="164">
        <v>4.47190674866812E-3</v>
      </c>
    </row>
    <row r="241" spans="1:23">
      <c r="A241" s="2">
        <v>424</v>
      </c>
      <c r="B241" s="2">
        <v>7228</v>
      </c>
      <c r="C241" s="2" t="s">
        <v>1593</v>
      </c>
      <c r="D241" s="2" t="s">
        <v>1594</v>
      </c>
      <c r="E241" s="4" t="s">
        <v>350</v>
      </c>
      <c r="F241" s="2" t="s">
        <v>1671</v>
      </c>
      <c r="G241" s="2" t="s">
        <v>1672</v>
      </c>
      <c r="H241" s="2" t="s">
        <v>356</v>
      </c>
      <c r="I241" s="2" t="s">
        <v>1015</v>
      </c>
      <c r="J241" s="2" t="s">
        <v>97</v>
      </c>
      <c r="K241" s="2" t="s">
        <v>98</v>
      </c>
      <c r="L241" s="2" t="s">
        <v>379</v>
      </c>
      <c r="M241" s="2" t="s">
        <v>770</v>
      </c>
      <c r="N241" s="2" t="s">
        <v>155</v>
      </c>
      <c r="O241" s="2" t="s">
        <v>102</v>
      </c>
      <c r="P241" s="152">
        <v>31272</v>
      </c>
      <c r="Q241" s="158">
        <v>3.71</v>
      </c>
      <c r="R241" s="175">
        <v>8780</v>
      </c>
      <c r="T241" s="151">
        <v>10186.478999999999</v>
      </c>
      <c r="U241" s="164">
        <v>6.7000000000000002E-5</v>
      </c>
      <c r="V241" s="164">
        <v>2.3650013228284601E-2</v>
      </c>
      <c r="W241" s="164">
        <v>4.2197389633536701E-3</v>
      </c>
    </row>
    <row r="242" spans="1:23">
      <c r="A242" s="2">
        <v>424</v>
      </c>
      <c r="B242" s="2">
        <v>7228</v>
      </c>
      <c r="C242" s="2" t="s">
        <v>1538</v>
      </c>
      <c r="D242" s="2" t="s">
        <v>1539</v>
      </c>
      <c r="E242" s="4" t="s">
        <v>350</v>
      </c>
      <c r="F242" s="2" t="s">
        <v>1673</v>
      </c>
      <c r="G242" s="2" t="s">
        <v>1674</v>
      </c>
      <c r="H242" s="2" t="s">
        <v>356</v>
      </c>
      <c r="I242" s="2" t="s">
        <v>1015</v>
      </c>
      <c r="J242" s="2" t="s">
        <v>97</v>
      </c>
      <c r="K242" s="2" t="s">
        <v>98</v>
      </c>
      <c r="L242" s="2" t="s">
        <v>381</v>
      </c>
      <c r="M242" s="2" t="s">
        <v>770</v>
      </c>
      <c r="N242" s="2" t="s">
        <v>155</v>
      </c>
      <c r="O242" s="2" t="s">
        <v>102</v>
      </c>
      <c r="P242" s="152">
        <v>6346</v>
      </c>
      <c r="Q242" s="158">
        <v>3.71</v>
      </c>
      <c r="R242" s="175">
        <v>48807</v>
      </c>
      <c r="S242" s="155">
        <v>3.016</v>
      </c>
      <c r="T242" s="151">
        <v>11502.145</v>
      </c>
      <c r="U242" s="164">
        <v>1.1E-5</v>
      </c>
      <c r="V242" s="164">
        <v>2.6704604584498401E-2</v>
      </c>
      <c r="W242" s="164">
        <v>4.7647525343195796E-3</v>
      </c>
    </row>
    <row r="243" spans="1:23">
      <c r="A243" s="2">
        <v>424</v>
      </c>
      <c r="B243" s="2">
        <v>7228</v>
      </c>
      <c r="C243" s="2" t="s">
        <v>1593</v>
      </c>
      <c r="D243" s="2" t="s">
        <v>1594</v>
      </c>
      <c r="E243" s="4" t="s">
        <v>350</v>
      </c>
      <c r="F243" s="2" t="s">
        <v>1675</v>
      </c>
      <c r="G243" s="2" t="s">
        <v>1676</v>
      </c>
      <c r="H243" s="2" t="s">
        <v>356</v>
      </c>
      <c r="I243" s="2" t="s">
        <v>1015</v>
      </c>
      <c r="J243" s="2" t="s">
        <v>97</v>
      </c>
      <c r="K243" s="2" t="s">
        <v>98</v>
      </c>
      <c r="L243" s="2" t="s">
        <v>379</v>
      </c>
      <c r="M243" s="2" t="s">
        <v>770</v>
      </c>
      <c r="N243" s="2" t="s">
        <v>155</v>
      </c>
      <c r="O243" s="2" t="s">
        <v>102</v>
      </c>
      <c r="P243" s="152">
        <v>36972</v>
      </c>
      <c r="Q243" s="158">
        <v>3.71</v>
      </c>
      <c r="R243" s="175">
        <v>4467</v>
      </c>
      <c r="T243" s="151">
        <v>6127.2110000000002</v>
      </c>
      <c r="U243" s="164">
        <v>6.02E-4</v>
      </c>
      <c r="V243" s="164">
        <v>1.4225584231263799E-2</v>
      </c>
      <c r="W243" s="164">
        <v>2.5381910562883598E-3</v>
      </c>
    </row>
    <row r="244" spans="1:23">
      <c r="A244" s="2">
        <v>424</v>
      </c>
      <c r="B244" s="2">
        <v>7228</v>
      </c>
      <c r="C244" s="2" t="s">
        <v>1677</v>
      </c>
      <c r="D244" s="2" t="s">
        <v>1678</v>
      </c>
      <c r="E244" s="4" t="s">
        <v>350</v>
      </c>
      <c r="F244" s="2" t="s">
        <v>1679</v>
      </c>
      <c r="G244" s="2" t="s">
        <v>1680</v>
      </c>
      <c r="H244" s="2" t="s">
        <v>356</v>
      </c>
      <c r="I244" s="2" t="s">
        <v>1015</v>
      </c>
      <c r="J244" s="2" t="s">
        <v>97</v>
      </c>
      <c r="K244" s="2" t="s">
        <v>98</v>
      </c>
      <c r="L244" s="2" t="s">
        <v>379</v>
      </c>
      <c r="M244" s="2" t="s">
        <v>770</v>
      </c>
      <c r="N244" s="2" t="s">
        <v>155</v>
      </c>
      <c r="O244" s="2" t="s">
        <v>102</v>
      </c>
      <c r="P244" s="152">
        <v>12770</v>
      </c>
      <c r="Q244" s="158">
        <v>3.71</v>
      </c>
      <c r="R244" s="175">
        <v>17916</v>
      </c>
      <c r="T244" s="151">
        <v>8488.01</v>
      </c>
      <c r="U244" s="164">
        <v>6.7000000000000002E-5</v>
      </c>
      <c r="V244" s="164">
        <v>1.9706666441089898E-2</v>
      </c>
      <c r="W244" s="164">
        <v>3.5161497550381098E-3</v>
      </c>
    </row>
    <row r="245" spans="1:23">
      <c r="A245" s="2">
        <v>424</v>
      </c>
      <c r="B245" s="2">
        <v>7228</v>
      </c>
      <c r="C245" s="2" t="s">
        <v>1538</v>
      </c>
      <c r="D245" s="2" t="s">
        <v>1539</v>
      </c>
      <c r="E245" s="4" t="s">
        <v>350</v>
      </c>
      <c r="F245" s="2" t="s">
        <v>1733</v>
      </c>
      <c r="G245" s="2" t="s">
        <v>1734</v>
      </c>
      <c r="H245" s="2" t="s">
        <v>356</v>
      </c>
      <c r="I245" s="2" t="s">
        <v>1015</v>
      </c>
      <c r="J245" s="2" t="s">
        <v>97</v>
      </c>
      <c r="K245" s="2" t="s">
        <v>98</v>
      </c>
      <c r="L245" s="2" t="s">
        <v>415</v>
      </c>
      <c r="M245" s="2" t="s">
        <v>770</v>
      </c>
      <c r="N245" s="2" t="s">
        <v>155</v>
      </c>
      <c r="O245" s="2" t="s">
        <v>102</v>
      </c>
      <c r="P245" s="152">
        <v>192</v>
      </c>
      <c r="Q245" s="158">
        <v>3.71</v>
      </c>
      <c r="R245" s="175">
        <v>112716</v>
      </c>
      <c r="T245" s="151">
        <v>802.899</v>
      </c>
      <c r="U245" s="164">
        <v>3.8000000000000002E-5</v>
      </c>
      <c r="V245" s="164">
        <v>1.8640948720330601E-3</v>
      </c>
      <c r="W245" s="164">
        <v>3.32599973073089E-4</v>
      </c>
    </row>
    <row r="246" spans="1:23">
      <c r="A246" s="2">
        <v>424</v>
      </c>
      <c r="B246" s="2">
        <v>7228</v>
      </c>
      <c r="C246" s="2" t="s">
        <v>1593</v>
      </c>
      <c r="D246" s="2" t="s">
        <v>1594</v>
      </c>
      <c r="E246" s="4" t="s">
        <v>350</v>
      </c>
      <c r="F246" s="2" t="s">
        <v>1685</v>
      </c>
      <c r="G246" s="2" t="s">
        <v>1686</v>
      </c>
      <c r="H246" s="2" t="s">
        <v>356</v>
      </c>
      <c r="I246" s="2" t="s">
        <v>1017</v>
      </c>
      <c r="J246" s="2" t="s">
        <v>97</v>
      </c>
      <c r="K246" s="2" t="s">
        <v>98</v>
      </c>
      <c r="L246" s="2" t="s">
        <v>1528</v>
      </c>
      <c r="M246" s="2" t="s">
        <v>767</v>
      </c>
      <c r="N246" s="2" t="s">
        <v>155</v>
      </c>
      <c r="O246" s="2" t="s">
        <v>102</v>
      </c>
      <c r="P246" s="152">
        <v>446917</v>
      </c>
      <c r="Q246" s="158">
        <v>3.71</v>
      </c>
      <c r="R246" s="175">
        <v>1075.2</v>
      </c>
      <c r="T246" s="151">
        <v>17827.483</v>
      </c>
      <c r="U246" s="164">
        <v>0</v>
      </c>
      <c r="V246" s="164">
        <v>4.1390182870015099E-2</v>
      </c>
      <c r="W246" s="164">
        <v>7.3850177448549501E-3</v>
      </c>
    </row>
    <row r="247" spans="1:23">
      <c r="A247" s="2">
        <v>424</v>
      </c>
      <c r="B247" s="2">
        <v>7228</v>
      </c>
      <c r="C247" s="2" t="s">
        <v>1687</v>
      </c>
      <c r="D247" s="2" t="s">
        <v>1688</v>
      </c>
      <c r="E247" s="4" t="s">
        <v>350</v>
      </c>
      <c r="F247" s="2" t="s">
        <v>1689</v>
      </c>
      <c r="G247" s="2" t="s">
        <v>1690</v>
      </c>
      <c r="H247" s="2" t="s">
        <v>356</v>
      </c>
      <c r="I247" s="2" t="s">
        <v>1015</v>
      </c>
      <c r="J247" s="2" t="s">
        <v>97</v>
      </c>
      <c r="K247" s="2" t="s">
        <v>98</v>
      </c>
      <c r="L247" s="2" t="s">
        <v>1691</v>
      </c>
      <c r="M247" s="2" t="s">
        <v>770</v>
      </c>
      <c r="N247" s="2" t="s">
        <v>155</v>
      </c>
      <c r="O247" s="2" t="s">
        <v>102</v>
      </c>
      <c r="P247" s="152">
        <v>36286</v>
      </c>
      <c r="Q247" s="158">
        <v>3.71</v>
      </c>
      <c r="R247" s="175">
        <v>3453</v>
      </c>
      <c r="T247" s="151">
        <v>4648.4650000000001</v>
      </c>
      <c r="U247" s="164">
        <v>0</v>
      </c>
      <c r="V247" s="164">
        <v>1.07923715704884E-2</v>
      </c>
      <c r="W247" s="164">
        <v>1.9256222135434001E-3</v>
      </c>
    </row>
    <row r="248" spans="1:23">
      <c r="A248" s="2">
        <v>424</v>
      </c>
      <c r="B248" s="2">
        <v>7228</v>
      </c>
      <c r="C248" s="2" t="s">
        <v>1692</v>
      </c>
      <c r="D248" s="2" t="s">
        <v>1693</v>
      </c>
      <c r="E248" s="4" t="s">
        <v>350</v>
      </c>
      <c r="F248" s="2" t="s">
        <v>1694</v>
      </c>
      <c r="G248" s="2" t="s">
        <v>1695</v>
      </c>
      <c r="H248" s="2" t="s">
        <v>356</v>
      </c>
      <c r="I248" s="2" t="s">
        <v>1015</v>
      </c>
      <c r="J248" s="2" t="s">
        <v>97</v>
      </c>
      <c r="K248" s="2" t="s">
        <v>271</v>
      </c>
      <c r="L248" s="2" t="s">
        <v>1691</v>
      </c>
      <c r="M248" s="2" t="s">
        <v>770</v>
      </c>
      <c r="N248" s="2" t="s">
        <v>155</v>
      </c>
      <c r="O248" s="2" t="s">
        <v>1211</v>
      </c>
      <c r="P248" s="152">
        <v>31111</v>
      </c>
      <c r="Q248" s="158">
        <v>4.9748000000000001</v>
      </c>
      <c r="R248" s="175">
        <v>3242.5</v>
      </c>
      <c r="T248" s="151">
        <v>5018.45</v>
      </c>
      <c r="U248" s="164">
        <v>6.11E-4</v>
      </c>
      <c r="V248" s="164">
        <v>1.16513671134429E-2</v>
      </c>
      <c r="W248" s="164">
        <v>2.0788879613027802E-3</v>
      </c>
    </row>
    <row r="249" spans="1:23">
      <c r="A249" s="2">
        <v>424</v>
      </c>
      <c r="B249" s="2">
        <v>7228</v>
      </c>
      <c r="C249" s="2" t="s">
        <v>1692</v>
      </c>
      <c r="D249" s="2" t="s">
        <v>1693</v>
      </c>
      <c r="E249" s="4" t="s">
        <v>350</v>
      </c>
      <c r="F249" s="2" t="s">
        <v>1696</v>
      </c>
      <c r="G249" s="2" t="s">
        <v>1697</v>
      </c>
      <c r="H249" s="2" t="s">
        <v>356</v>
      </c>
      <c r="I249" s="2" t="s">
        <v>1015</v>
      </c>
      <c r="J249" s="2" t="s">
        <v>97</v>
      </c>
      <c r="K249" s="2" t="s">
        <v>98</v>
      </c>
      <c r="L249" s="2" t="s">
        <v>379</v>
      </c>
      <c r="M249" s="2" t="s">
        <v>770</v>
      </c>
      <c r="N249" s="2" t="s">
        <v>155</v>
      </c>
      <c r="O249" s="2" t="s">
        <v>102</v>
      </c>
      <c r="P249" s="152">
        <v>4400</v>
      </c>
      <c r="Q249" s="158">
        <v>3.71</v>
      </c>
      <c r="R249" s="175">
        <v>10563</v>
      </c>
      <c r="S249" s="155">
        <v>1.5860000000000001</v>
      </c>
      <c r="T249" s="151">
        <v>1730.1869999999999</v>
      </c>
      <c r="U249" s="164">
        <v>5.5199999999999997E-4</v>
      </c>
      <c r="V249" s="164">
        <v>4.0169869634968597E-3</v>
      </c>
      <c r="W249" s="164">
        <v>7.1672841116549697E-4</v>
      </c>
    </row>
    <row r="250" spans="1:23">
      <c r="A250" s="2">
        <v>424</v>
      </c>
      <c r="B250" s="2">
        <v>7228</v>
      </c>
      <c r="C250" s="2" t="s">
        <v>1698</v>
      </c>
      <c r="D250" s="2" t="s">
        <v>1699</v>
      </c>
      <c r="E250" s="4" t="s">
        <v>350</v>
      </c>
      <c r="F250" s="2" t="s">
        <v>1700</v>
      </c>
      <c r="G250" s="2" t="s">
        <v>1701</v>
      </c>
      <c r="H250" s="2" t="s">
        <v>356</v>
      </c>
      <c r="I250" s="2" t="s">
        <v>1015</v>
      </c>
      <c r="J250" s="2" t="s">
        <v>97</v>
      </c>
      <c r="K250" s="2" t="s">
        <v>282</v>
      </c>
      <c r="L250" s="2" t="s">
        <v>379</v>
      </c>
      <c r="M250" s="2" t="s">
        <v>770</v>
      </c>
      <c r="N250" s="2" t="s">
        <v>155</v>
      </c>
      <c r="O250" s="2" t="s">
        <v>102</v>
      </c>
      <c r="P250" s="152">
        <v>85790</v>
      </c>
      <c r="Q250" s="158">
        <v>3.71</v>
      </c>
      <c r="R250" s="175">
        <v>5046</v>
      </c>
      <c r="T250" s="151">
        <v>16060.454</v>
      </c>
      <c r="U250" s="164">
        <v>3.8999999999999998E-3</v>
      </c>
      <c r="V250" s="164">
        <v>3.7287659892815003E-2</v>
      </c>
      <c r="W250" s="164">
        <v>6.6530276234185301E-3</v>
      </c>
    </row>
    <row r="251" spans="1:23">
      <c r="A251" s="2">
        <v>424</v>
      </c>
      <c r="B251" s="2">
        <v>7229</v>
      </c>
      <c r="C251" s="2" t="s">
        <v>1571</v>
      </c>
      <c r="D251" s="2" t="s">
        <v>1572</v>
      </c>
      <c r="E251" s="4" t="s">
        <v>1342</v>
      </c>
      <c r="F251" s="2" t="s">
        <v>1762</v>
      </c>
      <c r="G251" s="2" t="s">
        <v>1763</v>
      </c>
      <c r="H251" s="2" t="s">
        <v>356</v>
      </c>
      <c r="I251" s="2" t="s">
        <v>1015</v>
      </c>
      <c r="J251" s="2" t="s">
        <v>30</v>
      </c>
      <c r="K251" s="2" t="s">
        <v>98</v>
      </c>
      <c r="L251" s="2" t="s">
        <v>31</v>
      </c>
      <c r="M251" s="2" t="s">
        <v>1578</v>
      </c>
      <c r="N251" s="2" t="s">
        <v>155</v>
      </c>
      <c r="O251" s="2" t="s">
        <v>34</v>
      </c>
      <c r="P251" s="152">
        <v>4602</v>
      </c>
      <c r="Q251" s="158">
        <v>1</v>
      </c>
      <c r="R251" s="175">
        <v>9106</v>
      </c>
      <c r="T251" s="151">
        <v>419.05799999999999</v>
      </c>
      <c r="U251" s="164">
        <v>6.2000000000000003E-5</v>
      </c>
      <c r="V251" s="164">
        <v>1.9277810255450702E-2</v>
      </c>
      <c r="W251" s="164">
        <v>2.8768080345650698E-3</v>
      </c>
    </row>
    <row r="252" spans="1:23">
      <c r="A252" s="2">
        <v>424</v>
      </c>
      <c r="B252" s="2">
        <v>7229</v>
      </c>
      <c r="C252" s="2" t="s">
        <v>1585</v>
      </c>
      <c r="D252" s="2" t="s">
        <v>1586</v>
      </c>
      <c r="E252" s="4" t="s">
        <v>1342</v>
      </c>
      <c r="F252" s="2" t="s">
        <v>1587</v>
      </c>
      <c r="G252" s="2" t="s">
        <v>1588</v>
      </c>
      <c r="H252" s="2" t="s">
        <v>356</v>
      </c>
      <c r="I252" s="2" t="s">
        <v>1015</v>
      </c>
      <c r="J252" s="2" t="s">
        <v>30</v>
      </c>
      <c r="K252" s="2" t="s">
        <v>98</v>
      </c>
      <c r="L252" s="2" t="s">
        <v>31</v>
      </c>
      <c r="M252" s="2" t="s">
        <v>1578</v>
      </c>
      <c r="N252" s="2" t="s">
        <v>155</v>
      </c>
      <c r="O252" s="2" t="s">
        <v>34</v>
      </c>
      <c r="P252" s="152">
        <v>5045</v>
      </c>
      <c r="Q252" s="158">
        <v>1</v>
      </c>
      <c r="R252" s="175">
        <v>11220</v>
      </c>
      <c r="T252" s="151">
        <v>566.04899999999998</v>
      </c>
      <c r="U252" s="164">
        <v>6.2100000000000002E-4</v>
      </c>
      <c r="V252" s="164">
        <v>2.6039789462348601E-2</v>
      </c>
      <c r="W252" s="164">
        <v>3.8858913201765899E-3</v>
      </c>
    </row>
    <row r="253" spans="1:23">
      <c r="A253" s="2">
        <v>424</v>
      </c>
      <c r="B253" s="2">
        <v>7229</v>
      </c>
      <c r="C253" s="2" t="s">
        <v>1571</v>
      </c>
      <c r="D253" s="2" t="s">
        <v>1572</v>
      </c>
      <c r="E253" s="4" t="s">
        <v>1342</v>
      </c>
      <c r="F253" s="2" t="s">
        <v>1591</v>
      </c>
      <c r="G253" s="2" t="s">
        <v>1592</v>
      </c>
      <c r="H253" s="2" t="s">
        <v>356</v>
      </c>
      <c r="I253" s="2" t="s">
        <v>1015</v>
      </c>
      <c r="J253" s="2" t="s">
        <v>30</v>
      </c>
      <c r="K253" s="2" t="s">
        <v>98</v>
      </c>
      <c r="L253" s="2" t="s">
        <v>31</v>
      </c>
      <c r="M253" s="2" t="s">
        <v>1578</v>
      </c>
      <c r="N253" s="2" t="s">
        <v>155</v>
      </c>
      <c r="O253" s="2" t="s">
        <v>34</v>
      </c>
      <c r="P253" s="152">
        <v>9975</v>
      </c>
      <c r="Q253" s="158">
        <v>1</v>
      </c>
      <c r="R253" s="175">
        <v>3167</v>
      </c>
      <c r="T253" s="151">
        <v>315.90800000000002</v>
      </c>
      <c r="U253" s="164">
        <v>4.9899999999999999E-4</v>
      </c>
      <c r="V253" s="164">
        <v>1.4532636431508501E-2</v>
      </c>
      <c r="W253" s="164">
        <v>2.1686905668010701E-3</v>
      </c>
    </row>
    <row r="254" spans="1:23">
      <c r="A254" s="2">
        <v>424</v>
      </c>
      <c r="B254" s="2">
        <v>7229</v>
      </c>
      <c r="C254" s="2" t="s">
        <v>1593</v>
      </c>
      <c r="D254" s="2" t="s">
        <v>1594</v>
      </c>
      <c r="E254" s="4" t="s">
        <v>350</v>
      </c>
      <c r="F254" s="2" t="s">
        <v>1595</v>
      </c>
      <c r="G254" s="2" t="s">
        <v>1596</v>
      </c>
      <c r="H254" s="2" t="s">
        <v>356</v>
      </c>
      <c r="I254" s="2" t="s">
        <v>1015</v>
      </c>
      <c r="J254" s="2" t="s">
        <v>97</v>
      </c>
      <c r="K254" s="2" t="s">
        <v>98</v>
      </c>
      <c r="L254" s="2" t="s">
        <v>379</v>
      </c>
      <c r="M254" s="2" t="s">
        <v>770</v>
      </c>
      <c r="N254" s="2" t="s">
        <v>155</v>
      </c>
      <c r="O254" s="2" t="s">
        <v>102</v>
      </c>
      <c r="P254" s="152">
        <v>1355</v>
      </c>
      <c r="Q254" s="158">
        <v>3.71</v>
      </c>
      <c r="R254" s="175">
        <v>8078</v>
      </c>
      <c r="T254" s="151">
        <v>406.08499999999998</v>
      </c>
      <c r="U254" s="164">
        <v>6.0000000000000002E-6</v>
      </c>
      <c r="V254" s="164">
        <v>1.8681016098883601E-2</v>
      </c>
      <c r="W254" s="164">
        <v>2.7877490490348898E-3</v>
      </c>
    </row>
    <row r="255" spans="1:23">
      <c r="A255" s="2">
        <v>424</v>
      </c>
      <c r="B255" s="2">
        <v>7229</v>
      </c>
      <c r="C255" s="2" t="s">
        <v>1538</v>
      </c>
      <c r="D255" s="2" t="s">
        <v>1539</v>
      </c>
      <c r="E255" s="4" t="s">
        <v>350</v>
      </c>
      <c r="F255" s="2" t="s">
        <v>1597</v>
      </c>
      <c r="G255" s="2" t="s">
        <v>1598</v>
      </c>
      <c r="H255" s="2" t="s">
        <v>356</v>
      </c>
      <c r="I255" s="2" t="s">
        <v>1015</v>
      </c>
      <c r="J255" s="2" t="s">
        <v>97</v>
      </c>
      <c r="K255" s="2" t="s">
        <v>98</v>
      </c>
      <c r="L255" s="2" t="s">
        <v>379</v>
      </c>
      <c r="M255" s="2" t="s">
        <v>770</v>
      </c>
      <c r="N255" s="2" t="s">
        <v>155</v>
      </c>
      <c r="O255" s="2" t="s">
        <v>102</v>
      </c>
      <c r="P255" s="152">
        <v>620</v>
      </c>
      <c r="Q255" s="158">
        <v>3.71</v>
      </c>
      <c r="R255" s="175">
        <v>11497</v>
      </c>
      <c r="T255" s="151">
        <v>264.45400000000001</v>
      </c>
      <c r="U255" s="164">
        <v>3.1999999999999999E-5</v>
      </c>
      <c r="V255" s="164">
        <v>1.21656010808909E-2</v>
      </c>
      <c r="W255" s="164">
        <v>1.8154602867784099E-3</v>
      </c>
    </row>
    <row r="256" spans="1:23">
      <c r="A256" s="2">
        <v>424</v>
      </c>
      <c r="B256" s="2">
        <v>7229</v>
      </c>
      <c r="C256" s="2" t="s">
        <v>1603</v>
      </c>
      <c r="D256" s="2" t="s">
        <v>1604</v>
      </c>
      <c r="E256" s="4" t="s">
        <v>350</v>
      </c>
      <c r="F256" s="2" t="s">
        <v>1608</v>
      </c>
      <c r="G256" s="2" t="s">
        <v>1609</v>
      </c>
      <c r="H256" s="2" t="s">
        <v>356</v>
      </c>
      <c r="I256" s="2" t="s">
        <v>1015</v>
      </c>
      <c r="J256" s="2" t="s">
        <v>97</v>
      </c>
      <c r="K256" s="2" t="s">
        <v>319</v>
      </c>
      <c r="L256" s="2" t="s">
        <v>399</v>
      </c>
      <c r="M256" s="2" t="s">
        <v>770</v>
      </c>
      <c r="N256" s="2" t="s">
        <v>155</v>
      </c>
      <c r="O256" s="2" t="s">
        <v>1209</v>
      </c>
      <c r="P256" s="152">
        <v>2874</v>
      </c>
      <c r="Q256" s="158">
        <v>4.1524000000000001</v>
      </c>
      <c r="R256" s="175">
        <v>11358</v>
      </c>
      <c r="T256" s="151">
        <v>1355.463</v>
      </c>
      <c r="U256" s="164">
        <v>5.7200000000000003E-4</v>
      </c>
      <c r="V256" s="164">
        <v>6.2354995405721897E-2</v>
      </c>
      <c r="W256" s="164">
        <v>9.30517260007418E-3</v>
      </c>
    </row>
    <row r="257" spans="1:23">
      <c r="A257" s="2">
        <v>424</v>
      </c>
      <c r="B257" s="2">
        <v>7229</v>
      </c>
      <c r="C257" s="2" t="s">
        <v>1593</v>
      </c>
      <c r="D257" s="2" t="s">
        <v>1594</v>
      </c>
      <c r="E257" s="4" t="s">
        <v>350</v>
      </c>
      <c r="F257" s="2" t="s">
        <v>1616</v>
      </c>
      <c r="G257" s="2" t="s">
        <v>1617</v>
      </c>
      <c r="H257" s="2" t="s">
        <v>356</v>
      </c>
      <c r="I257" s="2" t="s">
        <v>1015</v>
      </c>
      <c r="J257" s="2" t="s">
        <v>97</v>
      </c>
      <c r="K257" s="2" t="s">
        <v>98</v>
      </c>
      <c r="L257" s="2" t="s">
        <v>379</v>
      </c>
      <c r="M257" s="2" t="s">
        <v>770</v>
      </c>
      <c r="N257" s="2" t="s">
        <v>155</v>
      </c>
      <c r="O257" s="2" t="s">
        <v>102</v>
      </c>
      <c r="P257" s="152">
        <v>960</v>
      </c>
      <c r="Q257" s="158">
        <v>3.71</v>
      </c>
      <c r="R257" s="175">
        <v>20037</v>
      </c>
      <c r="T257" s="151">
        <v>713.63800000000003</v>
      </c>
      <c r="U257" s="164">
        <v>1.0000000000000001E-5</v>
      </c>
      <c r="V257" s="164">
        <v>3.2829274243140201E-2</v>
      </c>
      <c r="W257" s="164">
        <v>4.8990792346294901E-3</v>
      </c>
    </row>
    <row r="258" spans="1:23">
      <c r="A258" s="2">
        <v>424</v>
      </c>
      <c r="B258" s="2">
        <v>7229</v>
      </c>
      <c r="C258" s="2" t="s">
        <v>1593</v>
      </c>
      <c r="D258" s="2" t="s">
        <v>1594</v>
      </c>
      <c r="E258" s="4" t="s">
        <v>350</v>
      </c>
      <c r="F258" s="2" t="s">
        <v>1618</v>
      </c>
      <c r="G258" s="2" t="s">
        <v>1619</v>
      </c>
      <c r="H258" s="2" t="s">
        <v>356</v>
      </c>
      <c r="I258" s="2" t="s">
        <v>1015</v>
      </c>
      <c r="J258" s="2" t="s">
        <v>97</v>
      </c>
      <c r="K258" s="2" t="s">
        <v>98</v>
      </c>
      <c r="L258" s="2" t="s">
        <v>379</v>
      </c>
      <c r="M258" s="2" t="s">
        <v>770</v>
      </c>
      <c r="N258" s="2" t="s">
        <v>155</v>
      </c>
      <c r="O258" s="2" t="s">
        <v>102</v>
      </c>
      <c r="P258" s="152">
        <v>4302</v>
      </c>
      <c r="Q258" s="158">
        <v>3.71</v>
      </c>
      <c r="R258" s="175">
        <v>4532</v>
      </c>
      <c r="T258" s="151">
        <v>723.32600000000002</v>
      </c>
      <c r="U258" s="164">
        <v>5.0000000000000004E-6</v>
      </c>
      <c r="V258" s="164">
        <v>3.3274968874372E-2</v>
      </c>
      <c r="W258" s="164">
        <v>4.9655897915392103E-3</v>
      </c>
    </row>
    <row r="259" spans="1:23">
      <c r="A259" s="2">
        <v>424</v>
      </c>
      <c r="B259" s="2">
        <v>7229</v>
      </c>
      <c r="C259" s="2" t="s">
        <v>1620</v>
      </c>
      <c r="D259" s="2" t="s">
        <v>1621</v>
      </c>
      <c r="E259" s="4" t="s">
        <v>350</v>
      </c>
      <c r="F259" s="2" t="s">
        <v>1624</v>
      </c>
      <c r="G259" s="2" t="s">
        <v>1625</v>
      </c>
      <c r="H259" s="2" t="s">
        <v>356</v>
      </c>
      <c r="I259" s="2" t="s">
        <v>1015</v>
      </c>
      <c r="J259" s="2" t="s">
        <v>97</v>
      </c>
      <c r="K259" s="2" t="s">
        <v>334</v>
      </c>
      <c r="L259" s="2" t="s">
        <v>381</v>
      </c>
      <c r="M259" s="2" t="s">
        <v>770</v>
      </c>
      <c r="N259" s="2" t="s">
        <v>155</v>
      </c>
      <c r="O259" s="2" t="s">
        <v>102</v>
      </c>
      <c r="P259" s="152">
        <v>569</v>
      </c>
      <c r="Q259" s="158">
        <v>3.71</v>
      </c>
      <c r="R259" s="175">
        <v>12725</v>
      </c>
      <c r="T259" s="151">
        <v>268.62299999999999</v>
      </c>
      <c r="U259" s="164">
        <v>8.0000000000000007E-5</v>
      </c>
      <c r="V259" s="164">
        <v>1.2357408632015799E-2</v>
      </c>
      <c r="W259" s="164">
        <v>1.8440835327204899E-3</v>
      </c>
    </row>
    <row r="260" spans="1:23">
      <c r="A260" s="2">
        <v>424</v>
      </c>
      <c r="B260" s="2">
        <v>7229</v>
      </c>
      <c r="C260" s="2" t="s">
        <v>1593</v>
      </c>
      <c r="D260" s="2" t="s">
        <v>1594</v>
      </c>
      <c r="E260" s="4" t="s">
        <v>350</v>
      </c>
      <c r="F260" s="2" t="s">
        <v>1630</v>
      </c>
      <c r="G260" s="2" t="s">
        <v>1631</v>
      </c>
      <c r="H260" s="2" t="s">
        <v>356</v>
      </c>
      <c r="I260" s="2" t="s">
        <v>1015</v>
      </c>
      <c r="J260" s="2" t="s">
        <v>97</v>
      </c>
      <c r="K260" s="2" t="s">
        <v>98</v>
      </c>
      <c r="L260" s="2" t="s">
        <v>379</v>
      </c>
      <c r="M260" s="2" t="s">
        <v>770</v>
      </c>
      <c r="N260" s="2" t="s">
        <v>155</v>
      </c>
      <c r="O260" s="2" t="s">
        <v>102</v>
      </c>
      <c r="P260" s="152">
        <v>1343</v>
      </c>
      <c r="Q260" s="158">
        <v>3.71</v>
      </c>
      <c r="R260" s="175">
        <v>15402</v>
      </c>
      <c r="T260" s="151">
        <v>767.40899999999999</v>
      </c>
      <c r="U260" s="164">
        <v>3.9999999999999998E-6</v>
      </c>
      <c r="V260" s="164">
        <v>3.5302908119047099E-2</v>
      </c>
      <c r="W260" s="164">
        <v>5.26821710425704E-3</v>
      </c>
    </row>
    <row r="261" spans="1:23">
      <c r="A261" s="2">
        <v>424</v>
      </c>
      <c r="B261" s="2">
        <v>7229</v>
      </c>
      <c r="C261" s="2" t="s">
        <v>1637</v>
      </c>
      <c r="D261" s="2" t="s">
        <v>1638</v>
      </c>
      <c r="E261" s="4" t="s">
        <v>350</v>
      </c>
      <c r="F261" s="2" t="s">
        <v>1639</v>
      </c>
      <c r="G261" s="2" t="s">
        <v>1640</v>
      </c>
      <c r="H261" s="2" t="s">
        <v>356</v>
      </c>
      <c r="I261" s="2" t="s">
        <v>1017</v>
      </c>
      <c r="J261" s="2" t="s">
        <v>97</v>
      </c>
      <c r="K261" s="2" t="s">
        <v>1607</v>
      </c>
      <c r="L261" s="2" t="s">
        <v>415</v>
      </c>
      <c r="M261" s="2" t="s">
        <v>767</v>
      </c>
      <c r="N261" s="2" t="s">
        <v>155</v>
      </c>
      <c r="O261" s="2" t="s">
        <v>102</v>
      </c>
      <c r="P261" s="152">
        <v>5662</v>
      </c>
      <c r="Q261" s="158">
        <v>3.71</v>
      </c>
      <c r="R261" s="175">
        <v>4584</v>
      </c>
      <c r="T261" s="151">
        <v>962.91600000000005</v>
      </c>
      <c r="U261" s="164">
        <v>0</v>
      </c>
      <c r="V261" s="164">
        <v>4.4296746014935003E-2</v>
      </c>
      <c r="W261" s="164">
        <v>6.6103583940412599E-3</v>
      </c>
    </row>
    <row r="262" spans="1:23">
      <c r="A262" s="2">
        <v>424</v>
      </c>
      <c r="B262" s="2">
        <v>7229</v>
      </c>
      <c r="C262" s="2" t="s">
        <v>1593</v>
      </c>
      <c r="D262" s="2" t="s">
        <v>1594</v>
      </c>
      <c r="E262" s="4" t="s">
        <v>350</v>
      </c>
      <c r="F262" s="2" t="s">
        <v>1641</v>
      </c>
      <c r="G262" s="2" t="s">
        <v>1642</v>
      </c>
      <c r="H262" s="2" t="s">
        <v>356</v>
      </c>
      <c r="I262" s="2" t="s">
        <v>1015</v>
      </c>
      <c r="J262" s="2" t="s">
        <v>97</v>
      </c>
      <c r="K262" s="2" t="s">
        <v>98</v>
      </c>
      <c r="L262" s="2" t="s">
        <v>379</v>
      </c>
      <c r="M262" s="2" t="s">
        <v>770</v>
      </c>
      <c r="N262" s="2" t="s">
        <v>155</v>
      </c>
      <c r="O262" s="2" t="s">
        <v>102</v>
      </c>
      <c r="P262" s="152">
        <v>3515</v>
      </c>
      <c r="Q262" s="158">
        <v>3.71</v>
      </c>
      <c r="R262" s="175">
        <v>13544</v>
      </c>
      <c r="T262" s="151">
        <v>1766.2260000000001</v>
      </c>
      <c r="U262" s="164">
        <v>2.5000000000000001E-5</v>
      </c>
      <c r="V262" s="164">
        <v>8.1251170312892806E-2</v>
      </c>
      <c r="W262" s="164">
        <v>1.2125029579428299E-2</v>
      </c>
    </row>
    <row r="263" spans="1:23">
      <c r="A263" s="2">
        <v>424</v>
      </c>
      <c r="B263" s="2">
        <v>7229</v>
      </c>
      <c r="C263" s="2" t="s">
        <v>1534</v>
      </c>
      <c r="D263" s="2" t="s">
        <v>1535</v>
      </c>
      <c r="E263" s="4" t="s">
        <v>350</v>
      </c>
      <c r="F263" s="2" t="s">
        <v>1643</v>
      </c>
      <c r="G263" s="2" t="s">
        <v>1644</v>
      </c>
      <c r="H263" s="2" t="s">
        <v>356</v>
      </c>
      <c r="I263" s="2" t="s">
        <v>1017</v>
      </c>
      <c r="J263" s="2" t="s">
        <v>97</v>
      </c>
      <c r="K263" s="2" t="s">
        <v>98</v>
      </c>
      <c r="L263" s="2" t="s">
        <v>415</v>
      </c>
      <c r="M263" s="2" t="s">
        <v>767</v>
      </c>
      <c r="N263" s="2" t="s">
        <v>155</v>
      </c>
      <c r="O263" s="2" t="s">
        <v>102</v>
      </c>
      <c r="P263" s="152">
        <v>27602</v>
      </c>
      <c r="Q263" s="158">
        <v>3.71</v>
      </c>
      <c r="R263" s="175">
        <v>2890.75</v>
      </c>
      <c r="T263" s="151">
        <v>2960.2269999999999</v>
      </c>
      <c r="U263" s="164">
        <v>0</v>
      </c>
      <c r="V263" s="164">
        <v>0.136178465627948</v>
      </c>
      <c r="W263" s="164">
        <v>2.03217740429028E-2</v>
      </c>
    </row>
    <row r="264" spans="1:23">
      <c r="A264" s="2">
        <v>424</v>
      </c>
      <c r="B264" s="2">
        <v>7229</v>
      </c>
      <c r="C264" s="2" t="s">
        <v>1637</v>
      </c>
      <c r="D264" s="2" t="s">
        <v>1638</v>
      </c>
      <c r="E264" s="4" t="s">
        <v>350</v>
      </c>
      <c r="F264" s="2" t="s">
        <v>1645</v>
      </c>
      <c r="G264" s="2" t="s">
        <v>1646</v>
      </c>
      <c r="H264" s="2" t="s">
        <v>356</v>
      </c>
      <c r="I264" s="2" t="s">
        <v>1015</v>
      </c>
      <c r="J264" s="2" t="s">
        <v>97</v>
      </c>
      <c r="K264" s="2" t="s">
        <v>271</v>
      </c>
      <c r="L264" s="2" t="s">
        <v>415</v>
      </c>
      <c r="M264" s="2" t="s">
        <v>770</v>
      </c>
      <c r="N264" s="2" t="s">
        <v>155</v>
      </c>
      <c r="O264" s="2" t="s">
        <v>1211</v>
      </c>
      <c r="P264" s="152">
        <v>28000</v>
      </c>
      <c r="Q264" s="158">
        <v>4.9748000000000001</v>
      </c>
      <c r="R264" s="175">
        <v>799.3</v>
      </c>
      <c r="T264" s="151">
        <v>1113.3800000000001</v>
      </c>
      <c r="U264" s="164">
        <v>4.5000000000000003E-5</v>
      </c>
      <c r="V264" s="164">
        <v>5.1218506553899597E-2</v>
      </c>
      <c r="W264" s="164">
        <v>7.64328568546943E-3</v>
      </c>
    </row>
    <row r="265" spans="1:23">
      <c r="A265" s="2">
        <v>424</v>
      </c>
      <c r="B265" s="2">
        <v>7229</v>
      </c>
      <c r="C265" s="2" t="s">
        <v>1637</v>
      </c>
      <c r="D265" s="2" t="s">
        <v>1638</v>
      </c>
      <c r="E265" s="4" t="s">
        <v>350</v>
      </c>
      <c r="F265" s="2" t="s">
        <v>1647</v>
      </c>
      <c r="G265" s="2" t="s">
        <v>1648</v>
      </c>
      <c r="H265" s="2" t="s">
        <v>356</v>
      </c>
      <c r="I265" s="2" t="s">
        <v>1015</v>
      </c>
      <c r="J265" s="2" t="s">
        <v>97</v>
      </c>
      <c r="K265" s="2" t="s">
        <v>306</v>
      </c>
      <c r="L265" s="2" t="s">
        <v>379</v>
      </c>
      <c r="M265" s="2" t="s">
        <v>770</v>
      </c>
      <c r="N265" s="2" t="s">
        <v>155</v>
      </c>
      <c r="O265" s="2" t="s">
        <v>102</v>
      </c>
      <c r="P265" s="152">
        <v>3540</v>
      </c>
      <c r="Q265" s="158">
        <v>3.71</v>
      </c>
      <c r="R265" s="175">
        <v>3178</v>
      </c>
      <c r="T265" s="151">
        <v>417.37900000000002</v>
      </c>
      <c r="U265" s="164">
        <v>2.0999999999999999E-5</v>
      </c>
      <c r="V265" s="164">
        <v>1.9200586973902301E-2</v>
      </c>
      <c r="W265" s="164">
        <v>2.8652840827328801E-3</v>
      </c>
    </row>
    <row r="266" spans="1:23">
      <c r="A266" s="2">
        <v>424</v>
      </c>
      <c r="B266" s="2">
        <v>7229</v>
      </c>
      <c r="C266" s="2" t="s">
        <v>1637</v>
      </c>
      <c r="D266" s="2" t="s">
        <v>1638</v>
      </c>
      <c r="E266" s="4" t="s">
        <v>350</v>
      </c>
      <c r="F266" s="2" t="s">
        <v>1649</v>
      </c>
      <c r="G266" s="2" t="s">
        <v>1650</v>
      </c>
      <c r="H266" s="2" t="s">
        <v>356</v>
      </c>
      <c r="I266" s="2" t="s">
        <v>1017</v>
      </c>
      <c r="J266" s="2" t="s">
        <v>97</v>
      </c>
      <c r="K266" s="2" t="s">
        <v>259</v>
      </c>
      <c r="L266" s="2" t="s">
        <v>415</v>
      </c>
      <c r="M266" s="2" t="s">
        <v>767</v>
      </c>
      <c r="N266" s="2" t="s">
        <v>155</v>
      </c>
      <c r="O266" s="2" t="s">
        <v>102</v>
      </c>
      <c r="P266" s="152">
        <v>44989</v>
      </c>
      <c r="Q266" s="158">
        <v>3.71</v>
      </c>
      <c r="R266" s="175">
        <v>624.54999999999995</v>
      </c>
      <c r="T266" s="151">
        <v>1042.431</v>
      </c>
      <c r="U266" s="164">
        <v>0</v>
      </c>
      <c r="V266" s="164">
        <v>4.7954669617945402E-2</v>
      </c>
      <c r="W266" s="164">
        <v>7.1562266161849198E-3</v>
      </c>
    </row>
    <row r="267" spans="1:23">
      <c r="A267" s="2">
        <v>424</v>
      </c>
      <c r="B267" s="2">
        <v>7229</v>
      </c>
      <c r="C267" s="2" t="s">
        <v>1637</v>
      </c>
      <c r="D267" s="2" t="s">
        <v>1638</v>
      </c>
      <c r="E267" s="4" t="s">
        <v>350</v>
      </c>
      <c r="F267" s="2" t="s">
        <v>1651</v>
      </c>
      <c r="G267" s="2" t="s">
        <v>1652</v>
      </c>
      <c r="H267" s="2" t="s">
        <v>356</v>
      </c>
      <c r="I267" s="2" t="s">
        <v>1015</v>
      </c>
      <c r="J267" s="2" t="s">
        <v>97</v>
      </c>
      <c r="K267" s="2" t="s">
        <v>98</v>
      </c>
      <c r="L267" s="2" t="s">
        <v>381</v>
      </c>
      <c r="M267" s="2" t="s">
        <v>770</v>
      </c>
      <c r="N267" s="2" t="s">
        <v>155</v>
      </c>
      <c r="O267" s="2" t="s">
        <v>102</v>
      </c>
      <c r="P267" s="152">
        <v>943</v>
      </c>
      <c r="Q267" s="158">
        <v>3.71</v>
      </c>
      <c r="R267" s="175">
        <v>6111</v>
      </c>
      <c r="T267" s="151">
        <v>213.79499999999999</v>
      </c>
      <c r="U267" s="164">
        <v>0</v>
      </c>
      <c r="V267" s="164">
        <v>9.8351576817543602E-3</v>
      </c>
      <c r="W267" s="164">
        <v>1.46769058649104E-3</v>
      </c>
    </row>
    <row r="268" spans="1:23">
      <c r="A268" s="2">
        <v>424</v>
      </c>
      <c r="B268" s="2">
        <v>7229</v>
      </c>
      <c r="C268" s="2" t="s">
        <v>1637</v>
      </c>
      <c r="D268" s="2" t="s">
        <v>1638</v>
      </c>
      <c r="E268" s="4" t="s">
        <v>350</v>
      </c>
      <c r="F268" s="2" t="s">
        <v>1653</v>
      </c>
      <c r="G268" s="2" t="s">
        <v>1654</v>
      </c>
      <c r="H268" s="2" t="s">
        <v>356</v>
      </c>
      <c r="I268" s="2" t="s">
        <v>1015</v>
      </c>
      <c r="J268" s="2" t="s">
        <v>97</v>
      </c>
      <c r="K268" s="2" t="s">
        <v>98</v>
      </c>
      <c r="L268" s="2" t="s">
        <v>379</v>
      </c>
      <c r="M268" s="2" t="s">
        <v>770</v>
      </c>
      <c r="N268" s="2" t="s">
        <v>155</v>
      </c>
      <c r="O268" s="2" t="s">
        <v>102</v>
      </c>
      <c r="P268" s="152">
        <v>773</v>
      </c>
      <c r="Q268" s="158">
        <v>3.71</v>
      </c>
      <c r="R268" s="175">
        <v>12856</v>
      </c>
      <c r="T268" s="151">
        <v>368.68799999999999</v>
      </c>
      <c r="U268" s="164">
        <v>1.6799999999999999E-4</v>
      </c>
      <c r="V268" s="164">
        <v>1.6960658443066001E-2</v>
      </c>
      <c r="W268" s="164">
        <v>2.5310218242619201E-3</v>
      </c>
    </row>
    <row r="269" spans="1:23">
      <c r="A269" s="2">
        <v>424</v>
      </c>
      <c r="B269" s="2">
        <v>7229</v>
      </c>
      <c r="C269" s="2" t="s">
        <v>1637</v>
      </c>
      <c r="D269" s="2" t="s">
        <v>1638</v>
      </c>
      <c r="E269" s="4" t="s">
        <v>350</v>
      </c>
      <c r="F269" s="2" t="s">
        <v>1655</v>
      </c>
      <c r="G269" s="2" t="s">
        <v>1656</v>
      </c>
      <c r="H269" s="2" t="s">
        <v>356</v>
      </c>
      <c r="I269" s="2" t="s">
        <v>1017</v>
      </c>
      <c r="J269" s="2" t="s">
        <v>97</v>
      </c>
      <c r="K269" s="2" t="s">
        <v>98</v>
      </c>
      <c r="L269" s="2" t="s">
        <v>415</v>
      </c>
      <c r="M269" s="2" t="s">
        <v>767</v>
      </c>
      <c r="N269" s="2" t="s">
        <v>155</v>
      </c>
      <c r="O269" s="2" t="s">
        <v>102</v>
      </c>
      <c r="P269" s="152">
        <v>79342</v>
      </c>
      <c r="Q269" s="158">
        <v>3.71</v>
      </c>
      <c r="R269" s="175">
        <v>595.6</v>
      </c>
      <c r="T269" s="151">
        <v>1753.201</v>
      </c>
      <c r="U269" s="164">
        <v>0</v>
      </c>
      <c r="V269" s="164">
        <v>8.0652007794993E-2</v>
      </c>
      <c r="W269" s="164">
        <v>1.20356171657431E-2</v>
      </c>
    </row>
    <row r="270" spans="1:23">
      <c r="A270" s="2">
        <v>424</v>
      </c>
      <c r="B270" s="2">
        <v>7229</v>
      </c>
      <c r="C270" s="2" t="s">
        <v>1657</v>
      </c>
      <c r="D270" s="2" t="s">
        <v>1604</v>
      </c>
      <c r="E270" s="4" t="s">
        <v>350</v>
      </c>
      <c r="F270" s="2" t="s">
        <v>1660</v>
      </c>
      <c r="G270" s="2" t="s">
        <v>1661</v>
      </c>
      <c r="H270" s="2" t="s">
        <v>356</v>
      </c>
      <c r="I270" s="2" t="s">
        <v>1015</v>
      </c>
      <c r="J270" s="2" t="s">
        <v>97</v>
      </c>
      <c r="K270" s="2" t="s">
        <v>319</v>
      </c>
      <c r="L270" s="2" t="s">
        <v>399</v>
      </c>
      <c r="M270" s="2" t="s">
        <v>770</v>
      </c>
      <c r="N270" s="2" t="s">
        <v>155</v>
      </c>
      <c r="O270" s="2" t="s">
        <v>1209</v>
      </c>
      <c r="P270" s="152">
        <v>562</v>
      </c>
      <c r="Q270" s="158">
        <v>4.1524000000000001</v>
      </c>
      <c r="R270" s="175">
        <v>15648.2</v>
      </c>
      <c r="T270" s="151">
        <v>365.17399999999998</v>
      </c>
      <c r="U270" s="164">
        <v>1.75E-4</v>
      </c>
      <c r="V270" s="164">
        <v>1.6798996019672299E-2</v>
      </c>
      <c r="W270" s="164">
        <v>2.50689710509811E-3</v>
      </c>
    </row>
    <row r="271" spans="1:23">
      <c r="A271" s="2">
        <v>424</v>
      </c>
      <c r="B271" s="2">
        <v>7229</v>
      </c>
      <c r="C271" s="2" t="s">
        <v>1662</v>
      </c>
      <c r="D271" s="2" t="s">
        <v>1663</v>
      </c>
      <c r="E271" s="4" t="s">
        <v>350</v>
      </c>
      <c r="F271" s="2" t="s">
        <v>1664</v>
      </c>
      <c r="G271" s="2" t="s">
        <v>1665</v>
      </c>
      <c r="H271" s="2" t="s">
        <v>356</v>
      </c>
      <c r="I271" s="2" t="s">
        <v>1015</v>
      </c>
      <c r="J271" s="2" t="s">
        <v>97</v>
      </c>
      <c r="K271" s="2" t="s">
        <v>98</v>
      </c>
      <c r="L271" s="2" t="s">
        <v>379</v>
      </c>
      <c r="M271" s="2" t="s">
        <v>770</v>
      </c>
      <c r="N271" s="2" t="s">
        <v>155</v>
      </c>
      <c r="O271" s="2" t="s">
        <v>102</v>
      </c>
      <c r="P271" s="152">
        <v>867</v>
      </c>
      <c r="Q271" s="158">
        <v>3.71</v>
      </c>
      <c r="R271" s="175">
        <v>9638</v>
      </c>
      <c r="T271" s="151">
        <v>310.01299999999998</v>
      </c>
      <c r="U271" s="164">
        <v>1.1E-5</v>
      </c>
      <c r="V271" s="164">
        <v>1.4261439703721001E-2</v>
      </c>
      <c r="W271" s="164">
        <v>2.1282201546998598E-3</v>
      </c>
    </row>
    <row r="272" spans="1:23">
      <c r="A272" s="2">
        <v>424</v>
      </c>
      <c r="B272" s="2">
        <v>7229</v>
      </c>
      <c r="C272" s="2" t="s">
        <v>1637</v>
      </c>
      <c r="D272" s="2" t="s">
        <v>1638</v>
      </c>
      <c r="E272" s="4" t="s">
        <v>350</v>
      </c>
      <c r="F272" s="2" t="s">
        <v>1666</v>
      </c>
      <c r="G272" s="2" t="s">
        <v>1667</v>
      </c>
      <c r="H272" s="2" t="s">
        <v>356</v>
      </c>
      <c r="I272" s="2" t="s">
        <v>1015</v>
      </c>
      <c r="J272" s="2" t="s">
        <v>97</v>
      </c>
      <c r="K272" s="2" t="s">
        <v>306</v>
      </c>
      <c r="L272" s="2" t="s">
        <v>381</v>
      </c>
      <c r="M272" s="2" t="s">
        <v>770</v>
      </c>
      <c r="N272" s="2" t="s">
        <v>155</v>
      </c>
      <c r="O272" s="2" t="s">
        <v>102</v>
      </c>
      <c r="P272" s="152">
        <v>1369</v>
      </c>
      <c r="Q272" s="158">
        <v>3.71</v>
      </c>
      <c r="R272" s="175">
        <v>5091</v>
      </c>
      <c r="T272" s="151">
        <v>258.57100000000003</v>
      </c>
      <c r="U272" s="164">
        <v>9.0000000000000002E-6</v>
      </c>
      <c r="V272" s="164">
        <v>1.18949849211371E-2</v>
      </c>
      <c r="W272" s="164">
        <v>1.7750765122549199E-3</v>
      </c>
    </row>
    <row r="273" spans="1:23">
      <c r="A273" s="2">
        <v>424</v>
      </c>
      <c r="B273" s="2">
        <v>7229</v>
      </c>
      <c r="C273" s="2" t="s">
        <v>1593</v>
      </c>
      <c r="D273" s="2" t="s">
        <v>1594</v>
      </c>
      <c r="E273" s="4" t="s">
        <v>350</v>
      </c>
      <c r="F273" s="2" t="s">
        <v>1671</v>
      </c>
      <c r="G273" s="2" t="s">
        <v>1672</v>
      </c>
      <c r="H273" s="2" t="s">
        <v>356</v>
      </c>
      <c r="I273" s="2" t="s">
        <v>1015</v>
      </c>
      <c r="J273" s="2" t="s">
        <v>97</v>
      </c>
      <c r="K273" s="2" t="s">
        <v>98</v>
      </c>
      <c r="L273" s="2" t="s">
        <v>379</v>
      </c>
      <c r="M273" s="2" t="s">
        <v>770</v>
      </c>
      <c r="N273" s="2" t="s">
        <v>155</v>
      </c>
      <c r="O273" s="2" t="s">
        <v>102</v>
      </c>
      <c r="P273" s="152">
        <v>800</v>
      </c>
      <c r="Q273" s="158">
        <v>3.71</v>
      </c>
      <c r="R273" s="175">
        <v>8780</v>
      </c>
      <c r="T273" s="151">
        <v>260.58999999999997</v>
      </c>
      <c r="U273" s="164">
        <v>1.9999999999999999E-6</v>
      </c>
      <c r="V273" s="164">
        <v>1.19878652765206E-2</v>
      </c>
      <c r="W273" s="164">
        <v>1.7889369533050101E-3</v>
      </c>
    </row>
    <row r="274" spans="1:23">
      <c r="A274" s="2">
        <v>424</v>
      </c>
      <c r="B274" s="2">
        <v>7229</v>
      </c>
      <c r="C274" s="2" t="s">
        <v>1538</v>
      </c>
      <c r="D274" s="2" t="s">
        <v>1539</v>
      </c>
      <c r="E274" s="4" t="s">
        <v>350</v>
      </c>
      <c r="F274" s="2" t="s">
        <v>1673</v>
      </c>
      <c r="G274" s="2" t="s">
        <v>1674</v>
      </c>
      <c r="H274" s="2" t="s">
        <v>356</v>
      </c>
      <c r="I274" s="2" t="s">
        <v>1015</v>
      </c>
      <c r="J274" s="2" t="s">
        <v>97</v>
      </c>
      <c r="K274" s="2" t="s">
        <v>98</v>
      </c>
      <c r="L274" s="2" t="s">
        <v>381</v>
      </c>
      <c r="M274" s="2" t="s">
        <v>770</v>
      </c>
      <c r="N274" s="2" t="s">
        <v>155</v>
      </c>
      <c r="O274" s="2" t="s">
        <v>102</v>
      </c>
      <c r="P274" s="152">
        <v>476</v>
      </c>
      <c r="Q274" s="158">
        <v>3.71</v>
      </c>
      <c r="R274" s="175">
        <v>48807</v>
      </c>
      <c r="S274" s="155">
        <v>0.22600000000000001</v>
      </c>
      <c r="T274" s="151">
        <v>862.75199999999995</v>
      </c>
      <c r="U274" s="164">
        <v>9.9999999999999995E-7</v>
      </c>
      <c r="V274" s="164">
        <v>3.9688910087659901E-2</v>
      </c>
      <c r="W274" s="164">
        <v>5.9227357210359299E-3</v>
      </c>
    </row>
    <row r="275" spans="1:23">
      <c r="A275" s="2">
        <v>424</v>
      </c>
      <c r="B275" s="2">
        <v>7229</v>
      </c>
      <c r="C275" s="2" t="s">
        <v>1593</v>
      </c>
      <c r="D275" s="2" t="s">
        <v>1594</v>
      </c>
      <c r="E275" s="4" t="s">
        <v>350</v>
      </c>
      <c r="F275" s="2" t="s">
        <v>1675</v>
      </c>
      <c r="G275" s="2" t="s">
        <v>1676</v>
      </c>
      <c r="H275" s="2" t="s">
        <v>356</v>
      </c>
      <c r="I275" s="2" t="s">
        <v>1015</v>
      </c>
      <c r="J275" s="2" t="s">
        <v>97</v>
      </c>
      <c r="K275" s="2" t="s">
        <v>98</v>
      </c>
      <c r="L275" s="2" t="s">
        <v>379</v>
      </c>
      <c r="M275" s="2" t="s">
        <v>770</v>
      </c>
      <c r="N275" s="2" t="s">
        <v>155</v>
      </c>
      <c r="O275" s="2" t="s">
        <v>102</v>
      </c>
      <c r="P275" s="152">
        <v>1646</v>
      </c>
      <c r="Q275" s="158">
        <v>3.71</v>
      </c>
      <c r="R275" s="175">
        <v>4467</v>
      </c>
      <c r="T275" s="151">
        <v>272.78500000000003</v>
      </c>
      <c r="U275" s="164">
        <v>2.6999999999999999E-5</v>
      </c>
      <c r="V275" s="164">
        <v>1.2548827055395499E-2</v>
      </c>
      <c r="W275" s="164">
        <v>1.8726487095245699E-3</v>
      </c>
    </row>
    <row r="276" spans="1:23">
      <c r="A276" s="2">
        <v>424</v>
      </c>
      <c r="B276" s="2">
        <v>7229</v>
      </c>
      <c r="C276" s="2" t="s">
        <v>1677</v>
      </c>
      <c r="D276" s="2" t="s">
        <v>1678</v>
      </c>
      <c r="E276" s="4" t="s">
        <v>350</v>
      </c>
      <c r="F276" s="2" t="s">
        <v>1679</v>
      </c>
      <c r="G276" s="2" t="s">
        <v>1680</v>
      </c>
      <c r="H276" s="2" t="s">
        <v>356</v>
      </c>
      <c r="I276" s="2" t="s">
        <v>1015</v>
      </c>
      <c r="J276" s="2" t="s">
        <v>97</v>
      </c>
      <c r="K276" s="2" t="s">
        <v>98</v>
      </c>
      <c r="L276" s="2" t="s">
        <v>379</v>
      </c>
      <c r="M276" s="2" t="s">
        <v>770</v>
      </c>
      <c r="N276" s="2" t="s">
        <v>155</v>
      </c>
      <c r="O276" s="2" t="s">
        <v>102</v>
      </c>
      <c r="P276" s="152">
        <v>670</v>
      </c>
      <c r="Q276" s="158">
        <v>3.71</v>
      </c>
      <c r="R276" s="175">
        <v>17916</v>
      </c>
      <c r="T276" s="151">
        <v>445.33800000000002</v>
      </c>
      <c r="U276" s="164">
        <v>3.9999999999999998E-6</v>
      </c>
      <c r="V276" s="164">
        <v>2.0486756574185E-2</v>
      </c>
      <c r="W276" s="164">
        <v>3.0572178651945298E-3</v>
      </c>
    </row>
    <row r="277" spans="1:23">
      <c r="A277" s="2">
        <v>424</v>
      </c>
      <c r="B277" s="2">
        <v>7229</v>
      </c>
      <c r="C277" s="2" t="s">
        <v>1593</v>
      </c>
      <c r="D277" s="2" t="s">
        <v>1594</v>
      </c>
      <c r="E277" s="4" t="s">
        <v>350</v>
      </c>
      <c r="F277" s="2" t="s">
        <v>1685</v>
      </c>
      <c r="G277" s="2" t="s">
        <v>1686</v>
      </c>
      <c r="H277" s="2" t="s">
        <v>356</v>
      </c>
      <c r="I277" s="2" t="s">
        <v>1017</v>
      </c>
      <c r="J277" s="2" t="s">
        <v>97</v>
      </c>
      <c r="K277" s="2" t="s">
        <v>98</v>
      </c>
      <c r="L277" s="2" t="s">
        <v>1528</v>
      </c>
      <c r="M277" s="2" t="s">
        <v>767</v>
      </c>
      <c r="N277" s="2" t="s">
        <v>155</v>
      </c>
      <c r="O277" s="2" t="s">
        <v>102</v>
      </c>
      <c r="P277" s="152">
        <v>25000</v>
      </c>
      <c r="Q277" s="158">
        <v>3.71</v>
      </c>
      <c r="R277" s="175">
        <v>1075.2</v>
      </c>
      <c r="T277" s="151">
        <v>997.24800000000005</v>
      </c>
      <c r="U277" s="164">
        <v>0</v>
      </c>
      <c r="V277" s="164">
        <v>4.5876113131103798E-2</v>
      </c>
      <c r="W277" s="164">
        <v>6.84604574385516E-3</v>
      </c>
    </row>
    <row r="278" spans="1:23">
      <c r="A278" s="2">
        <v>424</v>
      </c>
      <c r="B278" s="2">
        <v>7229</v>
      </c>
      <c r="C278" s="2" t="s">
        <v>1687</v>
      </c>
      <c r="D278" s="2" t="s">
        <v>1688</v>
      </c>
      <c r="E278" s="4" t="s">
        <v>350</v>
      </c>
      <c r="F278" s="2" t="s">
        <v>1689</v>
      </c>
      <c r="G278" s="2" t="s">
        <v>1690</v>
      </c>
      <c r="H278" s="2" t="s">
        <v>356</v>
      </c>
      <c r="I278" s="2" t="s">
        <v>1015</v>
      </c>
      <c r="J278" s="2" t="s">
        <v>97</v>
      </c>
      <c r="K278" s="2" t="s">
        <v>98</v>
      </c>
      <c r="L278" s="2" t="s">
        <v>1691</v>
      </c>
      <c r="M278" s="2" t="s">
        <v>770</v>
      </c>
      <c r="N278" s="2" t="s">
        <v>155</v>
      </c>
      <c r="O278" s="2" t="s">
        <v>102</v>
      </c>
      <c r="P278" s="152">
        <v>1107</v>
      </c>
      <c r="Q278" s="158">
        <v>3.71</v>
      </c>
      <c r="R278" s="175">
        <v>3453</v>
      </c>
      <c r="T278" s="151">
        <v>141.81399999999999</v>
      </c>
      <c r="U278" s="164">
        <v>0</v>
      </c>
      <c r="V278" s="164">
        <v>6.5238136918290002E-3</v>
      </c>
      <c r="W278" s="164">
        <v>9.7354208781844402E-4</v>
      </c>
    </row>
    <row r="279" spans="1:23">
      <c r="A279" s="2">
        <v>424</v>
      </c>
      <c r="B279" s="2">
        <v>7229</v>
      </c>
      <c r="C279" s="2" t="s">
        <v>1692</v>
      </c>
      <c r="D279" s="2" t="s">
        <v>1693</v>
      </c>
      <c r="E279" s="4" t="s">
        <v>350</v>
      </c>
      <c r="F279" s="2" t="s">
        <v>1694</v>
      </c>
      <c r="G279" s="2" t="s">
        <v>1695</v>
      </c>
      <c r="H279" s="2" t="s">
        <v>356</v>
      </c>
      <c r="I279" s="2" t="s">
        <v>1015</v>
      </c>
      <c r="J279" s="2" t="s">
        <v>97</v>
      </c>
      <c r="K279" s="2" t="s">
        <v>271</v>
      </c>
      <c r="L279" s="2" t="s">
        <v>1691</v>
      </c>
      <c r="M279" s="2" t="s">
        <v>770</v>
      </c>
      <c r="N279" s="2" t="s">
        <v>155</v>
      </c>
      <c r="O279" s="2" t="s">
        <v>1211</v>
      </c>
      <c r="P279" s="152">
        <v>943</v>
      </c>
      <c r="Q279" s="158">
        <v>4.9748000000000001</v>
      </c>
      <c r="R279" s="175">
        <v>3242.5</v>
      </c>
      <c r="T279" s="151">
        <v>152.113</v>
      </c>
      <c r="U279" s="164">
        <v>1.9000000000000001E-5</v>
      </c>
      <c r="V279" s="164">
        <v>6.9976262744839901E-3</v>
      </c>
      <c r="W279" s="164">
        <v>1.0442486580459699E-3</v>
      </c>
    </row>
    <row r="280" spans="1:23">
      <c r="A280" s="2">
        <v>424</v>
      </c>
      <c r="B280" s="2">
        <v>7229</v>
      </c>
      <c r="C280" s="2" t="s">
        <v>1698</v>
      </c>
      <c r="D280" s="2" t="s">
        <v>1699</v>
      </c>
      <c r="E280" s="4" t="s">
        <v>350</v>
      </c>
      <c r="F280" s="2" t="s">
        <v>1700</v>
      </c>
      <c r="G280" s="2" t="s">
        <v>1701</v>
      </c>
      <c r="H280" s="2" t="s">
        <v>356</v>
      </c>
      <c r="I280" s="2" t="s">
        <v>1015</v>
      </c>
      <c r="J280" s="2" t="s">
        <v>97</v>
      </c>
      <c r="K280" s="2" t="s">
        <v>282</v>
      </c>
      <c r="L280" s="2" t="s">
        <v>379</v>
      </c>
      <c r="M280" s="2" t="s">
        <v>770</v>
      </c>
      <c r="N280" s="2" t="s">
        <v>155</v>
      </c>
      <c r="O280" s="2" t="s">
        <v>102</v>
      </c>
      <c r="P280" s="152">
        <v>6801</v>
      </c>
      <c r="Q280" s="158">
        <v>3.71</v>
      </c>
      <c r="R280" s="175">
        <v>5046</v>
      </c>
      <c r="T280" s="151">
        <v>1273.192</v>
      </c>
      <c r="U280" s="164">
        <v>3.0899999999999998E-4</v>
      </c>
      <c r="V280" s="164">
        <v>5.85702896395758E-2</v>
      </c>
      <c r="W280" s="164">
        <v>8.7403848045601393E-3</v>
      </c>
    </row>
    <row r="281" spans="1:23">
      <c r="A281" s="2">
        <v>424</v>
      </c>
      <c r="B281" s="2">
        <v>9817</v>
      </c>
      <c r="C281" s="2" t="s">
        <v>1571</v>
      </c>
      <c r="D281" s="2" t="s">
        <v>1572</v>
      </c>
      <c r="E281" s="4" t="s">
        <v>1342</v>
      </c>
      <c r="F281" s="2" t="s">
        <v>1708</v>
      </c>
      <c r="G281" s="2" t="s">
        <v>1709</v>
      </c>
      <c r="H281" s="2" t="s">
        <v>356</v>
      </c>
      <c r="I281" s="2" t="s">
        <v>1014</v>
      </c>
      <c r="J281" s="2" t="s">
        <v>30</v>
      </c>
      <c r="K281" s="2" t="s">
        <v>30</v>
      </c>
      <c r="L281" s="2" t="s">
        <v>31</v>
      </c>
      <c r="M281" s="2" t="s">
        <v>1575</v>
      </c>
      <c r="N281" s="2" t="s">
        <v>155</v>
      </c>
      <c r="O281" s="2" t="s">
        <v>34</v>
      </c>
      <c r="P281" s="152">
        <v>534</v>
      </c>
      <c r="Q281" s="158">
        <v>1</v>
      </c>
      <c r="R281" s="175">
        <v>3034</v>
      </c>
      <c r="T281" s="151">
        <v>16.202000000000002</v>
      </c>
      <c r="U281" s="164">
        <v>1.5E-5</v>
      </c>
      <c r="V281" s="164">
        <v>1.7106477416181699E-2</v>
      </c>
      <c r="W281" s="164">
        <v>1.0557240166529799E-2</v>
      </c>
    </row>
    <row r="282" spans="1:23">
      <c r="A282" s="2">
        <v>424</v>
      </c>
      <c r="B282" s="2">
        <v>9817</v>
      </c>
      <c r="C282" s="2" t="s">
        <v>1571</v>
      </c>
      <c r="D282" s="2" t="s">
        <v>1572</v>
      </c>
      <c r="E282" s="4" t="s">
        <v>1342</v>
      </c>
      <c r="F282" s="2" t="s">
        <v>1745</v>
      </c>
      <c r="G282" s="2" t="s">
        <v>1746</v>
      </c>
      <c r="H282" s="2" t="s">
        <v>356</v>
      </c>
      <c r="I282" s="2" t="s">
        <v>1016</v>
      </c>
      <c r="J282" s="2" t="s">
        <v>30</v>
      </c>
      <c r="K282" s="2" t="s">
        <v>30</v>
      </c>
      <c r="L282" s="2" t="s">
        <v>31</v>
      </c>
      <c r="M282" s="2" t="s">
        <v>1747</v>
      </c>
      <c r="N282" s="2" t="s">
        <v>155</v>
      </c>
      <c r="O282" s="2" t="s">
        <v>34</v>
      </c>
      <c r="P282" s="152">
        <v>16615</v>
      </c>
      <c r="Q282" s="158">
        <v>1</v>
      </c>
      <c r="R282" s="175">
        <v>465.93</v>
      </c>
      <c r="T282" s="151">
        <v>77.414000000000001</v>
      </c>
      <c r="U282" s="164">
        <v>1.15E-4</v>
      </c>
      <c r="V282" s="164">
        <v>8.1738144530029894E-2</v>
      </c>
      <c r="W282" s="164">
        <v>5.0444589004266203E-2</v>
      </c>
    </row>
    <row r="283" spans="1:23">
      <c r="A283" s="2">
        <v>424</v>
      </c>
      <c r="B283" s="2">
        <v>9817</v>
      </c>
      <c r="C283" s="2" t="s">
        <v>1579</v>
      </c>
      <c r="D283" s="2" t="s">
        <v>1580</v>
      </c>
      <c r="E283" s="4" t="s">
        <v>1342</v>
      </c>
      <c r="F283" s="2" t="s">
        <v>1710</v>
      </c>
      <c r="G283" s="2" t="s">
        <v>1711</v>
      </c>
      <c r="H283" s="2" t="s">
        <v>356</v>
      </c>
      <c r="I283" s="2" t="s">
        <v>1015</v>
      </c>
      <c r="J283" s="2" t="s">
        <v>30</v>
      </c>
      <c r="K283" s="2" t="s">
        <v>1607</v>
      </c>
      <c r="L283" s="2" t="s">
        <v>31</v>
      </c>
      <c r="M283" s="2" t="s">
        <v>1578</v>
      </c>
      <c r="N283" s="2" t="s">
        <v>155</v>
      </c>
      <c r="O283" s="2" t="s">
        <v>34</v>
      </c>
      <c r="P283" s="152">
        <v>1061</v>
      </c>
      <c r="Q283" s="158">
        <v>1</v>
      </c>
      <c r="R283" s="175">
        <v>3582</v>
      </c>
      <c r="T283" s="151">
        <v>38.005000000000003</v>
      </c>
      <c r="U283" s="164">
        <v>5.0000000000000002E-5</v>
      </c>
      <c r="V283" s="164">
        <v>4.0127741793477403E-2</v>
      </c>
      <c r="W283" s="164">
        <v>2.4764783371093099E-2</v>
      </c>
    </row>
    <row r="284" spans="1:23">
      <c r="A284" s="2">
        <v>424</v>
      </c>
      <c r="B284" s="2">
        <v>9817</v>
      </c>
      <c r="C284" s="2" t="s">
        <v>1579</v>
      </c>
      <c r="D284" s="2" t="s">
        <v>1580</v>
      </c>
      <c r="E284" s="4" t="s">
        <v>1342</v>
      </c>
      <c r="F284" s="2" t="s">
        <v>1764</v>
      </c>
      <c r="G284" s="2" t="s">
        <v>1765</v>
      </c>
      <c r="H284" s="2" t="s">
        <v>356</v>
      </c>
      <c r="I284" s="2" t="s">
        <v>1016</v>
      </c>
      <c r="J284" s="2" t="s">
        <v>30</v>
      </c>
      <c r="K284" s="2" t="s">
        <v>30</v>
      </c>
      <c r="L284" s="2" t="s">
        <v>31</v>
      </c>
      <c r="M284" s="2" t="s">
        <v>1747</v>
      </c>
      <c r="N284" s="2" t="s">
        <v>155</v>
      </c>
      <c r="O284" s="2" t="s">
        <v>34</v>
      </c>
      <c r="P284" s="152">
        <v>20069</v>
      </c>
      <c r="Q284" s="158">
        <v>1</v>
      </c>
      <c r="R284" s="175">
        <v>364.41</v>
      </c>
      <c r="T284" s="151">
        <v>73.132999999999996</v>
      </c>
      <c r="U284" s="164">
        <v>1.07E-4</v>
      </c>
      <c r="V284" s="164">
        <v>7.7218217834360503E-2</v>
      </c>
      <c r="W284" s="164">
        <v>4.76551221549339E-2</v>
      </c>
    </row>
    <row r="285" spans="1:23">
      <c r="A285" s="2">
        <v>424</v>
      </c>
      <c r="B285" s="2">
        <v>9817</v>
      </c>
      <c r="C285" s="2" t="s">
        <v>1585</v>
      </c>
      <c r="D285" s="2" t="s">
        <v>1586</v>
      </c>
      <c r="E285" s="4" t="s">
        <v>1342</v>
      </c>
      <c r="F285" s="2" t="s">
        <v>1766</v>
      </c>
      <c r="G285" s="2" t="s">
        <v>1767</v>
      </c>
      <c r="H285" s="2" t="s">
        <v>356</v>
      </c>
      <c r="I285" s="2" t="s">
        <v>1014</v>
      </c>
      <c r="J285" s="2" t="s">
        <v>30</v>
      </c>
      <c r="K285" s="2" t="s">
        <v>30</v>
      </c>
      <c r="L285" s="2" t="s">
        <v>31</v>
      </c>
      <c r="M285" s="2" t="s">
        <v>1575</v>
      </c>
      <c r="N285" s="2" t="s">
        <v>155</v>
      </c>
      <c r="O285" s="2" t="s">
        <v>34</v>
      </c>
      <c r="P285" s="152">
        <v>317</v>
      </c>
      <c r="Q285" s="158">
        <v>1</v>
      </c>
      <c r="R285" s="175">
        <v>5753</v>
      </c>
      <c r="T285" s="151">
        <v>18.236999999999998</v>
      </c>
      <c r="U285" s="164">
        <v>0</v>
      </c>
      <c r="V285" s="164">
        <v>1.92556148731159E-2</v>
      </c>
      <c r="W285" s="164">
        <v>1.18835775375584E-2</v>
      </c>
    </row>
    <row r="286" spans="1:23">
      <c r="A286" s="2">
        <v>424</v>
      </c>
      <c r="B286" s="2">
        <v>9817</v>
      </c>
      <c r="C286" s="2" t="s">
        <v>1585</v>
      </c>
      <c r="D286" s="2" t="s">
        <v>1586</v>
      </c>
      <c r="E286" s="4" t="s">
        <v>1342</v>
      </c>
      <c r="F286" s="2" t="s">
        <v>1587</v>
      </c>
      <c r="G286" s="2" t="s">
        <v>1588</v>
      </c>
      <c r="H286" s="2" t="s">
        <v>356</v>
      </c>
      <c r="I286" s="2" t="s">
        <v>1015</v>
      </c>
      <c r="J286" s="2" t="s">
        <v>30</v>
      </c>
      <c r="K286" s="2" t="s">
        <v>98</v>
      </c>
      <c r="L286" s="2" t="s">
        <v>31</v>
      </c>
      <c r="M286" s="2" t="s">
        <v>1578</v>
      </c>
      <c r="N286" s="2" t="s">
        <v>155</v>
      </c>
      <c r="O286" s="2" t="s">
        <v>34</v>
      </c>
      <c r="P286" s="152">
        <v>451</v>
      </c>
      <c r="Q286" s="158">
        <v>1</v>
      </c>
      <c r="R286" s="175">
        <v>11220</v>
      </c>
      <c r="T286" s="151">
        <v>50.601999999999997</v>
      </c>
      <c r="U286" s="164">
        <v>5.5999999999999999E-5</v>
      </c>
      <c r="V286" s="164">
        <v>5.34285211738319E-2</v>
      </c>
      <c r="W286" s="164">
        <v>3.2973341971684902E-2</v>
      </c>
    </row>
    <row r="287" spans="1:23">
      <c r="A287" s="2">
        <v>424</v>
      </c>
      <c r="B287" s="2">
        <v>9817</v>
      </c>
      <c r="C287" s="2" t="s">
        <v>1585</v>
      </c>
      <c r="D287" s="2" t="s">
        <v>1586</v>
      </c>
      <c r="E287" s="4" t="s">
        <v>1342</v>
      </c>
      <c r="F287" s="2" t="s">
        <v>1589</v>
      </c>
      <c r="G287" s="2" t="s">
        <v>1590</v>
      </c>
      <c r="H287" s="2" t="s">
        <v>356</v>
      </c>
      <c r="I287" s="2" t="s">
        <v>1015</v>
      </c>
      <c r="J287" s="2" t="s">
        <v>30</v>
      </c>
      <c r="K287" s="2" t="s">
        <v>98</v>
      </c>
      <c r="L287" s="2" t="s">
        <v>31</v>
      </c>
      <c r="M287" s="2" t="s">
        <v>1578</v>
      </c>
      <c r="N287" s="2" t="s">
        <v>155</v>
      </c>
      <c r="O287" s="2" t="s">
        <v>34</v>
      </c>
      <c r="P287" s="152">
        <v>730</v>
      </c>
      <c r="Q287" s="158">
        <v>1</v>
      </c>
      <c r="R287" s="175">
        <v>10530</v>
      </c>
      <c r="T287" s="151">
        <v>76.869</v>
      </c>
      <c r="U287" s="164">
        <v>1.2999999999999999E-5</v>
      </c>
      <c r="V287" s="164">
        <v>8.1162419699366495E-2</v>
      </c>
      <c r="W287" s="164">
        <v>5.00892811779221E-2</v>
      </c>
    </row>
    <row r="288" spans="1:23">
      <c r="A288" s="2">
        <v>424</v>
      </c>
      <c r="B288" s="2">
        <v>9817</v>
      </c>
      <c r="C288" s="2" t="s">
        <v>1571</v>
      </c>
      <c r="D288" s="2" t="s">
        <v>1572</v>
      </c>
      <c r="E288" s="4" t="s">
        <v>1342</v>
      </c>
      <c r="F288" s="2" t="s">
        <v>1591</v>
      </c>
      <c r="G288" s="2" t="s">
        <v>1592</v>
      </c>
      <c r="H288" s="2" t="s">
        <v>356</v>
      </c>
      <c r="I288" s="2" t="s">
        <v>1015</v>
      </c>
      <c r="J288" s="2" t="s">
        <v>30</v>
      </c>
      <c r="K288" s="2" t="s">
        <v>98</v>
      </c>
      <c r="L288" s="2" t="s">
        <v>31</v>
      </c>
      <c r="M288" s="2" t="s">
        <v>1578</v>
      </c>
      <c r="N288" s="2" t="s">
        <v>155</v>
      </c>
      <c r="O288" s="2" t="s">
        <v>34</v>
      </c>
      <c r="P288" s="152">
        <v>235</v>
      </c>
      <c r="Q288" s="158">
        <v>1</v>
      </c>
      <c r="R288" s="175">
        <v>3167</v>
      </c>
      <c r="T288" s="151">
        <v>7.4420000000000002</v>
      </c>
      <c r="U288" s="164">
        <v>1.2E-5</v>
      </c>
      <c r="V288" s="164">
        <v>7.8581385277751801E-3</v>
      </c>
      <c r="W288" s="164">
        <v>4.8496399159950899E-3</v>
      </c>
    </row>
    <row r="289" spans="1:23">
      <c r="A289" s="2">
        <v>424</v>
      </c>
      <c r="B289" s="2">
        <v>9817</v>
      </c>
      <c r="C289" s="2" t="s">
        <v>1754</v>
      </c>
      <c r="D289" s="2" t="s">
        <v>1755</v>
      </c>
      <c r="E289" s="4" t="s">
        <v>1342</v>
      </c>
      <c r="F289" s="2" t="s">
        <v>1768</v>
      </c>
      <c r="G289" s="2" t="s">
        <v>1769</v>
      </c>
      <c r="H289" s="2" t="s">
        <v>356</v>
      </c>
      <c r="I289" s="2" t="s">
        <v>1016</v>
      </c>
      <c r="J289" s="2" t="s">
        <v>30</v>
      </c>
      <c r="K289" s="2" t="s">
        <v>30</v>
      </c>
      <c r="L289" s="2" t="s">
        <v>31</v>
      </c>
      <c r="M289" s="2" t="s">
        <v>1747</v>
      </c>
      <c r="N289" s="2" t="s">
        <v>155</v>
      </c>
      <c r="O289" s="2" t="s">
        <v>34</v>
      </c>
      <c r="P289" s="152">
        <v>1702</v>
      </c>
      <c r="Q289" s="158">
        <v>1</v>
      </c>
      <c r="R289" s="175">
        <v>3859.34</v>
      </c>
      <c r="T289" s="151">
        <v>65.686000000000007</v>
      </c>
      <c r="U289" s="164">
        <v>1.1E-4</v>
      </c>
      <c r="V289" s="164">
        <v>6.9354772480196905E-2</v>
      </c>
      <c r="W289" s="164">
        <v>4.28022071379731E-2</v>
      </c>
    </row>
    <row r="290" spans="1:23">
      <c r="A290" s="2">
        <v>424</v>
      </c>
      <c r="B290" s="2">
        <v>9817</v>
      </c>
      <c r="C290" s="2" t="s">
        <v>1702</v>
      </c>
      <c r="D290" s="2" t="s">
        <v>1703</v>
      </c>
      <c r="E290" s="4" t="s">
        <v>1342</v>
      </c>
      <c r="F290" s="2" t="s">
        <v>1770</v>
      </c>
      <c r="G290" s="2" t="s">
        <v>1771</v>
      </c>
      <c r="H290" s="2" t="s">
        <v>356</v>
      </c>
      <c r="I290" s="2" t="s">
        <v>1017</v>
      </c>
      <c r="J290" s="2" t="s">
        <v>30</v>
      </c>
      <c r="K290" s="2" t="s">
        <v>98</v>
      </c>
      <c r="L290" s="2" t="s">
        <v>31</v>
      </c>
      <c r="M290" s="2" t="s">
        <v>767</v>
      </c>
      <c r="N290" s="2" t="s">
        <v>155</v>
      </c>
      <c r="O290" s="2" t="s">
        <v>34</v>
      </c>
      <c r="P290" s="152">
        <v>371</v>
      </c>
      <c r="Q290" s="158">
        <v>1</v>
      </c>
      <c r="R290" s="175">
        <v>10620</v>
      </c>
      <c r="T290" s="151">
        <v>39.4</v>
      </c>
      <c r="U290" s="164">
        <v>1.6000000000000001E-4</v>
      </c>
      <c r="V290" s="164">
        <v>4.1600847788301899E-2</v>
      </c>
      <c r="W290" s="164">
        <v>2.5673908809355699E-2</v>
      </c>
    </row>
    <row r="291" spans="1:23">
      <c r="A291" s="2">
        <v>424</v>
      </c>
      <c r="B291" s="2">
        <v>9817</v>
      </c>
      <c r="C291" s="2" t="s">
        <v>1702</v>
      </c>
      <c r="D291" s="2" t="s">
        <v>1703</v>
      </c>
      <c r="E291" s="4" t="s">
        <v>1342</v>
      </c>
      <c r="F291" s="2" t="s">
        <v>1714</v>
      </c>
      <c r="G291" s="2" t="s">
        <v>1715</v>
      </c>
      <c r="H291" s="2" t="s">
        <v>356</v>
      </c>
      <c r="I291" s="2" t="s">
        <v>1015</v>
      </c>
      <c r="J291" s="2" t="s">
        <v>30</v>
      </c>
      <c r="K291" s="2" t="s">
        <v>334</v>
      </c>
      <c r="L291" s="2" t="s">
        <v>31</v>
      </c>
      <c r="M291" s="2" t="s">
        <v>1578</v>
      </c>
      <c r="N291" s="2" t="s">
        <v>155</v>
      </c>
      <c r="O291" s="2" t="s">
        <v>34</v>
      </c>
      <c r="P291" s="152">
        <v>7663</v>
      </c>
      <c r="Q291" s="158">
        <v>1</v>
      </c>
      <c r="R291" s="175">
        <v>1505</v>
      </c>
      <c r="T291" s="151">
        <v>115.328</v>
      </c>
      <c r="U291" s="164">
        <v>1.13E-4</v>
      </c>
      <c r="V291" s="164">
        <v>0.12176965634327901</v>
      </c>
      <c r="W291" s="164">
        <v>7.5149984168905198E-2</v>
      </c>
    </row>
    <row r="292" spans="1:23">
      <c r="A292" s="2">
        <v>424</v>
      </c>
      <c r="B292" s="2">
        <v>9817</v>
      </c>
      <c r="C292" s="2" t="s">
        <v>1702</v>
      </c>
      <c r="D292" s="2" t="s">
        <v>1703</v>
      </c>
      <c r="E292" s="4" t="s">
        <v>1342</v>
      </c>
      <c r="F292" s="2" t="s">
        <v>1772</v>
      </c>
      <c r="G292" s="2" t="s">
        <v>1773</v>
      </c>
      <c r="H292" s="2" t="s">
        <v>356</v>
      </c>
      <c r="I292" s="2" t="s">
        <v>1014</v>
      </c>
      <c r="J292" s="2" t="s">
        <v>30</v>
      </c>
      <c r="K292" s="2" t="s">
        <v>30</v>
      </c>
      <c r="L292" s="2" t="s">
        <v>31</v>
      </c>
      <c r="M292" s="2" t="s">
        <v>1575</v>
      </c>
      <c r="N292" s="2" t="s">
        <v>155</v>
      </c>
      <c r="O292" s="2" t="s">
        <v>34</v>
      </c>
      <c r="P292" s="152">
        <v>68.180000000000007</v>
      </c>
      <c r="Q292" s="158">
        <v>1</v>
      </c>
      <c r="R292" s="175">
        <v>19380</v>
      </c>
      <c r="T292" s="151">
        <v>13.212999999999999</v>
      </c>
      <c r="U292" s="164">
        <v>6.0000000000000002E-6</v>
      </c>
      <c r="V292" s="164">
        <v>1.3951295081436299E-2</v>
      </c>
      <c r="W292" s="164">
        <v>8.6100235148075192E-3</v>
      </c>
    </row>
    <row r="293" spans="1:23">
      <c r="A293" s="2">
        <v>424</v>
      </c>
      <c r="B293" s="2">
        <v>9817</v>
      </c>
      <c r="C293" s="2" t="s">
        <v>1702</v>
      </c>
      <c r="D293" s="2" t="s">
        <v>1703</v>
      </c>
      <c r="E293" s="4" t="s">
        <v>1342</v>
      </c>
      <c r="F293" s="2" t="s">
        <v>1758</v>
      </c>
      <c r="G293" s="2" t="s">
        <v>1759</v>
      </c>
      <c r="H293" s="2" t="s">
        <v>356</v>
      </c>
      <c r="I293" s="2" t="s">
        <v>1014</v>
      </c>
      <c r="J293" s="2" t="s">
        <v>30</v>
      </c>
      <c r="K293" s="2" t="s">
        <v>30</v>
      </c>
      <c r="L293" s="2" t="s">
        <v>31</v>
      </c>
      <c r="M293" s="2" t="s">
        <v>1575</v>
      </c>
      <c r="N293" s="2" t="s">
        <v>155</v>
      </c>
      <c r="O293" s="2" t="s">
        <v>34</v>
      </c>
      <c r="P293" s="152">
        <v>35</v>
      </c>
      <c r="Q293" s="158">
        <v>1</v>
      </c>
      <c r="R293" s="175">
        <v>26520</v>
      </c>
      <c r="T293" s="151">
        <v>9.282</v>
      </c>
      <c r="U293" s="164">
        <v>1.0000000000000001E-5</v>
      </c>
      <c r="V293" s="164">
        <v>9.8004342407149794E-3</v>
      </c>
      <c r="W293" s="164">
        <v>6.0483251752133198E-3</v>
      </c>
    </row>
    <row r="294" spans="1:23">
      <c r="A294" s="2">
        <v>424</v>
      </c>
      <c r="B294" s="2">
        <v>9817</v>
      </c>
      <c r="C294" s="2" t="s">
        <v>1599</v>
      </c>
      <c r="D294" s="2" t="s">
        <v>1600</v>
      </c>
      <c r="E294" s="4" t="s">
        <v>350</v>
      </c>
      <c r="F294" s="2" t="s">
        <v>1601</v>
      </c>
      <c r="G294" s="2" t="s">
        <v>1602</v>
      </c>
      <c r="H294" s="2" t="s">
        <v>356</v>
      </c>
      <c r="I294" s="2" t="s">
        <v>1015</v>
      </c>
      <c r="J294" s="2" t="s">
        <v>97</v>
      </c>
      <c r="K294" s="2" t="s">
        <v>319</v>
      </c>
      <c r="L294" s="2" t="s">
        <v>381</v>
      </c>
      <c r="M294" s="2" t="s">
        <v>770</v>
      </c>
      <c r="N294" s="2" t="s">
        <v>155</v>
      </c>
      <c r="O294" s="2" t="s">
        <v>102</v>
      </c>
      <c r="P294" s="152">
        <v>135</v>
      </c>
      <c r="Q294" s="158">
        <v>3.71</v>
      </c>
      <c r="R294" s="175">
        <v>13492.9</v>
      </c>
      <c r="T294" s="151">
        <v>67.578999999999994</v>
      </c>
      <c r="U294" s="164">
        <v>0</v>
      </c>
      <c r="V294" s="164">
        <v>7.1353738871539701E-2</v>
      </c>
      <c r="W294" s="164">
        <v>4.4035866632257101E-2</v>
      </c>
    </row>
    <row r="295" spans="1:23">
      <c r="A295" s="2">
        <v>424</v>
      </c>
      <c r="B295" s="2">
        <v>9817</v>
      </c>
      <c r="C295" s="2" t="s">
        <v>1603</v>
      </c>
      <c r="D295" s="2" t="s">
        <v>1604</v>
      </c>
      <c r="E295" s="4" t="s">
        <v>350</v>
      </c>
      <c r="F295" s="2" t="s">
        <v>1608</v>
      </c>
      <c r="G295" s="2" t="s">
        <v>1609</v>
      </c>
      <c r="H295" s="2" t="s">
        <v>356</v>
      </c>
      <c r="I295" s="2" t="s">
        <v>1015</v>
      </c>
      <c r="J295" s="2" t="s">
        <v>97</v>
      </c>
      <c r="K295" s="2" t="s">
        <v>319</v>
      </c>
      <c r="L295" s="2" t="s">
        <v>399</v>
      </c>
      <c r="M295" s="2" t="s">
        <v>770</v>
      </c>
      <c r="N295" s="2" t="s">
        <v>155</v>
      </c>
      <c r="O295" s="2" t="s">
        <v>1209</v>
      </c>
      <c r="P295" s="152">
        <v>15</v>
      </c>
      <c r="Q295" s="158">
        <v>4.1524000000000001</v>
      </c>
      <c r="R295" s="175">
        <v>11358</v>
      </c>
      <c r="T295" s="151">
        <v>7.0739999999999998</v>
      </c>
      <c r="U295" s="164">
        <v>3.0000000000000001E-6</v>
      </c>
      <c r="V295" s="164">
        <v>7.46957789652753E-3</v>
      </c>
      <c r="W295" s="164">
        <v>4.6098402305578302E-3</v>
      </c>
    </row>
    <row r="296" spans="1:23">
      <c r="A296" s="2">
        <v>424</v>
      </c>
      <c r="B296" s="2">
        <v>9817</v>
      </c>
      <c r="C296" s="2" t="s">
        <v>1593</v>
      </c>
      <c r="D296" s="2" t="s">
        <v>1594</v>
      </c>
      <c r="E296" s="4" t="s">
        <v>350</v>
      </c>
      <c r="F296" s="2" t="s">
        <v>1630</v>
      </c>
      <c r="G296" s="2" t="s">
        <v>1631</v>
      </c>
      <c r="H296" s="2" t="s">
        <v>356</v>
      </c>
      <c r="I296" s="2" t="s">
        <v>1015</v>
      </c>
      <c r="J296" s="2" t="s">
        <v>97</v>
      </c>
      <c r="K296" s="2" t="s">
        <v>98</v>
      </c>
      <c r="L296" s="2" t="s">
        <v>379</v>
      </c>
      <c r="M296" s="2" t="s">
        <v>770</v>
      </c>
      <c r="N296" s="2" t="s">
        <v>155</v>
      </c>
      <c r="O296" s="2" t="s">
        <v>102</v>
      </c>
      <c r="P296" s="152">
        <v>65</v>
      </c>
      <c r="Q296" s="158">
        <v>3.71</v>
      </c>
      <c r="R296" s="175">
        <v>15402</v>
      </c>
      <c r="T296" s="151">
        <v>37.142000000000003</v>
      </c>
      <c r="U296" s="164">
        <v>0</v>
      </c>
      <c r="V296" s="164">
        <v>3.9216437614221E-2</v>
      </c>
      <c r="W296" s="164">
        <v>2.4202373188616101E-2</v>
      </c>
    </row>
    <row r="297" spans="1:23">
      <c r="A297" s="2">
        <v>424</v>
      </c>
      <c r="B297" s="2">
        <v>9817</v>
      </c>
      <c r="C297" s="2" t="s">
        <v>1637</v>
      </c>
      <c r="D297" s="2" t="s">
        <v>1638</v>
      </c>
      <c r="E297" s="4" t="s">
        <v>350</v>
      </c>
      <c r="F297" s="2" t="s">
        <v>1645</v>
      </c>
      <c r="G297" s="2" t="s">
        <v>1646</v>
      </c>
      <c r="H297" s="2" t="s">
        <v>356</v>
      </c>
      <c r="I297" s="2" t="s">
        <v>1015</v>
      </c>
      <c r="J297" s="2" t="s">
        <v>97</v>
      </c>
      <c r="K297" s="2" t="s">
        <v>271</v>
      </c>
      <c r="L297" s="2" t="s">
        <v>415</v>
      </c>
      <c r="M297" s="2" t="s">
        <v>770</v>
      </c>
      <c r="N297" s="2" t="s">
        <v>155</v>
      </c>
      <c r="O297" s="2" t="s">
        <v>1211</v>
      </c>
      <c r="P297" s="152">
        <v>545</v>
      </c>
      <c r="Q297" s="158">
        <v>4.9748000000000001</v>
      </c>
      <c r="R297" s="175">
        <v>799.3</v>
      </c>
      <c r="T297" s="151">
        <v>21.670999999999999</v>
      </c>
      <c r="U297" s="164">
        <v>9.9999999999999995E-7</v>
      </c>
      <c r="V297" s="164">
        <v>2.2881563461290302E-2</v>
      </c>
      <c r="W297" s="164">
        <v>1.41213269669433E-2</v>
      </c>
    </row>
    <row r="298" spans="1:23">
      <c r="A298" s="2">
        <v>424</v>
      </c>
      <c r="B298" s="2">
        <v>9817</v>
      </c>
      <c r="C298" s="2" t="s">
        <v>1637</v>
      </c>
      <c r="D298" s="2" t="s">
        <v>1638</v>
      </c>
      <c r="E298" s="4" t="s">
        <v>350</v>
      </c>
      <c r="F298" s="2" t="s">
        <v>1774</v>
      </c>
      <c r="G298" s="2" t="s">
        <v>1775</v>
      </c>
      <c r="H298" s="2" t="s">
        <v>356</v>
      </c>
      <c r="I298" s="2" t="s">
        <v>1015</v>
      </c>
      <c r="J298" s="2" t="s">
        <v>97</v>
      </c>
      <c r="K298" s="2" t="s">
        <v>1607</v>
      </c>
      <c r="L298" s="2" t="s">
        <v>381</v>
      </c>
      <c r="M298" s="2" t="s">
        <v>770</v>
      </c>
      <c r="N298" s="2" t="s">
        <v>155</v>
      </c>
      <c r="O298" s="2" t="s">
        <v>102</v>
      </c>
      <c r="P298" s="152">
        <v>21</v>
      </c>
      <c r="Q298" s="158">
        <v>3.71</v>
      </c>
      <c r="R298" s="175">
        <v>7845</v>
      </c>
      <c r="T298" s="151">
        <v>6.1120000000000001</v>
      </c>
      <c r="U298" s="164">
        <v>0</v>
      </c>
      <c r="V298" s="164">
        <v>6.4534196505497202E-3</v>
      </c>
      <c r="W298" s="164">
        <v>3.9827194979259097E-3</v>
      </c>
    </row>
    <row r="299" spans="1:23">
      <c r="A299" s="2">
        <v>424</v>
      </c>
      <c r="B299" s="2">
        <v>9817</v>
      </c>
      <c r="C299" s="2" t="s">
        <v>1637</v>
      </c>
      <c r="D299" s="2" t="s">
        <v>1638</v>
      </c>
      <c r="E299" s="4" t="s">
        <v>350</v>
      </c>
      <c r="F299" s="2" t="s">
        <v>1776</v>
      </c>
      <c r="G299" s="2" t="s">
        <v>1777</v>
      </c>
      <c r="H299" s="2" t="s">
        <v>356</v>
      </c>
      <c r="I299" s="2" t="s">
        <v>1015</v>
      </c>
      <c r="J299" s="2" t="s">
        <v>97</v>
      </c>
      <c r="K299" s="2" t="s">
        <v>334</v>
      </c>
      <c r="L299" s="2" t="s">
        <v>381</v>
      </c>
      <c r="M299" s="2" t="s">
        <v>770</v>
      </c>
      <c r="N299" s="2" t="s">
        <v>155</v>
      </c>
      <c r="O299" s="2" t="s">
        <v>102</v>
      </c>
      <c r="P299" s="152">
        <v>75</v>
      </c>
      <c r="Q299" s="158">
        <v>3.71</v>
      </c>
      <c r="R299" s="175">
        <v>5722</v>
      </c>
      <c r="T299" s="151">
        <v>15.920999999999999</v>
      </c>
      <c r="U299" s="164">
        <v>9.9999999999999995E-7</v>
      </c>
      <c r="V299" s="164">
        <v>1.6810738068126E-2</v>
      </c>
      <c r="W299" s="164">
        <v>1.03747250146281E-2</v>
      </c>
    </row>
    <row r="300" spans="1:23">
      <c r="A300" s="2">
        <v>424</v>
      </c>
      <c r="B300" s="2">
        <v>9817</v>
      </c>
      <c r="C300" s="2" t="s">
        <v>1637</v>
      </c>
      <c r="D300" s="2" t="s">
        <v>1638</v>
      </c>
      <c r="E300" s="4" t="s">
        <v>350</v>
      </c>
      <c r="F300" s="2" t="s">
        <v>1778</v>
      </c>
      <c r="G300" s="2" t="s">
        <v>1779</v>
      </c>
      <c r="H300" s="2" t="s">
        <v>356</v>
      </c>
      <c r="I300" s="2" t="s">
        <v>1015</v>
      </c>
      <c r="J300" s="2" t="s">
        <v>97</v>
      </c>
      <c r="K300" s="2" t="s">
        <v>331</v>
      </c>
      <c r="L300" s="2" t="s">
        <v>403</v>
      </c>
      <c r="M300" s="2" t="s">
        <v>770</v>
      </c>
      <c r="N300" s="2" t="s">
        <v>155</v>
      </c>
      <c r="O300" s="2" t="s">
        <v>1209</v>
      </c>
      <c r="P300" s="152">
        <v>93</v>
      </c>
      <c r="Q300" s="158">
        <v>4.1524000000000001</v>
      </c>
      <c r="R300" s="175">
        <v>8871</v>
      </c>
      <c r="T300" s="151">
        <v>34.256999999999998</v>
      </c>
      <c r="U300" s="164">
        <v>1.9000000000000001E-5</v>
      </c>
      <c r="V300" s="164">
        <v>3.6170829215054899E-2</v>
      </c>
      <c r="W300" s="164">
        <v>2.2322779947942201E-2</v>
      </c>
    </row>
    <row r="301" spans="1:23">
      <c r="A301" s="2">
        <v>424</v>
      </c>
      <c r="B301" s="2">
        <v>9817</v>
      </c>
      <c r="C301" s="2" t="s">
        <v>1637</v>
      </c>
      <c r="D301" s="2" t="s">
        <v>1638</v>
      </c>
      <c r="E301" s="4" t="s">
        <v>350</v>
      </c>
      <c r="F301" s="2" t="s">
        <v>1666</v>
      </c>
      <c r="G301" s="2" t="s">
        <v>1667</v>
      </c>
      <c r="H301" s="2" t="s">
        <v>356</v>
      </c>
      <c r="I301" s="2" t="s">
        <v>1015</v>
      </c>
      <c r="J301" s="2" t="s">
        <v>97</v>
      </c>
      <c r="K301" s="2" t="s">
        <v>306</v>
      </c>
      <c r="L301" s="2" t="s">
        <v>381</v>
      </c>
      <c r="M301" s="2" t="s">
        <v>770</v>
      </c>
      <c r="N301" s="2" t="s">
        <v>155</v>
      </c>
      <c r="O301" s="2" t="s">
        <v>102</v>
      </c>
      <c r="P301" s="152">
        <v>19</v>
      </c>
      <c r="Q301" s="158">
        <v>3.71</v>
      </c>
      <c r="R301" s="175">
        <v>5091</v>
      </c>
      <c r="T301" s="151">
        <v>3.589</v>
      </c>
      <c r="U301" s="164">
        <v>0</v>
      </c>
      <c r="V301" s="164">
        <v>3.78908512779158E-3</v>
      </c>
      <c r="W301" s="164">
        <v>2.3384289314690898E-3</v>
      </c>
    </row>
    <row r="302" spans="1:23">
      <c r="A302" s="2">
        <v>424</v>
      </c>
      <c r="B302" s="2">
        <v>9817</v>
      </c>
      <c r="C302" s="2" t="s">
        <v>1538</v>
      </c>
      <c r="D302" s="2" t="s">
        <v>1539</v>
      </c>
      <c r="E302" s="4" t="s">
        <v>350</v>
      </c>
      <c r="F302" s="2" t="s">
        <v>1733</v>
      </c>
      <c r="G302" s="2" t="s">
        <v>1734</v>
      </c>
      <c r="H302" s="2" t="s">
        <v>356</v>
      </c>
      <c r="I302" s="2" t="s">
        <v>1015</v>
      </c>
      <c r="J302" s="2" t="s">
        <v>97</v>
      </c>
      <c r="K302" s="2" t="s">
        <v>98</v>
      </c>
      <c r="L302" s="2" t="s">
        <v>415</v>
      </c>
      <c r="M302" s="2" t="s">
        <v>770</v>
      </c>
      <c r="N302" s="2" t="s">
        <v>155</v>
      </c>
      <c r="O302" s="2" t="s">
        <v>102</v>
      </c>
      <c r="P302" s="152">
        <v>10</v>
      </c>
      <c r="Q302" s="158">
        <v>3.71</v>
      </c>
      <c r="R302" s="175">
        <v>112716</v>
      </c>
      <c r="T302" s="151">
        <v>41.817999999999998</v>
      </c>
      <c r="U302" s="164">
        <v>1.9999999999999999E-6</v>
      </c>
      <c r="V302" s="164">
        <v>4.41533065848045E-2</v>
      </c>
      <c r="W302" s="164">
        <v>2.7249155417658599E-2</v>
      </c>
    </row>
    <row r="303" spans="1:23">
      <c r="A303" s="2">
        <v>424</v>
      </c>
      <c r="B303" s="2">
        <v>9817</v>
      </c>
      <c r="C303" s="2" t="s">
        <v>1593</v>
      </c>
      <c r="D303" s="2" t="s">
        <v>1594</v>
      </c>
      <c r="E303" s="4" t="s">
        <v>350</v>
      </c>
      <c r="F303" s="2" t="s">
        <v>1780</v>
      </c>
      <c r="G303" s="2" t="s">
        <v>1781</v>
      </c>
      <c r="H303" s="2" t="s">
        <v>356</v>
      </c>
      <c r="I303" s="2" t="s">
        <v>1015</v>
      </c>
      <c r="J303" s="2" t="s">
        <v>97</v>
      </c>
      <c r="K303" s="2" t="s">
        <v>98</v>
      </c>
      <c r="L303" s="2" t="s">
        <v>379</v>
      </c>
      <c r="M303" s="2" t="s">
        <v>770</v>
      </c>
      <c r="N303" s="2" t="s">
        <v>155</v>
      </c>
      <c r="O303" s="2" t="s">
        <v>102</v>
      </c>
      <c r="P303" s="152">
        <v>9</v>
      </c>
      <c r="Q303" s="158">
        <v>3.71</v>
      </c>
      <c r="R303" s="175">
        <v>57376</v>
      </c>
      <c r="S303" s="155">
        <v>1.0999999999999999E-2</v>
      </c>
      <c r="T303" s="151">
        <v>19.199000000000002</v>
      </c>
      <c r="U303" s="164">
        <v>0</v>
      </c>
      <c r="V303" s="164">
        <v>2.02711100640738E-2</v>
      </c>
      <c r="W303" s="164">
        <v>1.25102890666519E-2</v>
      </c>
    </row>
    <row r="304" spans="1:23">
      <c r="A304" s="2">
        <v>424</v>
      </c>
      <c r="B304" s="2">
        <v>9817</v>
      </c>
      <c r="C304" s="2" t="s">
        <v>1692</v>
      </c>
      <c r="D304" s="2" t="s">
        <v>1693</v>
      </c>
      <c r="E304" s="4" t="s">
        <v>350</v>
      </c>
      <c r="F304" s="2" t="s">
        <v>1782</v>
      </c>
      <c r="G304" s="2" t="s">
        <v>1783</v>
      </c>
      <c r="H304" s="2" t="s">
        <v>356</v>
      </c>
      <c r="I304" s="2" t="s">
        <v>1015</v>
      </c>
      <c r="J304" s="2" t="s">
        <v>97</v>
      </c>
      <c r="K304" s="2" t="s">
        <v>334</v>
      </c>
      <c r="L304" s="2" t="s">
        <v>379</v>
      </c>
      <c r="M304" s="2" t="s">
        <v>770</v>
      </c>
      <c r="N304" s="2" t="s">
        <v>155</v>
      </c>
      <c r="O304" s="2" t="s">
        <v>102</v>
      </c>
      <c r="P304" s="152">
        <v>67</v>
      </c>
      <c r="Q304" s="158">
        <v>3.71</v>
      </c>
      <c r="R304" s="175">
        <v>6300</v>
      </c>
      <c r="T304" s="151">
        <v>15.66</v>
      </c>
      <c r="U304" s="164">
        <v>0</v>
      </c>
      <c r="V304" s="164">
        <v>1.65345742480624E-2</v>
      </c>
      <c r="W304" s="164">
        <v>1.0204290874226999E-2</v>
      </c>
    </row>
    <row r="305" spans="1:23">
      <c r="A305" s="2">
        <v>424</v>
      </c>
      <c r="B305" s="2">
        <v>9817</v>
      </c>
      <c r="C305" s="2" t="s">
        <v>1692</v>
      </c>
      <c r="D305" s="2" t="s">
        <v>1693</v>
      </c>
      <c r="E305" s="4" t="s">
        <v>350</v>
      </c>
      <c r="F305" s="2" t="s">
        <v>1737</v>
      </c>
      <c r="G305" s="2" t="s">
        <v>1738</v>
      </c>
      <c r="H305" s="2" t="s">
        <v>356</v>
      </c>
      <c r="I305" s="2" t="s">
        <v>1015</v>
      </c>
      <c r="J305" s="2" t="s">
        <v>97</v>
      </c>
      <c r="K305" s="2" t="s">
        <v>98</v>
      </c>
      <c r="L305" s="2" t="s">
        <v>379</v>
      </c>
      <c r="M305" s="2" t="s">
        <v>770</v>
      </c>
      <c r="N305" s="2" t="s">
        <v>155</v>
      </c>
      <c r="O305" s="2" t="s">
        <v>102</v>
      </c>
      <c r="P305" s="152">
        <v>14</v>
      </c>
      <c r="Q305" s="158">
        <v>3.71</v>
      </c>
      <c r="R305" s="175">
        <v>52767</v>
      </c>
      <c r="S305" s="155">
        <v>2.3E-2</v>
      </c>
      <c r="T305" s="151">
        <v>27.492000000000001</v>
      </c>
      <c r="U305" s="164">
        <v>0</v>
      </c>
      <c r="V305" s="164">
        <v>2.90278337460084E-2</v>
      </c>
      <c r="W305" s="164">
        <v>1.7914489635418598E-2</v>
      </c>
    </row>
    <row r="306" spans="1:23">
      <c r="A306" s="2">
        <v>424</v>
      </c>
      <c r="B306" s="2">
        <v>9817</v>
      </c>
      <c r="C306" s="2" t="s">
        <v>1698</v>
      </c>
      <c r="D306" s="2" t="s">
        <v>1699</v>
      </c>
      <c r="E306" s="4" t="s">
        <v>350</v>
      </c>
      <c r="F306" s="2" t="s">
        <v>1743</v>
      </c>
      <c r="G306" s="2" t="s">
        <v>1744</v>
      </c>
      <c r="H306" s="2" t="s">
        <v>356</v>
      </c>
      <c r="I306" s="2" t="s">
        <v>1015</v>
      </c>
      <c r="J306" s="2" t="s">
        <v>97</v>
      </c>
      <c r="K306" s="2" t="s">
        <v>334</v>
      </c>
      <c r="L306" s="2" t="s">
        <v>379</v>
      </c>
      <c r="M306" s="2" t="s">
        <v>770</v>
      </c>
      <c r="N306" s="2" t="s">
        <v>155</v>
      </c>
      <c r="O306" s="2" t="s">
        <v>102</v>
      </c>
      <c r="P306" s="152">
        <v>398</v>
      </c>
      <c r="Q306" s="158">
        <v>3.71</v>
      </c>
      <c r="R306" s="175">
        <v>3303</v>
      </c>
      <c r="T306" s="151">
        <v>48.771000000000001</v>
      </c>
      <c r="U306" s="164">
        <v>5.0000000000000004E-6</v>
      </c>
      <c r="V306" s="164">
        <v>5.14955036698823E-2</v>
      </c>
      <c r="W306" s="164">
        <v>3.1780382747011497E-2</v>
      </c>
    </row>
    <row r="307" spans="1:23">
      <c r="A307" s="2">
        <v>969</v>
      </c>
      <c r="B307" s="2">
        <v>969</v>
      </c>
      <c r="C307" s="2" t="s">
        <v>1579</v>
      </c>
      <c r="D307" s="2" t="s">
        <v>1580</v>
      </c>
      <c r="E307" s="4" t="s">
        <v>1342</v>
      </c>
      <c r="F307" s="2" t="s">
        <v>1764</v>
      </c>
      <c r="G307" s="2" t="s">
        <v>1765</v>
      </c>
      <c r="H307" s="2" t="s">
        <v>356</v>
      </c>
      <c r="I307" s="2" t="s">
        <v>1016</v>
      </c>
      <c r="J307" s="2" t="s">
        <v>30</v>
      </c>
      <c r="K307" s="2" t="s">
        <v>30</v>
      </c>
      <c r="L307" s="2" t="s">
        <v>31</v>
      </c>
      <c r="M307" s="2" t="s">
        <v>1747</v>
      </c>
      <c r="N307" s="2" t="s">
        <v>155</v>
      </c>
      <c r="O307" s="2" t="s">
        <v>34</v>
      </c>
      <c r="P307" s="152">
        <v>481259</v>
      </c>
      <c r="Q307" s="158">
        <v>1</v>
      </c>
      <c r="R307" s="175">
        <v>364.41</v>
      </c>
      <c r="T307" s="151">
        <v>1753.7560000000001</v>
      </c>
      <c r="U307" s="164">
        <v>2.5660000000000001E-3</v>
      </c>
      <c r="V307" s="164">
        <v>8.4637121032361595E-2</v>
      </c>
      <c r="W307" s="164">
        <v>2.3180274695725801E-2</v>
      </c>
    </row>
    <row r="308" spans="1:23">
      <c r="A308" s="2">
        <v>969</v>
      </c>
      <c r="B308" s="2">
        <v>969</v>
      </c>
      <c r="C308" s="2" t="s">
        <v>1585</v>
      </c>
      <c r="D308" s="2" t="s">
        <v>1586</v>
      </c>
      <c r="E308" s="4" t="s">
        <v>1342</v>
      </c>
      <c r="F308" s="2" t="s">
        <v>1587</v>
      </c>
      <c r="G308" s="2" t="s">
        <v>1588</v>
      </c>
      <c r="H308" s="2" t="s">
        <v>356</v>
      </c>
      <c r="I308" s="2" t="s">
        <v>1015</v>
      </c>
      <c r="J308" s="2" t="s">
        <v>30</v>
      </c>
      <c r="K308" s="2" t="s">
        <v>98</v>
      </c>
      <c r="L308" s="2" t="s">
        <v>31</v>
      </c>
      <c r="M308" s="2" t="s">
        <v>1578</v>
      </c>
      <c r="N308" s="2" t="s">
        <v>155</v>
      </c>
      <c r="O308" s="2" t="s">
        <v>34</v>
      </c>
      <c r="P308" s="152">
        <v>5044</v>
      </c>
      <c r="Q308" s="158">
        <v>1</v>
      </c>
      <c r="R308" s="175">
        <v>11220</v>
      </c>
      <c r="T308" s="151">
        <v>565.93700000000001</v>
      </c>
      <c r="U308" s="164">
        <v>6.2100000000000002E-4</v>
      </c>
      <c r="V308" s="164">
        <v>2.7312387567805799E-2</v>
      </c>
      <c r="W308" s="164">
        <v>7.4802715250178696E-3</v>
      </c>
    </row>
    <row r="309" spans="1:23">
      <c r="A309" s="2">
        <v>969</v>
      </c>
      <c r="B309" s="2">
        <v>969</v>
      </c>
      <c r="C309" s="2" t="s">
        <v>1571</v>
      </c>
      <c r="D309" s="2" t="s">
        <v>1572</v>
      </c>
      <c r="E309" s="4" t="s">
        <v>1342</v>
      </c>
      <c r="F309" s="2" t="s">
        <v>1591</v>
      </c>
      <c r="G309" s="2" t="s">
        <v>1592</v>
      </c>
      <c r="H309" s="2" t="s">
        <v>356</v>
      </c>
      <c r="I309" s="2" t="s">
        <v>1015</v>
      </c>
      <c r="J309" s="2" t="s">
        <v>30</v>
      </c>
      <c r="K309" s="2" t="s">
        <v>98</v>
      </c>
      <c r="L309" s="2" t="s">
        <v>31</v>
      </c>
      <c r="M309" s="2" t="s">
        <v>1578</v>
      </c>
      <c r="N309" s="2" t="s">
        <v>155</v>
      </c>
      <c r="O309" s="2" t="s">
        <v>34</v>
      </c>
      <c r="P309" s="152">
        <v>4783</v>
      </c>
      <c r="Q309" s="158">
        <v>1</v>
      </c>
      <c r="R309" s="175">
        <v>3167</v>
      </c>
      <c r="T309" s="151">
        <v>151.47800000000001</v>
      </c>
      <c r="U309" s="164">
        <v>2.3900000000000001E-4</v>
      </c>
      <c r="V309" s="164">
        <v>7.3103837604568999E-3</v>
      </c>
      <c r="W309" s="164">
        <v>2.0021558109682299E-3</v>
      </c>
    </row>
    <row r="310" spans="1:23">
      <c r="A310" s="2">
        <v>969</v>
      </c>
      <c r="B310" s="2">
        <v>969</v>
      </c>
      <c r="C310" s="2" t="s">
        <v>1702</v>
      </c>
      <c r="D310" s="2" t="s">
        <v>1703</v>
      </c>
      <c r="E310" s="4" t="s">
        <v>1342</v>
      </c>
      <c r="F310" s="2" t="s">
        <v>1716</v>
      </c>
      <c r="G310" s="2" t="s">
        <v>1717</v>
      </c>
      <c r="H310" s="2" t="s">
        <v>356</v>
      </c>
      <c r="I310" s="2" t="s">
        <v>1015</v>
      </c>
      <c r="J310" s="2" t="s">
        <v>30</v>
      </c>
      <c r="K310" s="2" t="s">
        <v>98</v>
      </c>
      <c r="L310" s="2" t="s">
        <v>31</v>
      </c>
      <c r="M310" s="2" t="s">
        <v>1578</v>
      </c>
      <c r="N310" s="2" t="s">
        <v>155</v>
      </c>
      <c r="O310" s="2" t="s">
        <v>34</v>
      </c>
      <c r="P310" s="152">
        <v>2440</v>
      </c>
      <c r="Q310" s="158">
        <v>1</v>
      </c>
      <c r="R310" s="175">
        <v>23280</v>
      </c>
      <c r="T310" s="151">
        <v>568.03200000000004</v>
      </c>
      <c r="U310" s="164">
        <v>1.21E-4</v>
      </c>
      <c r="V310" s="164">
        <v>2.7413502947530401E-2</v>
      </c>
      <c r="W310" s="164">
        <v>7.5079648379447203E-3</v>
      </c>
    </row>
    <row r="311" spans="1:23">
      <c r="A311" s="2">
        <v>969</v>
      </c>
      <c r="B311" s="2">
        <v>969</v>
      </c>
      <c r="C311" s="2" t="s">
        <v>1593</v>
      </c>
      <c r="D311" s="2" t="s">
        <v>1594</v>
      </c>
      <c r="E311" s="4" t="s">
        <v>350</v>
      </c>
      <c r="F311" s="2" t="s">
        <v>1595</v>
      </c>
      <c r="G311" s="2" t="s">
        <v>1596</v>
      </c>
      <c r="H311" s="2" t="s">
        <v>356</v>
      </c>
      <c r="I311" s="2" t="s">
        <v>1015</v>
      </c>
      <c r="J311" s="2" t="s">
        <v>97</v>
      </c>
      <c r="K311" s="2" t="s">
        <v>98</v>
      </c>
      <c r="L311" s="2" t="s">
        <v>379</v>
      </c>
      <c r="M311" s="2" t="s">
        <v>770</v>
      </c>
      <c r="N311" s="2" t="s">
        <v>155</v>
      </c>
      <c r="O311" s="2" t="s">
        <v>102</v>
      </c>
      <c r="P311" s="152">
        <v>1107</v>
      </c>
      <c r="Q311" s="158">
        <v>3.71</v>
      </c>
      <c r="R311" s="175">
        <v>8078</v>
      </c>
      <c r="T311" s="151">
        <v>331.76100000000002</v>
      </c>
      <c r="U311" s="164">
        <v>5.0000000000000004E-6</v>
      </c>
      <c r="V311" s="164">
        <v>1.6010950359680101E-2</v>
      </c>
      <c r="W311" s="164">
        <v>4.3850525980805499E-3</v>
      </c>
    </row>
    <row r="312" spans="1:23">
      <c r="A312" s="2">
        <v>969</v>
      </c>
      <c r="B312" s="2">
        <v>969</v>
      </c>
      <c r="C312" s="2" t="s">
        <v>1538</v>
      </c>
      <c r="D312" s="2" t="s">
        <v>1539</v>
      </c>
      <c r="E312" s="4" t="s">
        <v>350</v>
      </c>
      <c r="F312" s="2" t="s">
        <v>1597</v>
      </c>
      <c r="G312" s="2" t="s">
        <v>1598</v>
      </c>
      <c r="H312" s="2" t="s">
        <v>356</v>
      </c>
      <c r="I312" s="2" t="s">
        <v>1015</v>
      </c>
      <c r="J312" s="2" t="s">
        <v>97</v>
      </c>
      <c r="K312" s="2" t="s">
        <v>98</v>
      </c>
      <c r="L312" s="2" t="s">
        <v>379</v>
      </c>
      <c r="M312" s="2" t="s">
        <v>770</v>
      </c>
      <c r="N312" s="2" t="s">
        <v>155</v>
      </c>
      <c r="O312" s="2" t="s">
        <v>102</v>
      </c>
      <c r="P312" s="152">
        <v>587</v>
      </c>
      <c r="Q312" s="158">
        <v>3.71</v>
      </c>
      <c r="R312" s="175">
        <v>11497</v>
      </c>
      <c r="T312" s="151">
        <v>250.37799999999999</v>
      </c>
      <c r="U312" s="164">
        <v>3.0000000000000001E-5</v>
      </c>
      <c r="V312" s="164">
        <v>1.2083375561562601E-2</v>
      </c>
      <c r="W312" s="164">
        <v>3.3093749096397701E-3</v>
      </c>
    </row>
    <row r="313" spans="1:23">
      <c r="A313" s="2">
        <v>969</v>
      </c>
      <c r="B313" s="2">
        <v>969</v>
      </c>
      <c r="C313" s="2" t="s">
        <v>1603</v>
      </c>
      <c r="D313" s="2" t="s">
        <v>1604</v>
      </c>
      <c r="E313" s="4" t="s">
        <v>350</v>
      </c>
      <c r="F313" s="2" t="s">
        <v>1608</v>
      </c>
      <c r="G313" s="2" t="s">
        <v>1609</v>
      </c>
      <c r="H313" s="2" t="s">
        <v>356</v>
      </c>
      <c r="I313" s="2" t="s">
        <v>1015</v>
      </c>
      <c r="J313" s="2" t="s">
        <v>97</v>
      </c>
      <c r="K313" s="2" t="s">
        <v>319</v>
      </c>
      <c r="L313" s="2" t="s">
        <v>399</v>
      </c>
      <c r="M313" s="2" t="s">
        <v>770</v>
      </c>
      <c r="N313" s="2" t="s">
        <v>155</v>
      </c>
      <c r="O313" s="2" t="s">
        <v>1209</v>
      </c>
      <c r="P313" s="152">
        <v>1445</v>
      </c>
      <c r="Q313" s="158">
        <v>4.1524000000000001</v>
      </c>
      <c r="R313" s="175">
        <v>11358</v>
      </c>
      <c r="T313" s="151">
        <v>681.505</v>
      </c>
      <c r="U313" s="164">
        <v>2.8800000000000001E-4</v>
      </c>
      <c r="V313" s="164">
        <v>3.2889754026318802E-2</v>
      </c>
      <c r="W313" s="164">
        <v>9.00779142420754E-3</v>
      </c>
    </row>
    <row r="314" spans="1:23">
      <c r="A314" s="2">
        <v>969</v>
      </c>
      <c r="B314" s="2">
        <v>969</v>
      </c>
      <c r="C314" s="2" t="s">
        <v>1593</v>
      </c>
      <c r="D314" s="2" t="s">
        <v>1594</v>
      </c>
      <c r="E314" s="4" t="s">
        <v>350</v>
      </c>
      <c r="F314" s="2" t="s">
        <v>1616</v>
      </c>
      <c r="G314" s="2" t="s">
        <v>1617</v>
      </c>
      <c r="H314" s="2" t="s">
        <v>356</v>
      </c>
      <c r="I314" s="2" t="s">
        <v>1015</v>
      </c>
      <c r="J314" s="2" t="s">
        <v>97</v>
      </c>
      <c r="K314" s="2" t="s">
        <v>98</v>
      </c>
      <c r="L314" s="2" t="s">
        <v>379</v>
      </c>
      <c r="M314" s="2" t="s">
        <v>770</v>
      </c>
      <c r="N314" s="2" t="s">
        <v>155</v>
      </c>
      <c r="O314" s="2" t="s">
        <v>102</v>
      </c>
      <c r="P314" s="152">
        <v>510</v>
      </c>
      <c r="Q314" s="158">
        <v>3.71</v>
      </c>
      <c r="R314" s="175">
        <v>20037</v>
      </c>
      <c r="T314" s="151">
        <v>379.12</v>
      </c>
      <c r="U314" s="164">
        <v>5.0000000000000004E-6</v>
      </c>
      <c r="V314" s="164">
        <v>1.8296520879646599E-2</v>
      </c>
      <c r="W314" s="164">
        <v>5.0110208711391198E-3</v>
      </c>
    </row>
    <row r="315" spans="1:23">
      <c r="A315" s="2">
        <v>969</v>
      </c>
      <c r="B315" s="2">
        <v>969</v>
      </c>
      <c r="C315" s="2" t="s">
        <v>1593</v>
      </c>
      <c r="D315" s="2" t="s">
        <v>1594</v>
      </c>
      <c r="E315" s="4" t="s">
        <v>350</v>
      </c>
      <c r="F315" s="2" t="s">
        <v>1618</v>
      </c>
      <c r="G315" s="2" t="s">
        <v>1619</v>
      </c>
      <c r="H315" s="2" t="s">
        <v>356</v>
      </c>
      <c r="I315" s="2" t="s">
        <v>1015</v>
      </c>
      <c r="J315" s="2" t="s">
        <v>97</v>
      </c>
      <c r="K315" s="2" t="s">
        <v>98</v>
      </c>
      <c r="L315" s="2" t="s">
        <v>379</v>
      </c>
      <c r="M315" s="2" t="s">
        <v>770</v>
      </c>
      <c r="N315" s="2" t="s">
        <v>155</v>
      </c>
      <c r="O315" s="2" t="s">
        <v>102</v>
      </c>
      <c r="P315" s="152">
        <v>9714</v>
      </c>
      <c r="Q315" s="158">
        <v>3.71</v>
      </c>
      <c r="R315" s="175">
        <v>4532</v>
      </c>
      <c r="T315" s="151">
        <v>1633.2850000000001</v>
      </c>
      <c r="U315" s="164">
        <v>1.1E-5</v>
      </c>
      <c r="V315" s="164">
        <v>7.8823123704909598E-2</v>
      </c>
      <c r="W315" s="164">
        <v>2.1587946725602301E-2</v>
      </c>
    </row>
    <row r="316" spans="1:23">
      <c r="A316" s="2">
        <v>969</v>
      </c>
      <c r="B316" s="2">
        <v>969</v>
      </c>
      <c r="C316" s="2" t="s">
        <v>1620</v>
      </c>
      <c r="D316" s="2" t="s">
        <v>1621</v>
      </c>
      <c r="E316" s="4" t="s">
        <v>350</v>
      </c>
      <c r="F316" s="2" t="s">
        <v>1624</v>
      </c>
      <c r="G316" s="2" t="s">
        <v>1625</v>
      </c>
      <c r="H316" s="2" t="s">
        <v>356</v>
      </c>
      <c r="I316" s="2" t="s">
        <v>1015</v>
      </c>
      <c r="J316" s="2" t="s">
        <v>97</v>
      </c>
      <c r="K316" s="2" t="s">
        <v>334</v>
      </c>
      <c r="L316" s="2" t="s">
        <v>381</v>
      </c>
      <c r="M316" s="2" t="s">
        <v>770</v>
      </c>
      <c r="N316" s="2" t="s">
        <v>155</v>
      </c>
      <c r="O316" s="2" t="s">
        <v>102</v>
      </c>
      <c r="P316" s="152">
        <v>853</v>
      </c>
      <c r="Q316" s="158">
        <v>3.71</v>
      </c>
      <c r="R316" s="175">
        <v>12725</v>
      </c>
      <c r="T316" s="151">
        <v>402.69900000000001</v>
      </c>
      <c r="U316" s="164">
        <v>1.1900000000000001E-4</v>
      </c>
      <c r="V316" s="164">
        <v>1.9434459353045701E-2</v>
      </c>
      <c r="W316" s="164">
        <v>5.3226775777766196E-3</v>
      </c>
    </row>
    <row r="317" spans="1:23">
      <c r="A317" s="2">
        <v>969</v>
      </c>
      <c r="B317" s="2">
        <v>969</v>
      </c>
      <c r="C317" s="2" t="s">
        <v>1593</v>
      </c>
      <c r="D317" s="2" t="s">
        <v>1594</v>
      </c>
      <c r="E317" s="4" t="s">
        <v>350</v>
      </c>
      <c r="F317" s="2" t="s">
        <v>1630</v>
      </c>
      <c r="G317" s="2" t="s">
        <v>1631</v>
      </c>
      <c r="H317" s="2" t="s">
        <v>356</v>
      </c>
      <c r="I317" s="2" t="s">
        <v>1015</v>
      </c>
      <c r="J317" s="2" t="s">
        <v>97</v>
      </c>
      <c r="K317" s="2" t="s">
        <v>98</v>
      </c>
      <c r="L317" s="2" t="s">
        <v>379</v>
      </c>
      <c r="M317" s="2" t="s">
        <v>770</v>
      </c>
      <c r="N317" s="2" t="s">
        <v>155</v>
      </c>
      <c r="O317" s="2" t="s">
        <v>102</v>
      </c>
      <c r="P317" s="152">
        <v>2262</v>
      </c>
      <c r="Q317" s="158">
        <v>3.71</v>
      </c>
      <c r="R317" s="175">
        <v>15402</v>
      </c>
      <c r="T317" s="151">
        <v>1292.539</v>
      </c>
      <c r="U317" s="164">
        <v>7.9999999999999996E-6</v>
      </c>
      <c r="V317" s="164">
        <v>6.2378562306671298E-2</v>
      </c>
      <c r="W317" s="164">
        <v>1.7084137453591001E-2</v>
      </c>
    </row>
    <row r="318" spans="1:23">
      <c r="A318" s="2">
        <v>969</v>
      </c>
      <c r="B318" s="2">
        <v>969</v>
      </c>
      <c r="C318" s="2" t="s">
        <v>1632</v>
      </c>
      <c r="D318" s="2" t="s">
        <v>1633</v>
      </c>
      <c r="E318" s="4" t="s">
        <v>350</v>
      </c>
      <c r="F318" s="2" t="s">
        <v>1634</v>
      </c>
      <c r="G318" s="2" t="s">
        <v>1635</v>
      </c>
      <c r="H318" s="2" t="s">
        <v>356</v>
      </c>
      <c r="I318" s="2" t="s">
        <v>1015</v>
      </c>
      <c r="J318" s="2" t="s">
        <v>97</v>
      </c>
      <c r="K318" s="2" t="s">
        <v>320</v>
      </c>
      <c r="L318" s="2" t="s">
        <v>1636</v>
      </c>
      <c r="M318" s="2" t="s">
        <v>770</v>
      </c>
      <c r="N318" s="2" t="s">
        <v>155</v>
      </c>
      <c r="O318" s="2" t="s">
        <v>1208</v>
      </c>
      <c r="P318" s="152">
        <v>880</v>
      </c>
      <c r="Q318" s="158">
        <v>2.7435</v>
      </c>
      <c r="R318" s="175">
        <v>6219</v>
      </c>
      <c r="T318" s="151">
        <v>150.14400000000001</v>
      </c>
      <c r="U318" s="164">
        <v>1.2E-5</v>
      </c>
      <c r="V318" s="164">
        <v>7.2460266203707002E-3</v>
      </c>
      <c r="W318" s="164">
        <v>1.9845297839054801E-3</v>
      </c>
    </row>
    <row r="319" spans="1:23">
      <c r="A319" s="2">
        <v>969</v>
      </c>
      <c r="B319" s="2">
        <v>969</v>
      </c>
      <c r="C319" s="2" t="s">
        <v>1637</v>
      </c>
      <c r="D319" s="2" t="s">
        <v>1638</v>
      </c>
      <c r="E319" s="4" t="s">
        <v>350</v>
      </c>
      <c r="F319" s="2" t="s">
        <v>1639</v>
      </c>
      <c r="G319" s="2" t="s">
        <v>1640</v>
      </c>
      <c r="H319" s="2" t="s">
        <v>356</v>
      </c>
      <c r="I319" s="2" t="s">
        <v>1017</v>
      </c>
      <c r="J319" s="2" t="s">
        <v>97</v>
      </c>
      <c r="K319" s="2" t="s">
        <v>1607</v>
      </c>
      <c r="L319" s="2" t="s">
        <v>415</v>
      </c>
      <c r="M319" s="2" t="s">
        <v>767</v>
      </c>
      <c r="N319" s="2" t="s">
        <v>155</v>
      </c>
      <c r="O319" s="2" t="s">
        <v>102</v>
      </c>
      <c r="P319" s="152">
        <v>2091</v>
      </c>
      <c r="Q319" s="158">
        <v>3.71</v>
      </c>
      <c r="R319" s="175">
        <v>4584</v>
      </c>
      <c r="T319" s="151">
        <v>355.60899999999998</v>
      </c>
      <c r="U319" s="164">
        <v>0</v>
      </c>
      <c r="V319" s="164">
        <v>1.71618571652658E-2</v>
      </c>
      <c r="W319" s="164">
        <v>4.7002610500841901E-3</v>
      </c>
    </row>
    <row r="320" spans="1:23">
      <c r="A320" s="2">
        <v>969</v>
      </c>
      <c r="B320" s="2">
        <v>969</v>
      </c>
      <c r="C320" s="2" t="s">
        <v>1593</v>
      </c>
      <c r="D320" s="2" t="s">
        <v>1594</v>
      </c>
      <c r="E320" s="4" t="s">
        <v>350</v>
      </c>
      <c r="F320" s="2" t="s">
        <v>1641</v>
      </c>
      <c r="G320" s="2" t="s">
        <v>1642</v>
      </c>
      <c r="H320" s="2" t="s">
        <v>356</v>
      </c>
      <c r="I320" s="2" t="s">
        <v>1015</v>
      </c>
      <c r="J320" s="2" t="s">
        <v>97</v>
      </c>
      <c r="K320" s="2" t="s">
        <v>98</v>
      </c>
      <c r="L320" s="2" t="s">
        <v>379</v>
      </c>
      <c r="M320" s="2" t="s">
        <v>770</v>
      </c>
      <c r="N320" s="2" t="s">
        <v>155</v>
      </c>
      <c r="O320" s="2" t="s">
        <v>102</v>
      </c>
      <c r="P320" s="152">
        <v>1213</v>
      </c>
      <c r="Q320" s="158">
        <v>3.71</v>
      </c>
      <c r="R320" s="175">
        <v>13544</v>
      </c>
      <c r="T320" s="151">
        <v>609.51099999999997</v>
      </c>
      <c r="U320" s="164">
        <v>9.0000000000000002E-6</v>
      </c>
      <c r="V320" s="164">
        <v>2.9415307130538099E-2</v>
      </c>
      <c r="W320" s="164">
        <v>8.0562156560630496E-3</v>
      </c>
    </row>
    <row r="321" spans="1:23">
      <c r="A321" s="2">
        <v>969</v>
      </c>
      <c r="B321" s="2">
        <v>969</v>
      </c>
      <c r="C321" s="2" t="s">
        <v>1534</v>
      </c>
      <c r="D321" s="2" t="s">
        <v>1535</v>
      </c>
      <c r="E321" s="4" t="s">
        <v>350</v>
      </c>
      <c r="F321" s="2" t="s">
        <v>1643</v>
      </c>
      <c r="G321" s="2" t="s">
        <v>1644</v>
      </c>
      <c r="H321" s="2" t="s">
        <v>356</v>
      </c>
      <c r="I321" s="2" t="s">
        <v>1017</v>
      </c>
      <c r="J321" s="2" t="s">
        <v>97</v>
      </c>
      <c r="K321" s="2" t="s">
        <v>98</v>
      </c>
      <c r="L321" s="2" t="s">
        <v>415</v>
      </c>
      <c r="M321" s="2" t="s">
        <v>767</v>
      </c>
      <c r="N321" s="2" t="s">
        <v>155</v>
      </c>
      <c r="O321" s="2" t="s">
        <v>102</v>
      </c>
      <c r="P321" s="152">
        <v>9779</v>
      </c>
      <c r="Q321" s="158">
        <v>3.71</v>
      </c>
      <c r="R321" s="175">
        <v>2890.75</v>
      </c>
      <c r="T321" s="151">
        <v>1048.7670000000001</v>
      </c>
      <c r="U321" s="164">
        <v>0</v>
      </c>
      <c r="V321" s="164">
        <v>5.0613995457367403E-2</v>
      </c>
      <c r="W321" s="164">
        <v>1.38620773466691E-2</v>
      </c>
    </row>
    <row r="322" spans="1:23">
      <c r="A322" s="2">
        <v>969</v>
      </c>
      <c r="B322" s="2">
        <v>969</v>
      </c>
      <c r="C322" s="2" t="s">
        <v>1637</v>
      </c>
      <c r="D322" s="2" t="s">
        <v>1638</v>
      </c>
      <c r="E322" s="4" t="s">
        <v>350</v>
      </c>
      <c r="F322" s="2" t="s">
        <v>1645</v>
      </c>
      <c r="G322" s="2" t="s">
        <v>1646</v>
      </c>
      <c r="H322" s="2" t="s">
        <v>356</v>
      </c>
      <c r="I322" s="2" t="s">
        <v>1015</v>
      </c>
      <c r="J322" s="2" t="s">
        <v>97</v>
      </c>
      <c r="K322" s="2" t="s">
        <v>271</v>
      </c>
      <c r="L322" s="2" t="s">
        <v>415</v>
      </c>
      <c r="M322" s="2" t="s">
        <v>770</v>
      </c>
      <c r="N322" s="2" t="s">
        <v>155</v>
      </c>
      <c r="O322" s="2" t="s">
        <v>1211</v>
      </c>
      <c r="P322" s="152">
        <v>30122</v>
      </c>
      <c r="Q322" s="158">
        <v>4.9748000000000001</v>
      </c>
      <c r="R322" s="175">
        <v>799.3</v>
      </c>
      <c r="T322" s="151">
        <v>1197.758</v>
      </c>
      <c r="U322" s="164">
        <v>4.8999999999999998E-5</v>
      </c>
      <c r="V322" s="164">
        <v>5.78044102330003E-2</v>
      </c>
      <c r="W322" s="164">
        <v>1.5831376250534799E-2</v>
      </c>
    </row>
    <row r="323" spans="1:23">
      <c r="A323" s="2">
        <v>969</v>
      </c>
      <c r="B323" s="2">
        <v>969</v>
      </c>
      <c r="C323" s="2" t="s">
        <v>1637</v>
      </c>
      <c r="D323" s="2" t="s">
        <v>1638</v>
      </c>
      <c r="E323" s="4" t="s">
        <v>350</v>
      </c>
      <c r="F323" s="2" t="s">
        <v>1647</v>
      </c>
      <c r="G323" s="2" t="s">
        <v>1648</v>
      </c>
      <c r="H323" s="2" t="s">
        <v>356</v>
      </c>
      <c r="I323" s="2" t="s">
        <v>1015</v>
      </c>
      <c r="J323" s="2" t="s">
        <v>97</v>
      </c>
      <c r="K323" s="2" t="s">
        <v>306</v>
      </c>
      <c r="L323" s="2" t="s">
        <v>379</v>
      </c>
      <c r="M323" s="2" t="s">
        <v>770</v>
      </c>
      <c r="N323" s="2" t="s">
        <v>155</v>
      </c>
      <c r="O323" s="2" t="s">
        <v>102</v>
      </c>
      <c r="P323" s="152">
        <v>780</v>
      </c>
      <c r="Q323" s="158">
        <v>3.71</v>
      </c>
      <c r="R323" s="175">
        <v>3178</v>
      </c>
      <c r="T323" s="151">
        <v>91.965000000000003</v>
      </c>
      <c r="U323" s="164">
        <v>5.0000000000000004E-6</v>
      </c>
      <c r="V323" s="164">
        <v>4.4382742727232301E-3</v>
      </c>
      <c r="W323" s="164">
        <v>1.21554721571118E-3</v>
      </c>
    </row>
    <row r="324" spans="1:23">
      <c r="A324" s="2">
        <v>969</v>
      </c>
      <c r="B324" s="2">
        <v>969</v>
      </c>
      <c r="C324" s="2" t="s">
        <v>1637</v>
      </c>
      <c r="D324" s="2" t="s">
        <v>1638</v>
      </c>
      <c r="E324" s="4" t="s">
        <v>350</v>
      </c>
      <c r="F324" s="2" t="s">
        <v>1649</v>
      </c>
      <c r="G324" s="2" t="s">
        <v>1650</v>
      </c>
      <c r="H324" s="2" t="s">
        <v>356</v>
      </c>
      <c r="I324" s="2" t="s">
        <v>1017</v>
      </c>
      <c r="J324" s="2" t="s">
        <v>97</v>
      </c>
      <c r="K324" s="2" t="s">
        <v>259</v>
      </c>
      <c r="L324" s="2" t="s">
        <v>415</v>
      </c>
      <c r="M324" s="2" t="s">
        <v>767</v>
      </c>
      <c r="N324" s="2" t="s">
        <v>155</v>
      </c>
      <c r="O324" s="2" t="s">
        <v>102</v>
      </c>
      <c r="P324" s="152">
        <v>16611</v>
      </c>
      <c r="Q324" s="158">
        <v>3.71</v>
      </c>
      <c r="R324" s="175">
        <v>624.54999999999995</v>
      </c>
      <c r="T324" s="151">
        <v>384.89</v>
      </c>
      <c r="U324" s="164">
        <v>0</v>
      </c>
      <c r="V324" s="164">
        <v>1.85749918658944E-2</v>
      </c>
      <c r="W324" s="164">
        <v>5.0872880441865604E-3</v>
      </c>
    </row>
    <row r="325" spans="1:23">
      <c r="A325" s="2">
        <v>969</v>
      </c>
      <c r="B325" s="2">
        <v>969</v>
      </c>
      <c r="C325" s="2" t="s">
        <v>1637</v>
      </c>
      <c r="D325" s="2" t="s">
        <v>1638</v>
      </c>
      <c r="E325" s="4" t="s">
        <v>350</v>
      </c>
      <c r="F325" s="2" t="s">
        <v>1651</v>
      </c>
      <c r="G325" s="2" t="s">
        <v>1652</v>
      </c>
      <c r="H325" s="2" t="s">
        <v>356</v>
      </c>
      <c r="I325" s="2" t="s">
        <v>1015</v>
      </c>
      <c r="J325" s="2" t="s">
        <v>97</v>
      </c>
      <c r="K325" s="2" t="s">
        <v>98</v>
      </c>
      <c r="L325" s="2" t="s">
        <v>381</v>
      </c>
      <c r="M325" s="2" t="s">
        <v>770</v>
      </c>
      <c r="N325" s="2" t="s">
        <v>155</v>
      </c>
      <c r="O325" s="2" t="s">
        <v>102</v>
      </c>
      <c r="P325" s="152">
        <v>1396</v>
      </c>
      <c r="Q325" s="158">
        <v>3.71</v>
      </c>
      <c r="R325" s="175">
        <v>6111</v>
      </c>
      <c r="T325" s="151">
        <v>316.49799999999999</v>
      </c>
      <c r="U325" s="164">
        <v>0</v>
      </c>
      <c r="V325" s="164">
        <v>1.5274371293239501E-2</v>
      </c>
      <c r="W325" s="164">
        <v>4.1833195418641599E-3</v>
      </c>
    </row>
    <row r="326" spans="1:23">
      <c r="A326" s="2">
        <v>969</v>
      </c>
      <c r="B326" s="2">
        <v>969</v>
      </c>
      <c r="C326" s="2" t="s">
        <v>1637</v>
      </c>
      <c r="D326" s="2" t="s">
        <v>1638</v>
      </c>
      <c r="E326" s="4" t="s">
        <v>350</v>
      </c>
      <c r="F326" s="2" t="s">
        <v>1653</v>
      </c>
      <c r="G326" s="2" t="s">
        <v>1654</v>
      </c>
      <c r="H326" s="2" t="s">
        <v>356</v>
      </c>
      <c r="I326" s="2" t="s">
        <v>1015</v>
      </c>
      <c r="J326" s="2" t="s">
        <v>97</v>
      </c>
      <c r="K326" s="2" t="s">
        <v>98</v>
      </c>
      <c r="L326" s="2" t="s">
        <v>379</v>
      </c>
      <c r="M326" s="2" t="s">
        <v>770</v>
      </c>
      <c r="N326" s="2" t="s">
        <v>155</v>
      </c>
      <c r="O326" s="2" t="s">
        <v>102</v>
      </c>
      <c r="P326" s="152">
        <v>771</v>
      </c>
      <c r="Q326" s="158">
        <v>3.71</v>
      </c>
      <c r="R326" s="175">
        <v>12856</v>
      </c>
      <c r="T326" s="151">
        <v>367.73399999999998</v>
      </c>
      <c r="U326" s="164">
        <v>1.6799999999999999E-4</v>
      </c>
      <c r="V326" s="164">
        <v>1.7747038160046701E-2</v>
      </c>
      <c r="W326" s="164">
        <v>4.8605294528876498E-3</v>
      </c>
    </row>
    <row r="327" spans="1:23">
      <c r="A327" s="2">
        <v>969</v>
      </c>
      <c r="B327" s="2">
        <v>969</v>
      </c>
      <c r="C327" s="2" t="s">
        <v>1637</v>
      </c>
      <c r="D327" s="2" t="s">
        <v>1638</v>
      </c>
      <c r="E327" s="4" t="s">
        <v>350</v>
      </c>
      <c r="F327" s="2" t="s">
        <v>1655</v>
      </c>
      <c r="G327" s="2" t="s">
        <v>1656</v>
      </c>
      <c r="H327" s="2" t="s">
        <v>356</v>
      </c>
      <c r="I327" s="2" t="s">
        <v>1017</v>
      </c>
      <c r="J327" s="2" t="s">
        <v>97</v>
      </c>
      <c r="K327" s="2" t="s">
        <v>98</v>
      </c>
      <c r="L327" s="2" t="s">
        <v>415</v>
      </c>
      <c r="M327" s="2" t="s">
        <v>767</v>
      </c>
      <c r="N327" s="2" t="s">
        <v>155</v>
      </c>
      <c r="O327" s="2" t="s">
        <v>102</v>
      </c>
      <c r="P327" s="152">
        <v>27676</v>
      </c>
      <c r="Q327" s="158">
        <v>3.71</v>
      </c>
      <c r="R327" s="175">
        <v>595.6</v>
      </c>
      <c r="T327" s="151">
        <v>611.54999999999995</v>
      </c>
      <c r="U327" s="164">
        <v>0</v>
      </c>
      <c r="V327" s="164">
        <v>2.9513699583892699E-2</v>
      </c>
      <c r="W327" s="164">
        <v>8.0831632184201595E-3</v>
      </c>
    </row>
    <row r="328" spans="1:23">
      <c r="A328" s="2">
        <v>969</v>
      </c>
      <c r="B328" s="2">
        <v>969</v>
      </c>
      <c r="C328" s="2" t="s">
        <v>1657</v>
      </c>
      <c r="D328" s="2" t="s">
        <v>1604</v>
      </c>
      <c r="E328" s="4" t="s">
        <v>350</v>
      </c>
      <c r="F328" s="2" t="s">
        <v>1660</v>
      </c>
      <c r="G328" s="2" t="s">
        <v>1661</v>
      </c>
      <c r="H328" s="2" t="s">
        <v>356</v>
      </c>
      <c r="I328" s="2" t="s">
        <v>1015</v>
      </c>
      <c r="J328" s="2" t="s">
        <v>97</v>
      </c>
      <c r="K328" s="2" t="s">
        <v>319</v>
      </c>
      <c r="L328" s="2" t="s">
        <v>399</v>
      </c>
      <c r="M328" s="2" t="s">
        <v>770</v>
      </c>
      <c r="N328" s="2" t="s">
        <v>155</v>
      </c>
      <c r="O328" s="2" t="s">
        <v>1209</v>
      </c>
      <c r="P328" s="152">
        <v>156</v>
      </c>
      <c r="Q328" s="158">
        <v>4.1524000000000001</v>
      </c>
      <c r="R328" s="175">
        <v>15648.2</v>
      </c>
      <c r="T328" s="151">
        <v>101.36499999999999</v>
      </c>
      <c r="U328" s="164">
        <v>4.8999999999999998E-5</v>
      </c>
      <c r="V328" s="164">
        <v>4.8919262454172503E-3</v>
      </c>
      <c r="W328" s="164">
        <v>1.33979266752994E-3</v>
      </c>
    </row>
    <row r="329" spans="1:23">
      <c r="A329" s="2">
        <v>969</v>
      </c>
      <c r="B329" s="2">
        <v>969</v>
      </c>
      <c r="C329" s="2" t="s">
        <v>1662</v>
      </c>
      <c r="D329" s="2" t="s">
        <v>1663</v>
      </c>
      <c r="E329" s="4" t="s">
        <v>350</v>
      </c>
      <c r="F329" s="2" t="s">
        <v>1664</v>
      </c>
      <c r="G329" s="2" t="s">
        <v>1665</v>
      </c>
      <c r="H329" s="2" t="s">
        <v>356</v>
      </c>
      <c r="I329" s="2" t="s">
        <v>1015</v>
      </c>
      <c r="J329" s="2" t="s">
        <v>97</v>
      </c>
      <c r="K329" s="2" t="s">
        <v>98</v>
      </c>
      <c r="L329" s="2" t="s">
        <v>379</v>
      </c>
      <c r="M329" s="2" t="s">
        <v>770</v>
      </c>
      <c r="N329" s="2" t="s">
        <v>155</v>
      </c>
      <c r="O329" s="2" t="s">
        <v>102</v>
      </c>
      <c r="P329" s="152">
        <v>400</v>
      </c>
      <c r="Q329" s="158">
        <v>3.71</v>
      </c>
      <c r="R329" s="175">
        <v>9638</v>
      </c>
      <c r="T329" s="151">
        <v>143.02799999999999</v>
      </c>
      <c r="U329" s="164">
        <v>5.0000000000000004E-6</v>
      </c>
      <c r="V329" s="164">
        <v>6.9025975763674198E-3</v>
      </c>
      <c r="W329" s="164">
        <v>1.89047200545809E-3</v>
      </c>
    </row>
    <row r="330" spans="1:23">
      <c r="A330" s="2">
        <v>969</v>
      </c>
      <c r="B330" s="2">
        <v>969</v>
      </c>
      <c r="C330" s="2" t="s">
        <v>1637</v>
      </c>
      <c r="D330" s="2" t="s">
        <v>1638</v>
      </c>
      <c r="E330" s="4" t="s">
        <v>350</v>
      </c>
      <c r="F330" s="2" t="s">
        <v>1666</v>
      </c>
      <c r="G330" s="2" t="s">
        <v>1667</v>
      </c>
      <c r="H330" s="2" t="s">
        <v>356</v>
      </c>
      <c r="I330" s="2" t="s">
        <v>1015</v>
      </c>
      <c r="J330" s="2" t="s">
        <v>97</v>
      </c>
      <c r="K330" s="2" t="s">
        <v>306</v>
      </c>
      <c r="L330" s="2" t="s">
        <v>381</v>
      </c>
      <c r="M330" s="2" t="s">
        <v>770</v>
      </c>
      <c r="N330" s="2" t="s">
        <v>155</v>
      </c>
      <c r="O330" s="2" t="s">
        <v>102</v>
      </c>
      <c r="P330" s="152">
        <v>2000</v>
      </c>
      <c r="Q330" s="158">
        <v>3.71</v>
      </c>
      <c r="R330" s="175">
        <v>5091</v>
      </c>
      <c r="T330" s="151">
        <v>377.75200000000001</v>
      </c>
      <c r="U330" s="164">
        <v>1.2999999999999999E-5</v>
      </c>
      <c r="V330" s="164">
        <v>1.8230506464664099E-2</v>
      </c>
      <c r="W330" s="164">
        <v>4.99294095236934E-3</v>
      </c>
    </row>
    <row r="331" spans="1:23">
      <c r="A331" s="2">
        <v>969</v>
      </c>
      <c r="B331" s="2">
        <v>969</v>
      </c>
      <c r="C331" s="2" t="s">
        <v>1538</v>
      </c>
      <c r="D331" s="2" t="s">
        <v>1539</v>
      </c>
      <c r="E331" s="4" t="s">
        <v>350</v>
      </c>
      <c r="F331" s="2" t="s">
        <v>1673</v>
      </c>
      <c r="G331" s="2" t="s">
        <v>1674</v>
      </c>
      <c r="H331" s="2" t="s">
        <v>356</v>
      </c>
      <c r="I331" s="2" t="s">
        <v>1015</v>
      </c>
      <c r="J331" s="2" t="s">
        <v>97</v>
      </c>
      <c r="K331" s="2" t="s">
        <v>98</v>
      </c>
      <c r="L331" s="2" t="s">
        <v>381</v>
      </c>
      <c r="M331" s="2" t="s">
        <v>770</v>
      </c>
      <c r="N331" s="2" t="s">
        <v>155</v>
      </c>
      <c r="O331" s="2" t="s">
        <v>102</v>
      </c>
      <c r="P331" s="152">
        <v>251</v>
      </c>
      <c r="Q331" s="158">
        <v>3.71</v>
      </c>
      <c r="R331" s="175">
        <v>48807</v>
      </c>
      <c r="S331" s="155">
        <v>0.128</v>
      </c>
      <c r="T331" s="151">
        <v>454.97</v>
      </c>
      <c r="U331" s="164">
        <v>0</v>
      </c>
      <c r="V331" s="164">
        <v>2.1957071735044999E-2</v>
      </c>
      <c r="W331" s="164">
        <v>6.0135664838775896E-3</v>
      </c>
    </row>
    <row r="332" spans="1:23">
      <c r="A332" s="2">
        <v>969</v>
      </c>
      <c r="B332" s="2">
        <v>969</v>
      </c>
      <c r="C332" s="2" t="s">
        <v>1593</v>
      </c>
      <c r="D332" s="2" t="s">
        <v>1594</v>
      </c>
      <c r="E332" s="4" t="s">
        <v>350</v>
      </c>
      <c r="F332" s="2" t="s">
        <v>1675</v>
      </c>
      <c r="G332" s="2" t="s">
        <v>1676</v>
      </c>
      <c r="H332" s="2" t="s">
        <v>356</v>
      </c>
      <c r="I332" s="2" t="s">
        <v>1015</v>
      </c>
      <c r="J332" s="2" t="s">
        <v>97</v>
      </c>
      <c r="K332" s="2" t="s">
        <v>98</v>
      </c>
      <c r="L332" s="2" t="s">
        <v>379</v>
      </c>
      <c r="M332" s="2" t="s">
        <v>770</v>
      </c>
      <c r="N332" s="2" t="s">
        <v>155</v>
      </c>
      <c r="O332" s="2" t="s">
        <v>102</v>
      </c>
      <c r="P332" s="152">
        <v>1268</v>
      </c>
      <c r="Q332" s="158">
        <v>3.71</v>
      </c>
      <c r="R332" s="175">
        <v>4467</v>
      </c>
      <c r="T332" s="151">
        <v>210.14</v>
      </c>
      <c r="U332" s="164">
        <v>2.0999999999999999E-5</v>
      </c>
      <c r="V332" s="164">
        <v>1.01414685302363E-2</v>
      </c>
      <c r="W332" s="164">
        <v>2.7775286243379E-3</v>
      </c>
    </row>
    <row r="333" spans="1:23">
      <c r="A333" s="2">
        <v>969</v>
      </c>
      <c r="B333" s="2">
        <v>969</v>
      </c>
      <c r="C333" s="2" t="s">
        <v>1677</v>
      </c>
      <c r="D333" s="2" t="s">
        <v>1678</v>
      </c>
      <c r="E333" s="4" t="s">
        <v>350</v>
      </c>
      <c r="F333" s="2" t="s">
        <v>1679</v>
      </c>
      <c r="G333" s="2" t="s">
        <v>1680</v>
      </c>
      <c r="H333" s="2" t="s">
        <v>356</v>
      </c>
      <c r="I333" s="2" t="s">
        <v>1015</v>
      </c>
      <c r="J333" s="2" t="s">
        <v>97</v>
      </c>
      <c r="K333" s="2" t="s">
        <v>98</v>
      </c>
      <c r="L333" s="2" t="s">
        <v>379</v>
      </c>
      <c r="M333" s="2" t="s">
        <v>770</v>
      </c>
      <c r="N333" s="2" t="s">
        <v>155</v>
      </c>
      <c r="O333" s="2" t="s">
        <v>102</v>
      </c>
      <c r="P333" s="152">
        <v>528</v>
      </c>
      <c r="Q333" s="158">
        <v>3.71</v>
      </c>
      <c r="R333" s="175">
        <v>17916</v>
      </c>
      <c r="T333" s="151">
        <v>350.95299999999997</v>
      </c>
      <c r="U333" s="164">
        <v>3.0000000000000001E-6</v>
      </c>
      <c r="V333" s="164">
        <v>1.6937161070265799E-2</v>
      </c>
      <c r="W333" s="164">
        <v>4.6387216552935297E-3</v>
      </c>
    </row>
    <row r="334" spans="1:23">
      <c r="A334" s="2">
        <v>969</v>
      </c>
      <c r="B334" s="2">
        <v>969</v>
      </c>
      <c r="C334" s="2" t="s">
        <v>1538</v>
      </c>
      <c r="D334" s="2" t="s">
        <v>1539</v>
      </c>
      <c r="E334" s="4" t="s">
        <v>350</v>
      </c>
      <c r="F334" s="2" t="s">
        <v>1733</v>
      </c>
      <c r="G334" s="2" t="s">
        <v>1734</v>
      </c>
      <c r="H334" s="2" t="s">
        <v>356</v>
      </c>
      <c r="I334" s="2" t="s">
        <v>1015</v>
      </c>
      <c r="J334" s="2" t="s">
        <v>97</v>
      </c>
      <c r="K334" s="2" t="s">
        <v>98</v>
      </c>
      <c r="L334" s="2" t="s">
        <v>415</v>
      </c>
      <c r="M334" s="2" t="s">
        <v>770</v>
      </c>
      <c r="N334" s="2" t="s">
        <v>155</v>
      </c>
      <c r="O334" s="2" t="s">
        <v>102</v>
      </c>
      <c r="P334" s="152">
        <v>771</v>
      </c>
      <c r="Q334" s="158">
        <v>3.71</v>
      </c>
      <c r="R334" s="175">
        <v>112716</v>
      </c>
      <c r="T334" s="151">
        <v>3224.14</v>
      </c>
      <c r="U334" s="164">
        <v>1.5200000000000001E-4</v>
      </c>
      <c r="V334" s="164">
        <v>0.15559856512506401</v>
      </c>
      <c r="W334" s="164">
        <v>4.26150776144745E-2</v>
      </c>
    </row>
    <row r="335" spans="1:23">
      <c r="A335" s="2">
        <v>969</v>
      </c>
      <c r="B335" s="2">
        <v>969</v>
      </c>
      <c r="C335" s="2" t="s">
        <v>1593</v>
      </c>
      <c r="D335" s="2" t="s">
        <v>1594</v>
      </c>
      <c r="E335" s="4" t="s">
        <v>350</v>
      </c>
      <c r="F335" s="2" t="s">
        <v>1735</v>
      </c>
      <c r="G335" s="2" t="s">
        <v>1736</v>
      </c>
      <c r="H335" s="2" t="s">
        <v>356</v>
      </c>
      <c r="I335" s="2" t="s">
        <v>1015</v>
      </c>
      <c r="J335" s="2" t="s">
        <v>97</v>
      </c>
      <c r="K335" s="2" t="s">
        <v>98</v>
      </c>
      <c r="L335" s="2" t="s">
        <v>379</v>
      </c>
      <c r="M335" s="2" t="s">
        <v>770</v>
      </c>
      <c r="N335" s="2" t="s">
        <v>155</v>
      </c>
      <c r="O335" s="2" t="s">
        <v>102</v>
      </c>
      <c r="P335" s="152">
        <v>600</v>
      </c>
      <c r="Q335" s="158">
        <v>3.71</v>
      </c>
      <c r="R335" s="175">
        <v>22576</v>
      </c>
      <c r="T335" s="151">
        <v>502.54199999999997</v>
      </c>
      <c r="U335" s="164">
        <v>1.9999999999999999E-6</v>
      </c>
      <c r="V335" s="164">
        <v>2.42529118412644E-2</v>
      </c>
      <c r="W335" s="164">
        <v>6.6423473742304199E-3</v>
      </c>
    </row>
    <row r="336" spans="1:23">
      <c r="A336" s="2">
        <v>969</v>
      </c>
      <c r="B336" s="2">
        <v>969</v>
      </c>
      <c r="C336" s="2" t="s">
        <v>1593</v>
      </c>
      <c r="D336" s="2" t="s">
        <v>1594</v>
      </c>
      <c r="E336" s="4" t="s">
        <v>350</v>
      </c>
      <c r="F336" s="2" t="s">
        <v>1685</v>
      </c>
      <c r="G336" s="2" t="s">
        <v>1686</v>
      </c>
      <c r="H336" s="2" t="s">
        <v>356</v>
      </c>
      <c r="I336" s="2" t="s">
        <v>1017</v>
      </c>
      <c r="J336" s="2" t="s">
        <v>97</v>
      </c>
      <c r="K336" s="2" t="s">
        <v>98</v>
      </c>
      <c r="L336" s="2" t="s">
        <v>1528</v>
      </c>
      <c r="M336" s="2" t="s">
        <v>767</v>
      </c>
      <c r="N336" s="2" t="s">
        <v>155</v>
      </c>
      <c r="O336" s="2" t="s">
        <v>102</v>
      </c>
      <c r="P336" s="152">
        <v>14000</v>
      </c>
      <c r="Q336" s="158">
        <v>3.71</v>
      </c>
      <c r="R336" s="175">
        <v>1075.2</v>
      </c>
      <c r="T336" s="151">
        <v>558.45899999999995</v>
      </c>
      <c r="U336" s="164">
        <v>0</v>
      </c>
      <c r="V336" s="164">
        <v>2.6951499480583001E-2</v>
      </c>
      <c r="W336" s="164">
        <v>7.3814320926954601E-3</v>
      </c>
    </row>
    <row r="337" spans="1:23">
      <c r="A337" s="2">
        <v>969</v>
      </c>
      <c r="B337" s="2">
        <v>969</v>
      </c>
      <c r="C337" s="2" t="s">
        <v>1687</v>
      </c>
      <c r="D337" s="2" t="s">
        <v>1688</v>
      </c>
      <c r="E337" s="4" t="s">
        <v>350</v>
      </c>
      <c r="F337" s="2" t="s">
        <v>1689</v>
      </c>
      <c r="G337" s="2" t="s">
        <v>1690</v>
      </c>
      <c r="H337" s="2" t="s">
        <v>356</v>
      </c>
      <c r="I337" s="2" t="s">
        <v>1015</v>
      </c>
      <c r="J337" s="2" t="s">
        <v>97</v>
      </c>
      <c r="K337" s="2" t="s">
        <v>98</v>
      </c>
      <c r="L337" s="2" t="s">
        <v>1691</v>
      </c>
      <c r="M337" s="2" t="s">
        <v>770</v>
      </c>
      <c r="N337" s="2" t="s">
        <v>155</v>
      </c>
      <c r="O337" s="2" t="s">
        <v>102</v>
      </c>
      <c r="P337" s="152">
        <v>1107</v>
      </c>
      <c r="Q337" s="158">
        <v>3.71</v>
      </c>
      <c r="R337" s="175">
        <v>3453</v>
      </c>
      <c r="T337" s="151">
        <v>141.81399999999999</v>
      </c>
      <c r="U337" s="164">
        <v>0</v>
      </c>
      <c r="V337" s="164">
        <v>6.8439974736290501E-3</v>
      </c>
      <c r="W337" s="164">
        <v>1.8744227062604799E-3</v>
      </c>
    </row>
    <row r="338" spans="1:23">
      <c r="A338" s="2">
        <v>969</v>
      </c>
      <c r="B338" s="2">
        <v>969</v>
      </c>
      <c r="C338" s="2" t="s">
        <v>1692</v>
      </c>
      <c r="D338" s="2" t="s">
        <v>1693</v>
      </c>
      <c r="E338" s="4" t="s">
        <v>350</v>
      </c>
      <c r="F338" s="2" t="s">
        <v>1694</v>
      </c>
      <c r="G338" s="2" t="s">
        <v>1695</v>
      </c>
      <c r="H338" s="2" t="s">
        <v>356</v>
      </c>
      <c r="I338" s="2" t="s">
        <v>1015</v>
      </c>
      <c r="J338" s="2" t="s">
        <v>97</v>
      </c>
      <c r="K338" s="2" t="s">
        <v>271</v>
      </c>
      <c r="L338" s="2" t="s">
        <v>1691</v>
      </c>
      <c r="M338" s="2" t="s">
        <v>770</v>
      </c>
      <c r="N338" s="2" t="s">
        <v>155</v>
      </c>
      <c r="O338" s="2" t="s">
        <v>1211</v>
      </c>
      <c r="P338" s="152">
        <v>974</v>
      </c>
      <c r="Q338" s="158">
        <v>4.9748000000000001</v>
      </c>
      <c r="R338" s="175">
        <v>3242.5</v>
      </c>
      <c r="T338" s="151">
        <v>157.114</v>
      </c>
      <c r="U338" s="164">
        <v>1.9000000000000001E-5</v>
      </c>
      <c r="V338" s="164">
        <v>7.5823931498710502E-3</v>
      </c>
      <c r="W338" s="164">
        <v>2.07665329256411E-3</v>
      </c>
    </row>
    <row r="339" spans="1:23">
      <c r="A339" s="2">
        <v>969</v>
      </c>
      <c r="B339" s="2">
        <v>969</v>
      </c>
      <c r="C339" s="2" t="s">
        <v>1698</v>
      </c>
      <c r="D339" s="2" t="s">
        <v>1699</v>
      </c>
      <c r="E339" s="4" t="s">
        <v>350</v>
      </c>
      <c r="F339" s="2" t="s">
        <v>1700</v>
      </c>
      <c r="G339" s="2" t="s">
        <v>1701</v>
      </c>
      <c r="H339" s="2" t="s">
        <v>356</v>
      </c>
      <c r="I339" s="2" t="s">
        <v>1015</v>
      </c>
      <c r="J339" s="2" t="s">
        <v>97</v>
      </c>
      <c r="K339" s="2" t="s">
        <v>282</v>
      </c>
      <c r="L339" s="2" t="s">
        <v>379</v>
      </c>
      <c r="M339" s="2" t="s">
        <v>770</v>
      </c>
      <c r="N339" s="2" t="s">
        <v>155</v>
      </c>
      <c r="O339" s="2" t="s">
        <v>102</v>
      </c>
      <c r="P339" s="152">
        <v>7231</v>
      </c>
      <c r="Q339" s="158">
        <v>3.71</v>
      </c>
      <c r="R339" s="175">
        <v>5046</v>
      </c>
      <c r="T339" s="151">
        <v>1353.691</v>
      </c>
      <c r="U339" s="164">
        <v>3.2899999999999997E-4</v>
      </c>
      <c r="V339" s="164">
        <v>6.5329788025264707E-2</v>
      </c>
      <c r="W339" s="164">
        <v>1.7892414271276399E-2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W1048574"/>
  <sheetViews>
    <sheetView rightToLeft="1" zoomScale="70" zoomScaleNormal="70" workbookViewId="0"/>
  </sheetViews>
  <sheetFormatPr defaultColWidth="9" defaultRowHeight="14.25"/>
  <cols>
    <col min="1" max="12" width="11.625" style="4" customWidth="1"/>
    <col min="13" max="13" width="11.625" style="2" customWidth="1"/>
    <col min="14" max="24" width="11.625" style="4" customWidth="1"/>
    <col min="25" max="25" width="9" style="4" customWidth="1"/>
    <col min="26" max="16384" width="9" style="4"/>
  </cols>
  <sheetData>
    <row r="1" spans="1:23" ht="66.75" customHeight="1">
      <c r="A1" s="19" t="s">
        <v>0</v>
      </c>
      <c r="B1" s="19" t="s">
        <v>1</v>
      </c>
      <c r="C1" s="19" t="s">
        <v>2</v>
      </c>
      <c r="D1" s="19" t="s">
        <v>173</v>
      </c>
      <c r="E1" s="19" t="s">
        <v>174</v>
      </c>
      <c r="F1" s="19" t="s">
        <v>1144</v>
      </c>
      <c r="G1" s="19" t="s">
        <v>4</v>
      </c>
      <c r="H1" s="19" t="s">
        <v>175</v>
      </c>
      <c r="I1" s="19" t="s">
        <v>5</v>
      </c>
      <c r="J1" s="19" t="s">
        <v>6</v>
      </c>
      <c r="K1" s="19" t="s">
        <v>7</v>
      </c>
      <c r="L1" s="19" t="s">
        <v>361</v>
      </c>
      <c r="M1" s="19" t="s">
        <v>8</v>
      </c>
      <c r="N1" s="19" t="s">
        <v>604</v>
      </c>
      <c r="O1" s="19" t="s">
        <v>141</v>
      </c>
      <c r="P1" s="19" t="s">
        <v>11</v>
      </c>
      <c r="Q1" s="19" t="s">
        <v>17</v>
      </c>
      <c r="R1" s="157" t="s">
        <v>18</v>
      </c>
      <c r="S1" s="168" t="s">
        <v>19</v>
      </c>
      <c r="T1" s="19" t="s">
        <v>20</v>
      </c>
      <c r="U1" s="163" t="s">
        <v>23</v>
      </c>
      <c r="V1" s="163" t="s">
        <v>24</v>
      </c>
      <c r="W1" s="163" t="s">
        <v>25</v>
      </c>
    </row>
    <row r="2" spans="1:23">
      <c r="A2" s="18">
        <v>1182</v>
      </c>
      <c r="B2" s="18">
        <v>1182</v>
      </c>
      <c r="C2" s="18" t="s">
        <v>1524</v>
      </c>
      <c r="D2" s="18" t="s">
        <v>1525</v>
      </c>
      <c r="E2" s="18" t="s">
        <v>350</v>
      </c>
      <c r="F2" s="18" t="s">
        <v>1526</v>
      </c>
      <c r="G2" s="18" t="s">
        <v>1527</v>
      </c>
      <c r="H2" s="18" t="s">
        <v>356</v>
      </c>
      <c r="I2" s="18" t="s">
        <v>1020</v>
      </c>
      <c r="J2" s="18" t="s">
        <v>97</v>
      </c>
      <c r="K2" s="18" t="s">
        <v>329</v>
      </c>
      <c r="L2" s="4" t="s">
        <v>362</v>
      </c>
      <c r="M2" s="18" t="s">
        <v>1528</v>
      </c>
      <c r="N2" s="20" t="s">
        <v>767</v>
      </c>
      <c r="O2" s="20" t="s">
        <v>155</v>
      </c>
      <c r="P2" s="18" t="s">
        <v>102</v>
      </c>
      <c r="Q2" s="154">
        <v>387.13</v>
      </c>
      <c r="R2" s="176">
        <v>3.71</v>
      </c>
      <c r="S2" s="177">
        <v>135345.4</v>
      </c>
      <c r="T2" s="154">
        <v>1943.9010000000001</v>
      </c>
      <c r="U2" s="178">
        <v>5.4799999999999998E-4</v>
      </c>
      <c r="V2" s="178">
        <v>9.2788847757484499E-2</v>
      </c>
      <c r="W2" s="178">
        <v>4.7189900941675602E-3</v>
      </c>
    </row>
    <row r="3" spans="1:23">
      <c r="A3" s="18">
        <v>1182</v>
      </c>
      <c r="B3" s="18">
        <v>1182</v>
      </c>
      <c r="C3" s="18" t="s">
        <v>1529</v>
      </c>
      <c r="D3" s="18" t="s">
        <v>1530</v>
      </c>
      <c r="E3" s="18" t="s">
        <v>350</v>
      </c>
      <c r="F3" s="18" t="s">
        <v>1531</v>
      </c>
      <c r="G3" s="18" t="s">
        <v>1532</v>
      </c>
      <c r="H3" s="18" t="s">
        <v>356</v>
      </c>
      <c r="I3" s="18" t="s">
        <v>965</v>
      </c>
      <c r="J3" s="18" t="s">
        <v>97</v>
      </c>
      <c r="K3" s="18" t="s">
        <v>331</v>
      </c>
      <c r="L3" s="4" t="s">
        <v>362</v>
      </c>
      <c r="M3" s="18" t="s">
        <v>1533</v>
      </c>
      <c r="N3" s="20" t="s">
        <v>770</v>
      </c>
      <c r="O3" s="20" t="s">
        <v>155</v>
      </c>
      <c r="P3" s="18" t="s">
        <v>1209</v>
      </c>
      <c r="Q3" s="154">
        <v>5997.08</v>
      </c>
      <c r="R3" s="176">
        <v>4.1524000000000001</v>
      </c>
      <c r="S3" s="177">
        <v>4933</v>
      </c>
      <c r="T3" s="154">
        <v>1228.4290000000001</v>
      </c>
      <c r="U3" s="178">
        <v>2.2000000000000001E-4</v>
      </c>
      <c r="V3" s="178">
        <v>5.8636992171288503E-2</v>
      </c>
      <c r="W3" s="178">
        <v>2.98211899269728E-3</v>
      </c>
    </row>
    <row r="4" spans="1:23">
      <c r="A4" s="18">
        <v>1182</v>
      </c>
      <c r="B4" s="18">
        <v>1182</v>
      </c>
      <c r="C4" s="18" t="s">
        <v>1534</v>
      </c>
      <c r="D4" s="18" t="s">
        <v>1535</v>
      </c>
      <c r="E4" s="18" t="s">
        <v>350</v>
      </c>
      <c r="F4" s="18" t="s">
        <v>1536</v>
      </c>
      <c r="G4" s="18" t="s">
        <v>1537</v>
      </c>
      <c r="H4" s="18" t="s">
        <v>356</v>
      </c>
      <c r="I4" s="18" t="s">
        <v>1020</v>
      </c>
      <c r="J4" s="18" t="s">
        <v>97</v>
      </c>
      <c r="K4" s="18" t="s">
        <v>291</v>
      </c>
      <c r="L4" s="4" t="s">
        <v>362</v>
      </c>
      <c r="M4" s="18" t="s">
        <v>194</v>
      </c>
      <c r="N4" s="20" t="s">
        <v>767</v>
      </c>
      <c r="O4" s="20" t="s">
        <v>155</v>
      </c>
      <c r="P4" s="18" t="s">
        <v>102</v>
      </c>
      <c r="Q4" s="154">
        <v>6970.12</v>
      </c>
      <c r="R4" s="176">
        <v>3.71</v>
      </c>
      <c r="S4" s="177">
        <v>3514</v>
      </c>
      <c r="T4" s="154">
        <v>908.69</v>
      </c>
      <c r="U4" s="178">
        <v>1.6100000000000001E-4</v>
      </c>
      <c r="V4" s="178">
        <v>4.3374798126069099E-2</v>
      </c>
      <c r="W4" s="178">
        <v>2.20592503991869E-3</v>
      </c>
    </row>
    <row r="5" spans="1:23">
      <c r="A5" s="18">
        <v>1182</v>
      </c>
      <c r="B5" s="18">
        <v>1182</v>
      </c>
      <c r="C5" s="18" t="s">
        <v>1538</v>
      </c>
      <c r="D5" s="18" t="s">
        <v>1539</v>
      </c>
      <c r="E5" s="18" t="s">
        <v>350</v>
      </c>
      <c r="F5" s="18" t="s">
        <v>1540</v>
      </c>
      <c r="G5" s="18" t="s">
        <v>1541</v>
      </c>
      <c r="H5" s="18" t="s">
        <v>356</v>
      </c>
      <c r="I5" s="18" t="s">
        <v>1020</v>
      </c>
      <c r="J5" s="18" t="s">
        <v>97</v>
      </c>
      <c r="K5" s="18" t="s">
        <v>334</v>
      </c>
      <c r="L5" s="4" t="s">
        <v>362</v>
      </c>
      <c r="M5" s="18" t="s">
        <v>1533</v>
      </c>
      <c r="N5" s="20" t="s">
        <v>767</v>
      </c>
      <c r="O5" s="20" t="s">
        <v>155</v>
      </c>
      <c r="P5" s="18" t="s">
        <v>102</v>
      </c>
      <c r="Q5" s="154">
        <v>2848.35</v>
      </c>
      <c r="R5" s="176">
        <v>3.71</v>
      </c>
      <c r="S5" s="177">
        <v>18313</v>
      </c>
      <c r="T5" s="154">
        <v>1935.204</v>
      </c>
      <c r="U5" s="178">
        <v>3.1300000000000002E-4</v>
      </c>
      <c r="V5" s="178">
        <v>9.2373692276530694E-2</v>
      </c>
      <c r="W5" s="178">
        <v>4.6978764080995898E-3</v>
      </c>
    </row>
    <row r="6" spans="1:23">
      <c r="A6" s="18">
        <v>1182</v>
      </c>
      <c r="B6" s="18">
        <v>1182</v>
      </c>
      <c r="C6" s="18" t="s">
        <v>1542</v>
      </c>
      <c r="D6" s="18" t="s">
        <v>1543</v>
      </c>
      <c r="E6" s="18" t="s">
        <v>350</v>
      </c>
      <c r="F6" s="18" t="s">
        <v>1544</v>
      </c>
      <c r="G6" s="18" t="s">
        <v>1545</v>
      </c>
      <c r="H6" s="18" t="s">
        <v>356</v>
      </c>
      <c r="I6" s="18" t="s">
        <v>965</v>
      </c>
      <c r="J6" s="18" t="s">
        <v>97</v>
      </c>
      <c r="K6" s="18" t="s">
        <v>334</v>
      </c>
      <c r="L6" s="4" t="s">
        <v>362</v>
      </c>
      <c r="M6" s="18" t="s">
        <v>1533</v>
      </c>
      <c r="N6" s="20" t="s">
        <v>770</v>
      </c>
      <c r="O6" s="20" t="s">
        <v>155</v>
      </c>
      <c r="P6" s="18" t="s">
        <v>102</v>
      </c>
      <c r="Q6" s="154">
        <v>50522.63</v>
      </c>
      <c r="R6" s="176">
        <v>3.71</v>
      </c>
      <c r="S6" s="177">
        <v>1079.7</v>
      </c>
      <c r="T6" s="154">
        <v>2023.778</v>
      </c>
      <c r="U6" s="178">
        <v>3.999E-3</v>
      </c>
      <c r="V6" s="178">
        <v>9.6601641377457206E-2</v>
      </c>
      <c r="W6" s="178">
        <v>4.9128984760323999E-3</v>
      </c>
    </row>
    <row r="7" spans="1:23">
      <c r="A7" s="18">
        <v>1182</v>
      </c>
      <c r="B7" s="18">
        <v>1182</v>
      </c>
      <c r="C7" s="18" t="s">
        <v>1546</v>
      </c>
      <c r="D7" s="18" t="s">
        <v>1547</v>
      </c>
      <c r="E7" s="18" t="s">
        <v>350</v>
      </c>
      <c r="F7" s="18" t="s">
        <v>1548</v>
      </c>
      <c r="G7" s="18" t="s">
        <v>1549</v>
      </c>
      <c r="H7" s="18" t="s">
        <v>356</v>
      </c>
      <c r="I7" s="18" t="s">
        <v>965</v>
      </c>
      <c r="J7" s="18" t="s">
        <v>97</v>
      </c>
      <c r="K7" s="18" t="s">
        <v>291</v>
      </c>
      <c r="L7" s="4" t="s">
        <v>362</v>
      </c>
      <c r="M7" s="18" t="s">
        <v>194</v>
      </c>
      <c r="N7" s="20" t="s">
        <v>770</v>
      </c>
      <c r="O7" s="20" t="s">
        <v>155</v>
      </c>
      <c r="P7" s="18" t="s">
        <v>102</v>
      </c>
      <c r="Q7" s="154">
        <v>28772.31</v>
      </c>
      <c r="R7" s="176">
        <v>3.71</v>
      </c>
      <c r="S7" s="177">
        <v>1608.31</v>
      </c>
      <c r="T7" s="154">
        <v>1716.7950000000001</v>
      </c>
      <c r="U7" s="178">
        <v>0</v>
      </c>
      <c r="V7" s="178">
        <v>8.1948299754854403E-2</v>
      </c>
      <c r="W7" s="178">
        <v>4.1676691124320998E-3</v>
      </c>
    </row>
    <row r="8" spans="1:23">
      <c r="A8" s="18">
        <v>1182</v>
      </c>
      <c r="B8" s="18">
        <v>1182</v>
      </c>
      <c r="C8" s="18" t="s">
        <v>1550</v>
      </c>
      <c r="D8" s="18" t="s">
        <v>1551</v>
      </c>
      <c r="E8" s="18" t="s">
        <v>350</v>
      </c>
      <c r="F8" s="18" t="s">
        <v>1552</v>
      </c>
      <c r="G8" s="18" t="s">
        <v>1553</v>
      </c>
      <c r="H8" s="18" t="s">
        <v>356</v>
      </c>
      <c r="I8" s="18" t="s">
        <v>1020</v>
      </c>
      <c r="J8" s="18" t="s">
        <v>97</v>
      </c>
      <c r="K8" s="18" t="s">
        <v>327</v>
      </c>
      <c r="L8" s="4" t="s">
        <v>362</v>
      </c>
      <c r="M8" s="18" t="s">
        <v>194</v>
      </c>
      <c r="N8" s="20" t="s">
        <v>767</v>
      </c>
      <c r="O8" s="20" t="s">
        <v>155</v>
      </c>
      <c r="P8" s="18" t="s">
        <v>102</v>
      </c>
      <c r="Q8" s="154">
        <v>29128.48</v>
      </c>
      <c r="R8" s="176">
        <v>3.71</v>
      </c>
      <c r="S8" s="177">
        <v>1120.5</v>
      </c>
      <c r="T8" s="154">
        <v>1210.8869999999999</v>
      </c>
      <c r="U8" s="178">
        <v>0</v>
      </c>
      <c r="V8" s="178">
        <v>5.7799640564733398E-2</v>
      </c>
      <c r="W8" s="178">
        <v>2.9395335523974301E-3</v>
      </c>
    </row>
    <row r="9" spans="1:23">
      <c r="A9" s="18">
        <v>1182</v>
      </c>
      <c r="B9" s="18">
        <v>1182</v>
      </c>
      <c r="C9" s="18" t="s">
        <v>1554</v>
      </c>
      <c r="D9" s="18" t="s">
        <v>1555</v>
      </c>
      <c r="E9" s="18" t="s">
        <v>350</v>
      </c>
      <c r="F9" s="18" t="s">
        <v>1554</v>
      </c>
      <c r="G9" s="18" t="s">
        <v>1556</v>
      </c>
      <c r="H9" s="18" t="s">
        <v>356</v>
      </c>
      <c r="I9" s="18" t="s">
        <v>965</v>
      </c>
      <c r="J9" s="18" t="s">
        <v>97</v>
      </c>
      <c r="K9" s="18" t="s">
        <v>98</v>
      </c>
      <c r="L9" s="4" t="s">
        <v>362</v>
      </c>
      <c r="M9" s="18" t="s">
        <v>1528</v>
      </c>
      <c r="N9" s="20" t="s">
        <v>770</v>
      </c>
      <c r="O9" s="20" t="s">
        <v>155</v>
      </c>
      <c r="P9" s="18" t="s">
        <v>102</v>
      </c>
      <c r="Q9" s="154">
        <v>4000</v>
      </c>
      <c r="R9" s="176">
        <v>3.71</v>
      </c>
      <c r="S9" s="177">
        <v>11816</v>
      </c>
      <c r="T9" s="154">
        <v>1753.4939999999999</v>
      </c>
      <c r="U9" s="178">
        <v>0</v>
      </c>
      <c r="V9" s="178">
        <v>8.3700090557072601E-2</v>
      </c>
      <c r="W9" s="178">
        <v>4.2567604595337098E-3</v>
      </c>
    </row>
    <row r="10" spans="1:23">
      <c r="A10" s="18">
        <v>1182</v>
      </c>
      <c r="B10" s="18">
        <v>1182</v>
      </c>
      <c r="C10" s="18" t="s">
        <v>1557</v>
      </c>
      <c r="D10" s="18" t="s">
        <v>1558</v>
      </c>
      <c r="E10" s="18" t="s">
        <v>350</v>
      </c>
      <c r="F10" s="18" t="s">
        <v>1559</v>
      </c>
      <c r="G10" s="18" t="s">
        <v>1560</v>
      </c>
      <c r="H10" s="18" t="s">
        <v>356</v>
      </c>
      <c r="I10" s="18" t="s">
        <v>1020</v>
      </c>
      <c r="J10" s="18" t="s">
        <v>97</v>
      </c>
      <c r="K10" s="18" t="s">
        <v>334</v>
      </c>
      <c r="L10" s="4" t="s">
        <v>362</v>
      </c>
      <c r="M10" s="18" t="s">
        <v>194</v>
      </c>
      <c r="N10" s="20" t="s">
        <v>767</v>
      </c>
      <c r="O10" s="20" t="s">
        <v>155</v>
      </c>
      <c r="P10" s="18" t="s">
        <v>102</v>
      </c>
      <c r="Q10" s="154">
        <v>59547.05</v>
      </c>
      <c r="R10" s="176">
        <v>3.71</v>
      </c>
      <c r="S10" s="177">
        <v>1272.55</v>
      </c>
      <c r="T10" s="154">
        <v>2811.3119999999999</v>
      </c>
      <c r="U10" s="178">
        <v>0</v>
      </c>
      <c r="V10" s="178">
        <v>0.13419321586564101</v>
      </c>
      <c r="W10" s="178">
        <v>6.8247043872076999E-3</v>
      </c>
    </row>
    <row r="11" spans="1:23">
      <c r="A11" s="18">
        <v>1182</v>
      </c>
      <c r="B11" s="18">
        <v>1182</v>
      </c>
      <c r="C11" s="18" t="s">
        <v>1561</v>
      </c>
      <c r="D11" s="18" t="s">
        <v>1562</v>
      </c>
      <c r="E11" s="18" t="s">
        <v>350</v>
      </c>
      <c r="F11" s="18" t="s">
        <v>1563</v>
      </c>
      <c r="G11" s="18" t="s">
        <v>1564</v>
      </c>
      <c r="H11" s="18" t="s">
        <v>356</v>
      </c>
      <c r="I11" s="18" t="s">
        <v>1020</v>
      </c>
      <c r="J11" s="18" t="s">
        <v>97</v>
      </c>
      <c r="K11" s="18" t="s">
        <v>259</v>
      </c>
      <c r="L11" s="4" t="s">
        <v>362</v>
      </c>
      <c r="M11" s="18" t="s">
        <v>1533</v>
      </c>
      <c r="N11" s="20" t="s">
        <v>767</v>
      </c>
      <c r="O11" s="20" t="s">
        <v>155</v>
      </c>
      <c r="P11" s="18" t="s">
        <v>102</v>
      </c>
      <c r="Q11" s="154">
        <v>85932.42</v>
      </c>
      <c r="R11" s="176">
        <v>3.71</v>
      </c>
      <c r="S11" s="177">
        <v>1192.75</v>
      </c>
      <c r="T11" s="154">
        <v>3802.598</v>
      </c>
      <c r="U11" s="178">
        <v>3.48E-3</v>
      </c>
      <c r="V11" s="178">
        <v>0.18151057053490199</v>
      </c>
      <c r="W11" s="178">
        <v>9.2311372006644507E-3</v>
      </c>
    </row>
    <row r="12" spans="1:23">
      <c r="A12" s="18">
        <v>1182</v>
      </c>
      <c r="B12" s="18">
        <v>1182</v>
      </c>
      <c r="C12" s="18" t="s">
        <v>1565</v>
      </c>
      <c r="D12" s="18" t="s">
        <v>1566</v>
      </c>
      <c r="E12" s="18" t="s">
        <v>350</v>
      </c>
      <c r="F12" s="18" t="s">
        <v>1567</v>
      </c>
      <c r="G12" s="18" t="s">
        <v>1568</v>
      </c>
      <c r="H12" s="18" t="s">
        <v>356</v>
      </c>
      <c r="I12" s="18" t="s">
        <v>1020</v>
      </c>
      <c r="J12" s="18" t="s">
        <v>97</v>
      </c>
      <c r="K12" s="18" t="s">
        <v>291</v>
      </c>
      <c r="L12" s="4" t="s">
        <v>362</v>
      </c>
      <c r="M12" s="18" t="s">
        <v>194</v>
      </c>
      <c r="N12" s="20" t="s">
        <v>767</v>
      </c>
      <c r="O12" s="20" t="s">
        <v>155</v>
      </c>
      <c r="P12" s="18" t="s">
        <v>102</v>
      </c>
      <c r="Q12" s="154">
        <v>1798.18</v>
      </c>
      <c r="R12" s="176">
        <v>3.71</v>
      </c>
      <c r="S12" s="177">
        <v>24203</v>
      </c>
      <c r="T12" s="154">
        <v>1614.6420000000001</v>
      </c>
      <c r="U12" s="178">
        <v>9.6199999999999996E-4</v>
      </c>
      <c r="V12" s="178">
        <v>7.7072211013966205E-2</v>
      </c>
      <c r="W12" s="178">
        <v>3.9196844135955099E-3</v>
      </c>
    </row>
    <row r="13" spans="1:23">
      <c r="A13" s="18">
        <v>1182</v>
      </c>
      <c r="B13" s="18">
        <v>14769</v>
      </c>
      <c r="C13" s="18" t="s">
        <v>1524</v>
      </c>
      <c r="D13" s="18" t="s">
        <v>1525</v>
      </c>
      <c r="E13" s="18" t="s">
        <v>350</v>
      </c>
      <c r="F13" s="18" t="s">
        <v>1526</v>
      </c>
      <c r="G13" s="18" t="s">
        <v>1527</v>
      </c>
      <c r="H13" s="18" t="s">
        <v>356</v>
      </c>
      <c r="I13" s="18" t="s">
        <v>1020</v>
      </c>
      <c r="J13" s="18" t="s">
        <v>97</v>
      </c>
      <c r="K13" s="18" t="s">
        <v>329</v>
      </c>
      <c r="L13" s="4" t="s">
        <v>362</v>
      </c>
      <c r="M13" s="18" t="s">
        <v>1528</v>
      </c>
      <c r="N13" s="20" t="s">
        <v>767</v>
      </c>
      <c r="O13" s="20" t="s">
        <v>155</v>
      </c>
      <c r="P13" s="18" t="s">
        <v>102</v>
      </c>
      <c r="Q13" s="154">
        <v>2.3199999999999998</v>
      </c>
      <c r="R13" s="176">
        <v>3.71</v>
      </c>
      <c r="S13" s="177">
        <v>135345.4</v>
      </c>
      <c r="T13" s="154">
        <v>11.648999999999999</v>
      </c>
      <c r="U13" s="178">
        <v>3.0000000000000001E-6</v>
      </c>
      <c r="V13" s="178">
        <v>5.4296363900587299E-2</v>
      </c>
      <c r="W13" s="178">
        <v>6.7868955057451405E-4</v>
      </c>
    </row>
    <row r="14" spans="1:23">
      <c r="A14" s="18">
        <v>1182</v>
      </c>
      <c r="B14" s="18">
        <v>14769</v>
      </c>
      <c r="C14" s="18" t="s">
        <v>1538</v>
      </c>
      <c r="D14" s="18" t="s">
        <v>1539</v>
      </c>
      <c r="E14" s="18" t="s">
        <v>350</v>
      </c>
      <c r="F14" s="18" t="s">
        <v>1540</v>
      </c>
      <c r="G14" s="18" t="s">
        <v>1541</v>
      </c>
      <c r="H14" s="18" t="s">
        <v>356</v>
      </c>
      <c r="I14" s="18" t="s">
        <v>1020</v>
      </c>
      <c r="J14" s="18" t="s">
        <v>97</v>
      </c>
      <c r="K14" s="18" t="s">
        <v>334</v>
      </c>
      <c r="L14" s="4" t="s">
        <v>362</v>
      </c>
      <c r="M14" s="18" t="s">
        <v>1533</v>
      </c>
      <c r="N14" s="20" t="s">
        <v>767</v>
      </c>
      <c r="O14" s="20" t="s">
        <v>155</v>
      </c>
      <c r="P14" s="18" t="s">
        <v>102</v>
      </c>
      <c r="Q14" s="154">
        <v>17.09</v>
      </c>
      <c r="R14" s="176">
        <v>3.71</v>
      </c>
      <c r="S14" s="177">
        <v>18313</v>
      </c>
      <c r="T14" s="154">
        <v>11.611000000000001</v>
      </c>
      <c r="U14" s="178">
        <v>1.9999999999999999E-6</v>
      </c>
      <c r="V14" s="178">
        <v>5.4117885590550002E-2</v>
      </c>
      <c r="W14" s="178">
        <v>6.76458620999777E-4</v>
      </c>
    </row>
    <row r="15" spans="1:23">
      <c r="A15" s="18">
        <v>1182</v>
      </c>
      <c r="B15" s="18">
        <v>14769</v>
      </c>
      <c r="C15" s="18" t="s">
        <v>1542</v>
      </c>
      <c r="D15" s="18" t="s">
        <v>1543</v>
      </c>
      <c r="E15" s="18" t="s">
        <v>350</v>
      </c>
      <c r="F15" s="18" t="s">
        <v>1544</v>
      </c>
      <c r="G15" s="18" t="s">
        <v>1545</v>
      </c>
      <c r="H15" s="18" t="s">
        <v>356</v>
      </c>
      <c r="I15" s="18" t="s">
        <v>965</v>
      </c>
      <c r="J15" s="18" t="s">
        <v>97</v>
      </c>
      <c r="K15" s="18" t="s">
        <v>334</v>
      </c>
      <c r="L15" s="4" t="s">
        <v>362</v>
      </c>
      <c r="M15" s="18" t="s">
        <v>1533</v>
      </c>
      <c r="N15" s="20" t="s">
        <v>770</v>
      </c>
      <c r="O15" s="20" t="s">
        <v>155</v>
      </c>
      <c r="P15" s="18" t="s">
        <v>102</v>
      </c>
      <c r="Q15" s="154">
        <v>2605.02</v>
      </c>
      <c r="R15" s="176">
        <v>3.71</v>
      </c>
      <c r="S15" s="177">
        <v>1079.7</v>
      </c>
      <c r="T15" s="154">
        <v>104.349</v>
      </c>
      <c r="U15" s="178">
        <v>2.0599999999999999E-4</v>
      </c>
      <c r="V15" s="178">
        <v>0.48635504517740802</v>
      </c>
      <c r="W15" s="178">
        <v>6.0793037197750897E-3</v>
      </c>
    </row>
    <row r="16" spans="1:23">
      <c r="A16" s="18">
        <v>1182</v>
      </c>
      <c r="B16" s="18">
        <v>14769</v>
      </c>
      <c r="C16" s="18" t="s">
        <v>1546</v>
      </c>
      <c r="D16" s="18" t="s">
        <v>1547</v>
      </c>
      <c r="E16" s="18" t="s">
        <v>350</v>
      </c>
      <c r="F16" s="18" t="s">
        <v>1548</v>
      </c>
      <c r="G16" s="18" t="s">
        <v>1549</v>
      </c>
      <c r="H16" s="18" t="s">
        <v>356</v>
      </c>
      <c r="I16" s="18" t="s">
        <v>965</v>
      </c>
      <c r="J16" s="18" t="s">
        <v>97</v>
      </c>
      <c r="K16" s="18" t="s">
        <v>291</v>
      </c>
      <c r="L16" s="4" t="s">
        <v>362</v>
      </c>
      <c r="M16" s="18" t="s">
        <v>194</v>
      </c>
      <c r="N16" s="20" t="s">
        <v>770</v>
      </c>
      <c r="O16" s="20" t="s">
        <v>155</v>
      </c>
      <c r="P16" s="18" t="s">
        <v>102</v>
      </c>
      <c r="Q16" s="154">
        <v>801.55</v>
      </c>
      <c r="R16" s="176">
        <v>3.71</v>
      </c>
      <c r="S16" s="177">
        <v>1608.31</v>
      </c>
      <c r="T16" s="154">
        <v>47.826999999999998</v>
      </c>
      <c r="U16" s="178">
        <v>0</v>
      </c>
      <c r="V16" s="178">
        <v>0.22291517941208</v>
      </c>
      <c r="W16" s="178">
        <v>2.7863781672088301E-3</v>
      </c>
    </row>
    <row r="17" spans="1:23">
      <c r="A17" s="18">
        <v>1182</v>
      </c>
      <c r="B17" s="18">
        <v>14769</v>
      </c>
      <c r="C17" s="18" t="s">
        <v>1550</v>
      </c>
      <c r="D17" s="18" t="s">
        <v>1551</v>
      </c>
      <c r="E17" s="18" t="s">
        <v>350</v>
      </c>
      <c r="F17" s="18" t="s">
        <v>1552</v>
      </c>
      <c r="G17" s="18" t="s">
        <v>1553</v>
      </c>
      <c r="H17" s="18" t="s">
        <v>356</v>
      </c>
      <c r="I17" s="18" t="s">
        <v>1020</v>
      </c>
      <c r="J17" s="18" t="s">
        <v>97</v>
      </c>
      <c r="K17" s="18" t="s">
        <v>327</v>
      </c>
      <c r="L17" s="4" t="s">
        <v>362</v>
      </c>
      <c r="M17" s="18" t="s">
        <v>194</v>
      </c>
      <c r="N17" s="20" t="s">
        <v>767</v>
      </c>
      <c r="O17" s="20" t="s">
        <v>155</v>
      </c>
      <c r="P17" s="18" t="s">
        <v>102</v>
      </c>
      <c r="Q17" s="154">
        <v>339.83</v>
      </c>
      <c r="R17" s="176">
        <v>3.71</v>
      </c>
      <c r="S17" s="177">
        <v>1120.5</v>
      </c>
      <c r="T17" s="154">
        <v>14.127000000000001</v>
      </c>
      <c r="U17" s="178">
        <v>0</v>
      </c>
      <c r="V17" s="178">
        <v>6.5843489401831795E-2</v>
      </c>
      <c r="W17" s="178">
        <v>8.2302542969923801E-4</v>
      </c>
    </row>
    <row r="18" spans="1:23">
      <c r="A18" s="18">
        <v>1182</v>
      </c>
      <c r="B18" s="18">
        <v>14769</v>
      </c>
      <c r="C18" s="18" t="s">
        <v>1565</v>
      </c>
      <c r="D18" s="18" t="s">
        <v>1566</v>
      </c>
      <c r="E18" s="18" t="s">
        <v>350</v>
      </c>
      <c r="F18" s="18" t="s">
        <v>1567</v>
      </c>
      <c r="G18" s="18" t="s">
        <v>1568</v>
      </c>
      <c r="H18" s="18" t="s">
        <v>356</v>
      </c>
      <c r="I18" s="18" t="s">
        <v>1020</v>
      </c>
      <c r="J18" s="18" t="s">
        <v>97</v>
      </c>
      <c r="K18" s="18" t="s">
        <v>291</v>
      </c>
      <c r="L18" s="4" t="s">
        <v>362</v>
      </c>
      <c r="M18" s="18" t="s">
        <v>194</v>
      </c>
      <c r="N18" s="20" t="s">
        <v>767</v>
      </c>
      <c r="O18" s="20" t="s">
        <v>155</v>
      </c>
      <c r="P18" s="18" t="s">
        <v>102</v>
      </c>
      <c r="Q18" s="154">
        <v>27.83</v>
      </c>
      <c r="R18" s="176">
        <v>3.71</v>
      </c>
      <c r="S18" s="177">
        <v>24203</v>
      </c>
      <c r="T18" s="154">
        <v>24.989000000000001</v>
      </c>
      <c r="U18" s="178">
        <v>1.5E-5</v>
      </c>
      <c r="V18" s="178">
        <v>0.116472036517543</v>
      </c>
      <c r="W18" s="178">
        <v>1.4558682836169499E-3</v>
      </c>
    </row>
    <row r="19" spans="1:23">
      <c r="A19" s="18">
        <v>12904</v>
      </c>
      <c r="B19" s="18">
        <v>12905</v>
      </c>
      <c r="C19" s="18" t="s">
        <v>1524</v>
      </c>
      <c r="D19" s="18" t="s">
        <v>1525</v>
      </c>
      <c r="E19" s="18" t="s">
        <v>350</v>
      </c>
      <c r="F19" s="18" t="s">
        <v>1526</v>
      </c>
      <c r="G19" s="18" t="s">
        <v>1527</v>
      </c>
      <c r="H19" s="18" t="s">
        <v>356</v>
      </c>
      <c r="I19" s="18" t="s">
        <v>1020</v>
      </c>
      <c r="J19" s="18" t="s">
        <v>97</v>
      </c>
      <c r="K19" s="18" t="s">
        <v>329</v>
      </c>
      <c r="L19" s="4" t="s">
        <v>362</v>
      </c>
      <c r="M19" s="18" t="s">
        <v>1528</v>
      </c>
      <c r="N19" s="20" t="s">
        <v>767</v>
      </c>
      <c r="O19" s="20" t="s">
        <v>155</v>
      </c>
      <c r="P19" s="18" t="s">
        <v>102</v>
      </c>
      <c r="Q19" s="154">
        <v>28.65</v>
      </c>
      <c r="R19" s="176">
        <v>3.71</v>
      </c>
      <c r="S19" s="177">
        <v>135345.4</v>
      </c>
      <c r="T19" s="154">
        <v>143.86099999999999</v>
      </c>
      <c r="U19" s="178">
        <v>4.1E-5</v>
      </c>
      <c r="V19" s="178">
        <v>0.112705842481417</v>
      </c>
      <c r="W19" s="178">
        <v>4.2506074498250999E-3</v>
      </c>
    </row>
    <row r="20" spans="1:23">
      <c r="A20" s="4">
        <v>12904</v>
      </c>
      <c r="B20" s="4">
        <v>12905</v>
      </c>
      <c r="C20" s="4" t="s">
        <v>1538</v>
      </c>
      <c r="D20" s="4" t="s">
        <v>1539</v>
      </c>
      <c r="E20" s="18" t="s">
        <v>350</v>
      </c>
      <c r="F20" s="4" t="s">
        <v>1569</v>
      </c>
      <c r="G20" s="4" t="s">
        <v>1570</v>
      </c>
      <c r="H20" s="18" t="s">
        <v>356</v>
      </c>
      <c r="I20" s="18" t="s">
        <v>1020</v>
      </c>
      <c r="J20" s="18" t="s">
        <v>97</v>
      </c>
      <c r="K20" s="18" t="s">
        <v>334</v>
      </c>
      <c r="L20" s="4" t="s">
        <v>362</v>
      </c>
      <c r="M20" s="18" t="s">
        <v>194</v>
      </c>
      <c r="N20" s="20" t="s">
        <v>767</v>
      </c>
      <c r="O20" s="20" t="s">
        <v>155</v>
      </c>
      <c r="P20" s="4" t="s">
        <v>102</v>
      </c>
      <c r="Q20" s="152">
        <v>2821.86</v>
      </c>
      <c r="R20" s="167">
        <v>3.71</v>
      </c>
      <c r="S20" s="169">
        <v>1313.15</v>
      </c>
      <c r="T20" s="152">
        <v>137.47499999999999</v>
      </c>
      <c r="U20" s="166">
        <v>0</v>
      </c>
      <c r="V20" s="166">
        <v>0.107703075506848</v>
      </c>
      <c r="W20" s="166">
        <v>4.0619322391735402E-3</v>
      </c>
    </row>
    <row r="21" spans="1:23">
      <c r="A21" s="4">
        <v>12904</v>
      </c>
      <c r="B21" s="4">
        <v>12905</v>
      </c>
      <c r="C21" s="4" t="s">
        <v>1538</v>
      </c>
      <c r="D21" s="4" t="s">
        <v>1539</v>
      </c>
      <c r="E21" s="4" t="s">
        <v>350</v>
      </c>
      <c r="F21" s="4" t="s">
        <v>1540</v>
      </c>
      <c r="G21" s="4" t="s">
        <v>1541</v>
      </c>
      <c r="H21" s="4" t="s">
        <v>356</v>
      </c>
      <c r="I21" s="4" t="s">
        <v>1020</v>
      </c>
      <c r="J21" s="4" t="s">
        <v>97</v>
      </c>
      <c r="K21" s="4" t="s">
        <v>334</v>
      </c>
      <c r="L21" s="4" t="s">
        <v>362</v>
      </c>
      <c r="M21" s="4" t="s">
        <v>1533</v>
      </c>
      <c r="N21" s="4" t="s">
        <v>767</v>
      </c>
      <c r="O21" s="4" t="s">
        <v>155</v>
      </c>
      <c r="P21" s="4" t="s">
        <v>102</v>
      </c>
      <c r="Q21" s="152">
        <v>210.78</v>
      </c>
      <c r="R21" s="167">
        <v>3.71</v>
      </c>
      <c r="S21" s="169">
        <v>18313</v>
      </c>
      <c r="T21" s="152">
        <v>143.20699999999999</v>
      </c>
      <c r="U21" s="166">
        <v>2.3E-5</v>
      </c>
      <c r="V21" s="166">
        <v>0.112193371487485</v>
      </c>
      <c r="W21" s="166">
        <v>4.2312800309738004E-3</v>
      </c>
    </row>
    <row r="22" spans="1:23">
      <c r="A22" s="4">
        <v>12904</v>
      </c>
      <c r="B22" s="4">
        <v>12905</v>
      </c>
      <c r="C22" s="4" t="s">
        <v>1542</v>
      </c>
      <c r="D22" s="4" t="s">
        <v>1543</v>
      </c>
      <c r="E22" s="4" t="s">
        <v>350</v>
      </c>
      <c r="F22" s="4" t="s">
        <v>1544</v>
      </c>
      <c r="G22" s="4" t="s">
        <v>1545</v>
      </c>
      <c r="H22" s="2" t="s">
        <v>356</v>
      </c>
      <c r="I22" s="4" t="s">
        <v>965</v>
      </c>
      <c r="J22" s="4" t="s">
        <v>97</v>
      </c>
      <c r="K22" s="4" t="s">
        <v>334</v>
      </c>
      <c r="L22" s="4" t="s">
        <v>362</v>
      </c>
      <c r="M22" s="4" t="s">
        <v>1533</v>
      </c>
      <c r="N22" s="4" t="s">
        <v>770</v>
      </c>
      <c r="O22" s="4" t="s">
        <v>155</v>
      </c>
      <c r="P22" s="4" t="s">
        <v>102</v>
      </c>
      <c r="Q22" s="152">
        <v>4059.24</v>
      </c>
      <c r="R22" s="167">
        <v>3.71</v>
      </c>
      <c r="S22" s="169">
        <v>1079.7</v>
      </c>
      <c r="T22" s="152">
        <v>162.6</v>
      </c>
      <c r="U22" s="166">
        <v>3.21E-4</v>
      </c>
      <c r="V22" s="166">
        <v>0.12738730046015401</v>
      </c>
      <c r="W22" s="166">
        <v>4.8043064709650599E-3</v>
      </c>
    </row>
    <row r="23" spans="1:23">
      <c r="A23" s="4">
        <v>12904</v>
      </c>
      <c r="B23" s="4">
        <v>12905</v>
      </c>
      <c r="C23" s="4" t="s">
        <v>1546</v>
      </c>
      <c r="D23" s="4" t="s">
        <v>1547</v>
      </c>
      <c r="E23" s="4" t="s">
        <v>350</v>
      </c>
      <c r="F23" s="4" t="s">
        <v>1548</v>
      </c>
      <c r="G23" s="4" t="s">
        <v>1549</v>
      </c>
      <c r="H23" s="2" t="s">
        <v>356</v>
      </c>
      <c r="I23" s="4" t="s">
        <v>965</v>
      </c>
      <c r="J23" s="4" t="s">
        <v>97</v>
      </c>
      <c r="K23" s="4" t="s">
        <v>291</v>
      </c>
      <c r="L23" s="4" t="s">
        <v>362</v>
      </c>
      <c r="M23" s="2" t="s">
        <v>194</v>
      </c>
      <c r="N23" s="4" t="s">
        <v>770</v>
      </c>
      <c r="O23" s="4" t="s">
        <v>155</v>
      </c>
      <c r="P23" s="4" t="s">
        <v>102</v>
      </c>
      <c r="Q23" s="152">
        <v>837.01</v>
      </c>
      <c r="R23" s="167">
        <v>3.71</v>
      </c>
      <c r="S23" s="169">
        <v>1608.31</v>
      </c>
      <c r="T23" s="152">
        <v>49.942999999999998</v>
      </c>
      <c r="U23" s="166">
        <v>0</v>
      </c>
      <c r="V23" s="166">
        <v>3.9127194788678397E-2</v>
      </c>
      <c r="W23" s="166">
        <v>1.47564972673831E-3</v>
      </c>
    </row>
    <row r="24" spans="1:23">
      <c r="A24" s="4">
        <v>12904</v>
      </c>
      <c r="B24" s="4">
        <v>12905</v>
      </c>
      <c r="C24" s="4" t="s">
        <v>1550</v>
      </c>
      <c r="D24" s="4" t="s">
        <v>1551</v>
      </c>
      <c r="E24" s="4" t="s">
        <v>350</v>
      </c>
      <c r="F24" s="4" t="s">
        <v>1552</v>
      </c>
      <c r="G24" s="4" t="s">
        <v>1553</v>
      </c>
      <c r="H24" s="2" t="s">
        <v>356</v>
      </c>
      <c r="I24" s="4" t="s">
        <v>1020</v>
      </c>
      <c r="J24" s="4" t="s">
        <v>97</v>
      </c>
      <c r="K24" s="4" t="s">
        <v>327</v>
      </c>
      <c r="L24" s="4" t="s">
        <v>362</v>
      </c>
      <c r="M24" s="2" t="s">
        <v>194</v>
      </c>
      <c r="N24" s="4" t="s">
        <v>767</v>
      </c>
      <c r="O24" s="4" t="s">
        <v>155</v>
      </c>
      <c r="P24" s="4" t="s">
        <v>102</v>
      </c>
      <c r="Q24" s="152">
        <v>2233.1799999999998</v>
      </c>
      <c r="R24" s="167">
        <v>3.71</v>
      </c>
      <c r="S24" s="169">
        <v>1120.5</v>
      </c>
      <c r="T24" s="152">
        <v>92.834999999999994</v>
      </c>
      <c r="U24" s="166">
        <v>0</v>
      </c>
      <c r="V24" s="166">
        <v>7.2730051329734605E-2</v>
      </c>
      <c r="W24" s="166">
        <v>2.7429536144881199E-3</v>
      </c>
    </row>
    <row r="25" spans="1:23">
      <c r="A25" s="4">
        <v>12904</v>
      </c>
      <c r="B25" s="4">
        <v>12905</v>
      </c>
      <c r="C25" s="4" t="s">
        <v>1557</v>
      </c>
      <c r="D25" s="4" t="s">
        <v>1558</v>
      </c>
      <c r="E25" s="4" t="s">
        <v>350</v>
      </c>
      <c r="F25" s="4" t="s">
        <v>1559</v>
      </c>
      <c r="G25" s="4" t="s">
        <v>1560</v>
      </c>
      <c r="H25" s="2" t="s">
        <v>356</v>
      </c>
      <c r="I25" s="4" t="s">
        <v>1020</v>
      </c>
      <c r="J25" s="4" t="s">
        <v>97</v>
      </c>
      <c r="K25" s="4" t="s">
        <v>334</v>
      </c>
      <c r="L25" s="4" t="s">
        <v>362</v>
      </c>
      <c r="M25" s="2" t="s">
        <v>194</v>
      </c>
      <c r="N25" s="4" t="s">
        <v>767</v>
      </c>
      <c r="O25" s="4" t="s">
        <v>155</v>
      </c>
      <c r="P25" s="4" t="s">
        <v>102</v>
      </c>
      <c r="Q25" s="152">
        <v>4425.79</v>
      </c>
      <c r="R25" s="167">
        <v>3.71</v>
      </c>
      <c r="S25" s="169">
        <v>1272.55</v>
      </c>
      <c r="T25" s="152">
        <v>208.94900000000001</v>
      </c>
      <c r="U25" s="166">
        <v>0</v>
      </c>
      <c r="V25" s="166">
        <v>0.163698221840057</v>
      </c>
      <c r="W25" s="166">
        <v>6.1737427799379001E-3</v>
      </c>
    </row>
    <row r="26" spans="1:23">
      <c r="A26" s="4">
        <v>12904</v>
      </c>
      <c r="B26" s="4">
        <v>12905</v>
      </c>
      <c r="C26" s="4" t="s">
        <v>1561</v>
      </c>
      <c r="D26" s="4" t="s">
        <v>1562</v>
      </c>
      <c r="E26" s="4" t="s">
        <v>350</v>
      </c>
      <c r="F26" s="4" t="s">
        <v>1563</v>
      </c>
      <c r="G26" s="4" t="s">
        <v>1564</v>
      </c>
      <c r="H26" s="2" t="s">
        <v>356</v>
      </c>
      <c r="I26" s="4" t="s">
        <v>1020</v>
      </c>
      <c r="J26" s="4" t="s">
        <v>97</v>
      </c>
      <c r="K26" s="4" t="s">
        <v>259</v>
      </c>
      <c r="L26" s="4" t="s">
        <v>362</v>
      </c>
      <c r="M26" s="2" t="s">
        <v>1533</v>
      </c>
      <c r="N26" s="4" t="s">
        <v>767</v>
      </c>
      <c r="O26" s="4" t="s">
        <v>155</v>
      </c>
      <c r="P26" s="4" t="s">
        <v>102</v>
      </c>
      <c r="Q26" s="152">
        <v>4761.21</v>
      </c>
      <c r="R26" s="167">
        <v>3.71</v>
      </c>
      <c r="S26" s="169">
        <v>1192.75</v>
      </c>
      <c r="T26" s="152">
        <v>210.68799999999999</v>
      </c>
      <c r="U26" s="166">
        <v>1.93E-4</v>
      </c>
      <c r="V26" s="166">
        <v>0.165061225720155</v>
      </c>
      <c r="W26" s="166">
        <v>6.2251473417541297E-3</v>
      </c>
    </row>
    <row r="27" spans="1:23">
      <c r="A27" s="4">
        <v>12904</v>
      </c>
      <c r="B27" s="4">
        <v>12905</v>
      </c>
      <c r="C27" s="4" t="s">
        <v>1565</v>
      </c>
      <c r="D27" s="4" t="s">
        <v>1566</v>
      </c>
      <c r="E27" s="4" t="s">
        <v>350</v>
      </c>
      <c r="F27" s="4" t="s">
        <v>1567</v>
      </c>
      <c r="G27" s="4" t="s">
        <v>1568</v>
      </c>
      <c r="H27" s="2" t="s">
        <v>356</v>
      </c>
      <c r="I27" s="4" t="s">
        <v>1020</v>
      </c>
      <c r="J27" s="4" t="s">
        <v>97</v>
      </c>
      <c r="K27" s="4" t="s">
        <v>291</v>
      </c>
      <c r="L27" s="4" t="s">
        <v>362</v>
      </c>
      <c r="M27" s="2" t="s">
        <v>194</v>
      </c>
      <c r="N27" s="4" t="s">
        <v>767</v>
      </c>
      <c r="O27" s="4" t="s">
        <v>155</v>
      </c>
      <c r="P27" s="4" t="s">
        <v>102</v>
      </c>
      <c r="Q27" s="152">
        <v>141.29</v>
      </c>
      <c r="R27" s="167">
        <v>3.71</v>
      </c>
      <c r="S27" s="169">
        <v>24203</v>
      </c>
      <c r="T27" s="152">
        <v>126.869</v>
      </c>
      <c r="U27" s="166">
        <v>7.6000000000000004E-5</v>
      </c>
      <c r="V27" s="166">
        <v>9.9393716385470995E-2</v>
      </c>
      <c r="W27" s="166">
        <v>3.7485516458789199E-3</v>
      </c>
    </row>
    <row r="28" spans="1:23">
      <c r="A28" s="4">
        <v>12904</v>
      </c>
      <c r="B28" s="4">
        <v>13680</v>
      </c>
      <c r="C28" s="4" t="s">
        <v>1524</v>
      </c>
      <c r="D28" s="4" t="s">
        <v>1525</v>
      </c>
      <c r="E28" s="4" t="s">
        <v>350</v>
      </c>
      <c r="F28" s="4" t="s">
        <v>1526</v>
      </c>
      <c r="G28" s="4" t="s">
        <v>1527</v>
      </c>
      <c r="H28" s="2" t="s">
        <v>356</v>
      </c>
      <c r="I28" s="4" t="s">
        <v>1020</v>
      </c>
      <c r="J28" s="4" t="s">
        <v>97</v>
      </c>
      <c r="K28" s="4" t="s">
        <v>329</v>
      </c>
      <c r="L28" s="4" t="s">
        <v>362</v>
      </c>
      <c r="M28" s="2" t="s">
        <v>1528</v>
      </c>
      <c r="N28" s="4" t="s">
        <v>767</v>
      </c>
      <c r="O28" s="4" t="s">
        <v>155</v>
      </c>
      <c r="P28" s="4" t="s">
        <v>102</v>
      </c>
      <c r="Q28" s="152">
        <v>13.16</v>
      </c>
      <c r="R28" s="167">
        <v>3.71</v>
      </c>
      <c r="S28" s="169">
        <v>135345.4</v>
      </c>
      <c r="T28" s="152">
        <v>66.08</v>
      </c>
      <c r="U28" s="166">
        <v>1.9000000000000001E-5</v>
      </c>
      <c r="V28" s="166">
        <v>8.5468433798927601E-2</v>
      </c>
      <c r="W28" s="166">
        <v>1.80151225170767E-3</v>
      </c>
    </row>
    <row r="29" spans="1:23">
      <c r="A29" s="4">
        <v>12904</v>
      </c>
      <c r="B29" s="4">
        <v>13680</v>
      </c>
      <c r="C29" s="4" t="s">
        <v>1538</v>
      </c>
      <c r="D29" s="4" t="s">
        <v>1539</v>
      </c>
      <c r="E29" s="4" t="s">
        <v>350</v>
      </c>
      <c r="F29" s="4" t="s">
        <v>1540</v>
      </c>
      <c r="G29" s="4" t="s">
        <v>1541</v>
      </c>
      <c r="H29" s="4" t="s">
        <v>356</v>
      </c>
      <c r="I29" s="4" t="s">
        <v>1020</v>
      </c>
      <c r="J29" s="4" t="s">
        <v>97</v>
      </c>
      <c r="K29" s="4" t="s">
        <v>334</v>
      </c>
      <c r="L29" s="4" t="s">
        <v>362</v>
      </c>
      <c r="M29" s="2" t="s">
        <v>1533</v>
      </c>
      <c r="N29" s="4" t="s">
        <v>767</v>
      </c>
      <c r="O29" s="4" t="s">
        <v>155</v>
      </c>
      <c r="P29" s="4" t="s">
        <v>102</v>
      </c>
      <c r="Q29" s="152">
        <v>96.84</v>
      </c>
      <c r="R29" s="167">
        <v>3.71</v>
      </c>
      <c r="S29" s="169">
        <v>18313</v>
      </c>
      <c r="T29" s="152">
        <v>65.793999999999997</v>
      </c>
      <c r="U29" s="166">
        <v>1.1E-5</v>
      </c>
      <c r="V29" s="166">
        <v>8.5098250674371198E-2</v>
      </c>
      <c r="W29" s="166">
        <v>1.7937094945419999E-3</v>
      </c>
    </row>
    <row r="30" spans="1:23">
      <c r="A30" s="4">
        <v>12904</v>
      </c>
      <c r="B30" s="4">
        <v>13680</v>
      </c>
      <c r="C30" s="4" t="s">
        <v>1542</v>
      </c>
      <c r="D30" s="4" t="s">
        <v>1543</v>
      </c>
      <c r="E30" s="4" t="s">
        <v>350</v>
      </c>
      <c r="F30" s="4" t="s">
        <v>1544</v>
      </c>
      <c r="G30" s="4" t="s">
        <v>1545</v>
      </c>
      <c r="H30" s="4" t="s">
        <v>356</v>
      </c>
      <c r="I30" s="4" t="s">
        <v>965</v>
      </c>
      <c r="J30" s="4" t="s">
        <v>97</v>
      </c>
      <c r="K30" s="4" t="s">
        <v>334</v>
      </c>
      <c r="L30" s="4" t="s">
        <v>362</v>
      </c>
      <c r="M30" s="2" t="s">
        <v>1533</v>
      </c>
      <c r="N30" s="4" t="s">
        <v>770</v>
      </c>
      <c r="O30" s="4" t="s">
        <v>155</v>
      </c>
      <c r="P30" s="4" t="s">
        <v>102</v>
      </c>
      <c r="Q30" s="152">
        <v>8079.27</v>
      </c>
      <c r="R30" s="167">
        <v>3.71</v>
      </c>
      <c r="S30" s="169">
        <v>1079.7</v>
      </c>
      <c r="T30" s="152">
        <v>323.63</v>
      </c>
      <c r="U30" s="166">
        <v>6.4000000000000005E-4</v>
      </c>
      <c r="V30" s="166">
        <v>0.41858299374913599</v>
      </c>
      <c r="W30" s="166">
        <v>8.8229344809288603E-3</v>
      </c>
    </row>
    <row r="31" spans="1:23">
      <c r="A31" s="4">
        <v>12904</v>
      </c>
      <c r="B31" s="4">
        <v>13680</v>
      </c>
      <c r="C31" s="4" t="s">
        <v>1546</v>
      </c>
      <c r="D31" s="4" t="s">
        <v>1547</v>
      </c>
      <c r="E31" s="4" t="s">
        <v>350</v>
      </c>
      <c r="F31" s="4" t="s">
        <v>1548</v>
      </c>
      <c r="G31" s="4" t="s">
        <v>1549</v>
      </c>
      <c r="H31" s="4" t="s">
        <v>356</v>
      </c>
      <c r="I31" s="4" t="s">
        <v>965</v>
      </c>
      <c r="J31" s="4" t="s">
        <v>97</v>
      </c>
      <c r="K31" s="4" t="s">
        <v>291</v>
      </c>
      <c r="L31" s="4" t="s">
        <v>362</v>
      </c>
      <c r="M31" s="2" t="s">
        <v>194</v>
      </c>
      <c r="N31" s="4" t="s">
        <v>770</v>
      </c>
      <c r="O31" s="4" t="s">
        <v>155</v>
      </c>
      <c r="P31" s="4" t="s">
        <v>102</v>
      </c>
      <c r="Q31" s="152">
        <v>2875.47</v>
      </c>
      <c r="R31" s="167">
        <v>3.71</v>
      </c>
      <c r="S31" s="169">
        <v>1608.31</v>
      </c>
      <c r="T31" s="152">
        <v>171.57400000000001</v>
      </c>
      <c r="U31" s="166">
        <v>0</v>
      </c>
      <c r="V31" s="166">
        <v>0.22191413180969899</v>
      </c>
      <c r="W31" s="166">
        <v>4.6775284103458201E-3</v>
      </c>
    </row>
    <row r="32" spans="1:23">
      <c r="A32" s="4">
        <v>12904</v>
      </c>
      <c r="B32" s="4">
        <v>13680</v>
      </c>
      <c r="C32" s="4" t="s">
        <v>1550</v>
      </c>
      <c r="D32" s="4" t="s">
        <v>1551</v>
      </c>
      <c r="E32" s="4" t="s">
        <v>350</v>
      </c>
      <c r="F32" s="4" t="s">
        <v>1552</v>
      </c>
      <c r="G32" s="4" t="s">
        <v>1553</v>
      </c>
      <c r="H32" s="4" t="s">
        <v>356</v>
      </c>
      <c r="I32" s="4" t="s">
        <v>1020</v>
      </c>
      <c r="J32" s="4" t="s">
        <v>97</v>
      </c>
      <c r="K32" s="4" t="s">
        <v>327</v>
      </c>
      <c r="L32" s="4" t="s">
        <v>362</v>
      </c>
      <c r="M32" s="2" t="s">
        <v>194</v>
      </c>
      <c r="N32" s="4" t="s">
        <v>767</v>
      </c>
      <c r="O32" s="4" t="s">
        <v>155</v>
      </c>
      <c r="P32" s="4" t="s">
        <v>102</v>
      </c>
      <c r="Q32" s="152">
        <v>1941.9</v>
      </c>
      <c r="R32" s="167">
        <v>3.71</v>
      </c>
      <c r="S32" s="169">
        <v>1120.5</v>
      </c>
      <c r="T32" s="152">
        <v>80.725999999999999</v>
      </c>
      <c r="U32" s="166">
        <v>0</v>
      </c>
      <c r="V32" s="166">
        <v>0.104410717215419</v>
      </c>
      <c r="W32" s="166">
        <v>2.2007796084772E-3</v>
      </c>
    </row>
    <row r="33" spans="1:23">
      <c r="A33" s="4">
        <v>12904</v>
      </c>
      <c r="B33" s="4">
        <v>13680</v>
      </c>
      <c r="C33" s="4" t="s">
        <v>1565</v>
      </c>
      <c r="D33" s="4" t="s">
        <v>1566</v>
      </c>
      <c r="E33" s="4" t="s">
        <v>350</v>
      </c>
      <c r="F33" s="4" t="s">
        <v>1567</v>
      </c>
      <c r="G33" s="4" t="s">
        <v>1568</v>
      </c>
      <c r="H33" s="4" t="s">
        <v>356</v>
      </c>
      <c r="I33" s="4" t="s">
        <v>1020</v>
      </c>
      <c r="J33" s="4" t="s">
        <v>97</v>
      </c>
      <c r="K33" s="4" t="s">
        <v>291</v>
      </c>
      <c r="L33" s="4" t="s">
        <v>362</v>
      </c>
      <c r="M33" s="2" t="s">
        <v>194</v>
      </c>
      <c r="N33" s="4" t="s">
        <v>767</v>
      </c>
      <c r="O33" s="4" t="s">
        <v>155</v>
      </c>
      <c r="P33" s="4" t="s">
        <v>102</v>
      </c>
      <c r="Q33" s="152">
        <v>72.78</v>
      </c>
      <c r="R33" s="167">
        <v>3.71</v>
      </c>
      <c r="S33" s="169">
        <v>24203</v>
      </c>
      <c r="T33" s="152">
        <v>65.350999999999999</v>
      </c>
      <c r="U33" s="166">
        <v>3.8999999999999999E-5</v>
      </c>
      <c r="V33" s="166">
        <v>8.4525472752446498E-2</v>
      </c>
      <c r="W33" s="166">
        <v>1.7816364238421999E-3</v>
      </c>
    </row>
    <row r="34" spans="1:23">
      <c r="A34" s="4">
        <v>424</v>
      </c>
      <c r="B34" s="4">
        <v>7228</v>
      </c>
      <c r="C34" s="4" t="s">
        <v>1524</v>
      </c>
      <c r="D34" s="4" t="s">
        <v>1525</v>
      </c>
      <c r="E34" s="4" t="s">
        <v>350</v>
      </c>
      <c r="F34" s="4" t="s">
        <v>1526</v>
      </c>
      <c r="G34" s="4" t="s">
        <v>1527</v>
      </c>
      <c r="H34" s="4" t="s">
        <v>356</v>
      </c>
      <c r="I34" s="4" t="s">
        <v>1020</v>
      </c>
      <c r="J34" s="4" t="s">
        <v>97</v>
      </c>
      <c r="K34" s="4" t="s">
        <v>329</v>
      </c>
      <c r="L34" s="4" t="s">
        <v>362</v>
      </c>
      <c r="M34" s="2" t="s">
        <v>1528</v>
      </c>
      <c r="N34" s="4" t="s">
        <v>767</v>
      </c>
      <c r="O34" s="4" t="s">
        <v>155</v>
      </c>
      <c r="P34" s="4" t="s">
        <v>102</v>
      </c>
      <c r="Q34" s="152">
        <v>2322.77</v>
      </c>
      <c r="R34" s="167">
        <v>3.71</v>
      </c>
      <c r="S34" s="169">
        <v>135345.4</v>
      </c>
      <c r="T34" s="152">
        <v>11663.358</v>
      </c>
      <c r="U34" s="166">
        <v>3.287E-3</v>
      </c>
      <c r="V34" s="166">
        <v>9.5390605484718893E-2</v>
      </c>
      <c r="W34" s="166">
        <v>4.8315348981497102E-3</v>
      </c>
    </row>
    <row r="35" spans="1:23">
      <c r="A35" s="4">
        <v>424</v>
      </c>
      <c r="B35" s="4">
        <v>7228</v>
      </c>
      <c r="C35" s="4" t="s">
        <v>1529</v>
      </c>
      <c r="D35" s="4" t="s">
        <v>1530</v>
      </c>
      <c r="E35" s="4" t="s">
        <v>350</v>
      </c>
      <c r="F35" s="4" t="s">
        <v>1531</v>
      </c>
      <c r="G35" s="4" t="s">
        <v>1532</v>
      </c>
      <c r="H35" s="4" t="s">
        <v>356</v>
      </c>
      <c r="I35" s="4" t="s">
        <v>965</v>
      </c>
      <c r="J35" s="4" t="s">
        <v>97</v>
      </c>
      <c r="K35" s="4" t="s">
        <v>331</v>
      </c>
      <c r="L35" s="4" t="s">
        <v>362</v>
      </c>
      <c r="M35" s="2" t="s">
        <v>1533</v>
      </c>
      <c r="N35" s="4" t="s">
        <v>770</v>
      </c>
      <c r="O35" s="4" t="s">
        <v>155</v>
      </c>
      <c r="P35" s="4" t="s">
        <v>1209</v>
      </c>
      <c r="Q35" s="152">
        <v>54973.29</v>
      </c>
      <c r="R35" s="167">
        <v>4.1524000000000001</v>
      </c>
      <c r="S35" s="169">
        <v>4933</v>
      </c>
      <c r="T35" s="152">
        <v>11260.612999999999</v>
      </c>
      <c r="U35" s="166">
        <v>2.0119999999999999E-3</v>
      </c>
      <c r="V35" s="166">
        <v>9.2096688485560907E-2</v>
      </c>
      <c r="W35" s="166">
        <v>4.6646979769228098E-3</v>
      </c>
    </row>
    <row r="36" spans="1:23">
      <c r="A36" s="4">
        <v>424</v>
      </c>
      <c r="B36" s="4">
        <v>7228</v>
      </c>
      <c r="C36" s="4" t="s">
        <v>1534</v>
      </c>
      <c r="D36" s="4" t="s">
        <v>1535</v>
      </c>
      <c r="E36" s="4" t="s">
        <v>350</v>
      </c>
      <c r="F36" s="4" t="s">
        <v>1536</v>
      </c>
      <c r="G36" s="4" t="s">
        <v>1537</v>
      </c>
      <c r="H36" s="4" t="s">
        <v>356</v>
      </c>
      <c r="I36" s="4" t="s">
        <v>1020</v>
      </c>
      <c r="J36" s="4" t="s">
        <v>97</v>
      </c>
      <c r="K36" s="4" t="s">
        <v>291</v>
      </c>
      <c r="L36" s="4" t="s">
        <v>362</v>
      </c>
      <c r="M36" s="2" t="s">
        <v>194</v>
      </c>
      <c r="N36" s="4" t="s">
        <v>767</v>
      </c>
      <c r="O36" s="4" t="s">
        <v>155</v>
      </c>
      <c r="P36" s="4" t="s">
        <v>102</v>
      </c>
      <c r="Q36" s="152">
        <v>71123.75</v>
      </c>
      <c r="R36" s="167">
        <v>3.71</v>
      </c>
      <c r="S36" s="169">
        <v>3514</v>
      </c>
      <c r="T36" s="152">
        <v>9272.3610000000008</v>
      </c>
      <c r="U36" s="166">
        <v>1.6410000000000001E-3</v>
      </c>
      <c r="V36" s="166">
        <v>7.5835455766499596E-2</v>
      </c>
      <c r="W36" s="166">
        <v>3.84106641519984E-3</v>
      </c>
    </row>
    <row r="37" spans="1:23">
      <c r="A37" s="4">
        <v>424</v>
      </c>
      <c r="B37" s="4">
        <v>7228</v>
      </c>
      <c r="C37" s="4" t="s">
        <v>1538</v>
      </c>
      <c r="D37" s="4" t="s">
        <v>1539</v>
      </c>
      <c r="E37" s="4" t="s">
        <v>350</v>
      </c>
      <c r="F37" s="4" t="s">
        <v>1540</v>
      </c>
      <c r="G37" s="4" t="s">
        <v>1541</v>
      </c>
      <c r="H37" s="4" t="s">
        <v>356</v>
      </c>
      <c r="I37" s="4" t="s">
        <v>1020</v>
      </c>
      <c r="J37" s="4" t="s">
        <v>97</v>
      </c>
      <c r="K37" s="4" t="s">
        <v>334</v>
      </c>
      <c r="L37" s="4" t="s">
        <v>362</v>
      </c>
      <c r="M37" s="2" t="s">
        <v>1533</v>
      </c>
      <c r="N37" s="4" t="s">
        <v>767</v>
      </c>
      <c r="O37" s="4" t="s">
        <v>155</v>
      </c>
      <c r="P37" s="4" t="s">
        <v>102</v>
      </c>
      <c r="Q37" s="152">
        <v>17090.12</v>
      </c>
      <c r="R37" s="167">
        <v>3.71</v>
      </c>
      <c r="S37" s="169">
        <v>18313</v>
      </c>
      <c r="T37" s="152">
        <v>11611.237999999999</v>
      </c>
      <c r="U37" s="166">
        <v>1.8749999999999999E-3</v>
      </c>
      <c r="V37" s="166">
        <v>9.4964329202270201E-2</v>
      </c>
      <c r="W37" s="166">
        <v>4.8099440011799399E-3</v>
      </c>
    </row>
    <row r="38" spans="1:23">
      <c r="A38" s="4">
        <v>424</v>
      </c>
      <c r="B38" s="4">
        <v>7228</v>
      </c>
      <c r="C38" s="4" t="s">
        <v>1542</v>
      </c>
      <c r="D38" s="4" t="s">
        <v>1543</v>
      </c>
      <c r="E38" s="4" t="s">
        <v>350</v>
      </c>
      <c r="F38" s="4" t="s">
        <v>1544</v>
      </c>
      <c r="G38" s="4" t="s">
        <v>1545</v>
      </c>
      <c r="H38" s="4" t="s">
        <v>356</v>
      </c>
      <c r="I38" s="4" t="s">
        <v>965</v>
      </c>
      <c r="J38" s="4" t="s">
        <v>97</v>
      </c>
      <c r="K38" s="4" t="s">
        <v>334</v>
      </c>
      <c r="L38" s="4" t="s">
        <v>362</v>
      </c>
      <c r="M38" s="2" t="s">
        <v>1533</v>
      </c>
      <c r="N38" s="4" t="s">
        <v>770</v>
      </c>
      <c r="O38" s="4" t="s">
        <v>155</v>
      </c>
      <c r="P38" s="4" t="s">
        <v>102</v>
      </c>
      <c r="Q38" s="152">
        <v>349645.04</v>
      </c>
      <c r="R38" s="167">
        <v>3.71</v>
      </c>
      <c r="S38" s="169">
        <v>1079.7</v>
      </c>
      <c r="T38" s="152">
        <v>14005.686</v>
      </c>
      <c r="U38" s="166">
        <v>2.7677E-2</v>
      </c>
      <c r="V38" s="166">
        <v>0.114547699217959</v>
      </c>
      <c r="W38" s="166">
        <v>5.8018418424127197E-3</v>
      </c>
    </row>
    <row r="39" spans="1:23">
      <c r="A39" s="4">
        <v>424</v>
      </c>
      <c r="B39" s="4">
        <v>7228</v>
      </c>
      <c r="C39" s="4" t="s">
        <v>1546</v>
      </c>
      <c r="D39" s="4" t="s">
        <v>1547</v>
      </c>
      <c r="E39" s="4" t="s">
        <v>350</v>
      </c>
      <c r="F39" s="4" t="s">
        <v>1548</v>
      </c>
      <c r="G39" s="4" t="s">
        <v>1549</v>
      </c>
      <c r="H39" s="4" t="s">
        <v>356</v>
      </c>
      <c r="I39" s="4" t="s">
        <v>965</v>
      </c>
      <c r="J39" s="4" t="s">
        <v>97</v>
      </c>
      <c r="K39" s="4" t="s">
        <v>291</v>
      </c>
      <c r="L39" s="4" t="s">
        <v>362</v>
      </c>
      <c r="M39" s="2" t="s">
        <v>194</v>
      </c>
      <c r="N39" s="4" t="s">
        <v>770</v>
      </c>
      <c r="O39" s="4" t="s">
        <v>155</v>
      </c>
      <c r="P39" s="4" t="s">
        <v>102</v>
      </c>
      <c r="Q39" s="152">
        <v>262821.98</v>
      </c>
      <c r="R39" s="167">
        <v>3.71</v>
      </c>
      <c r="S39" s="169">
        <v>1608.31</v>
      </c>
      <c r="T39" s="152">
        <v>15682.141</v>
      </c>
      <c r="U39" s="166">
        <v>0</v>
      </c>
      <c r="V39" s="166">
        <v>0.12825885021602301</v>
      </c>
      <c r="W39" s="166">
        <v>6.4963117454427E-3</v>
      </c>
    </row>
    <row r="40" spans="1:23">
      <c r="A40" s="4">
        <v>424</v>
      </c>
      <c r="B40" s="4">
        <v>7228</v>
      </c>
      <c r="C40" s="4" t="s">
        <v>1550</v>
      </c>
      <c r="D40" s="4" t="s">
        <v>1551</v>
      </c>
      <c r="E40" s="4" t="s">
        <v>350</v>
      </c>
      <c r="F40" s="4" t="s">
        <v>1552</v>
      </c>
      <c r="G40" s="4" t="s">
        <v>1553</v>
      </c>
      <c r="H40" s="4" t="s">
        <v>356</v>
      </c>
      <c r="I40" s="4" t="s">
        <v>1020</v>
      </c>
      <c r="J40" s="4" t="s">
        <v>97</v>
      </c>
      <c r="K40" s="4" t="s">
        <v>327</v>
      </c>
      <c r="L40" s="4" t="s">
        <v>362</v>
      </c>
      <c r="M40" s="2" t="s">
        <v>194</v>
      </c>
      <c r="N40" s="4" t="s">
        <v>767</v>
      </c>
      <c r="O40" s="4" t="s">
        <v>155</v>
      </c>
      <c r="P40" s="4" t="s">
        <v>102</v>
      </c>
      <c r="Q40" s="152">
        <v>174770.86</v>
      </c>
      <c r="R40" s="167">
        <v>3.71</v>
      </c>
      <c r="S40" s="169">
        <v>1120.5</v>
      </c>
      <c r="T40" s="152">
        <v>7265.3209999999999</v>
      </c>
      <c r="U40" s="166">
        <v>0</v>
      </c>
      <c r="V40" s="166">
        <v>5.9420565612159797E-2</v>
      </c>
      <c r="W40" s="166">
        <v>3.0096521032035501E-3</v>
      </c>
    </row>
    <row r="41" spans="1:23">
      <c r="A41" s="4">
        <v>424</v>
      </c>
      <c r="B41" s="4">
        <v>7228</v>
      </c>
      <c r="C41" s="4" t="s">
        <v>1554</v>
      </c>
      <c r="D41" s="4" t="s">
        <v>1555</v>
      </c>
      <c r="E41" s="4" t="s">
        <v>350</v>
      </c>
      <c r="F41" s="4" t="s">
        <v>1554</v>
      </c>
      <c r="G41" s="4" t="s">
        <v>1556</v>
      </c>
      <c r="H41" s="4" t="s">
        <v>356</v>
      </c>
      <c r="I41" s="4" t="s">
        <v>965</v>
      </c>
      <c r="J41" s="4" t="s">
        <v>97</v>
      </c>
      <c r="K41" s="4" t="s">
        <v>98</v>
      </c>
      <c r="L41" s="4" t="s">
        <v>362</v>
      </c>
      <c r="M41" s="2" t="s">
        <v>1528</v>
      </c>
      <c r="N41" s="4" t="s">
        <v>770</v>
      </c>
      <c r="O41" s="4" t="s">
        <v>155</v>
      </c>
      <c r="P41" s="4" t="s">
        <v>102</v>
      </c>
      <c r="Q41" s="152">
        <v>10000</v>
      </c>
      <c r="R41" s="167">
        <v>3.71</v>
      </c>
      <c r="S41" s="169">
        <v>11816</v>
      </c>
      <c r="T41" s="152">
        <v>4383.7359999999999</v>
      </c>
      <c r="U41" s="166">
        <v>0</v>
      </c>
      <c r="V41" s="166">
        <v>3.5853072522326099E-2</v>
      </c>
      <c r="W41" s="166">
        <v>1.8159583977612999E-3</v>
      </c>
    </row>
    <row r="42" spans="1:23">
      <c r="A42" s="4">
        <v>424</v>
      </c>
      <c r="B42" s="4">
        <v>7228</v>
      </c>
      <c r="C42" s="4" t="s">
        <v>1557</v>
      </c>
      <c r="D42" s="4" t="s">
        <v>1558</v>
      </c>
      <c r="E42" s="4" t="s">
        <v>350</v>
      </c>
      <c r="F42" s="4" t="s">
        <v>1559</v>
      </c>
      <c r="G42" s="4" t="s">
        <v>1560</v>
      </c>
      <c r="H42" s="4" t="s">
        <v>356</v>
      </c>
      <c r="I42" s="4" t="s">
        <v>1020</v>
      </c>
      <c r="J42" s="4" t="s">
        <v>97</v>
      </c>
      <c r="K42" s="4" t="s">
        <v>334</v>
      </c>
      <c r="L42" s="4" t="s">
        <v>362</v>
      </c>
      <c r="M42" s="2" t="s">
        <v>194</v>
      </c>
      <c r="N42" s="4" t="s">
        <v>767</v>
      </c>
      <c r="O42" s="4" t="s">
        <v>155</v>
      </c>
      <c r="P42" s="4" t="s">
        <v>102</v>
      </c>
      <c r="Q42" s="152">
        <v>211763.91</v>
      </c>
      <c r="R42" s="167">
        <v>3.71</v>
      </c>
      <c r="S42" s="169">
        <v>1272.55</v>
      </c>
      <c r="T42" s="152">
        <v>9997.7139999999999</v>
      </c>
      <c r="U42" s="166">
        <v>0</v>
      </c>
      <c r="V42" s="166">
        <v>8.1767872811499095E-2</v>
      </c>
      <c r="W42" s="166">
        <v>4.1415433839500299E-3</v>
      </c>
    </row>
    <row r="43" spans="1:23">
      <c r="A43" s="4">
        <v>424</v>
      </c>
      <c r="B43" s="4">
        <v>7228</v>
      </c>
      <c r="C43" s="4" t="s">
        <v>1561</v>
      </c>
      <c r="D43" s="4" t="s">
        <v>1562</v>
      </c>
      <c r="E43" s="4" t="s">
        <v>350</v>
      </c>
      <c r="F43" s="4" t="s">
        <v>1563</v>
      </c>
      <c r="G43" s="4" t="s">
        <v>1564</v>
      </c>
      <c r="H43" s="4" t="s">
        <v>356</v>
      </c>
      <c r="I43" s="4" t="s">
        <v>1020</v>
      </c>
      <c r="J43" s="4" t="s">
        <v>97</v>
      </c>
      <c r="K43" s="4" t="s">
        <v>259</v>
      </c>
      <c r="L43" s="4" t="s">
        <v>362</v>
      </c>
      <c r="M43" s="2" t="s">
        <v>1533</v>
      </c>
      <c r="N43" s="4" t="s">
        <v>767</v>
      </c>
      <c r="O43" s="4" t="s">
        <v>155</v>
      </c>
      <c r="P43" s="4" t="s">
        <v>102</v>
      </c>
      <c r="Q43" s="152">
        <v>451441.67</v>
      </c>
      <c r="R43" s="167">
        <v>3.71</v>
      </c>
      <c r="S43" s="169">
        <v>1192.75</v>
      </c>
      <c r="T43" s="152">
        <v>19976.757000000001</v>
      </c>
      <c r="U43" s="166">
        <v>1.8280999999999999E-2</v>
      </c>
      <c r="V43" s="166">
        <v>0.16338303767484499</v>
      </c>
      <c r="W43" s="166">
        <v>8.2753521091569106E-3</v>
      </c>
    </row>
    <row r="44" spans="1:23">
      <c r="A44" s="4">
        <v>424</v>
      </c>
      <c r="B44" s="4">
        <v>7228</v>
      </c>
      <c r="C44" s="4" t="s">
        <v>1565</v>
      </c>
      <c r="D44" s="4" t="s">
        <v>1566</v>
      </c>
      <c r="E44" s="4" t="s">
        <v>350</v>
      </c>
      <c r="F44" s="4" t="s">
        <v>1567</v>
      </c>
      <c r="G44" s="4" t="s">
        <v>1568</v>
      </c>
      <c r="H44" s="4" t="s">
        <v>356</v>
      </c>
      <c r="I44" s="4" t="s">
        <v>1020</v>
      </c>
      <c r="J44" s="4" t="s">
        <v>97</v>
      </c>
      <c r="K44" s="4" t="s">
        <v>291</v>
      </c>
      <c r="L44" s="4" t="s">
        <v>362</v>
      </c>
      <c r="M44" s="2" t="s">
        <v>194</v>
      </c>
      <c r="N44" s="4" t="s">
        <v>767</v>
      </c>
      <c r="O44" s="4" t="s">
        <v>155</v>
      </c>
      <c r="P44" s="4" t="s">
        <v>102</v>
      </c>
      <c r="Q44" s="152">
        <v>7963.35</v>
      </c>
      <c r="R44" s="167">
        <v>3.71</v>
      </c>
      <c r="S44" s="169">
        <v>24203</v>
      </c>
      <c r="T44" s="152">
        <v>7150.5410000000002</v>
      </c>
      <c r="U44" s="166">
        <v>4.2589999999999998E-3</v>
      </c>
      <c r="V44" s="166">
        <v>5.8481823006138398E-2</v>
      </c>
      <c r="W44" s="166">
        <v>2.9621047830211801E-3</v>
      </c>
    </row>
    <row r="45" spans="1:23">
      <c r="A45" s="4">
        <v>424</v>
      </c>
      <c r="B45" s="4">
        <v>7229</v>
      </c>
      <c r="C45" s="4" t="s">
        <v>1524</v>
      </c>
      <c r="D45" s="4" t="s">
        <v>1525</v>
      </c>
      <c r="E45" s="4" t="s">
        <v>350</v>
      </c>
      <c r="F45" s="4" t="s">
        <v>1526</v>
      </c>
      <c r="G45" s="4" t="s">
        <v>1527</v>
      </c>
      <c r="H45" s="4" t="s">
        <v>356</v>
      </c>
      <c r="I45" s="4" t="s">
        <v>1020</v>
      </c>
      <c r="J45" s="4" t="s">
        <v>97</v>
      </c>
      <c r="K45" s="4" t="s">
        <v>329</v>
      </c>
      <c r="L45" s="4" t="s">
        <v>362</v>
      </c>
      <c r="M45" s="2" t="s">
        <v>1528</v>
      </c>
      <c r="N45" s="4" t="s">
        <v>767</v>
      </c>
      <c r="O45" s="4" t="s">
        <v>155</v>
      </c>
      <c r="P45" s="4" t="s">
        <v>102</v>
      </c>
      <c r="Q45" s="152">
        <v>73.55</v>
      </c>
      <c r="R45" s="167">
        <v>3.71</v>
      </c>
      <c r="S45" s="169">
        <v>135345.4</v>
      </c>
      <c r="T45" s="152">
        <v>369.31799999999998</v>
      </c>
      <c r="U45" s="166">
        <v>1.0399999999999999E-4</v>
      </c>
      <c r="V45" s="166">
        <v>5.2352546128853601E-2</v>
      </c>
      <c r="W45" s="166">
        <v>2.5353429245564899E-3</v>
      </c>
    </row>
    <row r="46" spans="1:23">
      <c r="A46" s="4">
        <v>424</v>
      </c>
      <c r="B46" s="4">
        <v>7229</v>
      </c>
      <c r="C46" s="4" t="s">
        <v>1534</v>
      </c>
      <c r="D46" s="4" t="s">
        <v>1535</v>
      </c>
      <c r="E46" s="4" t="s">
        <v>350</v>
      </c>
      <c r="F46" s="4" t="s">
        <v>1536</v>
      </c>
      <c r="G46" s="4" t="s">
        <v>1537</v>
      </c>
      <c r="H46" s="4" t="s">
        <v>356</v>
      </c>
      <c r="I46" s="4" t="s">
        <v>1020</v>
      </c>
      <c r="J46" s="4" t="s">
        <v>97</v>
      </c>
      <c r="K46" s="4" t="s">
        <v>291</v>
      </c>
      <c r="L46" s="4" t="s">
        <v>362</v>
      </c>
      <c r="M46" s="2" t="s">
        <v>194</v>
      </c>
      <c r="N46" s="4" t="s">
        <v>767</v>
      </c>
      <c r="O46" s="4" t="s">
        <v>155</v>
      </c>
      <c r="P46" s="4" t="s">
        <v>102</v>
      </c>
      <c r="Q46" s="152">
        <v>6543.38</v>
      </c>
      <c r="R46" s="167">
        <v>3.71</v>
      </c>
      <c r="S46" s="169">
        <v>3514</v>
      </c>
      <c r="T46" s="152">
        <v>853.05700000000002</v>
      </c>
      <c r="U46" s="166">
        <v>1.5100000000000001E-4</v>
      </c>
      <c r="V46" s="166">
        <v>0.120924842530838</v>
      </c>
      <c r="W46" s="166">
        <v>5.8561801972167498E-3</v>
      </c>
    </row>
    <row r="47" spans="1:23">
      <c r="A47" s="4">
        <v>424</v>
      </c>
      <c r="B47" s="4">
        <v>7229</v>
      </c>
      <c r="C47" s="4" t="s">
        <v>1538</v>
      </c>
      <c r="D47" s="4" t="s">
        <v>1539</v>
      </c>
      <c r="E47" s="4" t="s">
        <v>350</v>
      </c>
      <c r="F47" s="4" t="s">
        <v>1540</v>
      </c>
      <c r="G47" s="4" t="s">
        <v>1541</v>
      </c>
      <c r="H47" s="4" t="s">
        <v>356</v>
      </c>
      <c r="I47" s="4" t="s">
        <v>1020</v>
      </c>
      <c r="J47" s="4" t="s">
        <v>97</v>
      </c>
      <c r="K47" s="4" t="s">
        <v>334</v>
      </c>
      <c r="L47" s="4" t="s">
        <v>362</v>
      </c>
      <c r="M47" s="2" t="s">
        <v>1533</v>
      </c>
      <c r="N47" s="4" t="s">
        <v>767</v>
      </c>
      <c r="O47" s="4" t="s">
        <v>155</v>
      </c>
      <c r="P47" s="4" t="s">
        <v>102</v>
      </c>
      <c r="Q47" s="152">
        <v>541.19000000000005</v>
      </c>
      <c r="R47" s="167">
        <v>3.71</v>
      </c>
      <c r="S47" s="169">
        <v>18313</v>
      </c>
      <c r="T47" s="152">
        <v>367.69099999999997</v>
      </c>
      <c r="U47" s="166">
        <v>5.8999999999999998E-5</v>
      </c>
      <c r="V47" s="166">
        <v>5.2121978136995699E-2</v>
      </c>
      <c r="W47" s="166">
        <v>2.5241769169788001E-3</v>
      </c>
    </row>
    <row r="48" spans="1:23">
      <c r="A48" s="4">
        <v>424</v>
      </c>
      <c r="B48" s="4">
        <v>7229</v>
      </c>
      <c r="C48" s="4" t="s">
        <v>1542</v>
      </c>
      <c r="D48" s="4" t="s">
        <v>1543</v>
      </c>
      <c r="E48" s="4" t="s">
        <v>350</v>
      </c>
      <c r="F48" s="4" t="s">
        <v>1544</v>
      </c>
      <c r="G48" s="4" t="s">
        <v>1545</v>
      </c>
      <c r="H48" s="4" t="s">
        <v>356</v>
      </c>
      <c r="I48" s="4" t="s">
        <v>965</v>
      </c>
      <c r="J48" s="4" t="s">
        <v>97</v>
      </c>
      <c r="K48" s="4" t="s">
        <v>334</v>
      </c>
      <c r="L48" s="4" t="s">
        <v>362</v>
      </c>
      <c r="M48" s="2" t="s">
        <v>1533</v>
      </c>
      <c r="N48" s="4" t="s">
        <v>770</v>
      </c>
      <c r="O48" s="4" t="s">
        <v>155</v>
      </c>
      <c r="P48" s="4" t="s">
        <v>102</v>
      </c>
      <c r="Q48" s="152">
        <v>28821.46</v>
      </c>
      <c r="R48" s="167">
        <v>3.71</v>
      </c>
      <c r="S48" s="169">
        <v>1079.7</v>
      </c>
      <c r="T48" s="152">
        <v>1154.4970000000001</v>
      </c>
      <c r="U48" s="166">
        <v>2.281E-3</v>
      </c>
      <c r="V48" s="166">
        <v>0.163655539250013</v>
      </c>
      <c r="W48" s="166">
        <v>7.92555365847461E-3</v>
      </c>
    </row>
    <row r="49" spans="1:23">
      <c r="A49" s="4">
        <v>424</v>
      </c>
      <c r="B49" s="4">
        <v>7229</v>
      </c>
      <c r="C49" s="4" t="s">
        <v>1546</v>
      </c>
      <c r="D49" s="4" t="s">
        <v>1547</v>
      </c>
      <c r="E49" s="4" t="s">
        <v>350</v>
      </c>
      <c r="F49" s="4" t="s">
        <v>1548</v>
      </c>
      <c r="G49" s="4" t="s">
        <v>1549</v>
      </c>
      <c r="H49" s="4" t="s">
        <v>356</v>
      </c>
      <c r="I49" s="4" t="s">
        <v>965</v>
      </c>
      <c r="J49" s="4" t="s">
        <v>97</v>
      </c>
      <c r="K49" s="4" t="s">
        <v>291</v>
      </c>
      <c r="L49" s="4" t="s">
        <v>362</v>
      </c>
      <c r="M49" s="2" t="s">
        <v>194</v>
      </c>
      <c r="N49" s="4" t="s">
        <v>770</v>
      </c>
      <c r="O49" s="4" t="s">
        <v>155</v>
      </c>
      <c r="P49" s="4" t="s">
        <v>102</v>
      </c>
      <c r="Q49" s="152">
        <v>1177.04</v>
      </c>
      <c r="R49" s="167">
        <v>3.71</v>
      </c>
      <c r="S49" s="169">
        <v>1608.31</v>
      </c>
      <c r="T49" s="152">
        <v>70.231999999999999</v>
      </c>
      <c r="U49" s="166">
        <v>0</v>
      </c>
      <c r="V49" s="166">
        <v>9.9557186608574093E-3</v>
      </c>
      <c r="W49" s="166">
        <v>4.8213817153333101E-4</v>
      </c>
    </row>
    <row r="50" spans="1:23">
      <c r="A50" s="4">
        <v>424</v>
      </c>
      <c r="B50" s="4">
        <v>7229</v>
      </c>
      <c r="C50" s="4" t="s">
        <v>1550</v>
      </c>
      <c r="D50" s="4" t="s">
        <v>1551</v>
      </c>
      <c r="E50" s="4" t="s">
        <v>350</v>
      </c>
      <c r="F50" s="4" t="s">
        <v>1552</v>
      </c>
      <c r="G50" s="4" t="s">
        <v>1553</v>
      </c>
      <c r="H50" s="4" t="s">
        <v>356</v>
      </c>
      <c r="I50" s="4" t="s">
        <v>1020</v>
      </c>
      <c r="J50" s="4" t="s">
        <v>97</v>
      </c>
      <c r="K50" s="4" t="s">
        <v>327</v>
      </c>
      <c r="L50" s="4" t="s">
        <v>362</v>
      </c>
      <c r="M50" s="2" t="s">
        <v>194</v>
      </c>
      <c r="N50" s="4" t="s">
        <v>767</v>
      </c>
      <c r="O50" s="4" t="s">
        <v>155</v>
      </c>
      <c r="P50" s="4" t="s">
        <v>102</v>
      </c>
      <c r="Q50" s="152">
        <v>11165.92</v>
      </c>
      <c r="R50" s="167">
        <v>3.71</v>
      </c>
      <c r="S50" s="169">
        <v>1120.5</v>
      </c>
      <c r="T50" s="152">
        <v>464.173</v>
      </c>
      <c r="U50" s="166">
        <v>0</v>
      </c>
      <c r="V50" s="166">
        <v>6.5798804647631007E-2</v>
      </c>
      <c r="W50" s="166">
        <v>3.1865218818021E-3</v>
      </c>
    </row>
    <row r="51" spans="1:23">
      <c r="A51" s="4">
        <v>424</v>
      </c>
      <c r="B51" s="4">
        <v>7229</v>
      </c>
      <c r="C51" s="4" t="s">
        <v>1557</v>
      </c>
      <c r="D51" s="4" t="s">
        <v>1558</v>
      </c>
      <c r="E51" s="4" t="s">
        <v>350</v>
      </c>
      <c r="F51" s="4" t="s">
        <v>1559</v>
      </c>
      <c r="G51" s="4" t="s">
        <v>1560</v>
      </c>
      <c r="H51" s="4" t="s">
        <v>356</v>
      </c>
      <c r="I51" s="4" t="s">
        <v>1020</v>
      </c>
      <c r="J51" s="4" t="s">
        <v>97</v>
      </c>
      <c r="K51" s="4" t="s">
        <v>334</v>
      </c>
      <c r="L51" s="4" t="s">
        <v>362</v>
      </c>
      <c r="M51" s="2" t="s">
        <v>194</v>
      </c>
      <c r="N51" s="4" t="s">
        <v>767</v>
      </c>
      <c r="O51" s="4" t="s">
        <v>155</v>
      </c>
      <c r="P51" s="4" t="s">
        <v>102</v>
      </c>
      <c r="Q51" s="152">
        <v>26395.85</v>
      </c>
      <c r="R51" s="167">
        <v>3.71</v>
      </c>
      <c r="S51" s="169">
        <v>1272.55</v>
      </c>
      <c r="T51" s="152">
        <v>1246.19</v>
      </c>
      <c r="U51" s="166">
        <v>0</v>
      </c>
      <c r="V51" s="166">
        <v>0.176653455948074</v>
      </c>
      <c r="W51" s="166">
        <v>8.5550201996681501E-3</v>
      </c>
    </row>
    <row r="52" spans="1:23">
      <c r="A52" s="4">
        <v>424</v>
      </c>
      <c r="B52" s="4">
        <v>7229</v>
      </c>
      <c r="C52" s="4" t="s">
        <v>1561</v>
      </c>
      <c r="D52" s="4" t="s">
        <v>1562</v>
      </c>
      <c r="E52" s="4" t="s">
        <v>350</v>
      </c>
      <c r="F52" s="4" t="s">
        <v>1563</v>
      </c>
      <c r="G52" s="4" t="s">
        <v>1564</v>
      </c>
      <c r="H52" s="4" t="s">
        <v>356</v>
      </c>
      <c r="I52" s="4" t="s">
        <v>1020</v>
      </c>
      <c r="J52" s="4" t="s">
        <v>97</v>
      </c>
      <c r="K52" s="4" t="s">
        <v>259</v>
      </c>
      <c r="L52" s="4" t="s">
        <v>362</v>
      </c>
      <c r="M52" s="2" t="s">
        <v>1533</v>
      </c>
      <c r="N52" s="4" t="s">
        <v>767</v>
      </c>
      <c r="O52" s="4" t="s">
        <v>155</v>
      </c>
      <c r="P52" s="4" t="s">
        <v>102</v>
      </c>
      <c r="Q52" s="152">
        <v>48904.21</v>
      </c>
      <c r="R52" s="167">
        <v>3.71</v>
      </c>
      <c r="S52" s="169">
        <v>1192.75</v>
      </c>
      <c r="T52" s="152">
        <v>2164.0610000000001</v>
      </c>
      <c r="U52" s="166">
        <v>1.98E-3</v>
      </c>
      <c r="V52" s="166">
        <v>0.306766056902332</v>
      </c>
      <c r="W52" s="166">
        <v>1.4856147587304599E-2</v>
      </c>
    </row>
    <row r="53" spans="1:23">
      <c r="A53" s="4">
        <v>424</v>
      </c>
      <c r="B53" s="4">
        <v>7229</v>
      </c>
      <c r="C53" s="4" t="s">
        <v>1565</v>
      </c>
      <c r="D53" s="4" t="s">
        <v>1566</v>
      </c>
      <c r="E53" s="4" t="s">
        <v>350</v>
      </c>
      <c r="F53" s="4" t="s">
        <v>1567</v>
      </c>
      <c r="G53" s="4" t="s">
        <v>1568</v>
      </c>
      <c r="H53" s="4" t="s">
        <v>356</v>
      </c>
      <c r="I53" s="4" t="s">
        <v>1020</v>
      </c>
      <c r="J53" s="4" t="s">
        <v>97</v>
      </c>
      <c r="K53" s="4" t="s">
        <v>291</v>
      </c>
      <c r="L53" s="4" t="s">
        <v>362</v>
      </c>
      <c r="M53" s="2" t="s">
        <v>194</v>
      </c>
      <c r="N53" s="4" t="s">
        <v>767</v>
      </c>
      <c r="O53" s="4" t="s">
        <v>155</v>
      </c>
      <c r="P53" s="4" t="s">
        <v>102</v>
      </c>
      <c r="Q53" s="152">
        <v>406.73</v>
      </c>
      <c r="R53" s="167">
        <v>3.71</v>
      </c>
      <c r="S53" s="169">
        <v>24203</v>
      </c>
      <c r="T53" s="152">
        <v>365.21600000000001</v>
      </c>
      <c r="U53" s="166">
        <v>2.1800000000000001E-4</v>
      </c>
      <c r="V53" s="166">
        <v>5.17710577944051E-2</v>
      </c>
      <c r="W53" s="166">
        <v>2.5071824539878301E-3</v>
      </c>
    </row>
    <row r="54" spans="1:23">
      <c r="A54" s="4">
        <v>424</v>
      </c>
      <c r="B54" s="4">
        <v>9817</v>
      </c>
      <c r="C54" s="4" t="s">
        <v>1571</v>
      </c>
      <c r="D54" s="4" t="s">
        <v>1572</v>
      </c>
      <c r="E54" s="4" t="s">
        <v>1342</v>
      </c>
      <c r="F54" s="4" t="s">
        <v>1573</v>
      </c>
      <c r="G54" s="4" t="s">
        <v>1574</v>
      </c>
      <c r="H54" s="4" t="s">
        <v>356</v>
      </c>
      <c r="I54" s="4" t="s">
        <v>965</v>
      </c>
      <c r="J54" s="4" t="s">
        <v>30</v>
      </c>
      <c r="K54" s="4" t="s">
        <v>30</v>
      </c>
      <c r="L54" s="4" t="s">
        <v>362</v>
      </c>
      <c r="M54" s="2" t="s">
        <v>31</v>
      </c>
      <c r="N54" s="4" t="s">
        <v>1575</v>
      </c>
      <c r="O54" s="4" t="s">
        <v>155</v>
      </c>
      <c r="P54" s="4" t="s">
        <v>34</v>
      </c>
      <c r="Q54" s="152">
        <v>590</v>
      </c>
      <c r="R54" s="167">
        <v>1</v>
      </c>
      <c r="S54" s="169">
        <v>2942.01</v>
      </c>
      <c r="T54" s="152">
        <v>17.358000000000001</v>
      </c>
      <c r="U54" s="166">
        <v>0</v>
      </c>
      <c r="V54" s="166">
        <v>1</v>
      </c>
      <c r="W54" s="166">
        <v>1.13107062677767E-2</v>
      </c>
    </row>
    <row r="55" spans="1:23">
      <c r="A55" s="4">
        <v>969</v>
      </c>
      <c r="B55" s="4">
        <v>969</v>
      </c>
      <c r="C55" s="4" t="s">
        <v>1524</v>
      </c>
      <c r="D55" s="4" t="s">
        <v>1525</v>
      </c>
      <c r="E55" s="4" t="s">
        <v>350</v>
      </c>
      <c r="F55" s="4" t="s">
        <v>1526</v>
      </c>
      <c r="G55" s="4" t="s">
        <v>1527</v>
      </c>
      <c r="H55" s="4" t="s">
        <v>356</v>
      </c>
      <c r="I55" s="4" t="s">
        <v>1020</v>
      </c>
      <c r="J55" s="4" t="s">
        <v>97</v>
      </c>
      <c r="K55" s="4" t="s">
        <v>329</v>
      </c>
      <c r="L55" s="4" t="s">
        <v>362</v>
      </c>
      <c r="M55" s="2" t="s">
        <v>1528</v>
      </c>
      <c r="N55" s="4" t="s">
        <v>767</v>
      </c>
      <c r="O55" s="4" t="s">
        <v>155</v>
      </c>
      <c r="P55" s="4" t="s">
        <v>102</v>
      </c>
      <c r="Q55" s="152">
        <v>75.099999999999994</v>
      </c>
      <c r="R55" s="167">
        <v>3.71</v>
      </c>
      <c r="S55" s="169">
        <v>135345.4</v>
      </c>
      <c r="T55" s="152">
        <v>377.101</v>
      </c>
      <c r="U55" s="166">
        <v>1.06E-4</v>
      </c>
      <c r="V55" s="166">
        <v>8.7252081801471398E-2</v>
      </c>
      <c r="W55" s="166">
        <v>4.9843298406156101E-3</v>
      </c>
    </row>
    <row r="56" spans="1:23">
      <c r="A56" s="4">
        <v>969</v>
      </c>
      <c r="B56" s="4">
        <v>969</v>
      </c>
      <c r="C56" s="4" t="s">
        <v>1534</v>
      </c>
      <c r="D56" s="4" t="s">
        <v>1535</v>
      </c>
      <c r="E56" s="4" t="s">
        <v>350</v>
      </c>
      <c r="F56" s="4" t="s">
        <v>1536</v>
      </c>
      <c r="G56" s="4" t="s">
        <v>1537</v>
      </c>
      <c r="H56" s="4" t="s">
        <v>356</v>
      </c>
      <c r="I56" s="4" t="s">
        <v>1020</v>
      </c>
      <c r="J56" s="4" t="s">
        <v>97</v>
      </c>
      <c r="K56" s="4" t="s">
        <v>291</v>
      </c>
      <c r="L56" s="4" t="s">
        <v>362</v>
      </c>
      <c r="M56" s="2" t="s">
        <v>194</v>
      </c>
      <c r="N56" s="4" t="s">
        <v>767</v>
      </c>
      <c r="O56" s="4" t="s">
        <v>155</v>
      </c>
      <c r="P56" s="4" t="s">
        <v>102</v>
      </c>
      <c r="Q56" s="152">
        <v>3129.44</v>
      </c>
      <c r="R56" s="167">
        <v>3.71</v>
      </c>
      <c r="S56" s="169">
        <v>3514</v>
      </c>
      <c r="T56" s="152">
        <v>407.983</v>
      </c>
      <c r="U56" s="166">
        <v>7.2000000000000002E-5</v>
      </c>
      <c r="V56" s="166">
        <v>9.4397555364179805E-2</v>
      </c>
      <c r="W56" s="166">
        <v>5.3925194948748001E-3</v>
      </c>
    </row>
    <row r="57" spans="1:23">
      <c r="A57" s="4">
        <v>969</v>
      </c>
      <c r="B57" s="4">
        <v>969</v>
      </c>
      <c r="C57" s="4" t="s">
        <v>1538</v>
      </c>
      <c r="D57" s="4" t="s">
        <v>1539</v>
      </c>
      <c r="E57" s="4" t="s">
        <v>350</v>
      </c>
      <c r="F57" s="4" t="s">
        <v>1540</v>
      </c>
      <c r="G57" s="4" t="s">
        <v>1541</v>
      </c>
      <c r="H57" s="4" t="s">
        <v>356</v>
      </c>
      <c r="I57" s="4" t="s">
        <v>1020</v>
      </c>
      <c r="J57" s="4" t="s">
        <v>97</v>
      </c>
      <c r="K57" s="4" t="s">
        <v>334</v>
      </c>
      <c r="L57" s="4" t="s">
        <v>362</v>
      </c>
      <c r="M57" s="2" t="s">
        <v>1533</v>
      </c>
      <c r="N57" s="4" t="s">
        <v>767</v>
      </c>
      <c r="O57" s="4" t="s">
        <v>155</v>
      </c>
      <c r="P57" s="4" t="s">
        <v>102</v>
      </c>
      <c r="Q57" s="152">
        <v>552.58000000000004</v>
      </c>
      <c r="R57" s="167">
        <v>3.71</v>
      </c>
      <c r="S57" s="169">
        <v>18313</v>
      </c>
      <c r="T57" s="152">
        <v>375.43</v>
      </c>
      <c r="U57" s="166">
        <v>6.0999999999999999E-5</v>
      </c>
      <c r="V57" s="166">
        <v>8.6865438912501897E-2</v>
      </c>
      <c r="W57" s="166">
        <v>4.9622426233324997E-3</v>
      </c>
    </row>
    <row r="58" spans="1:23">
      <c r="A58" s="4">
        <v>969</v>
      </c>
      <c r="B58" s="4">
        <v>969</v>
      </c>
      <c r="C58" s="4" t="s">
        <v>1542</v>
      </c>
      <c r="D58" s="4" t="s">
        <v>1543</v>
      </c>
      <c r="E58" s="4" t="s">
        <v>350</v>
      </c>
      <c r="F58" s="4" t="s">
        <v>1544</v>
      </c>
      <c r="G58" s="4" t="s">
        <v>1545</v>
      </c>
      <c r="H58" s="4" t="s">
        <v>356</v>
      </c>
      <c r="I58" s="4" t="s">
        <v>965</v>
      </c>
      <c r="J58" s="4" t="s">
        <v>97</v>
      </c>
      <c r="K58" s="4" t="s">
        <v>334</v>
      </c>
      <c r="L58" s="4" t="s">
        <v>362</v>
      </c>
      <c r="M58" s="2" t="s">
        <v>1533</v>
      </c>
      <c r="N58" s="4" t="s">
        <v>770</v>
      </c>
      <c r="O58" s="4" t="s">
        <v>155</v>
      </c>
      <c r="P58" s="4" t="s">
        <v>102</v>
      </c>
      <c r="Q58" s="152">
        <v>13191.1</v>
      </c>
      <c r="R58" s="167">
        <v>3.71</v>
      </c>
      <c r="S58" s="169">
        <v>1079.7</v>
      </c>
      <c r="T58" s="152">
        <v>528.39400000000001</v>
      </c>
      <c r="U58" s="166">
        <v>1.044E-3</v>
      </c>
      <c r="V58" s="166">
        <v>0.12225777141772699</v>
      </c>
      <c r="W58" s="166">
        <v>6.9840517927248196E-3</v>
      </c>
    </row>
    <row r="59" spans="1:23">
      <c r="A59" s="4">
        <v>969</v>
      </c>
      <c r="B59" s="4">
        <v>969</v>
      </c>
      <c r="C59" s="4" t="s">
        <v>1546</v>
      </c>
      <c r="D59" s="4" t="s">
        <v>1547</v>
      </c>
      <c r="E59" s="4" t="s">
        <v>350</v>
      </c>
      <c r="F59" s="4" t="s">
        <v>1548</v>
      </c>
      <c r="G59" s="4" t="s">
        <v>1549</v>
      </c>
      <c r="H59" s="4" t="s">
        <v>356</v>
      </c>
      <c r="I59" s="4" t="s">
        <v>965</v>
      </c>
      <c r="J59" s="4" t="s">
        <v>97</v>
      </c>
      <c r="K59" s="4" t="s">
        <v>291</v>
      </c>
      <c r="L59" s="4" t="s">
        <v>362</v>
      </c>
      <c r="M59" s="2" t="s">
        <v>194</v>
      </c>
      <c r="N59" s="4" t="s">
        <v>770</v>
      </c>
      <c r="O59" s="4" t="s">
        <v>155</v>
      </c>
      <c r="P59" s="4" t="s">
        <v>102</v>
      </c>
      <c r="Q59" s="152">
        <v>10462.65</v>
      </c>
      <c r="R59" s="167">
        <v>3.71</v>
      </c>
      <c r="S59" s="169">
        <v>1608.31</v>
      </c>
      <c r="T59" s="152">
        <v>624.28899999999999</v>
      </c>
      <c r="U59" s="166">
        <v>0</v>
      </c>
      <c r="V59" s="166">
        <v>0.14444543482262501</v>
      </c>
      <c r="W59" s="166">
        <v>8.2515359663884198E-3</v>
      </c>
    </row>
    <row r="60" spans="1:23">
      <c r="A60" s="4">
        <v>969</v>
      </c>
      <c r="B60" s="4">
        <v>969</v>
      </c>
      <c r="C60" s="4" t="s">
        <v>1550</v>
      </c>
      <c r="D60" s="4" t="s">
        <v>1551</v>
      </c>
      <c r="E60" s="4" t="s">
        <v>350</v>
      </c>
      <c r="F60" s="4" t="s">
        <v>1552</v>
      </c>
      <c r="G60" s="4" t="s">
        <v>1553</v>
      </c>
      <c r="H60" s="4" t="s">
        <v>356</v>
      </c>
      <c r="I60" s="4" t="s">
        <v>1020</v>
      </c>
      <c r="J60" s="4" t="s">
        <v>97</v>
      </c>
      <c r="K60" s="4" t="s">
        <v>327</v>
      </c>
      <c r="L60" s="4" t="s">
        <v>362</v>
      </c>
      <c r="M60" s="2" t="s">
        <v>194</v>
      </c>
      <c r="N60" s="4" t="s">
        <v>767</v>
      </c>
      <c r="O60" s="4" t="s">
        <v>155</v>
      </c>
      <c r="P60" s="4" t="s">
        <v>102</v>
      </c>
      <c r="Q60" s="152">
        <v>5825.7</v>
      </c>
      <c r="R60" s="167">
        <v>3.71</v>
      </c>
      <c r="S60" s="169">
        <v>1120.5</v>
      </c>
      <c r="T60" s="152">
        <v>242.178</v>
      </c>
      <c r="U60" s="166">
        <v>0</v>
      </c>
      <c r="V60" s="166">
        <v>5.6034091923125098E-2</v>
      </c>
      <c r="W60" s="166">
        <v>3.2009826092140401E-3</v>
      </c>
    </row>
    <row r="61" spans="1:23">
      <c r="A61" s="4">
        <v>969</v>
      </c>
      <c r="B61" s="4">
        <v>969</v>
      </c>
      <c r="C61" s="4" t="s">
        <v>1557</v>
      </c>
      <c r="D61" s="4" t="s">
        <v>1558</v>
      </c>
      <c r="E61" s="4" t="s">
        <v>350</v>
      </c>
      <c r="F61" s="4" t="s">
        <v>1559</v>
      </c>
      <c r="G61" s="4" t="s">
        <v>1560</v>
      </c>
      <c r="H61" s="4" t="s">
        <v>356</v>
      </c>
      <c r="I61" s="4" t="s">
        <v>1020</v>
      </c>
      <c r="J61" s="4" t="s">
        <v>97</v>
      </c>
      <c r="K61" s="4" t="s">
        <v>334</v>
      </c>
      <c r="L61" s="4" t="s">
        <v>362</v>
      </c>
      <c r="M61" s="2" t="s">
        <v>194</v>
      </c>
      <c r="N61" s="4" t="s">
        <v>767</v>
      </c>
      <c r="O61" s="4" t="s">
        <v>155</v>
      </c>
      <c r="P61" s="4" t="s">
        <v>102</v>
      </c>
      <c r="Q61" s="152">
        <v>11740</v>
      </c>
      <c r="R61" s="167">
        <v>3.71</v>
      </c>
      <c r="S61" s="169">
        <v>1272.55</v>
      </c>
      <c r="T61" s="152">
        <v>554.26400000000001</v>
      </c>
      <c r="U61" s="166">
        <v>0</v>
      </c>
      <c r="V61" s="166">
        <v>0.12824348550520001</v>
      </c>
      <c r="W61" s="166">
        <v>7.3259894603150098E-3</v>
      </c>
    </row>
    <row r="62" spans="1:23">
      <c r="A62" s="4">
        <v>969</v>
      </c>
      <c r="B62" s="4">
        <v>969</v>
      </c>
      <c r="C62" s="4" t="s">
        <v>1561</v>
      </c>
      <c r="D62" s="4" t="s">
        <v>1562</v>
      </c>
      <c r="E62" s="4" t="s">
        <v>350</v>
      </c>
      <c r="F62" s="4" t="s">
        <v>1563</v>
      </c>
      <c r="G62" s="4" t="s">
        <v>1564</v>
      </c>
      <c r="H62" s="4" t="s">
        <v>356</v>
      </c>
      <c r="I62" s="4" t="s">
        <v>1020</v>
      </c>
      <c r="J62" s="4" t="s">
        <v>97</v>
      </c>
      <c r="K62" s="4" t="s">
        <v>259</v>
      </c>
      <c r="L62" s="4" t="s">
        <v>362</v>
      </c>
      <c r="M62" s="2" t="s">
        <v>1533</v>
      </c>
      <c r="N62" s="4" t="s">
        <v>767</v>
      </c>
      <c r="O62" s="4" t="s">
        <v>155</v>
      </c>
      <c r="P62" s="4" t="s">
        <v>102</v>
      </c>
      <c r="Q62" s="152">
        <v>22444.65</v>
      </c>
      <c r="R62" s="167">
        <v>3.71</v>
      </c>
      <c r="S62" s="169">
        <v>1192.75</v>
      </c>
      <c r="T62" s="152">
        <v>993.19899999999996</v>
      </c>
      <c r="U62" s="166">
        <v>9.0899999999999998E-4</v>
      </c>
      <c r="V62" s="166">
        <v>0.22980243362167599</v>
      </c>
      <c r="W62" s="166">
        <v>1.3127608003128399E-2</v>
      </c>
    </row>
    <row r="63" spans="1:23">
      <c r="A63" s="4">
        <v>969</v>
      </c>
      <c r="B63" s="4">
        <v>969</v>
      </c>
      <c r="C63" s="4" t="s">
        <v>1565</v>
      </c>
      <c r="D63" s="4" t="s">
        <v>1566</v>
      </c>
      <c r="E63" s="4" t="s">
        <v>350</v>
      </c>
      <c r="F63" s="4" t="s">
        <v>1567</v>
      </c>
      <c r="G63" s="4" t="s">
        <v>1568</v>
      </c>
      <c r="H63" s="4" t="s">
        <v>356</v>
      </c>
      <c r="I63" s="4" t="s">
        <v>1020</v>
      </c>
      <c r="J63" s="4" t="s">
        <v>97</v>
      </c>
      <c r="K63" s="4" t="s">
        <v>291</v>
      </c>
      <c r="L63" s="4" t="s">
        <v>362</v>
      </c>
      <c r="M63" s="2" t="s">
        <v>194</v>
      </c>
      <c r="N63" s="4" t="s">
        <v>767</v>
      </c>
      <c r="O63" s="4" t="s">
        <v>155</v>
      </c>
      <c r="P63" s="4" t="s">
        <v>102</v>
      </c>
      <c r="Q63" s="152">
        <v>244.04</v>
      </c>
      <c r="R63" s="167">
        <v>3.71</v>
      </c>
      <c r="S63" s="169">
        <v>24203</v>
      </c>
      <c r="T63" s="152">
        <v>219.131</v>
      </c>
      <c r="U63" s="166">
        <v>1.3100000000000001E-4</v>
      </c>
      <c r="V63" s="166">
        <v>5.07017066314943E-2</v>
      </c>
      <c r="W63" s="166">
        <v>2.8963667584288402E-3</v>
      </c>
    </row>
    <row r="1048574" spans="14:14">
      <c r="N1048574" s="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Y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7" width="11.625" style="2" customWidth="1"/>
    <col min="28" max="28" width="9" style="2" customWidth="1"/>
    <col min="29" max="16384" width="9" style="2"/>
  </cols>
  <sheetData>
    <row r="1" spans="1:25" ht="66.75" customHeight="1">
      <c r="A1" s="19" t="s">
        <v>0</v>
      </c>
      <c r="B1" s="19" t="s">
        <v>1</v>
      </c>
      <c r="C1" s="19" t="s">
        <v>2</v>
      </c>
      <c r="D1" s="19" t="s">
        <v>173</v>
      </c>
      <c r="E1" s="19" t="s">
        <v>174</v>
      </c>
      <c r="F1" s="19" t="s">
        <v>3</v>
      </c>
      <c r="G1" s="19" t="s">
        <v>4</v>
      </c>
      <c r="H1" s="19" t="s">
        <v>175</v>
      </c>
      <c r="I1" s="19" t="s">
        <v>6</v>
      </c>
      <c r="J1" s="19" t="s">
        <v>7</v>
      </c>
      <c r="K1" s="19" t="s">
        <v>361</v>
      </c>
      <c r="L1" s="19" t="s">
        <v>8</v>
      </c>
      <c r="M1" s="19" t="s">
        <v>1150</v>
      </c>
      <c r="N1" s="19" t="s">
        <v>176</v>
      </c>
      <c r="O1" s="19" t="s">
        <v>1151</v>
      </c>
      <c r="P1" s="19" t="s">
        <v>141</v>
      </c>
      <c r="Q1" s="19" t="s">
        <v>11</v>
      </c>
      <c r="R1" s="168" t="s">
        <v>1152</v>
      </c>
      <c r="S1" s="19" t="s">
        <v>1153</v>
      </c>
      <c r="T1" s="19" t="s">
        <v>17</v>
      </c>
      <c r="U1" s="157" t="s">
        <v>18</v>
      </c>
      <c r="V1" s="168" t="s">
        <v>19</v>
      </c>
      <c r="W1" s="19" t="s">
        <v>20</v>
      </c>
      <c r="X1" s="163" t="s">
        <v>24</v>
      </c>
      <c r="Y1" s="163" t="s">
        <v>25</v>
      </c>
    </row>
    <row r="2" spans="1:25">
      <c r="A2" s="26">
        <v>1182</v>
      </c>
      <c r="B2" s="20">
        <v>1182</v>
      </c>
      <c r="C2" s="20" t="s">
        <v>1942</v>
      </c>
      <c r="D2" s="20" t="s">
        <v>1943</v>
      </c>
      <c r="E2" s="18" t="s">
        <v>1342</v>
      </c>
      <c r="F2" s="20" t="s">
        <v>2613</v>
      </c>
      <c r="G2" s="20" t="s">
        <v>2614</v>
      </c>
      <c r="H2" s="18" t="s">
        <v>356</v>
      </c>
      <c r="I2" s="18" t="s">
        <v>30</v>
      </c>
      <c r="J2" s="18" t="s">
        <v>30</v>
      </c>
      <c r="K2" s="20" t="s">
        <v>362</v>
      </c>
      <c r="L2" s="18" t="s">
        <v>31</v>
      </c>
      <c r="M2" s="20" t="s">
        <v>1945</v>
      </c>
      <c r="N2" s="20" t="s">
        <v>514</v>
      </c>
      <c r="O2" s="20" t="s">
        <v>2615</v>
      </c>
      <c r="P2" s="20" t="s">
        <v>155</v>
      </c>
      <c r="Q2" s="18" t="s">
        <v>34</v>
      </c>
      <c r="R2" s="177">
        <v>0</v>
      </c>
      <c r="S2" s="154">
        <v>0</v>
      </c>
      <c r="T2" s="153">
        <v>18000</v>
      </c>
      <c r="U2" s="173">
        <v>1</v>
      </c>
      <c r="V2" s="174">
        <v>12.4</v>
      </c>
      <c r="W2" s="153">
        <v>2.2320000000000002</v>
      </c>
      <c r="X2" s="172">
        <v>0.89876023273960004</v>
      </c>
      <c r="Y2" s="172">
        <v>5.4183745016119002E-6</v>
      </c>
    </row>
    <row r="3" spans="1:25">
      <c r="A3" s="20">
        <v>1182</v>
      </c>
      <c r="B3" s="20">
        <v>1182</v>
      </c>
      <c r="C3" s="20" t="s">
        <v>1973</v>
      </c>
      <c r="D3" s="20" t="s">
        <v>1974</v>
      </c>
      <c r="E3" s="18" t="s">
        <v>1342</v>
      </c>
      <c r="F3" s="20" t="s">
        <v>2616</v>
      </c>
      <c r="G3" s="20" t="s">
        <v>2617</v>
      </c>
      <c r="H3" s="18" t="s">
        <v>356</v>
      </c>
      <c r="I3" s="18" t="s">
        <v>30</v>
      </c>
      <c r="J3" s="18" t="s">
        <v>30</v>
      </c>
      <c r="K3" s="20" t="s">
        <v>362</v>
      </c>
      <c r="L3" s="18" t="s">
        <v>31</v>
      </c>
      <c r="M3" s="20" t="s">
        <v>1976</v>
      </c>
      <c r="N3" s="20" t="s">
        <v>497</v>
      </c>
      <c r="O3" s="20" t="s">
        <v>2618</v>
      </c>
      <c r="P3" s="20" t="s">
        <v>155</v>
      </c>
      <c r="Q3" s="18" t="s">
        <v>34</v>
      </c>
      <c r="R3" s="177">
        <v>550</v>
      </c>
      <c r="S3" s="154">
        <v>0</v>
      </c>
      <c r="T3" s="153">
        <v>4489.66</v>
      </c>
      <c r="U3" s="173">
        <v>1</v>
      </c>
      <c r="V3" s="174">
        <v>5.6</v>
      </c>
      <c r="W3" s="153">
        <v>0.251</v>
      </c>
      <c r="X3" s="172">
        <v>0.1012397672604</v>
      </c>
      <c r="Y3" s="172">
        <v>6.1034628980053104E-7</v>
      </c>
    </row>
    <row r="4" spans="1:25">
      <c r="A4" s="20">
        <v>424</v>
      </c>
      <c r="B4" s="20">
        <v>7228</v>
      </c>
      <c r="C4" s="20" t="s">
        <v>1942</v>
      </c>
      <c r="D4" s="20" t="s">
        <v>1943</v>
      </c>
      <c r="E4" s="18" t="s">
        <v>1342</v>
      </c>
      <c r="F4" s="20" t="s">
        <v>2613</v>
      </c>
      <c r="G4" s="20" t="s">
        <v>2614</v>
      </c>
      <c r="H4" s="18" t="s">
        <v>356</v>
      </c>
      <c r="I4" s="18" t="s">
        <v>30</v>
      </c>
      <c r="J4" s="18" t="s">
        <v>30</v>
      </c>
      <c r="K4" s="20" t="s">
        <v>362</v>
      </c>
      <c r="L4" s="18" t="s">
        <v>31</v>
      </c>
      <c r="M4" s="20" t="s">
        <v>1945</v>
      </c>
      <c r="N4" s="20" t="s">
        <v>514</v>
      </c>
      <c r="O4" s="20" t="s">
        <v>2615</v>
      </c>
      <c r="P4" s="20" t="s">
        <v>155</v>
      </c>
      <c r="Q4" s="18" t="s">
        <v>34</v>
      </c>
      <c r="R4" s="177">
        <v>0</v>
      </c>
      <c r="S4" s="154">
        <v>0</v>
      </c>
      <c r="T4" s="153">
        <v>162225</v>
      </c>
      <c r="U4" s="173">
        <v>1</v>
      </c>
      <c r="V4" s="174">
        <v>12.4</v>
      </c>
      <c r="W4" s="153">
        <v>20.116</v>
      </c>
      <c r="X4" s="172">
        <v>0.89764663085984198</v>
      </c>
      <c r="Y4" s="172">
        <v>8.3329921175742898E-6</v>
      </c>
    </row>
    <row r="5" spans="1:25">
      <c r="A5" s="20">
        <v>424</v>
      </c>
      <c r="B5" s="20">
        <v>7228</v>
      </c>
      <c r="C5" s="20" t="s">
        <v>1973</v>
      </c>
      <c r="D5" s="20" t="s">
        <v>1974</v>
      </c>
      <c r="E5" s="18" t="s">
        <v>1342</v>
      </c>
      <c r="F5" s="20" t="s">
        <v>2616</v>
      </c>
      <c r="G5" s="20" t="s">
        <v>2617</v>
      </c>
      <c r="H5" s="18" t="s">
        <v>356</v>
      </c>
      <c r="I5" s="18" t="s">
        <v>30</v>
      </c>
      <c r="J5" s="18" t="s">
        <v>30</v>
      </c>
      <c r="K5" s="20" t="s">
        <v>362</v>
      </c>
      <c r="L5" s="18" t="s">
        <v>31</v>
      </c>
      <c r="M5" s="20" t="s">
        <v>1976</v>
      </c>
      <c r="N5" s="20" t="s">
        <v>497</v>
      </c>
      <c r="O5" s="20" t="s">
        <v>2618</v>
      </c>
      <c r="P5" s="20" t="s">
        <v>155</v>
      </c>
      <c r="Q5" s="18" t="s">
        <v>34</v>
      </c>
      <c r="R5" s="177">
        <v>550</v>
      </c>
      <c r="S5" s="154">
        <v>0</v>
      </c>
      <c r="T5" s="153">
        <v>40958.89</v>
      </c>
      <c r="U5" s="173">
        <v>1</v>
      </c>
      <c r="V5" s="174">
        <v>5.6</v>
      </c>
      <c r="W5" s="153">
        <v>2.294</v>
      </c>
      <c r="X5" s="172">
        <v>0.102353369140158</v>
      </c>
      <c r="Y5" s="172">
        <v>9.5016211160411196E-7</v>
      </c>
    </row>
    <row r="6" spans="1:25">
      <c r="A6" s="20">
        <v>424</v>
      </c>
      <c r="B6" s="20">
        <v>7229</v>
      </c>
      <c r="C6" s="20" t="s">
        <v>1942</v>
      </c>
      <c r="D6" s="20" t="s">
        <v>1943</v>
      </c>
      <c r="E6" s="18" t="s">
        <v>1342</v>
      </c>
      <c r="F6" s="20" t="s">
        <v>2613</v>
      </c>
      <c r="G6" s="20" t="s">
        <v>2614</v>
      </c>
      <c r="H6" s="18" t="s">
        <v>356</v>
      </c>
      <c r="I6" s="18" t="s">
        <v>30</v>
      </c>
      <c r="J6" s="18" t="s">
        <v>30</v>
      </c>
      <c r="K6" s="20" t="s">
        <v>362</v>
      </c>
      <c r="L6" s="18" t="s">
        <v>31</v>
      </c>
      <c r="M6" s="20" t="s">
        <v>1945</v>
      </c>
      <c r="N6" s="20" t="s">
        <v>514</v>
      </c>
      <c r="O6" s="20" t="s">
        <v>2615</v>
      </c>
      <c r="P6" s="20" t="s">
        <v>155</v>
      </c>
      <c r="Q6" s="18" t="s">
        <v>34</v>
      </c>
      <c r="R6" s="177">
        <v>0</v>
      </c>
      <c r="S6" s="154">
        <v>0</v>
      </c>
      <c r="T6" s="153">
        <v>7200</v>
      </c>
      <c r="U6" s="173">
        <v>1</v>
      </c>
      <c r="V6" s="174">
        <v>12.4</v>
      </c>
      <c r="W6" s="153">
        <v>0.89300000000000002</v>
      </c>
      <c r="X6" s="172">
        <v>1</v>
      </c>
      <c r="Y6" s="172">
        <v>6.1290166940559202E-6</v>
      </c>
    </row>
    <row r="7" spans="1:25">
      <c r="A7" s="20">
        <v>424</v>
      </c>
      <c r="B7" s="20">
        <v>9817</v>
      </c>
      <c r="C7" s="20" t="s">
        <v>1973</v>
      </c>
      <c r="D7" s="20" t="s">
        <v>1974</v>
      </c>
      <c r="E7" s="18" t="s">
        <v>1342</v>
      </c>
      <c r="F7" s="20" t="s">
        <v>2616</v>
      </c>
      <c r="G7" s="20" t="s">
        <v>2617</v>
      </c>
      <c r="H7" s="18" t="s">
        <v>356</v>
      </c>
      <c r="I7" s="18" t="s">
        <v>30</v>
      </c>
      <c r="J7" s="18" t="s">
        <v>30</v>
      </c>
      <c r="K7" s="20" t="s">
        <v>362</v>
      </c>
      <c r="L7" s="18" t="s">
        <v>31</v>
      </c>
      <c r="M7" s="20" t="s">
        <v>1976</v>
      </c>
      <c r="N7" s="20" t="s">
        <v>497</v>
      </c>
      <c r="O7" s="20" t="s">
        <v>2618</v>
      </c>
      <c r="P7" s="20" t="s">
        <v>155</v>
      </c>
      <c r="Q7" s="18" t="s">
        <v>34</v>
      </c>
      <c r="R7" s="177">
        <v>550</v>
      </c>
      <c r="S7" s="154">
        <v>0</v>
      </c>
      <c r="T7" s="153">
        <v>40.81</v>
      </c>
      <c r="U7" s="173">
        <v>1</v>
      </c>
      <c r="V7" s="174">
        <v>5.6</v>
      </c>
      <c r="W7" s="153">
        <v>2E-3</v>
      </c>
      <c r="X7" s="172">
        <v>1</v>
      </c>
      <c r="Y7" s="172">
        <v>1.4891834111641401E-6</v>
      </c>
    </row>
    <row r="8" spans="1:25">
      <c r="A8" s="20">
        <v>969</v>
      </c>
      <c r="B8" s="20">
        <v>969</v>
      </c>
      <c r="C8" s="20" t="s">
        <v>1942</v>
      </c>
      <c r="D8" s="20" t="s">
        <v>1943</v>
      </c>
      <c r="E8" s="18" t="s">
        <v>1342</v>
      </c>
      <c r="F8" s="20" t="s">
        <v>2613</v>
      </c>
      <c r="G8" s="20" t="s">
        <v>2614</v>
      </c>
      <c r="H8" s="18" t="s">
        <v>356</v>
      </c>
      <c r="I8" s="18" t="s">
        <v>30</v>
      </c>
      <c r="J8" s="18" t="s">
        <v>30</v>
      </c>
      <c r="K8" s="20" t="s">
        <v>362</v>
      </c>
      <c r="L8" s="18" t="s">
        <v>31</v>
      </c>
      <c r="M8" s="20" t="s">
        <v>1945</v>
      </c>
      <c r="N8" s="20" t="s">
        <v>514</v>
      </c>
      <c r="O8" s="20" t="s">
        <v>2615</v>
      </c>
      <c r="P8" s="20" t="s">
        <v>155</v>
      </c>
      <c r="Q8" s="18" t="s">
        <v>34</v>
      </c>
      <c r="R8" s="177">
        <v>0</v>
      </c>
      <c r="S8" s="154">
        <v>0</v>
      </c>
      <c r="T8" s="153">
        <v>7200</v>
      </c>
      <c r="U8" s="173">
        <v>1</v>
      </c>
      <c r="V8" s="174">
        <v>12.4</v>
      </c>
      <c r="W8" s="153">
        <v>0.89300000000000002</v>
      </c>
      <c r="X8" s="172">
        <v>0.86919110085389495</v>
      </c>
      <c r="Y8" s="172">
        <v>1.1800586951645399E-5</v>
      </c>
    </row>
    <row r="9" spans="1:25">
      <c r="A9" s="20">
        <v>969</v>
      </c>
      <c r="B9" s="20">
        <v>969</v>
      </c>
      <c r="C9" s="20" t="s">
        <v>1973</v>
      </c>
      <c r="D9" s="20" t="s">
        <v>1974</v>
      </c>
      <c r="E9" s="18" t="s">
        <v>1342</v>
      </c>
      <c r="F9" s="20" t="s">
        <v>2616</v>
      </c>
      <c r="G9" s="20" t="s">
        <v>2617</v>
      </c>
      <c r="H9" s="18" t="s">
        <v>356</v>
      </c>
      <c r="I9" s="18" t="s">
        <v>30</v>
      </c>
      <c r="J9" s="18" t="s">
        <v>30</v>
      </c>
      <c r="K9" s="20" t="s">
        <v>362</v>
      </c>
      <c r="L9" s="18" t="s">
        <v>31</v>
      </c>
      <c r="M9" s="20" t="s">
        <v>1976</v>
      </c>
      <c r="N9" s="20" t="s">
        <v>497</v>
      </c>
      <c r="O9" s="20" t="s">
        <v>2618</v>
      </c>
      <c r="P9" s="20" t="s">
        <v>155</v>
      </c>
      <c r="Q9" s="18" t="s">
        <v>34</v>
      </c>
      <c r="R9" s="177">
        <v>550</v>
      </c>
      <c r="S9" s="154">
        <v>0</v>
      </c>
      <c r="T9" s="153">
        <v>2399.3200000000002</v>
      </c>
      <c r="U9" s="173">
        <v>1</v>
      </c>
      <c r="V9" s="174">
        <v>5.6</v>
      </c>
      <c r="W9" s="153">
        <v>0.13400000000000001</v>
      </c>
      <c r="X9" s="172">
        <v>0.130808899146105</v>
      </c>
      <c r="Y9" s="172">
        <v>1.7759291218078201E-6</v>
      </c>
    </row>
    <row r="10" spans="1:25">
      <c r="A10" s="20"/>
      <c r="B10" s="20"/>
      <c r="C10" s="20"/>
      <c r="D10" s="20"/>
      <c r="E10" s="18"/>
      <c r="F10" s="20"/>
      <c r="G10" s="20"/>
      <c r="H10" s="18"/>
      <c r="I10" s="18"/>
      <c r="J10" s="18"/>
      <c r="K10" s="20"/>
      <c r="L10" s="18"/>
      <c r="M10" s="20"/>
      <c r="N10" s="20"/>
      <c r="O10" s="20"/>
      <c r="P10" s="20"/>
      <c r="Q10" s="18"/>
      <c r="R10" s="18"/>
      <c r="S10" s="18"/>
      <c r="T10" s="20"/>
      <c r="U10" s="20"/>
      <c r="V10" s="20"/>
      <c r="W10" s="20"/>
      <c r="X10" s="20"/>
      <c r="Y10" s="20"/>
    </row>
    <row r="11" spans="1:25">
      <c r="A11" s="26"/>
      <c r="B11" s="20"/>
      <c r="C11" s="20"/>
      <c r="D11" s="20"/>
      <c r="E11" s="18"/>
      <c r="F11" s="20"/>
      <c r="G11" s="20"/>
      <c r="H11" s="18"/>
      <c r="I11" s="18"/>
      <c r="J11" s="18"/>
      <c r="K11" s="20"/>
      <c r="L11" s="18"/>
      <c r="M11" s="20"/>
      <c r="N11" s="20"/>
      <c r="O11" s="20"/>
      <c r="P11" s="20"/>
      <c r="Q11" s="18"/>
      <c r="R11" s="18"/>
      <c r="S11" s="18"/>
      <c r="T11" s="20"/>
      <c r="U11" s="20"/>
      <c r="V11" s="20"/>
      <c r="W11" s="20"/>
      <c r="X11" s="20"/>
      <c r="Y11" s="20"/>
    </row>
    <row r="12" spans="1:25">
      <c r="A12" s="20"/>
      <c r="B12" s="20"/>
      <c r="C12" s="20"/>
      <c r="D12" s="20"/>
      <c r="E12" s="18"/>
      <c r="F12" s="20"/>
      <c r="G12" s="20"/>
      <c r="H12" s="18"/>
      <c r="I12" s="18"/>
      <c r="J12" s="18"/>
      <c r="K12" s="20"/>
      <c r="L12" s="18"/>
      <c r="M12" s="20"/>
      <c r="N12" s="20"/>
      <c r="O12" s="20"/>
      <c r="P12" s="20"/>
      <c r="Q12" s="18"/>
      <c r="R12" s="18"/>
      <c r="S12" s="18"/>
      <c r="T12" s="20"/>
      <c r="U12" s="20"/>
      <c r="V12" s="20"/>
      <c r="W12" s="20"/>
      <c r="X12" s="20"/>
      <c r="Y12" s="20"/>
    </row>
    <row r="13" spans="1:25">
      <c r="A13" s="20"/>
      <c r="B13" s="20"/>
      <c r="C13" s="20"/>
      <c r="D13" s="20"/>
      <c r="E13" s="18"/>
      <c r="F13" s="20"/>
      <c r="G13" s="20"/>
      <c r="H13" s="18"/>
      <c r="I13" s="18"/>
      <c r="J13" s="18"/>
      <c r="K13" s="20"/>
      <c r="L13" s="18"/>
      <c r="M13" s="20"/>
      <c r="N13" s="20"/>
      <c r="O13" s="20"/>
      <c r="P13" s="20"/>
      <c r="Q13" s="18"/>
      <c r="R13" s="18"/>
      <c r="S13" s="18"/>
      <c r="T13" s="20"/>
      <c r="U13" s="20"/>
      <c r="V13" s="20"/>
      <c r="W13" s="20"/>
      <c r="X13" s="20"/>
      <c r="Y13" s="20"/>
    </row>
    <row r="14" spans="1:25">
      <c r="A14" s="20"/>
      <c r="B14" s="20"/>
      <c r="C14" s="20"/>
      <c r="D14" s="20"/>
      <c r="E14" s="18"/>
      <c r="F14" s="20"/>
      <c r="G14" s="20"/>
      <c r="H14" s="18"/>
      <c r="I14" s="18"/>
      <c r="J14" s="18"/>
      <c r="K14" s="20"/>
      <c r="L14" s="18"/>
      <c r="M14" s="20"/>
      <c r="N14" s="20"/>
      <c r="O14" s="20"/>
      <c r="P14" s="20"/>
      <c r="Q14" s="18"/>
      <c r="R14" s="18"/>
      <c r="S14" s="18"/>
      <c r="T14" s="20"/>
      <c r="U14" s="20"/>
      <c r="V14" s="20"/>
      <c r="W14" s="20"/>
      <c r="X14" s="20"/>
      <c r="Y14" s="20"/>
    </row>
    <row r="15" spans="1:25">
      <c r="A15" s="20"/>
      <c r="B15" s="20"/>
      <c r="C15" s="20"/>
      <c r="D15" s="20"/>
      <c r="E15" s="18"/>
      <c r="F15" s="20"/>
      <c r="G15" s="20"/>
      <c r="H15" s="18"/>
      <c r="I15" s="18"/>
      <c r="J15" s="18"/>
      <c r="K15" s="20"/>
      <c r="L15" s="18"/>
      <c r="M15" s="20"/>
      <c r="N15" s="20"/>
      <c r="O15" s="20"/>
      <c r="P15" s="20"/>
      <c r="Q15" s="18"/>
      <c r="R15" s="18"/>
      <c r="S15" s="18"/>
      <c r="T15" s="20"/>
      <c r="U15" s="20"/>
      <c r="V15" s="20"/>
      <c r="W15" s="20"/>
      <c r="X15" s="20"/>
      <c r="Y15" s="20"/>
    </row>
    <row r="16" spans="1:25">
      <c r="A16" s="20"/>
      <c r="B16" s="20"/>
      <c r="C16" s="20"/>
      <c r="D16" s="20"/>
      <c r="E16" s="18"/>
      <c r="F16" s="20"/>
      <c r="G16" s="20"/>
      <c r="H16" s="18"/>
      <c r="I16" s="18"/>
      <c r="J16" s="18"/>
      <c r="K16" s="20"/>
      <c r="L16" s="18"/>
      <c r="M16" s="20"/>
      <c r="N16" s="20"/>
      <c r="O16" s="20"/>
      <c r="P16" s="20"/>
      <c r="Q16" s="18"/>
      <c r="R16" s="18"/>
      <c r="S16" s="18"/>
      <c r="T16" s="20"/>
      <c r="U16" s="20"/>
      <c r="V16" s="20"/>
      <c r="W16" s="20"/>
      <c r="X16" s="20"/>
      <c r="Y16" s="20"/>
    </row>
    <row r="17" spans="1:25">
      <c r="A17" s="20"/>
      <c r="B17" s="20"/>
      <c r="C17" s="20"/>
      <c r="D17" s="20"/>
      <c r="E17" s="18"/>
      <c r="F17" s="20"/>
      <c r="G17" s="20"/>
      <c r="H17" s="18"/>
      <c r="I17" s="18"/>
      <c r="J17" s="18"/>
      <c r="K17" s="20"/>
      <c r="L17" s="18"/>
      <c r="M17" s="20"/>
      <c r="N17" s="20"/>
      <c r="O17" s="20"/>
      <c r="P17" s="20"/>
      <c r="Q17" s="18"/>
      <c r="R17" s="18"/>
      <c r="S17" s="18"/>
      <c r="T17" s="20"/>
      <c r="U17" s="20"/>
      <c r="V17" s="20"/>
      <c r="W17" s="20"/>
      <c r="X17" s="20"/>
      <c r="Y17" s="20"/>
    </row>
    <row r="18" spans="1:25">
      <c r="A18" s="20"/>
      <c r="B18" s="20"/>
      <c r="C18" s="20"/>
      <c r="D18" s="20"/>
      <c r="E18" s="18"/>
      <c r="F18" s="20"/>
      <c r="G18" s="20"/>
      <c r="H18" s="18"/>
      <c r="I18" s="18"/>
      <c r="J18" s="18"/>
      <c r="K18" s="20"/>
      <c r="L18" s="18"/>
      <c r="M18" s="20"/>
      <c r="N18" s="20"/>
      <c r="O18" s="20"/>
      <c r="P18" s="20"/>
      <c r="Q18" s="18"/>
      <c r="R18" s="18"/>
      <c r="S18" s="18"/>
      <c r="T18" s="20"/>
      <c r="U18" s="20"/>
      <c r="V18" s="20"/>
      <c r="W18" s="20"/>
      <c r="X18" s="20"/>
      <c r="Y18" s="20"/>
    </row>
    <row r="19" spans="1:25">
      <c r="A19" s="20"/>
      <c r="B19" s="20"/>
      <c r="C19" s="20"/>
      <c r="D19" s="20"/>
      <c r="E19" s="18"/>
      <c r="F19" s="20"/>
      <c r="G19" s="20"/>
      <c r="H19" s="18"/>
      <c r="I19" s="18"/>
      <c r="J19" s="18"/>
      <c r="K19" s="20"/>
      <c r="L19" s="18"/>
      <c r="M19" s="20"/>
      <c r="N19" s="20"/>
      <c r="O19" s="20"/>
      <c r="P19" s="20"/>
      <c r="Q19" s="18"/>
      <c r="R19" s="18"/>
      <c r="S19" s="18"/>
      <c r="T19" s="20"/>
      <c r="U19" s="20"/>
      <c r="V19" s="20"/>
      <c r="W19" s="20"/>
      <c r="X19" s="20"/>
      <c r="Y19" s="20"/>
    </row>
    <row r="20" spans="1:25">
      <c r="E20" s="18"/>
      <c r="H20" s="18"/>
      <c r="I20" s="18"/>
      <c r="J20" s="18"/>
      <c r="K20" s="20"/>
      <c r="L20" s="18"/>
      <c r="N20" s="20"/>
      <c r="P20" s="20"/>
    </row>
    <row r="21" spans="1:25">
      <c r="H21" s="4"/>
      <c r="L21" s="4"/>
    </row>
    <row r="22" spans="1:25">
      <c r="L22" s="4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X30"/>
  <sheetViews>
    <sheetView rightToLeft="1" topLeftCell="G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5" width="11.625" style="2" customWidth="1"/>
    <col min="26" max="26" width="9" style="2" customWidth="1"/>
    <col min="27" max="16384" width="9" style="2"/>
  </cols>
  <sheetData>
    <row r="1" spans="1:24" ht="66.75" customHeight="1">
      <c r="A1" s="19" t="s">
        <v>0</v>
      </c>
      <c r="B1" s="19" t="s">
        <v>1</v>
      </c>
      <c r="C1" s="19" t="s">
        <v>2</v>
      </c>
      <c r="D1" s="19" t="s">
        <v>173</v>
      </c>
      <c r="E1" s="19" t="s">
        <v>174</v>
      </c>
      <c r="F1" s="19" t="s">
        <v>3</v>
      </c>
      <c r="G1" s="19" t="s">
        <v>4</v>
      </c>
      <c r="H1" s="19" t="s">
        <v>175</v>
      </c>
      <c r="I1" s="19" t="s">
        <v>5</v>
      </c>
      <c r="J1" s="19" t="s">
        <v>6</v>
      </c>
      <c r="K1" s="19" t="s">
        <v>7</v>
      </c>
      <c r="L1" s="19" t="s">
        <v>8</v>
      </c>
      <c r="M1" s="19" t="s">
        <v>176</v>
      </c>
      <c r="N1" s="19" t="s">
        <v>210</v>
      </c>
      <c r="O1" s="19" t="s">
        <v>1151</v>
      </c>
      <c r="P1" s="19" t="s">
        <v>141</v>
      </c>
      <c r="Q1" s="19" t="s">
        <v>11</v>
      </c>
      <c r="R1" s="19" t="s">
        <v>1152</v>
      </c>
      <c r="S1" s="19" t="s">
        <v>17</v>
      </c>
      <c r="T1" s="19" t="s">
        <v>18</v>
      </c>
      <c r="U1" s="19" t="s">
        <v>19</v>
      </c>
      <c r="V1" s="19" t="s">
        <v>20</v>
      </c>
      <c r="W1" s="19" t="s">
        <v>24</v>
      </c>
      <c r="X1" s="19" t="s">
        <v>25</v>
      </c>
    </row>
    <row r="2" spans="1:24">
      <c r="A2" s="20"/>
      <c r="B2" s="20"/>
      <c r="C2" s="20"/>
      <c r="D2" s="20"/>
      <c r="E2" s="18"/>
      <c r="F2" s="20"/>
      <c r="G2" s="20"/>
      <c r="H2" s="18"/>
      <c r="I2" s="20"/>
      <c r="J2" s="18"/>
      <c r="K2" s="18"/>
      <c r="L2" s="18"/>
      <c r="M2" s="20"/>
      <c r="N2" s="20"/>
      <c r="O2" s="20"/>
      <c r="P2" s="20"/>
      <c r="Q2" s="18"/>
      <c r="R2" s="18"/>
      <c r="S2" s="20"/>
      <c r="T2" s="20"/>
      <c r="U2" s="20"/>
      <c r="V2" s="20"/>
      <c r="W2" s="20"/>
      <c r="X2" s="20"/>
    </row>
    <row r="3" spans="1:24">
      <c r="A3" s="20"/>
      <c r="B3" s="20"/>
      <c r="C3" s="20"/>
      <c r="D3" s="20"/>
      <c r="E3" s="18"/>
      <c r="F3" s="20"/>
      <c r="G3" s="20"/>
      <c r="H3" s="18"/>
      <c r="I3" s="20"/>
      <c r="J3" s="18"/>
      <c r="K3" s="18"/>
      <c r="L3" s="18"/>
      <c r="M3" s="20"/>
      <c r="N3" s="20"/>
      <c r="O3" s="20"/>
      <c r="P3" s="20"/>
      <c r="Q3" s="18"/>
      <c r="R3" s="18"/>
      <c r="S3" s="20"/>
      <c r="T3" s="20"/>
      <c r="U3" s="20"/>
      <c r="V3" s="20"/>
      <c r="W3" s="20"/>
      <c r="X3" s="20"/>
    </row>
    <row r="4" spans="1:24">
      <c r="A4" s="20"/>
      <c r="B4" s="20"/>
      <c r="C4" s="20"/>
      <c r="D4" s="20"/>
      <c r="E4" s="18"/>
      <c r="F4" s="20"/>
      <c r="G4" s="20"/>
      <c r="H4" s="18"/>
      <c r="I4" s="20"/>
      <c r="J4" s="18"/>
      <c r="K4" s="18"/>
      <c r="L4" s="18"/>
      <c r="M4" s="20"/>
      <c r="N4" s="20"/>
      <c r="O4" s="20"/>
      <c r="P4" s="20"/>
      <c r="Q4" s="18"/>
      <c r="R4" s="18"/>
      <c r="S4" s="20"/>
      <c r="T4" s="20"/>
      <c r="U4" s="20"/>
      <c r="V4" s="20"/>
      <c r="W4" s="20"/>
      <c r="X4" s="20"/>
    </row>
    <row r="5" spans="1:24">
      <c r="A5" s="20"/>
      <c r="B5" s="20"/>
      <c r="C5" s="20"/>
      <c r="D5" s="20"/>
      <c r="E5" s="18"/>
      <c r="F5" s="20"/>
      <c r="G5" s="20"/>
      <c r="H5" s="18"/>
      <c r="I5" s="20"/>
      <c r="J5" s="18"/>
      <c r="K5" s="18"/>
      <c r="L5" s="18"/>
      <c r="M5" s="20"/>
      <c r="N5" s="20"/>
      <c r="O5" s="20"/>
      <c r="P5" s="20"/>
      <c r="Q5" s="18"/>
      <c r="R5" s="18"/>
      <c r="S5" s="20"/>
      <c r="T5" s="20"/>
      <c r="U5" s="20"/>
      <c r="V5" s="20"/>
      <c r="W5" s="20"/>
      <c r="X5" s="20"/>
    </row>
    <row r="6" spans="1:24">
      <c r="A6" s="20"/>
      <c r="B6" s="20"/>
      <c r="C6" s="20"/>
      <c r="D6" s="20"/>
      <c r="E6" s="18"/>
      <c r="F6" s="20"/>
      <c r="G6" s="20"/>
      <c r="H6" s="18"/>
      <c r="I6" s="20"/>
      <c r="J6" s="18"/>
      <c r="K6" s="18"/>
      <c r="L6" s="18"/>
      <c r="M6" s="20"/>
      <c r="N6" s="20"/>
      <c r="O6" s="20"/>
      <c r="P6" s="20"/>
      <c r="Q6" s="18"/>
      <c r="R6" s="18"/>
      <c r="S6" s="20"/>
      <c r="T6" s="20"/>
      <c r="U6" s="20"/>
      <c r="V6" s="20"/>
      <c r="W6" s="20"/>
      <c r="X6" s="20"/>
    </row>
    <row r="7" spans="1:24">
      <c r="A7" s="20"/>
      <c r="B7" s="20"/>
      <c r="C7" s="20"/>
      <c r="D7" s="20"/>
      <c r="E7" s="18"/>
      <c r="F7" s="20"/>
      <c r="G7" s="20"/>
      <c r="H7" s="18"/>
      <c r="I7" s="20"/>
      <c r="J7" s="18"/>
      <c r="K7" s="18"/>
      <c r="L7" s="18"/>
      <c r="M7" s="20"/>
      <c r="N7" s="20"/>
      <c r="O7" s="20"/>
      <c r="P7" s="20"/>
      <c r="Q7" s="18"/>
      <c r="R7" s="18"/>
      <c r="S7" s="20"/>
      <c r="T7" s="20"/>
      <c r="U7" s="20"/>
      <c r="V7" s="20"/>
      <c r="W7" s="20"/>
      <c r="X7" s="20"/>
    </row>
    <row r="8" spans="1:24">
      <c r="A8" s="20"/>
      <c r="B8" s="20"/>
      <c r="C8" s="20"/>
      <c r="D8" s="20"/>
      <c r="E8" s="18"/>
      <c r="F8" s="20"/>
      <c r="G8" s="20"/>
      <c r="H8" s="18"/>
      <c r="I8" s="20"/>
      <c r="J8" s="18"/>
      <c r="K8" s="18"/>
      <c r="L8" s="18"/>
      <c r="M8" s="20"/>
      <c r="N8" s="20"/>
      <c r="O8" s="20"/>
      <c r="P8" s="20"/>
      <c r="Q8" s="18"/>
      <c r="R8" s="18"/>
      <c r="S8" s="20"/>
      <c r="T8" s="20"/>
      <c r="U8" s="20"/>
      <c r="V8" s="20"/>
      <c r="W8" s="20"/>
      <c r="X8" s="20"/>
    </row>
    <row r="9" spans="1:24">
      <c r="A9" s="20"/>
      <c r="B9" s="20"/>
      <c r="C9" s="20"/>
      <c r="D9" s="20"/>
      <c r="E9" s="18"/>
      <c r="F9" s="20"/>
      <c r="G9" s="20"/>
      <c r="H9" s="18"/>
      <c r="I9" s="20"/>
      <c r="J9" s="18"/>
      <c r="K9" s="18"/>
      <c r="L9" s="18"/>
      <c r="M9" s="20"/>
      <c r="N9" s="20"/>
      <c r="O9" s="20"/>
      <c r="P9" s="20"/>
      <c r="Q9" s="18"/>
      <c r="R9" s="18"/>
      <c r="S9" s="20"/>
      <c r="T9" s="20"/>
      <c r="U9" s="20"/>
      <c r="V9" s="20"/>
      <c r="W9" s="20"/>
      <c r="X9" s="20"/>
    </row>
    <row r="10" spans="1:24">
      <c r="A10" s="20"/>
      <c r="B10" s="20"/>
      <c r="C10" s="20"/>
      <c r="D10" s="20"/>
      <c r="E10" s="18"/>
      <c r="F10" s="20"/>
      <c r="G10" s="20"/>
      <c r="H10" s="18"/>
      <c r="I10" s="20"/>
      <c r="J10" s="18"/>
      <c r="K10" s="18"/>
      <c r="L10" s="18"/>
      <c r="M10" s="20"/>
      <c r="N10" s="20"/>
      <c r="O10" s="20"/>
      <c r="P10" s="20"/>
      <c r="Q10" s="18"/>
      <c r="R10" s="18"/>
      <c r="S10" s="20"/>
      <c r="T10" s="20"/>
      <c r="U10" s="20"/>
      <c r="V10" s="20"/>
      <c r="W10" s="20"/>
      <c r="X10" s="20"/>
    </row>
    <row r="11" spans="1:24">
      <c r="A11" s="20"/>
      <c r="B11" s="20"/>
      <c r="C11" s="20"/>
      <c r="D11" s="20"/>
      <c r="E11" s="18"/>
      <c r="F11" s="20"/>
      <c r="G11" s="20"/>
      <c r="H11" s="18"/>
      <c r="I11" s="20"/>
      <c r="J11" s="18"/>
      <c r="K11" s="18"/>
      <c r="L11" s="18"/>
      <c r="M11" s="20"/>
      <c r="N11" s="20"/>
      <c r="O11" s="20"/>
      <c r="P11" s="20"/>
      <c r="Q11" s="18"/>
      <c r="R11" s="18"/>
      <c r="S11" s="20"/>
      <c r="T11" s="20"/>
      <c r="U11" s="20"/>
      <c r="V11" s="20"/>
      <c r="W11" s="20"/>
      <c r="X11" s="20"/>
    </row>
    <row r="12" spans="1:24">
      <c r="A12" s="20"/>
      <c r="B12" s="20"/>
      <c r="C12" s="20"/>
      <c r="D12" s="20"/>
      <c r="E12" s="18"/>
      <c r="F12" s="20"/>
      <c r="G12" s="20"/>
      <c r="H12" s="18"/>
      <c r="I12" s="20"/>
      <c r="J12" s="18"/>
      <c r="K12" s="18"/>
      <c r="L12" s="18"/>
      <c r="M12" s="20"/>
      <c r="N12" s="20"/>
      <c r="O12" s="20"/>
      <c r="P12" s="20"/>
      <c r="Q12" s="18"/>
      <c r="R12" s="18"/>
      <c r="S12" s="20"/>
      <c r="T12" s="20"/>
      <c r="U12" s="20"/>
      <c r="V12" s="20"/>
      <c r="W12" s="20"/>
      <c r="X12" s="20"/>
    </row>
    <row r="13" spans="1:24">
      <c r="A13" s="20"/>
      <c r="B13" s="20"/>
      <c r="C13" s="20"/>
      <c r="D13" s="20"/>
      <c r="E13" s="18"/>
      <c r="F13" s="20"/>
      <c r="G13" s="20"/>
      <c r="H13" s="18"/>
      <c r="I13" s="20"/>
      <c r="J13" s="18"/>
      <c r="K13" s="18"/>
      <c r="L13" s="18"/>
      <c r="M13" s="20"/>
      <c r="N13" s="20"/>
      <c r="O13" s="20"/>
      <c r="P13" s="20"/>
      <c r="Q13" s="18"/>
      <c r="R13" s="18"/>
      <c r="S13" s="20"/>
      <c r="T13" s="20"/>
      <c r="U13" s="20"/>
      <c r="V13" s="20"/>
      <c r="W13" s="20"/>
      <c r="X13" s="20"/>
    </row>
    <row r="14" spans="1:24">
      <c r="A14" s="20"/>
      <c r="B14" s="20"/>
      <c r="C14" s="20"/>
      <c r="D14" s="20"/>
      <c r="E14" s="18"/>
      <c r="F14" s="20"/>
      <c r="G14" s="20"/>
      <c r="H14" s="18"/>
      <c r="I14" s="20"/>
      <c r="J14" s="18"/>
      <c r="K14" s="18"/>
      <c r="L14" s="18"/>
      <c r="M14" s="20"/>
      <c r="N14" s="20"/>
      <c r="O14" s="20"/>
      <c r="P14" s="20"/>
      <c r="Q14" s="18"/>
      <c r="R14" s="18"/>
      <c r="S14" s="20"/>
      <c r="T14" s="20"/>
      <c r="U14" s="20"/>
      <c r="V14" s="20"/>
      <c r="W14" s="20"/>
      <c r="X14" s="20"/>
    </row>
    <row r="15" spans="1:24">
      <c r="A15" s="20"/>
      <c r="B15" s="20"/>
      <c r="C15" s="20"/>
      <c r="D15" s="20"/>
      <c r="E15" s="18"/>
      <c r="F15" s="20"/>
      <c r="G15" s="20"/>
      <c r="H15" s="18"/>
      <c r="I15" s="20"/>
      <c r="J15" s="18"/>
      <c r="K15" s="18"/>
      <c r="L15" s="18"/>
      <c r="M15" s="20"/>
      <c r="N15" s="20"/>
      <c r="O15" s="20"/>
      <c r="P15" s="20"/>
      <c r="Q15" s="18"/>
      <c r="R15" s="18"/>
      <c r="S15" s="20"/>
      <c r="T15" s="20"/>
      <c r="U15" s="20"/>
      <c r="V15" s="20"/>
      <c r="W15" s="20"/>
      <c r="X15" s="20"/>
    </row>
    <row r="16" spans="1:24">
      <c r="A16" s="20"/>
      <c r="B16" s="20"/>
      <c r="C16" s="20"/>
      <c r="D16" s="20"/>
      <c r="E16" s="18"/>
      <c r="F16" s="20"/>
      <c r="G16" s="20"/>
      <c r="H16" s="18"/>
      <c r="I16" s="20"/>
      <c r="J16" s="18"/>
      <c r="K16" s="18"/>
      <c r="L16" s="18"/>
      <c r="M16" s="20"/>
      <c r="N16" s="20"/>
      <c r="O16" s="20"/>
      <c r="P16" s="20"/>
      <c r="Q16" s="18"/>
      <c r="R16" s="18"/>
      <c r="S16" s="20"/>
      <c r="T16" s="20"/>
      <c r="U16" s="20"/>
      <c r="V16" s="20"/>
      <c r="W16" s="20"/>
      <c r="X16" s="20"/>
    </row>
    <row r="17" spans="1:24">
      <c r="A17" s="20"/>
      <c r="B17" s="20"/>
      <c r="C17" s="20"/>
      <c r="D17" s="20"/>
      <c r="E17" s="18"/>
      <c r="F17" s="20"/>
      <c r="G17" s="20"/>
      <c r="H17" s="18"/>
      <c r="I17" s="20"/>
      <c r="J17" s="18"/>
      <c r="K17" s="18"/>
      <c r="L17" s="18"/>
      <c r="M17" s="20"/>
      <c r="N17" s="20"/>
      <c r="O17" s="20"/>
      <c r="P17" s="20"/>
      <c r="Q17" s="18"/>
      <c r="R17" s="18"/>
      <c r="S17" s="20"/>
      <c r="T17" s="20"/>
      <c r="U17" s="20"/>
      <c r="V17" s="20"/>
      <c r="W17" s="20"/>
      <c r="X17" s="20"/>
    </row>
    <row r="18" spans="1:24">
      <c r="A18" s="20"/>
      <c r="B18" s="20"/>
      <c r="C18" s="20"/>
      <c r="D18" s="20"/>
      <c r="E18" s="18"/>
      <c r="F18" s="20"/>
      <c r="G18" s="20"/>
      <c r="H18" s="18"/>
      <c r="I18" s="20"/>
      <c r="J18" s="18"/>
      <c r="K18" s="18"/>
      <c r="L18" s="18"/>
      <c r="M18" s="20"/>
      <c r="N18" s="20"/>
      <c r="O18" s="20"/>
      <c r="P18" s="20"/>
      <c r="Q18" s="18"/>
      <c r="R18" s="18"/>
      <c r="S18" s="20"/>
      <c r="T18" s="20"/>
      <c r="U18" s="20"/>
      <c r="V18" s="20"/>
      <c r="W18" s="20"/>
      <c r="X18" s="20"/>
    </row>
    <row r="19" spans="1:24">
      <c r="A19" s="20"/>
      <c r="B19" s="20"/>
      <c r="C19" s="20"/>
      <c r="D19" s="20"/>
      <c r="E19" s="18"/>
      <c r="F19" s="20"/>
      <c r="G19" s="20"/>
      <c r="H19" s="18"/>
      <c r="I19" s="20"/>
      <c r="J19" s="18"/>
      <c r="K19" s="18"/>
      <c r="L19" s="18"/>
      <c r="M19" s="20"/>
      <c r="N19" s="20"/>
      <c r="O19" s="20"/>
      <c r="P19" s="20"/>
      <c r="Q19" s="18"/>
      <c r="R19" s="18"/>
      <c r="S19" s="20"/>
      <c r="T19" s="20"/>
      <c r="U19" s="20"/>
      <c r="V19" s="20"/>
      <c r="W19" s="20"/>
      <c r="X19" s="20"/>
    </row>
    <row r="20" spans="1:24">
      <c r="E20" s="18"/>
      <c r="H20" s="18"/>
      <c r="I20" s="20"/>
      <c r="J20" s="18"/>
      <c r="K20" s="18"/>
      <c r="L20" s="18"/>
      <c r="M20" s="20"/>
      <c r="P20" s="20"/>
    </row>
    <row r="21" spans="1:24">
      <c r="H21" s="4"/>
      <c r="L21" s="4"/>
    </row>
    <row r="22" spans="1:24">
      <c r="L22" s="4"/>
    </row>
    <row r="30" spans="1:24">
      <c r="H30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0" width="11.625" style="2" customWidth="1"/>
    <col min="21" max="21" width="9" style="2" customWidth="1"/>
    <col min="22" max="16384" width="9" style="2"/>
  </cols>
  <sheetData>
    <row r="1" spans="1:20" ht="66.75" customHeight="1">
      <c r="A1" s="19" t="s">
        <v>0</v>
      </c>
      <c r="B1" s="19" t="s">
        <v>1</v>
      </c>
      <c r="C1" s="19" t="s">
        <v>2</v>
      </c>
      <c r="D1" s="19" t="s">
        <v>173</v>
      </c>
      <c r="E1" s="19" t="s">
        <v>174</v>
      </c>
      <c r="F1" s="19" t="s">
        <v>3</v>
      </c>
      <c r="G1" s="19" t="s">
        <v>4</v>
      </c>
      <c r="H1" s="19" t="s">
        <v>175</v>
      </c>
      <c r="I1" s="19" t="s">
        <v>6</v>
      </c>
      <c r="J1" s="19" t="s">
        <v>7</v>
      </c>
      <c r="K1" s="19" t="s">
        <v>8</v>
      </c>
      <c r="L1" s="19" t="s">
        <v>210</v>
      </c>
      <c r="M1" s="19" t="s">
        <v>141</v>
      </c>
      <c r="N1" s="19" t="s">
        <v>11</v>
      </c>
      <c r="O1" s="19" t="s">
        <v>17</v>
      </c>
      <c r="P1" s="157" t="s">
        <v>18</v>
      </c>
      <c r="Q1" s="168" t="s">
        <v>19</v>
      </c>
      <c r="R1" s="19" t="s">
        <v>20</v>
      </c>
      <c r="S1" s="163" t="s">
        <v>24</v>
      </c>
      <c r="T1" s="163" t="s">
        <v>25</v>
      </c>
    </row>
    <row r="2" spans="1:20">
      <c r="A2" s="20">
        <v>1182</v>
      </c>
      <c r="B2" s="20">
        <v>1182</v>
      </c>
      <c r="C2" s="2" t="s">
        <v>2606</v>
      </c>
      <c r="D2" s="2" t="s">
        <v>2607</v>
      </c>
      <c r="E2" s="18" t="s">
        <v>33</v>
      </c>
      <c r="F2" s="20" t="s">
        <v>2608</v>
      </c>
      <c r="G2" s="20" t="s">
        <v>2609</v>
      </c>
      <c r="H2" s="18" t="s">
        <v>194</v>
      </c>
      <c r="I2" s="18" t="s">
        <v>97</v>
      </c>
      <c r="J2" s="18" t="s">
        <v>98</v>
      </c>
      <c r="K2" s="18" t="s">
        <v>2610</v>
      </c>
      <c r="L2" s="20" t="s">
        <v>194</v>
      </c>
      <c r="M2" s="20" t="s">
        <v>155</v>
      </c>
      <c r="N2" s="18" t="s">
        <v>102</v>
      </c>
      <c r="O2" s="153">
        <v>35</v>
      </c>
      <c r="P2" s="173">
        <v>3.71</v>
      </c>
      <c r="Q2" s="174">
        <v>5814.25</v>
      </c>
      <c r="R2" s="153">
        <v>745.66399999999999</v>
      </c>
      <c r="S2" s="172">
        <v>1</v>
      </c>
      <c r="T2" s="172">
        <v>1.81016342853024E-3</v>
      </c>
    </row>
    <row r="3" spans="1:20">
      <c r="A3" s="20">
        <v>1182</v>
      </c>
      <c r="B3" s="20">
        <v>14769</v>
      </c>
      <c r="C3" s="2" t="s">
        <v>2606</v>
      </c>
      <c r="D3" s="2" t="s">
        <v>2607</v>
      </c>
      <c r="E3" s="18" t="s">
        <v>33</v>
      </c>
      <c r="F3" s="20" t="s">
        <v>2608</v>
      </c>
      <c r="G3" s="20" t="s">
        <v>2609</v>
      </c>
      <c r="H3" s="18" t="s">
        <v>194</v>
      </c>
      <c r="I3" s="18" t="s">
        <v>97</v>
      </c>
      <c r="J3" s="18" t="s">
        <v>98</v>
      </c>
      <c r="K3" s="18" t="s">
        <v>2610</v>
      </c>
      <c r="L3" s="20" t="s">
        <v>194</v>
      </c>
      <c r="M3" s="20" t="s">
        <v>155</v>
      </c>
      <c r="N3" s="18" t="s">
        <v>102</v>
      </c>
      <c r="O3" s="153">
        <v>1</v>
      </c>
      <c r="P3" s="173">
        <v>3.71</v>
      </c>
      <c r="Q3" s="174">
        <v>5814.25</v>
      </c>
      <c r="R3" s="153">
        <v>21.305</v>
      </c>
      <c r="S3" s="172">
        <v>1</v>
      </c>
      <c r="T3" s="172">
        <v>1.2411968984329101E-3</v>
      </c>
    </row>
    <row r="4" spans="1:20">
      <c r="A4" s="20">
        <v>12904</v>
      </c>
      <c r="B4" s="20">
        <v>13680</v>
      </c>
      <c r="C4" s="2" t="s">
        <v>2606</v>
      </c>
      <c r="D4" s="2" t="s">
        <v>2607</v>
      </c>
      <c r="E4" s="18" t="s">
        <v>33</v>
      </c>
      <c r="F4" s="20" t="s">
        <v>2608</v>
      </c>
      <c r="G4" s="20" t="s">
        <v>2609</v>
      </c>
      <c r="H4" s="18" t="s">
        <v>194</v>
      </c>
      <c r="I4" s="18" t="s">
        <v>97</v>
      </c>
      <c r="J4" s="18" t="s">
        <v>98</v>
      </c>
      <c r="K4" s="18" t="s">
        <v>2610</v>
      </c>
      <c r="L4" s="20" t="s">
        <v>194</v>
      </c>
      <c r="M4" s="20" t="s">
        <v>155</v>
      </c>
      <c r="N4" s="18" t="s">
        <v>102</v>
      </c>
      <c r="O4" s="153">
        <v>2</v>
      </c>
      <c r="P4" s="173">
        <v>3.71</v>
      </c>
      <c r="Q4" s="174">
        <v>5814.25</v>
      </c>
      <c r="R4" s="153">
        <v>42.609000000000002</v>
      </c>
      <c r="S4" s="172">
        <v>0.49179976876632597</v>
      </c>
      <c r="T4" s="172">
        <v>1.1616327037319799E-3</v>
      </c>
    </row>
    <row r="5" spans="1:20">
      <c r="A5" s="20">
        <v>12904</v>
      </c>
      <c r="B5" s="20">
        <v>13680</v>
      </c>
      <c r="C5" s="2" t="s">
        <v>2606</v>
      </c>
      <c r="D5" s="2" t="s">
        <v>2607</v>
      </c>
      <c r="E5" s="18" t="s">
        <v>33</v>
      </c>
      <c r="F5" s="20" t="s">
        <v>2611</v>
      </c>
      <c r="G5" s="20" t="s">
        <v>2612</v>
      </c>
      <c r="H5" s="18" t="s">
        <v>194</v>
      </c>
      <c r="I5" s="18" t="s">
        <v>97</v>
      </c>
      <c r="J5" s="18" t="s">
        <v>98</v>
      </c>
      <c r="K5" s="18" t="s">
        <v>2610</v>
      </c>
      <c r="L5" s="20" t="s">
        <v>194</v>
      </c>
      <c r="M5" s="20" t="s">
        <v>155</v>
      </c>
      <c r="N5" s="18" t="s">
        <v>102</v>
      </c>
      <c r="O5" s="153">
        <v>1</v>
      </c>
      <c r="P5" s="173">
        <v>3.71</v>
      </c>
      <c r="Q5" s="174">
        <v>20261.25</v>
      </c>
      <c r="R5" s="153">
        <v>44.03</v>
      </c>
      <c r="S5" s="172">
        <v>0.50820023123367397</v>
      </c>
      <c r="T5" s="172">
        <v>1.20037065110066E-3</v>
      </c>
    </row>
    <row r="6" spans="1:20">
      <c r="A6" s="20">
        <v>424</v>
      </c>
      <c r="B6" s="20">
        <v>7228</v>
      </c>
      <c r="C6" s="2" t="s">
        <v>2606</v>
      </c>
      <c r="D6" s="2" t="s">
        <v>2607</v>
      </c>
      <c r="E6" s="18" t="s">
        <v>33</v>
      </c>
      <c r="F6" s="20" t="s">
        <v>2608</v>
      </c>
      <c r="G6" s="20" t="s">
        <v>2609</v>
      </c>
      <c r="H6" s="18" t="s">
        <v>194</v>
      </c>
      <c r="I6" s="18" t="s">
        <v>97</v>
      </c>
      <c r="J6" s="18" t="s">
        <v>98</v>
      </c>
      <c r="K6" s="18" t="s">
        <v>2610</v>
      </c>
      <c r="L6" s="20" t="s">
        <v>194</v>
      </c>
      <c r="M6" s="20" t="s">
        <v>155</v>
      </c>
      <c r="N6" s="18" t="s">
        <v>102</v>
      </c>
      <c r="O6" s="153">
        <v>257</v>
      </c>
      <c r="P6" s="173">
        <v>3.71</v>
      </c>
      <c r="Q6" s="174">
        <v>5814.25</v>
      </c>
      <c r="R6" s="153">
        <v>5475.3010000000004</v>
      </c>
      <c r="S6" s="172">
        <v>0.93251000151961805</v>
      </c>
      <c r="T6" s="172">
        <v>2.2681383399459202E-3</v>
      </c>
    </row>
    <row r="7" spans="1:20">
      <c r="A7" s="20">
        <v>424</v>
      </c>
      <c r="B7" s="20">
        <v>7228</v>
      </c>
      <c r="C7" s="2" t="s">
        <v>2606</v>
      </c>
      <c r="D7" s="2" t="s">
        <v>2607</v>
      </c>
      <c r="E7" s="18" t="s">
        <v>33</v>
      </c>
      <c r="F7" s="20" t="s">
        <v>2611</v>
      </c>
      <c r="G7" s="20" t="s">
        <v>2612</v>
      </c>
      <c r="H7" s="18" t="s">
        <v>194</v>
      </c>
      <c r="I7" s="18" t="s">
        <v>97</v>
      </c>
      <c r="J7" s="18" t="s">
        <v>98</v>
      </c>
      <c r="K7" s="18" t="s">
        <v>2610</v>
      </c>
      <c r="L7" s="20" t="s">
        <v>194</v>
      </c>
      <c r="M7" s="20" t="s">
        <v>155</v>
      </c>
      <c r="N7" s="18" t="s">
        <v>102</v>
      </c>
      <c r="O7" s="153">
        <v>9</v>
      </c>
      <c r="P7" s="173">
        <v>3.71</v>
      </c>
      <c r="Q7" s="174">
        <v>20261.25</v>
      </c>
      <c r="R7" s="153">
        <v>396.27300000000002</v>
      </c>
      <c r="S7" s="172">
        <v>6.7489998480381896E-2</v>
      </c>
      <c r="T7" s="172">
        <v>1.6415550810907299E-4</v>
      </c>
    </row>
    <row r="8" spans="1:20">
      <c r="A8" s="20">
        <v>424</v>
      </c>
      <c r="B8" s="20">
        <v>7229</v>
      </c>
      <c r="C8" s="2" t="s">
        <v>2606</v>
      </c>
      <c r="D8" s="2" t="s">
        <v>2607</v>
      </c>
      <c r="E8" s="18" t="s">
        <v>33</v>
      </c>
      <c r="F8" s="20" t="s">
        <v>2608</v>
      </c>
      <c r="G8" s="20" t="s">
        <v>2609</v>
      </c>
      <c r="H8" s="18" t="s">
        <v>194</v>
      </c>
      <c r="I8" s="18" t="s">
        <v>97</v>
      </c>
      <c r="J8" s="18" t="s">
        <v>98</v>
      </c>
      <c r="K8" s="18" t="s">
        <v>2610</v>
      </c>
      <c r="L8" s="20" t="s">
        <v>194</v>
      </c>
      <c r="M8" s="20" t="s">
        <v>155</v>
      </c>
      <c r="N8" s="18" t="s">
        <v>102</v>
      </c>
      <c r="O8" s="153">
        <v>6</v>
      </c>
      <c r="P8" s="173">
        <v>3.71</v>
      </c>
      <c r="Q8" s="174">
        <v>5814.25</v>
      </c>
      <c r="R8" s="153">
        <v>127.828</v>
      </c>
      <c r="S8" s="172">
        <v>1</v>
      </c>
      <c r="T8" s="172">
        <v>8.7753164473412402E-4</v>
      </c>
    </row>
    <row r="9" spans="1:20">
      <c r="A9" s="20">
        <v>969</v>
      </c>
      <c r="B9" s="20">
        <v>969</v>
      </c>
      <c r="C9" s="2" t="s">
        <v>2606</v>
      </c>
      <c r="D9" s="2" t="s">
        <v>2607</v>
      </c>
      <c r="E9" s="18" t="s">
        <v>33</v>
      </c>
      <c r="F9" s="20" t="s">
        <v>2608</v>
      </c>
      <c r="G9" s="20" t="s">
        <v>2609</v>
      </c>
      <c r="H9" s="18" t="s">
        <v>194</v>
      </c>
      <c r="I9" s="18" t="s">
        <v>97</v>
      </c>
      <c r="J9" s="18" t="s">
        <v>98</v>
      </c>
      <c r="K9" s="18" t="s">
        <v>2610</v>
      </c>
      <c r="L9" s="20" t="s">
        <v>194</v>
      </c>
      <c r="M9" s="20" t="s">
        <v>155</v>
      </c>
      <c r="N9" s="18" t="s">
        <v>102</v>
      </c>
      <c r="O9" s="153">
        <v>4</v>
      </c>
      <c r="P9" s="173">
        <v>3.71</v>
      </c>
      <c r="Q9" s="174">
        <v>5814.25</v>
      </c>
      <c r="R9" s="153">
        <v>85.218999999999994</v>
      </c>
      <c r="S9" s="172">
        <v>1</v>
      </c>
      <c r="T9" s="172">
        <v>1.1263784489876599E-3</v>
      </c>
    </row>
    <row r="10" spans="1:20">
      <c r="A10" s="20"/>
      <c r="B10" s="20"/>
      <c r="E10" s="18"/>
      <c r="F10" s="20"/>
      <c r="G10" s="20"/>
      <c r="H10" s="18"/>
      <c r="I10" s="18"/>
      <c r="J10" s="18"/>
      <c r="K10" s="18"/>
      <c r="L10" s="20"/>
      <c r="M10" s="20"/>
      <c r="N10" s="18"/>
      <c r="O10" s="20"/>
      <c r="P10" s="20"/>
      <c r="Q10" s="20"/>
      <c r="R10" s="20"/>
      <c r="S10" s="20"/>
      <c r="T10" s="20"/>
    </row>
    <row r="11" spans="1:20">
      <c r="A11" s="20"/>
      <c r="B11" s="20"/>
      <c r="E11" s="18"/>
      <c r="F11" s="20"/>
      <c r="G11" s="20"/>
      <c r="H11" s="18"/>
      <c r="I11" s="18"/>
      <c r="J11" s="18"/>
      <c r="K11" s="18"/>
      <c r="L11" s="20"/>
      <c r="M11" s="20"/>
      <c r="N11" s="18"/>
      <c r="O11" s="20"/>
      <c r="P11" s="20"/>
      <c r="Q11" s="20"/>
      <c r="R11" s="20"/>
      <c r="S11" s="20"/>
      <c r="T11" s="20"/>
    </row>
    <row r="12" spans="1:20">
      <c r="A12" s="20"/>
      <c r="B12" s="20"/>
      <c r="E12" s="18"/>
      <c r="F12" s="20"/>
      <c r="G12" s="20"/>
      <c r="H12" s="18"/>
      <c r="I12" s="18"/>
      <c r="J12" s="18"/>
      <c r="K12" s="18"/>
      <c r="L12" s="20"/>
      <c r="M12" s="20"/>
      <c r="N12" s="18"/>
      <c r="O12" s="20"/>
      <c r="P12" s="20"/>
      <c r="Q12" s="20"/>
      <c r="R12" s="20"/>
      <c r="S12" s="20"/>
      <c r="T12" s="20"/>
    </row>
    <row r="13" spans="1:20">
      <c r="A13" s="20"/>
      <c r="B13" s="20"/>
      <c r="E13" s="18"/>
      <c r="F13" s="20"/>
      <c r="G13" s="20"/>
      <c r="H13" s="18"/>
      <c r="I13" s="18"/>
      <c r="J13" s="18"/>
      <c r="K13" s="18"/>
      <c r="L13" s="20"/>
      <c r="M13" s="20"/>
      <c r="N13" s="18"/>
      <c r="O13" s="20"/>
      <c r="P13" s="20"/>
      <c r="Q13" s="20"/>
      <c r="R13" s="20"/>
      <c r="S13" s="20"/>
      <c r="T13" s="20"/>
    </row>
    <row r="14" spans="1:20">
      <c r="A14" s="20"/>
      <c r="B14" s="20"/>
      <c r="E14" s="18"/>
      <c r="F14" s="20"/>
      <c r="G14" s="20"/>
      <c r="H14" s="18"/>
      <c r="I14" s="18"/>
      <c r="J14" s="18"/>
      <c r="K14" s="18"/>
      <c r="L14" s="20"/>
      <c r="M14" s="20"/>
      <c r="N14" s="18"/>
      <c r="O14" s="20"/>
      <c r="P14" s="20"/>
      <c r="Q14" s="20"/>
      <c r="R14" s="20"/>
      <c r="S14" s="20"/>
      <c r="T14" s="20"/>
    </row>
    <row r="15" spans="1:20">
      <c r="A15" s="20"/>
      <c r="B15" s="20"/>
      <c r="E15" s="18"/>
      <c r="F15" s="20"/>
      <c r="G15" s="20"/>
      <c r="H15" s="18"/>
      <c r="I15" s="18"/>
      <c r="J15" s="18"/>
      <c r="K15" s="18"/>
      <c r="L15" s="20"/>
      <c r="M15" s="20"/>
      <c r="N15" s="18"/>
      <c r="O15" s="20"/>
      <c r="P15" s="20"/>
      <c r="Q15" s="20"/>
      <c r="R15" s="20"/>
      <c r="S15" s="20"/>
      <c r="T15" s="20"/>
    </row>
    <row r="16" spans="1:20">
      <c r="A16" s="20"/>
      <c r="B16" s="20"/>
      <c r="E16" s="18"/>
      <c r="F16" s="20"/>
      <c r="G16" s="20"/>
      <c r="H16" s="18"/>
      <c r="I16" s="18"/>
      <c r="J16" s="18"/>
      <c r="K16" s="18"/>
      <c r="L16" s="20"/>
      <c r="M16" s="20"/>
      <c r="N16" s="18"/>
      <c r="O16" s="20"/>
      <c r="P16" s="20"/>
      <c r="Q16" s="20"/>
      <c r="R16" s="20"/>
      <c r="S16" s="20"/>
      <c r="T16" s="20"/>
    </row>
    <row r="17" spans="1:20">
      <c r="A17" s="20"/>
      <c r="B17" s="20"/>
      <c r="E17" s="18"/>
      <c r="F17" s="20"/>
      <c r="G17" s="20"/>
      <c r="H17" s="18"/>
      <c r="I17" s="18"/>
      <c r="J17" s="18"/>
      <c r="K17" s="18"/>
      <c r="L17" s="20"/>
      <c r="M17" s="20"/>
      <c r="N17" s="18"/>
      <c r="O17" s="20"/>
      <c r="P17" s="20"/>
      <c r="Q17" s="20"/>
      <c r="R17" s="20"/>
      <c r="S17" s="20"/>
      <c r="T17" s="20"/>
    </row>
    <row r="18" spans="1:20">
      <c r="A18" s="20"/>
      <c r="B18" s="20"/>
      <c r="E18" s="18"/>
      <c r="F18" s="20"/>
      <c r="G18" s="20"/>
      <c r="H18" s="18"/>
      <c r="I18" s="18"/>
      <c r="J18" s="18"/>
      <c r="K18" s="18"/>
      <c r="L18" s="20"/>
      <c r="M18" s="20"/>
      <c r="N18" s="18"/>
      <c r="O18" s="20"/>
      <c r="P18" s="20"/>
      <c r="Q18" s="20"/>
      <c r="R18" s="20"/>
      <c r="S18" s="20"/>
      <c r="T18" s="20"/>
    </row>
    <row r="19" spans="1:20">
      <c r="A19" s="20"/>
      <c r="B19" s="20"/>
      <c r="E19" s="18"/>
      <c r="F19" s="20"/>
      <c r="G19" s="20"/>
      <c r="H19" s="18"/>
      <c r="I19" s="18"/>
      <c r="J19" s="18"/>
      <c r="K19" s="18"/>
      <c r="L19" s="20"/>
      <c r="M19" s="20"/>
      <c r="N19" s="18"/>
      <c r="O19" s="20"/>
      <c r="P19" s="20"/>
      <c r="Q19" s="20"/>
      <c r="R19" s="20"/>
      <c r="S19" s="20"/>
      <c r="T19" s="20"/>
    </row>
    <row r="20" spans="1:20">
      <c r="E20" s="18"/>
      <c r="H20" s="18"/>
      <c r="J20" s="18"/>
      <c r="K20" s="18"/>
      <c r="L20" s="20"/>
      <c r="M20" s="20"/>
    </row>
    <row r="21" spans="1:20">
      <c r="H21" s="4"/>
      <c r="K21" s="4"/>
    </row>
    <row r="22" spans="1:20">
      <c r="K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2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6" width="11.625" style="2" customWidth="1"/>
    <col min="17" max="17" width="11.625" style="144" customWidth="1"/>
    <col min="18" max="28" width="11.625" style="2" customWidth="1"/>
    <col min="29" max="29" width="9" style="2" customWidth="1"/>
    <col min="30" max="16384" width="9" style="2"/>
  </cols>
  <sheetData>
    <row r="1" spans="1:28" ht="66.75" customHeight="1">
      <c r="A1" s="19" t="s">
        <v>0</v>
      </c>
      <c r="B1" s="19" t="s">
        <v>1</v>
      </c>
      <c r="C1" s="19" t="s">
        <v>2</v>
      </c>
      <c r="D1" s="19" t="s">
        <v>173</v>
      </c>
      <c r="E1" s="19" t="s">
        <v>174</v>
      </c>
      <c r="F1" s="19" t="s">
        <v>3</v>
      </c>
      <c r="G1" s="19" t="s">
        <v>4</v>
      </c>
      <c r="H1" s="19" t="s">
        <v>175</v>
      </c>
      <c r="I1" s="19" t="s">
        <v>5</v>
      </c>
      <c r="J1" s="19" t="s">
        <v>6</v>
      </c>
      <c r="K1" s="19" t="s">
        <v>7</v>
      </c>
      <c r="L1" s="19" t="s">
        <v>361</v>
      </c>
      <c r="M1" s="19" t="s">
        <v>8</v>
      </c>
      <c r="N1" s="19" t="s">
        <v>210</v>
      </c>
      <c r="O1" s="19" t="s">
        <v>141</v>
      </c>
      <c r="P1" s="19" t="s">
        <v>12</v>
      </c>
      <c r="Q1" s="159" t="s">
        <v>14</v>
      </c>
      <c r="R1" s="163" t="s">
        <v>15</v>
      </c>
      <c r="S1" s="19" t="s">
        <v>9</v>
      </c>
      <c r="T1" s="19" t="s">
        <v>10</v>
      </c>
      <c r="U1" s="19" t="s">
        <v>211</v>
      </c>
      <c r="V1" s="19" t="s">
        <v>11</v>
      </c>
      <c r="W1" s="19" t="s">
        <v>17</v>
      </c>
      <c r="X1" s="157" t="s">
        <v>18</v>
      </c>
      <c r="Y1" s="168" t="s">
        <v>19</v>
      </c>
      <c r="Z1" s="19" t="s">
        <v>20</v>
      </c>
      <c r="AA1" s="163" t="s">
        <v>24</v>
      </c>
      <c r="AB1" s="163" t="s">
        <v>25</v>
      </c>
    </row>
    <row r="2" spans="1:28">
      <c r="A2" s="20">
        <v>1182</v>
      </c>
      <c r="B2" s="20">
        <v>1182</v>
      </c>
      <c r="C2" s="20" t="s">
        <v>3220</v>
      </c>
      <c r="D2" s="20" t="s">
        <v>3221</v>
      </c>
      <c r="E2" s="18" t="s">
        <v>1342</v>
      </c>
      <c r="F2" s="20" t="s">
        <v>3222</v>
      </c>
      <c r="G2" s="20" t="s">
        <v>3223</v>
      </c>
      <c r="H2" s="18" t="s">
        <v>356</v>
      </c>
      <c r="I2" s="20" t="s">
        <v>1028</v>
      </c>
      <c r="J2" s="18" t="s">
        <v>30</v>
      </c>
      <c r="K2" s="18" t="s">
        <v>30</v>
      </c>
      <c r="L2" s="20" t="s">
        <v>362</v>
      </c>
      <c r="M2" s="18" t="s">
        <v>85</v>
      </c>
      <c r="N2" s="20" t="s">
        <v>786</v>
      </c>
      <c r="O2" s="20" t="s">
        <v>155</v>
      </c>
      <c r="P2" s="153">
        <v>9.0259999999999998</v>
      </c>
      <c r="Q2" s="171">
        <v>7.2999999999999995E-2</v>
      </c>
      <c r="R2" s="172">
        <v>6.6519999999999996E-2</v>
      </c>
      <c r="S2" s="20" t="s">
        <v>100</v>
      </c>
      <c r="T2" s="20" t="s">
        <v>206</v>
      </c>
      <c r="U2" s="20" t="s">
        <v>441</v>
      </c>
      <c r="V2" s="18" t="s">
        <v>34</v>
      </c>
      <c r="W2" s="153">
        <v>794160.05</v>
      </c>
      <c r="X2" s="173">
        <v>1</v>
      </c>
      <c r="Y2" s="174">
        <v>108.08</v>
      </c>
      <c r="Z2" s="153">
        <v>858.32799999999997</v>
      </c>
      <c r="AA2" s="172">
        <v>1</v>
      </c>
      <c r="AB2" s="172">
        <v>2.0836664585933799E-3</v>
      </c>
    </row>
    <row r="3" spans="1:28">
      <c r="A3" s="20">
        <v>1182</v>
      </c>
      <c r="B3" s="20">
        <v>14769</v>
      </c>
      <c r="C3" s="20" t="s">
        <v>3220</v>
      </c>
      <c r="D3" s="20" t="s">
        <v>3221</v>
      </c>
      <c r="E3" s="18" t="s">
        <v>1342</v>
      </c>
      <c r="F3" s="20" t="s">
        <v>3222</v>
      </c>
      <c r="G3" s="20" t="s">
        <v>3223</v>
      </c>
      <c r="H3" s="18" t="s">
        <v>356</v>
      </c>
      <c r="I3" s="20" t="s">
        <v>1028</v>
      </c>
      <c r="J3" s="18" t="s">
        <v>30</v>
      </c>
      <c r="K3" s="18" t="s">
        <v>30</v>
      </c>
      <c r="L3" s="20" t="s">
        <v>362</v>
      </c>
      <c r="M3" s="18" t="s">
        <v>85</v>
      </c>
      <c r="N3" s="20" t="s">
        <v>786</v>
      </c>
      <c r="O3" s="20" t="s">
        <v>155</v>
      </c>
      <c r="P3" s="153">
        <v>9.0259999999999998</v>
      </c>
      <c r="Q3" s="171">
        <v>7.2999999999999995E-2</v>
      </c>
      <c r="R3" s="172">
        <v>6.6519999999999996E-2</v>
      </c>
      <c r="S3" s="20" t="s">
        <v>100</v>
      </c>
      <c r="T3" s="20" t="s">
        <v>206</v>
      </c>
      <c r="U3" s="20" t="s">
        <v>441</v>
      </c>
      <c r="V3" s="18" t="s">
        <v>34</v>
      </c>
      <c r="W3" s="153">
        <v>11972.26</v>
      </c>
      <c r="X3" s="173">
        <v>1</v>
      </c>
      <c r="Y3" s="174">
        <v>108.08</v>
      </c>
      <c r="Z3" s="153">
        <v>12.94</v>
      </c>
      <c r="AA3" s="172">
        <v>1</v>
      </c>
      <c r="AB3" s="172">
        <v>7.5385400073713202E-4</v>
      </c>
    </row>
    <row r="4" spans="1:28">
      <c r="A4" s="20">
        <v>12904</v>
      </c>
      <c r="B4" s="20">
        <v>12905</v>
      </c>
      <c r="C4" s="20" t="s">
        <v>3220</v>
      </c>
      <c r="D4" s="20" t="s">
        <v>3221</v>
      </c>
      <c r="E4" s="18" t="s">
        <v>1342</v>
      </c>
      <c r="F4" s="20" t="s">
        <v>3222</v>
      </c>
      <c r="G4" s="20" t="s">
        <v>3223</v>
      </c>
      <c r="H4" s="18" t="s">
        <v>356</v>
      </c>
      <c r="I4" s="20" t="s">
        <v>1028</v>
      </c>
      <c r="J4" s="18" t="s">
        <v>30</v>
      </c>
      <c r="K4" s="18" t="s">
        <v>30</v>
      </c>
      <c r="L4" s="20" t="s">
        <v>362</v>
      </c>
      <c r="M4" s="18" t="s">
        <v>85</v>
      </c>
      <c r="N4" s="20" t="s">
        <v>786</v>
      </c>
      <c r="O4" s="20" t="s">
        <v>155</v>
      </c>
      <c r="P4" s="153">
        <v>9.0259999999999998</v>
      </c>
      <c r="Q4" s="171">
        <v>7.2999999999999995E-2</v>
      </c>
      <c r="R4" s="172">
        <v>6.6519999999999996E-2</v>
      </c>
      <c r="S4" s="20" t="s">
        <v>100</v>
      </c>
      <c r="T4" s="20" t="s">
        <v>206</v>
      </c>
      <c r="U4" s="20" t="s">
        <v>441</v>
      </c>
      <c r="V4" s="18" t="s">
        <v>34</v>
      </c>
      <c r="W4" s="153">
        <v>94780.41</v>
      </c>
      <c r="X4" s="173">
        <v>1</v>
      </c>
      <c r="Y4" s="174">
        <v>108.08</v>
      </c>
      <c r="Z4" s="153">
        <v>102.43899999999999</v>
      </c>
      <c r="AA4" s="172">
        <v>1</v>
      </c>
      <c r="AB4" s="172">
        <v>3.02672443065795E-3</v>
      </c>
    </row>
    <row r="5" spans="1:28">
      <c r="A5" s="20">
        <v>12904</v>
      </c>
      <c r="B5" s="20">
        <v>13680</v>
      </c>
      <c r="C5" s="20" t="s">
        <v>3220</v>
      </c>
      <c r="D5" s="20" t="s">
        <v>3221</v>
      </c>
      <c r="E5" s="18" t="s">
        <v>1342</v>
      </c>
      <c r="F5" s="20" t="s">
        <v>3222</v>
      </c>
      <c r="G5" s="20" t="s">
        <v>3223</v>
      </c>
      <c r="H5" s="18" t="s">
        <v>356</v>
      </c>
      <c r="I5" s="20" t="s">
        <v>1028</v>
      </c>
      <c r="J5" s="18" t="s">
        <v>30</v>
      </c>
      <c r="K5" s="18" t="s">
        <v>30</v>
      </c>
      <c r="L5" s="20" t="s">
        <v>362</v>
      </c>
      <c r="M5" s="18" t="s">
        <v>85</v>
      </c>
      <c r="N5" s="20" t="s">
        <v>786</v>
      </c>
      <c r="O5" s="20" t="s">
        <v>155</v>
      </c>
      <c r="P5" s="153">
        <v>9.0259999999999998</v>
      </c>
      <c r="Q5" s="171">
        <v>7.2999999999999995E-2</v>
      </c>
      <c r="R5" s="172">
        <v>6.6519999999999996E-2</v>
      </c>
      <c r="S5" s="20" t="s">
        <v>100</v>
      </c>
      <c r="T5" s="20" t="s">
        <v>206</v>
      </c>
      <c r="U5" s="20" t="s">
        <v>441</v>
      </c>
      <c r="V5" s="18" t="s">
        <v>34</v>
      </c>
      <c r="W5" s="153">
        <v>30928.34</v>
      </c>
      <c r="X5" s="173">
        <v>1</v>
      </c>
      <c r="Y5" s="174">
        <v>108.08</v>
      </c>
      <c r="Z5" s="153">
        <v>33.427</v>
      </c>
      <c r="AA5" s="172">
        <v>1</v>
      </c>
      <c r="AB5" s="172">
        <v>9.1130943819621804E-4</v>
      </c>
    </row>
    <row r="6" spans="1:28">
      <c r="A6" s="20">
        <v>424</v>
      </c>
      <c r="B6" s="20">
        <v>7228</v>
      </c>
      <c r="C6" s="20" t="s">
        <v>3220</v>
      </c>
      <c r="D6" s="20" t="s">
        <v>3221</v>
      </c>
      <c r="E6" s="18" t="s">
        <v>1342</v>
      </c>
      <c r="F6" s="20" t="s">
        <v>3222</v>
      </c>
      <c r="G6" s="20" t="s">
        <v>3223</v>
      </c>
      <c r="H6" s="18" t="s">
        <v>356</v>
      </c>
      <c r="I6" s="20" t="s">
        <v>1028</v>
      </c>
      <c r="J6" s="18" t="s">
        <v>30</v>
      </c>
      <c r="K6" s="18" t="s">
        <v>30</v>
      </c>
      <c r="L6" s="20" t="s">
        <v>362</v>
      </c>
      <c r="M6" s="18" t="s">
        <v>85</v>
      </c>
      <c r="N6" s="20" t="s">
        <v>786</v>
      </c>
      <c r="O6" s="20" t="s">
        <v>155</v>
      </c>
      <c r="P6" s="153">
        <v>9.0259999999999998</v>
      </c>
      <c r="Q6" s="171">
        <v>7.2999999999999995E-2</v>
      </c>
      <c r="R6" s="172">
        <v>6.6519999999999996E-2</v>
      </c>
      <c r="S6" s="20" t="s">
        <v>100</v>
      </c>
      <c r="T6" s="20" t="s">
        <v>206</v>
      </c>
      <c r="U6" s="20" t="s">
        <v>441</v>
      </c>
      <c r="V6" s="18" t="s">
        <v>34</v>
      </c>
      <c r="W6" s="153">
        <v>4617302.38</v>
      </c>
      <c r="X6" s="173">
        <v>1</v>
      </c>
      <c r="Y6" s="174">
        <v>108.08</v>
      </c>
      <c r="Z6" s="153">
        <v>4990.38</v>
      </c>
      <c r="AA6" s="172">
        <v>1</v>
      </c>
      <c r="AB6" s="172">
        <v>2.0672602587717402E-3</v>
      </c>
    </row>
    <row r="7" spans="1:28">
      <c r="A7" s="20">
        <v>424</v>
      </c>
      <c r="B7" s="20">
        <v>7229</v>
      </c>
      <c r="C7" s="20" t="s">
        <v>3220</v>
      </c>
      <c r="D7" s="20" t="s">
        <v>3221</v>
      </c>
      <c r="E7" s="18" t="s">
        <v>1342</v>
      </c>
      <c r="F7" s="20" t="s">
        <v>3222</v>
      </c>
      <c r="G7" s="20" t="s">
        <v>3223</v>
      </c>
      <c r="H7" s="18" t="s">
        <v>356</v>
      </c>
      <c r="I7" s="20" t="s">
        <v>1028</v>
      </c>
      <c r="J7" s="18" t="s">
        <v>30</v>
      </c>
      <c r="K7" s="18" t="s">
        <v>30</v>
      </c>
      <c r="L7" s="20" t="s">
        <v>362</v>
      </c>
      <c r="M7" s="18" t="s">
        <v>85</v>
      </c>
      <c r="N7" s="20" t="s">
        <v>786</v>
      </c>
      <c r="O7" s="20" t="s">
        <v>155</v>
      </c>
      <c r="P7" s="153">
        <v>9.0259999999999998</v>
      </c>
      <c r="Q7" s="171">
        <v>7.2999999999999995E-2</v>
      </c>
      <c r="R7" s="172">
        <v>6.6519999999999996E-2</v>
      </c>
      <c r="S7" s="20" t="s">
        <v>100</v>
      </c>
      <c r="T7" s="20" t="s">
        <v>206</v>
      </c>
      <c r="U7" s="20" t="s">
        <v>441</v>
      </c>
      <c r="V7" s="18" t="s">
        <v>34</v>
      </c>
      <c r="W7" s="153">
        <v>284341.21999999997</v>
      </c>
      <c r="X7" s="173">
        <v>1</v>
      </c>
      <c r="Y7" s="174">
        <v>108.08</v>
      </c>
      <c r="Z7" s="153">
        <v>307.31599999999997</v>
      </c>
      <c r="AA7" s="172">
        <v>1</v>
      </c>
      <c r="AB7" s="172">
        <v>2.1097052381167502E-3</v>
      </c>
    </row>
    <row r="8" spans="1:28">
      <c r="A8" s="20">
        <v>969</v>
      </c>
      <c r="B8" s="20">
        <v>969</v>
      </c>
      <c r="C8" s="20" t="s">
        <v>3220</v>
      </c>
      <c r="D8" s="20" t="s">
        <v>3221</v>
      </c>
      <c r="E8" s="18" t="s">
        <v>1342</v>
      </c>
      <c r="F8" s="20" t="s">
        <v>3222</v>
      </c>
      <c r="G8" s="20" t="s">
        <v>3223</v>
      </c>
      <c r="H8" s="18" t="s">
        <v>356</v>
      </c>
      <c r="I8" s="20" t="s">
        <v>1028</v>
      </c>
      <c r="J8" s="18" t="s">
        <v>30</v>
      </c>
      <c r="K8" s="18" t="s">
        <v>30</v>
      </c>
      <c r="L8" s="20" t="s">
        <v>362</v>
      </c>
      <c r="M8" s="18" t="s">
        <v>85</v>
      </c>
      <c r="N8" s="20" t="s">
        <v>786</v>
      </c>
      <c r="O8" s="20" t="s">
        <v>155</v>
      </c>
      <c r="P8" s="153">
        <v>9.0259999999999998</v>
      </c>
      <c r="Q8" s="171">
        <v>7.2999999999999995E-2</v>
      </c>
      <c r="R8" s="172">
        <v>6.6519999999999996E-2</v>
      </c>
      <c r="S8" s="20" t="s">
        <v>100</v>
      </c>
      <c r="T8" s="20" t="s">
        <v>206</v>
      </c>
      <c r="U8" s="20" t="s">
        <v>441</v>
      </c>
      <c r="V8" s="18" t="s">
        <v>34</v>
      </c>
      <c r="W8" s="153">
        <v>140674.07999999999</v>
      </c>
      <c r="X8" s="173">
        <v>1</v>
      </c>
      <c r="Y8" s="174">
        <v>108.08</v>
      </c>
      <c r="Z8" s="153">
        <v>152.041</v>
      </c>
      <c r="AA8" s="172">
        <v>1</v>
      </c>
      <c r="AB8" s="172">
        <v>2.0095964149682401E-3</v>
      </c>
    </row>
    <row r="9" spans="1:28">
      <c r="A9" s="20"/>
      <c r="B9" s="20"/>
      <c r="C9" s="20"/>
      <c r="D9" s="20"/>
      <c r="E9" s="18"/>
      <c r="F9" s="20"/>
      <c r="G9" s="20"/>
      <c r="H9" s="18"/>
      <c r="I9" s="20"/>
      <c r="J9" s="18"/>
      <c r="K9" s="18"/>
      <c r="L9" s="20"/>
      <c r="M9" s="18"/>
      <c r="N9" s="20"/>
      <c r="O9" s="20"/>
      <c r="P9" s="20"/>
      <c r="Q9" s="147"/>
      <c r="R9" s="20"/>
      <c r="S9" s="20"/>
      <c r="T9" s="20"/>
      <c r="U9" s="20"/>
      <c r="V9" s="18"/>
      <c r="W9" s="20"/>
      <c r="X9" s="20"/>
      <c r="Y9" s="20"/>
      <c r="Z9" s="20"/>
      <c r="AA9" s="20"/>
      <c r="AB9" s="20"/>
    </row>
    <row r="10" spans="1:28">
      <c r="A10" s="20"/>
      <c r="B10" s="20"/>
      <c r="C10" s="20"/>
      <c r="D10" s="20"/>
      <c r="E10" s="18"/>
      <c r="F10" s="20"/>
      <c r="G10" s="20"/>
      <c r="H10" s="18"/>
      <c r="I10" s="20"/>
      <c r="J10" s="18"/>
      <c r="K10" s="18"/>
      <c r="L10" s="20"/>
      <c r="M10" s="18"/>
      <c r="N10" s="20"/>
      <c r="O10" s="20"/>
      <c r="P10" s="20"/>
      <c r="Q10" s="147"/>
      <c r="R10" s="20"/>
      <c r="S10" s="20"/>
      <c r="T10" s="20"/>
      <c r="U10" s="20"/>
      <c r="V10" s="18"/>
      <c r="W10" s="20"/>
      <c r="X10" s="20"/>
      <c r="Y10" s="20"/>
      <c r="Z10" s="20"/>
      <c r="AA10" s="20"/>
      <c r="AB10" s="20"/>
    </row>
    <row r="11" spans="1:28">
      <c r="A11" s="20"/>
      <c r="B11" s="20"/>
      <c r="C11" s="20"/>
      <c r="D11" s="20"/>
      <c r="E11" s="18"/>
      <c r="F11" s="20"/>
      <c r="G11" s="20"/>
      <c r="H11" s="18"/>
      <c r="I11" s="20"/>
      <c r="J11" s="18"/>
      <c r="K11" s="18"/>
      <c r="L11" s="20"/>
      <c r="M11" s="18"/>
      <c r="N11" s="20"/>
      <c r="O11" s="20"/>
      <c r="P11" s="20"/>
      <c r="Q11" s="147"/>
      <c r="R11" s="20"/>
      <c r="S11" s="20"/>
      <c r="T11" s="20"/>
      <c r="U11" s="20"/>
      <c r="V11" s="18"/>
      <c r="W11" s="20"/>
      <c r="X11" s="20"/>
      <c r="Y11" s="20"/>
      <c r="Z11" s="20"/>
      <c r="AA11" s="20"/>
      <c r="AB11" s="20"/>
    </row>
    <row r="12" spans="1:28">
      <c r="A12" s="20"/>
      <c r="B12" s="20"/>
      <c r="C12" s="20"/>
      <c r="D12" s="20"/>
      <c r="E12" s="18"/>
      <c r="F12" s="20"/>
      <c r="G12" s="20"/>
      <c r="H12" s="18"/>
      <c r="I12" s="20"/>
      <c r="J12" s="18"/>
      <c r="K12" s="18"/>
      <c r="L12" s="20"/>
      <c r="M12" s="18"/>
      <c r="N12" s="20"/>
      <c r="O12" s="20"/>
      <c r="P12" s="20"/>
      <c r="Q12" s="147"/>
      <c r="R12" s="20"/>
      <c r="S12" s="20"/>
      <c r="T12" s="20"/>
      <c r="U12" s="20"/>
      <c r="V12" s="18"/>
      <c r="W12" s="20"/>
      <c r="X12" s="20"/>
      <c r="Y12" s="20"/>
      <c r="Z12" s="20"/>
      <c r="AA12" s="20"/>
      <c r="AB12" s="20"/>
    </row>
    <row r="13" spans="1:28">
      <c r="A13" s="20"/>
      <c r="B13" s="20"/>
      <c r="C13" s="20"/>
      <c r="D13" s="20"/>
      <c r="E13" s="18"/>
      <c r="F13" s="20"/>
      <c r="G13" s="20"/>
      <c r="H13" s="18"/>
      <c r="I13" s="20"/>
      <c r="J13" s="18"/>
      <c r="K13" s="18"/>
      <c r="L13" s="20"/>
      <c r="M13" s="18"/>
      <c r="N13" s="20"/>
      <c r="O13" s="20"/>
      <c r="P13" s="20"/>
      <c r="Q13" s="147"/>
      <c r="R13" s="20"/>
      <c r="S13" s="20"/>
      <c r="T13" s="20"/>
      <c r="U13" s="20"/>
      <c r="V13" s="18"/>
      <c r="W13" s="20"/>
      <c r="X13" s="20"/>
      <c r="Y13" s="20"/>
      <c r="Z13" s="20"/>
      <c r="AA13" s="20"/>
      <c r="AB13" s="20"/>
    </row>
    <row r="14" spans="1:28">
      <c r="A14" s="20"/>
      <c r="B14" s="20"/>
      <c r="C14" s="20"/>
      <c r="D14" s="20"/>
      <c r="E14" s="18"/>
      <c r="F14" s="20"/>
      <c r="G14" s="20"/>
      <c r="H14" s="18"/>
      <c r="I14" s="20"/>
      <c r="J14" s="18"/>
      <c r="K14" s="18"/>
      <c r="L14" s="20"/>
      <c r="M14" s="18"/>
      <c r="N14" s="20"/>
      <c r="O14" s="20"/>
      <c r="P14" s="20"/>
      <c r="Q14" s="147"/>
      <c r="R14" s="20"/>
      <c r="S14" s="20"/>
      <c r="T14" s="20"/>
      <c r="U14" s="20"/>
      <c r="V14" s="18"/>
      <c r="W14" s="20"/>
      <c r="X14" s="20"/>
      <c r="Y14" s="20"/>
      <c r="Z14" s="20"/>
      <c r="AA14" s="20"/>
      <c r="AB14" s="20"/>
    </row>
    <row r="15" spans="1:28">
      <c r="A15" s="20"/>
      <c r="B15" s="20"/>
      <c r="C15" s="20"/>
      <c r="D15" s="20"/>
      <c r="E15" s="18"/>
      <c r="F15" s="20"/>
      <c r="G15" s="20"/>
      <c r="H15" s="18"/>
      <c r="I15" s="20"/>
      <c r="J15" s="18"/>
      <c r="K15" s="18"/>
      <c r="L15" s="20"/>
      <c r="M15" s="18"/>
      <c r="N15" s="20"/>
      <c r="O15" s="20"/>
      <c r="P15" s="20"/>
      <c r="Q15" s="147"/>
      <c r="R15" s="20"/>
      <c r="S15" s="20"/>
      <c r="T15" s="20"/>
      <c r="U15" s="20"/>
      <c r="V15" s="18"/>
      <c r="W15" s="20"/>
      <c r="X15" s="20"/>
      <c r="Y15" s="20"/>
      <c r="Z15" s="20"/>
      <c r="AA15" s="20"/>
      <c r="AB15" s="20"/>
    </row>
    <row r="16" spans="1:28">
      <c r="A16" s="20"/>
      <c r="B16" s="20"/>
      <c r="C16" s="20"/>
      <c r="D16" s="20"/>
      <c r="E16" s="18"/>
      <c r="F16" s="20"/>
      <c r="G16" s="20"/>
      <c r="H16" s="18"/>
      <c r="I16" s="20"/>
      <c r="J16" s="18"/>
      <c r="K16" s="18"/>
      <c r="L16" s="20"/>
      <c r="M16" s="18"/>
      <c r="N16" s="20"/>
      <c r="O16" s="20"/>
      <c r="P16" s="20"/>
      <c r="Q16" s="147"/>
      <c r="R16" s="20"/>
      <c r="S16" s="20"/>
      <c r="T16" s="20"/>
      <c r="U16" s="20"/>
      <c r="V16" s="18"/>
      <c r="W16" s="20"/>
      <c r="X16" s="20"/>
      <c r="Y16" s="20"/>
      <c r="Z16" s="20"/>
      <c r="AA16" s="20"/>
      <c r="AB16" s="20"/>
    </row>
    <row r="17" spans="1:28">
      <c r="A17" s="20"/>
      <c r="B17" s="20"/>
      <c r="C17" s="20"/>
      <c r="D17" s="20"/>
      <c r="E17" s="18"/>
      <c r="F17" s="20"/>
      <c r="G17" s="20"/>
      <c r="H17" s="18"/>
      <c r="I17" s="20"/>
      <c r="J17" s="18"/>
      <c r="K17" s="18"/>
      <c r="L17" s="20"/>
      <c r="M17" s="18"/>
      <c r="N17" s="20"/>
      <c r="O17" s="20"/>
      <c r="P17" s="20"/>
      <c r="Q17" s="147"/>
      <c r="R17" s="20"/>
      <c r="S17" s="20"/>
      <c r="T17" s="20"/>
      <c r="U17" s="20"/>
      <c r="V17" s="18"/>
      <c r="W17" s="20"/>
      <c r="X17" s="20"/>
      <c r="Y17" s="20"/>
      <c r="Z17" s="20"/>
      <c r="AA17" s="20"/>
      <c r="AB17" s="20"/>
    </row>
    <row r="18" spans="1:28">
      <c r="A18" s="20"/>
      <c r="B18" s="20"/>
      <c r="C18" s="20"/>
      <c r="D18" s="20"/>
      <c r="E18" s="18"/>
      <c r="F18" s="20"/>
      <c r="G18" s="20"/>
      <c r="H18" s="18"/>
      <c r="I18" s="20"/>
      <c r="J18" s="18"/>
      <c r="K18" s="18"/>
      <c r="L18" s="20"/>
      <c r="M18" s="18"/>
      <c r="N18" s="20"/>
      <c r="O18" s="20"/>
      <c r="P18" s="20"/>
      <c r="Q18" s="147"/>
      <c r="R18" s="20"/>
      <c r="S18" s="20"/>
      <c r="T18" s="20"/>
      <c r="U18" s="20"/>
      <c r="V18" s="18"/>
      <c r="W18" s="20"/>
      <c r="X18" s="20"/>
      <c r="Y18" s="20"/>
      <c r="Z18" s="20"/>
      <c r="AA18" s="20"/>
      <c r="AB18" s="20"/>
    </row>
    <row r="19" spans="1:28">
      <c r="A19" s="20"/>
      <c r="B19" s="20"/>
      <c r="C19" s="20"/>
      <c r="D19" s="20"/>
      <c r="E19" s="18"/>
      <c r="F19" s="20"/>
      <c r="G19" s="20"/>
      <c r="H19" s="18"/>
      <c r="I19" s="20"/>
      <c r="J19" s="18"/>
      <c r="K19" s="18"/>
      <c r="L19" s="20"/>
      <c r="M19" s="18"/>
      <c r="N19" s="20"/>
      <c r="O19" s="20"/>
      <c r="P19" s="20"/>
      <c r="Q19" s="147"/>
      <c r="R19" s="20"/>
      <c r="S19" s="20"/>
      <c r="T19" s="20"/>
      <c r="U19" s="20"/>
      <c r="V19" s="18"/>
      <c r="W19" s="20"/>
      <c r="X19" s="20"/>
      <c r="Y19" s="20"/>
      <c r="Z19" s="20"/>
      <c r="AA19" s="20"/>
      <c r="AB19" s="20"/>
    </row>
    <row r="20" spans="1:28">
      <c r="E20" s="18"/>
      <c r="H20" s="18"/>
      <c r="I20" s="20"/>
      <c r="J20" s="18"/>
      <c r="K20" s="18"/>
      <c r="L20" s="20"/>
      <c r="M20" s="18"/>
      <c r="N20" s="20"/>
      <c r="O20" s="20"/>
      <c r="T20" s="20"/>
      <c r="U20" s="20"/>
    </row>
    <row r="21" spans="1:28">
      <c r="H21" s="4"/>
      <c r="M21" s="4"/>
      <c r="N21" s="20"/>
    </row>
    <row r="22" spans="1:28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AA20"/>
  <sheetViews>
    <sheetView rightToLeft="1" zoomScale="70" zoomScaleNormal="70" workbookViewId="0">
      <selection activeCell="A2" sqref="A2"/>
    </sheetView>
  </sheetViews>
  <sheetFormatPr defaultRowHeight="14.25"/>
  <cols>
    <col min="1" max="8" width="11.625" customWidth="1"/>
    <col min="9" max="9" width="11.625" style="2" customWidth="1"/>
    <col min="10" max="15" width="11.625" customWidth="1"/>
    <col min="16" max="16" width="11.625" style="143" customWidth="1"/>
    <col min="17" max="23" width="11.625" customWidth="1"/>
    <col min="24" max="24" width="11.625" style="2" customWidth="1"/>
    <col min="25" max="25" width="11.625" customWidth="1"/>
  </cols>
  <sheetData>
    <row r="1" spans="1:27" ht="66.75" customHeight="1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175</v>
      </c>
      <c r="G1" s="19" t="s">
        <v>5</v>
      </c>
      <c r="H1" s="19" t="s">
        <v>6</v>
      </c>
      <c r="I1" s="19" t="s">
        <v>7</v>
      </c>
      <c r="J1" s="19" t="s">
        <v>184</v>
      </c>
      <c r="K1" s="19" t="s">
        <v>9</v>
      </c>
      <c r="L1" s="19" t="s">
        <v>10</v>
      </c>
      <c r="M1" s="19" t="s">
        <v>11</v>
      </c>
      <c r="N1" s="19" t="s">
        <v>12</v>
      </c>
      <c r="O1" s="19" t="s">
        <v>13</v>
      </c>
      <c r="P1" s="142" t="s">
        <v>14</v>
      </c>
      <c r="Q1" s="19" t="s">
        <v>15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24</v>
      </c>
      <c r="Y1" s="19" t="s">
        <v>25</v>
      </c>
    </row>
    <row r="2" spans="1:27">
      <c r="A2" s="20"/>
      <c r="B2" s="20"/>
      <c r="C2" s="20"/>
      <c r="D2" s="20"/>
      <c r="E2" s="20"/>
      <c r="F2" s="20"/>
      <c r="G2" s="20"/>
      <c r="H2" s="18"/>
      <c r="I2" s="18"/>
      <c r="J2" s="20"/>
      <c r="K2" s="26"/>
      <c r="L2" s="20"/>
      <c r="M2" s="18"/>
      <c r="N2" s="20"/>
      <c r="O2" s="20"/>
      <c r="P2" s="147"/>
      <c r="Q2" s="20"/>
      <c r="R2" s="20"/>
      <c r="S2" s="20"/>
      <c r="T2" s="20"/>
      <c r="U2" s="20"/>
      <c r="V2" s="20"/>
      <c r="W2" s="18"/>
      <c r="X2" s="20"/>
      <c r="Y2" s="20"/>
    </row>
    <row r="3" spans="1:27">
      <c r="A3" s="20"/>
      <c r="B3" s="20"/>
      <c r="C3" s="20"/>
      <c r="D3" s="20"/>
      <c r="E3" s="20"/>
      <c r="F3" s="20"/>
      <c r="G3" s="20"/>
      <c r="H3" s="18"/>
      <c r="I3" s="18"/>
      <c r="J3" s="20"/>
      <c r="K3" s="20"/>
      <c r="L3" s="20"/>
      <c r="M3" s="18"/>
      <c r="N3" s="20"/>
      <c r="O3" s="20"/>
      <c r="P3" s="147"/>
      <c r="Q3" s="20"/>
      <c r="R3" s="20"/>
      <c r="S3" s="20"/>
      <c r="T3" s="20"/>
      <c r="U3" s="20"/>
      <c r="V3" s="20"/>
      <c r="W3" s="18"/>
      <c r="X3" s="20"/>
      <c r="Y3" s="20"/>
    </row>
    <row r="4" spans="1:27">
      <c r="A4" s="20"/>
      <c r="B4" s="20"/>
      <c r="C4" s="20"/>
      <c r="D4" s="20"/>
      <c r="E4" s="20"/>
      <c r="F4" s="20"/>
      <c r="G4" s="20"/>
      <c r="H4" s="18"/>
      <c r="I4" s="18"/>
      <c r="J4" s="20"/>
      <c r="K4" s="20"/>
      <c r="L4" s="20"/>
      <c r="M4" s="18"/>
      <c r="N4" s="20"/>
      <c r="O4" s="20"/>
      <c r="P4" s="147"/>
      <c r="Q4" s="20"/>
      <c r="R4" s="20"/>
      <c r="S4" s="20"/>
      <c r="T4" s="20"/>
      <c r="U4" s="20"/>
      <c r="V4" s="20"/>
      <c r="W4" s="18"/>
      <c r="X4" s="20"/>
      <c r="Y4" s="20"/>
    </row>
    <row r="5" spans="1:27">
      <c r="A5" s="20"/>
      <c r="B5" s="20"/>
      <c r="C5" s="20"/>
      <c r="D5" s="20"/>
      <c r="E5" s="20"/>
      <c r="F5" s="20"/>
      <c r="G5" s="20"/>
      <c r="H5" s="18"/>
      <c r="I5" s="18"/>
      <c r="J5" s="20"/>
      <c r="K5" s="18"/>
      <c r="L5" s="20"/>
      <c r="N5" s="20"/>
      <c r="O5" s="20"/>
      <c r="P5" s="146"/>
      <c r="Q5" s="18"/>
      <c r="R5" s="20"/>
      <c r="T5" s="20"/>
      <c r="U5" s="20"/>
      <c r="V5" s="20"/>
      <c r="W5" s="20"/>
      <c r="X5" s="20"/>
      <c r="Y5" s="20"/>
      <c r="Z5" s="20"/>
      <c r="AA5" s="20"/>
    </row>
    <row r="6" spans="1:27">
      <c r="A6" s="20"/>
      <c r="B6" s="20"/>
      <c r="C6" s="20"/>
      <c r="D6" s="20"/>
      <c r="E6" s="20"/>
      <c r="F6" s="20"/>
      <c r="G6" s="20"/>
      <c r="H6" s="18"/>
      <c r="I6" s="18"/>
      <c r="J6" s="20"/>
      <c r="K6" s="20"/>
      <c r="L6" s="20"/>
      <c r="M6" s="18"/>
      <c r="N6" s="20"/>
      <c r="O6" s="20"/>
      <c r="P6" s="147"/>
      <c r="Q6" s="20"/>
      <c r="R6" s="20"/>
      <c r="S6" s="20"/>
      <c r="T6" s="20"/>
      <c r="U6" s="20"/>
      <c r="V6" s="20"/>
      <c r="W6" s="18"/>
      <c r="X6" s="20"/>
      <c r="Y6" s="20"/>
    </row>
    <row r="7" spans="1:27">
      <c r="A7" s="20"/>
      <c r="B7" s="20"/>
      <c r="C7" s="20"/>
      <c r="D7" s="20"/>
      <c r="E7" s="20"/>
      <c r="F7" s="20"/>
      <c r="G7" s="20"/>
      <c r="H7" s="18"/>
      <c r="I7" s="18"/>
      <c r="J7" s="20"/>
      <c r="K7" s="20"/>
      <c r="L7" s="20"/>
      <c r="M7" s="18"/>
      <c r="N7" s="20"/>
      <c r="O7" s="20"/>
      <c r="P7" s="147"/>
      <c r="Q7" s="20"/>
      <c r="R7" s="20"/>
      <c r="S7" s="20"/>
      <c r="T7" s="20"/>
      <c r="U7" s="20"/>
      <c r="V7" s="20"/>
      <c r="W7" s="18"/>
      <c r="X7" s="20"/>
      <c r="Y7" s="20"/>
    </row>
    <row r="8" spans="1:27">
      <c r="A8" s="20"/>
      <c r="B8" s="20"/>
      <c r="C8" s="20"/>
      <c r="D8" s="20"/>
      <c r="E8" s="20"/>
      <c r="F8" s="20"/>
      <c r="G8" s="20"/>
      <c r="H8" s="18"/>
      <c r="I8" s="18"/>
      <c r="J8" s="20"/>
      <c r="K8" s="20"/>
      <c r="L8" s="20"/>
      <c r="M8" s="18"/>
      <c r="N8" s="20"/>
      <c r="O8" s="20"/>
      <c r="P8" s="147"/>
      <c r="Q8" s="20"/>
      <c r="R8" s="20"/>
      <c r="S8" s="20"/>
      <c r="T8" s="20"/>
      <c r="U8" s="20"/>
      <c r="V8" s="20"/>
      <c r="W8" s="18"/>
      <c r="X8" s="20"/>
      <c r="Y8" s="20"/>
    </row>
    <row r="9" spans="1:27">
      <c r="A9" s="20"/>
      <c r="B9" s="20"/>
      <c r="C9" s="20"/>
      <c r="D9" s="20"/>
      <c r="E9" s="20"/>
      <c r="F9" s="20"/>
      <c r="G9" s="20"/>
      <c r="H9" s="18"/>
      <c r="I9" s="18"/>
      <c r="J9" s="20"/>
      <c r="K9" s="20"/>
      <c r="L9" s="20"/>
      <c r="M9" s="18"/>
      <c r="N9" s="20"/>
      <c r="O9" s="20"/>
      <c r="P9" s="147"/>
      <c r="Q9" s="20"/>
      <c r="R9" s="20"/>
      <c r="S9" s="20"/>
      <c r="T9" s="20"/>
      <c r="U9" s="20"/>
      <c r="V9" s="20"/>
      <c r="W9" s="18"/>
      <c r="X9" s="20"/>
      <c r="Y9" s="20"/>
    </row>
    <row r="10" spans="1:27">
      <c r="A10" s="20"/>
      <c r="B10" s="20"/>
      <c r="C10" s="20"/>
      <c r="D10" s="20"/>
      <c r="E10" s="20"/>
      <c r="F10" s="20"/>
      <c r="G10" s="20"/>
      <c r="H10" s="18"/>
      <c r="I10" s="18"/>
      <c r="J10" s="20"/>
      <c r="K10" s="20"/>
      <c r="L10" s="20"/>
      <c r="M10" s="18"/>
      <c r="N10" s="20"/>
      <c r="O10" s="20"/>
      <c r="P10" s="147"/>
      <c r="Q10" s="20"/>
      <c r="R10" s="20"/>
      <c r="S10" s="20"/>
      <c r="T10" s="20"/>
      <c r="U10" s="20"/>
      <c r="V10" s="20"/>
      <c r="W10" s="18"/>
      <c r="X10" s="20"/>
      <c r="Y10" s="20"/>
    </row>
    <row r="11" spans="1:27">
      <c r="A11" s="20"/>
      <c r="B11" s="20"/>
      <c r="C11" s="20"/>
      <c r="D11" s="20"/>
      <c r="E11" s="20"/>
      <c r="F11" s="20"/>
      <c r="G11" s="20"/>
      <c r="H11" s="18"/>
      <c r="I11" s="18"/>
      <c r="J11" s="20"/>
      <c r="K11" s="20"/>
      <c r="L11" s="20"/>
      <c r="M11" s="18"/>
      <c r="N11" s="20"/>
      <c r="O11" s="20"/>
      <c r="P11" s="147"/>
      <c r="Q11" s="20"/>
      <c r="R11" s="20"/>
      <c r="S11" s="20"/>
      <c r="T11" s="20"/>
      <c r="U11" s="20"/>
      <c r="V11" s="20"/>
      <c r="W11" s="18"/>
      <c r="X11" s="20"/>
      <c r="Y11" s="20"/>
    </row>
    <row r="12" spans="1:27">
      <c r="A12" s="20"/>
      <c r="B12" s="20"/>
      <c r="C12" s="20"/>
      <c r="D12" s="20"/>
      <c r="E12" s="20"/>
      <c r="F12" s="20"/>
      <c r="G12" s="20"/>
      <c r="H12" s="18"/>
      <c r="I12" s="18"/>
      <c r="J12" s="20"/>
      <c r="K12" s="20"/>
      <c r="L12" s="20"/>
      <c r="M12" s="18"/>
      <c r="N12" s="20"/>
      <c r="O12" s="20"/>
      <c r="P12" s="147"/>
      <c r="Q12" s="20"/>
      <c r="R12" s="20"/>
      <c r="S12" s="20"/>
      <c r="T12" s="20"/>
      <c r="U12" s="20"/>
      <c r="V12" s="20"/>
      <c r="W12" s="18"/>
      <c r="X12" s="20"/>
      <c r="Y12" s="20"/>
    </row>
    <row r="13" spans="1:27">
      <c r="A13" s="20"/>
      <c r="B13" s="20"/>
      <c r="C13" s="20"/>
      <c r="D13" s="20"/>
      <c r="E13" s="20"/>
      <c r="F13" s="20"/>
      <c r="G13" s="20"/>
      <c r="H13" s="18"/>
      <c r="I13" s="18"/>
      <c r="J13" s="20"/>
      <c r="K13" s="20"/>
      <c r="L13" s="20"/>
      <c r="M13" s="18"/>
      <c r="N13" s="20"/>
      <c r="O13" s="20"/>
      <c r="P13" s="147"/>
      <c r="Q13" s="20"/>
      <c r="R13" s="20"/>
      <c r="S13" s="20"/>
      <c r="T13" s="20"/>
      <c r="U13" s="20"/>
      <c r="V13" s="20"/>
      <c r="W13" s="18"/>
      <c r="X13" s="20"/>
      <c r="Y13" s="20"/>
    </row>
    <row r="14" spans="1:27">
      <c r="A14" s="20"/>
      <c r="B14" s="20"/>
      <c r="C14" s="20"/>
      <c r="D14" s="20"/>
      <c r="E14" s="20"/>
      <c r="F14" s="20"/>
      <c r="G14" s="20"/>
      <c r="H14" s="18"/>
      <c r="I14" s="18"/>
      <c r="J14" s="20"/>
      <c r="K14" s="20"/>
      <c r="L14" s="20"/>
      <c r="M14" s="18"/>
      <c r="N14" s="20"/>
      <c r="O14" s="20"/>
      <c r="P14" s="147"/>
      <c r="Q14" s="20"/>
      <c r="R14" s="20"/>
      <c r="S14" s="20"/>
      <c r="T14" s="20"/>
      <c r="U14" s="20"/>
      <c r="V14" s="20"/>
      <c r="W14" s="18"/>
      <c r="X14" s="20"/>
      <c r="Y14" s="20"/>
    </row>
    <row r="15" spans="1:27">
      <c r="A15" s="20"/>
      <c r="B15" s="20"/>
      <c r="C15" s="20"/>
      <c r="D15" s="20"/>
      <c r="E15" s="20"/>
      <c r="F15" s="20"/>
      <c r="G15" s="20"/>
      <c r="H15" s="18"/>
      <c r="I15" s="18"/>
      <c r="J15" s="20"/>
      <c r="K15" s="20"/>
      <c r="L15" s="20"/>
      <c r="M15" s="18"/>
      <c r="N15" s="20"/>
      <c r="O15" s="20"/>
      <c r="P15" s="147"/>
      <c r="Q15" s="20"/>
      <c r="R15" s="20"/>
      <c r="S15" s="20"/>
      <c r="T15" s="20"/>
      <c r="U15" s="20"/>
      <c r="V15" s="20"/>
      <c r="W15" s="18"/>
      <c r="X15" s="20"/>
      <c r="Y15" s="20"/>
    </row>
    <row r="16" spans="1:27">
      <c r="A16" s="20"/>
      <c r="B16" s="20"/>
      <c r="C16" s="20"/>
      <c r="D16" s="20"/>
      <c r="E16" s="20"/>
      <c r="F16" s="20"/>
      <c r="G16" s="20"/>
      <c r="H16" s="18"/>
      <c r="I16" s="18"/>
      <c r="J16" s="20"/>
      <c r="K16" s="20"/>
      <c r="L16" s="20"/>
      <c r="M16" s="18"/>
      <c r="N16" s="20"/>
      <c r="O16" s="20"/>
      <c r="P16" s="147"/>
      <c r="Q16" s="20"/>
      <c r="R16" s="20"/>
      <c r="S16" s="20"/>
      <c r="T16" s="20"/>
      <c r="U16" s="20"/>
      <c r="V16" s="20"/>
      <c r="W16" s="18"/>
      <c r="X16" s="20"/>
      <c r="Y16" s="20"/>
    </row>
    <row r="17" spans="1:25">
      <c r="A17" s="20"/>
      <c r="B17" s="20"/>
      <c r="C17" s="20"/>
      <c r="D17" s="20"/>
      <c r="E17" s="20"/>
      <c r="F17" s="20"/>
      <c r="G17" s="20"/>
      <c r="H17" s="18"/>
      <c r="I17" s="18"/>
      <c r="J17" s="20"/>
      <c r="K17" s="20"/>
      <c r="L17" s="20"/>
      <c r="M17" s="18"/>
      <c r="N17" s="20"/>
      <c r="O17" s="20"/>
      <c r="P17" s="147"/>
      <c r="Q17" s="20"/>
      <c r="R17" s="20"/>
      <c r="S17" s="20"/>
      <c r="T17" s="20"/>
      <c r="U17" s="20"/>
      <c r="V17" s="20"/>
      <c r="W17" s="18"/>
      <c r="X17" s="20"/>
      <c r="Y17" s="20"/>
    </row>
    <row r="18" spans="1:25">
      <c r="A18" s="20"/>
      <c r="B18" s="20"/>
      <c r="C18" s="20"/>
      <c r="D18" s="20"/>
      <c r="E18" s="20"/>
      <c r="F18" s="20"/>
      <c r="G18" s="20"/>
      <c r="H18" s="18"/>
      <c r="I18" s="18"/>
      <c r="J18" s="20"/>
      <c r="K18" s="20"/>
      <c r="L18" s="20"/>
      <c r="M18" s="18"/>
      <c r="N18" s="20"/>
      <c r="O18" s="20"/>
      <c r="P18" s="147"/>
      <c r="Q18" s="20"/>
      <c r="R18" s="20"/>
      <c r="S18" s="20"/>
      <c r="T18" s="20"/>
      <c r="U18" s="20"/>
      <c r="V18" s="20"/>
      <c r="W18" s="18"/>
      <c r="X18" s="20"/>
      <c r="Y18" s="20"/>
    </row>
    <row r="19" spans="1:25">
      <c r="A19" s="20"/>
      <c r="B19" s="20"/>
      <c r="C19" s="20"/>
      <c r="D19" s="20"/>
      <c r="E19" s="20"/>
      <c r="F19" s="20"/>
      <c r="G19" s="20"/>
      <c r="H19" s="18"/>
      <c r="I19" s="18"/>
      <c r="J19" s="20"/>
      <c r="K19" s="20"/>
      <c r="L19" s="20"/>
      <c r="M19" s="18"/>
      <c r="N19" s="20"/>
      <c r="O19" s="20"/>
      <c r="P19" s="147"/>
      <c r="Q19" s="20"/>
      <c r="R19" s="20"/>
      <c r="S19" s="20"/>
      <c r="T19" s="20"/>
      <c r="U19" s="20"/>
      <c r="V19" s="20"/>
      <c r="W19" s="18"/>
      <c r="X19" s="20"/>
      <c r="Y19" s="20"/>
    </row>
    <row r="20" spans="1:25">
      <c r="F20" s="20"/>
      <c r="G20" s="20"/>
      <c r="H20" s="18"/>
      <c r="I20" s="18"/>
      <c r="L20" s="20"/>
      <c r="W20" s="1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J5" xr:uid="{00000000-0002-0000-0D00-000006000000}">
      <formula1>$C$742:$C$748</formula1>
    </dataValidation>
    <dataValidation type="list" allowBlank="1" showInputMessage="1" showErrorMessage="1" sqref="I2:I20" xr:uid="{00000000-0002-0000-0D00-000007000000}">
      <formula1>Country_list</formula1>
    </dataValidation>
    <dataValidation type="list" allowBlank="1" showInputMessage="1" showErrorMessage="1" sqref="F2:F20" xr:uid="{00000000-0002-0000-0D00-000008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S24"/>
  <sheetViews>
    <sheetView rightToLeft="1" zoomScale="70" zoomScaleNormal="70" workbookViewId="0"/>
  </sheetViews>
  <sheetFormatPr defaultColWidth="9" defaultRowHeight="14.25"/>
  <cols>
    <col min="1" max="7" width="11.625" style="2" customWidth="1"/>
    <col min="8" max="8" width="11.625" customWidth="1"/>
    <col min="9" max="9" width="11.625" style="2" customWidth="1"/>
    <col min="10" max="10" width="11.625" style="144" customWidth="1"/>
    <col min="11" max="15" width="11.625" style="2" customWidth="1"/>
    <col min="16" max="16" width="11.625" customWidth="1"/>
    <col min="17" max="19" width="11.625" style="2" customWidth="1"/>
    <col min="20" max="20" width="9" style="2" customWidth="1"/>
    <col min="21" max="16384" width="9" style="2"/>
  </cols>
  <sheetData>
    <row r="1" spans="1:19" ht="66.75" customHeight="1">
      <c r="A1" s="19" t="s">
        <v>0</v>
      </c>
      <c r="B1" s="19" t="s">
        <v>1</v>
      </c>
      <c r="C1" s="19" t="s">
        <v>5</v>
      </c>
      <c r="D1" s="19" t="s">
        <v>3</v>
      </c>
      <c r="E1" s="19" t="s">
        <v>4</v>
      </c>
      <c r="F1" s="19" t="s">
        <v>184</v>
      </c>
      <c r="G1" s="19" t="s">
        <v>12</v>
      </c>
      <c r="H1" s="19" t="s">
        <v>788</v>
      </c>
      <c r="I1" s="19" t="s">
        <v>13</v>
      </c>
      <c r="J1" s="142" t="s">
        <v>14</v>
      </c>
      <c r="K1" s="19" t="s">
        <v>15</v>
      </c>
      <c r="L1" s="19" t="s">
        <v>17</v>
      </c>
      <c r="M1" s="19" t="s">
        <v>19</v>
      </c>
      <c r="N1" s="19" t="s">
        <v>20</v>
      </c>
      <c r="O1" s="19" t="s">
        <v>21</v>
      </c>
      <c r="P1" s="19" t="s">
        <v>22</v>
      </c>
      <c r="Q1" s="19" t="s">
        <v>24</v>
      </c>
      <c r="R1" s="19" t="s">
        <v>25</v>
      </c>
      <c r="S1" s="11"/>
    </row>
    <row r="2" spans="1:19">
      <c r="A2" s="20"/>
      <c r="B2" s="20"/>
      <c r="C2" s="20"/>
      <c r="D2" s="20"/>
      <c r="E2" s="20"/>
      <c r="F2" s="20"/>
      <c r="G2" s="20"/>
      <c r="H2" s="20"/>
      <c r="I2" s="20"/>
      <c r="J2" s="147"/>
      <c r="K2" s="20"/>
      <c r="L2" s="20"/>
      <c r="M2" s="20"/>
      <c r="N2" s="20"/>
      <c r="O2" s="20"/>
      <c r="P2" s="18"/>
      <c r="Q2" s="20"/>
      <c r="R2" s="20"/>
    </row>
    <row r="3" spans="1:19">
      <c r="A3" s="20"/>
      <c r="B3" s="20"/>
      <c r="C3" s="20"/>
      <c r="D3" s="20"/>
      <c r="E3" s="20"/>
      <c r="F3" s="20"/>
      <c r="G3" s="20"/>
      <c r="H3" s="20"/>
      <c r="I3" s="20"/>
      <c r="J3" s="147"/>
      <c r="K3" s="20"/>
      <c r="L3" s="20"/>
      <c r="M3" s="20"/>
      <c r="N3" s="20"/>
      <c r="O3" s="20"/>
      <c r="P3" s="18"/>
      <c r="Q3" s="20"/>
      <c r="R3" s="20"/>
    </row>
    <row r="4" spans="1:19">
      <c r="A4" s="20"/>
      <c r="B4" s="20"/>
      <c r="C4" s="20"/>
      <c r="D4" s="20"/>
      <c r="E4" s="20"/>
      <c r="F4" s="20"/>
      <c r="G4" s="20"/>
      <c r="H4" s="20"/>
      <c r="I4" s="20"/>
      <c r="J4" s="147"/>
      <c r="K4" s="20"/>
      <c r="L4" s="20"/>
      <c r="M4" s="20"/>
      <c r="N4" s="20"/>
      <c r="O4" s="20"/>
      <c r="P4" s="18"/>
      <c r="Q4" s="20"/>
      <c r="R4" s="20"/>
    </row>
    <row r="5" spans="1:19">
      <c r="A5" s="20"/>
      <c r="B5" s="20"/>
      <c r="C5" s="20"/>
      <c r="D5" s="20"/>
      <c r="E5" s="20"/>
      <c r="F5" s="20"/>
      <c r="G5" s="20"/>
      <c r="H5" s="20"/>
      <c r="I5" s="20"/>
      <c r="J5" s="147"/>
      <c r="K5" s="20"/>
      <c r="L5" s="20"/>
      <c r="M5" s="20"/>
      <c r="N5" s="20"/>
      <c r="O5" s="20"/>
      <c r="P5" s="20"/>
      <c r="Q5" s="20"/>
      <c r="R5" s="20"/>
    </row>
    <row r="6" spans="1:19">
      <c r="A6" s="20"/>
      <c r="B6" s="20"/>
      <c r="C6" s="20"/>
      <c r="D6" s="20"/>
      <c r="E6" s="20"/>
      <c r="F6" s="20"/>
      <c r="G6" s="20"/>
      <c r="H6" s="20"/>
      <c r="I6" s="20"/>
      <c r="J6" s="147"/>
      <c r="K6" s="20"/>
      <c r="L6" s="20"/>
      <c r="M6" s="20"/>
      <c r="N6" s="20"/>
      <c r="O6" s="20"/>
      <c r="P6" s="18"/>
      <c r="Q6" s="20"/>
      <c r="R6" s="20"/>
    </row>
    <row r="7" spans="1:19">
      <c r="A7" s="20"/>
      <c r="B7" s="20"/>
      <c r="C7" s="20"/>
      <c r="D7" s="20"/>
      <c r="E7" s="20"/>
      <c r="F7" s="20"/>
      <c r="G7" s="20"/>
      <c r="H7" s="20"/>
      <c r="I7" s="20"/>
      <c r="J7" s="147"/>
      <c r="K7" s="20"/>
      <c r="L7" s="20"/>
      <c r="M7" s="20"/>
      <c r="N7" s="20"/>
      <c r="O7" s="20"/>
      <c r="P7" s="18"/>
      <c r="Q7" s="20"/>
      <c r="R7" s="20"/>
    </row>
    <row r="8" spans="1:19">
      <c r="A8" s="20"/>
      <c r="B8" s="20"/>
      <c r="C8" s="20"/>
      <c r="D8" s="20"/>
      <c r="E8" s="20"/>
      <c r="F8" s="20"/>
      <c r="G8" s="20"/>
      <c r="H8" s="20"/>
      <c r="I8" s="20"/>
      <c r="J8" s="147"/>
      <c r="K8" s="20"/>
      <c r="L8" s="20"/>
      <c r="M8" s="20"/>
      <c r="N8" s="20"/>
      <c r="O8" s="20"/>
      <c r="P8" s="18"/>
      <c r="Q8" s="20"/>
      <c r="R8" s="20"/>
    </row>
    <row r="9" spans="1:19">
      <c r="A9" s="20"/>
      <c r="B9" s="20"/>
      <c r="C9" s="20"/>
      <c r="D9" s="20"/>
      <c r="E9" s="20"/>
      <c r="F9" s="20"/>
      <c r="G9" s="20"/>
      <c r="H9" s="20"/>
      <c r="I9" s="20"/>
      <c r="J9" s="147"/>
      <c r="K9" s="20"/>
      <c r="L9" s="20"/>
      <c r="M9" s="20"/>
      <c r="N9" s="20"/>
      <c r="O9" s="20"/>
      <c r="P9" s="18"/>
      <c r="Q9" s="20"/>
      <c r="R9" s="20"/>
    </row>
    <row r="10" spans="1:19">
      <c r="A10" s="20"/>
      <c r="B10" s="20"/>
      <c r="C10" s="20"/>
      <c r="D10" s="20"/>
      <c r="E10" s="20"/>
      <c r="F10" s="20"/>
      <c r="G10" s="20"/>
      <c r="H10" s="20"/>
      <c r="I10" s="20"/>
      <c r="J10" s="147"/>
      <c r="K10" s="20"/>
      <c r="L10" s="20"/>
      <c r="M10" s="20"/>
      <c r="N10" s="20"/>
      <c r="O10" s="20"/>
      <c r="P10" s="18"/>
      <c r="Q10" s="20"/>
      <c r="R10" s="20"/>
    </row>
    <row r="11" spans="1:19">
      <c r="A11" s="20"/>
      <c r="B11" s="20"/>
      <c r="C11" s="20"/>
      <c r="D11" s="20"/>
      <c r="E11" s="20"/>
      <c r="F11" s="20"/>
      <c r="G11" s="20"/>
      <c r="H11" s="20"/>
      <c r="I11" s="20"/>
      <c r="J11" s="147"/>
      <c r="K11" s="20"/>
      <c r="L11" s="20"/>
      <c r="M11" s="20"/>
      <c r="N11" s="20"/>
      <c r="O11" s="20"/>
      <c r="P11" s="18"/>
      <c r="Q11" s="20"/>
      <c r="R11" s="20"/>
    </row>
    <row r="12" spans="1:19">
      <c r="A12" s="20"/>
      <c r="B12" s="20"/>
      <c r="C12" s="20"/>
      <c r="D12" s="20"/>
      <c r="E12" s="20"/>
      <c r="F12" s="20"/>
      <c r="G12" s="20"/>
      <c r="H12" s="20"/>
      <c r="I12" s="20"/>
      <c r="J12" s="147"/>
      <c r="K12" s="20"/>
      <c r="L12" s="20"/>
      <c r="M12" s="20"/>
      <c r="N12" s="20"/>
      <c r="O12" s="20"/>
      <c r="P12" s="18"/>
      <c r="Q12" s="20"/>
      <c r="R12" s="20"/>
    </row>
    <row r="13" spans="1:19">
      <c r="A13" s="20"/>
      <c r="B13" s="20"/>
      <c r="C13" s="20"/>
      <c r="D13" s="20"/>
      <c r="E13" s="20"/>
      <c r="F13" s="20"/>
      <c r="G13" s="20"/>
      <c r="H13" s="20"/>
      <c r="I13" s="20"/>
      <c r="J13" s="147"/>
      <c r="K13" s="20"/>
      <c r="L13" s="20"/>
      <c r="M13" s="20"/>
      <c r="N13" s="20"/>
      <c r="O13" s="20"/>
      <c r="P13" s="18"/>
      <c r="Q13" s="20"/>
      <c r="R13" s="20"/>
    </row>
    <row r="14" spans="1:19">
      <c r="A14" s="20"/>
      <c r="B14" s="20"/>
      <c r="C14" s="20"/>
      <c r="D14" s="20"/>
      <c r="E14" s="20"/>
      <c r="F14" s="20"/>
      <c r="G14" s="20"/>
      <c r="H14" s="20"/>
      <c r="I14" s="20"/>
      <c r="J14" s="147"/>
      <c r="K14" s="20"/>
      <c r="L14" s="20"/>
      <c r="M14" s="20"/>
      <c r="N14" s="20"/>
      <c r="O14" s="20"/>
      <c r="P14" s="18"/>
      <c r="Q14" s="20"/>
      <c r="R14" s="20"/>
    </row>
    <row r="15" spans="1:19">
      <c r="A15" s="20"/>
      <c r="B15" s="20"/>
      <c r="C15" s="20"/>
      <c r="D15" s="20"/>
      <c r="E15" s="20"/>
      <c r="F15" s="20"/>
      <c r="G15" s="20"/>
      <c r="H15" s="20"/>
      <c r="I15" s="20"/>
      <c r="J15" s="147"/>
      <c r="K15" s="20"/>
      <c r="L15" s="20"/>
      <c r="M15" s="20"/>
      <c r="N15" s="20"/>
      <c r="O15" s="20"/>
      <c r="P15" s="18"/>
      <c r="Q15" s="20"/>
      <c r="R15" s="20"/>
    </row>
    <row r="16" spans="1:19">
      <c r="A16" s="20"/>
      <c r="B16" s="20"/>
      <c r="C16" s="20"/>
      <c r="D16" s="20"/>
      <c r="E16" s="20"/>
      <c r="F16" s="20"/>
      <c r="G16" s="20"/>
      <c r="H16" s="20"/>
      <c r="I16" s="20"/>
      <c r="J16" s="147"/>
      <c r="K16" s="20"/>
      <c r="L16" s="20"/>
      <c r="M16" s="20"/>
      <c r="N16" s="20"/>
      <c r="O16" s="20"/>
      <c r="P16" s="18"/>
      <c r="Q16" s="20"/>
      <c r="R16" s="20"/>
    </row>
    <row r="17" spans="1:18">
      <c r="A17" s="20"/>
      <c r="B17" s="20"/>
      <c r="C17" s="20"/>
      <c r="D17" s="20"/>
      <c r="E17" s="20"/>
      <c r="F17" s="20"/>
      <c r="G17" s="20"/>
      <c r="H17" s="20"/>
      <c r="I17" s="20"/>
      <c r="J17" s="147"/>
      <c r="K17" s="20"/>
      <c r="L17" s="20"/>
      <c r="M17" s="20"/>
      <c r="N17" s="20"/>
      <c r="O17" s="20"/>
      <c r="P17" s="18"/>
      <c r="Q17" s="20"/>
      <c r="R17" s="20"/>
    </row>
    <row r="18" spans="1:18">
      <c r="A18" s="20"/>
      <c r="B18" s="20"/>
      <c r="C18" s="20"/>
      <c r="D18" s="20"/>
      <c r="E18" s="20"/>
      <c r="F18" s="20"/>
      <c r="G18" s="20"/>
      <c r="H18" s="20"/>
      <c r="I18" s="20"/>
      <c r="J18" s="147"/>
      <c r="K18" s="20"/>
      <c r="L18" s="20"/>
      <c r="M18" s="20"/>
      <c r="N18" s="20"/>
      <c r="O18" s="20"/>
      <c r="P18" s="18"/>
      <c r="Q18" s="20"/>
      <c r="R18" s="20"/>
    </row>
    <row r="19" spans="1:18">
      <c r="A19" s="20"/>
      <c r="B19" s="20"/>
      <c r="C19" s="20"/>
      <c r="D19" s="20"/>
      <c r="E19" s="20"/>
      <c r="F19" s="20"/>
      <c r="G19" s="20"/>
      <c r="H19" s="20"/>
      <c r="I19" s="20"/>
      <c r="J19" s="147"/>
      <c r="K19" s="20"/>
      <c r="L19" s="20"/>
      <c r="M19" s="20"/>
      <c r="N19" s="20"/>
      <c r="O19" s="20"/>
      <c r="P19" s="18"/>
      <c r="Q19" s="20"/>
      <c r="R19" s="20"/>
    </row>
    <row r="20" spans="1:18">
      <c r="C20" s="20"/>
      <c r="H20" s="20"/>
      <c r="P20" s="18"/>
    </row>
    <row r="21" spans="1:18">
      <c r="H21" s="2"/>
    </row>
    <row r="22" spans="1:18">
      <c r="H22" s="2"/>
    </row>
    <row r="23" spans="1:18">
      <c r="H23" s="2"/>
    </row>
    <row r="24" spans="1:18">
      <c r="H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H20"/>
  <sheetViews>
    <sheetView rightToLeft="1" zoomScale="70" zoomScaleNormal="70" workbookViewId="0"/>
  </sheetViews>
  <sheetFormatPr defaultColWidth="9" defaultRowHeight="14.25"/>
  <cols>
    <col min="1" max="3" width="11.625" style="2" customWidth="1"/>
    <col min="4" max="6" width="11.625" customWidth="1"/>
    <col min="7" max="8" width="11.625" style="2" customWidth="1"/>
    <col min="9" max="9" width="9" style="2" customWidth="1"/>
    <col min="10" max="16384" width="9" style="2"/>
  </cols>
  <sheetData>
    <row r="1" spans="1:8" ht="66.75" customHeight="1">
      <c r="A1" s="19" t="s">
        <v>1155</v>
      </c>
      <c r="B1" s="19" t="s">
        <v>1</v>
      </c>
      <c r="C1" s="19" t="s">
        <v>5</v>
      </c>
      <c r="D1" s="19" t="s">
        <v>1156</v>
      </c>
      <c r="E1" s="19" t="s">
        <v>1157</v>
      </c>
      <c r="F1" s="19" t="s">
        <v>1158</v>
      </c>
      <c r="G1" s="19" t="s">
        <v>25</v>
      </c>
      <c r="H1" s="11"/>
    </row>
    <row r="2" spans="1:8">
      <c r="A2" s="20"/>
      <c r="B2" s="20"/>
      <c r="C2" s="20"/>
      <c r="D2" s="124"/>
      <c r="G2" s="26"/>
    </row>
    <row r="3" spans="1:8">
      <c r="A3" s="20"/>
      <c r="B3" s="20"/>
      <c r="C3" s="20"/>
      <c r="G3" s="20"/>
    </row>
    <row r="4" spans="1:8">
      <c r="A4" s="20"/>
      <c r="B4" s="20"/>
      <c r="C4" s="20"/>
      <c r="G4" s="20"/>
    </row>
    <row r="5" spans="1:8">
      <c r="A5" s="20"/>
      <c r="B5" s="20"/>
      <c r="C5" s="20"/>
      <c r="G5" s="20"/>
    </row>
    <row r="6" spans="1:8">
      <c r="A6" s="20"/>
      <c r="B6" s="20"/>
      <c r="C6" s="20"/>
      <c r="G6" s="20"/>
    </row>
    <row r="7" spans="1:8">
      <c r="A7" s="20"/>
      <c r="B7" s="20"/>
      <c r="C7" s="20"/>
      <c r="G7" s="20"/>
    </row>
    <row r="8" spans="1:8">
      <c r="A8" s="20"/>
      <c r="B8" s="20"/>
      <c r="C8" s="20"/>
      <c r="G8" s="20"/>
    </row>
    <row r="9" spans="1:8">
      <c r="A9" s="20"/>
      <c r="B9" s="20"/>
      <c r="C9" s="20"/>
      <c r="G9" s="20"/>
    </row>
    <row r="10" spans="1:8">
      <c r="A10" s="20"/>
      <c r="B10" s="20"/>
      <c r="C10" s="20"/>
      <c r="G10" s="20"/>
    </row>
    <row r="11" spans="1:8">
      <c r="A11" s="20"/>
      <c r="B11" s="20"/>
      <c r="C11" s="20"/>
      <c r="G11" s="20"/>
    </row>
    <row r="12" spans="1:8">
      <c r="A12" s="20"/>
      <c r="B12" s="20"/>
      <c r="C12" s="20"/>
      <c r="G12" s="20"/>
    </row>
    <row r="13" spans="1:8">
      <c r="A13" s="20"/>
      <c r="B13" s="20"/>
      <c r="C13" s="20"/>
      <c r="G13" s="20"/>
    </row>
    <row r="14" spans="1:8">
      <c r="A14" s="20"/>
      <c r="B14" s="20"/>
      <c r="C14" s="20"/>
      <c r="G14" s="20"/>
    </row>
    <row r="15" spans="1:8">
      <c r="A15" s="20"/>
      <c r="B15" s="20"/>
      <c r="C15" s="20"/>
      <c r="G15" s="20"/>
    </row>
    <row r="16" spans="1:8">
      <c r="A16" s="20"/>
      <c r="B16" s="20"/>
      <c r="C16" s="20"/>
      <c r="G16" s="20"/>
    </row>
    <row r="17" spans="1:7">
      <c r="A17" s="20"/>
      <c r="B17" s="20"/>
      <c r="C17" s="20"/>
      <c r="G17" s="20"/>
    </row>
    <row r="18" spans="1:7">
      <c r="A18" s="20"/>
      <c r="B18" s="20"/>
      <c r="C18" s="20"/>
      <c r="G18" s="20"/>
    </row>
    <row r="19" spans="1:7">
      <c r="A19" s="20"/>
      <c r="B19" s="20"/>
      <c r="C19" s="20"/>
      <c r="G19" s="20"/>
    </row>
    <row r="20" spans="1:7">
      <c r="C20" s="20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zoomScale="70" zoomScaleNormal="70" workbookViewId="0"/>
  </sheetViews>
  <sheetFormatPr defaultRowHeight="14.25"/>
  <cols>
    <col min="1" max="4" width="11.625" customWidth="1"/>
    <col min="5" max="5" width="11.625" style="4" customWidth="1"/>
    <col min="6" max="11" width="11.625" customWidth="1"/>
    <col min="12" max="12" width="11.625" style="2" customWidth="1"/>
    <col min="13" max="24" width="11.625" customWidth="1"/>
    <col min="25" max="26" width="11.625" style="4" customWidth="1"/>
    <col min="27" max="40" width="11.625" customWidth="1"/>
  </cols>
  <sheetData>
    <row r="1" spans="1:40" ht="66.75" customHeight="1">
      <c r="A1" s="19" t="s">
        <v>0</v>
      </c>
      <c r="B1" s="19" t="s">
        <v>1</v>
      </c>
      <c r="C1" s="19" t="s">
        <v>2</v>
      </c>
      <c r="D1" s="19" t="s">
        <v>173</v>
      </c>
      <c r="E1" s="19" t="s">
        <v>174</v>
      </c>
      <c r="F1" s="19" t="s">
        <v>3</v>
      </c>
      <c r="G1" s="19" t="s">
        <v>4</v>
      </c>
      <c r="H1" s="19" t="s">
        <v>175</v>
      </c>
      <c r="I1" s="19" t="s">
        <v>5</v>
      </c>
      <c r="J1" s="19" t="s">
        <v>6</v>
      </c>
      <c r="K1" s="19" t="s">
        <v>7</v>
      </c>
      <c r="L1" s="19" t="s">
        <v>176</v>
      </c>
      <c r="M1" s="19" t="s">
        <v>141</v>
      </c>
      <c r="N1" s="19" t="s">
        <v>184</v>
      </c>
      <c r="O1" s="19" t="s">
        <v>9</v>
      </c>
      <c r="P1" s="19" t="s">
        <v>10</v>
      </c>
      <c r="Q1" s="19" t="s">
        <v>211</v>
      </c>
      <c r="R1" s="19" t="s">
        <v>11</v>
      </c>
      <c r="S1" s="19" t="s">
        <v>12</v>
      </c>
      <c r="T1" s="19" t="s">
        <v>788</v>
      </c>
      <c r="U1" s="19" t="s">
        <v>943</v>
      </c>
      <c r="V1" s="19" t="s">
        <v>13</v>
      </c>
      <c r="W1" s="19" t="s">
        <v>14</v>
      </c>
      <c r="X1" s="19" t="s">
        <v>15</v>
      </c>
      <c r="Y1" s="19" t="s">
        <v>445</v>
      </c>
      <c r="Z1" s="19" t="s">
        <v>864</v>
      </c>
      <c r="AA1" s="19" t="s">
        <v>177</v>
      </c>
      <c r="AB1" s="19" t="s">
        <v>178</v>
      </c>
      <c r="AC1" s="19" t="s">
        <v>190</v>
      </c>
      <c r="AD1" s="19" t="s">
        <v>150</v>
      </c>
      <c r="AE1" s="19" t="s">
        <v>179</v>
      </c>
      <c r="AF1" s="19" t="s">
        <v>17</v>
      </c>
      <c r="AG1" s="19" t="s">
        <v>18</v>
      </c>
      <c r="AH1" s="19" t="s">
        <v>19</v>
      </c>
      <c r="AI1" s="19" t="s">
        <v>20</v>
      </c>
      <c r="AJ1" s="19" t="s">
        <v>21</v>
      </c>
      <c r="AK1" s="19" t="s">
        <v>192</v>
      </c>
      <c r="AL1" s="19" t="s">
        <v>22</v>
      </c>
      <c r="AM1" s="19" t="s">
        <v>24</v>
      </c>
      <c r="AN1" s="19" t="s">
        <v>25</v>
      </c>
    </row>
    <row r="2" spans="1:40">
      <c r="A2" s="26"/>
      <c r="B2" s="20"/>
      <c r="C2" s="20"/>
      <c r="D2" s="20"/>
      <c r="E2" s="18"/>
      <c r="F2" s="20"/>
      <c r="G2" s="20"/>
      <c r="H2" s="18"/>
      <c r="I2" s="20"/>
      <c r="J2" s="18"/>
      <c r="K2" s="18"/>
      <c r="L2" s="20"/>
      <c r="M2" s="20"/>
      <c r="N2" s="20"/>
      <c r="O2" s="20"/>
      <c r="P2" s="20"/>
      <c r="Q2" s="20"/>
      <c r="R2" s="18"/>
      <c r="S2" s="20"/>
      <c r="T2" s="20"/>
      <c r="U2" s="20"/>
      <c r="V2" s="20"/>
      <c r="W2" s="20"/>
      <c r="X2" s="20"/>
      <c r="Y2" s="18"/>
      <c r="Z2" s="20"/>
      <c r="AA2" s="20"/>
      <c r="AB2" s="20"/>
      <c r="AC2" s="20"/>
      <c r="AD2" s="20"/>
      <c r="AE2" s="20"/>
      <c r="AF2" s="20"/>
      <c r="AG2" s="20"/>
      <c r="AH2" s="20"/>
      <c r="AI2" s="20"/>
      <c r="AK2" s="26"/>
      <c r="AL2" s="20"/>
    </row>
    <row r="3" spans="1:40">
      <c r="A3" s="20"/>
      <c r="B3" s="20"/>
      <c r="C3" s="20"/>
      <c r="D3" s="20"/>
      <c r="E3" s="18"/>
      <c r="F3" s="20"/>
      <c r="G3" s="20"/>
      <c r="H3" s="18"/>
      <c r="I3" s="20"/>
      <c r="J3" s="18"/>
      <c r="K3" s="18"/>
      <c r="L3" s="20"/>
      <c r="M3" s="20"/>
      <c r="N3" s="20"/>
      <c r="O3" s="20"/>
      <c r="P3" s="20"/>
      <c r="Q3" s="20"/>
      <c r="R3" s="18"/>
      <c r="S3" s="20"/>
      <c r="T3" s="20"/>
      <c r="U3" s="20"/>
      <c r="V3" s="20"/>
      <c r="W3" s="20"/>
      <c r="X3" s="20"/>
      <c r="Y3" s="18"/>
      <c r="Z3" s="18"/>
      <c r="AA3" s="20"/>
      <c r="AB3" s="20"/>
      <c r="AF3" s="20"/>
      <c r="AG3" s="20"/>
      <c r="AH3" s="20"/>
      <c r="AI3" s="20"/>
      <c r="AK3" s="20"/>
      <c r="AL3" s="20"/>
    </row>
    <row r="4" spans="1:40">
      <c r="A4" s="20"/>
      <c r="B4" s="20"/>
      <c r="C4" s="20"/>
      <c r="D4" s="20"/>
      <c r="E4" s="18"/>
      <c r="F4" s="20"/>
      <c r="G4" s="20"/>
      <c r="H4" s="18"/>
      <c r="I4" s="20"/>
      <c r="J4" s="18"/>
      <c r="K4" s="18"/>
      <c r="L4" s="20"/>
      <c r="M4" s="20"/>
      <c r="N4" s="20"/>
      <c r="O4" s="20"/>
      <c r="P4" s="20"/>
      <c r="Q4" s="20"/>
      <c r="R4" s="18"/>
      <c r="S4" s="20"/>
      <c r="T4" s="20"/>
      <c r="U4" s="20"/>
      <c r="V4" s="20"/>
      <c r="W4" s="20"/>
      <c r="X4" s="20"/>
      <c r="Y4" s="18"/>
      <c r="Z4" s="18"/>
      <c r="AA4" s="20"/>
      <c r="AB4" s="20"/>
      <c r="AD4" s="20"/>
      <c r="AE4" s="20"/>
      <c r="AF4" s="20"/>
      <c r="AG4" s="20"/>
      <c r="AH4" s="20"/>
      <c r="AI4" s="20"/>
      <c r="AK4" s="20"/>
      <c r="AL4" s="20"/>
    </row>
    <row r="5" spans="1:40">
      <c r="A5" s="20"/>
      <c r="B5" s="20"/>
      <c r="C5" s="20"/>
      <c r="D5" s="20"/>
      <c r="E5" s="18"/>
      <c r="F5" s="20"/>
      <c r="G5" s="20"/>
      <c r="H5" s="18"/>
      <c r="I5" s="20"/>
      <c r="J5" s="18"/>
      <c r="K5" s="18"/>
      <c r="L5" s="20"/>
      <c r="M5" s="20"/>
      <c r="N5" s="20"/>
      <c r="O5" s="20"/>
      <c r="P5" s="20"/>
      <c r="Q5" s="20"/>
      <c r="R5" s="18"/>
      <c r="S5" s="20"/>
      <c r="T5" s="20"/>
      <c r="U5" s="20"/>
      <c r="V5" s="20"/>
      <c r="W5" s="20"/>
      <c r="X5" s="20"/>
      <c r="Y5" s="18"/>
      <c r="Z5" s="18"/>
      <c r="AA5" s="20"/>
      <c r="AB5" s="20"/>
      <c r="AD5" s="20"/>
      <c r="AE5" s="20"/>
      <c r="AF5" s="20"/>
      <c r="AG5" s="20"/>
      <c r="AH5" s="20"/>
      <c r="AI5" s="20"/>
      <c r="AK5" s="20"/>
      <c r="AL5" s="20"/>
    </row>
    <row r="6" spans="1:40">
      <c r="A6" s="20"/>
      <c r="B6" s="20"/>
      <c r="C6" s="20"/>
      <c r="D6" s="20"/>
      <c r="E6" s="18"/>
      <c r="F6" s="20"/>
      <c r="G6" s="20"/>
      <c r="H6" s="18"/>
      <c r="I6" s="20"/>
      <c r="J6" s="18"/>
      <c r="K6" s="18"/>
      <c r="L6" s="20"/>
      <c r="M6" s="20"/>
      <c r="N6" s="20"/>
      <c r="O6" s="20"/>
      <c r="P6" s="20"/>
      <c r="Q6" s="20"/>
      <c r="R6" s="18"/>
      <c r="S6" s="20"/>
      <c r="T6" s="20"/>
      <c r="U6" s="20"/>
      <c r="V6" s="20"/>
      <c r="W6" s="20"/>
      <c r="X6" s="20"/>
      <c r="Y6" s="18"/>
      <c r="Z6" s="18"/>
      <c r="AA6" s="20"/>
      <c r="AB6" s="20"/>
      <c r="AD6" s="20"/>
      <c r="AE6" s="20"/>
      <c r="AF6" s="20"/>
      <c r="AG6" s="20"/>
      <c r="AH6" s="20"/>
      <c r="AI6" s="20"/>
      <c r="AK6" s="20"/>
      <c r="AL6" s="20"/>
    </row>
    <row r="7" spans="1:40">
      <c r="A7" s="20"/>
      <c r="B7" s="20"/>
      <c r="C7" s="20"/>
      <c r="D7" s="20"/>
      <c r="E7" s="18"/>
      <c r="F7" s="20"/>
      <c r="G7" s="20"/>
      <c r="H7" s="18"/>
      <c r="I7" s="20"/>
      <c r="J7" s="18"/>
      <c r="K7" s="18"/>
      <c r="L7" s="20"/>
      <c r="M7" s="20"/>
      <c r="N7" s="20"/>
      <c r="O7" s="20"/>
      <c r="P7" s="20"/>
      <c r="Q7" s="20"/>
      <c r="R7" s="18"/>
      <c r="S7" s="20"/>
      <c r="T7" s="20"/>
      <c r="U7" s="20"/>
      <c r="V7" s="20"/>
      <c r="W7" s="20"/>
      <c r="X7" s="20"/>
      <c r="Y7" s="18"/>
      <c r="Z7" s="18"/>
      <c r="AA7" s="20"/>
      <c r="AB7" s="20"/>
      <c r="AD7" s="20"/>
      <c r="AE7" s="20"/>
      <c r="AF7" s="20"/>
      <c r="AG7" s="20"/>
      <c r="AH7" s="20"/>
      <c r="AI7" s="20"/>
      <c r="AK7" s="20"/>
      <c r="AL7" s="20"/>
    </row>
    <row r="8" spans="1:40">
      <c r="A8" s="20"/>
      <c r="B8" s="20"/>
      <c r="C8" s="20"/>
      <c r="D8" s="20"/>
      <c r="E8" s="18"/>
      <c r="F8" s="20"/>
      <c r="G8" s="20"/>
      <c r="H8" s="18"/>
      <c r="I8" s="20"/>
      <c r="J8" s="18"/>
      <c r="K8" s="18"/>
      <c r="L8" s="20"/>
      <c r="M8" s="20"/>
      <c r="N8" s="20"/>
      <c r="O8" s="20"/>
      <c r="P8" s="20"/>
      <c r="Q8" s="20"/>
      <c r="R8" s="18"/>
      <c r="S8" s="20"/>
      <c r="T8" s="20"/>
      <c r="U8" s="20"/>
      <c r="V8" s="20"/>
      <c r="W8" s="20"/>
      <c r="X8" s="20"/>
      <c r="Y8" s="18"/>
      <c r="Z8" s="18"/>
      <c r="AA8" s="20"/>
      <c r="AB8" s="20"/>
      <c r="AD8" s="20"/>
      <c r="AE8" s="20"/>
      <c r="AF8" s="20"/>
      <c r="AG8" s="20"/>
      <c r="AH8" s="20"/>
      <c r="AI8" s="20"/>
      <c r="AK8" s="20"/>
      <c r="AL8" s="20"/>
    </row>
    <row r="9" spans="1:40">
      <c r="A9" s="20"/>
      <c r="B9" s="20"/>
      <c r="C9" s="20"/>
      <c r="D9" s="20"/>
      <c r="E9" s="18"/>
      <c r="F9" s="20"/>
      <c r="G9" s="20"/>
      <c r="H9" s="18"/>
      <c r="I9" s="20"/>
      <c r="J9" s="18"/>
      <c r="K9" s="18"/>
      <c r="L9" s="20"/>
      <c r="M9" s="20"/>
      <c r="N9" s="20"/>
      <c r="O9" s="20"/>
      <c r="P9" s="20"/>
      <c r="Q9" s="20"/>
      <c r="R9" s="18"/>
      <c r="S9" s="20"/>
      <c r="T9" s="20"/>
      <c r="U9" s="20"/>
      <c r="V9" s="20"/>
      <c r="W9" s="20"/>
      <c r="X9" s="20"/>
      <c r="Y9" s="18"/>
      <c r="Z9" s="18"/>
      <c r="AA9" s="20"/>
      <c r="AB9" s="20"/>
      <c r="AD9" s="20"/>
      <c r="AE9" s="20"/>
      <c r="AF9" s="20"/>
      <c r="AG9" s="20"/>
      <c r="AH9" s="20"/>
      <c r="AL9" s="20"/>
    </row>
    <row r="10" spans="1:40">
      <c r="A10" s="20"/>
      <c r="B10" s="20"/>
      <c r="C10" s="20"/>
      <c r="D10" s="20"/>
      <c r="E10" s="18"/>
      <c r="F10" s="20"/>
      <c r="G10" s="20"/>
      <c r="H10" s="18"/>
      <c r="I10" s="20"/>
      <c r="J10" s="18"/>
      <c r="K10" s="18"/>
      <c r="L10" s="20"/>
      <c r="M10" s="20"/>
      <c r="N10" s="20"/>
      <c r="O10" s="20"/>
      <c r="P10" s="20"/>
      <c r="Q10" s="20"/>
      <c r="R10" s="18"/>
      <c r="S10" s="20"/>
      <c r="T10" s="20"/>
      <c r="U10" s="20"/>
      <c r="V10" s="20"/>
      <c r="W10" s="20"/>
      <c r="X10" s="20"/>
      <c r="Y10" s="18"/>
      <c r="Z10" s="18"/>
      <c r="AA10" s="20"/>
      <c r="AB10" s="20"/>
      <c r="AD10" s="20"/>
      <c r="AE10" s="20"/>
      <c r="AF10" s="20"/>
      <c r="AG10" s="20"/>
      <c r="AH10" s="20"/>
      <c r="AL10" s="20"/>
    </row>
    <row r="11" spans="1:40">
      <c r="A11" s="20"/>
      <c r="B11" s="20"/>
      <c r="C11" s="20"/>
      <c r="D11" s="20"/>
      <c r="E11" s="18"/>
      <c r="F11" s="20"/>
      <c r="G11" s="20"/>
      <c r="H11" s="18"/>
      <c r="I11" s="20"/>
      <c r="J11" s="18"/>
      <c r="K11" s="18"/>
      <c r="L11" s="20"/>
      <c r="M11" s="20"/>
      <c r="N11" s="20"/>
      <c r="O11" s="20"/>
      <c r="P11" s="20"/>
      <c r="Q11" s="20"/>
      <c r="R11" s="18"/>
      <c r="S11" s="20"/>
      <c r="T11" s="20"/>
      <c r="U11" s="20"/>
      <c r="V11" s="20"/>
      <c r="W11" s="20"/>
      <c r="X11" s="20"/>
      <c r="Y11" s="18"/>
      <c r="Z11" s="18"/>
      <c r="AA11" s="20"/>
      <c r="AB11" s="20"/>
      <c r="AD11" s="20"/>
      <c r="AE11" s="20"/>
      <c r="AF11" s="20"/>
      <c r="AG11" s="20"/>
      <c r="AH11" s="20"/>
      <c r="AI11" s="20"/>
      <c r="AK11" s="20"/>
      <c r="AL11" s="20"/>
    </row>
    <row r="12" spans="1:40">
      <c r="A12" s="20"/>
      <c r="B12" s="20"/>
      <c r="C12" s="20"/>
      <c r="D12" s="20"/>
      <c r="E12" s="18"/>
      <c r="F12" s="20"/>
      <c r="G12" s="20"/>
      <c r="H12" s="18"/>
      <c r="I12" s="20"/>
      <c r="J12" s="18"/>
      <c r="K12" s="18"/>
      <c r="L12" s="20"/>
      <c r="M12" s="20"/>
      <c r="N12" s="20"/>
      <c r="O12" s="20"/>
      <c r="P12" s="20"/>
      <c r="Q12" s="20"/>
      <c r="R12" s="18"/>
      <c r="S12" s="20"/>
      <c r="T12" s="20"/>
      <c r="U12" s="20"/>
      <c r="V12" s="20"/>
      <c r="W12" s="20"/>
      <c r="X12" s="20"/>
      <c r="Y12" s="18"/>
      <c r="Z12" s="18"/>
      <c r="AA12" s="20"/>
      <c r="AB12" s="20"/>
      <c r="AD12" s="20"/>
      <c r="AE12" s="20"/>
      <c r="AF12" s="20"/>
      <c r="AG12" s="20"/>
      <c r="AH12" s="20"/>
      <c r="AI12" s="20"/>
      <c r="AK12" s="20"/>
      <c r="AL12" s="20"/>
    </row>
    <row r="13" spans="1:40">
      <c r="A13" s="20"/>
      <c r="B13" s="20"/>
      <c r="C13" s="20"/>
      <c r="D13" s="20"/>
      <c r="E13" s="18"/>
      <c r="F13" s="20"/>
      <c r="G13" s="20"/>
      <c r="H13" s="18"/>
      <c r="I13" s="20"/>
      <c r="J13" s="18"/>
      <c r="K13" s="18"/>
      <c r="L13" s="20"/>
      <c r="M13" s="20"/>
      <c r="N13" s="20"/>
      <c r="O13" s="20"/>
      <c r="P13" s="20"/>
      <c r="Q13" s="20"/>
      <c r="R13" s="18"/>
      <c r="S13" s="20"/>
      <c r="T13" s="20"/>
      <c r="U13" s="20"/>
      <c r="V13" s="20"/>
      <c r="W13" s="20"/>
      <c r="X13" s="20"/>
      <c r="Y13" s="18"/>
      <c r="Z13" s="18"/>
      <c r="AA13" s="20"/>
      <c r="AB13" s="20"/>
      <c r="AD13" s="20"/>
      <c r="AE13" s="20"/>
      <c r="AF13" s="20"/>
      <c r="AG13" s="20"/>
      <c r="AH13" s="20"/>
      <c r="AI13" s="20"/>
      <c r="AK13" s="20"/>
      <c r="AL13" s="20"/>
    </row>
    <row r="14" spans="1:40">
      <c r="A14" s="20"/>
      <c r="B14" s="20"/>
      <c r="C14" s="20"/>
      <c r="D14" s="20"/>
      <c r="E14" s="18"/>
      <c r="F14" s="20"/>
      <c r="G14" s="20"/>
      <c r="H14" s="18"/>
      <c r="I14" s="20"/>
      <c r="J14" s="18"/>
      <c r="K14" s="18"/>
      <c r="L14" s="20"/>
      <c r="M14" s="20"/>
      <c r="N14" s="20"/>
      <c r="O14" s="20"/>
      <c r="P14" s="20"/>
      <c r="Q14" s="20"/>
      <c r="R14" s="18"/>
      <c r="S14" s="20"/>
      <c r="T14" s="20"/>
      <c r="U14" s="20"/>
      <c r="V14" s="20"/>
      <c r="W14" s="20"/>
      <c r="X14" s="20"/>
      <c r="Y14" s="18"/>
      <c r="Z14" s="18"/>
      <c r="AA14" s="20"/>
      <c r="AB14" s="20"/>
      <c r="AD14" s="20"/>
      <c r="AE14" s="20"/>
      <c r="AF14" s="20"/>
      <c r="AG14" s="20"/>
      <c r="AH14" s="20"/>
      <c r="AI14" s="20"/>
      <c r="AK14" s="20"/>
      <c r="AL14" s="20"/>
    </row>
    <row r="15" spans="1:40">
      <c r="A15" s="20"/>
      <c r="B15" s="20"/>
      <c r="C15" s="20"/>
      <c r="D15" s="20"/>
      <c r="E15" s="18"/>
      <c r="F15" s="20"/>
      <c r="G15" s="20"/>
      <c r="H15" s="18"/>
      <c r="I15" s="20"/>
      <c r="J15" s="18"/>
      <c r="K15" s="18"/>
      <c r="L15" s="20"/>
      <c r="M15" s="20"/>
      <c r="N15" s="20"/>
      <c r="O15" s="20"/>
      <c r="P15" s="20"/>
      <c r="Q15" s="20"/>
      <c r="R15" s="18"/>
      <c r="S15" s="20"/>
      <c r="T15" s="20"/>
      <c r="U15" s="20"/>
      <c r="V15" s="20"/>
      <c r="W15" s="20"/>
      <c r="X15" s="20"/>
      <c r="Y15" s="18"/>
      <c r="Z15" s="18"/>
      <c r="AA15" s="20"/>
      <c r="AB15" s="20"/>
      <c r="AD15" s="20"/>
      <c r="AE15" s="20"/>
      <c r="AF15" s="20"/>
      <c r="AG15" s="20"/>
      <c r="AH15" s="20"/>
      <c r="AI15" s="20"/>
      <c r="AK15" s="20"/>
      <c r="AL15" s="20"/>
    </row>
    <row r="16" spans="1:40">
      <c r="A16" s="20"/>
      <c r="B16" s="20"/>
      <c r="C16" s="20"/>
      <c r="D16" s="20"/>
      <c r="E16" s="18"/>
      <c r="F16" s="20"/>
      <c r="G16" s="20"/>
      <c r="H16" s="18"/>
      <c r="I16" s="20"/>
      <c r="J16" s="18"/>
      <c r="K16" s="18"/>
      <c r="L16" s="20"/>
      <c r="M16" s="20"/>
      <c r="N16" s="20"/>
      <c r="O16" s="20"/>
      <c r="P16" s="20"/>
      <c r="Q16" s="20"/>
      <c r="R16" s="18"/>
      <c r="S16" s="20"/>
      <c r="T16" s="20"/>
      <c r="U16" s="20"/>
      <c r="V16" s="20"/>
      <c r="W16" s="20"/>
      <c r="X16" s="20"/>
      <c r="Y16" s="18"/>
      <c r="Z16" s="18"/>
      <c r="AA16" s="20"/>
      <c r="AB16" s="20"/>
      <c r="AD16" s="20"/>
      <c r="AE16" s="20"/>
      <c r="AF16" s="20"/>
      <c r="AG16" s="20"/>
      <c r="AH16" s="20"/>
      <c r="AI16" s="20"/>
      <c r="AK16" s="20"/>
      <c r="AL16" s="20"/>
    </row>
    <row r="17" spans="1:38">
      <c r="A17" s="20"/>
      <c r="B17" s="20"/>
      <c r="C17" s="20"/>
      <c r="D17" s="20"/>
      <c r="E17" s="18"/>
      <c r="F17" s="20"/>
      <c r="G17" s="20"/>
      <c r="H17" s="18"/>
      <c r="I17" s="20"/>
      <c r="J17" s="18"/>
      <c r="K17" s="18"/>
      <c r="L17" s="20"/>
      <c r="M17" s="20"/>
      <c r="N17" s="20"/>
      <c r="O17" s="20"/>
      <c r="P17" s="20"/>
      <c r="Q17" s="20"/>
      <c r="R17" s="18"/>
      <c r="S17" s="20"/>
      <c r="T17" s="20"/>
      <c r="U17" s="20"/>
      <c r="V17" s="20"/>
      <c r="W17" s="20"/>
      <c r="X17" s="20"/>
      <c r="Y17" s="18"/>
      <c r="Z17" s="18"/>
      <c r="AA17" s="20"/>
      <c r="AB17" s="20"/>
      <c r="AD17" s="20"/>
      <c r="AE17" s="20"/>
      <c r="AF17" s="20"/>
      <c r="AG17" s="20"/>
      <c r="AH17" s="20"/>
      <c r="AI17" s="20"/>
      <c r="AK17" s="20"/>
      <c r="AL17" s="20"/>
    </row>
    <row r="18" spans="1:38">
      <c r="A18" s="20"/>
      <c r="B18" s="20"/>
      <c r="C18" s="20"/>
      <c r="D18" s="20"/>
      <c r="E18" s="18"/>
      <c r="F18" s="20"/>
      <c r="G18" s="20"/>
      <c r="H18" s="18"/>
      <c r="I18" s="20"/>
      <c r="J18" s="18"/>
      <c r="K18" s="18"/>
      <c r="L18" s="20"/>
      <c r="M18" s="20"/>
      <c r="N18" s="20"/>
      <c r="O18" s="20"/>
      <c r="P18" s="20"/>
      <c r="Q18" s="20"/>
      <c r="R18" s="18"/>
      <c r="S18" s="20"/>
      <c r="T18" s="20"/>
      <c r="U18" s="20"/>
      <c r="V18" s="20"/>
      <c r="W18" s="20"/>
      <c r="X18" s="20"/>
      <c r="Y18" s="18"/>
      <c r="Z18" s="18"/>
      <c r="AA18" s="20"/>
      <c r="AB18" s="20"/>
      <c r="AD18" s="20"/>
      <c r="AE18" s="20"/>
      <c r="AF18" s="20"/>
      <c r="AG18" s="20"/>
      <c r="AH18" s="20"/>
      <c r="AI18" s="20"/>
      <c r="AK18" s="20"/>
      <c r="AL18" s="20"/>
    </row>
    <row r="19" spans="1:38">
      <c r="A19" s="20"/>
      <c r="B19" s="20"/>
      <c r="C19" s="20"/>
      <c r="D19" s="20"/>
      <c r="E19" s="18"/>
      <c r="F19" s="20"/>
      <c r="G19" s="20"/>
      <c r="H19" s="18"/>
      <c r="I19" s="20"/>
      <c r="J19" s="18"/>
      <c r="K19" s="18"/>
      <c r="L19" s="20"/>
      <c r="M19" s="20"/>
      <c r="N19" s="20"/>
      <c r="O19" s="20"/>
      <c r="P19" s="20"/>
      <c r="Q19" s="20"/>
      <c r="R19" s="18"/>
      <c r="S19" s="20"/>
      <c r="T19" s="20"/>
      <c r="U19" s="20"/>
      <c r="V19" s="20"/>
      <c r="W19" s="20"/>
      <c r="X19" s="20"/>
      <c r="Y19" s="18"/>
      <c r="Z19" s="18"/>
      <c r="AA19" s="20"/>
      <c r="AB19" s="20"/>
      <c r="AD19" s="20"/>
      <c r="AE19" s="20"/>
      <c r="AF19" s="20"/>
      <c r="AG19" s="20"/>
      <c r="AH19" s="20"/>
      <c r="AI19" s="20"/>
      <c r="AK19" s="20"/>
      <c r="AL19" s="20"/>
    </row>
    <row r="20" spans="1:38">
      <c r="E20" s="18"/>
      <c r="H20" s="18"/>
      <c r="I20" s="20"/>
      <c r="J20" s="18"/>
      <c r="K20" s="18"/>
      <c r="L20" s="20"/>
      <c r="M20" s="20"/>
      <c r="P20" s="20"/>
      <c r="Q20" s="20"/>
      <c r="T20" s="20"/>
      <c r="U20" s="20"/>
      <c r="Y20" s="18"/>
      <c r="Z20" s="18"/>
      <c r="AA20" s="20"/>
      <c r="AB20" s="20"/>
      <c r="AL20" s="20"/>
    </row>
    <row r="21" spans="1:38">
      <c r="AL21" s="2"/>
    </row>
    <row r="22" spans="1:38">
      <c r="T22" s="2"/>
      <c r="U22" s="2"/>
      <c r="AL22" s="2"/>
    </row>
    <row r="23" spans="1:38">
      <c r="T23" s="2"/>
      <c r="U23" s="2"/>
    </row>
    <row r="24" spans="1:38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39"/>
  <sheetViews>
    <sheetView rightToLeft="1" zoomScale="70" zoomScaleNormal="70" workbookViewId="0">
      <selection activeCell="A5" sqref="A5"/>
    </sheetView>
  </sheetViews>
  <sheetFormatPr defaultColWidth="9" defaultRowHeight="14.25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3" width="11.625" style="2" customWidth="1"/>
    <col min="24" max="25" width="11.625" style="4" customWidth="1"/>
    <col min="26" max="38" width="11.625" style="2" customWidth="1"/>
    <col min="39" max="39" width="9" style="2" customWidth="1"/>
    <col min="40" max="16384" width="9" style="2"/>
  </cols>
  <sheetData>
    <row r="1" spans="1:38" ht="66.75" customHeight="1">
      <c r="A1" s="19" t="s">
        <v>0</v>
      </c>
      <c r="B1" s="19" t="s">
        <v>1</v>
      </c>
      <c r="C1" s="19" t="s">
        <v>2</v>
      </c>
      <c r="D1" s="19" t="s">
        <v>173</v>
      </c>
      <c r="E1" s="19" t="s">
        <v>174</v>
      </c>
      <c r="F1" s="19" t="s">
        <v>3</v>
      </c>
      <c r="G1" s="19" t="s">
        <v>4</v>
      </c>
      <c r="H1" s="19" t="s">
        <v>175</v>
      </c>
      <c r="I1" s="19" t="s">
        <v>5</v>
      </c>
      <c r="J1" s="19" t="s">
        <v>6</v>
      </c>
      <c r="K1" s="19" t="s">
        <v>7</v>
      </c>
      <c r="L1" s="19" t="s">
        <v>361</v>
      </c>
      <c r="M1" s="19" t="s">
        <v>176</v>
      </c>
      <c r="N1" s="19" t="s">
        <v>141</v>
      </c>
      <c r="O1" s="19" t="s">
        <v>184</v>
      </c>
      <c r="P1" s="19" t="s">
        <v>9</v>
      </c>
      <c r="Q1" s="19" t="s">
        <v>10</v>
      </c>
      <c r="R1" s="19" t="s">
        <v>211</v>
      </c>
      <c r="S1" s="19" t="s">
        <v>11</v>
      </c>
      <c r="T1" s="19" t="s">
        <v>12</v>
      </c>
      <c r="U1" s="19" t="s">
        <v>13</v>
      </c>
      <c r="V1" s="163" t="s">
        <v>15</v>
      </c>
      <c r="W1" s="163" t="s">
        <v>14</v>
      </c>
      <c r="X1" s="19" t="s">
        <v>445</v>
      </c>
      <c r="Y1" s="19" t="s">
        <v>864</v>
      </c>
      <c r="Z1" s="19" t="s">
        <v>177</v>
      </c>
      <c r="AA1" s="19" t="s">
        <v>178</v>
      </c>
      <c r="AB1" s="19" t="s">
        <v>150</v>
      </c>
      <c r="AC1" s="19" t="s">
        <v>179</v>
      </c>
      <c r="AD1" s="19" t="s">
        <v>17</v>
      </c>
      <c r="AE1" s="157" t="s">
        <v>18</v>
      </c>
      <c r="AF1" s="168" t="s">
        <v>19</v>
      </c>
      <c r="AG1" s="19" t="s">
        <v>20</v>
      </c>
      <c r="AH1" s="19" t="s">
        <v>21</v>
      </c>
      <c r="AI1" s="19" t="s">
        <v>192</v>
      </c>
      <c r="AJ1" s="19" t="s">
        <v>22</v>
      </c>
      <c r="AK1" s="163" t="s">
        <v>24</v>
      </c>
      <c r="AL1" s="163" t="s">
        <v>25</v>
      </c>
    </row>
    <row r="2" spans="1:38">
      <c r="A2" s="2">
        <v>1182</v>
      </c>
      <c r="B2" s="20">
        <v>1182</v>
      </c>
      <c r="C2" s="20" t="s">
        <v>3097</v>
      </c>
      <c r="D2" s="20" t="s">
        <v>3098</v>
      </c>
      <c r="E2" s="18" t="s">
        <v>1342</v>
      </c>
      <c r="F2" s="20" t="s">
        <v>3099</v>
      </c>
      <c r="G2" s="20" t="s">
        <v>3100</v>
      </c>
      <c r="H2" s="20" t="s">
        <v>356</v>
      </c>
      <c r="I2" s="20" t="s">
        <v>208</v>
      </c>
      <c r="J2" s="18" t="s">
        <v>30</v>
      </c>
      <c r="K2" s="18" t="s">
        <v>30</v>
      </c>
      <c r="L2" s="20" t="s">
        <v>194</v>
      </c>
      <c r="M2" s="20" t="s">
        <v>480</v>
      </c>
      <c r="N2" s="20" t="s">
        <v>155</v>
      </c>
      <c r="O2" s="20"/>
      <c r="P2" s="20" t="s">
        <v>1501</v>
      </c>
      <c r="Q2" s="20" t="s">
        <v>444</v>
      </c>
      <c r="R2" s="20" t="s">
        <v>444</v>
      </c>
      <c r="S2" s="18" t="s">
        <v>34</v>
      </c>
      <c r="T2" s="153">
        <v>0.01</v>
      </c>
      <c r="U2" s="20" t="s">
        <v>3101</v>
      </c>
      <c r="V2" s="172">
        <v>0</v>
      </c>
      <c r="W2" s="164">
        <v>5.1499999999999997E-2</v>
      </c>
      <c r="X2" s="18" t="s">
        <v>447</v>
      </c>
      <c r="Y2" s="18" t="s">
        <v>155</v>
      </c>
      <c r="Z2" s="20" t="s">
        <v>194</v>
      </c>
      <c r="AA2" s="20"/>
      <c r="AB2" s="2" t="s">
        <v>3102</v>
      </c>
      <c r="AC2" s="20"/>
      <c r="AD2" s="153">
        <v>13377</v>
      </c>
      <c r="AE2" s="173">
        <v>1</v>
      </c>
      <c r="AF2" s="174">
        <v>0</v>
      </c>
      <c r="AG2" s="153">
        <v>0</v>
      </c>
      <c r="AH2" s="20"/>
      <c r="AI2" s="26"/>
      <c r="AJ2" s="20" t="s">
        <v>36</v>
      </c>
      <c r="AK2" s="164">
        <v>1.9196135811975199E-8</v>
      </c>
      <c r="AL2" s="164">
        <v>3.24738332025369E-11</v>
      </c>
    </row>
    <row r="3" spans="1:38">
      <c r="A3" s="20">
        <v>1182</v>
      </c>
      <c r="B3" s="20">
        <v>1182</v>
      </c>
      <c r="C3" s="20" t="s">
        <v>3103</v>
      </c>
      <c r="D3" s="20" t="s">
        <v>3104</v>
      </c>
      <c r="E3" s="18" t="s">
        <v>1342</v>
      </c>
      <c r="F3" s="20" t="s">
        <v>3105</v>
      </c>
      <c r="G3" s="20" t="s">
        <v>3106</v>
      </c>
      <c r="H3" s="20" t="s">
        <v>356</v>
      </c>
      <c r="I3" s="20" t="s">
        <v>1002</v>
      </c>
      <c r="J3" s="18" t="s">
        <v>30</v>
      </c>
      <c r="K3" s="18" t="s">
        <v>30</v>
      </c>
      <c r="L3" s="20" t="s">
        <v>194</v>
      </c>
      <c r="M3" s="20" t="s">
        <v>480</v>
      </c>
      <c r="N3" s="20" t="s">
        <v>155</v>
      </c>
      <c r="O3" s="20" t="s">
        <v>2666</v>
      </c>
      <c r="P3" s="20" t="s">
        <v>1501</v>
      </c>
      <c r="Q3" s="20" t="s">
        <v>444</v>
      </c>
      <c r="R3" s="20" t="s">
        <v>444</v>
      </c>
      <c r="S3" s="18" t="s">
        <v>34</v>
      </c>
      <c r="T3" s="153">
        <v>0.01</v>
      </c>
      <c r="U3" s="20" t="s">
        <v>3107</v>
      </c>
      <c r="V3" s="172">
        <v>0</v>
      </c>
      <c r="W3" s="164">
        <v>5.7000000000000002E-2</v>
      </c>
      <c r="X3" s="18" t="s">
        <v>446</v>
      </c>
      <c r="Y3" s="18" t="s">
        <v>375</v>
      </c>
      <c r="Z3" s="20" t="s">
        <v>925</v>
      </c>
      <c r="AA3" s="20"/>
      <c r="AB3" s="2" t="s">
        <v>3108</v>
      </c>
      <c r="AC3" s="20"/>
      <c r="AD3" s="153">
        <v>1380.01</v>
      </c>
      <c r="AE3" s="173">
        <v>1</v>
      </c>
      <c r="AF3" s="174">
        <v>0.01</v>
      </c>
      <c r="AG3" s="153">
        <v>0</v>
      </c>
      <c r="AH3" s="20"/>
      <c r="AI3" s="20"/>
      <c r="AJ3" s="20" t="s">
        <v>36</v>
      </c>
      <c r="AK3" s="164">
        <v>1.98032887657052E-7</v>
      </c>
      <c r="AL3" s="164">
        <v>3.3500945322443703E-10</v>
      </c>
    </row>
    <row r="4" spans="1:38">
      <c r="A4" s="20">
        <v>1182</v>
      </c>
      <c r="B4" s="20">
        <v>1182</v>
      </c>
      <c r="C4" s="20" t="s">
        <v>3109</v>
      </c>
      <c r="D4" s="20" t="s">
        <v>3110</v>
      </c>
      <c r="E4" s="18" t="s">
        <v>1342</v>
      </c>
      <c r="F4" s="20" t="s">
        <v>3111</v>
      </c>
      <c r="G4" s="20" t="s">
        <v>3112</v>
      </c>
      <c r="H4" s="20" t="s">
        <v>356</v>
      </c>
      <c r="I4" s="20" t="s">
        <v>1002</v>
      </c>
      <c r="J4" s="18" t="s">
        <v>30</v>
      </c>
      <c r="K4" s="18" t="s">
        <v>30</v>
      </c>
      <c r="L4" s="20" t="s">
        <v>194</v>
      </c>
      <c r="M4" s="20" t="s">
        <v>480</v>
      </c>
      <c r="N4" s="20" t="s">
        <v>155</v>
      </c>
      <c r="O4" s="2" t="s">
        <v>2666</v>
      </c>
      <c r="P4" s="20" t="s">
        <v>3113</v>
      </c>
      <c r="Q4" s="20" t="s">
        <v>101</v>
      </c>
      <c r="R4" s="20" t="s">
        <v>441</v>
      </c>
      <c r="S4" s="20" t="s">
        <v>34</v>
      </c>
      <c r="T4" s="153">
        <v>2.92</v>
      </c>
      <c r="U4" s="20" t="s">
        <v>3114</v>
      </c>
      <c r="V4" s="172">
        <v>1E-4</v>
      </c>
      <c r="W4" s="164">
        <v>6.5000000000000002E-2</v>
      </c>
      <c r="X4" s="18" t="s">
        <v>446</v>
      </c>
      <c r="Y4" s="18" t="s">
        <v>375</v>
      </c>
      <c r="Z4" s="20" t="s">
        <v>925</v>
      </c>
      <c r="AA4" s="20"/>
      <c r="AB4" s="2" t="s">
        <v>3115</v>
      </c>
      <c r="AD4" s="151">
        <v>39.99</v>
      </c>
      <c r="AE4" s="173">
        <v>1</v>
      </c>
      <c r="AF4" s="174">
        <v>73</v>
      </c>
      <c r="AG4" s="153">
        <v>2.9000000000000001E-2</v>
      </c>
      <c r="AH4" s="20"/>
      <c r="AI4" s="20"/>
      <c r="AJ4" s="20" t="s">
        <v>36</v>
      </c>
      <c r="AK4" s="164">
        <v>4.1891831794740903E-5</v>
      </c>
      <c r="AL4" s="164">
        <v>7.0867823168998905E-8</v>
      </c>
    </row>
    <row r="5" spans="1:38">
      <c r="A5" s="20">
        <v>1182</v>
      </c>
      <c r="B5" s="20">
        <v>1182</v>
      </c>
      <c r="C5" s="20" t="s">
        <v>3116</v>
      </c>
      <c r="D5" s="20" t="s">
        <v>3117</v>
      </c>
      <c r="E5" s="18" t="s">
        <v>1342</v>
      </c>
      <c r="F5" s="20" t="s">
        <v>3118</v>
      </c>
      <c r="G5" s="20" t="s">
        <v>3119</v>
      </c>
      <c r="H5" s="20" t="s">
        <v>356</v>
      </c>
      <c r="I5" s="20" t="s">
        <v>1000</v>
      </c>
      <c r="J5" s="18" t="s">
        <v>30</v>
      </c>
      <c r="K5" s="18" t="s">
        <v>30</v>
      </c>
      <c r="L5" s="20" t="s">
        <v>194</v>
      </c>
      <c r="M5" s="20" t="s">
        <v>497</v>
      </c>
      <c r="N5" s="20" t="s">
        <v>155</v>
      </c>
      <c r="O5" s="20" t="s">
        <v>3120</v>
      </c>
      <c r="P5" s="20" t="s">
        <v>1346</v>
      </c>
      <c r="Q5" s="20" t="s">
        <v>206</v>
      </c>
      <c r="R5" s="20" t="s">
        <v>441</v>
      </c>
      <c r="S5" s="18" t="s">
        <v>34</v>
      </c>
      <c r="T5" s="153">
        <v>0.25</v>
      </c>
      <c r="U5" s="20" t="s">
        <v>3121</v>
      </c>
      <c r="V5" s="172">
        <v>3.5790000000000002E-2</v>
      </c>
      <c r="W5" s="164">
        <v>3.5499999999999997E-2</v>
      </c>
      <c r="X5" s="18" t="s">
        <v>447</v>
      </c>
      <c r="Y5" s="18" t="s">
        <v>155</v>
      </c>
      <c r="Z5" s="20" t="s">
        <v>927</v>
      </c>
      <c r="AA5" s="20" t="s">
        <v>3122</v>
      </c>
      <c r="AB5" s="2" t="s">
        <v>157</v>
      </c>
      <c r="AC5" s="20" t="s">
        <v>3123</v>
      </c>
      <c r="AD5" s="153">
        <v>240000</v>
      </c>
      <c r="AE5" s="173">
        <v>1</v>
      </c>
      <c r="AF5" s="174">
        <v>100.41</v>
      </c>
      <c r="AG5" s="151">
        <v>240.98400000000001</v>
      </c>
      <c r="AJ5" s="20" t="s">
        <v>36</v>
      </c>
      <c r="AK5" s="164">
        <v>0.34581457669978599</v>
      </c>
      <c r="AL5" s="164">
        <v>5.8500965989983903E-4</v>
      </c>
    </row>
    <row r="6" spans="1:38">
      <c r="A6" s="20">
        <v>1182</v>
      </c>
      <c r="B6" s="20">
        <v>1182</v>
      </c>
      <c r="C6" s="20" t="s">
        <v>3097</v>
      </c>
      <c r="D6" s="20" t="s">
        <v>3098</v>
      </c>
      <c r="E6" s="18" t="s">
        <v>1342</v>
      </c>
      <c r="F6" s="20" t="s">
        <v>3124</v>
      </c>
      <c r="G6" s="20" t="s">
        <v>3125</v>
      </c>
      <c r="H6" s="20" t="s">
        <v>356</v>
      </c>
      <c r="I6" s="20" t="s">
        <v>208</v>
      </c>
      <c r="J6" s="18" t="s">
        <v>30</v>
      </c>
      <c r="K6" s="18" t="s">
        <v>30</v>
      </c>
      <c r="L6" s="20" t="s">
        <v>194</v>
      </c>
      <c r="M6" s="20" t="s">
        <v>480</v>
      </c>
      <c r="N6" s="20" t="s">
        <v>155</v>
      </c>
      <c r="O6" s="20" t="s">
        <v>3126</v>
      </c>
      <c r="P6" s="20" t="s">
        <v>1501</v>
      </c>
      <c r="Q6" s="20" t="s">
        <v>444</v>
      </c>
      <c r="R6" s="20" t="s">
        <v>444</v>
      </c>
      <c r="S6" s="18" t="s">
        <v>34</v>
      </c>
      <c r="T6" s="153">
        <v>0.01</v>
      </c>
      <c r="U6" s="20" t="s">
        <v>3127</v>
      </c>
      <c r="V6" s="172">
        <v>0</v>
      </c>
      <c r="W6" s="164">
        <v>4.9000000000000002E-2</v>
      </c>
      <c r="X6" s="18" t="s">
        <v>447</v>
      </c>
      <c r="Y6" s="18" t="s">
        <v>155</v>
      </c>
      <c r="Z6" s="20" t="s">
        <v>194</v>
      </c>
      <c r="AA6" s="20"/>
      <c r="AB6" s="2" t="s">
        <v>166</v>
      </c>
      <c r="AC6" s="20"/>
      <c r="AD6" s="153">
        <v>3992.61</v>
      </c>
      <c r="AE6" s="173">
        <v>1</v>
      </c>
      <c r="AF6" s="174">
        <v>6.4</v>
      </c>
      <c r="AG6" s="151">
        <v>0.25600000000000001</v>
      </c>
      <c r="AJ6" s="20" t="s">
        <v>36</v>
      </c>
      <c r="AK6" s="164">
        <v>3.6668399218599301E-4</v>
      </c>
      <c r="AL6" s="164">
        <v>6.20314156813783E-7</v>
      </c>
    </row>
    <row r="7" spans="1:38">
      <c r="A7" s="20">
        <v>1182</v>
      </c>
      <c r="B7" s="20">
        <v>1182</v>
      </c>
      <c r="C7" s="20" t="s">
        <v>3128</v>
      </c>
      <c r="D7" s="20" t="s">
        <v>3129</v>
      </c>
      <c r="E7" s="18" t="s">
        <v>1342</v>
      </c>
      <c r="F7" s="20" t="s">
        <v>3130</v>
      </c>
      <c r="G7" s="20" t="s">
        <v>3131</v>
      </c>
      <c r="H7" s="20" t="s">
        <v>356</v>
      </c>
      <c r="I7" s="20" t="s">
        <v>1002</v>
      </c>
      <c r="J7" s="18" t="s">
        <v>30</v>
      </c>
      <c r="K7" s="18" t="s">
        <v>30</v>
      </c>
      <c r="L7" s="20" t="s">
        <v>194</v>
      </c>
      <c r="M7" s="20" t="s">
        <v>480</v>
      </c>
      <c r="N7" s="20" t="s">
        <v>155</v>
      </c>
      <c r="O7" s="20" t="s">
        <v>3132</v>
      </c>
      <c r="P7" s="20" t="s">
        <v>1501</v>
      </c>
      <c r="Q7" s="20" t="s">
        <v>444</v>
      </c>
      <c r="R7" s="20" t="s">
        <v>444</v>
      </c>
      <c r="S7" s="18" t="s">
        <v>34</v>
      </c>
      <c r="T7" s="153">
        <v>0.01</v>
      </c>
      <c r="U7" s="20" t="s">
        <v>3133</v>
      </c>
      <c r="V7" s="172">
        <v>1E-4</v>
      </c>
      <c r="W7" s="164">
        <v>5.5E-2</v>
      </c>
      <c r="X7" s="18" t="s">
        <v>446</v>
      </c>
      <c r="Y7" s="18" t="s">
        <v>375</v>
      </c>
      <c r="Z7" s="20" t="s">
        <v>925</v>
      </c>
      <c r="AA7" s="20"/>
      <c r="AB7" s="2" t="s">
        <v>1507</v>
      </c>
      <c r="AC7" s="20"/>
      <c r="AD7" s="153">
        <v>1000</v>
      </c>
      <c r="AE7" s="173">
        <v>1</v>
      </c>
      <c r="AF7" s="174">
        <v>1</v>
      </c>
      <c r="AG7" s="153">
        <v>0.01</v>
      </c>
      <c r="AH7" s="20"/>
      <c r="AI7" s="20"/>
      <c r="AJ7" s="20" t="s">
        <v>36</v>
      </c>
      <c r="AK7" s="164">
        <v>1.4350105264241E-5</v>
      </c>
      <c r="AL7" s="164">
        <v>2.4275871422992399E-8</v>
      </c>
    </row>
    <row r="8" spans="1:38">
      <c r="A8" s="20">
        <v>1182</v>
      </c>
      <c r="B8" s="20">
        <v>1182</v>
      </c>
      <c r="C8" s="20" t="s">
        <v>3134</v>
      </c>
      <c r="D8" s="20" t="s">
        <v>1504</v>
      </c>
      <c r="E8" s="18" t="s">
        <v>1342</v>
      </c>
      <c r="F8" s="20" t="s">
        <v>3135</v>
      </c>
      <c r="G8" s="20" t="s">
        <v>3136</v>
      </c>
      <c r="H8" s="20" t="s">
        <v>356</v>
      </c>
      <c r="I8" s="20" t="s">
        <v>1000</v>
      </c>
      <c r="J8" s="18" t="s">
        <v>30</v>
      </c>
      <c r="K8" s="18" t="s">
        <v>30</v>
      </c>
      <c r="L8" s="20" t="s">
        <v>194</v>
      </c>
      <c r="M8" s="20" t="s">
        <v>512</v>
      </c>
      <c r="N8" s="20" t="s">
        <v>155</v>
      </c>
      <c r="O8" s="20" t="s">
        <v>3137</v>
      </c>
      <c r="P8" s="20" t="s">
        <v>1501</v>
      </c>
      <c r="Q8" s="20" t="s">
        <v>444</v>
      </c>
      <c r="R8" s="20" t="s">
        <v>444</v>
      </c>
      <c r="S8" s="18" t="s">
        <v>34</v>
      </c>
      <c r="T8" s="153">
        <v>2.04</v>
      </c>
      <c r="U8" s="20" t="s">
        <v>3138</v>
      </c>
      <c r="V8" s="172">
        <v>8.5169999999999996E-2</v>
      </c>
      <c r="W8" s="164">
        <v>0</v>
      </c>
      <c r="X8" s="18" t="s">
        <v>447</v>
      </c>
      <c r="Y8" s="18" t="s">
        <v>155</v>
      </c>
      <c r="Z8" s="20" t="s">
        <v>927</v>
      </c>
      <c r="AA8" s="20"/>
      <c r="AB8" s="2" t="s">
        <v>157</v>
      </c>
      <c r="AC8" s="20"/>
      <c r="AD8" s="153">
        <v>450000</v>
      </c>
      <c r="AE8" s="173">
        <v>1</v>
      </c>
      <c r="AF8" s="174">
        <v>101.24</v>
      </c>
      <c r="AG8" s="153">
        <v>455.58</v>
      </c>
      <c r="AH8" s="20"/>
      <c r="AI8" s="20"/>
      <c r="AJ8" s="20" t="s">
        <v>36</v>
      </c>
      <c r="AK8" s="164">
        <v>0.65376209562829202</v>
      </c>
      <c r="AL8" s="164">
        <v>1.1059601502886899E-3</v>
      </c>
    </row>
    <row r="9" spans="1:38">
      <c r="A9" s="20">
        <v>1182</v>
      </c>
      <c r="B9" s="20">
        <v>1182</v>
      </c>
      <c r="C9" s="20" t="s">
        <v>3139</v>
      </c>
      <c r="D9" s="20" t="s">
        <v>3140</v>
      </c>
      <c r="E9" s="18" t="s">
        <v>1342</v>
      </c>
      <c r="F9" s="20" t="s">
        <v>3141</v>
      </c>
      <c r="G9" s="20" t="s">
        <v>3142</v>
      </c>
      <c r="H9" s="20" t="s">
        <v>356</v>
      </c>
      <c r="I9" s="20" t="s">
        <v>208</v>
      </c>
      <c r="J9" s="18" t="s">
        <v>30</v>
      </c>
      <c r="K9" s="18" t="s">
        <v>30</v>
      </c>
      <c r="L9" s="20" t="s">
        <v>194</v>
      </c>
      <c r="M9" s="20" t="s">
        <v>484</v>
      </c>
      <c r="N9" s="20" t="s">
        <v>155</v>
      </c>
      <c r="O9" s="20"/>
      <c r="P9" s="20" t="s">
        <v>3143</v>
      </c>
      <c r="Q9" s="20" t="s">
        <v>206</v>
      </c>
      <c r="R9" s="20" t="s">
        <v>441</v>
      </c>
      <c r="S9" s="18" t="s">
        <v>34</v>
      </c>
      <c r="T9" s="153">
        <v>0.01</v>
      </c>
      <c r="U9" s="20" t="s">
        <v>3144</v>
      </c>
      <c r="V9" s="172">
        <v>0</v>
      </c>
      <c r="W9" s="164">
        <v>5.5E-2</v>
      </c>
      <c r="X9" s="18" t="s">
        <v>447</v>
      </c>
      <c r="Y9" s="18" t="s">
        <v>155</v>
      </c>
      <c r="Z9" s="20" t="s">
        <v>194</v>
      </c>
      <c r="AA9" s="20"/>
      <c r="AB9" s="2" t="s">
        <v>3145</v>
      </c>
      <c r="AC9" s="20"/>
      <c r="AD9" s="153">
        <v>1285.8</v>
      </c>
      <c r="AE9" s="173">
        <v>1</v>
      </c>
      <c r="AF9" s="174">
        <v>0.01</v>
      </c>
      <c r="AG9" s="153">
        <v>0</v>
      </c>
      <c r="AH9" s="20"/>
      <c r="AI9" s="20"/>
      <c r="AJ9" s="20" t="s">
        <v>36</v>
      </c>
      <c r="AK9" s="164">
        <v>1.84513653487611E-7</v>
      </c>
      <c r="AL9" s="164">
        <v>3.1213915475683602E-10</v>
      </c>
    </row>
    <row r="10" spans="1:38">
      <c r="A10" s="20">
        <v>12904</v>
      </c>
      <c r="B10" s="20">
        <v>12905</v>
      </c>
      <c r="C10" s="20" t="s">
        <v>3134</v>
      </c>
      <c r="D10" s="20" t="s">
        <v>1504</v>
      </c>
      <c r="E10" s="18" t="s">
        <v>1342</v>
      </c>
      <c r="F10" s="20" t="s">
        <v>3135</v>
      </c>
      <c r="G10" s="20" t="s">
        <v>3136</v>
      </c>
      <c r="H10" s="20" t="s">
        <v>356</v>
      </c>
      <c r="I10" s="20" t="s">
        <v>1000</v>
      </c>
      <c r="J10" s="18" t="s">
        <v>30</v>
      </c>
      <c r="K10" s="18" t="s">
        <v>30</v>
      </c>
      <c r="L10" s="20" t="s">
        <v>194</v>
      </c>
      <c r="M10" s="20" t="s">
        <v>512</v>
      </c>
      <c r="N10" s="20" t="s">
        <v>155</v>
      </c>
      <c r="O10" s="20" t="s">
        <v>3137</v>
      </c>
      <c r="P10" s="20" t="s">
        <v>1501</v>
      </c>
      <c r="Q10" s="20" t="s">
        <v>444</v>
      </c>
      <c r="R10" s="20" t="s">
        <v>444</v>
      </c>
      <c r="S10" s="18" t="s">
        <v>34</v>
      </c>
      <c r="T10" s="153">
        <v>2.04</v>
      </c>
      <c r="U10" s="20" t="s">
        <v>3138</v>
      </c>
      <c r="V10" s="172">
        <v>8.5169999999999996E-2</v>
      </c>
      <c r="W10" s="164">
        <v>0</v>
      </c>
      <c r="X10" s="18" t="s">
        <v>447</v>
      </c>
      <c r="Y10" s="18" t="s">
        <v>155</v>
      </c>
      <c r="Z10" s="20" t="s">
        <v>927</v>
      </c>
      <c r="AA10" s="20"/>
      <c r="AB10" s="2" t="s">
        <v>157</v>
      </c>
      <c r="AC10" s="20"/>
      <c r="AD10" s="153">
        <v>25000</v>
      </c>
      <c r="AE10" s="173">
        <v>1</v>
      </c>
      <c r="AF10" s="174">
        <v>101.24</v>
      </c>
      <c r="AG10" s="153">
        <v>25.31</v>
      </c>
      <c r="AH10" s="20"/>
      <c r="AI10" s="20"/>
      <c r="AJ10" s="20" t="s">
        <v>36</v>
      </c>
      <c r="AK10" s="164">
        <v>1</v>
      </c>
      <c r="AL10" s="164">
        <v>7.4782694355277903E-4</v>
      </c>
    </row>
    <row r="11" spans="1:38">
      <c r="A11" s="20">
        <v>424</v>
      </c>
      <c r="B11" s="20">
        <v>7228</v>
      </c>
      <c r="C11" s="20" t="s">
        <v>3097</v>
      </c>
      <c r="D11" s="20" t="s">
        <v>3098</v>
      </c>
      <c r="E11" s="18" t="s">
        <v>1342</v>
      </c>
      <c r="F11" s="20" t="s">
        <v>3099</v>
      </c>
      <c r="G11" s="20" t="s">
        <v>3100</v>
      </c>
      <c r="H11" s="20" t="s">
        <v>356</v>
      </c>
      <c r="I11" s="20" t="s">
        <v>208</v>
      </c>
      <c r="J11" s="18" t="s">
        <v>30</v>
      </c>
      <c r="K11" s="18" t="s">
        <v>30</v>
      </c>
      <c r="L11" s="20" t="s">
        <v>194</v>
      </c>
      <c r="M11" s="20" t="s">
        <v>480</v>
      </c>
      <c r="N11" s="20" t="s">
        <v>155</v>
      </c>
      <c r="O11" s="20" t="s">
        <v>3126</v>
      </c>
      <c r="P11" s="20" t="s">
        <v>1501</v>
      </c>
      <c r="Q11" s="20" t="s">
        <v>444</v>
      </c>
      <c r="R11" s="20" t="s">
        <v>444</v>
      </c>
      <c r="S11" s="18" t="s">
        <v>34</v>
      </c>
      <c r="T11" s="153">
        <v>0.01</v>
      </c>
      <c r="U11" s="20" t="s">
        <v>3101</v>
      </c>
      <c r="V11" s="172">
        <v>0</v>
      </c>
      <c r="W11" s="164">
        <v>5.1499999999999997E-2</v>
      </c>
      <c r="X11" s="18" t="s">
        <v>447</v>
      </c>
      <c r="Y11" s="18" t="s">
        <v>155</v>
      </c>
      <c r="Z11" s="20" t="s">
        <v>194</v>
      </c>
      <c r="AA11" s="20"/>
      <c r="AB11" s="2" t="s">
        <v>3102</v>
      </c>
      <c r="AC11" s="20"/>
      <c r="AD11" s="153">
        <v>70023.45</v>
      </c>
      <c r="AE11" s="173">
        <v>1</v>
      </c>
      <c r="AF11" s="174">
        <v>0</v>
      </c>
      <c r="AG11" s="153">
        <v>0</v>
      </c>
      <c r="AH11" s="20"/>
      <c r="AI11" s="20"/>
      <c r="AJ11" s="20" t="s">
        <v>36</v>
      </c>
      <c r="AK11" s="164">
        <v>1.04672866715714E-8</v>
      </c>
      <c r="AL11" s="164">
        <v>2.9007146431199097E-11</v>
      </c>
    </row>
    <row r="12" spans="1:38">
      <c r="A12" s="20">
        <v>424</v>
      </c>
      <c r="B12" s="20">
        <v>7228</v>
      </c>
      <c r="C12" s="20" t="s">
        <v>3146</v>
      </c>
      <c r="D12" s="20" t="s">
        <v>3147</v>
      </c>
      <c r="E12" s="18" t="s">
        <v>1342</v>
      </c>
      <c r="F12" s="20" t="s">
        <v>3148</v>
      </c>
      <c r="G12" s="20" t="s">
        <v>3149</v>
      </c>
      <c r="H12" s="20" t="s">
        <v>356</v>
      </c>
      <c r="I12" s="20" t="s">
        <v>1002</v>
      </c>
      <c r="J12" s="18" t="s">
        <v>30</v>
      </c>
      <c r="K12" s="18" t="s">
        <v>30</v>
      </c>
      <c r="L12" s="20" t="s">
        <v>194</v>
      </c>
      <c r="M12" s="20" t="s">
        <v>484</v>
      </c>
      <c r="N12" s="20" t="s">
        <v>155</v>
      </c>
      <c r="O12" s="20" t="s">
        <v>3150</v>
      </c>
      <c r="P12" s="20" t="s">
        <v>1501</v>
      </c>
      <c r="Q12" s="20" t="s">
        <v>444</v>
      </c>
      <c r="R12" s="20" t="s">
        <v>444</v>
      </c>
      <c r="S12" s="18" t="s">
        <v>34</v>
      </c>
      <c r="T12" s="153">
        <v>0.01</v>
      </c>
      <c r="U12" s="20" t="s">
        <v>3151</v>
      </c>
      <c r="V12" s="172">
        <v>6.7999999999999996E-3</v>
      </c>
      <c r="W12" s="164">
        <v>7.9000000000000001E-2</v>
      </c>
      <c r="X12" s="18" t="s">
        <v>446</v>
      </c>
      <c r="Y12" s="18" t="s">
        <v>375</v>
      </c>
      <c r="Z12" s="20" t="s">
        <v>925</v>
      </c>
      <c r="AA12" s="20"/>
      <c r="AB12" s="2" t="s">
        <v>3152</v>
      </c>
      <c r="AC12" s="20"/>
      <c r="AD12" s="153">
        <v>10168.469999999999</v>
      </c>
      <c r="AE12" s="173">
        <v>1</v>
      </c>
      <c r="AF12" s="174">
        <v>0</v>
      </c>
      <c r="AG12" s="153">
        <v>0</v>
      </c>
      <c r="AH12" s="20"/>
      <c r="AI12" s="20"/>
      <c r="AJ12" s="20" t="s">
        <v>36</v>
      </c>
      <c r="AK12" s="164">
        <v>1.5200092326395502E-9</v>
      </c>
      <c r="AL12" s="164">
        <v>4.2122788618849097E-12</v>
      </c>
    </row>
    <row r="13" spans="1:38">
      <c r="A13" s="20">
        <v>424</v>
      </c>
      <c r="B13" s="20">
        <v>7228</v>
      </c>
      <c r="C13" s="20" t="s">
        <v>3109</v>
      </c>
      <c r="D13" s="20" t="s">
        <v>3110</v>
      </c>
      <c r="E13" s="18" t="s">
        <v>1342</v>
      </c>
      <c r="F13" s="20" t="s">
        <v>3111</v>
      </c>
      <c r="G13" s="20" t="s">
        <v>3112</v>
      </c>
      <c r="H13" s="20" t="s">
        <v>356</v>
      </c>
      <c r="I13" s="20" t="s">
        <v>1002</v>
      </c>
      <c r="J13" s="18" t="s">
        <v>30</v>
      </c>
      <c r="K13" s="18" t="s">
        <v>30</v>
      </c>
      <c r="L13" s="20" t="s">
        <v>194</v>
      </c>
      <c r="M13" s="20" t="s">
        <v>480</v>
      </c>
      <c r="N13" s="20" t="s">
        <v>155</v>
      </c>
      <c r="O13" s="20" t="s">
        <v>2666</v>
      </c>
      <c r="P13" s="20" t="s">
        <v>3113</v>
      </c>
      <c r="Q13" s="20" t="s">
        <v>101</v>
      </c>
      <c r="R13" s="20" t="s">
        <v>441</v>
      </c>
      <c r="S13" s="18" t="s">
        <v>34</v>
      </c>
      <c r="T13" s="153">
        <v>2.92</v>
      </c>
      <c r="U13" s="20" t="s">
        <v>3114</v>
      </c>
      <c r="V13" s="172">
        <v>1E-4</v>
      </c>
      <c r="W13" s="164">
        <v>6.5000000000000002E-2</v>
      </c>
      <c r="X13" s="18" t="s">
        <v>446</v>
      </c>
      <c r="Y13" s="18" t="s">
        <v>375</v>
      </c>
      <c r="Z13" s="20" t="s">
        <v>925</v>
      </c>
      <c r="AA13" s="20"/>
      <c r="AB13" s="2" t="s">
        <v>3115</v>
      </c>
      <c r="AC13" s="20"/>
      <c r="AD13" s="153">
        <v>363.29</v>
      </c>
      <c r="AE13" s="173">
        <v>1</v>
      </c>
      <c r="AF13" s="174">
        <v>73</v>
      </c>
      <c r="AG13" s="153">
        <v>0.26500000000000001</v>
      </c>
      <c r="AH13" s="20"/>
      <c r="AI13" s="20"/>
      <c r="AJ13" s="20" t="s">
        <v>36</v>
      </c>
      <c r="AK13" s="164">
        <v>3.9643037006718199E-5</v>
      </c>
      <c r="AL13" s="164">
        <v>1.09859547704418E-7</v>
      </c>
    </row>
    <row r="14" spans="1:38">
      <c r="A14" s="20">
        <v>424</v>
      </c>
      <c r="B14" s="20">
        <v>7228</v>
      </c>
      <c r="C14" s="20" t="s">
        <v>3116</v>
      </c>
      <c r="D14" s="20" t="s">
        <v>3117</v>
      </c>
      <c r="E14" s="18" t="s">
        <v>1342</v>
      </c>
      <c r="F14" s="20" t="s">
        <v>3118</v>
      </c>
      <c r="G14" s="20" t="s">
        <v>3119</v>
      </c>
      <c r="H14" s="20" t="s">
        <v>356</v>
      </c>
      <c r="I14" s="20" t="s">
        <v>1000</v>
      </c>
      <c r="J14" s="18" t="s">
        <v>30</v>
      </c>
      <c r="K14" s="18" t="s">
        <v>30</v>
      </c>
      <c r="L14" s="20" t="s">
        <v>194</v>
      </c>
      <c r="M14" s="20" t="s">
        <v>497</v>
      </c>
      <c r="N14" s="20" t="s">
        <v>155</v>
      </c>
      <c r="O14" s="20" t="s">
        <v>3120</v>
      </c>
      <c r="P14" s="20" t="s">
        <v>1346</v>
      </c>
      <c r="Q14" s="20" t="s">
        <v>206</v>
      </c>
      <c r="R14" s="20" t="s">
        <v>441</v>
      </c>
      <c r="S14" s="18" t="s">
        <v>34</v>
      </c>
      <c r="T14" s="153">
        <v>0.25</v>
      </c>
      <c r="U14" s="20" t="s">
        <v>3121</v>
      </c>
      <c r="V14" s="172">
        <v>3.5790000000000002E-2</v>
      </c>
      <c r="W14" s="164">
        <v>3.5499999999999997E-2</v>
      </c>
      <c r="X14" s="18" t="s">
        <v>447</v>
      </c>
      <c r="Y14" s="18" t="s">
        <v>155</v>
      </c>
      <c r="Z14" s="20" t="s">
        <v>927</v>
      </c>
      <c r="AA14" s="20" t="s">
        <v>3122</v>
      </c>
      <c r="AB14" s="2" t="s">
        <v>157</v>
      </c>
      <c r="AC14" s="20" t="s">
        <v>3123</v>
      </c>
      <c r="AD14" s="153">
        <v>2200000</v>
      </c>
      <c r="AE14" s="173">
        <v>1</v>
      </c>
      <c r="AF14" s="174">
        <v>100.41</v>
      </c>
      <c r="AG14" s="153">
        <v>2209.02</v>
      </c>
      <c r="AH14" s="20"/>
      <c r="AI14" s="20"/>
      <c r="AJ14" s="20" t="s">
        <v>36</v>
      </c>
      <c r="AK14" s="164">
        <v>0.33021003111435798</v>
      </c>
      <c r="AL14" s="164">
        <v>9.1508439829010601E-4</v>
      </c>
    </row>
    <row r="15" spans="1:38">
      <c r="A15" s="20">
        <v>424</v>
      </c>
      <c r="B15" s="20">
        <v>7228</v>
      </c>
      <c r="C15" s="20" t="s">
        <v>3153</v>
      </c>
      <c r="D15" s="20" t="s">
        <v>3154</v>
      </c>
      <c r="E15" s="18" t="s">
        <v>1342</v>
      </c>
      <c r="F15" s="20" t="s">
        <v>3155</v>
      </c>
      <c r="G15" s="20" t="s">
        <v>3156</v>
      </c>
      <c r="H15" s="20" t="s">
        <v>356</v>
      </c>
      <c r="I15" s="20" t="s">
        <v>1002</v>
      </c>
      <c r="J15" s="18" t="s">
        <v>30</v>
      </c>
      <c r="K15" s="18" t="s">
        <v>30</v>
      </c>
      <c r="L15" s="20" t="s">
        <v>194</v>
      </c>
      <c r="M15" s="20" t="s">
        <v>484</v>
      </c>
      <c r="N15" s="20" t="s">
        <v>155</v>
      </c>
      <c r="O15" s="20" t="s">
        <v>3157</v>
      </c>
      <c r="P15" s="20" t="s">
        <v>1501</v>
      </c>
      <c r="Q15" s="20" t="s">
        <v>444</v>
      </c>
      <c r="R15" s="20" t="s">
        <v>444</v>
      </c>
      <c r="S15" s="18" t="s">
        <v>34</v>
      </c>
      <c r="T15" s="153">
        <v>0.01</v>
      </c>
      <c r="U15" s="20" t="s">
        <v>3158</v>
      </c>
      <c r="V15" s="172">
        <v>8.9999999999999993E-3</v>
      </c>
      <c r="W15" s="164">
        <v>4.4999999999999998E-2</v>
      </c>
      <c r="X15" s="18" t="s">
        <v>447</v>
      </c>
      <c r="Y15" s="18" t="s">
        <v>155</v>
      </c>
      <c r="Z15" s="20" t="s">
        <v>194</v>
      </c>
      <c r="AA15" s="20"/>
      <c r="AB15" s="2" t="s">
        <v>3145</v>
      </c>
      <c r="AC15" s="20"/>
      <c r="AD15" s="153">
        <v>1792.17</v>
      </c>
      <c r="AE15" s="173">
        <v>1</v>
      </c>
      <c r="AF15" s="174">
        <v>0.82</v>
      </c>
      <c r="AG15" s="153">
        <v>1.4999999999999999E-2</v>
      </c>
      <c r="AH15" s="20"/>
      <c r="AI15" s="20"/>
      <c r="AJ15" s="20" t="s">
        <v>36</v>
      </c>
      <c r="AK15" s="164">
        <v>2.1967653502413698E-6</v>
      </c>
      <c r="AL15" s="164">
        <v>6.0877184497584203E-9</v>
      </c>
    </row>
    <row r="16" spans="1:38">
      <c r="A16" s="20">
        <v>424</v>
      </c>
      <c r="B16" s="20">
        <v>7228</v>
      </c>
      <c r="C16" s="20" t="s">
        <v>3159</v>
      </c>
      <c r="D16" s="20" t="s">
        <v>3160</v>
      </c>
      <c r="E16" s="18" t="s">
        <v>1342</v>
      </c>
      <c r="F16" s="20" t="s">
        <v>3161</v>
      </c>
      <c r="G16" s="20" t="s">
        <v>3162</v>
      </c>
      <c r="H16" s="20" t="s">
        <v>356</v>
      </c>
      <c r="I16" s="20" t="s">
        <v>208</v>
      </c>
      <c r="J16" s="18" t="s">
        <v>30</v>
      </c>
      <c r="K16" s="18" t="s">
        <v>30</v>
      </c>
      <c r="L16" s="20" t="s">
        <v>194</v>
      </c>
      <c r="M16" s="20" t="s">
        <v>512</v>
      </c>
      <c r="N16" s="20" t="s">
        <v>155</v>
      </c>
      <c r="O16" s="20" t="s">
        <v>2666</v>
      </c>
      <c r="P16" s="20" t="s">
        <v>2211</v>
      </c>
      <c r="Q16" s="20" t="s">
        <v>206</v>
      </c>
      <c r="R16" s="20" t="s">
        <v>441</v>
      </c>
      <c r="S16" s="18" t="s">
        <v>34</v>
      </c>
      <c r="T16" s="153">
        <v>0.55000000000000004</v>
      </c>
      <c r="U16" s="20" t="s">
        <v>3163</v>
      </c>
      <c r="V16" s="172">
        <v>2.29E-2</v>
      </c>
      <c r="W16" s="164">
        <v>7.7499999999999999E-2</v>
      </c>
      <c r="X16" s="18" t="s">
        <v>447</v>
      </c>
      <c r="Y16" s="18" t="s">
        <v>155</v>
      </c>
      <c r="Z16" s="20" t="s">
        <v>927</v>
      </c>
      <c r="AA16" s="20" t="s">
        <v>3122</v>
      </c>
      <c r="AB16" s="2" t="s">
        <v>157</v>
      </c>
      <c r="AC16" s="20"/>
      <c r="AD16" s="153">
        <v>205488.54</v>
      </c>
      <c r="AE16" s="173">
        <v>1</v>
      </c>
      <c r="AF16" s="174">
        <v>147.9</v>
      </c>
      <c r="AG16" s="153">
        <v>303.91800000000001</v>
      </c>
      <c r="AH16" s="20"/>
      <c r="AI16" s="20"/>
      <c r="AJ16" s="20" t="s">
        <v>36</v>
      </c>
      <c r="AK16" s="164">
        <v>4.5430382640101998E-2</v>
      </c>
      <c r="AL16" s="164">
        <v>1.25897551391798E-4</v>
      </c>
    </row>
    <row r="17" spans="1:38">
      <c r="A17" s="20">
        <v>424</v>
      </c>
      <c r="B17" s="20">
        <v>7228</v>
      </c>
      <c r="C17" s="20" t="s">
        <v>3164</v>
      </c>
      <c r="D17" s="20" t="s">
        <v>3165</v>
      </c>
      <c r="E17" s="18" t="s">
        <v>1342</v>
      </c>
      <c r="F17" s="20" t="s">
        <v>3166</v>
      </c>
      <c r="G17" s="20" t="s">
        <v>3167</v>
      </c>
      <c r="H17" s="20" t="s">
        <v>356</v>
      </c>
      <c r="I17" s="20" t="s">
        <v>208</v>
      </c>
      <c r="J17" s="18" t="s">
        <v>30</v>
      </c>
      <c r="K17" s="18" t="s">
        <v>30</v>
      </c>
      <c r="L17" s="20" t="s">
        <v>194</v>
      </c>
      <c r="M17" s="20" t="s">
        <v>484</v>
      </c>
      <c r="N17" s="20" t="s">
        <v>155</v>
      </c>
      <c r="O17" s="20" t="s">
        <v>3132</v>
      </c>
      <c r="P17" s="20" t="s">
        <v>1501</v>
      </c>
      <c r="Q17" s="20" t="s">
        <v>444</v>
      </c>
      <c r="R17" s="20" t="s">
        <v>444</v>
      </c>
      <c r="S17" s="18" t="s">
        <v>34</v>
      </c>
      <c r="T17" s="153">
        <v>0.01</v>
      </c>
      <c r="U17" s="20" t="s">
        <v>3168</v>
      </c>
      <c r="V17" s="172">
        <v>1E-4</v>
      </c>
      <c r="W17" s="164">
        <v>0.08</v>
      </c>
      <c r="X17" s="18" t="s">
        <v>447</v>
      </c>
      <c r="Y17" s="18" t="s">
        <v>375</v>
      </c>
      <c r="Z17" s="20" t="s">
        <v>925</v>
      </c>
      <c r="AA17" s="20"/>
      <c r="AB17" s="2" t="s">
        <v>3169</v>
      </c>
      <c r="AC17" s="20"/>
      <c r="AD17" s="153">
        <v>0.01</v>
      </c>
      <c r="AE17" s="173">
        <v>1</v>
      </c>
      <c r="AF17" s="174">
        <v>352.5</v>
      </c>
      <c r="AG17" s="153">
        <v>0</v>
      </c>
      <c r="AH17" s="20"/>
      <c r="AI17" s="20"/>
      <c r="AJ17" s="20" t="s">
        <v>36</v>
      </c>
      <c r="AK17" s="164">
        <v>5.2692612999344208E-9</v>
      </c>
      <c r="AL17" s="164">
        <v>1.4602278403874197E-11</v>
      </c>
    </row>
    <row r="18" spans="1:38">
      <c r="A18" s="20">
        <v>424</v>
      </c>
      <c r="B18" s="20">
        <v>7228</v>
      </c>
      <c r="C18" s="20" t="s">
        <v>3128</v>
      </c>
      <c r="D18" s="20" t="s">
        <v>3129</v>
      </c>
      <c r="E18" s="18" t="s">
        <v>1342</v>
      </c>
      <c r="F18" s="20" t="s">
        <v>3130</v>
      </c>
      <c r="G18" s="20" t="s">
        <v>3131</v>
      </c>
      <c r="H18" s="20" t="s">
        <v>356</v>
      </c>
      <c r="I18" s="20" t="s">
        <v>1002</v>
      </c>
      <c r="J18" s="18" t="s">
        <v>30</v>
      </c>
      <c r="K18" s="18" t="s">
        <v>30</v>
      </c>
      <c r="L18" s="20" t="s">
        <v>194</v>
      </c>
      <c r="M18" s="20" t="s">
        <v>480</v>
      </c>
      <c r="N18" s="20" t="s">
        <v>155</v>
      </c>
      <c r="O18" s="20" t="s">
        <v>3132</v>
      </c>
      <c r="P18" s="20" t="s">
        <v>1501</v>
      </c>
      <c r="Q18" s="20" t="s">
        <v>444</v>
      </c>
      <c r="R18" s="20" t="s">
        <v>444</v>
      </c>
      <c r="S18" s="18" t="s">
        <v>34</v>
      </c>
      <c r="T18" s="153">
        <v>0.01</v>
      </c>
      <c r="U18" s="20" t="s">
        <v>3133</v>
      </c>
      <c r="V18" s="172">
        <v>1E-4</v>
      </c>
      <c r="W18" s="164">
        <v>5.5E-2</v>
      </c>
      <c r="X18" s="18" t="s">
        <v>446</v>
      </c>
      <c r="Y18" s="18" t="s">
        <v>375</v>
      </c>
      <c r="Z18" s="20" t="s">
        <v>925</v>
      </c>
      <c r="AA18" s="20"/>
      <c r="AB18" s="2" t="s">
        <v>1507</v>
      </c>
      <c r="AC18" s="20"/>
      <c r="AD18" s="153">
        <v>22175.01</v>
      </c>
      <c r="AE18" s="173">
        <v>1</v>
      </c>
      <c r="AF18" s="174">
        <v>1</v>
      </c>
      <c r="AG18" s="153">
        <v>0.222</v>
      </c>
      <c r="AH18" s="20"/>
      <c r="AI18" s="20"/>
      <c r="AJ18" s="20" t="s">
        <v>36</v>
      </c>
      <c r="AK18" s="164">
        <v>3.3147779296073398E-5</v>
      </c>
      <c r="AL18" s="164">
        <v>9.1859764433672406E-8</v>
      </c>
    </row>
    <row r="19" spans="1:38">
      <c r="A19" s="20">
        <v>424</v>
      </c>
      <c r="B19" s="20">
        <v>7228</v>
      </c>
      <c r="C19" s="20" t="s">
        <v>3170</v>
      </c>
      <c r="D19" s="20" t="s">
        <v>3171</v>
      </c>
      <c r="E19" s="18" t="s">
        <v>1342</v>
      </c>
      <c r="F19" s="20" t="s">
        <v>3172</v>
      </c>
      <c r="G19" s="20" t="s">
        <v>3173</v>
      </c>
      <c r="H19" s="20" t="s">
        <v>356</v>
      </c>
      <c r="I19" s="20" t="s">
        <v>208</v>
      </c>
      <c r="J19" s="18" t="s">
        <v>30</v>
      </c>
      <c r="K19" s="18" t="s">
        <v>30</v>
      </c>
      <c r="L19" s="20" t="s">
        <v>194</v>
      </c>
      <c r="M19" s="20" t="s">
        <v>480</v>
      </c>
      <c r="N19" s="20" t="s">
        <v>155</v>
      </c>
      <c r="O19" s="20" t="s">
        <v>3132</v>
      </c>
      <c r="P19" s="20" t="s">
        <v>1501</v>
      </c>
      <c r="Q19" s="20" t="s">
        <v>444</v>
      </c>
      <c r="R19" s="20" t="s">
        <v>444</v>
      </c>
      <c r="S19" s="18" t="s">
        <v>34</v>
      </c>
      <c r="T19" s="153">
        <v>0.01</v>
      </c>
      <c r="U19" s="20" t="s">
        <v>3174</v>
      </c>
      <c r="V19" s="172">
        <v>1E-4</v>
      </c>
      <c r="W19" s="164">
        <v>5.7500000000000002E-2</v>
      </c>
      <c r="X19" s="18" t="s">
        <v>446</v>
      </c>
      <c r="Y19" s="18" t="s">
        <v>375</v>
      </c>
      <c r="Z19" s="20" t="s">
        <v>925</v>
      </c>
      <c r="AA19" s="20"/>
      <c r="AB19" s="2" t="s">
        <v>3175</v>
      </c>
      <c r="AC19" s="20"/>
      <c r="AD19" s="153">
        <v>683.67</v>
      </c>
      <c r="AE19" s="173">
        <v>1</v>
      </c>
      <c r="AF19" s="174">
        <v>43.1</v>
      </c>
      <c r="AG19" s="153">
        <v>0.29499999999999998</v>
      </c>
      <c r="AH19" s="20"/>
      <c r="AI19" s="20"/>
      <c r="AJ19" s="20" t="s">
        <v>36</v>
      </c>
      <c r="AK19" s="164">
        <v>4.40468045739341E-5</v>
      </c>
      <c r="AL19" s="164">
        <v>1.2206335320619401E-7</v>
      </c>
    </row>
    <row r="20" spans="1:38">
      <c r="A20" s="2">
        <v>424</v>
      </c>
      <c r="B20" s="2">
        <v>7228</v>
      </c>
      <c r="C20" s="2" t="s">
        <v>3170</v>
      </c>
      <c r="D20" s="2" t="s">
        <v>3171</v>
      </c>
      <c r="E20" s="18" t="s">
        <v>1342</v>
      </c>
      <c r="F20" s="2" t="s">
        <v>3176</v>
      </c>
      <c r="G20" s="2" t="s">
        <v>3177</v>
      </c>
      <c r="H20" s="20" t="s">
        <v>356</v>
      </c>
      <c r="I20" s="20" t="s">
        <v>1002</v>
      </c>
      <c r="J20" s="18" t="s">
        <v>30</v>
      </c>
      <c r="K20" s="18" t="s">
        <v>30</v>
      </c>
      <c r="L20" s="20" t="s">
        <v>194</v>
      </c>
      <c r="M20" s="20" t="s">
        <v>480</v>
      </c>
      <c r="N20" s="20" t="s">
        <v>155</v>
      </c>
      <c r="O20" s="2" t="s">
        <v>3132</v>
      </c>
      <c r="P20" s="2" t="s">
        <v>1501</v>
      </c>
      <c r="Q20" s="20" t="s">
        <v>444</v>
      </c>
      <c r="R20" s="20" t="s">
        <v>444</v>
      </c>
      <c r="S20" s="2" t="s">
        <v>34</v>
      </c>
      <c r="T20" s="151">
        <v>0.01</v>
      </c>
      <c r="U20" s="2" t="s">
        <v>3178</v>
      </c>
      <c r="V20" s="164">
        <v>1E-4</v>
      </c>
      <c r="W20" s="164">
        <v>7.4999999999999997E-2</v>
      </c>
      <c r="X20" s="18" t="s">
        <v>446</v>
      </c>
      <c r="Y20" s="18" t="s">
        <v>375</v>
      </c>
      <c r="Z20" s="2" t="s">
        <v>925</v>
      </c>
      <c r="AA20" s="20"/>
      <c r="AB20" s="2" t="s">
        <v>3175</v>
      </c>
      <c r="AD20" s="151">
        <v>6593.35</v>
      </c>
      <c r="AE20" s="158">
        <v>1</v>
      </c>
      <c r="AF20" s="175">
        <v>31.9</v>
      </c>
      <c r="AG20" s="151">
        <v>2.1030000000000002</v>
      </c>
      <c r="AJ20" s="20" t="s">
        <v>36</v>
      </c>
      <c r="AK20" s="164">
        <v>3.1440354023895897E-4</v>
      </c>
      <c r="AL20" s="164">
        <v>8.7128114633261695E-7</v>
      </c>
    </row>
    <row r="21" spans="1:38">
      <c r="A21" s="2">
        <v>424</v>
      </c>
      <c r="B21" s="2">
        <v>7228</v>
      </c>
      <c r="C21" s="2" t="s">
        <v>3170</v>
      </c>
      <c r="D21" s="2" t="s">
        <v>3171</v>
      </c>
      <c r="E21" s="4" t="s">
        <v>1342</v>
      </c>
      <c r="F21" s="2" t="s">
        <v>3179</v>
      </c>
      <c r="G21" s="2" t="s">
        <v>3180</v>
      </c>
      <c r="H21" s="2" t="s">
        <v>356</v>
      </c>
      <c r="I21" s="2" t="s">
        <v>208</v>
      </c>
      <c r="J21" s="2" t="s">
        <v>30</v>
      </c>
      <c r="K21" s="2" t="s">
        <v>30</v>
      </c>
      <c r="L21" s="2" t="s">
        <v>194</v>
      </c>
      <c r="M21" s="2" t="s">
        <v>480</v>
      </c>
      <c r="N21" s="2" t="s">
        <v>155</v>
      </c>
      <c r="O21" s="2" t="s">
        <v>3132</v>
      </c>
      <c r="P21" s="2" t="s">
        <v>1501</v>
      </c>
      <c r="Q21" s="2" t="s">
        <v>444</v>
      </c>
      <c r="R21" s="2" t="s">
        <v>444</v>
      </c>
      <c r="S21" s="2" t="s">
        <v>34</v>
      </c>
      <c r="T21" s="151">
        <v>0.01</v>
      </c>
      <c r="U21" s="2" t="s">
        <v>3181</v>
      </c>
      <c r="V21" s="164">
        <v>1E-4</v>
      </c>
      <c r="W21" s="164">
        <v>7.4999999999999997E-2</v>
      </c>
      <c r="X21" s="4" t="s">
        <v>446</v>
      </c>
      <c r="Y21" s="4" t="s">
        <v>375</v>
      </c>
      <c r="Z21" s="2" t="s">
        <v>925</v>
      </c>
      <c r="AB21" s="2" t="s">
        <v>3175</v>
      </c>
      <c r="AD21" s="151">
        <v>6692.34</v>
      </c>
      <c r="AE21" s="158">
        <v>1</v>
      </c>
      <c r="AF21" s="175">
        <v>33.6</v>
      </c>
      <c r="AG21" s="151">
        <v>2.2490000000000001</v>
      </c>
      <c r="AJ21" s="2" t="s">
        <v>36</v>
      </c>
      <c r="AK21" s="164">
        <v>3.3613047445245499E-4</v>
      </c>
      <c r="AL21" s="164">
        <v>9.31491244900338E-7</v>
      </c>
    </row>
    <row r="22" spans="1:38">
      <c r="A22" s="2">
        <v>424</v>
      </c>
      <c r="B22" s="2">
        <v>7228</v>
      </c>
      <c r="C22" s="2" t="s">
        <v>3182</v>
      </c>
      <c r="D22" s="2" t="s">
        <v>3183</v>
      </c>
      <c r="E22" s="4" t="s">
        <v>1342</v>
      </c>
      <c r="F22" s="2" t="s">
        <v>3184</v>
      </c>
      <c r="G22" s="2" t="s">
        <v>3185</v>
      </c>
      <c r="H22" s="2" t="s">
        <v>33</v>
      </c>
      <c r="I22" s="2" t="s">
        <v>208</v>
      </c>
      <c r="J22" s="2" t="s">
        <v>30</v>
      </c>
      <c r="K22" s="2" t="s">
        <v>30</v>
      </c>
      <c r="L22" s="2" t="s">
        <v>194</v>
      </c>
      <c r="M22" s="2" t="s">
        <v>480</v>
      </c>
      <c r="N22" s="2" t="s">
        <v>155</v>
      </c>
      <c r="O22" s="2" t="s">
        <v>3186</v>
      </c>
      <c r="P22" s="2" t="s">
        <v>1501</v>
      </c>
      <c r="Q22" s="2" t="s">
        <v>444</v>
      </c>
      <c r="R22" s="2" t="s">
        <v>444</v>
      </c>
      <c r="S22" s="2" t="s">
        <v>34</v>
      </c>
      <c r="T22" s="151">
        <v>0.01</v>
      </c>
      <c r="U22" s="2" t="s">
        <v>3187</v>
      </c>
      <c r="V22" s="164">
        <v>0</v>
      </c>
      <c r="W22" s="164">
        <v>0.06</v>
      </c>
      <c r="X22" s="4" t="s">
        <v>447</v>
      </c>
      <c r="Y22" s="4" t="s">
        <v>155</v>
      </c>
      <c r="Z22" s="2" t="s">
        <v>194</v>
      </c>
      <c r="AB22" s="2" t="s">
        <v>3188</v>
      </c>
      <c r="AD22" s="151">
        <v>2301.19</v>
      </c>
      <c r="AE22" s="158">
        <v>1</v>
      </c>
      <c r="AF22" s="175">
        <v>0</v>
      </c>
      <c r="AG22" s="151">
        <v>0</v>
      </c>
      <c r="AJ22" s="2" t="s">
        <v>36</v>
      </c>
      <c r="AK22" s="164">
        <v>3.4398784144102402E-10</v>
      </c>
      <c r="AL22" s="164">
        <v>9.532657316372009E-13</v>
      </c>
    </row>
    <row r="23" spans="1:38">
      <c r="A23" s="2">
        <v>424</v>
      </c>
      <c r="B23" s="2">
        <v>7228</v>
      </c>
      <c r="C23" s="2" t="s">
        <v>3182</v>
      </c>
      <c r="D23" s="2" t="s">
        <v>3183</v>
      </c>
      <c r="E23" s="4" t="s">
        <v>1342</v>
      </c>
      <c r="F23" s="2" t="s">
        <v>3189</v>
      </c>
      <c r="G23" s="2" t="s">
        <v>3190</v>
      </c>
      <c r="H23" s="2" t="s">
        <v>356</v>
      </c>
      <c r="I23" s="2" t="s">
        <v>208</v>
      </c>
      <c r="J23" s="2" t="s">
        <v>30</v>
      </c>
      <c r="K23" s="2" t="s">
        <v>30</v>
      </c>
      <c r="L23" s="2" t="s">
        <v>194</v>
      </c>
      <c r="M23" s="2" t="s">
        <v>480</v>
      </c>
      <c r="N23" s="2" t="s">
        <v>155</v>
      </c>
      <c r="O23" s="2" t="s">
        <v>3191</v>
      </c>
      <c r="P23" s="2" t="s">
        <v>1501</v>
      </c>
      <c r="Q23" s="2" t="s">
        <v>444</v>
      </c>
      <c r="R23" s="2" t="s">
        <v>444</v>
      </c>
      <c r="S23" s="2" t="s">
        <v>34</v>
      </c>
      <c r="T23" s="151">
        <v>0.01</v>
      </c>
      <c r="U23" s="2" t="s">
        <v>3187</v>
      </c>
      <c r="V23" s="164">
        <v>0</v>
      </c>
      <c r="W23" s="164">
        <v>0.06</v>
      </c>
      <c r="X23" s="4" t="s">
        <v>447</v>
      </c>
      <c r="Y23" s="4" t="s">
        <v>155</v>
      </c>
      <c r="Z23" s="2" t="s">
        <v>194</v>
      </c>
      <c r="AB23" s="2" t="s">
        <v>3188</v>
      </c>
      <c r="AD23" s="151">
        <v>13807.08</v>
      </c>
      <c r="AE23" s="158">
        <v>1</v>
      </c>
      <c r="AF23" s="175">
        <v>0</v>
      </c>
      <c r="AG23" s="151">
        <v>0</v>
      </c>
      <c r="AJ23" s="2" t="s">
        <v>36</v>
      </c>
      <c r="AK23" s="164">
        <v>2.0639180796907401E-9</v>
      </c>
      <c r="AL23" s="164">
        <v>5.7195695348812397E-12</v>
      </c>
    </row>
    <row r="24" spans="1:38">
      <c r="A24" s="2">
        <v>424</v>
      </c>
      <c r="B24" s="2">
        <v>7228</v>
      </c>
      <c r="C24" s="2" t="s">
        <v>3192</v>
      </c>
      <c r="D24" s="2" t="s">
        <v>3193</v>
      </c>
      <c r="E24" s="4" t="s">
        <v>1342</v>
      </c>
      <c r="F24" s="2" t="s">
        <v>3194</v>
      </c>
      <c r="G24" s="2" t="s">
        <v>3195</v>
      </c>
      <c r="H24" s="2" t="s">
        <v>356</v>
      </c>
      <c r="I24" s="2" t="s">
        <v>204</v>
      </c>
      <c r="J24" s="2" t="s">
        <v>30</v>
      </c>
      <c r="K24" s="2" t="s">
        <v>30</v>
      </c>
      <c r="L24" s="2" t="s">
        <v>194</v>
      </c>
      <c r="M24" s="2" t="s">
        <v>469</v>
      </c>
      <c r="N24" s="2" t="s">
        <v>155</v>
      </c>
      <c r="O24" s="2" t="s">
        <v>2666</v>
      </c>
      <c r="P24" s="2" t="s">
        <v>1519</v>
      </c>
      <c r="Q24" s="2" t="s">
        <v>101</v>
      </c>
      <c r="R24" s="2" t="s">
        <v>441</v>
      </c>
      <c r="S24" s="2" t="s">
        <v>102</v>
      </c>
      <c r="T24" s="151">
        <v>1.47</v>
      </c>
      <c r="U24" s="2" t="s">
        <v>3196</v>
      </c>
      <c r="V24" s="164">
        <v>5.4300000000000001E-2</v>
      </c>
      <c r="W24" s="164">
        <v>7.9699999999999993E-2</v>
      </c>
      <c r="X24" s="4" t="s">
        <v>447</v>
      </c>
      <c r="Y24" s="4" t="s">
        <v>155</v>
      </c>
      <c r="Z24" s="2" t="s">
        <v>927</v>
      </c>
      <c r="AA24" s="2" t="s">
        <v>3122</v>
      </c>
      <c r="AB24" s="2" t="s">
        <v>157</v>
      </c>
      <c r="AD24" s="151">
        <v>63371.99</v>
      </c>
      <c r="AE24" s="158">
        <v>3.71</v>
      </c>
      <c r="AF24" s="175">
        <v>105.74</v>
      </c>
      <c r="AG24" s="151">
        <v>248.60499999999999</v>
      </c>
      <c r="AJ24" s="2" t="s">
        <v>36</v>
      </c>
      <c r="AK24" s="164">
        <v>3.7162179345066E-2</v>
      </c>
      <c r="AL24" s="164">
        <v>1.0298454716947E-4</v>
      </c>
    </row>
    <row r="25" spans="1:38">
      <c r="A25" s="2">
        <v>424</v>
      </c>
      <c r="B25" s="2">
        <v>7228</v>
      </c>
      <c r="C25" s="2" t="s">
        <v>3197</v>
      </c>
      <c r="D25" s="2" t="s">
        <v>3198</v>
      </c>
      <c r="E25" s="4" t="s">
        <v>1342</v>
      </c>
      <c r="F25" s="2" t="s">
        <v>3199</v>
      </c>
      <c r="G25" s="2" t="s">
        <v>3200</v>
      </c>
      <c r="H25" s="2" t="s">
        <v>356</v>
      </c>
      <c r="I25" s="2" t="s">
        <v>208</v>
      </c>
      <c r="J25" s="2" t="s">
        <v>30</v>
      </c>
      <c r="K25" s="2" t="s">
        <v>30</v>
      </c>
      <c r="L25" s="2" t="s">
        <v>194</v>
      </c>
      <c r="M25" s="2" t="s">
        <v>497</v>
      </c>
      <c r="N25" s="2" t="s">
        <v>155</v>
      </c>
      <c r="O25" s="2" t="s">
        <v>3132</v>
      </c>
      <c r="P25" s="2" t="s">
        <v>1501</v>
      </c>
      <c r="Q25" s="2" t="s">
        <v>444</v>
      </c>
      <c r="R25" s="2" t="s">
        <v>444</v>
      </c>
      <c r="S25" s="2" t="s">
        <v>34</v>
      </c>
      <c r="T25" s="151">
        <v>7.36</v>
      </c>
      <c r="U25" s="2" t="s">
        <v>3201</v>
      </c>
      <c r="V25" s="164">
        <v>1E-4</v>
      </c>
      <c r="W25" s="164">
        <v>7.0000000000000007E-2</v>
      </c>
      <c r="X25" s="4" t="s">
        <v>446</v>
      </c>
      <c r="Y25" s="4" t="s">
        <v>375</v>
      </c>
      <c r="Z25" s="2" t="s">
        <v>925</v>
      </c>
      <c r="AB25" s="2" t="s">
        <v>1507</v>
      </c>
      <c r="AD25" s="151">
        <v>120350</v>
      </c>
      <c r="AE25" s="158">
        <v>1</v>
      </c>
      <c r="AF25" s="175">
        <v>0</v>
      </c>
      <c r="AG25" s="151">
        <v>0</v>
      </c>
      <c r="AJ25" s="2" t="s">
        <v>36</v>
      </c>
      <c r="AK25" s="164">
        <v>1.7990229714811602E-10</v>
      </c>
      <c r="AL25" s="164">
        <v>4.9854871089539401E-13</v>
      </c>
    </row>
    <row r="26" spans="1:38">
      <c r="A26" s="2">
        <v>424</v>
      </c>
      <c r="B26" s="2">
        <v>7228</v>
      </c>
      <c r="C26" s="2" t="s">
        <v>3134</v>
      </c>
      <c r="D26" s="2" t="s">
        <v>1504</v>
      </c>
      <c r="E26" s="4" t="s">
        <v>1342</v>
      </c>
      <c r="F26" s="2" t="s">
        <v>3135</v>
      </c>
      <c r="G26" s="2" t="s">
        <v>3136</v>
      </c>
      <c r="H26" s="2" t="s">
        <v>356</v>
      </c>
      <c r="I26" s="2" t="s">
        <v>1000</v>
      </c>
      <c r="J26" s="2" t="s">
        <v>30</v>
      </c>
      <c r="K26" s="2" t="s">
        <v>30</v>
      </c>
      <c r="L26" s="4" t="s">
        <v>194</v>
      </c>
      <c r="M26" s="2" t="s">
        <v>512</v>
      </c>
      <c r="N26" s="2" t="s">
        <v>155</v>
      </c>
      <c r="O26" s="2" t="s">
        <v>3137</v>
      </c>
      <c r="P26" s="2" t="s">
        <v>1501</v>
      </c>
      <c r="Q26" s="2" t="s">
        <v>444</v>
      </c>
      <c r="R26" s="2" t="s">
        <v>444</v>
      </c>
      <c r="S26" s="2" t="s">
        <v>34</v>
      </c>
      <c r="T26" s="151">
        <v>2.04</v>
      </c>
      <c r="U26" s="2" t="s">
        <v>3138</v>
      </c>
      <c r="V26" s="164">
        <v>8.5169999999999996E-2</v>
      </c>
      <c r="W26" s="164">
        <v>0</v>
      </c>
      <c r="X26" s="4" t="s">
        <v>447</v>
      </c>
      <c r="Y26" s="4" t="s">
        <v>155</v>
      </c>
      <c r="Z26" s="2" t="s">
        <v>927</v>
      </c>
      <c r="AB26" s="2" t="s">
        <v>157</v>
      </c>
      <c r="AD26" s="151">
        <v>3875000</v>
      </c>
      <c r="AE26" s="158">
        <v>1</v>
      </c>
      <c r="AF26" s="175">
        <v>101.24</v>
      </c>
      <c r="AG26" s="151">
        <v>3923.05</v>
      </c>
      <c r="AJ26" s="2" t="s">
        <v>36</v>
      </c>
      <c r="AK26" s="164">
        <v>0.58642767497043202</v>
      </c>
      <c r="AL26" s="164">
        <v>1.6251196678672001E-3</v>
      </c>
    </row>
    <row r="27" spans="1:38">
      <c r="A27" s="2">
        <v>424</v>
      </c>
      <c r="B27" s="2">
        <v>7228</v>
      </c>
      <c r="C27" s="2" t="s">
        <v>3139</v>
      </c>
      <c r="D27" s="2" t="s">
        <v>3140</v>
      </c>
      <c r="E27" s="4" t="s">
        <v>1342</v>
      </c>
      <c r="F27" s="2" t="s">
        <v>3141</v>
      </c>
      <c r="G27" s="2" t="s">
        <v>3142</v>
      </c>
      <c r="H27" s="2" t="s">
        <v>356</v>
      </c>
      <c r="I27" s="2" t="s">
        <v>208</v>
      </c>
      <c r="J27" s="2" t="s">
        <v>30</v>
      </c>
      <c r="K27" s="2" t="s">
        <v>30</v>
      </c>
      <c r="L27" s="4" t="s">
        <v>194</v>
      </c>
      <c r="M27" s="2" t="s">
        <v>484</v>
      </c>
      <c r="N27" s="2" t="s">
        <v>155</v>
      </c>
      <c r="O27" s="2" t="s">
        <v>3202</v>
      </c>
      <c r="P27" s="2" t="s">
        <v>3143</v>
      </c>
      <c r="Q27" s="2" t="s">
        <v>206</v>
      </c>
      <c r="R27" s="2" t="s">
        <v>441</v>
      </c>
      <c r="S27" s="2" t="s">
        <v>34</v>
      </c>
      <c r="T27" s="151">
        <v>0.01</v>
      </c>
      <c r="U27" s="2" t="s">
        <v>3144</v>
      </c>
      <c r="V27" s="164">
        <v>0</v>
      </c>
      <c r="W27" s="164">
        <v>5.5E-2</v>
      </c>
      <c r="X27" s="4" t="s">
        <v>447</v>
      </c>
      <c r="Y27" s="4" t="s">
        <v>155</v>
      </c>
      <c r="Z27" s="2" t="s">
        <v>194</v>
      </c>
      <c r="AB27" s="2" t="s">
        <v>3145</v>
      </c>
      <c r="AD27" s="151">
        <v>9612.14</v>
      </c>
      <c r="AE27" s="158">
        <v>1</v>
      </c>
      <c r="AF27" s="175">
        <v>0.01</v>
      </c>
      <c r="AG27" s="151">
        <v>1E-3</v>
      </c>
      <c r="AJ27" s="2" t="s">
        <v>36</v>
      </c>
      <c r="AK27" s="164">
        <v>1.4368475833064299E-7</v>
      </c>
      <c r="AL27" s="164">
        <v>3.9818196975039903E-10</v>
      </c>
    </row>
    <row r="28" spans="1:38">
      <c r="A28" s="2">
        <v>424</v>
      </c>
      <c r="B28" s="2">
        <v>7229</v>
      </c>
      <c r="C28" s="2" t="s">
        <v>3203</v>
      </c>
      <c r="D28" s="2" t="s">
        <v>3204</v>
      </c>
      <c r="E28" s="4" t="s">
        <v>349</v>
      </c>
      <c r="F28" s="2" t="s">
        <v>3205</v>
      </c>
      <c r="G28" s="2" t="s">
        <v>3206</v>
      </c>
      <c r="H28" s="2" t="s">
        <v>33</v>
      </c>
      <c r="I28" s="2" t="s">
        <v>208</v>
      </c>
      <c r="J28" s="2" t="s">
        <v>30</v>
      </c>
      <c r="K28" s="2" t="s">
        <v>30</v>
      </c>
      <c r="L28" s="4" t="s">
        <v>194</v>
      </c>
      <c r="M28" s="2" t="s">
        <v>484</v>
      </c>
      <c r="N28" s="2" t="s">
        <v>155</v>
      </c>
      <c r="O28" s="2" t="s">
        <v>3207</v>
      </c>
      <c r="P28" s="2" t="s">
        <v>3113</v>
      </c>
      <c r="Q28" s="2" t="s">
        <v>101</v>
      </c>
      <c r="R28" s="2" t="s">
        <v>441</v>
      </c>
      <c r="S28" s="2" t="s">
        <v>34</v>
      </c>
      <c r="T28" s="151">
        <v>0.01</v>
      </c>
      <c r="U28" s="2" t="s">
        <v>3208</v>
      </c>
      <c r="V28" s="164">
        <v>1E-4</v>
      </c>
      <c r="W28" s="164">
        <v>6.6000000000000003E-2</v>
      </c>
      <c r="X28" s="4" t="s">
        <v>447</v>
      </c>
      <c r="Y28" s="4" t="s">
        <v>155</v>
      </c>
      <c r="Z28" s="2" t="s">
        <v>194</v>
      </c>
      <c r="AB28" s="2" t="s">
        <v>3209</v>
      </c>
      <c r="AD28" s="151">
        <v>750</v>
      </c>
      <c r="AE28" s="158">
        <v>1</v>
      </c>
      <c r="AF28" s="175">
        <v>0</v>
      </c>
      <c r="AG28" s="151">
        <v>0</v>
      </c>
      <c r="AJ28" s="2" t="s">
        <v>36</v>
      </c>
      <c r="AK28" s="164">
        <v>8.7323025327695093E-11</v>
      </c>
      <c r="AL28" s="164">
        <v>5.1487035400335404E-13</v>
      </c>
    </row>
    <row r="29" spans="1:38">
      <c r="A29" s="2">
        <v>424</v>
      </c>
      <c r="B29" s="2">
        <v>7229</v>
      </c>
      <c r="C29" s="2" t="s">
        <v>3116</v>
      </c>
      <c r="D29" s="2" t="s">
        <v>3117</v>
      </c>
      <c r="E29" s="4" t="s">
        <v>1342</v>
      </c>
      <c r="F29" s="2" t="s">
        <v>3118</v>
      </c>
      <c r="G29" s="2" t="s">
        <v>3119</v>
      </c>
      <c r="H29" s="2" t="s">
        <v>356</v>
      </c>
      <c r="I29" s="2" t="s">
        <v>1000</v>
      </c>
      <c r="J29" s="2" t="s">
        <v>30</v>
      </c>
      <c r="K29" s="2" t="s">
        <v>30</v>
      </c>
      <c r="L29" s="4" t="s">
        <v>194</v>
      </c>
      <c r="M29" s="2" t="s">
        <v>497</v>
      </c>
      <c r="N29" s="2" t="s">
        <v>155</v>
      </c>
      <c r="O29" s="2" t="s">
        <v>3120</v>
      </c>
      <c r="P29" s="2" t="s">
        <v>1346</v>
      </c>
      <c r="Q29" s="2" t="s">
        <v>206</v>
      </c>
      <c r="R29" s="2" t="s">
        <v>441</v>
      </c>
      <c r="S29" s="2" t="s">
        <v>34</v>
      </c>
      <c r="T29" s="151">
        <v>0.25</v>
      </c>
      <c r="U29" s="2" t="s">
        <v>3121</v>
      </c>
      <c r="V29" s="164">
        <v>3.5790000000000002E-2</v>
      </c>
      <c r="W29" s="164">
        <v>3.5499999999999997E-2</v>
      </c>
      <c r="X29" s="4" t="s">
        <v>447</v>
      </c>
      <c r="Y29" s="4" t="s">
        <v>155</v>
      </c>
      <c r="Z29" s="2" t="s">
        <v>927</v>
      </c>
      <c r="AA29" s="2" t="s">
        <v>3122</v>
      </c>
      <c r="AB29" s="2" t="s">
        <v>157</v>
      </c>
      <c r="AC29" s="2" t="s">
        <v>3123</v>
      </c>
      <c r="AD29" s="151">
        <v>200000</v>
      </c>
      <c r="AE29" s="158">
        <v>1</v>
      </c>
      <c r="AF29" s="175">
        <v>100.41</v>
      </c>
      <c r="AG29" s="151">
        <v>200.82</v>
      </c>
      <c r="AJ29" s="2" t="s">
        <v>36</v>
      </c>
      <c r="AK29" s="164">
        <v>0.233816132617436</v>
      </c>
      <c r="AL29" s="164">
        <v>1.37861685987938E-3</v>
      </c>
    </row>
    <row r="30" spans="1:38">
      <c r="A30" s="2">
        <v>424</v>
      </c>
      <c r="B30" s="2">
        <v>7229</v>
      </c>
      <c r="C30" s="2" t="s">
        <v>3134</v>
      </c>
      <c r="D30" s="2" t="s">
        <v>1504</v>
      </c>
      <c r="E30" s="4" t="s">
        <v>1342</v>
      </c>
      <c r="F30" s="2" t="s">
        <v>3135</v>
      </c>
      <c r="G30" s="2" t="s">
        <v>3136</v>
      </c>
      <c r="H30" s="2" t="s">
        <v>356</v>
      </c>
      <c r="I30" s="2" t="s">
        <v>1000</v>
      </c>
      <c r="J30" s="2" t="s">
        <v>30</v>
      </c>
      <c r="K30" s="2" t="s">
        <v>30</v>
      </c>
      <c r="L30" s="4" t="s">
        <v>194</v>
      </c>
      <c r="M30" s="2" t="s">
        <v>512</v>
      </c>
      <c r="N30" s="2" t="s">
        <v>155</v>
      </c>
      <c r="O30" s="2" t="s">
        <v>3137</v>
      </c>
      <c r="P30" s="2" t="s">
        <v>1501</v>
      </c>
      <c r="Q30" s="2" t="s">
        <v>444</v>
      </c>
      <c r="R30" s="2" t="s">
        <v>444</v>
      </c>
      <c r="S30" s="2" t="s">
        <v>34</v>
      </c>
      <c r="T30" s="151">
        <v>2.04</v>
      </c>
      <c r="U30" s="2" t="s">
        <v>3138</v>
      </c>
      <c r="V30" s="164">
        <v>8.5169999999999996E-2</v>
      </c>
      <c r="W30" s="164">
        <v>0</v>
      </c>
      <c r="X30" s="4" t="s">
        <v>447</v>
      </c>
      <c r="Y30" s="4" t="s">
        <v>155</v>
      </c>
      <c r="Z30" s="2" t="s">
        <v>927</v>
      </c>
      <c r="AB30" s="2" t="s">
        <v>157</v>
      </c>
      <c r="AD30" s="151">
        <v>650000</v>
      </c>
      <c r="AE30" s="158">
        <v>1</v>
      </c>
      <c r="AF30" s="175">
        <v>101.24</v>
      </c>
      <c r="AG30" s="151">
        <v>658.06</v>
      </c>
      <c r="AJ30" s="2" t="s">
        <v>36</v>
      </c>
      <c r="AK30" s="164">
        <v>0.76618386729524002</v>
      </c>
      <c r="AL30" s="164">
        <v>4.5175411354059598E-3</v>
      </c>
    </row>
    <row r="31" spans="1:38">
      <c r="A31" s="2">
        <v>424</v>
      </c>
      <c r="B31" s="2">
        <v>9817</v>
      </c>
      <c r="C31" s="2" t="s">
        <v>3116</v>
      </c>
      <c r="D31" s="2" t="s">
        <v>3117</v>
      </c>
      <c r="E31" s="4" t="s">
        <v>1342</v>
      </c>
      <c r="F31" s="2" t="s">
        <v>3118</v>
      </c>
      <c r="G31" s="2" t="s">
        <v>3119</v>
      </c>
      <c r="H31" s="2" t="s">
        <v>356</v>
      </c>
      <c r="I31" s="2" t="s">
        <v>1000</v>
      </c>
      <c r="J31" s="2" t="s">
        <v>30</v>
      </c>
      <c r="K31" s="2" t="s">
        <v>30</v>
      </c>
      <c r="L31" s="4" t="s">
        <v>194</v>
      </c>
      <c r="M31" s="2" t="s">
        <v>497</v>
      </c>
      <c r="N31" s="2" t="s">
        <v>155</v>
      </c>
      <c r="O31" s="2" t="s">
        <v>3120</v>
      </c>
      <c r="P31" s="2" t="s">
        <v>1346</v>
      </c>
      <c r="Q31" s="2" t="s">
        <v>206</v>
      </c>
      <c r="R31" s="2" t="s">
        <v>441</v>
      </c>
      <c r="S31" s="2" t="s">
        <v>34</v>
      </c>
      <c r="T31" s="151">
        <v>0.25</v>
      </c>
      <c r="U31" s="2" t="s">
        <v>3121</v>
      </c>
      <c r="V31" s="164">
        <v>3.5790000000000002E-2</v>
      </c>
      <c r="W31" s="164">
        <v>3.5499999999999997E-2</v>
      </c>
      <c r="X31" s="4" t="s">
        <v>447</v>
      </c>
      <c r="Y31" s="4" t="s">
        <v>155</v>
      </c>
      <c r="Z31" s="2" t="s">
        <v>927</v>
      </c>
      <c r="AA31" s="2" t="s">
        <v>3122</v>
      </c>
      <c r="AB31" s="2" t="s">
        <v>157</v>
      </c>
      <c r="AC31" s="2" t="s">
        <v>3123</v>
      </c>
      <c r="AD31" s="151">
        <v>4000</v>
      </c>
      <c r="AE31" s="158">
        <v>1</v>
      </c>
      <c r="AF31" s="175">
        <v>100.41</v>
      </c>
      <c r="AG31" s="151">
        <v>4.016</v>
      </c>
      <c r="AJ31" s="2" t="s">
        <v>36</v>
      </c>
      <c r="AK31" s="164">
        <v>1</v>
      </c>
      <c r="AL31" s="164">
        <v>2.6171615205480298E-3</v>
      </c>
    </row>
    <row r="32" spans="1:38">
      <c r="A32" s="2">
        <v>969</v>
      </c>
      <c r="B32" s="2">
        <v>969</v>
      </c>
      <c r="C32" s="2" t="s">
        <v>3097</v>
      </c>
      <c r="D32" s="2" t="s">
        <v>3098</v>
      </c>
      <c r="E32" s="4" t="s">
        <v>1342</v>
      </c>
      <c r="F32" s="2" t="s">
        <v>3099</v>
      </c>
      <c r="G32" s="2" t="s">
        <v>3100</v>
      </c>
      <c r="H32" s="2" t="s">
        <v>356</v>
      </c>
      <c r="I32" s="2" t="s">
        <v>208</v>
      </c>
      <c r="J32" s="2" t="s">
        <v>30</v>
      </c>
      <c r="K32" s="2" t="s">
        <v>30</v>
      </c>
      <c r="L32" s="4" t="s">
        <v>194</v>
      </c>
      <c r="M32" s="2" t="s">
        <v>480</v>
      </c>
      <c r="N32" s="2" t="s">
        <v>155</v>
      </c>
      <c r="O32" s="2" t="s">
        <v>3126</v>
      </c>
      <c r="P32" s="2" t="s">
        <v>1501</v>
      </c>
      <c r="Q32" s="2" t="s">
        <v>444</v>
      </c>
      <c r="R32" s="2" t="s">
        <v>444</v>
      </c>
      <c r="S32" s="2" t="s">
        <v>34</v>
      </c>
      <c r="T32" s="151">
        <v>0.01</v>
      </c>
      <c r="U32" s="2" t="s">
        <v>3101</v>
      </c>
      <c r="V32" s="164">
        <v>0</v>
      </c>
      <c r="W32" s="164">
        <v>5.1499999999999997E-2</v>
      </c>
      <c r="X32" s="4" t="s">
        <v>447</v>
      </c>
      <c r="Y32" s="4" t="s">
        <v>155</v>
      </c>
      <c r="Z32" s="2" t="s">
        <v>194</v>
      </c>
      <c r="AB32" s="2" t="s">
        <v>3102</v>
      </c>
      <c r="AD32" s="151">
        <v>5145</v>
      </c>
      <c r="AE32" s="158">
        <v>1</v>
      </c>
      <c r="AF32" s="175">
        <v>0</v>
      </c>
      <c r="AG32" s="151">
        <v>0</v>
      </c>
      <c r="AJ32" s="2" t="s">
        <v>36</v>
      </c>
      <c r="AK32" s="164">
        <v>4.5736577621886099E-8</v>
      </c>
      <c r="AL32" s="164">
        <v>6.8004054509650092E-11</v>
      </c>
    </row>
    <row r="33" spans="1:38">
      <c r="A33" s="2">
        <v>969</v>
      </c>
      <c r="B33" s="2">
        <v>969</v>
      </c>
      <c r="C33" s="2" t="s">
        <v>3103</v>
      </c>
      <c r="D33" s="2" t="s">
        <v>3104</v>
      </c>
      <c r="E33" s="4" t="s">
        <v>1342</v>
      </c>
      <c r="F33" s="2" t="s">
        <v>3105</v>
      </c>
      <c r="G33" s="2" t="s">
        <v>3106</v>
      </c>
      <c r="H33" s="2" t="s">
        <v>356</v>
      </c>
      <c r="I33" s="2" t="s">
        <v>1002</v>
      </c>
      <c r="J33" s="2" t="s">
        <v>30</v>
      </c>
      <c r="K33" s="2" t="s">
        <v>30</v>
      </c>
      <c r="L33" s="4" t="s">
        <v>194</v>
      </c>
      <c r="M33" s="2" t="s">
        <v>480</v>
      </c>
      <c r="N33" s="2" t="s">
        <v>155</v>
      </c>
      <c r="O33" s="2" t="s">
        <v>2666</v>
      </c>
      <c r="P33" s="2" t="s">
        <v>1501</v>
      </c>
      <c r="Q33" s="2" t="s">
        <v>444</v>
      </c>
      <c r="R33" s="2" t="s">
        <v>444</v>
      </c>
      <c r="S33" s="2" t="s">
        <v>34</v>
      </c>
      <c r="T33" s="151">
        <v>0.01</v>
      </c>
      <c r="U33" s="2" t="s">
        <v>3107</v>
      </c>
      <c r="V33" s="164">
        <v>0</v>
      </c>
      <c r="W33" s="164">
        <v>5.7000000000000002E-2</v>
      </c>
      <c r="X33" s="4" t="s">
        <v>446</v>
      </c>
      <c r="Y33" s="4" t="s">
        <v>375</v>
      </c>
      <c r="Z33" s="2" t="s">
        <v>925</v>
      </c>
      <c r="AB33" s="2" t="s">
        <v>3108</v>
      </c>
      <c r="AD33" s="151">
        <v>1200.01</v>
      </c>
      <c r="AE33" s="158">
        <v>1</v>
      </c>
      <c r="AF33" s="175">
        <v>0.01</v>
      </c>
      <c r="AG33" s="151">
        <v>0</v>
      </c>
      <c r="AJ33" s="2" t="s">
        <v>36</v>
      </c>
      <c r="AK33" s="164">
        <v>1.0667512247238E-6</v>
      </c>
      <c r="AL33" s="164">
        <v>1.5861136142298401E-9</v>
      </c>
    </row>
    <row r="34" spans="1:38">
      <c r="A34" s="2">
        <v>969</v>
      </c>
      <c r="B34" s="2">
        <v>969</v>
      </c>
      <c r="C34" s="2" t="s">
        <v>3103</v>
      </c>
      <c r="D34" s="2" t="s">
        <v>3104</v>
      </c>
      <c r="E34" s="4" t="s">
        <v>1342</v>
      </c>
      <c r="F34" s="2" t="s">
        <v>3210</v>
      </c>
      <c r="G34" s="2" t="s">
        <v>3211</v>
      </c>
      <c r="H34" s="2" t="s">
        <v>356</v>
      </c>
      <c r="I34" s="2" t="s">
        <v>208</v>
      </c>
      <c r="J34" s="2" t="s">
        <v>30</v>
      </c>
      <c r="K34" s="2" t="s">
        <v>30</v>
      </c>
      <c r="L34" s="4" t="s">
        <v>194</v>
      </c>
      <c r="M34" s="2" t="s">
        <v>480</v>
      </c>
      <c r="N34" s="2" t="s">
        <v>155</v>
      </c>
      <c r="O34" s="2" t="s">
        <v>3212</v>
      </c>
      <c r="P34" s="2" t="s">
        <v>3113</v>
      </c>
      <c r="Q34" s="2" t="s">
        <v>206</v>
      </c>
      <c r="R34" s="2" t="s">
        <v>441</v>
      </c>
      <c r="S34" s="2" t="s">
        <v>34</v>
      </c>
      <c r="T34" s="151">
        <v>0.01</v>
      </c>
      <c r="U34" s="2" t="s">
        <v>3213</v>
      </c>
      <c r="V34" s="164">
        <v>4.4999999999999997E-3</v>
      </c>
      <c r="W34" s="164">
        <v>5.8999999999999997E-2</v>
      </c>
      <c r="X34" s="4" t="s">
        <v>446</v>
      </c>
      <c r="Y34" s="4" t="s">
        <v>375</v>
      </c>
      <c r="Z34" s="2" t="s">
        <v>925</v>
      </c>
      <c r="AB34" s="2" t="s">
        <v>3214</v>
      </c>
      <c r="AD34" s="151">
        <v>1300</v>
      </c>
      <c r="AE34" s="158">
        <v>1</v>
      </c>
      <c r="AF34" s="175">
        <v>0.01</v>
      </c>
      <c r="AG34" s="151">
        <v>0</v>
      </c>
      <c r="AJ34" s="2" t="s">
        <v>36</v>
      </c>
      <c r="AK34" s="164">
        <v>1.1556375298047E-6</v>
      </c>
      <c r="AL34" s="164">
        <v>1.7182754297870801E-9</v>
      </c>
    </row>
    <row r="35" spans="1:38">
      <c r="A35" s="2">
        <v>969</v>
      </c>
      <c r="B35" s="2">
        <v>969</v>
      </c>
      <c r="C35" s="2" t="s">
        <v>3203</v>
      </c>
      <c r="D35" s="2" t="s">
        <v>3204</v>
      </c>
      <c r="E35" s="4" t="s">
        <v>349</v>
      </c>
      <c r="F35" s="2" t="s">
        <v>3205</v>
      </c>
      <c r="G35" s="2" t="s">
        <v>3206</v>
      </c>
      <c r="H35" s="2" t="s">
        <v>33</v>
      </c>
      <c r="I35" s="2" t="s">
        <v>208</v>
      </c>
      <c r="J35" s="2" t="s">
        <v>30</v>
      </c>
      <c r="K35" s="2" t="s">
        <v>30</v>
      </c>
      <c r="L35" s="4" t="s">
        <v>194</v>
      </c>
      <c r="M35" s="2" t="s">
        <v>484</v>
      </c>
      <c r="N35" s="2" t="s">
        <v>155</v>
      </c>
      <c r="O35" s="2" t="s">
        <v>3207</v>
      </c>
      <c r="P35" s="2" t="s">
        <v>3113</v>
      </c>
      <c r="Q35" s="2" t="s">
        <v>101</v>
      </c>
      <c r="R35" s="2" t="s">
        <v>441</v>
      </c>
      <c r="S35" s="2" t="s">
        <v>34</v>
      </c>
      <c r="T35" s="151">
        <v>0.01</v>
      </c>
      <c r="U35" s="2" t="s">
        <v>3208</v>
      </c>
      <c r="V35" s="164">
        <v>1E-4</v>
      </c>
      <c r="W35" s="164">
        <v>6.6000000000000003E-2</v>
      </c>
      <c r="X35" s="4" t="s">
        <v>447</v>
      </c>
      <c r="Y35" s="4" t="s">
        <v>155</v>
      </c>
      <c r="Z35" s="2" t="s">
        <v>194</v>
      </c>
      <c r="AB35" s="2" t="s">
        <v>3209</v>
      </c>
      <c r="AD35" s="151">
        <v>4500</v>
      </c>
      <c r="AE35" s="158">
        <v>1</v>
      </c>
      <c r="AF35" s="175">
        <v>0</v>
      </c>
      <c r="AG35" s="151">
        <v>0</v>
      </c>
      <c r="AJ35" s="2" t="s">
        <v>36</v>
      </c>
      <c r="AK35" s="164">
        <v>4.0002837570162805E-9</v>
      </c>
      <c r="AL35" s="164">
        <v>5.9478764877244999E-12</v>
      </c>
    </row>
    <row r="36" spans="1:38">
      <c r="A36" s="2">
        <v>969</v>
      </c>
      <c r="B36" s="2">
        <v>969</v>
      </c>
      <c r="C36" s="2" t="s">
        <v>3116</v>
      </c>
      <c r="D36" s="2" t="s">
        <v>3117</v>
      </c>
      <c r="E36" s="4" t="s">
        <v>1342</v>
      </c>
      <c r="F36" s="2" t="s">
        <v>3118</v>
      </c>
      <c r="G36" s="2" t="s">
        <v>3119</v>
      </c>
      <c r="H36" s="2" t="s">
        <v>356</v>
      </c>
      <c r="I36" s="2" t="s">
        <v>1000</v>
      </c>
      <c r="J36" s="2" t="s">
        <v>30</v>
      </c>
      <c r="K36" s="2" t="s">
        <v>30</v>
      </c>
      <c r="L36" s="4" t="s">
        <v>194</v>
      </c>
      <c r="M36" s="2" t="s">
        <v>497</v>
      </c>
      <c r="N36" s="2" t="s">
        <v>155</v>
      </c>
      <c r="O36" s="2" t="s">
        <v>3120</v>
      </c>
      <c r="P36" s="2" t="s">
        <v>1346</v>
      </c>
      <c r="Q36" s="2" t="s">
        <v>206</v>
      </c>
      <c r="R36" s="2" t="s">
        <v>441</v>
      </c>
      <c r="S36" s="2" t="s">
        <v>34</v>
      </c>
      <c r="T36" s="151">
        <v>0.25</v>
      </c>
      <c r="U36" s="2" t="s">
        <v>3121</v>
      </c>
      <c r="V36" s="164">
        <v>3.5790000000000002E-2</v>
      </c>
      <c r="W36" s="164">
        <v>3.5499999999999997E-2</v>
      </c>
      <c r="X36" s="4" t="s">
        <v>447</v>
      </c>
      <c r="Y36" s="4" t="s">
        <v>155</v>
      </c>
      <c r="Z36" s="2" t="s">
        <v>927</v>
      </c>
      <c r="AA36" s="2" t="s">
        <v>3122</v>
      </c>
      <c r="AB36" s="2" t="s">
        <v>157</v>
      </c>
      <c r="AC36" s="2" t="s">
        <v>3123</v>
      </c>
      <c r="AD36" s="151">
        <v>112000</v>
      </c>
      <c r="AE36" s="158">
        <v>1</v>
      </c>
      <c r="AF36" s="175">
        <v>100.41</v>
      </c>
      <c r="AG36" s="151">
        <v>112.459</v>
      </c>
      <c r="AJ36" s="2" t="s">
        <v>36</v>
      </c>
      <c r="AK36" s="164">
        <v>0.99970824686009996</v>
      </c>
      <c r="AL36" s="164">
        <v>1.4864298477962399E-3</v>
      </c>
    </row>
    <row r="37" spans="1:38">
      <c r="A37" s="2">
        <v>969</v>
      </c>
      <c r="B37" s="2">
        <v>969</v>
      </c>
      <c r="C37" s="2" t="s">
        <v>3097</v>
      </c>
      <c r="D37" s="2" t="s">
        <v>3098</v>
      </c>
      <c r="E37" s="4" t="s">
        <v>1342</v>
      </c>
      <c r="F37" s="2" t="s">
        <v>3215</v>
      </c>
      <c r="G37" s="2" t="s">
        <v>3216</v>
      </c>
      <c r="H37" s="2" t="s">
        <v>356</v>
      </c>
      <c r="I37" s="2" t="s">
        <v>208</v>
      </c>
      <c r="J37" s="2" t="s">
        <v>30</v>
      </c>
      <c r="K37" s="2" t="s">
        <v>30</v>
      </c>
      <c r="L37" s="4" t="s">
        <v>194</v>
      </c>
      <c r="M37" s="2" t="s">
        <v>497</v>
      </c>
      <c r="N37" s="2" t="s">
        <v>155</v>
      </c>
      <c r="O37" s="2" t="s">
        <v>3217</v>
      </c>
      <c r="P37" s="2" t="s">
        <v>1501</v>
      </c>
      <c r="Q37" s="2" t="s">
        <v>444</v>
      </c>
      <c r="R37" s="2" t="s">
        <v>444</v>
      </c>
      <c r="S37" s="2" t="s">
        <v>34</v>
      </c>
      <c r="T37" s="151">
        <v>2.27</v>
      </c>
      <c r="U37" s="2" t="s">
        <v>3218</v>
      </c>
      <c r="V37" s="164">
        <v>0.24740000000000001</v>
      </c>
      <c r="W37" s="164">
        <v>0.04</v>
      </c>
      <c r="X37" s="4" t="s">
        <v>447</v>
      </c>
      <c r="Y37" s="4" t="s">
        <v>155</v>
      </c>
      <c r="Z37" s="2" t="s">
        <v>194</v>
      </c>
      <c r="AB37" s="2" t="s">
        <v>3219</v>
      </c>
      <c r="AD37" s="151">
        <v>1401.95</v>
      </c>
      <c r="AE37" s="158">
        <v>1</v>
      </c>
      <c r="AF37" s="175">
        <v>0</v>
      </c>
      <c r="AG37" s="151">
        <v>0</v>
      </c>
      <c r="AJ37" s="2" t="s">
        <v>36</v>
      </c>
      <c r="AK37" s="164">
        <v>1.2462661806997701E-10</v>
      </c>
      <c r="AL37" s="164">
        <v>1.8530278759922999E-13</v>
      </c>
    </row>
    <row r="38" spans="1:38">
      <c r="A38" s="2">
        <v>969</v>
      </c>
      <c r="B38" s="2">
        <v>969</v>
      </c>
      <c r="C38" s="2" t="s">
        <v>3128</v>
      </c>
      <c r="D38" s="2" t="s">
        <v>3129</v>
      </c>
      <c r="E38" s="4" t="s">
        <v>1342</v>
      </c>
      <c r="F38" s="2" t="s">
        <v>3130</v>
      </c>
      <c r="G38" s="2" t="s">
        <v>3131</v>
      </c>
      <c r="H38" s="2" t="s">
        <v>356</v>
      </c>
      <c r="I38" s="2" t="s">
        <v>1002</v>
      </c>
      <c r="J38" s="2" t="s">
        <v>30</v>
      </c>
      <c r="K38" s="2" t="s">
        <v>30</v>
      </c>
      <c r="L38" s="4" t="s">
        <v>194</v>
      </c>
      <c r="M38" s="2" t="s">
        <v>480</v>
      </c>
      <c r="N38" s="2" t="s">
        <v>155</v>
      </c>
      <c r="O38" s="2" t="s">
        <v>3132</v>
      </c>
      <c r="P38" s="2" t="s">
        <v>1501</v>
      </c>
      <c r="Q38" s="2" t="s">
        <v>444</v>
      </c>
      <c r="R38" s="2" t="s">
        <v>444</v>
      </c>
      <c r="S38" s="2" t="s">
        <v>34</v>
      </c>
      <c r="T38" s="151">
        <v>0.01</v>
      </c>
      <c r="U38" s="2" t="s">
        <v>3133</v>
      </c>
      <c r="V38" s="164">
        <v>1E-4</v>
      </c>
      <c r="W38" s="164">
        <v>5.5E-2</v>
      </c>
      <c r="X38" s="4" t="s">
        <v>446</v>
      </c>
      <c r="Y38" s="4" t="s">
        <v>375</v>
      </c>
      <c r="Z38" s="2" t="s">
        <v>925</v>
      </c>
      <c r="AB38" s="2" t="s">
        <v>1507</v>
      </c>
      <c r="AD38" s="151">
        <v>3250</v>
      </c>
      <c r="AE38" s="158">
        <v>1</v>
      </c>
      <c r="AF38" s="175">
        <v>1</v>
      </c>
      <c r="AG38" s="151">
        <v>3.3000000000000002E-2</v>
      </c>
      <c r="AJ38" s="2" t="s">
        <v>36</v>
      </c>
      <c r="AK38" s="164">
        <v>2.8890938245117599E-4</v>
      </c>
      <c r="AL38" s="164">
        <v>4.2956885744677E-7</v>
      </c>
    </row>
    <row r="39" spans="1:38">
      <c r="A39" s="2">
        <v>969</v>
      </c>
      <c r="B39" s="2">
        <v>969</v>
      </c>
      <c r="C39" s="2" t="s">
        <v>3139</v>
      </c>
      <c r="D39" s="2" t="s">
        <v>3140</v>
      </c>
      <c r="E39" s="4" t="s">
        <v>1342</v>
      </c>
      <c r="F39" s="2" t="s">
        <v>3141</v>
      </c>
      <c r="G39" s="2" t="s">
        <v>3142</v>
      </c>
      <c r="H39" s="2" t="s">
        <v>356</v>
      </c>
      <c r="I39" s="2" t="s">
        <v>208</v>
      </c>
      <c r="J39" s="2" t="s">
        <v>30</v>
      </c>
      <c r="K39" s="2" t="s">
        <v>30</v>
      </c>
      <c r="L39" s="4" t="s">
        <v>194</v>
      </c>
      <c r="M39" s="2" t="s">
        <v>484</v>
      </c>
      <c r="N39" s="2" t="s">
        <v>155</v>
      </c>
      <c r="P39" s="2" t="s">
        <v>3143</v>
      </c>
      <c r="Q39" s="2" t="s">
        <v>206</v>
      </c>
      <c r="R39" s="2" t="s">
        <v>441</v>
      </c>
      <c r="S39" s="2" t="s">
        <v>34</v>
      </c>
      <c r="T39" s="151">
        <v>0.01</v>
      </c>
      <c r="U39" s="2" t="s">
        <v>3144</v>
      </c>
      <c r="V39" s="164">
        <v>0</v>
      </c>
      <c r="W39" s="164">
        <v>5.5E-2</v>
      </c>
      <c r="X39" s="4" t="s">
        <v>447</v>
      </c>
      <c r="Y39" s="4" t="s">
        <v>155</v>
      </c>
      <c r="Z39" s="2" t="s">
        <v>194</v>
      </c>
      <c r="AB39" s="2" t="s">
        <v>3145</v>
      </c>
      <c r="AD39" s="151">
        <v>642.9</v>
      </c>
      <c r="AE39" s="158">
        <v>1</v>
      </c>
      <c r="AF39" s="175">
        <v>0.01</v>
      </c>
      <c r="AG39" s="151">
        <v>0</v>
      </c>
      <c r="AJ39" s="2" t="s">
        <v>36</v>
      </c>
      <c r="AK39" s="164">
        <v>5.7150720608572602E-7</v>
      </c>
      <c r="AL39" s="164">
        <v>8.4975328754624012E-10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56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6" width="11.625" style="2" customWidth="1"/>
    <col min="27" max="27" width="9" style="2" customWidth="1"/>
    <col min="28" max="16384" width="9" style="2"/>
  </cols>
  <sheetData>
    <row r="1" spans="1:26" ht="66.75" customHeight="1">
      <c r="A1" s="19" t="s">
        <v>0</v>
      </c>
      <c r="B1" s="19" t="s">
        <v>1</v>
      </c>
      <c r="C1" s="19" t="s">
        <v>2</v>
      </c>
      <c r="D1" s="19" t="s">
        <v>173</v>
      </c>
      <c r="E1" s="19" t="s">
        <v>174</v>
      </c>
      <c r="F1" s="19" t="s">
        <v>3</v>
      </c>
      <c r="G1" s="19" t="s">
        <v>4</v>
      </c>
      <c r="H1" s="19" t="s">
        <v>175</v>
      </c>
      <c r="I1" s="19" t="s">
        <v>5</v>
      </c>
      <c r="J1" s="19" t="s">
        <v>6</v>
      </c>
      <c r="K1" s="19" t="s">
        <v>7</v>
      </c>
      <c r="L1" s="19" t="s">
        <v>361</v>
      </c>
      <c r="M1" s="19" t="s">
        <v>176</v>
      </c>
      <c r="N1" s="19" t="s">
        <v>141</v>
      </c>
      <c r="O1" s="19" t="s">
        <v>184</v>
      </c>
      <c r="P1" s="19" t="s">
        <v>11</v>
      </c>
      <c r="Q1" s="19" t="s">
        <v>177</v>
      </c>
      <c r="R1" s="19" t="s">
        <v>178</v>
      </c>
      <c r="S1" s="19" t="s">
        <v>150</v>
      </c>
      <c r="T1" s="19" t="s">
        <v>179</v>
      </c>
      <c r="U1" s="19" t="s">
        <v>17</v>
      </c>
      <c r="V1" s="157" t="s">
        <v>18</v>
      </c>
      <c r="W1" s="168" t="s">
        <v>19</v>
      </c>
      <c r="X1" s="19" t="s">
        <v>20</v>
      </c>
      <c r="Y1" s="163" t="s">
        <v>24</v>
      </c>
      <c r="Z1" s="163" t="s">
        <v>25</v>
      </c>
    </row>
    <row r="2" spans="1:26">
      <c r="A2" s="20">
        <v>1182</v>
      </c>
      <c r="B2" s="20">
        <v>1182</v>
      </c>
      <c r="C2" s="20" t="s">
        <v>2986</v>
      </c>
      <c r="D2" s="20" t="s">
        <v>2987</v>
      </c>
      <c r="E2" s="18" t="s">
        <v>33</v>
      </c>
      <c r="F2" s="20" t="s">
        <v>2986</v>
      </c>
      <c r="G2" s="20" t="s">
        <v>2988</v>
      </c>
      <c r="H2" s="18" t="s">
        <v>33</v>
      </c>
      <c r="I2" s="20" t="s">
        <v>800</v>
      </c>
      <c r="J2" s="18" t="s">
        <v>30</v>
      </c>
      <c r="K2" s="18" t="s">
        <v>30</v>
      </c>
      <c r="L2" s="20" t="s">
        <v>194</v>
      </c>
      <c r="M2" s="20" t="s">
        <v>578</v>
      </c>
      <c r="N2" s="20" t="s">
        <v>155</v>
      </c>
      <c r="O2" s="20" t="s">
        <v>2989</v>
      </c>
      <c r="P2" s="18" t="s">
        <v>102</v>
      </c>
      <c r="Q2" s="20" t="s">
        <v>194</v>
      </c>
      <c r="R2" s="20"/>
      <c r="S2" s="20" t="s">
        <v>157</v>
      </c>
      <c r="T2" s="20"/>
      <c r="U2" s="153">
        <v>5306</v>
      </c>
      <c r="V2" s="173">
        <v>3.71</v>
      </c>
      <c r="W2" s="174">
        <v>5368</v>
      </c>
      <c r="X2" s="153">
        <v>1056.7049999999999</v>
      </c>
      <c r="Y2" s="172">
        <v>0.123016105027193</v>
      </c>
      <c r="Z2" s="172">
        <v>2.5652428808141201E-3</v>
      </c>
    </row>
    <row r="3" spans="1:26">
      <c r="A3" s="20">
        <v>1182</v>
      </c>
      <c r="B3" s="20">
        <v>1182</v>
      </c>
      <c r="C3" s="20" t="s">
        <v>2990</v>
      </c>
      <c r="D3" s="20" t="s">
        <v>2991</v>
      </c>
      <c r="E3" s="18" t="s">
        <v>1342</v>
      </c>
      <c r="F3" s="20" t="s">
        <v>2990</v>
      </c>
      <c r="G3" s="20" t="s">
        <v>2992</v>
      </c>
      <c r="H3" s="18" t="s">
        <v>33</v>
      </c>
      <c r="I3" s="20" t="s">
        <v>800</v>
      </c>
      <c r="J3" s="18" t="s">
        <v>30</v>
      </c>
      <c r="K3" s="18" t="s">
        <v>334</v>
      </c>
      <c r="L3" s="20" t="s">
        <v>194</v>
      </c>
      <c r="M3" s="20" t="s">
        <v>580</v>
      </c>
      <c r="N3" s="20" t="s">
        <v>155</v>
      </c>
      <c r="O3" s="20" t="s">
        <v>2993</v>
      </c>
      <c r="P3" s="18" t="s">
        <v>102</v>
      </c>
      <c r="Q3" s="20" t="s">
        <v>194</v>
      </c>
      <c r="R3" s="20"/>
      <c r="S3" s="20" t="s">
        <v>157</v>
      </c>
      <c r="T3" s="20"/>
      <c r="U3" s="153">
        <v>332.99</v>
      </c>
      <c r="V3" s="173">
        <v>3.71</v>
      </c>
      <c r="W3" s="174">
        <v>90093.3</v>
      </c>
      <c r="X3" s="153">
        <v>1113.0060000000001</v>
      </c>
      <c r="Y3" s="172">
        <v>0.129570431663488</v>
      </c>
      <c r="Z3" s="172">
        <v>2.7019196170721001E-3</v>
      </c>
    </row>
    <row r="4" spans="1:26">
      <c r="A4" s="20">
        <v>1182</v>
      </c>
      <c r="B4" s="20">
        <v>1182</v>
      </c>
      <c r="C4" s="20" t="s">
        <v>2994</v>
      </c>
      <c r="D4" s="20" t="s">
        <v>2995</v>
      </c>
      <c r="E4" s="18" t="s">
        <v>33</v>
      </c>
      <c r="F4" s="20" t="s">
        <v>2994</v>
      </c>
      <c r="G4" s="20" t="s">
        <v>2996</v>
      </c>
      <c r="H4" s="18" t="s">
        <v>33</v>
      </c>
      <c r="I4" s="20" t="s">
        <v>800</v>
      </c>
      <c r="J4" s="18" t="s">
        <v>30</v>
      </c>
      <c r="K4" s="18" t="s">
        <v>30</v>
      </c>
      <c r="L4" s="20" t="s">
        <v>194</v>
      </c>
      <c r="M4" s="20" t="s">
        <v>564</v>
      </c>
      <c r="N4" s="20" t="s">
        <v>155</v>
      </c>
      <c r="O4" s="2" t="s">
        <v>2997</v>
      </c>
      <c r="P4" s="18" t="s">
        <v>102</v>
      </c>
      <c r="Q4" s="20" t="s">
        <v>194</v>
      </c>
      <c r="R4" s="20"/>
      <c r="S4" s="20" t="s">
        <v>157</v>
      </c>
      <c r="T4" s="20"/>
      <c r="U4" s="153">
        <v>26572</v>
      </c>
      <c r="V4" s="173">
        <v>3.71</v>
      </c>
      <c r="W4" s="174">
        <v>0</v>
      </c>
      <c r="X4" s="153">
        <v>0</v>
      </c>
      <c r="Y4" s="172">
        <v>1.1476420778541701E-8</v>
      </c>
      <c r="Z4" s="172">
        <v>2.3931668697260002E-10</v>
      </c>
    </row>
    <row r="5" spans="1:26">
      <c r="A5" s="20">
        <v>1182</v>
      </c>
      <c r="B5" s="20">
        <v>1182</v>
      </c>
      <c r="C5" s="20" t="s">
        <v>2998</v>
      </c>
      <c r="D5" s="20" t="s">
        <v>2999</v>
      </c>
      <c r="E5" s="18" t="s">
        <v>33</v>
      </c>
      <c r="F5" s="20" t="s">
        <v>3000</v>
      </c>
      <c r="G5" s="20" t="s">
        <v>3001</v>
      </c>
      <c r="H5" s="18" t="s">
        <v>33</v>
      </c>
      <c r="I5" s="20" t="s">
        <v>800</v>
      </c>
      <c r="J5" s="18" t="s">
        <v>30</v>
      </c>
      <c r="K5" s="18"/>
      <c r="L5" s="20" t="s">
        <v>194</v>
      </c>
      <c r="M5" s="20" t="s">
        <v>3002</v>
      </c>
      <c r="N5" s="20" t="s">
        <v>155</v>
      </c>
      <c r="O5" s="20" t="s">
        <v>3003</v>
      </c>
      <c r="P5" s="18" t="s">
        <v>102</v>
      </c>
      <c r="Q5" s="20" t="s">
        <v>194</v>
      </c>
      <c r="R5" s="20"/>
      <c r="S5" s="20" t="s">
        <v>157</v>
      </c>
      <c r="T5" s="20"/>
      <c r="U5" s="153">
        <v>84143</v>
      </c>
      <c r="V5" s="173">
        <v>3.71</v>
      </c>
      <c r="W5" s="174">
        <v>10.62</v>
      </c>
      <c r="X5" s="153">
        <v>33.152999999999999</v>
      </c>
      <c r="Y5" s="172">
        <v>3.8594438616969102E-3</v>
      </c>
      <c r="Z5" s="172">
        <v>8.0480607705236802E-5</v>
      </c>
    </row>
    <row r="6" spans="1:26">
      <c r="A6" s="20">
        <v>1182</v>
      </c>
      <c r="B6" s="20">
        <v>1182</v>
      </c>
      <c r="C6" s="20" t="s">
        <v>2998</v>
      </c>
      <c r="D6" s="20" t="s">
        <v>2999</v>
      </c>
      <c r="E6" s="18" t="s">
        <v>33</v>
      </c>
      <c r="F6" s="20" t="s">
        <v>2998</v>
      </c>
      <c r="G6" s="20" t="s">
        <v>3004</v>
      </c>
      <c r="H6" s="18" t="s">
        <v>33</v>
      </c>
      <c r="I6" s="20" t="s">
        <v>800</v>
      </c>
      <c r="J6" s="18" t="s">
        <v>30</v>
      </c>
      <c r="K6" s="18" t="s">
        <v>98</v>
      </c>
      <c r="L6" s="20" t="s">
        <v>194</v>
      </c>
      <c r="M6" s="20" t="s">
        <v>578</v>
      </c>
      <c r="N6" s="20" t="s">
        <v>155</v>
      </c>
      <c r="O6" s="20" t="s">
        <v>3005</v>
      </c>
      <c r="P6" s="18" t="s">
        <v>102</v>
      </c>
      <c r="Q6" s="20" t="s">
        <v>926</v>
      </c>
      <c r="R6" s="20"/>
      <c r="S6" s="20" t="s">
        <v>157</v>
      </c>
      <c r="T6" s="20"/>
      <c r="U6" s="153">
        <v>50000</v>
      </c>
      <c r="V6" s="173">
        <v>3.71</v>
      </c>
      <c r="W6" s="174">
        <v>4.41</v>
      </c>
      <c r="X6" s="153">
        <v>8.1809999999999992</v>
      </c>
      <c r="Y6" s="172">
        <v>9.5242372048924399E-4</v>
      </c>
      <c r="Z6" s="172">
        <v>1.9860799266595599E-5</v>
      </c>
    </row>
    <row r="7" spans="1:26">
      <c r="A7" s="20">
        <v>1182</v>
      </c>
      <c r="B7" s="20">
        <v>1182</v>
      </c>
      <c r="C7" s="20" t="s">
        <v>3006</v>
      </c>
      <c r="D7" s="20" t="s">
        <v>3007</v>
      </c>
      <c r="E7" s="18" t="s">
        <v>1342</v>
      </c>
      <c r="F7" s="20" t="s">
        <v>3008</v>
      </c>
      <c r="G7" s="20" t="s">
        <v>3009</v>
      </c>
      <c r="H7" s="18" t="s">
        <v>33</v>
      </c>
      <c r="I7" s="20" t="s">
        <v>800</v>
      </c>
      <c r="J7" s="18" t="s">
        <v>30</v>
      </c>
      <c r="K7" s="18" t="s">
        <v>98</v>
      </c>
      <c r="L7" s="20" t="s">
        <v>194</v>
      </c>
      <c r="M7" s="20" t="s">
        <v>481</v>
      </c>
      <c r="N7" s="20" t="s">
        <v>155</v>
      </c>
      <c r="O7" s="20" t="s">
        <v>3010</v>
      </c>
      <c r="P7" s="18" t="s">
        <v>102</v>
      </c>
      <c r="Q7" s="20" t="s">
        <v>194</v>
      </c>
      <c r="R7" s="20"/>
      <c r="S7" s="20" t="s">
        <v>157</v>
      </c>
      <c r="T7" s="20"/>
      <c r="U7" s="153">
        <v>244820</v>
      </c>
      <c r="V7" s="173">
        <v>3.71</v>
      </c>
      <c r="W7" s="174">
        <v>374.80799999999999</v>
      </c>
      <c r="X7" s="153">
        <v>3404.3150000000001</v>
      </c>
      <c r="Y7" s="172">
        <v>0.39631278314894702</v>
      </c>
      <c r="Z7" s="172">
        <v>8.2642719449110592E-3</v>
      </c>
    </row>
    <row r="8" spans="1:26">
      <c r="A8" s="20">
        <v>1182</v>
      </c>
      <c r="B8" s="20">
        <v>1182</v>
      </c>
      <c r="C8" s="20" t="s">
        <v>3008</v>
      </c>
      <c r="D8" s="20" t="s">
        <v>3011</v>
      </c>
      <c r="E8" s="18" t="s">
        <v>33</v>
      </c>
      <c r="F8" s="20" t="s">
        <v>3012</v>
      </c>
      <c r="G8" s="20" t="s">
        <v>3013</v>
      </c>
      <c r="H8" s="18" t="s">
        <v>33</v>
      </c>
      <c r="I8" s="20" t="s">
        <v>800</v>
      </c>
      <c r="J8" s="18" t="s">
        <v>30</v>
      </c>
      <c r="K8" s="18" t="s">
        <v>98</v>
      </c>
      <c r="L8" s="20" t="s">
        <v>194</v>
      </c>
      <c r="M8" s="20" t="s">
        <v>481</v>
      </c>
      <c r="N8" s="20" t="s">
        <v>155</v>
      </c>
      <c r="O8" s="20" t="s">
        <v>3014</v>
      </c>
      <c r="P8" s="18" t="s">
        <v>102</v>
      </c>
      <c r="Q8" s="20" t="s">
        <v>194</v>
      </c>
      <c r="R8" s="20"/>
      <c r="S8" s="20" t="s">
        <v>157</v>
      </c>
      <c r="T8" s="20"/>
      <c r="U8" s="153">
        <v>400000</v>
      </c>
      <c r="V8" s="173">
        <v>3.71</v>
      </c>
      <c r="W8" s="174">
        <v>100</v>
      </c>
      <c r="X8" s="153">
        <v>1484</v>
      </c>
      <c r="Y8" s="172">
        <v>0.172759608287546</v>
      </c>
      <c r="Z8" s="172">
        <v>3.6025393191720699E-3</v>
      </c>
    </row>
    <row r="9" spans="1:26">
      <c r="A9" s="20">
        <v>1182</v>
      </c>
      <c r="B9" s="20">
        <v>1182</v>
      </c>
      <c r="C9" s="20" t="s">
        <v>3015</v>
      </c>
      <c r="D9" s="20" t="s">
        <v>3016</v>
      </c>
      <c r="E9" s="18" t="s">
        <v>33</v>
      </c>
      <c r="F9" s="20" t="s">
        <v>3017</v>
      </c>
      <c r="G9" s="20" t="s">
        <v>3018</v>
      </c>
      <c r="H9" s="18" t="s">
        <v>33</v>
      </c>
      <c r="I9" s="20" t="s">
        <v>800</v>
      </c>
      <c r="J9" s="18" t="s">
        <v>97</v>
      </c>
      <c r="K9" s="18" t="s">
        <v>98</v>
      </c>
      <c r="L9" s="20" t="s">
        <v>194</v>
      </c>
      <c r="M9" s="20" t="s">
        <v>482</v>
      </c>
      <c r="N9" s="20" t="s">
        <v>155</v>
      </c>
      <c r="O9" s="20" t="s">
        <v>3019</v>
      </c>
      <c r="P9" s="18" t="s">
        <v>102</v>
      </c>
      <c r="Q9" s="20" t="s">
        <v>928</v>
      </c>
      <c r="R9" s="20"/>
      <c r="S9" s="20" t="s">
        <v>157</v>
      </c>
      <c r="T9" s="20"/>
      <c r="U9" s="153">
        <v>9829</v>
      </c>
      <c r="V9" s="173">
        <v>3.71</v>
      </c>
      <c r="W9" s="174">
        <v>610.43799999999999</v>
      </c>
      <c r="X9" s="153">
        <v>222.6</v>
      </c>
      <c r="Y9" s="172">
        <v>2.5913941314395301E-2</v>
      </c>
      <c r="Z9" s="172">
        <v>5.4038089936185802E-4</v>
      </c>
    </row>
    <row r="10" spans="1:26">
      <c r="A10" s="20">
        <v>1182</v>
      </c>
      <c r="B10" s="20">
        <v>1182</v>
      </c>
      <c r="C10" s="20" t="s">
        <v>3020</v>
      </c>
      <c r="D10" s="20" t="s">
        <v>3021</v>
      </c>
      <c r="E10" s="18" t="s">
        <v>33</v>
      </c>
      <c r="F10" s="20" t="s">
        <v>3020</v>
      </c>
      <c r="G10" s="20" t="s">
        <v>3022</v>
      </c>
      <c r="H10" s="18" t="s">
        <v>33</v>
      </c>
      <c r="I10" s="20" t="s">
        <v>800</v>
      </c>
      <c r="J10" s="18" t="s">
        <v>30</v>
      </c>
      <c r="K10" s="18" t="s">
        <v>98</v>
      </c>
      <c r="L10" s="20" t="s">
        <v>194</v>
      </c>
      <c r="M10" s="20" t="s">
        <v>580</v>
      </c>
      <c r="N10" s="20" t="s">
        <v>155</v>
      </c>
      <c r="O10" s="20" t="s">
        <v>3023</v>
      </c>
      <c r="P10" s="18" t="s">
        <v>102</v>
      </c>
      <c r="Q10" s="20" t="s">
        <v>928</v>
      </c>
      <c r="R10" s="20"/>
      <c r="S10" s="20" t="s">
        <v>157</v>
      </c>
      <c r="T10" s="20"/>
      <c r="U10" s="153">
        <v>60000</v>
      </c>
      <c r="V10" s="173">
        <v>3.71</v>
      </c>
      <c r="W10" s="174">
        <v>67</v>
      </c>
      <c r="X10" s="153">
        <v>149.142</v>
      </c>
      <c r="Y10" s="172">
        <v>1.7362340632898401E-2</v>
      </c>
      <c r="Z10" s="172">
        <v>3.6205520157679298E-4</v>
      </c>
    </row>
    <row r="11" spans="1:26">
      <c r="A11" s="20">
        <v>1182</v>
      </c>
      <c r="B11" s="20">
        <v>1182</v>
      </c>
      <c r="C11" s="20" t="s">
        <v>3024</v>
      </c>
      <c r="D11" s="20" t="s">
        <v>3025</v>
      </c>
      <c r="E11" s="18" t="s">
        <v>33</v>
      </c>
      <c r="F11" s="20" t="s">
        <v>3026</v>
      </c>
      <c r="G11" s="20" t="s">
        <v>3027</v>
      </c>
      <c r="H11" s="18" t="s">
        <v>33</v>
      </c>
      <c r="I11" s="20" t="s">
        <v>800</v>
      </c>
      <c r="J11" s="18" t="s">
        <v>30</v>
      </c>
      <c r="K11" s="18" t="s">
        <v>98</v>
      </c>
      <c r="L11" s="20" t="s">
        <v>194</v>
      </c>
      <c r="M11" s="20" t="s">
        <v>482</v>
      </c>
      <c r="N11" s="20" t="s">
        <v>155</v>
      </c>
      <c r="O11" s="20" t="s">
        <v>3028</v>
      </c>
      <c r="P11" s="18" t="s">
        <v>102</v>
      </c>
      <c r="Q11" s="20" t="s">
        <v>928</v>
      </c>
      <c r="R11" s="20"/>
      <c r="S11" s="20" t="s">
        <v>157</v>
      </c>
      <c r="T11" s="20"/>
      <c r="U11" s="153">
        <v>562517</v>
      </c>
      <c r="V11" s="173">
        <v>3.71</v>
      </c>
      <c r="W11" s="174">
        <v>6.1139999999999999</v>
      </c>
      <c r="X11" s="153">
        <v>127.59699999999999</v>
      </c>
      <c r="Y11" s="172">
        <v>1.4854239054043299E-2</v>
      </c>
      <c r="Z11" s="172">
        <v>3.0975400314351E-4</v>
      </c>
    </row>
    <row r="12" spans="1:26">
      <c r="A12" s="20">
        <v>1182</v>
      </c>
      <c r="B12" s="20">
        <v>1182</v>
      </c>
      <c r="C12" s="20" t="s">
        <v>3029</v>
      </c>
      <c r="D12" s="20" t="s">
        <v>3030</v>
      </c>
      <c r="E12" s="18" t="s">
        <v>1342</v>
      </c>
      <c r="F12" s="20" t="s">
        <v>3029</v>
      </c>
      <c r="G12" s="20" t="s">
        <v>3031</v>
      </c>
      <c r="H12" s="18" t="s">
        <v>33</v>
      </c>
      <c r="I12" s="20" t="s">
        <v>800</v>
      </c>
      <c r="J12" s="18" t="s">
        <v>30</v>
      </c>
      <c r="K12" s="18" t="s">
        <v>98</v>
      </c>
      <c r="L12" s="20" t="s">
        <v>194</v>
      </c>
      <c r="M12" s="20" t="s">
        <v>580</v>
      </c>
      <c r="N12" s="20" t="s">
        <v>155</v>
      </c>
      <c r="O12" s="20" t="s">
        <v>3032</v>
      </c>
      <c r="P12" s="18" t="s">
        <v>102</v>
      </c>
      <c r="Q12" s="20" t="s">
        <v>928</v>
      </c>
      <c r="R12" s="20"/>
      <c r="S12" s="20" t="s">
        <v>157</v>
      </c>
      <c r="T12" s="20"/>
      <c r="U12" s="153">
        <v>3605</v>
      </c>
      <c r="V12" s="173">
        <v>3.71</v>
      </c>
      <c r="W12" s="174">
        <v>1387.07</v>
      </c>
      <c r="X12" s="153">
        <v>185.51400000000001</v>
      </c>
      <c r="Y12" s="172">
        <v>2.15966239968001E-2</v>
      </c>
      <c r="Z12" s="172">
        <v>4.5035230098664002E-4</v>
      </c>
    </row>
    <row r="13" spans="1:26">
      <c r="A13" s="20">
        <v>1182</v>
      </c>
      <c r="B13" s="20">
        <v>1182</v>
      </c>
      <c r="C13" s="20" t="s">
        <v>3033</v>
      </c>
      <c r="D13" s="20" t="s">
        <v>3034</v>
      </c>
      <c r="E13" s="18" t="s">
        <v>33</v>
      </c>
      <c r="F13" s="20" t="s">
        <v>3035</v>
      </c>
      <c r="G13" s="20" t="s">
        <v>3036</v>
      </c>
      <c r="H13" s="18" t="s">
        <v>33</v>
      </c>
      <c r="I13" s="20" t="s">
        <v>800</v>
      </c>
      <c r="J13" s="18" t="s">
        <v>30</v>
      </c>
      <c r="K13" s="18" t="s">
        <v>98</v>
      </c>
      <c r="L13" s="20" t="s">
        <v>194</v>
      </c>
      <c r="M13" s="20" t="s">
        <v>578</v>
      </c>
      <c r="N13" s="20" t="s">
        <v>155</v>
      </c>
      <c r="O13" s="20" t="s">
        <v>3037</v>
      </c>
      <c r="P13" s="18" t="s">
        <v>102</v>
      </c>
      <c r="Q13" s="20" t="s">
        <v>928</v>
      </c>
      <c r="R13" s="20"/>
      <c r="S13" s="20" t="s">
        <v>157</v>
      </c>
      <c r="T13" s="20"/>
      <c r="U13" s="153">
        <v>8020</v>
      </c>
      <c r="V13" s="173">
        <v>3.71</v>
      </c>
      <c r="W13" s="174">
        <v>0</v>
      </c>
      <c r="X13" s="153">
        <v>0</v>
      </c>
      <c r="Y13" s="172">
        <v>3.4638301461652999E-9</v>
      </c>
      <c r="Z13" s="172">
        <v>7.2230913349400001E-11</v>
      </c>
    </row>
    <row r="14" spans="1:26">
      <c r="A14" s="20">
        <v>1182</v>
      </c>
      <c r="B14" s="20">
        <v>1182</v>
      </c>
      <c r="C14" s="20" t="s">
        <v>3038</v>
      </c>
      <c r="D14" s="20" t="s">
        <v>3039</v>
      </c>
      <c r="E14" s="18" t="s">
        <v>1342</v>
      </c>
      <c r="F14" s="20" t="s">
        <v>3038</v>
      </c>
      <c r="G14" s="20" t="s">
        <v>3040</v>
      </c>
      <c r="H14" s="18" t="s">
        <v>33</v>
      </c>
      <c r="I14" s="20" t="s">
        <v>800</v>
      </c>
      <c r="J14" s="18" t="s">
        <v>30</v>
      </c>
      <c r="K14" s="18" t="s">
        <v>98</v>
      </c>
      <c r="L14" s="20" t="s">
        <v>194</v>
      </c>
      <c r="M14" s="20" t="s">
        <v>578</v>
      </c>
      <c r="N14" s="20" t="s">
        <v>155</v>
      </c>
      <c r="O14" s="20" t="s">
        <v>3037</v>
      </c>
      <c r="P14" s="18" t="s">
        <v>102</v>
      </c>
      <c r="Q14" s="20" t="s">
        <v>928</v>
      </c>
      <c r="R14" s="20"/>
      <c r="S14" s="20" t="s">
        <v>157</v>
      </c>
      <c r="T14" s="20"/>
      <c r="U14" s="153">
        <v>13988</v>
      </c>
      <c r="V14" s="173">
        <v>3.71</v>
      </c>
      <c r="W14" s="174">
        <v>830.053</v>
      </c>
      <c r="X14" s="153">
        <v>430.76</v>
      </c>
      <c r="Y14" s="172">
        <v>5.0146838926117598E-2</v>
      </c>
      <c r="Z14" s="172">
        <v>1.04570715779141E-3</v>
      </c>
    </row>
    <row r="15" spans="1:26">
      <c r="A15" s="20">
        <v>1182</v>
      </c>
      <c r="B15" s="20">
        <v>1182</v>
      </c>
      <c r="C15" s="20" t="s">
        <v>2283</v>
      </c>
      <c r="D15" s="20" t="s">
        <v>2284</v>
      </c>
      <c r="E15" s="18" t="s">
        <v>1342</v>
      </c>
      <c r="F15" s="20" t="s">
        <v>3041</v>
      </c>
      <c r="G15" s="20" t="s">
        <v>3042</v>
      </c>
      <c r="H15" s="18" t="s">
        <v>33</v>
      </c>
      <c r="I15" s="20" t="s">
        <v>800</v>
      </c>
      <c r="J15" s="18" t="s">
        <v>30</v>
      </c>
      <c r="K15" s="18" t="s">
        <v>30</v>
      </c>
      <c r="L15" s="20" t="s">
        <v>194</v>
      </c>
      <c r="M15" s="20" t="s">
        <v>512</v>
      </c>
      <c r="N15" s="20" t="s">
        <v>155</v>
      </c>
      <c r="O15" s="20" t="s">
        <v>3043</v>
      </c>
      <c r="P15" s="18" t="s">
        <v>34</v>
      </c>
      <c r="Q15" s="20" t="s">
        <v>194</v>
      </c>
      <c r="R15" s="20"/>
      <c r="S15" s="20" t="s">
        <v>157</v>
      </c>
      <c r="T15" s="20"/>
      <c r="U15" s="153">
        <v>127</v>
      </c>
      <c r="V15" s="173">
        <v>1</v>
      </c>
      <c r="W15" s="174">
        <v>135281.44399999999</v>
      </c>
      <c r="X15" s="153">
        <v>171.80699999999999</v>
      </c>
      <c r="Y15" s="172">
        <v>2.0000933258798401E-2</v>
      </c>
      <c r="Z15" s="172">
        <v>4.1707751713021101E-4</v>
      </c>
    </row>
    <row r="16" spans="1:26">
      <c r="A16" s="20">
        <v>1182</v>
      </c>
      <c r="B16" s="20">
        <v>1182</v>
      </c>
      <c r="C16" s="20" t="s">
        <v>3044</v>
      </c>
      <c r="D16" s="20" t="s">
        <v>3045</v>
      </c>
      <c r="E16" s="18" t="s">
        <v>1342</v>
      </c>
      <c r="F16" s="20" t="s">
        <v>3044</v>
      </c>
      <c r="G16" s="20" t="s">
        <v>3046</v>
      </c>
      <c r="H16" s="18" t="s">
        <v>33</v>
      </c>
      <c r="I16" s="20" t="s">
        <v>800</v>
      </c>
      <c r="J16" s="18" t="s">
        <v>30</v>
      </c>
      <c r="K16" s="18" t="s">
        <v>30</v>
      </c>
      <c r="L16" s="20" t="s">
        <v>194</v>
      </c>
      <c r="M16" s="20" t="s">
        <v>477</v>
      </c>
      <c r="N16" s="20" t="s">
        <v>155</v>
      </c>
      <c r="O16" s="20" t="s">
        <v>3047</v>
      </c>
      <c r="P16" s="18" t="s">
        <v>102</v>
      </c>
      <c r="Q16" s="20" t="s">
        <v>194</v>
      </c>
      <c r="R16" s="20"/>
      <c r="S16" s="20" t="s">
        <v>157</v>
      </c>
      <c r="T16" s="20"/>
      <c r="U16" s="153">
        <v>41131.24</v>
      </c>
      <c r="V16" s="173">
        <v>3.71</v>
      </c>
      <c r="W16" s="174">
        <v>0</v>
      </c>
      <c r="X16" s="153">
        <v>0</v>
      </c>
      <c r="Y16" s="172">
        <v>1.7764542276952599E-8</v>
      </c>
      <c r="Z16" s="172">
        <v>3.7044227336575701E-10</v>
      </c>
    </row>
    <row r="17" spans="1:26">
      <c r="A17" s="20">
        <v>1182</v>
      </c>
      <c r="B17" s="20">
        <v>1182</v>
      </c>
      <c r="C17" s="20" t="s">
        <v>3048</v>
      </c>
      <c r="D17" s="20" t="s">
        <v>3049</v>
      </c>
      <c r="E17" s="18" t="s">
        <v>33</v>
      </c>
      <c r="F17" s="20" t="s">
        <v>3050</v>
      </c>
      <c r="G17" s="20" t="s">
        <v>3051</v>
      </c>
      <c r="H17" s="18" t="s">
        <v>356</v>
      </c>
      <c r="I17" s="20" t="s">
        <v>800</v>
      </c>
      <c r="J17" s="18" t="s">
        <v>97</v>
      </c>
      <c r="K17" s="18" t="s">
        <v>334</v>
      </c>
      <c r="L17" s="20" t="s">
        <v>194</v>
      </c>
      <c r="M17" s="20" t="s">
        <v>2001</v>
      </c>
      <c r="N17" s="20" t="s">
        <v>155</v>
      </c>
      <c r="O17" s="20"/>
      <c r="P17" s="18" t="s">
        <v>102</v>
      </c>
      <c r="Q17" s="20" t="s">
        <v>194</v>
      </c>
      <c r="R17" s="20"/>
      <c r="S17" s="20" t="s">
        <v>3052</v>
      </c>
      <c r="T17" s="20"/>
      <c r="U17" s="153">
        <v>14.84</v>
      </c>
      <c r="V17" s="173">
        <v>3.71</v>
      </c>
      <c r="W17" s="174">
        <v>0</v>
      </c>
      <c r="X17" s="153">
        <v>0</v>
      </c>
      <c r="Y17" s="172">
        <v>6.40938146746797E-12</v>
      </c>
      <c r="Z17" s="172">
        <v>1.33654208741284E-13</v>
      </c>
    </row>
    <row r="18" spans="1:26">
      <c r="A18" s="20">
        <v>1182</v>
      </c>
      <c r="B18" s="20">
        <v>1182</v>
      </c>
      <c r="C18" s="20" t="s">
        <v>3053</v>
      </c>
      <c r="D18" s="20" t="s">
        <v>3054</v>
      </c>
      <c r="E18" s="18" t="s">
        <v>33</v>
      </c>
      <c r="F18" s="20" t="s">
        <v>3053</v>
      </c>
      <c r="G18" s="20" t="s">
        <v>3055</v>
      </c>
      <c r="H18" s="18" t="s">
        <v>356</v>
      </c>
      <c r="I18" s="20" t="s">
        <v>800</v>
      </c>
      <c r="J18" s="18" t="s">
        <v>97</v>
      </c>
      <c r="K18" s="18" t="s">
        <v>98</v>
      </c>
      <c r="L18" s="20" t="s">
        <v>194</v>
      </c>
      <c r="M18" s="20" t="s">
        <v>2017</v>
      </c>
      <c r="N18" s="20" t="s">
        <v>155</v>
      </c>
      <c r="O18" s="20"/>
      <c r="P18" s="18" t="s">
        <v>102</v>
      </c>
      <c r="Q18" s="20" t="s">
        <v>194</v>
      </c>
      <c r="R18" s="20"/>
      <c r="S18" s="20" t="s">
        <v>3052</v>
      </c>
      <c r="T18" s="20"/>
      <c r="U18" s="153">
        <v>43.79</v>
      </c>
      <c r="V18" s="173">
        <v>3.71</v>
      </c>
      <c r="W18" s="174">
        <v>0</v>
      </c>
      <c r="X18" s="153">
        <v>0</v>
      </c>
      <c r="Y18" s="172">
        <v>1.89128581172791E-11</v>
      </c>
      <c r="Z18" s="172">
        <v>3.9438799196636202E-13</v>
      </c>
    </row>
    <row r="19" spans="1:26">
      <c r="A19" s="4">
        <v>1182</v>
      </c>
      <c r="B19" s="20">
        <v>1182</v>
      </c>
      <c r="C19" s="20" t="s">
        <v>3056</v>
      </c>
      <c r="D19" s="20" t="s">
        <v>3057</v>
      </c>
      <c r="E19" s="18" t="s">
        <v>33</v>
      </c>
      <c r="F19" s="20" t="s">
        <v>3058</v>
      </c>
      <c r="G19" s="20" t="s">
        <v>3059</v>
      </c>
      <c r="H19" s="18" t="s">
        <v>33</v>
      </c>
      <c r="I19" s="20" t="s">
        <v>800</v>
      </c>
      <c r="J19" s="18" t="s">
        <v>97</v>
      </c>
      <c r="K19" s="18" t="s">
        <v>98</v>
      </c>
      <c r="L19" s="20" t="s">
        <v>194</v>
      </c>
      <c r="M19" s="20" t="s">
        <v>580</v>
      </c>
      <c r="N19" s="20" t="s">
        <v>155</v>
      </c>
      <c r="O19" s="20" t="s">
        <v>2778</v>
      </c>
      <c r="P19" s="18" t="s">
        <v>102</v>
      </c>
      <c r="Q19" s="20" t="s">
        <v>928</v>
      </c>
      <c r="R19" s="20"/>
      <c r="S19" s="20" t="s">
        <v>157</v>
      </c>
      <c r="T19" s="20"/>
      <c r="U19" s="153">
        <v>12316</v>
      </c>
      <c r="V19" s="173">
        <v>3.71</v>
      </c>
      <c r="W19" s="174">
        <v>444.69</v>
      </c>
      <c r="X19" s="153">
        <v>203.18899999999999</v>
      </c>
      <c r="Y19" s="172">
        <v>2.3654254377470901E-2</v>
      </c>
      <c r="Z19" s="172">
        <v>4.9325986731054501E-4</v>
      </c>
    </row>
    <row r="20" spans="1:26">
      <c r="A20" s="2">
        <v>12904</v>
      </c>
      <c r="B20" s="2">
        <v>12905</v>
      </c>
      <c r="C20" s="2" t="s">
        <v>2990</v>
      </c>
      <c r="D20" s="2" t="s">
        <v>2991</v>
      </c>
      <c r="E20" s="18" t="s">
        <v>1342</v>
      </c>
      <c r="F20" s="2" t="s">
        <v>2990</v>
      </c>
      <c r="G20" s="2" t="s">
        <v>2992</v>
      </c>
      <c r="H20" s="4" t="s">
        <v>33</v>
      </c>
      <c r="I20" s="20" t="s">
        <v>800</v>
      </c>
      <c r="J20" s="18" t="s">
        <v>30</v>
      </c>
      <c r="K20" s="18" t="s">
        <v>334</v>
      </c>
      <c r="L20" s="20" t="s">
        <v>194</v>
      </c>
      <c r="M20" s="20" t="s">
        <v>580</v>
      </c>
      <c r="N20" s="20" t="s">
        <v>155</v>
      </c>
      <c r="O20" s="2" t="s">
        <v>2993</v>
      </c>
      <c r="P20" s="2" t="s">
        <v>102</v>
      </c>
      <c r="Q20" s="2" t="s">
        <v>194</v>
      </c>
      <c r="R20" s="20"/>
      <c r="S20" s="2" t="s">
        <v>157</v>
      </c>
      <c r="U20" s="151">
        <v>16.649999999999999</v>
      </c>
      <c r="V20" s="158">
        <v>3.71</v>
      </c>
      <c r="W20" s="175">
        <v>90093.3</v>
      </c>
      <c r="X20" s="151">
        <v>55.652000000000001</v>
      </c>
      <c r="Y20" s="164">
        <v>0.157899474322378</v>
      </c>
      <c r="Z20" s="164">
        <v>1.64433236693324E-3</v>
      </c>
    </row>
    <row r="21" spans="1:26">
      <c r="A21" s="2">
        <v>12904</v>
      </c>
      <c r="B21" s="2">
        <v>12905</v>
      </c>
      <c r="C21" s="2" t="s">
        <v>3008</v>
      </c>
      <c r="D21" s="2" t="s">
        <v>3011</v>
      </c>
      <c r="E21" s="4" t="s">
        <v>33</v>
      </c>
      <c r="F21" s="2" t="s">
        <v>3012</v>
      </c>
      <c r="G21" s="2" t="s">
        <v>3013</v>
      </c>
      <c r="H21" s="2" t="s">
        <v>33</v>
      </c>
      <c r="I21" s="2" t="s">
        <v>800</v>
      </c>
      <c r="J21" s="2" t="s">
        <v>30</v>
      </c>
      <c r="K21" s="2" t="s">
        <v>98</v>
      </c>
      <c r="L21" s="4" t="s">
        <v>194</v>
      </c>
      <c r="M21" s="2" t="s">
        <v>481</v>
      </c>
      <c r="N21" s="2" t="s">
        <v>155</v>
      </c>
      <c r="O21" s="2" t="s">
        <v>3014</v>
      </c>
      <c r="P21" s="2" t="s">
        <v>102</v>
      </c>
      <c r="Q21" s="2" t="s">
        <v>194</v>
      </c>
      <c r="S21" s="2" t="s">
        <v>157</v>
      </c>
      <c r="U21" s="151">
        <v>80000</v>
      </c>
      <c r="V21" s="158">
        <v>3.71</v>
      </c>
      <c r="W21" s="175">
        <v>100</v>
      </c>
      <c r="X21" s="151">
        <v>296.8</v>
      </c>
      <c r="Y21" s="164">
        <v>0.84210052567762195</v>
      </c>
      <c r="Z21" s="164">
        <v>8.7694601677781505E-3</v>
      </c>
    </row>
    <row r="22" spans="1:26">
      <c r="A22" s="2">
        <v>12904</v>
      </c>
      <c r="B22" s="2">
        <v>13680</v>
      </c>
      <c r="C22" s="2" t="s">
        <v>2990</v>
      </c>
      <c r="D22" s="2" t="s">
        <v>2991</v>
      </c>
      <c r="E22" s="4" t="s">
        <v>1342</v>
      </c>
      <c r="F22" s="2" t="s">
        <v>2990</v>
      </c>
      <c r="G22" s="2" t="s">
        <v>2992</v>
      </c>
      <c r="H22" s="2" t="s">
        <v>33</v>
      </c>
      <c r="I22" s="2" t="s">
        <v>800</v>
      </c>
      <c r="J22" s="2" t="s">
        <v>30</v>
      </c>
      <c r="K22" s="2" t="s">
        <v>334</v>
      </c>
      <c r="L22" s="4" t="s">
        <v>194</v>
      </c>
      <c r="M22" s="2" t="s">
        <v>580</v>
      </c>
      <c r="N22" s="2" t="s">
        <v>155</v>
      </c>
      <c r="O22" s="2" t="s">
        <v>2993</v>
      </c>
      <c r="P22" s="2" t="s">
        <v>102</v>
      </c>
      <c r="Q22" s="2" t="s">
        <v>194</v>
      </c>
      <c r="S22" s="2" t="s">
        <v>157</v>
      </c>
      <c r="U22" s="151">
        <v>11.1</v>
      </c>
      <c r="V22" s="158">
        <v>3.71</v>
      </c>
      <c r="W22" s="175">
        <v>90093.3</v>
      </c>
      <c r="X22" s="151">
        <v>37.100999999999999</v>
      </c>
      <c r="Y22" s="164">
        <v>0.125003897013894</v>
      </c>
      <c r="Z22" s="164">
        <v>1.01147069456265E-3</v>
      </c>
    </row>
    <row r="23" spans="1:26">
      <c r="A23" s="2">
        <v>12904</v>
      </c>
      <c r="B23" s="2">
        <v>13680</v>
      </c>
      <c r="C23" s="2" t="s">
        <v>3008</v>
      </c>
      <c r="D23" s="2" t="s">
        <v>3011</v>
      </c>
      <c r="E23" s="4" t="s">
        <v>33</v>
      </c>
      <c r="F23" s="2" t="s">
        <v>3012</v>
      </c>
      <c r="G23" s="2" t="s">
        <v>3013</v>
      </c>
      <c r="H23" s="2" t="s">
        <v>33</v>
      </c>
      <c r="I23" s="2" t="s">
        <v>800</v>
      </c>
      <c r="J23" s="2" t="s">
        <v>30</v>
      </c>
      <c r="K23" s="2" t="s">
        <v>98</v>
      </c>
      <c r="L23" s="4" t="s">
        <v>194</v>
      </c>
      <c r="M23" s="2" t="s">
        <v>481</v>
      </c>
      <c r="N23" s="2" t="s">
        <v>155</v>
      </c>
      <c r="O23" s="2" t="s">
        <v>3014</v>
      </c>
      <c r="P23" s="2" t="s">
        <v>102</v>
      </c>
      <c r="Q23" s="2" t="s">
        <v>194</v>
      </c>
      <c r="S23" s="2" t="s">
        <v>157</v>
      </c>
      <c r="U23" s="151">
        <v>70000</v>
      </c>
      <c r="V23" s="158">
        <v>3.71</v>
      </c>
      <c r="W23" s="175">
        <v>100</v>
      </c>
      <c r="X23" s="151">
        <v>259.7</v>
      </c>
      <c r="Y23" s="164">
        <v>0.87499610298610597</v>
      </c>
      <c r="Z23" s="164">
        <v>7.0800426000207396E-3</v>
      </c>
    </row>
    <row r="24" spans="1:26">
      <c r="A24" s="2">
        <v>424</v>
      </c>
      <c r="B24" s="2">
        <v>7228</v>
      </c>
      <c r="C24" s="2" t="s">
        <v>2986</v>
      </c>
      <c r="D24" s="2" t="s">
        <v>2987</v>
      </c>
      <c r="E24" s="4" t="s">
        <v>33</v>
      </c>
      <c r="F24" s="2" t="s">
        <v>2986</v>
      </c>
      <c r="G24" s="2" t="s">
        <v>2988</v>
      </c>
      <c r="H24" s="2" t="s">
        <v>33</v>
      </c>
      <c r="I24" s="2" t="s">
        <v>800</v>
      </c>
      <c r="J24" s="2" t="s">
        <v>30</v>
      </c>
      <c r="K24" s="2" t="s">
        <v>30</v>
      </c>
      <c r="L24" s="4" t="s">
        <v>194</v>
      </c>
      <c r="M24" s="2" t="s">
        <v>578</v>
      </c>
      <c r="N24" s="2" t="s">
        <v>155</v>
      </c>
      <c r="O24" s="2" t="s">
        <v>2989</v>
      </c>
      <c r="P24" s="2" t="s">
        <v>102</v>
      </c>
      <c r="Q24" s="2" t="s">
        <v>194</v>
      </c>
      <c r="S24" s="2" t="s">
        <v>157</v>
      </c>
      <c r="U24" s="151">
        <v>82545</v>
      </c>
      <c r="V24" s="158">
        <v>3.71</v>
      </c>
      <c r="W24" s="175">
        <v>5368</v>
      </c>
      <c r="X24" s="151">
        <v>16439.067999999999</v>
      </c>
      <c r="Y24" s="164">
        <v>0.23774517655640601</v>
      </c>
      <c r="Z24" s="164">
        <v>6.8098679666819097E-3</v>
      </c>
    </row>
    <row r="25" spans="1:26">
      <c r="A25" s="2">
        <v>424</v>
      </c>
      <c r="B25" s="2">
        <v>7228</v>
      </c>
      <c r="C25" s="2" t="s">
        <v>2990</v>
      </c>
      <c r="D25" s="2" t="s">
        <v>2991</v>
      </c>
      <c r="E25" s="4" t="s">
        <v>1342</v>
      </c>
      <c r="F25" s="2" t="s">
        <v>2990</v>
      </c>
      <c r="G25" s="2" t="s">
        <v>2992</v>
      </c>
      <c r="H25" s="2" t="s">
        <v>33</v>
      </c>
      <c r="I25" s="2" t="s">
        <v>800</v>
      </c>
      <c r="J25" s="2" t="s">
        <v>30</v>
      </c>
      <c r="K25" s="2" t="s">
        <v>334</v>
      </c>
      <c r="L25" s="4" t="s">
        <v>194</v>
      </c>
      <c r="M25" s="2" t="s">
        <v>580</v>
      </c>
      <c r="N25" s="2" t="s">
        <v>155</v>
      </c>
      <c r="O25" s="2" t="s">
        <v>2993</v>
      </c>
      <c r="P25" s="2" t="s">
        <v>102</v>
      </c>
      <c r="Q25" s="2" t="s">
        <v>194</v>
      </c>
      <c r="S25" s="2" t="s">
        <v>157</v>
      </c>
      <c r="U25" s="151">
        <v>2219.02</v>
      </c>
      <c r="V25" s="158">
        <v>3.71</v>
      </c>
      <c r="W25" s="175">
        <v>90093.3</v>
      </c>
      <c r="X25" s="151">
        <v>7416.9889999999996</v>
      </c>
      <c r="Y25" s="164">
        <v>0.107266015088831</v>
      </c>
      <c r="Z25" s="164">
        <v>3.0724804206227201E-3</v>
      </c>
    </row>
    <row r="26" spans="1:26">
      <c r="A26" s="2">
        <v>424</v>
      </c>
      <c r="B26" s="2">
        <v>7228</v>
      </c>
      <c r="C26" s="2" t="s">
        <v>2994</v>
      </c>
      <c r="D26" s="2" t="s">
        <v>2995</v>
      </c>
      <c r="E26" s="4" t="s">
        <v>33</v>
      </c>
      <c r="F26" s="2" t="s">
        <v>2994</v>
      </c>
      <c r="G26" s="2" t="s">
        <v>2996</v>
      </c>
      <c r="H26" s="2" t="s">
        <v>33</v>
      </c>
      <c r="I26" s="2" t="s">
        <v>800</v>
      </c>
      <c r="J26" s="2" t="s">
        <v>30</v>
      </c>
      <c r="K26" s="2" t="s">
        <v>30</v>
      </c>
      <c r="L26" s="4" t="s">
        <v>194</v>
      </c>
      <c r="M26" s="2" t="s">
        <v>564</v>
      </c>
      <c r="N26" s="2" t="s">
        <v>155</v>
      </c>
      <c r="O26" s="2" t="s">
        <v>2997</v>
      </c>
      <c r="P26" s="2" t="s">
        <v>102</v>
      </c>
      <c r="Q26" s="2" t="s">
        <v>194</v>
      </c>
      <c r="S26" s="2" t="s">
        <v>157</v>
      </c>
      <c r="U26" s="151">
        <v>239148</v>
      </c>
      <c r="V26" s="158">
        <v>3.71</v>
      </c>
      <c r="W26" s="175">
        <v>0</v>
      </c>
      <c r="X26" s="151">
        <v>1E-3</v>
      </c>
      <c r="Y26" s="164">
        <v>1.2831433832711299E-8</v>
      </c>
      <c r="Z26" s="164">
        <v>3.6753793069382202E-10</v>
      </c>
    </row>
    <row r="27" spans="1:26">
      <c r="A27" s="2">
        <v>424</v>
      </c>
      <c r="B27" s="2">
        <v>7228</v>
      </c>
      <c r="C27" s="2" t="s">
        <v>2998</v>
      </c>
      <c r="D27" s="2" t="s">
        <v>2999</v>
      </c>
      <c r="E27" s="4" t="s">
        <v>33</v>
      </c>
      <c r="F27" s="2" t="s">
        <v>3000</v>
      </c>
      <c r="G27" s="2" t="s">
        <v>3001</v>
      </c>
      <c r="H27" s="2" t="s">
        <v>33</v>
      </c>
      <c r="I27" s="2" t="s">
        <v>800</v>
      </c>
      <c r="J27" s="2" t="s">
        <v>30</v>
      </c>
      <c r="L27" s="4" t="s">
        <v>194</v>
      </c>
      <c r="M27" s="2" t="s">
        <v>3002</v>
      </c>
      <c r="N27" s="2" t="s">
        <v>155</v>
      </c>
      <c r="O27" s="2" t="s">
        <v>3003</v>
      </c>
      <c r="P27" s="2" t="s">
        <v>102</v>
      </c>
      <c r="Q27" s="2" t="s">
        <v>194</v>
      </c>
      <c r="S27" s="2" t="s">
        <v>157</v>
      </c>
      <c r="U27" s="151">
        <v>437561</v>
      </c>
      <c r="V27" s="158">
        <v>3.71</v>
      </c>
      <c r="W27" s="175">
        <v>10.62</v>
      </c>
      <c r="X27" s="151">
        <v>172.4</v>
      </c>
      <c r="Y27" s="164">
        <v>2.4932829003253298E-3</v>
      </c>
      <c r="Z27" s="164">
        <v>7.1416495597221595E-5</v>
      </c>
    </row>
    <row r="28" spans="1:26">
      <c r="A28" s="2">
        <v>424</v>
      </c>
      <c r="B28" s="2">
        <v>7228</v>
      </c>
      <c r="C28" s="2" t="s">
        <v>2998</v>
      </c>
      <c r="D28" s="2" t="s">
        <v>2999</v>
      </c>
      <c r="E28" s="4" t="s">
        <v>33</v>
      </c>
      <c r="F28" s="2" t="s">
        <v>2998</v>
      </c>
      <c r="G28" s="2" t="s">
        <v>3004</v>
      </c>
      <c r="H28" s="2" t="s">
        <v>33</v>
      </c>
      <c r="I28" s="2" t="s">
        <v>800</v>
      </c>
      <c r="J28" s="2" t="s">
        <v>30</v>
      </c>
      <c r="K28" s="2" t="s">
        <v>98</v>
      </c>
      <c r="L28" s="4" t="s">
        <v>194</v>
      </c>
      <c r="M28" s="2" t="s">
        <v>578</v>
      </c>
      <c r="N28" s="2" t="s">
        <v>155</v>
      </c>
      <c r="O28" s="2" t="s">
        <v>3005</v>
      </c>
      <c r="P28" s="2" t="s">
        <v>102</v>
      </c>
      <c r="Q28" s="2" t="s">
        <v>926</v>
      </c>
      <c r="S28" s="2" t="s">
        <v>157</v>
      </c>
      <c r="U28" s="151">
        <v>260000</v>
      </c>
      <c r="V28" s="158">
        <v>3.71</v>
      </c>
      <c r="W28" s="175">
        <v>4.41</v>
      </c>
      <c r="X28" s="151">
        <v>42.542999999999999</v>
      </c>
      <c r="Y28" s="164">
        <v>6.1526153267873205E-4</v>
      </c>
      <c r="Z28" s="164">
        <v>1.7623279947075799E-5</v>
      </c>
    </row>
    <row r="29" spans="1:26">
      <c r="A29" s="2">
        <v>424</v>
      </c>
      <c r="B29" s="2">
        <v>7228</v>
      </c>
      <c r="C29" s="2" t="s">
        <v>3060</v>
      </c>
      <c r="D29" s="2" t="s">
        <v>3061</v>
      </c>
      <c r="E29" s="4" t="s">
        <v>33</v>
      </c>
      <c r="F29" s="2" t="s">
        <v>3060</v>
      </c>
      <c r="G29" s="2" t="s">
        <v>3062</v>
      </c>
      <c r="H29" s="2" t="s">
        <v>33</v>
      </c>
      <c r="I29" s="2" t="s">
        <v>800</v>
      </c>
      <c r="J29" s="2" t="s">
        <v>30</v>
      </c>
      <c r="K29" s="2" t="s">
        <v>30</v>
      </c>
      <c r="L29" s="4" t="s">
        <v>194</v>
      </c>
      <c r="M29" s="2" t="s">
        <v>564</v>
      </c>
      <c r="N29" s="2" t="s">
        <v>155</v>
      </c>
      <c r="P29" s="2" t="s">
        <v>102</v>
      </c>
      <c r="Q29" s="2" t="s">
        <v>194</v>
      </c>
      <c r="S29" s="2" t="s">
        <v>157</v>
      </c>
      <c r="U29" s="151">
        <v>2939</v>
      </c>
      <c r="V29" s="158">
        <v>3.71</v>
      </c>
      <c r="W29" s="175">
        <v>31340.455999999998</v>
      </c>
      <c r="X29" s="151">
        <v>3417.2660000000001</v>
      </c>
      <c r="Y29" s="164">
        <v>4.94212051260026E-2</v>
      </c>
      <c r="Z29" s="164">
        <v>1.4155991996856901E-3</v>
      </c>
    </row>
    <row r="30" spans="1:26">
      <c r="A30" s="2">
        <v>424</v>
      </c>
      <c r="B30" s="2">
        <v>7228</v>
      </c>
      <c r="C30" s="2" t="s">
        <v>3006</v>
      </c>
      <c r="D30" s="2" t="s">
        <v>3007</v>
      </c>
      <c r="E30" s="4" t="s">
        <v>1342</v>
      </c>
      <c r="F30" s="2" t="s">
        <v>3008</v>
      </c>
      <c r="G30" s="2" t="s">
        <v>3009</v>
      </c>
      <c r="H30" s="2" t="s">
        <v>33</v>
      </c>
      <c r="I30" s="2" t="s">
        <v>800</v>
      </c>
      <c r="J30" s="2" t="s">
        <v>30</v>
      </c>
      <c r="K30" s="2" t="s">
        <v>98</v>
      </c>
      <c r="L30" s="4" t="s">
        <v>194</v>
      </c>
      <c r="M30" s="2" t="s">
        <v>481</v>
      </c>
      <c r="N30" s="2" t="s">
        <v>155</v>
      </c>
      <c r="O30" s="2" t="s">
        <v>3010</v>
      </c>
      <c r="P30" s="2" t="s">
        <v>102</v>
      </c>
      <c r="Q30" s="2" t="s">
        <v>194</v>
      </c>
      <c r="S30" s="2" t="s">
        <v>157</v>
      </c>
      <c r="U30" s="151">
        <v>2325794</v>
      </c>
      <c r="V30" s="158">
        <v>3.71</v>
      </c>
      <c r="W30" s="175">
        <v>374.80799999999999</v>
      </c>
      <c r="X30" s="151">
        <v>32341.050999999999</v>
      </c>
      <c r="Y30" s="164">
        <v>0.46772291670666999</v>
      </c>
      <c r="Z30" s="164">
        <v>1.33972489112018E-2</v>
      </c>
    </row>
    <row r="31" spans="1:26">
      <c r="A31" s="2">
        <v>424</v>
      </c>
      <c r="B31" s="2">
        <v>7228</v>
      </c>
      <c r="C31" s="2" t="s">
        <v>3008</v>
      </c>
      <c r="D31" s="2" t="s">
        <v>3011</v>
      </c>
      <c r="E31" s="4" t="s">
        <v>33</v>
      </c>
      <c r="F31" s="2" t="s">
        <v>3012</v>
      </c>
      <c r="G31" s="2" t="s">
        <v>3013</v>
      </c>
      <c r="H31" s="2" t="s">
        <v>33</v>
      </c>
      <c r="I31" s="2" t="s">
        <v>800</v>
      </c>
      <c r="J31" s="2" t="s">
        <v>30</v>
      </c>
      <c r="K31" s="2" t="s">
        <v>98</v>
      </c>
      <c r="L31" s="4" t="s">
        <v>194</v>
      </c>
      <c r="M31" s="2" t="s">
        <v>481</v>
      </c>
      <c r="N31" s="2" t="s">
        <v>155</v>
      </c>
      <c r="O31" s="2" t="s">
        <v>3014</v>
      </c>
      <c r="P31" s="2" t="s">
        <v>102</v>
      </c>
      <c r="Q31" s="2" t="s">
        <v>194</v>
      </c>
      <c r="S31" s="2" t="s">
        <v>157</v>
      </c>
      <c r="U31" s="151">
        <v>150000</v>
      </c>
      <c r="V31" s="158">
        <v>3.71</v>
      </c>
      <c r="W31" s="175">
        <v>100</v>
      </c>
      <c r="X31" s="151">
        <v>556.5</v>
      </c>
      <c r="Y31" s="164">
        <v>8.0482173169196102E-3</v>
      </c>
      <c r="Z31" s="164">
        <v>2.30529586716482E-4</v>
      </c>
    </row>
    <row r="32" spans="1:26">
      <c r="A32" s="2">
        <v>424</v>
      </c>
      <c r="B32" s="2">
        <v>7228</v>
      </c>
      <c r="C32" s="2" t="s">
        <v>3015</v>
      </c>
      <c r="D32" s="2" t="s">
        <v>3016</v>
      </c>
      <c r="E32" s="4" t="s">
        <v>33</v>
      </c>
      <c r="F32" s="2" t="s">
        <v>3017</v>
      </c>
      <c r="G32" s="2" t="s">
        <v>3018</v>
      </c>
      <c r="H32" s="2" t="s">
        <v>33</v>
      </c>
      <c r="I32" s="2" t="s">
        <v>800</v>
      </c>
      <c r="J32" s="2" t="s">
        <v>97</v>
      </c>
      <c r="K32" s="2" t="s">
        <v>98</v>
      </c>
      <c r="L32" s="4" t="s">
        <v>194</v>
      </c>
      <c r="M32" s="2" t="s">
        <v>482</v>
      </c>
      <c r="N32" s="2" t="s">
        <v>155</v>
      </c>
      <c r="O32" s="2" t="s">
        <v>3019</v>
      </c>
      <c r="P32" s="2" t="s">
        <v>102</v>
      </c>
      <c r="Q32" s="2" t="s">
        <v>928</v>
      </c>
      <c r="S32" s="2" t="s">
        <v>157</v>
      </c>
      <c r="U32" s="151">
        <v>47505</v>
      </c>
      <c r="V32" s="158">
        <v>3.71</v>
      </c>
      <c r="W32" s="175">
        <v>610.43799999999999</v>
      </c>
      <c r="X32" s="151">
        <v>1075.8579999999999</v>
      </c>
      <c r="Y32" s="164">
        <v>1.55592863848479E-2</v>
      </c>
      <c r="Z32" s="164">
        <v>4.4567333592766698E-4</v>
      </c>
    </row>
    <row r="33" spans="1:26">
      <c r="A33" s="2">
        <v>424</v>
      </c>
      <c r="B33" s="2">
        <v>7228</v>
      </c>
      <c r="C33" s="2" t="s">
        <v>3020</v>
      </c>
      <c r="D33" s="2" t="s">
        <v>3021</v>
      </c>
      <c r="E33" s="4" t="s">
        <v>33</v>
      </c>
      <c r="F33" s="2" t="s">
        <v>3020</v>
      </c>
      <c r="G33" s="2" t="s">
        <v>3022</v>
      </c>
      <c r="H33" s="2" t="s">
        <v>33</v>
      </c>
      <c r="I33" s="2" t="s">
        <v>800</v>
      </c>
      <c r="J33" s="2" t="s">
        <v>30</v>
      </c>
      <c r="K33" s="2" t="s">
        <v>98</v>
      </c>
      <c r="L33" s="4" t="s">
        <v>194</v>
      </c>
      <c r="M33" s="2" t="s">
        <v>580</v>
      </c>
      <c r="N33" s="2" t="s">
        <v>155</v>
      </c>
      <c r="O33" s="2" t="s">
        <v>3023</v>
      </c>
      <c r="P33" s="2" t="s">
        <v>102</v>
      </c>
      <c r="Q33" s="2" t="s">
        <v>928</v>
      </c>
      <c r="S33" s="2" t="s">
        <v>157</v>
      </c>
      <c r="U33" s="151">
        <v>290000</v>
      </c>
      <c r="V33" s="158">
        <v>3.71</v>
      </c>
      <c r="W33" s="175">
        <v>67</v>
      </c>
      <c r="X33" s="151">
        <v>720.85299999999995</v>
      </c>
      <c r="Y33" s="164">
        <v>1.04251241645165E-2</v>
      </c>
      <c r="Z33" s="164">
        <v>2.9861265799341699E-4</v>
      </c>
    </row>
    <row r="34" spans="1:26">
      <c r="A34" s="2">
        <v>424</v>
      </c>
      <c r="B34" s="2">
        <v>7228</v>
      </c>
      <c r="C34" s="2" t="s">
        <v>3024</v>
      </c>
      <c r="D34" s="2" t="s">
        <v>3025</v>
      </c>
      <c r="E34" s="4" t="s">
        <v>33</v>
      </c>
      <c r="F34" s="2" t="s">
        <v>3026</v>
      </c>
      <c r="G34" s="2" t="s">
        <v>3027</v>
      </c>
      <c r="H34" s="2" t="s">
        <v>33</v>
      </c>
      <c r="I34" s="2" t="s">
        <v>800</v>
      </c>
      <c r="J34" s="2" t="s">
        <v>30</v>
      </c>
      <c r="K34" s="2" t="s">
        <v>98</v>
      </c>
      <c r="L34" s="4" t="s">
        <v>194</v>
      </c>
      <c r="M34" s="2" t="s">
        <v>482</v>
      </c>
      <c r="N34" s="2" t="s">
        <v>155</v>
      </c>
      <c r="O34" s="2" t="s">
        <v>3028</v>
      </c>
      <c r="P34" s="2" t="s">
        <v>102</v>
      </c>
      <c r="Q34" s="2" t="s">
        <v>928</v>
      </c>
      <c r="S34" s="2" t="s">
        <v>157</v>
      </c>
      <c r="U34" s="151">
        <v>2925086</v>
      </c>
      <c r="V34" s="158">
        <v>3.71</v>
      </c>
      <c r="W34" s="175">
        <v>6.1139999999999999</v>
      </c>
      <c r="X34" s="151">
        <v>663.50599999999997</v>
      </c>
      <c r="Y34" s="164">
        <v>9.5957651955935995E-3</v>
      </c>
      <c r="Z34" s="164">
        <v>2.7485686552202398E-4</v>
      </c>
    </row>
    <row r="35" spans="1:26">
      <c r="A35" s="2">
        <v>424</v>
      </c>
      <c r="B35" s="2">
        <v>7228</v>
      </c>
      <c r="C35" s="2" t="s">
        <v>3029</v>
      </c>
      <c r="D35" s="2" t="s">
        <v>3030</v>
      </c>
      <c r="E35" s="4" t="s">
        <v>1342</v>
      </c>
      <c r="F35" s="2" t="s">
        <v>3029</v>
      </c>
      <c r="G35" s="2" t="s">
        <v>3031</v>
      </c>
      <c r="H35" s="2" t="s">
        <v>33</v>
      </c>
      <c r="I35" s="2" t="s">
        <v>800</v>
      </c>
      <c r="J35" s="2" t="s">
        <v>30</v>
      </c>
      <c r="K35" s="2" t="s">
        <v>98</v>
      </c>
      <c r="L35" s="4" t="s">
        <v>194</v>
      </c>
      <c r="M35" s="2" t="s">
        <v>580</v>
      </c>
      <c r="N35" s="2" t="s">
        <v>155</v>
      </c>
      <c r="O35" s="2" t="s">
        <v>3032</v>
      </c>
      <c r="P35" s="2" t="s">
        <v>102</v>
      </c>
      <c r="Q35" s="2" t="s">
        <v>928</v>
      </c>
      <c r="S35" s="2" t="s">
        <v>157</v>
      </c>
      <c r="U35" s="151">
        <v>21628</v>
      </c>
      <c r="V35" s="158">
        <v>3.71</v>
      </c>
      <c r="W35" s="175">
        <v>1387.07</v>
      </c>
      <c r="X35" s="151">
        <v>1112.9829999999999</v>
      </c>
      <c r="Y35" s="164">
        <v>1.6096193165857801E-2</v>
      </c>
      <c r="Z35" s="164">
        <v>4.6105225693061799E-4</v>
      </c>
    </row>
    <row r="36" spans="1:26">
      <c r="A36" s="2">
        <v>424</v>
      </c>
      <c r="B36" s="2">
        <v>7228</v>
      </c>
      <c r="C36" s="2" t="s">
        <v>3033</v>
      </c>
      <c r="D36" s="2" t="s">
        <v>3034</v>
      </c>
      <c r="E36" s="4" t="s">
        <v>33</v>
      </c>
      <c r="F36" s="2" t="s">
        <v>3035</v>
      </c>
      <c r="G36" s="2" t="s">
        <v>3036</v>
      </c>
      <c r="H36" s="2" t="s">
        <v>33</v>
      </c>
      <c r="I36" s="2" t="s">
        <v>800</v>
      </c>
      <c r="J36" s="2" t="s">
        <v>30</v>
      </c>
      <c r="K36" s="2" t="s">
        <v>98</v>
      </c>
      <c r="L36" s="4" t="s">
        <v>194</v>
      </c>
      <c r="M36" s="2" t="s">
        <v>578</v>
      </c>
      <c r="N36" s="2" t="s">
        <v>155</v>
      </c>
      <c r="O36" s="2" t="s">
        <v>3037</v>
      </c>
      <c r="P36" s="2" t="s">
        <v>102</v>
      </c>
      <c r="Q36" s="2" t="s">
        <v>928</v>
      </c>
      <c r="S36" s="2" t="s">
        <v>157</v>
      </c>
      <c r="U36" s="151">
        <v>41703</v>
      </c>
      <c r="V36" s="158">
        <v>3.71</v>
      </c>
      <c r="W36" s="175">
        <v>0</v>
      </c>
      <c r="X36" s="151">
        <v>0</v>
      </c>
      <c r="Y36" s="164">
        <v>2.2375653784499904E-9</v>
      </c>
      <c r="Z36" s="164">
        <v>6.4091835698916489E-11</v>
      </c>
    </row>
    <row r="37" spans="1:26">
      <c r="A37" s="2">
        <v>424</v>
      </c>
      <c r="B37" s="2">
        <v>7228</v>
      </c>
      <c r="C37" s="2" t="s">
        <v>3038</v>
      </c>
      <c r="D37" s="2" t="s">
        <v>3039</v>
      </c>
      <c r="E37" s="4" t="s">
        <v>1342</v>
      </c>
      <c r="F37" s="2" t="s">
        <v>3038</v>
      </c>
      <c r="G37" s="2" t="s">
        <v>3040</v>
      </c>
      <c r="H37" s="2" t="s">
        <v>33</v>
      </c>
      <c r="I37" s="2" t="s">
        <v>800</v>
      </c>
      <c r="J37" s="2" t="s">
        <v>30</v>
      </c>
      <c r="K37" s="2" t="s">
        <v>98</v>
      </c>
      <c r="L37" s="4" t="s">
        <v>194</v>
      </c>
      <c r="M37" s="2" t="s">
        <v>578</v>
      </c>
      <c r="N37" s="2" t="s">
        <v>155</v>
      </c>
      <c r="O37" s="2" t="s">
        <v>3037</v>
      </c>
      <c r="P37" s="2" t="s">
        <v>102</v>
      </c>
      <c r="Q37" s="2" t="s">
        <v>928</v>
      </c>
      <c r="S37" s="2" t="s">
        <v>157</v>
      </c>
      <c r="U37" s="151">
        <v>72735</v>
      </c>
      <c r="V37" s="158">
        <v>3.71</v>
      </c>
      <c r="W37" s="175">
        <v>830.053</v>
      </c>
      <c r="X37" s="151">
        <v>2239.8710000000001</v>
      </c>
      <c r="Y37" s="164">
        <v>3.2393479351431498E-2</v>
      </c>
      <c r="Z37" s="164">
        <v>9.2786453361482998E-4</v>
      </c>
    </row>
    <row r="38" spans="1:26">
      <c r="A38" s="2">
        <v>424</v>
      </c>
      <c r="B38" s="2">
        <v>7228</v>
      </c>
      <c r="C38" s="2" t="s">
        <v>3063</v>
      </c>
      <c r="D38" s="2" t="s">
        <v>3064</v>
      </c>
      <c r="E38" s="4" t="s">
        <v>1342</v>
      </c>
      <c r="F38" s="2" t="s">
        <v>3065</v>
      </c>
      <c r="G38" s="2" t="s">
        <v>3066</v>
      </c>
      <c r="H38" s="2" t="s">
        <v>33</v>
      </c>
      <c r="I38" s="2" t="s">
        <v>800</v>
      </c>
      <c r="J38" s="2" t="s">
        <v>30</v>
      </c>
      <c r="K38" s="2" t="s">
        <v>30</v>
      </c>
      <c r="L38" s="4" t="s">
        <v>194</v>
      </c>
      <c r="M38" s="2" t="s">
        <v>519</v>
      </c>
      <c r="N38" s="2" t="s">
        <v>155</v>
      </c>
      <c r="P38" s="2" t="s">
        <v>102</v>
      </c>
      <c r="Q38" s="2" t="s">
        <v>194</v>
      </c>
      <c r="S38" s="2" t="s">
        <v>3067</v>
      </c>
      <c r="U38" s="151">
        <v>198592</v>
      </c>
      <c r="V38" s="158">
        <v>3.71</v>
      </c>
      <c r="W38" s="175">
        <v>0</v>
      </c>
      <c r="X38" s="151">
        <v>1E-3</v>
      </c>
      <c r="Y38" s="164">
        <v>9.1636530208364104E-9</v>
      </c>
      <c r="Z38" s="164">
        <v>2.62479634995145E-10</v>
      </c>
    </row>
    <row r="39" spans="1:26">
      <c r="A39" s="2">
        <v>424</v>
      </c>
      <c r="B39" s="2">
        <v>7228</v>
      </c>
      <c r="C39" s="2" t="s">
        <v>3068</v>
      </c>
      <c r="D39" s="2" t="s">
        <v>3069</v>
      </c>
      <c r="E39" s="4" t="s">
        <v>1342</v>
      </c>
      <c r="F39" s="2" t="s">
        <v>3070</v>
      </c>
      <c r="G39" s="2" t="s">
        <v>3071</v>
      </c>
      <c r="H39" s="2" t="s">
        <v>33</v>
      </c>
      <c r="I39" s="2" t="s">
        <v>800</v>
      </c>
      <c r="J39" s="2" t="s">
        <v>30</v>
      </c>
      <c r="K39" s="2" t="s">
        <v>30</v>
      </c>
      <c r="L39" s="4" t="s">
        <v>194</v>
      </c>
      <c r="M39" s="2" t="s">
        <v>506</v>
      </c>
      <c r="N39" s="2" t="s">
        <v>155</v>
      </c>
      <c r="O39" s="2" t="s">
        <v>3072</v>
      </c>
      <c r="P39" s="2" t="s">
        <v>34</v>
      </c>
      <c r="Q39" s="2" t="s">
        <v>194</v>
      </c>
      <c r="S39" s="2" t="s">
        <v>157</v>
      </c>
      <c r="U39" s="151">
        <v>200000</v>
      </c>
      <c r="V39" s="158">
        <v>1</v>
      </c>
      <c r="W39" s="175">
        <v>21.5</v>
      </c>
      <c r="X39" s="151">
        <v>43</v>
      </c>
      <c r="Y39" s="164">
        <v>6.2187483311328497E-4</v>
      </c>
      <c r="Z39" s="164">
        <v>1.7812708407562901E-5</v>
      </c>
    </row>
    <row r="40" spans="1:26">
      <c r="A40" s="2">
        <v>424</v>
      </c>
      <c r="B40" s="2">
        <v>7228</v>
      </c>
      <c r="C40" s="2" t="s">
        <v>3068</v>
      </c>
      <c r="D40" s="2" t="s">
        <v>3069</v>
      </c>
      <c r="E40" s="4" t="s">
        <v>1342</v>
      </c>
      <c r="F40" s="2" t="s">
        <v>3073</v>
      </c>
      <c r="G40" s="2" t="s">
        <v>3074</v>
      </c>
      <c r="H40" s="2" t="s">
        <v>33</v>
      </c>
      <c r="I40" s="2" t="s">
        <v>800</v>
      </c>
      <c r="J40" s="2" t="s">
        <v>30</v>
      </c>
      <c r="K40" s="2" t="s">
        <v>30</v>
      </c>
      <c r="L40" s="4" t="s">
        <v>194</v>
      </c>
      <c r="M40" s="2" t="s">
        <v>506</v>
      </c>
      <c r="N40" s="2" t="s">
        <v>155</v>
      </c>
      <c r="P40" s="2" t="s">
        <v>102</v>
      </c>
      <c r="Q40" s="2" t="s">
        <v>194</v>
      </c>
      <c r="S40" s="2" t="s">
        <v>157</v>
      </c>
      <c r="U40" s="151">
        <v>68145</v>
      </c>
      <c r="V40" s="158">
        <v>3.71</v>
      </c>
      <c r="W40" s="175">
        <v>362.46199999999999</v>
      </c>
      <c r="X40" s="151">
        <v>916.37</v>
      </c>
      <c r="Y40" s="164">
        <v>1.32527313149248E-2</v>
      </c>
      <c r="Z40" s="164">
        <v>3.79605389937897E-4</v>
      </c>
    </row>
    <row r="41" spans="1:26">
      <c r="A41" s="2">
        <v>424</v>
      </c>
      <c r="B41" s="2">
        <v>7228</v>
      </c>
      <c r="C41" s="2" t="s">
        <v>2283</v>
      </c>
      <c r="D41" s="2" t="s">
        <v>2284</v>
      </c>
      <c r="E41" s="4" t="s">
        <v>1342</v>
      </c>
      <c r="F41" s="2" t="s">
        <v>3041</v>
      </c>
      <c r="G41" s="2" t="s">
        <v>3042</v>
      </c>
      <c r="H41" s="2" t="s">
        <v>33</v>
      </c>
      <c r="I41" s="2" t="s">
        <v>800</v>
      </c>
      <c r="J41" s="2" t="s">
        <v>30</v>
      </c>
      <c r="K41" s="2" t="s">
        <v>30</v>
      </c>
      <c r="L41" s="4" t="s">
        <v>194</v>
      </c>
      <c r="M41" s="2" t="s">
        <v>512</v>
      </c>
      <c r="N41" s="2" t="s">
        <v>155</v>
      </c>
      <c r="O41" s="2" t="s">
        <v>3043</v>
      </c>
      <c r="P41" s="2" t="s">
        <v>34</v>
      </c>
      <c r="Q41" s="2" t="s">
        <v>194</v>
      </c>
      <c r="S41" s="2" t="s">
        <v>157</v>
      </c>
      <c r="U41" s="151">
        <v>688</v>
      </c>
      <c r="V41" s="158">
        <v>1</v>
      </c>
      <c r="W41" s="175">
        <v>135281.44399999999</v>
      </c>
      <c r="X41" s="151">
        <v>930.73599999999999</v>
      </c>
      <c r="Y41" s="164">
        <v>1.34605000557819E-2</v>
      </c>
      <c r="Z41" s="164">
        <v>3.85556626103164E-4</v>
      </c>
    </row>
    <row r="42" spans="1:26">
      <c r="A42" s="2">
        <v>424</v>
      </c>
      <c r="B42" s="2">
        <v>7228</v>
      </c>
      <c r="C42" s="2" t="s">
        <v>3075</v>
      </c>
      <c r="D42" s="2" t="s">
        <v>3076</v>
      </c>
      <c r="E42" s="4" t="s">
        <v>1342</v>
      </c>
      <c r="F42" s="2" t="s">
        <v>3077</v>
      </c>
      <c r="G42" s="2" t="s">
        <v>3078</v>
      </c>
      <c r="H42" s="2" t="s">
        <v>33</v>
      </c>
      <c r="I42" s="2" t="s">
        <v>800</v>
      </c>
      <c r="J42" s="2" t="s">
        <v>30</v>
      </c>
      <c r="K42" s="2" t="s">
        <v>30</v>
      </c>
      <c r="L42" s="4" t="s">
        <v>194</v>
      </c>
      <c r="M42" s="2" t="s">
        <v>480</v>
      </c>
      <c r="N42" s="2" t="s">
        <v>155</v>
      </c>
      <c r="P42" s="2" t="s">
        <v>34</v>
      </c>
      <c r="Q42" s="2" t="s">
        <v>194</v>
      </c>
      <c r="S42" s="2" t="s">
        <v>3067</v>
      </c>
      <c r="U42" s="151">
        <v>90000</v>
      </c>
      <c r="V42" s="158">
        <v>1</v>
      </c>
      <c r="W42" s="175">
        <v>0</v>
      </c>
      <c r="X42" s="151">
        <v>0</v>
      </c>
      <c r="Y42" s="164">
        <v>1.3015984879115301E-9</v>
      </c>
      <c r="Z42" s="164">
        <v>3.7282412946061895E-11</v>
      </c>
    </row>
    <row r="43" spans="1:26">
      <c r="A43" s="2">
        <v>424</v>
      </c>
      <c r="B43" s="2">
        <v>7228</v>
      </c>
      <c r="C43" s="2" t="s">
        <v>3044</v>
      </c>
      <c r="D43" s="2" t="s">
        <v>3045</v>
      </c>
      <c r="E43" s="4" t="s">
        <v>1342</v>
      </c>
      <c r="F43" s="2" t="s">
        <v>3044</v>
      </c>
      <c r="G43" s="2" t="s">
        <v>3046</v>
      </c>
      <c r="H43" s="2" t="s">
        <v>33</v>
      </c>
      <c r="I43" s="2" t="s">
        <v>800</v>
      </c>
      <c r="J43" s="2" t="s">
        <v>30</v>
      </c>
      <c r="K43" s="2" t="s">
        <v>30</v>
      </c>
      <c r="L43" s="4" t="s">
        <v>194</v>
      </c>
      <c r="M43" s="2" t="s">
        <v>477</v>
      </c>
      <c r="N43" s="2" t="s">
        <v>155</v>
      </c>
      <c r="O43" s="2" t="s">
        <v>3047</v>
      </c>
      <c r="P43" s="2" t="s">
        <v>102</v>
      </c>
      <c r="Q43" s="2" t="s">
        <v>194</v>
      </c>
      <c r="S43" s="2" t="s">
        <v>157</v>
      </c>
      <c r="U43" s="151">
        <v>256208.76</v>
      </c>
      <c r="V43" s="158">
        <v>3.71</v>
      </c>
      <c r="W43" s="175">
        <v>0</v>
      </c>
      <c r="X43" s="151">
        <v>1E-3</v>
      </c>
      <c r="Y43" s="164">
        <v>1.374682519319E-8</v>
      </c>
      <c r="Z43" s="164">
        <v>3.93757997039616E-10</v>
      </c>
    </row>
    <row r="44" spans="1:26">
      <c r="A44" s="2">
        <v>424</v>
      </c>
      <c r="B44" s="2">
        <v>7228</v>
      </c>
      <c r="C44" s="2" t="s">
        <v>3048</v>
      </c>
      <c r="D44" s="2" t="s">
        <v>3049</v>
      </c>
      <c r="E44" s="4" t="s">
        <v>33</v>
      </c>
      <c r="F44" s="2" t="s">
        <v>3050</v>
      </c>
      <c r="G44" s="2" t="s">
        <v>3051</v>
      </c>
      <c r="H44" s="2" t="s">
        <v>356</v>
      </c>
      <c r="I44" s="2" t="s">
        <v>800</v>
      </c>
      <c r="J44" s="2" t="s">
        <v>97</v>
      </c>
      <c r="K44" s="2" t="s">
        <v>334</v>
      </c>
      <c r="L44" s="4" t="s">
        <v>194</v>
      </c>
      <c r="M44" s="2" t="s">
        <v>2001</v>
      </c>
      <c r="N44" s="2" t="s">
        <v>155</v>
      </c>
      <c r="P44" s="2" t="s">
        <v>102</v>
      </c>
      <c r="Q44" s="2" t="s">
        <v>194</v>
      </c>
      <c r="S44" s="2" t="s">
        <v>3052</v>
      </c>
      <c r="U44" s="151">
        <v>118.77</v>
      </c>
      <c r="V44" s="158">
        <v>3.71</v>
      </c>
      <c r="W44" s="175">
        <v>0</v>
      </c>
      <c r="X44" s="151">
        <v>0</v>
      </c>
      <c r="Y44" s="164">
        <v>6.3725784715369496E-12</v>
      </c>
      <c r="Z44" s="164">
        <v>1.82533326762111E-13</v>
      </c>
    </row>
    <row r="45" spans="1:26">
      <c r="A45" s="2">
        <v>424</v>
      </c>
      <c r="B45" s="2">
        <v>7228</v>
      </c>
      <c r="C45" s="2" t="s">
        <v>3053</v>
      </c>
      <c r="D45" s="2" t="s">
        <v>3054</v>
      </c>
      <c r="E45" s="4" t="s">
        <v>33</v>
      </c>
      <c r="F45" s="2" t="s">
        <v>3053</v>
      </c>
      <c r="G45" s="2" t="s">
        <v>3055</v>
      </c>
      <c r="H45" s="2" t="s">
        <v>356</v>
      </c>
      <c r="I45" s="2" t="s">
        <v>800</v>
      </c>
      <c r="J45" s="2" t="s">
        <v>97</v>
      </c>
      <c r="K45" s="2" t="s">
        <v>98</v>
      </c>
      <c r="L45" s="4" t="s">
        <v>194</v>
      </c>
      <c r="M45" s="2" t="s">
        <v>2017</v>
      </c>
      <c r="N45" s="2" t="s">
        <v>155</v>
      </c>
      <c r="P45" s="2" t="s">
        <v>102</v>
      </c>
      <c r="Q45" s="2" t="s">
        <v>194</v>
      </c>
      <c r="S45" s="2" t="s">
        <v>3052</v>
      </c>
      <c r="U45" s="151">
        <v>403.95</v>
      </c>
      <c r="V45" s="158">
        <v>3.71</v>
      </c>
      <c r="W45" s="175">
        <v>0</v>
      </c>
      <c r="X45" s="151">
        <v>0</v>
      </c>
      <c r="Y45" s="164">
        <v>2.1673849234464497E-11</v>
      </c>
      <c r="Z45" s="164">
        <v>6.2081617702748702E-13</v>
      </c>
    </row>
    <row r="46" spans="1:26">
      <c r="A46" s="2">
        <v>424</v>
      </c>
      <c r="B46" s="2">
        <v>7228</v>
      </c>
      <c r="C46" s="2" t="s">
        <v>3079</v>
      </c>
      <c r="D46" s="2" t="s">
        <v>3080</v>
      </c>
      <c r="E46" s="4" t="s">
        <v>33</v>
      </c>
      <c r="F46" s="2" t="s">
        <v>3079</v>
      </c>
      <c r="G46" s="2" t="s">
        <v>3081</v>
      </c>
      <c r="H46" s="2" t="s">
        <v>356</v>
      </c>
      <c r="I46" s="2" t="s">
        <v>800</v>
      </c>
      <c r="J46" s="2" t="s">
        <v>97</v>
      </c>
      <c r="K46" s="2" t="s">
        <v>98</v>
      </c>
      <c r="L46" s="4" t="s">
        <v>194</v>
      </c>
      <c r="M46" s="2" t="s">
        <v>568</v>
      </c>
      <c r="N46" s="2" t="s">
        <v>155</v>
      </c>
      <c r="O46" s="2" t="s">
        <v>3082</v>
      </c>
      <c r="P46" s="2" t="s">
        <v>102</v>
      </c>
      <c r="Q46" s="2" t="s">
        <v>194</v>
      </c>
      <c r="S46" s="2" t="s">
        <v>157</v>
      </c>
      <c r="U46" s="151">
        <v>475</v>
      </c>
      <c r="V46" s="158">
        <v>3.71</v>
      </c>
      <c r="W46" s="175">
        <v>0</v>
      </c>
      <c r="X46" s="151">
        <v>0</v>
      </c>
      <c r="Y46" s="164">
        <v>2.5486021503578798E-11</v>
      </c>
      <c r="Z46" s="164">
        <v>7.3001035793552796E-13</v>
      </c>
    </row>
    <row r="47" spans="1:26">
      <c r="A47" s="2">
        <v>424</v>
      </c>
      <c r="B47" s="2">
        <v>7228</v>
      </c>
      <c r="C47" s="2" t="s">
        <v>3083</v>
      </c>
      <c r="D47" s="2" t="s">
        <v>3084</v>
      </c>
      <c r="E47" s="4" t="s">
        <v>1342</v>
      </c>
      <c r="F47" s="2" t="s">
        <v>3085</v>
      </c>
      <c r="G47" s="2" t="s">
        <v>3086</v>
      </c>
      <c r="H47" s="2" t="s">
        <v>356</v>
      </c>
      <c r="I47" s="2" t="s">
        <v>800</v>
      </c>
      <c r="J47" s="2" t="s">
        <v>97</v>
      </c>
      <c r="K47" s="2" t="s">
        <v>259</v>
      </c>
      <c r="L47" s="4" t="s">
        <v>194</v>
      </c>
      <c r="M47" s="2" t="s">
        <v>602</v>
      </c>
      <c r="N47" s="2" t="s">
        <v>155</v>
      </c>
      <c r="O47" s="2" t="s">
        <v>3087</v>
      </c>
      <c r="P47" s="2" t="s">
        <v>1209</v>
      </c>
      <c r="Q47" s="2" t="s">
        <v>194</v>
      </c>
      <c r="S47" s="2" t="s">
        <v>157</v>
      </c>
      <c r="U47" s="151">
        <v>30775.59</v>
      </c>
      <c r="V47" s="158">
        <v>4.1524000000000001</v>
      </c>
      <c r="W47" s="175">
        <v>0</v>
      </c>
      <c r="X47" s="151">
        <v>0</v>
      </c>
      <c r="Y47" s="164">
        <v>1.8481622528112102E-9</v>
      </c>
      <c r="Z47" s="164">
        <v>5.2937944335807394E-11</v>
      </c>
    </row>
    <row r="48" spans="1:26">
      <c r="A48" s="2">
        <v>424</v>
      </c>
      <c r="B48" s="2">
        <v>7228</v>
      </c>
      <c r="C48" s="2" t="s">
        <v>3056</v>
      </c>
      <c r="D48" s="2" t="s">
        <v>3057</v>
      </c>
      <c r="E48" s="4" t="s">
        <v>33</v>
      </c>
      <c r="F48" s="2" t="s">
        <v>3058</v>
      </c>
      <c r="G48" s="2" t="s">
        <v>3059</v>
      </c>
      <c r="H48" s="2" t="s">
        <v>33</v>
      </c>
      <c r="I48" s="2" t="s">
        <v>800</v>
      </c>
      <c r="J48" s="2" t="s">
        <v>97</v>
      </c>
      <c r="K48" s="2" t="s">
        <v>98</v>
      </c>
      <c r="L48" s="4" t="s">
        <v>194</v>
      </c>
      <c r="M48" s="2" t="s">
        <v>580</v>
      </c>
      <c r="N48" s="2" t="s">
        <v>155</v>
      </c>
      <c r="O48" s="2" t="s">
        <v>2778</v>
      </c>
      <c r="P48" s="2" t="s">
        <v>102</v>
      </c>
      <c r="Q48" s="2" t="s">
        <v>928</v>
      </c>
      <c r="S48" s="2" t="s">
        <v>157</v>
      </c>
      <c r="U48" s="151">
        <v>64043</v>
      </c>
      <c r="V48" s="158">
        <v>3.71</v>
      </c>
      <c r="W48" s="175">
        <v>444.69</v>
      </c>
      <c r="X48" s="151">
        <v>1056.5809999999999</v>
      </c>
      <c r="Y48" s="164">
        <v>1.52804965273283E-2</v>
      </c>
      <c r="Z48" s="164">
        <v>4.3768780222449302E-4</v>
      </c>
    </row>
    <row r="49" spans="1:26">
      <c r="A49" s="2">
        <v>424</v>
      </c>
      <c r="B49" s="2">
        <v>7228</v>
      </c>
      <c r="C49" s="2" t="s">
        <v>3088</v>
      </c>
      <c r="D49" s="2" t="s">
        <v>3089</v>
      </c>
      <c r="E49" s="4" t="s">
        <v>350</v>
      </c>
      <c r="F49" s="2" t="s">
        <v>3090</v>
      </c>
      <c r="G49" s="2" t="s">
        <v>3091</v>
      </c>
      <c r="H49" s="2" t="s">
        <v>356</v>
      </c>
      <c r="I49" s="2" t="s">
        <v>800</v>
      </c>
      <c r="J49" s="2" t="s">
        <v>97</v>
      </c>
      <c r="K49" s="2" t="s">
        <v>30</v>
      </c>
      <c r="L49" s="4" t="s">
        <v>194</v>
      </c>
      <c r="M49" s="2" t="s">
        <v>512</v>
      </c>
      <c r="N49" s="2" t="s">
        <v>155</v>
      </c>
      <c r="O49" s="2" t="s">
        <v>3092</v>
      </c>
      <c r="P49" s="2" t="s">
        <v>102</v>
      </c>
      <c r="Q49" s="2" t="s">
        <v>194</v>
      </c>
      <c r="S49" s="2" t="s">
        <v>157</v>
      </c>
      <c r="U49" s="151">
        <v>12</v>
      </c>
      <c r="V49" s="158">
        <v>3.71</v>
      </c>
      <c r="W49" s="175">
        <v>376</v>
      </c>
      <c r="X49" s="151">
        <v>0.16700000000000001</v>
      </c>
      <c r="Y49" s="164">
        <v>2.4209037689294201E-6</v>
      </c>
      <c r="Z49" s="164">
        <v>6.9343299684317998E-8</v>
      </c>
    </row>
    <row r="50" spans="1:26">
      <c r="A50" s="2">
        <v>424</v>
      </c>
      <c r="B50" s="2">
        <v>7228</v>
      </c>
      <c r="C50" s="2" t="s">
        <v>3083</v>
      </c>
      <c r="D50" s="2" t="s">
        <v>3084</v>
      </c>
      <c r="E50" s="4" t="s">
        <v>1342</v>
      </c>
      <c r="F50" s="2" t="s">
        <v>3093</v>
      </c>
      <c r="G50" s="2" t="s">
        <v>3094</v>
      </c>
      <c r="H50" s="2" t="s">
        <v>33</v>
      </c>
      <c r="I50" s="2" t="s">
        <v>800</v>
      </c>
      <c r="J50" s="2" t="s">
        <v>97</v>
      </c>
      <c r="K50" s="2" t="s">
        <v>30</v>
      </c>
      <c r="L50" s="4" t="s">
        <v>194</v>
      </c>
      <c r="M50" s="2" t="s">
        <v>480</v>
      </c>
      <c r="N50" s="2" t="s">
        <v>155</v>
      </c>
      <c r="O50" s="2" t="s">
        <v>3087</v>
      </c>
      <c r="P50" s="2" t="s">
        <v>1209</v>
      </c>
      <c r="Q50" s="2" t="s">
        <v>194</v>
      </c>
      <c r="S50" s="2" t="s">
        <v>157</v>
      </c>
      <c r="U50" s="151">
        <v>44698.99</v>
      </c>
      <c r="V50" s="158">
        <v>4.1524000000000001</v>
      </c>
      <c r="W50" s="175">
        <v>0</v>
      </c>
      <c r="X50" s="151">
        <v>0</v>
      </c>
      <c r="Y50" s="164">
        <v>2.6843022686741601E-9</v>
      </c>
      <c r="Z50" s="164">
        <v>7.6887970124595899E-11</v>
      </c>
    </row>
    <row r="51" spans="1:26">
      <c r="A51" s="2">
        <v>424</v>
      </c>
      <c r="B51" s="2">
        <v>7228</v>
      </c>
      <c r="C51" s="2" t="s">
        <v>3083</v>
      </c>
      <c r="D51" s="2" t="s">
        <v>3084</v>
      </c>
      <c r="E51" s="4" t="s">
        <v>1342</v>
      </c>
      <c r="F51" s="2" t="s">
        <v>3095</v>
      </c>
      <c r="G51" s="2" t="s">
        <v>3096</v>
      </c>
      <c r="H51" s="2" t="s">
        <v>33</v>
      </c>
      <c r="I51" s="2" t="s">
        <v>800</v>
      </c>
      <c r="J51" s="2" t="s">
        <v>97</v>
      </c>
      <c r="K51" s="2" t="s">
        <v>30</v>
      </c>
      <c r="L51" s="4" t="s">
        <v>194</v>
      </c>
      <c r="M51" s="2" t="s">
        <v>480</v>
      </c>
      <c r="N51" s="2" t="s">
        <v>155</v>
      </c>
      <c r="P51" s="2" t="s">
        <v>1209</v>
      </c>
      <c r="Q51" s="2" t="s">
        <v>194</v>
      </c>
      <c r="S51" s="2" t="s">
        <v>157</v>
      </c>
      <c r="U51" s="151">
        <v>150000</v>
      </c>
      <c r="V51" s="158">
        <v>4.1524000000000001</v>
      </c>
      <c r="W51" s="175">
        <v>0</v>
      </c>
      <c r="X51" s="151">
        <v>1E-3</v>
      </c>
      <c r="Y51" s="164">
        <v>9.00792926867304E-9</v>
      </c>
      <c r="Z51" s="164">
        <v>2.5801915252871201E-10</v>
      </c>
    </row>
    <row r="52" spans="1:26">
      <c r="A52" s="2">
        <v>424</v>
      </c>
      <c r="B52" s="2">
        <v>7229</v>
      </c>
      <c r="C52" s="2" t="s">
        <v>2990</v>
      </c>
      <c r="D52" s="2" t="s">
        <v>2991</v>
      </c>
      <c r="E52" s="4" t="s">
        <v>1342</v>
      </c>
      <c r="F52" s="2" t="s">
        <v>2990</v>
      </c>
      <c r="G52" s="2" t="s">
        <v>2992</v>
      </c>
      <c r="H52" s="2" t="s">
        <v>33</v>
      </c>
      <c r="I52" s="2" t="s">
        <v>800</v>
      </c>
      <c r="J52" s="2" t="s">
        <v>30</v>
      </c>
      <c r="K52" s="2" t="s">
        <v>334</v>
      </c>
      <c r="L52" s="4" t="s">
        <v>194</v>
      </c>
      <c r="M52" s="2" t="s">
        <v>580</v>
      </c>
      <c r="N52" s="2" t="s">
        <v>155</v>
      </c>
      <c r="O52" s="2" t="s">
        <v>2993</v>
      </c>
      <c r="P52" s="2" t="s">
        <v>102</v>
      </c>
      <c r="Q52" s="2" t="s">
        <v>194</v>
      </c>
      <c r="S52" s="2" t="s">
        <v>157</v>
      </c>
      <c r="U52" s="151">
        <v>194.24</v>
      </c>
      <c r="V52" s="158">
        <v>3.71</v>
      </c>
      <c r="W52" s="175">
        <v>90093.3</v>
      </c>
      <c r="X52" s="151">
        <v>649.24</v>
      </c>
      <c r="Y52" s="164">
        <v>0.18234107320326001</v>
      </c>
      <c r="Z52" s="164">
        <v>4.4569903783336102E-3</v>
      </c>
    </row>
    <row r="53" spans="1:26">
      <c r="A53" s="2">
        <v>424</v>
      </c>
      <c r="B53" s="2">
        <v>7229</v>
      </c>
      <c r="C53" s="2" t="s">
        <v>3006</v>
      </c>
      <c r="D53" s="2" t="s">
        <v>3007</v>
      </c>
      <c r="E53" s="4" t="s">
        <v>1342</v>
      </c>
      <c r="F53" s="2" t="s">
        <v>3008</v>
      </c>
      <c r="G53" s="2" t="s">
        <v>3009</v>
      </c>
      <c r="H53" s="2" t="s">
        <v>33</v>
      </c>
      <c r="I53" s="2" t="s">
        <v>800</v>
      </c>
      <c r="J53" s="2" t="s">
        <v>30</v>
      </c>
      <c r="K53" s="2" t="s">
        <v>98</v>
      </c>
      <c r="L53" s="4" t="s">
        <v>194</v>
      </c>
      <c r="M53" s="2" t="s">
        <v>481</v>
      </c>
      <c r="N53" s="2" t="s">
        <v>155</v>
      </c>
      <c r="O53" s="2" t="s">
        <v>3010</v>
      </c>
      <c r="P53" s="2" t="s">
        <v>102</v>
      </c>
      <c r="Q53" s="2" t="s">
        <v>194</v>
      </c>
      <c r="S53" s="2" t="s">
        <v>157</v>
      </c>
      <c r="U53" s="151">
        <v>204017</v>
      </c>
      <c r="V53" s="158">
        <v>3.71</v>
      </c>
      <c r="W53" s="175">
        <v>374.80799999999999</v>
      </c>
      <c r="X53" s="151">
        <v>2836.9340000000002</v>
      </c>
      <c r="Y53" s="164">
        <v>0.79676209956131105</v>
      </c>
      <c r="Z53" s="164">
        <v>1.94753762779881E-2</v>
      </c>
    </row>
    <row r="54" spans="1:26">
      <c r="A54" s="2">
        <v>424</v>
      </c>
      <c r="B54" s="2">
        <v>7229</v>
      </c>
      <c r="C54" s="2" t="s">
        <v>2283</v>
      </c>
      <c r="D54" s="2" t="s">
        <v>2284</v>
      </c>
      <c r="E54" s="4" t="s">
        <v>1342</v>
      </c>
      <c r="F54" s="2" t="s">
        <v>3041</v>
      </c>
      <c r="G54" s="2" t="s">
        <v>3042</v>
      </c>
      <c r="H54" s="2" t="s">
        <v>33</v>
      </c>
      <c r="I54" s="2" t="s">
        <v>800</v>
      </c>
      <c r="J54" s="2" t="s">
        <v>30</v>
      </c>
      <c r="K54" s="2" t="s">
        <v>30</v>
      </c>
      <c r="L54" s="4" t="s">
        <v>194</v>
      </c>
      <c r="M54" s="2" t="s">
        <v>512</v>
      </c>
      <c r="N54" s="2" t="s">
        <v>155</v>
      </c>
      <c r="O54" s="2" t="s">
        <v>3043</v>
      </c>
      <c r="P54" s="2" t="s">
        <v>34</v>
      </c>
      <c r="Q54" s="2" t="s">
        <v>194</v>
      </c>
      <c r="S54" s="2" t="s">
        <v>157</v>
      </c>
      <c r="U54" s="151">
        <v>55</v>
      </c>
      <c r="V54" s="158">
        <v>1</v>
      </c>
      <c r="W54" s="175">
        <v>135281.44399999999</v>
      </c>
      <c r="X54" s="151">
        <v>74.405000000000001</v>
      </c>
      <c r="Y54" s="164">
        <v>2.0896827235429301E-2</v>
      </c>
      <c r="Z54" s="164">
        <v>5.1078430267977103E-4</v>
      </c>
    </row>
    <row r="55" spans="1:26">
      <c r="A55" s="2">
        <v>969</v>
      </c>
      <c r="B55" s="2">
        <v>969</v>
      </c>
      <c r="C55" s="2" t="s">
        <v>3006</v>
      </c>
      <c r="D55" s="2" t="s">
        <v>3007</v>
      </c>
      <c r="E55" s="4" t="s">
        <v>1342</v>
      </c>
      <c r="F55" s="2" t="s">
        <v>3008</v>
      </c>
      <c r="G55" s="2" t="s">
        <v>3009</v>
      </c>
      <c r="H55" s="2" t="s">
        <v>33</v>
      </c>
      <c r="I55" s="2" t="s">
        <v>800</v>
      </c>
      <c r="J55" s="2" t="s">
        <v>30</v>
      </c>
      <c r="K55" s="2" t="s">
        <v>98</v>
      </c>
      <c r="L55" s="4" t="s">
        <v>194</v>
      </c>
      <c r="M55" s="2" t="s">
        <v>481</v>
      </c>
      <c r="N55" s="2" t="s">
        <v>155</v>
      </c>
      <c r="O55" s="2" t="s">
        <v>3010</v>
      </c>
      <c r="P55" s="2" t="s">
        <v>102</v>
      </c>
      <c r="Q55" s="2" t="s">
        <v>194</v>
      </c>
      <c r="S55" s="2" t="s">
        <v>157</v>
      </c>
      <c r="U55" s="151">
        <v>81607</v>
      </c>
      <c r="V55" s="158">
        <v>3.71</v>
      </c>
      <c r="W55" s="175">
        <v>374.80799999999999</v>
      </c>
      <c r="X55" s="151">
        <v>1134.7760000000001</v>
      </c>
      <c r="Y55" s="164">
        <v>0.95666188596358304</v>
      </c>
      <c r="Z55" s="164">
        <v>1.49989106505002E-2</v>
      </c>
    </row>
    <row r="56" spans="1:26">
      <c r="A56" s="2">
        <v>969</v>
      </c>
      <c r="B56" s="2">
        <v>969</v>
      </c>
      <c r="C56" s="2" t="s">
        <v>2283</v>
      </c>
      <c r="D56" s="2" t="s">
        <v>2284</v>
      </c>
      <c r="E56" s="4" t="s">
        <v>1342</v>
      </c>
      <c r="F56" s="2" t="s">
        <v>3041</v>
      </c>
      <c r="G56" s="2" t="s">
        <v>3042</v>
      </c>
      <c r="H56" s="2" t="s">
        <v>33</v>
      </c>
      <c r="I56" s="2" t="s">
        <v>800</v>
      </c>
      <c r="J56" s="2" t="s">
        <v>30</v>
      </c>
      <c r="K56" s="2" t="s">
        <v>30</v>
      </c>
      <c r="L56" s="4" t="s">
        <v>194</v>
      </c>
      <c r="M56" s="2" t="s">
        <v>512</v>
      </c>
      <c r="N56" s="2" t="s">
        <v>155</v>
      </c>
      <c r="O56" s="2" t="s">
        <v>3043</v>
      </c>
      <c r="P56" s="2" t="s">
        <v>34</v>
      </c>
      <c r="Q56" s="2" t="s">
        <v>194</v>
      </c>
      <c r="S56" s="2" t="s">
        <v>157</v>
      </c>
      <c r="U56" s="151">
        <v>38</v>
      </c>
      <c r="V56" s="158">
        <v>1</v>
      </c>
      <c r="W56" s="175">
        <v>135281.44399999999</v>
      </c>
      <c r="X56" s="151">
        <v>51.406999999999996</v>
      </c>
      <c r="Y56" s="164">
        <v>4.3338114036416998E-2</v>
      </c>
      <c r="Z56" s="164">
        <v>6.7947151415850599E-4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A1048574"/>
  <sheetViews>
    <sheetView rightToLeft="1" zoomScale="70" zoomScaleNormal="70" workbookViewId="0">
      <pane ySplit="1" topLeftCell="A2" activePane="bottomLeft" state="frozen"/>
      <selection pane="bottomLeft" activeCell="I14" sqref="I14"/>
    </sheetView>
  </sheetViews>
  <sheetFormatPr defaultColWidth="9" defaultRowHeight="14.25"/>
  <cols>
    <col min="1" max="15" width="11.625" style="2" customWidth="1"/>
    <col min="16" max="16" width="11.625" customWidth="1"/>
    <col min="17" max="26" width="11.625" style="2" customWidth="1"/>
    <col min="27" max="27" width="9" style="2" customWidth="1"/>
    <col min="28" max="16384" width="9" style="2"/>
  </cols>
  <sheetData>
    <row r="1" spans="1:27" ht="66.75" customHeight="1">
      <c r="A1" s="19" t="s">
        <v>0</v>
      </c>
      <c r="B1" s="19" t="s">
        <v>1</v>
      </c>
      <c r="C1" s="19" t="s">
        <v>227</v>
      </c>
      <c r="D1" s="19" t="s">
        <v>228</v>
      </c>
      <c r="E1" s="19" t="s">
        <v>229</v>
      </c>
      <c r="F1" s="19" t="s">
        <v>230</v>
      </c>
      <c r="G1" s="19" t="s">
        <v>231</v>
      </c>
      <c r="H1" s="19" t="s">
        <v>232</v>
      </c>
      <c r="I1" s="19" t="s">
        <v>5</v>
      </c>
      <c r="J1" s="19" t="s">
        <v>865</v>
      </c>
      <c r="K1" s="19" t="s">
        <v>6</v>
      </c>
      <c r="L1" s="19" t="s">
        <v>1161</v>
      </c>
      <c r="M1" s="19" t="s">
        <v>1162</v>
      </c>
      <c r="N1" s="19" t="s">
        <v>7</v>
      </c>
      <c r="O1" s="19" t="s">
        <v>141</v>
      </c>
      <c r="P1" s="28" t="s">
        <v>184</v>
      </c>
      <c r="Q1" s="19" t="s">
        <v>11</v>
      </c>
      <c r="R1" s="19" t="s">
        <v>177</v>
      </c>
      <c r="S1" s="19" t="s">
        <v>178</v>
      </c>
      <c r="T1" s="19" t="s">
        <v>150</v>
      </c>
      <c r="U1" s="157" t="s">
        <v>18</v>
      </c>
      <c r="V1" s="105" t="s">
        <v>2619</v>
      </c>
      <c r="W1" s="19" t="s">
        <v>20</v>
      </c>
      <c r="X1" s="163" t="s">
        <v>1164</v>
      </c>
      <c r="Y1" s="163" t="s">
        <v>24</v>
      </c>
      <c r="Z1" s="163" t="s">
        <v>25</v>
      </c>
      <c r="AA1" s="11"/>
    </row>
    <row r="2" spans="1:27">
      <c r="A2" s="20">
        <v>1182</v>
      </c>
      <c r="B2" s="20">
        <v>1182</v>
      </c>
      <c r="C2" s="20" t="s">
        <v>2620</v>
      </c>
      <c r="D2" s="20" t="s">
        <v>2621</v>
      </c>
      <c r="E2" s="20" t="s">
        <v>194</v>
      </c>
      <c r="F2" s="20" t="s">
        <v>2622</v>
      </c>
      <c r="G2" s="20">
        <v>50007566</v>
      </c>
      <c r="H2" s="20" t="s">
        <v>33</v>
      </c>
      <c r="I2" s="2" t="s">
        <v>1059</v>
      </c>
      <c r="J2" s="20" t="s">
        <v>874</v>
      </c>
      <c r="K2" s="18" t="s">
        <v>30</v>
      </c>
      <c r="L2" s="20" t="s">
        <v>30</v>
      </c>
      <c r="M2" s="20" t="s">
        <v>30</v>
      </c>
      <c r="N2" s="18" t="s">
        <v>30</v>
      </c>
      <c r="O2" s="20" t="s">
        <v>155</v>
      </c>
      <c r="P2" t="s">
        <v>2623</v>
      </c>
      <c r="Q2" s="18" t="s">
        <v>34</v>
      </c>
      <c r="R2" s="20" t="s">
        <v>926</v>
      </c>
      <c r="S2" s="20" t="s">
        <v>930</v>
      </c>
      <c r="T2" s="20" t="s">
        <v>157</v>
      </c>
      <c r="U2" s="173">
        <v>1</v>
      </c>
      <c r="V2" s="153">
        <v>1765.5419999999999</v>
      </c>
      <c r="W2" s="153">
        <v>1765.5419999999999</v>
      </c>
      <c r="X2" s="172">
        <v>9.2100000000000005E-4</v>
      </c>
      <c r="Y2" s="172">
        <v>2.3442449183799199E-2</v>
      </c>
      <c r="Z2" s="172">
        <v>4.2860068641823101E-3</v>
      </c>
    </row>
    <row r="3" spans="1:27">
      <c r="A3" s="20">
        <v>1182</v>
      </c>
      <c r="B3" s="20">
        <v>1182</v>
      </c>
      <c r="C3" s="20" t="s">
        <v>2624</v>
      </c>
      <c r="D3" s="2" t="s">
        <v>2625</v>
      </c>
      <c r="E3" s="20" t="s">
        <v>348</v>
      </c>
      <c r="F3" s="20" t="s">
        <v>2626</v>
      </c>
      <c r="G3" s="20">
        <v>62018312</v>
      </c>
      <c r="H3" s="20" t="s">
        <v>33</v>
      </c>
      <c r="I3" s="2" t="s">
        <v>1059</v>
      </c>
      <c r="J3" s="20" t="s">
        <v>603</v>
      </c>
      <c r="K3" s="18" t="s">
        <v>30</v>
      </c>
      <c r="L3" s="20" t="s">
        <v>30</v>
      </c>
      <c r="M3" s="20" t="s">
        <v>30</v>
      </c>
      <c r="N3" s="18" t="s">
        <v>30</v>
      </c>
      <c r="O3" s="20" t="s">
        <v>155</v>
      </c>
      <c r="P3" t="s">
        <v>2627</v>
      </c>
      <c r="Q3" s="18" t="s">
        <v>102</v>
      </c>
      <c r="R3" s="20" t="s">
        <v>926</v>
      </c>
      <c r="S3" s="20" t="s">
        <v>930</v>
      </c>
      <c r="T3" s="26" t="s">
        <v>157</v>
      </c>
      <c r="U3" s="173">
        <v>3.71</v>
      </c>
      <c r="V3" s="153">
        <v>221.23500000000001</v>
      </c>
      <c r="W3" s="153">
        <v>820.78099999999995</v>
      </c>
      <c r="X3" s="179">
        <v>1.5200000000000001E-4</v>
      </c>
      <c r="Y3" s="172">
        <v>1.08981359878744E-2</v>
      </c>
      <c r="Z3" s="172">
        <v>1.99251730416899E-3</v>
      </c>
    </row>
    <row r="4" spans="1:27">
      <c r="A4" s="20">
        <v>1182</v>
      </c>
      <c r="B4" s="20">
        <v>1182</v>
      </c>
      <c r="C4" s="20" t="s">
        <v>2628</v>
      </c>
      <c r="D4" s="2" t="s">
        <v>2629</v>
      </c>
      <c r="E4" s="20" t="s">
        <v>33</v>
      </c>
      <c r="F4" s="20" t="s">
        <v>2630</v>
      </c>
      <c r="G4" s="20">
        <v>60390093</v>
      </c>
      <c r="H4" s="20" t="s">
        <v>33</v>
      </c>
      <c r="I4" s="2" t="s">
        <v>1059</v>
      </c>
      <c r="J4" s="20" t="s">
        <v>867</v>
      </c>
      <c r="K4" s="18" t="s">
        <v>97</v>
      </c>
      <c r="L4" s="20" t="s">
        <v>256</v>
      </c>
      <c r="M4" s="20" t="s">
        <v>30</v>
      </c>
      <c r="N4" s="18" t="s">
        <v>30</v>
      </c>
      <c r="O4" s="20" t="s">
        <v>155</v>
      </c>
      <c r="P4" t="s">
        <v>2631</v>
      </c>
      <c r="Q4" s="18" t="s">
        <v>102</v>
      </c>
      <c r="R4" s="20" t="s">
        <v>926</v>
      </c>
      <c r="S4" s="20" t="s">
        <v>930</v>
      </c>
      <c r="T4" s="20" t="s">
        <v>157</v>
      </c>
      <c r="U4" s="173">
        <v>3.71</v>
      </c>
      <c r="V4" s="153">
        <v>66.533000000000001</v>
      </c>
      <c r="W4" s="153">
        <v>246.83699999999999</v>
      </c>
      <c r="X4" s="179">
        <v>1.6670000000000001E-3</v>
      </c>
      <c r="Y4" s="172">
        <v>3.2774393230704502E-3</v>
      </c>
      <c r="Z4" s="172">
        <v>5.9921757003652805E-4</v>
      </c>
    </row>
    <row r="5" spans="1:27">
      <c r="A5" s="20">
        <v>1182</v>
      </c>
      <c r="B5" s="20">
        <v>1182</v>
      </c>
      <c r="C5" s="20" t="s">
        <v>2628</v>
      </c>
      <c r="D5" s="2" t="s">
        <v>2629</v>
      </c>
      <c r="E5" s="20" t="s">
        <v>33</v>
      </c>
      <c r="F5" s="20" t="s">
        <v>2632</v>
      </c>
      <c r="G5" s="20">
        <v>62019724</v>
      </c>
      <c r="H5" s="20" t="s">
        <v>33</v>
      </c>
      <c r="I5" s="2" t="s">
        <v>1059</v>
      </c>
      <c r="J5" s="20" t="s">
        <v>867</v>
      </c>
      <c r="K5" s="18" t="s">
        <v>97</v>
      </c>
      <c r="L5" s="20" t="s">
        <v>256</v>
      </c>
      <c r="M5" s="20" t="s">
        <v>30</v>
      </c>
      <c r="N5" s="18" t="s">
        <v>30</v>
      </c>
      <c r="O5" s="20" t="s">
        <v>155</v>
      </c>
      <c r="P5" t="s">
        <v>2633</v>
      </c>
      <c r="Q5" s="18" t="s">
        <v>102</v>
      </c>
      <c r="R5" s="20" t="s">
        <v>926</v>
      </c>
      <c r="S5" s="20" t="s">
        <v>930</v>
      </c>
      <c r="T5" s="20" t="s">
        <v>157</v>
      </c>
      <c r="U5" s="173">
        <v>3.71</v>
      </c>
      <c r="V5" s="153">
        <v>67.923000000000002</v>
      </c>
      <c r="W5" s="153">
        <v>251.99299999999999</v>
      </c>
      <c r="X5" s="179">
        <v>0</v>
      </c>
      <c r="Y5" s="172">
        <v>3.3459064988865198E-3</v>
      </c>
      <c r="Z5" s="172">
        <v>6.1173549353582199E-4</v>
      </c>
    </row>
    <row r="6" spans="1:27">
      <c r="A6" s="20">
        <v>1182</v>
      </c>
      <c r="B6" s="20">
        <v>1182</v>
      </c>
      <c r="C6" s="20" t="s">
        <v>2628</v>
      </c>
      <c r="D6" s="2" t="s">
        <v>2629</v>
      </c>
      <c r="E6" s="20" t="s">
        <v>33</v>
      </c>
      <c r="F6" s="20" t="s">
        <v>2634</v>
      </c>
      <c r="G6" s="20">
        <v>62000563</v>
      </c>
      <c r="H6" s="20" t="s">
        <v>33</v>
      </c>
      <c r="I6" s="2" t="s">
        <v>1059</v>
      </c>
      <c r="J6" s="20" t="s">
        <v>867</v>
      </c>
      <c r="K6" s="18" t="s">
        <v>97</v>
      </c>
      <c r="L6" s="20" t="s">
        <v>256</v>
      </c>
      <c r="M6" s="20" t="s">
        <v>30</v>
      </c>
      <c r="N6" s="18" t="s">
        <v>30</v>
      </c>
      <c r="O6" s="20" t="s">
        <v>155</v>
      </c>
      <c r="P6" t="s">
        <v>2635</v>
      </c>
      <c r="Q6" s="18" t="s">
        <v>102</v>
      </c>
      <c r="R6" s="20" t="s">
        <v>926</v>
      </c>
      <c r="S6" s="20" t="s">
        <v>930</v>
      </c>
      <c r="T6" s="20" t="s">
        <v>157</v>
      </c>
      <c r="U6" s="173">
        <v>3.71</v>
      </c>
      <c r="V6" s="153">
        <v>66.323999999999998</v>
      </c>
      <c r="W6" s="153">
        <v>246.06200000000001</v>
      </c>
      <c r="X6" s="172">
        <v>1.222E-3</v>
      </c>
      <c r="Y6" s="172">
        <v>3.2671518331095399E-3</v>
      </c>
      <c r="Z6" s="172">
        <v>5.9733669776751105E-4</v>
      </c>
    </row>
    <row r="7" spans="1:27">
      <c r="A7" s="20">
        <v>1182</v>
      </c>
      <c r="B7" s="20">
        <v>1182</v>
      </c>
      <c r="C7" s="20" t="s">
        <v>2636</v>
      </c>
      <c r="D7" s="2" t="s">
        <v>2637</v>
      </c>
      <c r="E7" s="20" t="s">
        <v>33</v>
      </c>
      <c r="F7" s="20" t="s">
        <v>2638</v>
      </c>
      <c r="G7" s="20">
        <v>77419109</v>
      </c>
      <c r="H7" s="20" t="s">
        <v>33</v>
      </c>
      <c r="I7" s="2" t="s">
        <v>1061</v>
      </c>
      <c r="J7" s="20" t="s">
        <v>603</v>
      </c>
      <c r="K7" s="18" t="s">
        <v>30</v>
      </c>
      <c r="L7" s="20" t="s">
        <v>256</v>
      </c>
      <c r="M7" s="20" t="s">
        <v>30</v>
      </c>
      <c r="N7" s="18" t="s">
        <v>30</v>
      </c>
      <c r="O7" s="20" t="s">
        <v>155</v>
      </c>
      <c r="P7" t="s">
        <v>2639</v>
      </c>
      <c r="Q7" s="18" t="s">
        <v>102</v>
      </c>
      <c r="R7" s="20" t="s">
        <v>194</v>
      </c>
      <c r="S7" s="20" t="s">
        <v>930</v>
      </c>
      <c r="T7" s="20" t="s">
        <v>157</v>
      </c>
      <c r="U7" s="173">
        <v>3.71</v>
      </c>
      <c r="V7" s="153">
        <v>446.86099999999999</v>
      </c>
      <c r="W7" s="153">
        <v>1657.856</v>
      </c>
      <c r="X7" s="172">
        <v>0</v>
      </c>
      <c r="Y7" s="172">
        <v>2.2012616331285501E-2</v>
      </c>
      <c r="Z7" s="172">
        <v>4.0245890672422902E-3</v>
      </c>
    </row>
    <row r="8" spans="1:27">
      <c r="A8" s="20">
        <v>1182</v>
      </c>
      <c r="B8" s="20">
        <v>1182</v>
      </c>
      <c r="C8" s="20" t="s">
        <v>2640</v>
      </c>
      <c r="D8" s="2" t="s">
        <v>2641</v>
      </c>
      <c r="E8" s="20" t="s">
        <v>349</v>
      </c>
      <c r="F8" s="20" t="s">
        <v>2642</v>
      </c>
      <c r="G8" s="20">
        <v>60415775</v>
      </c>
      <c r="H8" s="20" t="s">
        <v>33</v>
      </c>
      <c r="I8" s="2" t="s">
        <v>1059</v>
      </c>
      <c r="J8" s="20" t="s">
        <v>872</v>
      </c>
      <c r="K8" s="18" t="s">
        <v>97</v>
      </c>
      <c r="L8" s="20" t="s">
        <v>256</v>
      </c>
      <c r="M8" s="20" t="s">
        <v>30</v>
      </c>
      <c r="N8" s="18" t="s">
        <v>30</v>
      </c>
      <c r="O8" s="20" t="s">
        <v>155</v>
      </c>
      <c r="P8" t="s">
        <v>2643</v>
      </c>
      <c r="Q8" s="18" t="s">
        <v>102</v>
      </c>
      <c r="R8" s="20" t="s">
        <v>926</v>
      </c>
      <c r="S8" s="20" t="s">
        <v>930</v>
      </c>
      <c r="T8" s="20" t="s">
        <v>157</v>
      </c>
      <c r="U8" s="173">
        <v>3.71</v>
      </c>
      <c r="V8" s="153">
        <v>94.447999999999993</v>
      </c>
      <c r="W8" s="153">
        <v>350.40300000000002</v>
      </c>
      <c r="X8" s="172">
        <v>5.0000000000000001E-4</v>
      </c>
      <c r="Y8" s="172">
        <v>4.6525660226718604E-3</v>
      </c>
      <c r="Z8" s="172">
        <v>8.5063338531256804E-4</v>
      </c>
    </row>
    <row r="9" spans="1:27">
      <c r="A9" s="20">
        <v>1182</v>
      </c>
      <c r="B9" s="20">
        <v>1182</v>
      </c>
      <c r="C9" s="20" t="s">
        <v>2644</v>
      </c>
      <c r="D9" s="2" t="s">
        <v>2645</v>
      </c>
      <c r="E9" s="20" t="s">
        <v>33</v>
      </c>
      <c r="F9" s="20" t="s">
        <v>2646</v>
      </c>
      <c r="G9" s="20">
        <v>62017538</v>
      </c>
      <c r="H9" s="20" t="s">
        <v>33</v>
      </c>
      <c r="I9" s="2" t="s">
        <v>1059</v>
      </c>
      <c r="J9" s="20" t="s">
        <v>872</v>
      </c>
      <c r="K9" s="18" t="s">
        <v>30</v>
      </c>
      <c r="L9" s="20" t="s">
        <v>30</v>
      </c>
      <c r="M9" s="20" t="s">
        <v>30</v>
      </c>
      <c r="N9" s="18" t="s">
        <v>30</v>
      </c>
      <c r="O9" s="20" t="s">
        <v>155</v>
      </c>
      <c r="P9" t="s">
        <v>2647</v>
      </c>
      <c r="Q9" s="18" t="s">
        <v>102</v>
      </c>
      <c r="R9" s="20" t="s">
        <v>194</v>
      </c>
      <c r="S9" s="20" t="s">
        <v>930</v>
      </c>
      <c r="T9" s="20" t="s">
        <v>157</v>
      </c>
      <c r="U9" s="173">
        <v>3.71</v>
      </c>
      <c r="V9" s="153">
        <v>397.70699999999999</v>
      </c>
      <c r="W9" s="153">
        <v>1475.492</v>
      </c>
      <c r="X9" s="172">
        <v>1.66E-3</v>
      </c>
      <c r="Y9" s="172">
        <v>1.9591236997894002E-2</v>
      </c>
      <c r="Z9" s="172">
        <v>3.5818858171536802E-3</v>
      </c>
    </row>
    <row r="10" spans="1:27">
      <c r="A10" s="20">
        <v>1182</v>
      </c>
      <c r="B10" s="20">
        <v>1182</v>
      </c>
      <c r="C10" s="20" t="s">
        <v>2648</v>
      </c>
      <c r="D10" s="2" t="s">
        <v>2649</v>
      </c>
      <c r="E10" s="20" t="s">
        <v>33</v>
      </c>
      <c r="F10" s="20" t="s">
        <v>2650</v>
      </c>
      <c r="G10" s="20">
        <v>62001189</v>
      </c>
      <c r="H10" s="20" t="s">
        <v>33</v>
      </c>
      <c r="I10" s="2" t="s">
        <v>1059</v>
      </c>
      <c r="J10" s="20" t="s">
        <v>887</v>
      </c>
      <c r="K10" s="18" t="s">
        <v>30</v>
      </c>
      <c r="L10" s="20" t="s">
        <v>256</v>
      </c>
      <c r="M10" s="20" t="s">
        <v>30</v>
      </c>
      <c r="N10" s="18" t="s">
        <v>30</v>
      </c>
      <c r="O10" s="20" t="s">
        <v>155</v>
      </c>
      <c r="P10" t="s">
        <v>2651</v>
      </c>
      <c r="Q10" s="18" t="s">
        <v>102</v>
      </c>
      <c r="R10" s="20" t="s">
        <v>926</v>
      </c>
      <c r="S10" s="20" t="s">
        <v>930</v>
      </c>
      <c r="T10" s="20" t="s">
        <v>157</v>
      </c>
      <c r="U10" s="173">
        <v>3.71</v>
      </c>
      <c r="V10" s="153">
        <v>136.70599999999999</v>
      </c>
      <c r="W10" s="153">
        <v>507.18</v>
      </c>
      <c r="X10" s="172">
        <v>1.403E-3</v>
      </c>
      <c r="Y10" s="172">
        <v>6.7342146177866904E-3</v>
      </c>
      <c r="Z10" s="172">
        <v>1.23122331845161E-3</v>
      </c>
    </row>
    <row r="11" spans="1:27">
      <c r="A11" s="20">
        <v>1182</v>
      </c>
      <c r="B11" s="20">
        <v>1182</v>
      </c>
      <c r="C11" s="20" t="s">
        <v>2652</v>
      </c>
      <c r="D11" s="2" t="s">
        <v>2653</v>
      </c>
      <c r="E11" s="20" t="s">
        <v>33</v>
      </c>
      <c r="F11" s="20" t="s">
        <v>2652</v>
      </c>
      <c r="G11" s="20">
        <v>60401809</v>
      </c>
      <c r="H11" s="20" t="s">
        <v>33</v>
      </c>
      <c r="I11" s="2" t="s">
        <v>1059</v>
      </c>
      <c r="J11" s="20" t="s">
        <v>885</v>
      </c>
      <c r="K11" s="18" t="s">
        <v>97</v>
      </c>
      <c r="L11" s="20" t="s">
        <v>256</v>
      </c>
      <c r="M11" s="20" t="s">
        <v>30</v>
      </c>
      <c r="N11" s="18" t="s">
        <v>98</v>
      </c>
      <c r="O11" s="20" t="s">
        <v>155</v>
      </c>
      <c r="P11" t="s">
        <v>2654</v>
      </c>
      <c r="Q11" s="18" t="s">
        <v>102</v>
      </c>
      <c r="R11" s="20" t="s">
        <v>926</v>
      </c>
      <c r="S11" s="20" t="s">
        <v>930</v>
      </c>
      <c r="T11" s="20" t="s">
        <v>157</v>
      </c>
      <c r="U11" s="173">
        <v>3.71</v>
      </c>
      <c r="V11" s="153">
        <v>199.54400000000001</v>
      </c>
      <c r="W11" s="153">
        <v>740.30899999999997</v>
      </c>
      <c r="X11" s="172">
        <v>9.8999999999999999E-4</v>
      </c>
      <c r="Y11" s="172">
        <v>9.8296481483646E-3</v>
      </c>
      <c r="Z11" s="172">
        <v>1.7971645840445299E-3</v>
      </c>
    </row>
    <row r="12" spans="1:27">
      <c r="A12" s="20">
        <v>1182</v>
      </c>
      <c r="B12" s="20">
        <v>1182</v>
      </c>
      <c r="C12" s="20" t="s">
        <v>2655</v>
      </c>
      <c r="D12" s="2" t="s">
        <v>2656</v>
      </c>
      <c r="E12" s="20" t="s">
        <v>349</v>
      </c>
      <c r="F12" s="20" t="s">
        <v>2657</v>
      </c>
      <c r="G12" s="20">
        <v>50000983</v>
      </c>
      <c r="H12" s="20" t="s">
        <v>33</v>
      </c>
      <c r="I12" s="2" t="s">
        <v>1059</v>
      </c>
      <c r="J12" s="20" t="s">
        <v>879</v>
      </c>
      <c r="K12" s="18" t="s">
        <v>97</v>
      </c>
      <c r="L12" s="20" t="s">
        <v>256</v>
      </c>
      <c r="M12" s="20" t="s">
        <v>30</v>
      </c>
      <c r="N12" s="18" t="s">
        <v>334</v>
      </c>
      <c r="O12" s="20" t="s">
        <v>155</v>
      </c>
      <c r="P12" t="s">
        <v>2658</v>
      </c>
      <c r="Q12" s="18" t="s">
        <v>34</v>
      </c>
      <c r="R12" s="20" t="s">
        <v>926</v>
      </c>
      <c r="S12" s="20" t="s">
        <v>930</v>
      </c>
      <c r="T12" s="20" t="s">
        <v>157</v>
      </c>
      <c r="U12" s="173">
        <v>1</v>
      </c>
      <c r="V12" s="153">
        <v>632.55600000000004</v>
      </c>
      <c r="W12" s="153">
        <v>632.55600000000004</v>
      </c>
      <c r="X12" s="172">
        <v>3.6499999999999998E-4</v>
      </c>
      <c r="Y12" s="172">
        <v>8.3989309633617695E-3</v>
      </c>
      <c r="Z12" s="172">
        <v>1.5355851036946901E-3</v>
      </c>
    </row>
    <row r="13" spans="1:27">
      <c r="A13" s="20">
        <v>1182</v>
      </c>
      <c r="B13" s="20">
        <v>1182</v>
      </c>
      <c r="C13" s="20" t="s">
        <v>2655</v>
      </c>
      <c r="D13" s="2" t="s">
        <v>2656</v>
      </c>
      <c r="E13" s="20" t="s">
        <v>349</v>
      </c>
      <c r="F13" s="20" t="s">
        <v>2659</v>
      </c>
      <c r="G13" s="20">
        <v>50007897</v>
      </c>
      <c r="H13" s="20" t="s">
        <v>33</v>
      </c>
      <c r="I13" s="2" t="s">
        <v>1059</v>
      </c>
      <c r="J13" s="20" t="s">
        <v>879</v>
      </c>
      <c r="K13" s="18" t="s">
        <v>97</v>
      </c>
      <c r="L13" s="20" t="s">
        <v>256</v>
      </c>
      <c r="M13" s="20" t="s">
        <v>30</v>
      </c>
      <c r="N13" s="18" t="s">
        <v>334</v>
      </c>
      <c r="O13" s="20" t="s">
        <v>155</v>
      </c>
      <c r="P13" t="s">
        <v>2660</v>
      </c>
      <c r="Q13" s="18" t="s">
        <v>34</v>
      </c>
      <c r="R13" s="20" t="s">
        <v>194</v>
      </c>
      <c r="S13" s="20" t="s">
        <v>930</v>
      </c>
      <c r="T13" s="20" t="s">
        <v>157</v>
      </c>
      <c r="U13" s="173">
        <v>1</v>
      </c>
      <c r="V13" s="153">
        <v>391.34800000000001</v>
      </c>
      <c r="W13" s="153">
        <v>391.34800000000001</v>
      </c>
      <c r="X13" s="172">
        <v>1.03E-4</v>
      </c>
      <c r="Y13" s="172">
        <v>5.19623228082802E-3</v>
      </c>
      <c r="Z13" s="172">
        <v>9.5003244110286405E-4</v>
      </c>
    </row>
    <row r="14" spans="1:27">
      <c r="A14" s="20">
        <v>1182</v>
      </c>
      <c r="B14" s="20">
        <v>1182</v>
      </c>
      <c r="C14" s="20" t="s">
        <v>2628</v>
      </c>
      <c r="D14" s="2" t="s">
        <v>2629</v>
      </c>
      <c r="E14" s="20" t="s">
        <v>33</v>
      </c>
      <c r="F14" s="20" t="s">
        <v>2661</v>
      </c>
      <c r="G14" s="20">
        <v>62013347</v>
      </c>
      <c r="H14" s="20" t="s">
        <v>33</v>
      </c>
      <c r="I14" s="2" t="s">
        <v>1059</v>
      </c>
      <c r="J14" s="20" t="s">
        <v>867</v>
      </c>
      <c r="K14" s="18" t="s">
        <v>97</v>
      </c>
      <c r="L14" s="20" t="s">
        <v>256</v>
      </c>
      <c r="M14" s="20" t="s">
        <v>30</v>
      </c>
      <c r="N14" s="18" t="s">
        <v>30</v>
      </c>
      <c r="O14" s="20" t="s">
        <v>155</v>
      </c>
      <c r="P14" t="s">
        <v>2662</v>
      </c>
      <c r="Q14" s="18" t="s">
        <v>102</v>
      </c>
      <c r="R14" s="20" t="s">
        <v>926</v>
      </c>
      <c r="S14" s="20" t="s">
        <v>930</v>
      </c>
      <c r="T14" s="20" t="s">
        <v>157</v>
      </c>
      <c r="U14" s="173">
        <v>3.71</v>
      </c>
      <c r="V14" s="153">
        <v>129.77500000000001</v>
      </c>
      <c r="W14" s="153">
        <v>481.464</v>
      </c>
      <c r="X14" s="172">
        <v>9.7439999999999992E-3</v>
      </c>
      <c r="Y14" s="172">
        <v>6.3927641081063203E-3</v>
      </c>
      <c r="Z14" s="172">
        <v>1.16879557394444E-3</v>
      </c>
    </row>
    <row r="15" spans="1:27">
      <c r="A15" s="20">
        <v>1182</v>
      </c>
      <c r="B15" s="20">
        <v>1182</v>
      </c>
      <c r="C15" s="20" t="s">
        <v>2663</v>
      </c>
      <c r="D15" s="2" t="s">
        <v>2664</v>
      </c>
      <c r="E15" s="20" t="s">
        <v>347</v>
      </c>
      <c r="F15" s="20" t="s">
        <v>2665</v>
      </c>
      <c r="G15" s="20">
        <v>60364742</v>
      </c>
      <c r="H15" s="20" t="s">
        <v>33</v>
      </c>
      <c r="I15" s="2" t="s">
        <v>1059</v>
      </c>
      <c r="J15" s="20" t="s">
        <v>885</v>
      </c>
      <c r="K15" s="18" t="s">
        <v>30</v>
      </c>
      <c r="L15" s="20" t="s">
        <v>256</v>
      </c>
      <c r="M15" s="20" t="s">
        <v>30</v>
      </c>
      <c r="N15" s="18" t="s">
        <v>30</v>
      </c>
      <c r="O15" s="20" t="s">
        <v>155</v>
      </c>
      <c r="P15" t="s">
        <v>2666</v>
      </c>
      <c r="Q15" s="18" t="s">
        <v>102</v>
      </c>
      <c r="R15" s="20" t="s">
        <v>926</v>
      </c>
      <c r="S15" s="20" t="s">
        <v>930</v>
      </c>
      <c r="T15" s="20" t="s">
        <v>157</v>
      </c>
      <c r="U15" s="173">
        <v>3.71</v>
      </c>
      <c r="V15" s="153">
        <v>107.434</v>
      </c>
      <c r="W15" s="153">
        <v>398.58100000000002</v>
      </c>
      <c r="X15" s="172">
        <v>2.2729999999999998E-3</v>
      </c>
      <c r="Y15" s="172">
        <v>5.2922629398223899E-3</v>
      </c>
      <c r="Z15" s="172">
        <v>9.6758982430948898E-4</v>
      </c>
    </row>
    <row r="16" spans="1:27">
      <c r="A16" s="20">
        <v>1182</v>
      </c>
      <c r="B16" s="20">
        <v>1182</v>
      </c>
      <c r="C16" s="20" t="s">
        <v>2663</v>
      </c>
      <c r="D16" s="2" t="s">
        <v>2664</v>
      </c>
      <c r="E16" s="20" t="s">
        <v>347</v>
      </c>
      <c r="F16" s="20" t="s">
        <v>2667</v>
      </c>
      <c r="G16" s="20">
        <v>62002785</v>
      </c>
      <c r="H16" s="20" t="s">
        <v>33</v>
      </c>
      <c r="I16" s="2" t="s">
        <v>1059</v>
      </c>
      <c r="J16" s="20" t="s">
        <v>885</v>
      </c>
      <c r="K16" s="18" t="s">
        <v>30</v>
      </c>
      <c r="L16" s="20" t="s">
        <v>256</v>
      </c>
      <c r="M16" s="20" t="s">
        <v>30</v>
      </c>
      <c r="N16" s="18" t="s">
        <v>30</v>
      </c>
      <c r="O16" s="20" t="s">
        <v>155</v>
      </c>
      <c r="P16" t="s">
        <v>2668</v>
      </c>
      <c r="Q16" s="18" t="s">
        <v>102</v>
      </c>
      <c r="R16" s="20" t="s">
        <v>926</v>
      </c>
      <c r="S16" s="20" t="s">
        <v>930</v>
      </c>
      <c r="T16" s="20" t="s">
        <v>157</v>
      </c>
      <c r="U16" s="173">
        <v>3.71</v>
      </c>
      <c r="V16" s="153">
        <v>104.01300000000001</v>
      </c>
      <c r="W16" s="153">
        <v>385.887</v>
      </c>
      <c r="X16" s="172">
        <v>8.1300000000000003E-4</v>
      </c>
      <c r="Y16" s="172">
        <v>5.1237213733635904E-3</v>
      </c>
      <c r="Z16" s="172">
        <v>9.3677519802710897E-4</v>
      </c>
    </row>
    <row r="17" spans="1:26">
      <c r="A17" s="20">
        <v>1182</v>
      </c>
      <c r="B17" s="20">
        <v>1182</v>
      </c>
      <c r="C17" s="20" t="s">
        <v>2663</v>
      </c>
      <c r="D17" s="2" t="s">
        <v>2664</v>
      </c>
      <c r="E17" s="20" t="s">
        <v>347</v>
      </c>
      <c r="F17" s="20" t="s">
        <v>2669</v>
      </c>
      <c r="G17" s="20">
        <v>62017827</v>
      </c>
      <c r="H17" s="20" t="s">
        <v>33</v>
      </c>
      <c r="I17" s="2" t="s">
        <v>1059</v>
      </c>
      <c r="J17" s="20" t="s">
        <v>885</v>
      </c>
      <c r="K17" s="18" t="s">
        <v>30</v>
      </c>
      <c r="L17" s="20" t="s">
        <v>256</v>
      </c>
      <c r="M17" s="20" t="s">
        <v>30</v>
      </c>
      <c r="N17" s="18" t="s">
        <v>30</v>
      </c>
      <c r="O17" s="20" t="s">
        <v>155</v>
      </c>
      <c r="P17" t="s">
        <v>2670</v>
      </c>
      <c r="Q17" s="18" t="s">
        <v>102</v>
      </c>
      <c r="R17" s="20" t="s">
        <v>926</v>
      </c>
      <c r="S17" s="20" t="s">
        <v>930</v>
      </c>
      <c r="T17" s="20" t="s">
        <v>157</v>
      </c>
      <c r="U17" s="173">
        <v>3.71</v>
      </c>
      <c r="V17" s="153">
        <v>39.65</v>
      </c>
      <c r="W17" s="153">
        <v>147.101</v>
      </c>
      <c r="X17" s="172">
        <v>2.04E-4</v>
      </c>
      <c r="Y17" s="172">
        <v>1.9531766639026798E-3</v>
      </c>
      <c r="Z17" s="172">
        <v>3.5710127908618398E-4</v>
      </c>
    </row>
    <row r="18" spans="1:26">
      <c r="A18" s="20">
        <v>1182</v>
      </c>
      <c r="B18" s="20">
        <v>1182</v>
      </c>
      <c r="C18" s="20" t="s">
        <v>2663</v>
      </c>
      <c r="D18" s="2" t="s">
        <v>2664</v>
      </c>
      <c r="E18" s="20" t="s">
        <v>347</v>
      </c>
      <c r="F18" s="20" t="s">
        <v>2671</v>
      </c>
      <c r="G18" s="20">
        <v>62018247</v>
      </c>
      <c r="H18" s="20" t="s">
        <v>33</v>
      </c>
      <c r="I18" s="2" t="s">
        <v>1059</v>
      </c>
      <c r="J18" s="20" t="s">
        <v>885</v>
      </c>
      <c r="K18" s="18" t="s">
        <v>30</v>
      </c>
      <c r="L18" s="20" t="s">
        <v>256</v>
      </c>
      <c r="M18" s="20" t="s">
        <v>30</v>
      </c>
      <c r="N18" s="18" t="s">
        <v>30</v>
      </c>
      <c r="O18" s="20" t="s">
        <v>155</v>
      </c>
      <c r="P18" t="s">
        <v>2672</v>
      </c>
      <c r="Q18" s="18" t="s">
        <v>102</v>
      </c>
      <c r="R18" s="20" t="s">
        <v>926</v>
      </c>
      <c r="S18" s="20" t="s">
        <v>930</v>
      </c>
      <c r="T18" s="20" t="s">
        <v>157</v>
      </c>
      <c r="U18" s="173">
        <v>3.71</v>
      </c>
      <c r="V18" s="153">
        <v>166.02699999999999</v>
      </c>
      <c r="W18" s="153">
        <v>615.96100000000001</v>
      </c>
      <c r="X18" s="172">
        <v>1.2329999999999999E-3</v>
      </c>
      <c r="Y18" s="172">
        <v>8.1785807501401197E-3</v>
      </c>
      <c r="Z18" s="172">
        <v>1.49529824974921E-3</v>
      </c>
    </row>
    <row r="19" spans="1:26">
      <c r="A19" s="20">
        <v>1182</v>
      </c>
      <c r="B19" s="20">
        <v>1182</v>
      </c>
      <c r="C19" s="20" t="s">
        <v>2673</v>
      </c>
      <c r="D19" s="2" t="s">
        <v>2674</v>
      </c>
      <c r="E19" s="20" t="s">
        <v>33</v>
      </c>
      <c r="F19" s="20" t="s">
        <v>2675</v>
      </c>
      <c r="G19" s="20">
        <v>62013487</v>
      </c>
      <c r="H19" s="20" t="s">
        <v>33</v>
      </c>
      <c r="I19" s="2" t="s">
        <v>1059</v>
      </c>
      <c r="J19" s="20" t="s">
        <v>867</v>
      </c>
      <c r="K19" s="18" t="s">
        <v>30</v>
      </c>
      <c r="L19" s="20" t="s">
        <v>30</v>
      </c>
      <c r="M19" s="20" t="s">
        <v>30</v>
      </c>
      <c r="N19" s="18" t="s">
        <v>30</v>
      </c>
      <c r="O19" s="20" t="s">
        <v>155</v>
      </c>
      <c r="P19" t="s">
        <v>2676</v>
      </c>
      <c r="Q19" s="18" t="s">
        <v>102</v>
      </c>
      <c r="R19" s="20" t="s">
        <v>926</v>
      </c>
      <c r="S19" s="20" t="s">
        <v>930</v>
      </c>
      <c r="T19" s="20" t="s">
        <v>157</v>
      </c>
      <c r="U19" s="173">
        <v>3.71</v>
      </c>
      <c r="V19" s="153">
        <v>58.591999999999999</v>
      </c>
      <c r="W19" s="153">
        <v>217.37799999999999</v>
      </c>
      <c r="X19" s="172">
        <v>8.8889999999999993E-3</v>
      </c>
      <c r="Y19" s="172">
        <v>2.88629120964506E-3</v>
      </c>
      <c r="Z19" s="172">
        <v>5.2770356201164396E-4</v>
      </c>
    </row>
    <row r="20" spans="1:26">
      <c r="A20" s="2">
        <v>1182</v>
      </c>
      <c r="B20" s="2">
        <v>1182</v>
      </c>
      <c r="C20" s="2" t="s">
        <v>2677</v>
      </c>
      <c r="D20" s="2" t="s">
        <v>2678</v>
      </c>
      <c r="E20" s="20" t="s">
        <v>33</v>
      </c>
      <c r="F20" s="2" t="s">
        <v>2679</v>
      </c>
      <c r="G20" s="2">
        <v>62017694</v>
      </c>
      <c r="H20" s="20" t="s">
        <v>33</v>
      </c>
      <c r="I20" s="2" t="s">
        <v>1059</v>
      </c>
      <c r="J20" s="20" t="s">
        <v>603</v>
      </c>
      <c r="K20" s="18" t="s">
        <v>30</v>
      </c>
      <c r="L20" s="20" t="s">
        <v>30</v>
      </c>
      <c r="M20" s="20" t="s">
        <v>30</v>
      </c>
      <c r="N20" s="18" t="s">
        <v>30</v>
      </c>
      <c r="O20" s="20" t="s">
        <v>155</v>
      </c>
      <c r="P20" t="s">
        <v>2680</v>
      </c>
      <c r="Q20" s="2" t="s">
        <v>102</v>
      </c>
      <c r="R20" s="20" t="s">
        <v>926</v>
      </c>
      <c r="S20" s="20" t="s">
        <v>930</v>
      </c>
      <c r="T20" s="2" t="s">
        <v>157</v>
      </c>
      <c r="U20" s="158">
        <v>3.71</v>
      </c>
      <c r="V20" s="151">
        <v>183.119</v>
      </c>
      <c r="W20" s="151">
        <v>679.37300000000005</v>
      </c>
      <c r="X20" s="164">
        <v>4.8799999999999999E-4</v>
      </c>
      <c r="Y20" s="164">
        <v>9.0205541083054706E-3</v>
      </c>
      <c r="Z20" s="164">
        <v>1.64923709650799E-3</v>
      </c>
    </row>
    <row r="21" spans="1:26">
      <c r="A21" s="2">
        <v>1182</v>
      </c>
      <c r="B21" s="2">
        <v>1182</v>
      </c>
      <c r="C21" s="2" t="s">
        <v>2681</v>
      </c>
      <c r="D21" s="2" t="s">
        <v>2682</v>
      </c>
      <c r="E21" s="2" t="s">
        <v>33</v>
      </c>
      <c r="F21" s="2" t="s">
        <v>2681</v>
      </c>
      <c r="G21" s="2">
        <v>62020375</v>
      </c>
      <c r="H21" s="2" t="s">
        <v>33</v>
      </c>
      <c r="I21" s="2" t="s">
        <v>1059</v>
      </c>
      <c r="J21" s="2" t="s">
        <v>883</v>
      </c>
      <c r="K21" s="2" t="s">
        <v>30</v>
      </c>
      <c r="L21" s="2" t="s">
        <v>30</v>
      </c>
      <c r="M21" s="2" t="s">
        <v>30</v>
      </c>
      <c r="N21" s="2" t="s">
        <v>30</v>
      </c>
      <c r="O21" s="2" t="s">
        <v>155</v>
      </c>
      <c r="P21" t="s">
        <v>2683</v>
      </c>
      <c r="Q21" s="2" t="s">
        <v>102</v>
      </c>
      <c r="R21" s="2" t="s">
        <v>194</v>
      </c>
      <c r="S21" s="2" t="s">
        <v>930</v>
      </c>
      <c r="T21" s="2" t="s">
        <v>157</v>
      </c>
      <c r="U21" s="158">
        <v>3.71</v>
      </c>
      <c r="V21" s="151">
        <v>126.92</v>
      </c>
      <c r="W21" s="151">
        <v>470.87299999999999</v>
      </c>
      <c r="X21" s="164">
        <v>3.0200000000000002E-4</v>
      </c>
      <c r="Y21" s="164">
        <v>6.2521398756918102E-3</v>
      </c>
      <c r="Z21" s="164">
        <v>1.1430851022836801E-3</v>
      </c>
    </row>
    <row r="22" spans="1:26">
      <c r="A22" s="2">
        <v>1182</v>
      </c>
      <c r="B22" s="2">
        <v>1182</v>
      </c>
      <c r="C22" s="2" t="s">
        <v>2684</v>
      </c>
      <c r="D22" s="2" t="s">
        <v>2685</v>
      </c>
      <c r="E22" s="2" t="s">
        <v>350</v>
      </c>
      <c r="F22" s="2" t="s">
        <v>2686</v>
      </c>
      <c r="G22" s="2">
        <v>62013024</v>
      </c>
      <c r="H22" s="2" t="s">
        <v>33</v>
      </c>
      <c r="I22" s="2" t="s">
        <v>1059</v>
      </c>
      <c r="J22" s="2" t="s">
        <v>603</v>
      </c>
      <c r="K22" s="2" t="s">
        <v>30</v>
      </c>
      <c r="L22" s="2" t="s">
        <v>256</v>
      </c>
      <c r="M22" s="2" t="s">
        <v>30</v>
      </c>
      <c r="N22" s="2" t="s">
        <v>30</v>
      </c>
      <c r="O22" s="2" t="s">
        <v>155</v>
      </c>
      <c r="P22" t="s">
        <v>2687</v>
      </c>
      <c r="Q22" s="2" t="s">
        <v>102</v>
      </c>
      <c r="R22" s="2" t="s">
        <v>194</v>
      </c>
      <c r="S22" s="2" t="s">
        <v>930</v>
      </c>
      <c r="T22" s="2" t="s">
        <v>157</v>
      </c>
      <c r="U22" s="158">
        <v>3.71</v>
      </c>
      <c r="V22" s="151">
        <v>187.44300000000001</v>
      </c>
      <c r="W22" s="151">
        <v>695.41300000000001</v>
      </c>
      <c r="X22" s="164">
        <v>0</v>
      </c>
      <c r="Y22" s="164">
        <v>9.2335259901528705E-3</v>
      </c>
      <c r="Z22" s="164">
        <v>1.6881749626123E-3</v>
      </c>
    </row>
    <row r="23" spans="1:26">
      <c r="A23" s="2">
        <v>1182</v>
      </c>
      <c r="B23" s="2">
        <v>1182</v>
      </c>
      <c r="C23" s="2" t="s">
        <v>2688</v>
      </c>
      <c r="D23" s="2" t="s">
        <v>2689</v>
      </c>
      <c r="E23" s="2" t="s">
        <v>194</v>
      </c>
      <c r="F23" s="2" t="s">
        <v>2690</v>
      </c>
      <c r="G23" s="2">
        <v>60406600</v>
      </c>
      <c r="H23" s="2" t="s">
        <v>33</v>
      </c>
      <c r="I23" s="2" t="s">
        <v>1059</v>
      </c>
      <c r="J23" s="2" t="s">
        <v>866</v>
      </c>
      <c r="K23" s="2" t="s">
        <v>97</v>
      </c>
      <c r="L23" s="2" t="s">
        <v>256</v>
      </c>
      <c r="M23" s="2" t="s">
        <v>30</v>
      </c>
      <c r="N23" s="2" t="s">
        <v>30</v>
      </c>
      <c r="O23" s="2" t="s">
        <v>155</v>
      </c>
      <c r="P23" t="s">
        <v>2691</v>
      </c>
      <c r="Q23" s="2" t="s">
        <v>102</v>
      </c>
      <c r="R23" s="2" t="s">
        <v>926</v>
      </c>
      <c r="S23" s="2" t="s">
        <v>930</v>
      </c>
      <c r="T23" s="2" t="s">
        <v>157</v>
      </c>
      <c r="U23" s="158">
        <v>3.71</v>
      </c>
      <c r="V23" s="151">
        <v>214.78100000000001</v>
      </c>
      <c r="W23" s="151">
        <v>796.83699999999999</v>
      </c>
      <c r="X23" s="164">
        <v>0</v>
      </c>
      <c r="Y23" s="164">
        <v>1.05802099227704E-2</v>
      </c>
      <c r="Z23" s="164">
        <v>1.9343905578271499E-3</v>
      </c>
    </row>
    <row r="24" spans="1:26">
      <c r="A24" s="2">
        <v>1182</v>
      </c>
      <c r="B24" s="2">
        <v>1182</v>
      </c>
      <c r="C24" s="2" t="s">
        <v>2692</v>
      </c>
      <c r="D24" s="2" t="s">
        <v>2693</v>
      </c>
      <c r="E24" s="2" t="s">
        <v>194</v>
      </c>
      <c r="F24" s="2" t="s">
        <v>2694</v>
      </c>
      <c r="G24" s="2">
        <v>62009048</v>
      </c>
      <c r="H24" s="2" t="s">
        <v>33</v>
      </c>
      <c r="I24" s="2" t="s">
        <v>1059</v>
      </c>
      <c r="J24" s="2" t="s">
        <v>866</v>
      </c>
      <c r="K24" s="2" t="s">
        <v>97</v>
      </c>
      <c r="L24" s="2" t="s">
        <v>256</v>
      </c>
      <c r="M24" s="2" t="s">
        <v>30</v>
      </c>
      <c r="N24" s="2" t="s">
        <v>98</v>
      </c>
      <c r="O24" s="2" t="s">
        <v>155</v>
      </c>
      <c r="P24" t="s">
        <v>2695</v>
      </c>
      <c r="Q24" s="2" t="s">
        <v>102</v>
      </c>
      <c r="R24" s="2" t="s">
        <v>926</v>
      </c>
      <c r="S24" s="2" t="s">
        <v>930</v>
      </c>
      <c r="T24" s="2" t="s">
        <v>157</v>
      </c>
      <c r="U24" s="158">
        <v>3.71</v>
      </c>
      <c r="V24" s="151">
        <v>293.255</v>
      </c>
      <c r="W24" s="151">
        <v>1087.9760000000001</v>
      </c>
      <c r="X24" s="164">
        <v>1.9400000000000001E-3</v>
      </c>
      <c r="Y24" s="164">
        <v>1.4445892134760999E-2</v>
      </c>
      <c r="Z24" s="164">
        <v>2.64115717446502E-3</v>
      </c>
    </row>
    <row r="25" spans="1:26">
      <c r="A25" s="2">
        <v>1182</v>
      </c>
      <c r="B25" s="2">
        <v>1182</v>
      </c>
      <c r="C25" s="2" t="s">
        <v>2696</v>
      </c>
      <c r="D25" s="2" t="s">
        <v>2697</v>
      </c>
      <c r="E25" s="2" t="s">
        <v>194</v>
      </c>
      <c r="F25" s="2" t="s">
        <v>2698</v>
      </c>
      <c r="G25" s="2">
        <v>62015334</v>
      </c>
      <c r="H25" s="2" t="s">
        <v>33</v>
      </c>
      <c r="I25" s="2" t="s">
        <v>1059</v>
      </c>
      <c r="J25" s="2" t="s">
        <v>866</v>
      </c>
      <c r="K25" s="2" t="s">
        <v>97</v>
      </c>
      <c r="L25" s="2" t="s">
        <v>256</v>
      </c>
      <c r="M25" s="2" t="s">
        <v>30</v>
      </c>
      <c r="N25" s="2" t="s">
        <v>30</v>
      </c>
      <c r="O25" s="2" t="s">
        <v>155</v>
      </c>
      <c r="P25" t="s">
        <v>2699</v>
      </c>
      <c r="Q25" s="2" t="s">
        <v>102</v>
      </c>
      <c r="R25" s="11" t="s">
        <v>926</v>
      </c>
      <c r="S25" s="2" t="s">
        <v>930</v>
      </c>
      <c r="T25" s="2" t="s">
        <v>157</v>
      </c>
      <c r="U25" s="158">
        <v>3.71</v>
      </c>
      <c r="V25" s="151">
        <v>267.27499999999998</v>
      </c>
      <c r="W25" s="151">
        <v>991.58900000000006</v>
      </c>
      <c r="X25" s="164">
        <v>2.1250000000000002E-3</v>
      </c>
      <c r="Y25" s="164">
        <v>1.31660856944706E-2</v>
      </c>
      <c r="Z25" s="164">
        <v>2.4071688592978298E-3</v>
      </c>
    </row>
    <row r="26" spans="1:26">
      <c r="A26" s="2">
        <v>1182</v>
      </c>
      <c r="B26" s="2">
        <v>1182</v>
      </c>
      <c r="C26" s="2" t="s">
        <v>2700</v>
      </c>
      <c r="D26" s="2" t="s">
        <v>2701</v>
      </c>
      <c r="E26" s="2" t="s">
        <v>194</v>
      </c>
      <c r="F26" s="2" t="s">
        <v>2702</v>
      </c>
      <c r="G26" s="2">
        <v>62017835</v>
      </c>
      <c r="H26" s="2" t="s">
        <v>33</v>
      </c>
      <c r="I26" s="2" t="s">
        <v>1059</v>
      </c>
      <c r="J26" s="2" t="s">
        <v>866</v>
      </c>
      <c r="K26" s="2" t="s">
        <v>30</v>
      </c>
      <c r="L26" s="2" t="s">
        <v>98</v>
      </c>
      <c r="M26" s="2" t="s">
        <v>30</v>
      </c>
      <c r="N26" s="2" t="s">
        <v>30</v>
      </c>
      <c r="O26" s="2" t="s">
        <v>155</v>
      </c>
      <c r="P26" t="s">
        <v>2670</v>
      </c>
      <c r="Q26" s="2" t="s">
        <v>102</v>
      </c>
      <c r="R26" s="11" t="s">
        <v>194</v>
      </c>
      <c r="S26" s="2" t="s">
        <v>930</v>
      </c>
      <c r="T26" s="2" t="s">
        <v>157</v>
      </c>
      <c r="U26" s="158">
        <v>3.71</v>
      </c>
      <c r="V26" s="151">
        <v>166.69</v>
      </c>
      <c r="W26" s="151">
        <v>618.41800000000001</v>
      </c>
      <c r="X26" s="164">
        <v>5.1400000000000003E-4</v>
      </c>
      <c r="Y26" s="164">
        <v>8.2112112534358898E-3</v>
      </c>
      <c r="Z26" s="164">
        <v>1.5012641179062E-3</v>
      </c>
    </row>
    <row r="27" spans="1:26">
      <c r="A27" s="2">
        <v>1182</v>
      </c>
      <c r="B27" s="2">
        <v>1182</v>
      </c>
      <c r="C27" s="2" t="s">
        <v>2703</v>
      </c>
      <c r="D27" s="2" t="s">
        <v>2704</v>
      </c>
      <c r="E27" s="2" t="s">
        <v>194</v>
      </c>
      <c r="F27" s="2" t="s">
        <v>2705</v>
      </c>
      <c r="G27" s="2">
        <v>62020011</v>
      </c>
      <c r="H27" s="2" t="s">
        <v>33</v>
      </c>
      <c r="I27" s="2" t="s">
        <v>1059</v>
      </c>
      <c r="J27" s="2" t="s">
        <v>866</v>
      </c>
      <c r="K27" s="2" t="s">
        <v>97</v>
      </c>
      <c r="L27" s="2" t="s">
        <v>98</v>
      </c>
      <c r="M27" s="2" t="s">
        <v>30</v>
      </c>
      <c r="N27" s="2" t="s">
        <v>30</v>
      </c>
      <c r="O27" s="2" t="s">
        <v>155</v>
      </c>
      <c r="P27" t="s">
        <v>2706</v>
      </c>
      <c r="Q27" s="2" t="s">
        <v>102</v>
      </c>
      <c r="R27" s="2" t="s">
        <v>926</v>
      </c>
      <c r="S27" s="2" t="s">
        <v>930</v>
      </c>
      <c r="T27" s="2" t="s">
        <v>157</v>
      </c>
      <c r="U27" s="158">
        <v>3.71</v>
      </c>
      <c r="V27" s="151">
        <v>81.346000000000004</v>
      </c>
      <c r="W27" s="151">
        <v>301.79199999999997</v>
      </c>
      <c r="X27" s="164">
        <v>1.33E-3</v>
      </c>
      <c r="Y27" s="164">
        <v>4.0071274981075397E-3</v>
      </c>
      <c r="Z27" s="164">
        <v>7.3262720238343295E-4</v>
      </c>
    </row>
    <row r="28" spans="1:26">
      <c r="A28" s="2">
        <v>1182</v>
      </c>
      <c r="B28" s="2">
        <v>1182</v>
      </c>
      <c r="C28" s="2" t="s">
        <v>2707</v>
      </c>
      <c r="D28" s="2" t="s">
        <v>2708</v>
      </c>
      <c r="E28" s="2" t="s">
        <v>194</v>
      </c>
      <c r="F28" s="2" t="s">
        <v>2709</v>
      </c>
      <c r="G28" s="2">
        <v>62020748</v>
      </c>
      <c r="H28" s="2" t="s">
        <v>33</v>
      </c>
      <c r="I28" s="2" t="s">
        <v>1059</v>
      </c>
      <c r="J28" s="2" t="s">
        <v>866</v>
      </c>
      <c r="K28" s="2" t="s">
        <v>97</v>
      </c>
      <c r="L28" s="2" t="s">
        <v>98</v>
      </c>
      <c r="M28" s="2" t="s">
        <v>30</v>
      </c>
      <c r="N28" s="2" t="s">
        <v>98</v>
      </c>
      <c r="O28" s="2" t="s">
        <v>155</v>
      </c>
      <c r="P28" t="s">
        <v>2710</v>
      </c>
      <c r="Q28" s="2" t="s">
        <v>102</v>
      </c>
      <c r="R28" s="2" t="s">
        <v>194</v>
      </c>
      <c r="S28" s="2" t="s">
        <v>930</v>
      </c>
      <c r="T28" s="2" t="s">
        <v>157</v>
      </c>
      <c r="U28" s="158">
        <v>3.71</v>
      </c>
      <c r="V28" s="151">
        <v>44.863999999999997</v>
      </c>
      <c r="W28" s="151">
        <v>166.446</v>
      </c>
      <c r="X28" s="164">
        <v>1.25E-4</v>
      </c>
      <c r="Y28" s="164">
        <v>2.2100331457280799E-3</v>
      </c>
      <c r="Z28" s="164">
        <v>4.0406261130799902E-4</v>
      </c>
    </row>
    <row r="29" spans="1:26">
      <c r="A29" s="2">
        <v>1182</v>
      </c>
      <c r="B29" s="2">
        <v>1182</v>
      </c>
      <c r="C29" s="2" t="s">
        <v>2711</v>
      </c>
      <c r="E29" s="2" t="s">
        <v>194</v>
      </c>
      <c r="F29" s="2" t="s">
        <v>2712</v>
      </c>
      <c r="G29" s="2">
        <v>62015151</v>
      </c>
      <c r="H29" s="2" t="s">
        <v>33</v>
      </c>
      <c r="I29" s="2" t="s">
        <v>1059</v>
      </c>
      <c r="J29" s="2" t="s">
        <v>885</v>
      </c>
      <c r="K29" s="2" t="s">
        <v>97</v>
      </c>
      <c r="L29" s="2" t="s">
        <v>98</v>
      </c>
      <c r="M29" s="2" t="s">
        <v>30</v>
      </c>
      <c r="N29" s="2" t="s">
        <v>30</v>
      </c>
      <c r="O29" s="2" t="s">
        <v>155</v>
      </c>
      <c r="P29" t="s">
        <v>2713</v>
      </c>
      <c r="Q29" s="2" t="s">
        <v>102</v>
      </c>
      <c r="R29" s="2" t="s">
        <v>926</v>
      </c>
      <c r="S29" s="2" t="s">
        <v>930</v>
      </c>
      <c r="T29" s="2" t="s">
        <v>157</v>
      </c>
      <c r="U29" s="158">
        <v>3.71</v>
      </c>
      <c r="V29" s="151">
        <v>209.196</v>
      </c>
      <c r="W29" s="151">
        <v>776.11599999999999</v>
      </c>
      <c r="X29" s="164">
        <v>1.668E-3</v>
      </c>
      <c r="Y29" s="164">
        <v>1.03050909195172E-2</v>
      </c>
      <c r="Z29" s="164">
        <v>1.88409027020936E-3</v>
      </c>
    </row>
    <row r="30" spans="1:26">
      <c r="A30" s="2">
        <v>1182</v>
      </c>
      <c r="B30" s="2">
        <v>1182</v>
      </c>
      <c r="C30" s="2" t="s">
        <v>2711</v>
      </c>
      <c r="E30" s="2" t="s">
        <v>194</v>
      </c>
      <c r="F30" s="2" t="s">
        <v>2714</v>
      </c>
      <c r="G30" s="2">
        <v>62007349</v>
      </c>
      <c r="H30" s="2" t="s">
        <v>33</v>
      </c>
      <c r="I30" s="2" t="s">
        <v>1059</v>
      </c>
      <c r="J30" s="2" t="s">
        <v>887</v>
      </c>
      <c r="K30" s="2" t="s">
        <v>97</v>
      </c>
      <c r="L30" s="2" t="s">
        <v>256</v>
      </c>
      <c r="M30" s="2" t="s">
        <v>30</v>
      </c>
      <c r="N30" s="2" t="s">
        <v>30</v>
      </c>
      <c r="O30" s="2" t="s">
        <v>155</v>
      </c>
      <c r="P30" t="s">
        <v>2715</v>
      </c>
      <c r="Q30" s="2" t="s">
        <v>102</v>
      </c>
      <c r="R30" s="2" t="s">
        <v>926</v>
      </c>
      <c r="S30" s="2" t="s">
        <v>930</v>
      </c>
      <c r="T30" s="2" t="s">
        <v>157</v>
      </c>
      <c r="U30" s="158">
        <v>3.71</v>
      </c>
      <c r="V30" s="151">
        <v>120.096</v>
      </c>
      <c r="W30" s="151">
        <v>445.55599999999998</v>
      </c>
      <c r="X30" s="164">
        <v>4.1899999999999999E-4</v>
      </c>
      <c r="Y30" s="164">
        <v>5.9159932655633001E-3</v>
      </c>
      <c r="Z30" s="164">
        <v>1.08162707513445E-3</v>
      </c>
    </row>
    <row r="31" spans="1:26">
      <c r="A31" s="2">
        <v>1182</v>
      </c>
      <c r="B31" s="2">
        <v>1182</v>
      </c>
      <c r="C31" s="2" t="s">
        <v>2716</v>
      </c>
      <c r="D31" s="2" t="s">
        <v>2717</v>
      </c>
      <c r="E31" s="2" t="s">
        <v>194</v>
      </c>
      <c r="F31" s="2" t="s">
        <v>2718</v>
      </c>
      <c r="G31" s="2">
        <v>62020755</v>
      </c>
      <c r="H31" s="2" t="s">
        <v>33</v>
      </c>
      <c r="I31" s="2" t="s">
        <v>1059</v>
      </c>
      <c r="J31" s="2" t="s">
        <v>887</v>
      </c>
      <c r="K31" s="2" t="s">
        <v>97</v>
      </c>
      <c r="L31" s="2" t="s">
        <v>98</v>
      </c>
      <c r="M31" s="2" t="s">
        <v>30</v>
      </c>
      <c r="N31" s="2" t="s">
        <v>30</v>
      </c>
      <c r="O31" s="2" t="s">
        <v>155</v>
      </c>
      <c r="P31" t="s">
        <v>2710</v>
      </c>
      <c r="Q31" s="2" t="s">
        <v>102</v>
      </c>
      <c r="R31" s="2" t="s">
        <v>194</v>
      </c>
      <c r="S31" s="2" t="s">
        <v>930</v>
      </c>
      <c r="T31" s="2" t="s">
        <v>157</v>
      </c>
      <c r="U31" s="158">
        <v>3.71</v>
      </c>
      <c r="V31" s="151">
        <v>157.511</v>
      </c>
      <c r="W31" s="151">
        <v>584.36800000000005</v>
      </c>
      <c r="X31" s="164">
        <v>3.5399999999999999E-4</v>
      </c>
      <c r="Y31" s="164">
        <v>7.7590958268110403E-3</v>
      </c>
      <c r="Z31" s="164">
        <v>1.4186033939040301E-3</v>
      </c>
    </row>
    <row r="32" spans="1:26">
      <c r="A32" s="2">
        <v>1182</v>
      </c>
      <c r="B32" s="2">
        <v>1182</v>
      </c>
      <c r="C32" s="2" t="s">
        <v>2719</v>
      </c>
      <c r="D32" s="2" t="s">
        <v>2720</v>
      </c>
      <c r="E32" s="2" t="s">
        <v>1342</v>
      </c>
      <c r="F32" s="2" t="s">
        <v>2721</v>
      </c>
      <c r="G32" s="2">
        <v>50006410</v>
      </c>
      <c r="H32" s="2" t="s">
        <v>33</v>
      </c>
      <c r="I32" s="2" t="s">
        <v>1061</v>
      </c>
      <c r="J32" s="2" t="s">
        <v>603</v>
      </c>
      <c r="K32" s="2" t="s">
        <v>30</v>
      </c>
      <c r="L32" s="2" t="s">
        <v>256</v>
      </c>
      <c r="M32" s="2" t="s">
        <v>30</v>
      </c>
      <c r="N32" s="2" t="s">
        <v>30</v>
      </c>
      <c r="O32" s="2" t="s">
        <v>155</v>
      </c>
      <c r="P32" t="s">
        <v>2722</v>
      </c>
      <c r="Q32" s="2" t="s">
        <v>34</v>
      </c>
      <c r="R32" s="2" t="s">
        <v>194</v>
      </c>
      <c r="S32" s="2" t="s">
        <v>930</v>
      </c>
      <c r="T32" s="2" t="s">
        <v>157</v>
      </c>
      <c r="U32" s="158">
        <v>1</v>
      </c>
      <c r="V32" s="151">
        <v>962.101</v>
      </c>
      <c r="W32" s="151">
        <v>962.101</v>
      </c>
      <c r="X32" s="164">
        <v>0</v>
      </c>
      <c r="Y32" s="164">
        <v>1.27745505969714E-2</v>
      </c>
      <c r="Z32" s="164">
        <v>2.33558409858052E-3</v>
      </c>
    </row>
    <row r="33" spans="1:26">
      <c r="A33" s="2">
        <v>1182</v>
      </c>
      <c r="B33" s="2">
        <v>1182</v>
      </c>
      <c r="C33" s="2" t="s">
        <v>2723</v>
      </c>
      <c r="D33" s="2" t="s">
        <v>2724</v>
      </c>
      <c r="E33" s="2" t="s">
        <v>1342</v>
      </c>
      <c r="F33" s="2" t="s">
        <v>2725</v>
      </c>
      <c r="G33" s="2">
        <v>50007004</v>
      </c>
      <c r="H33" s="2" t="s">
        <v>33</v>
      </c>
      <c r="I33" s="2" t="s">
        <v>1059</v>
      </c>
      <c r="J33" s="2" t="s">
        <v>870</v>
      </c>
      <c r="K33" s="2" t="s">
        <v>30</v>
      </c>
      <c r="L33" s="2" t="s">
        <v>30</v>
      </c>
      <c r="M33" s="2" t="s">
        <v>30</v>
      </c>
      <c r="N33" s="2" t="s">
        <v>30</v>
      </c>
      <c r="O33" s="2" t="s">
        <v>155</v>
      </c>
      <c r="P33" t="s">
        <v>2726</v>
      </c>
      <c r="Q33" s="2" t="s">
        <v>34</v>
      </c>
      <c r="R33" s="2" t="s">
        <v>926</v>
      </c>
      <c r="S33" s="2" t="s">
        <v>930</v>
      </c>
      <c r="T33" s="2" t="s">
        <v>157</v>
      </c>
      <c r="U33" s="158">
        <v>1</v>
      </c>
      <c r="V33" s="151">
        <v>957.99199999999996</v>
      </c>
      <c r="W33" s="151">
        <v>957.99199999999996</v>
      </c>
      <c r="X33" s="164">
        <v>0</v>
      </c>
      <c r="Y33" s="164">
        <v>1.27199959070157E-2</v>
      </c>
      <c r="Z33" s="164">
        <v>2.3256098090431998E-3</v>
      </c>
    </row>
    <row r="34" spans="1:26">
      <c r="A34" s="2">
        <v>1182</v>
      </c>
      <c r="B34" s="2">
        <v>1182</v>
      </c>
      <c r="C34" s="2" t="s">
        <v>2727</v>
      </c>
      <c r="D34" s="2" t="s">
        <v>2728</v>
      </c>
      <c r="E34" s="2" t="s">
        <v>1342</v>
      </c>
      <c r="F34" s="2" t="s">
        <v>2727</v>
      </c>
      <c r="G34" s="2">
        <v>50007350</v>
      </c>
      <c r="H34" s="2" t="s">
        <v>33</v>
      </c>
      <c r="I34" s="2" t="s">
        <v>1059</v>
      </c>
      <c r="J34" s="2" t="s">
        <v>878</v>
      </c>
      <c r="K34" s="2" t="s">
        <v>30</v>
      </c>
      <c r="L34" s="2" t="s">
        <v>30</v>
      </c>
      <c r="M34" s="2" t="s">
        <v>30</v>
      </c>
      <c r="N34" s="2" t="s">
        <v>30</v>
      </c>
      <c r="O34" s="2" t="s">
        <v>155</v>
      </c>
      <c r="P34" t="s">
        <v>2729</v>
      </c>
      <c r="Q34" s="2" t="s">
        <v>34</v>
      </c>
      <c r="R34" s="2" t="s">
        <v>194</v>
      </c>
      <c r="S34" s="2" t="s">
        <v>930</v>
      </c>
      <c r="T34" s="2" t="s">
        <v>157</v>
      </c>
      <c r="U34" s="158">
        <v>1</v>
      </c>
      <c r="V34" s="151">
        <v>1568.8510000000001</v>
      </c>
      <c r="W34" s="151">
        <v>1568.8510000000001</v>
      </c>
      <c r="X34" s="164">
        <v>2.0899999999999998E-3</v>
      </c>
      <c r="Y34" s="164">
        <v>2.08308280926165E-2</v>
      </c>
      <c r="Z34" s="164">
        <v>3.8085215197248799E-3</v>
      </c>
    </row>
    <row r="35" spans="1:26">
      <c r="A35" s="2">
        <v>1182</v>
      </c>
      <c r="B35" s="2">
        <v>1182</v>
      </c>
      <c r="C35" s="2" t="s">
        <v>2624</v>
      </c>
      <c r="D35" s="2" t="s">
        <v>2625</v>
      </c>
      <c r="E35" s="2" t="s">
        <v>348</v>
      </c>
      <c r="F35" s="2" t="s">
        <v>2730</v>
      </c>
      <c r="G35" s="2">
        <v>60400892</v>
      </c>
      <c r="H35" s="2" t="s">
        <v>33</v>
      </c>
      <c r="I35" s="2" t="s">
        <v>1059</v>
      </c>
      <c r="J35" s="2" t="s">
        <v>603</v>
      </c>
      <c r="K35" s="2" t="s">
        <v>30</v>
      </c>
      <c r="L35" s="2" t="s">
        <v>30</v>
      </c>
      <c r="M35" s="2" t="s">
        <v>30</v>
      </c>
      <c r="N35" s="2" t="s">
        <v>30</v>
      </c>
      <c r="O35" s="2" t="s">
        <v>155</v>
      </c>
      <c r="P35" t="s">
        <v>2731</v>
      </c>
      <c r="Q35" s="2" t="s">
        <v>102</v>
      </c>
      <c r="R35" s="2" t="s">
        <v>926</v>
      </c>
      <c r="S35" s="2" t="s">
        <v>930</v>
      </c>
      <c r="T35" s="2" t="s">
        <v>157</v>
      </c>
      <c r="U35" s="158">
        <v>3.71</v>
      </c>
      <c r="V35" s="151">
        <v>599.399</v>
      </c>
      <c r="W35" s="151">
        <v>2223.77</v>
      </c>
      <c r="X35" s="164">
        <v>0</v>
      </c>
      <c r="Y35" s="164">
        <v>2.9526697260025801E-2</v>
      </c>
      <c r="Z35" s="164">
        <v>5.3983961377449402E-3</v>
      </c>
    </row>
    <row r="36" spans="1:26">
      <c r="A36" s="2">
        <v>1182</v>
      </c>
      <c r="B36" s="2">
        <v>1182</v>
      </c>
      <c r="C36" s="2" t="s">
        <v>2723</v>
      </c>
      <c r="D36" s="2" t="s">
        <v>2724</v>
      </c>
      <c r="E36" s="2" t="s">
        <v>1342</v>
      </c>
      <c r="F36" s="2" t="s">
        <v>2723</v>
      </c>
      <c r="G36" s="2">
        <v>18952</v>
      </c>
      <c r="H36" s="2" t="s">
        <v>33</v>
      </c>
      <c r="I36" s="2" t="s">
        <v>1059</v>
      </c>
      <c r="J36" s="2" t="s">
        <v>870</v>
      </c>
      <c r="K36" s="2" t="s">
        <v>30</v>
      </c>
      <c r="L36" s="2" t="s">
        <v>30</v>
      </c>
      <c r="M36" s="2" t="s">
        <v>30</v>
      </c>
      <c r="N36" s="2" t="s">
        <v>30</v>
      </c>
      <c r="O36" s="2" t="s">
        <v>155</v>
      </c>
      <c r="P36" t="s">
        <v>2732</v>
      </c>
      <c r="Q36" s="2" t="s">
        <v>34</v>
      </c>
      <c r="R36" s="2" t="s">
        <v>926</v>
      </c>
      <c r="S36" s="2" t="s">
        <v>930</v>
      </c>
      <c r="T36" s="2" t="s">
        <v>157</v>
      </c>
      <c r="U36" s="158">
        <v>1</v>
      </c>
      <c r="V36" s="151">
        <v>132.15100000000001</v>
      </c>
      <c r="W36" s="151">
        <v>132.15100000000001</v>
      </c>
      <c r="X36" s="164">
        <v>3.1100000000000002E-4</v>
      </c>
      <c r="Y36" s="164">
        <v>1.7546743794418999E-3</v>
      </c>
      <c r="Z36" s="164">
        <v>3.2080890421168801E-4</v>
      </c>
    </row>
    <row r="37" spans="1:26">
      <c r="A37" s="2">
        <v>1182</v>
      </c>
      <c r="B37" s="2">
        <v>1182</v>
      </c>
      <c r="C37" s="2" t="s">
        <v>2733</v>
      </c>
      <c r="D37" s="2" t="s">
        <v>2734</v>
      </c>
      <c r="E37" s="2" t="s">
        <v>194</v>
      </c>
      <c r="F37" s="2" t="s">
        <v>2735</v>
      </c>
      <c r="G37" s="2">
        <v>50007160</v>
      </c>
      <c r="H37" s="2" t="s">
        <v>33</v>
      </c>
      <c r="I37" s="2" t="s">
        <v>1059</v>
      </c>
      <c r="J37" s="2" t="s">
        <v>603</v>
      </c>
      <c r="K37" s="2" t="s">
        <v>30</v>
      </c>
      <c r="L37" s="2" t="s">
        <v>30</v>
      </c>
      <c r="M37" s="2" t="s">
        <v>30</v>
      </c>
      <c r="N37" s="2" t="s">
        <v>30</v>
      </c>
      <c r="O37" s="2" t="s">
        <v>155</v>
      </c>
      <c r="P37" t="s">
        <v>2736</v>
      </c>
      <c r="Q37" s="2" t="s">
        <v>34</v>
      </c>
      <c r="R37" s="2" t="s">
        <v>194</v>
      </c>
      <c r="S37" s="2" t="s">
        <v>930</v>
      </c>
      <c r="T37" s="2" t="s">
        <v>157</v>
      </c>
      <c r="U37" s="158">
        <v>1</v>
      </c>
      <c r="V37" s="151">
        <v>458.69</v>
      </c>
      <c r="W37" s="151">
        <v>458.69</v>
      </c>
      <c r="X37" s="164">
        <v>3.1350000000000002E-3</v>
      </c>
      <c r="Y37" s="164">
        <v>6.0903824003479901E-3</v>
      </c>
      <c r="Z37" s="164">
        <v>1.11351081829054E-3</v>
      </c>
    </row>
    <row r="38" spans="1:26">
      <c r="A38" s="2">
        <v>1182</v>
      </c>
      <c r="B38" s="2">
        <v>1182</v>
      </c>
      <c r="C38" s="2" t="s">
        <v>2737</v>
      </c>
      <c r="D38" s="2" t="s">
        <v>2738</v>
      </c>
      <c r="E38" s="2" t="s">
        <v>33</v>
      </c>
      <c r="F38" s="2" t="s">
        <v>2739</v>
      </c>
      <c r="G38" s="2">
        <v>62020672</v>
      </c>
      <c r="H38" s="2" t="s">
        <v>33</v>
      </c>
      <c r="I38" s="2" t="s">
        <v>1059</v>
      </c>
      <c r="J38" s="2" t="s">
        <v>603</v>
      </c>
      <c r="K38" s="2" t="s">
        <v>97</v>
      </c>
      <c r="L38" s="2" t="s">
        <v>98</v>
      </c>
      <c r="M38" s="2" t="s">
        <v>98</v>
      </c>
      <c r="N38" s="2" t="s">
        <v>98</v>
      </c>
      <c r="O38" s="2" t="s">
        <v>155</v>
      </c>
      <c r="P38" t="s">
        <v>2740</v>
      </c>
      <c r="Q38" s="2" t="s">
        <v>102</v>
      </c>
      <c r="R38" s="2" t="s">
        <v>194</v>
      </c>
      <c r="S38" s="2" t="s">
        <v>930</v>
      </c>
      <c r="T38" s="2" t="s">
        <v>157</v>
      </c>
      <c r="U38" s="158">
        <v>3.71</v>
      </c>
      <c r="V38" s="151">
        <v>102.545</v>
      </c>
      <c r="W38" s="151">
        <v>380.44400000000002</v>
      </c>
      <c r="X38" s="164">
        <v>2.7E-4</v>
      </c>
      <c r="Y38" s="164">
        <v>5.0514402342329602E-3</v>
      </c>
      <c r="Z38" s="164">
        <v>9.2355996372987998E-4</v>
      </c>
    </row>
    <row r="39" spans="1:26">
      <c r="A39" s="2">
        <v>1182</v>
      </c>
      <c r="B39" s="2">
        <v>1182</v>
      </c>
      <c r="C39" s="2" t="s">
        <v>2741</v>
      </c>
      <c r="D39" s="2" t="s">
        <v>2742</v>
      </c>
      <c r="E39" s="2" t="s">
        <v>350</v>
      </c>
      <c r="F39" s="2" t="s">
        <v>2741</v>
      </c>
      <c r="G39" s="2">
        <v>62021365</v>
      </c>
      <c r="H39" s="2" t="s">
        <v>33</v>
      </c>
      <c r="I39" s="2" t="s">
        <v>1059</v>
      </c>
      <c r="J39" s="2" t="s">
        <v>869</v>
      </c>
      <c r="K39" s="2" t="s">
        <v>97</v>
      </c>
      <c r="L39" s="2" t="s">
        <v>291</v>
      </c>
      <c r="M39" s="2" t="s">
        <v>291</v>
      </c>
      <c r="N39" s="2" t="s">
        <v>331</v>
      </c>
      <c r="O39" s="2" t="s">
        <v>155</v>
      </c>
      <c r="P39" t="s">
        <v>2743</v>
      </c>
      <c r="Q39" s="2" t="s">
        <v>102</v>
      </c>
      <c r="R39" s="2" t="s">
        <v>926</v>
      </c>
      <c r="S39" s="2" t="s">
        <v>930</v>
      </c>
      <c r="T39" s="2" t="s">
        <v>157</v>
      </c>
      <c r="U39" s="158">
        <v>3.71</v>
      </c>
      <c r="V39" s="151">
        <v>76.257000000000005</v>
      </c>
      <c r="W39" s="151">
        <v>282.91399999999999</v>
      </c>
      <c r="X39" s="164">
        <v>0</v>
      </c>
      <c r="Y39" s="164">
        <v>3.7564648397243202E-3</v>
      </c>
      <c r="Z39" s="164">
        <v>6.8679829321095895E-4</v>
      </c>
    </row>
    <row r="40" spans="1:26">
      <c r="A40" s="2">
        <v>1182</v>
      </c>
      <c r="B40" s="2">
        <v>1182</v>
      </c>
      <c r="C40" s="2" t="s">
        <v>2744</v>
      </c>
      <c r="D40" s="2" t="s">
        <v>2745</v>
      </c>
      <c r="E40" s="2" t="s">
        <v>349</v>
      </c>
      <c r="F40" s="2" t="s">
        <v>2744</v>
      </c>
      <c r="G40" s="2">
        <v>62020896</v>
      </c>
      <c r="H40" s="2" t="s">
        <v>33</v>
      </c>
      <c r="I40" s="2" t="s">
        <v>1059</v>
      </c>
      <c r="J40" s="2" t="s">
        <v>887</v>
      </c>
      <c r="K40" s="2" t="s">
        <v>97</v>
      </c>
      <c r="L40" s="2" t="s">
        <v>271</v>
      </c>
      <c r="M40" s="2" t="s">
        <v>2746</v>
      </c>
      <c r="N40" s="2" t="s">
        <v>334</v>
      </c>
      <c r="O40" s="2" t="s">
        <v>155</v>
      </c>
      <c r="P40" t="s">
        <v>2747</v>
      </c>
      <c r="Q40" s="2" t="s">
        <v>102</v>
      </c>
      <c r="R40" s="2" t="s">
        <v>926</v>
      </c>
      <c r="S40" s="2" t="s">
        <v>930</v>
      </c>
      <c r="T40" s="2" t="s">
        <v>157</v>
      </c>
      <c r="U40" s="158">
        <v>3.71</v>
      </c>
      <c r="V40" s="151">
        <v>39.523000000000003</v>
      </c>
      <c r="W40" s="151">
        <v>146.631</v>
      </c>
      <c r="X40" s="164">
        <v>1.9999999999999999E-6</v>
      </c>
      <c r="Y40" s="164">
        <v>1.94693285214342E-3</v>
      </c>
      <c r="Z40" s="164">
        <v>3.5595971662191099E-4</v>
      </c>
    </row>
    <row r="41" spans="1:26">
      <c r="A41" s="2">
        <v>1182</v>
      </c>
      <c r="B41" s="2">
        <v>1182</v>
      </c>
      <c r="C41" s="2" t="s">
        <v>2748</v>
      </c>
      <c r="D41" s="2" t="s">
        <v>2749</v>
      </c>
      <c r="E41" s="2" t="s">
        <v>350</v>
      </c>
      <c r="F41" s="2" t="s">
        <v>2748</v>
      </c>
      <c r="G41" s="2">
        <v>62019815</v>
      </c>
      <c r="H41" s="2" t="s">
        <v>33</v>
      </c>
      <c r="I41" s="2" t="s">
        <v>1059</v>
      </c>
      <c r="J41" s="2" t="s">
        <v>887</v>
      </c>
      <c r="K41" s="2" t="s">
        <v>97</v>
      </c>
      <c r="L41" s="2" t="s">
        <v>271</v>
      </c>
      <c r="M41" s="2" t="s">
        <v>2746</v>
      </c>
      <c r="N41" s="2" t="s">
        <v>334</v>
      </c>
      <c r="O41" s="2" t="s">
        <v>155</v>
      </c>
      <c r="P41" t="s">
        <v>2750</v>
      </c>
      <c r="Q41" s="2" t="s">
        <v>102</v>
      </c>
      <c r="R41" s="2" t="s">
        <v>926</v>
      </c>
      <c r="S41" s="2" t="s">
        <v>930</v>
      </c>
      <c r="T41" s="2" t="s">
        <v>157</v>
      </c>
      <c r="U41" s="158">
        <v>3.71</v>
      </c>
      <c r="V41" s="151">
        <v>264.26299999999998</v>
      </c>
      <c r="W41" s="151">
        <v>980.41499999999996</v>
      </c>
      <c r="X41" s="164">
        <v>9.7E-5</v>
      </c>
      <c r="Y41" s="164">
        <v>1.30177238208047E-2</v>
      </c>
      <c r="Z41" s="164">
        <v>2.3800437068050599E-3</v>
      </c>
    </row>
    <row r="42" spans="1:26">
      <c r="A42" s="2">
        <v>1182</v>
      </c>
      <c r="B42" s="2">
        <v>1182</v>
      </c>
      <c r="C42" s="2" t="s">
        <v>2751</v>
      </c>
      <c r="D42" s="2" t="s">
        <v>2752</v>
      </c>
      <c r="E42" s="2" t="s">
        <v>349</v>
      </c>
      <c r="F42" s="2" t="s">
        <v>2753</v>
      </c>
      <c r="G42" s="2">
        <v>62019757</v>
      </c>
      <c r="H42" s="2" t="s">
        <v>33</v>
      </c>
      <c r="I42" s="2" t="s">
        <v>1059</v>
      </c>
      <c r="J42" s="2" t="s">
        <v>867</v>
      </c>
      <c r="K42" s="2" t="s">
        <v>97</v>
      </c>
      <c r="L42" s="2" t="s">
        <v>256</v>
      </c>
      <c r="M42" s="2" t="s">
        <v>256</v>
      </c>
      <c r="N42" s="2" t="s">
        <v>327</v>
      </c>
      <c r="O42" s="2" t="s">
        <v>155</v>
      </c>
      <c r="P42" t="s">
        <v>2754</v>
      </c>
      <c r="Q42" s="2" t="s">
        <v>102</v>
      </c>
      <c r="R42" s="2" t="s">
        <v>926</v>
      </c>
      <c r="S42" s="2" t="s">
        <v>930</v>
      </c>
      <c r="T42" s="2" t="s">
        <v>157</v>
      </c>
      <c r="U42" s="158">
        <v>3.71</v>
      </c>
      <c r="V42" s="151">
        <v>78.179000000000002</v>
      </c>
      <c r="W42" s="151">
        <v>290.04399999999998</v>
      </c>
      <c r="X42" s="164">
        <v>0</v>
      </c>
      <c r="Y42" s="164">
        <v>3.8511309955760898E-3</v>
      </c>
      <c r="Z42" s="164">
        <v>7.0410620291805695E-4</v>
      </c>
    </row>
    <row r="43" spans="1:26">
      <c r="A43" s="2">
        <v>1182</v>
      </c>
      <c r="B43" s="2">
        <v>1182</v>
      </c>
      <c r="C43" s="2" t="s">
        <v>2755</v>
      </c>
      <c r="D43" s="2" t="s">
        <v>2756</v>
      </c>
      <c r="E43" s="2" t="s">
        <v>349</v>
      </c>
      <c r="F43" s="2" t="s">
        <v>2757</v>
      </c>
      <c r="G43" s="2">
        <v>62013909</v>
      </c>
      <c r="H43" s="2" t="s">
        <v>33</v>
      </c>
      <c r="I43" s="2" t="s">
        <v>1059</v>
      </c>
      <c r="J43" s="2" t="s">
        <v>873</v>
      </c>
      <c r="K43" s="2" t="s">
        <v>97</v>
      </c>
      <c r="L43" s="2" t="s">
        <v>256</v>
      </c>
      <c r="M43" s="2" t="s">
        <v>98</v>
      </c>
      <c r="N43" s="2" t="s">
        <v>98</v>
      </c>
      <c r="O43" s="2" t="s">
        <v>155</v>
      </c>
      <c r="P43" t="s">
        <v>2758</v>
      </c>
      <c r="Q43" s="2" t="s">
        <v>102</v>
      </c>
      <c r="R43" s="2" t="s">
        <v>926</v>
      </c>
      <c r="S43" s="2" t="s">
        <v>930</v>
      </c>
      <c r="T43" s="2" t="s">
        <v>157</v>
      </c>
      <c r="U43" s="158">
        <v>3.71</v>
      </c>
      <c r="V43" s="151">
        <v>211.197</v>
      </c>
      <c r="W43" s="151">
        <v>783.54200000000003</v>
      </c>
      <c r="X43" s="164">
        <v>4.6670000000000001E-3</v>
      </c>
      <c r="Y43" s="164">
        <v>1.04036881029849E-2</v>
      </c>
      <c r="Z43" s="164">
        <v>1.9021168936998599E-3</v>
      </c>
    </row>
    <row r="44" spans="1:26">
      <c r="A44" s="2">
        <v>1182</v>
      </c>
      <c r="B44" s="2">
        <v>1182</v>
      </c>
      <c r="C44" s="2" t="s">
        <v>2759</v>
      </c>
      <c r="D44" s="2" t="s">
        <v>2760</v>
      </c>
      <c r="E44" s="2" t="s">
        <v>349</v>
      </c>
      <c r="F44" s="2" t="s">
        <v>2761</v>
      </c>
      <c r="G44" s="2">
        <v>62011226</v>
      </c>
      <c r="H44" s="2" t="s">
        <v>33</v>
      </c>
      <c r="I44" s="2" t="s">
        <v>1059</v>
      </c>
      <c r="J44" s="2" t="s">
        <v>877</v>
      </c>
      <c r="K44" s="2" t="s">
        <v>97</v>
      </c>
      <c r="L44" s="2" t="s">
        <v>256</v>
      </c>
      <c r="M44" s="2" t="s">
        <v>98</v>
      </c>
      <c r="N44" s="2" t="s">
        <v>98</v>
      </c>
      <c r="O44" s="2" t="s">
        <v>155</v>
      </c>
      <c r="P44" t="s">
        <v>2762</v>
      </c>
      <c r="Q44" s="2" t="s">
        <v>102</v>
      </c>
      <c r="R44" s="2" t="s">
        <v>926</v>
      </c>
      <c r="S44" s="2" t="s">
        <v>930</v>
      </c>
      <c r="T44" s="2" t="s">
        <v>157</v>
      </c>
      <c r="U44" s="158">
        <v>3.71</v>
      </c>
      <c r="V44" s="151">
        <v>10.811999999999999</v>
      </c>
      <c r="W44" s="151">
        <v>40.112000000000002</v>
      </c>
      <c r="X44" s="164">
        <v>0</v>
      </c>
      <c r="Y44" s="164">
        <v>5.3259192124004997E-4</v>
      </c>
      <c r="Z44" s="164">
        <v>9.7374323490927601E-5</v>
      </c>
    </row>
    <row r="45" spans="1:26">
      <c r="A45" s="2">
        <v>1182</v>
      </c>
      <c r="B45" s="2">
        <v>1182</v>
      </c>
      <c r="C45" s="2" t="s">
        <v>2763</v>
      </c>
      <c r="D45" s="2" t="s">
        <v>2764</v>
      </c>
      <c r="E45" s="2" t="s">
        <v>349</v>
      </c>
      <c r="F45" s="2" t="s">
        <v>2765</v>
      </c>
      <c r="G45" s="2">
        <v>60419041</v>
      </c>
      <c r="H45" s="2" t="s">
        <v>33</v>
      </c>
      <c r="I45" s="2" t="s">
        <v>1059</v>
      </c>
      <c r="J45" s="2" t="s">
        <v>887</v>
      </c>
      <c r="K45" s="2" t="s">
        <v>97</v>
      </c>
      <c r="L45" s="2" t="s">
        <v>256</v>
      </c>
      <c r="M45" s="2" t="s">
        <v>98</v>
      </c>
      <c r="N45" s="2" t="s">
        <v>334</v>
      </c>
      <c r="O45" s="2" t="s">
        <v>155</v>
      </c>
      <c r="P45" t="s">
        <v>2766</v>
      </c>
      <c r="Q45" s="2" t="s">
        <v>102</v>
      </c>
      <c r="R45" s="2" t="s">
        <v>926</v>
      </c>
      <c r="S45" s="2" t="s">
        <v>930</v>
      </c>
      <c r="T45" s="2" t="s">
        <v>157</v>
      </c>
      <c r="U45" s="158">
        <v>3.71</v>
      </c>
      <c r="V45" s="151">
        <v>56.857999999999997</v>
      </c>
      <c r="W45" s="151">
        <v>210.94300000000001</v>
      </c>
      <c r="X45" s="164">
        <v>2.5000000000000001E-5</v>
      </c>
      <c r="Y45" s="164">
        <v>2.8008484697426301E-3</v>
      </c>
      <c r="Z45" s="164">
        <v>5.1208197883809701E-4</v>
      </c>
    </row>
    <row r="46" spans="1:26">
      <c r="A46" s="2">
        <v>1182</v>
      </c>
      <c r="B46" s="2">
        <v>1182</v>
      </c>
      <c r="C46" s="2" t="s">
        <v>2767</v>
      </c>
      <c r="D46" s="2" t="s">
        <v>2768</v>
      </c>
      <c r="E46" s="2" t="s">
        <v>349</v>
      </c>
      <c r="F46" s="2" t="s">
        <v>2769</v>
      </c>
      <c r="G46" s="2">
        <v>62016654</v>
      </c>
      <c r="H46" s="2" t="s">
        <v>33</v>
      </c>
      <c r="I46" s="2" t="s">
        <v>1059</v>
      </c>
      <c r="J46" s="2" t="s">
        <v>887</v>
      </c>
      <c r="K46" s="2" t="s">
        <v>97</v>
      </c>
      <c r="L46" s="2" t="s">
        <v>256</v>
      </c>
      <c r="M46" s="2" t="s">
        <v>98</v>
      </c>
      <c r="N46" s="2" t="s">
        <v>334</v>
      </c>
      <c r="O46" s="2" t="s">
        <v>155</v>
      </c>
      <c r="P46" t="s">
        <v>2770</v>
      </c>
      <c r="Q46" s="2" t="s">
        <v>102</v>
      </c>
      <c r="R46" s="2" t="s">
        <v>926</v>
      </c>
      <c r="S46" s="2" t="s">
        <v>930</v>
      </c>
      <c r="T46" s="2" t="s">
        <v>157</v>
      </c>
      <c r="U46" s="158">
        <v>3.71</v>
      </c>
      <c r="V46" s="151">
        <v>401.68400000000003</v>
      </c>
      <c r="W46" s="151">
        <v>1490.248</v>
      </c>
      <c r="X46" s="164">
        <v>6.2000000000000003E-5</v>
      </c>
      <c r="Y46" s="164">
        <v>1.9787160188435501E-2</v>
      </c>
      <c r="Z46" s="164">
        <v>3.6177066536596798E-3</v>
      </c>
    </row>
    <row r="47" spans="1:26">
      <c r="A47" s="2">
        <v>1182</v>
      </c>
      <c r="B47" s="2">
        <v>1182</v>
      </c>
      <c r="C47" s="2" t="s">
        <v>2771</v>
      </c>
      <c r="D47" s="2" t="s">
        <v>2772</v>
      </c>
      <c r="E47" s="2" t="s">
        <v>350</v>
      </c>
      <c r="F47" s="2" t="s">
        <v>2773</v>
      </c>
      <c r="G47" s="2">
        <v>62021241</v>
      </c>
      <c r="H47" s="2" t="s">
        <v>33</v>
      </c>
      <c r="I47" s="2" t="s">
        <v>1059</v>
      </c>
      <c r="J47" s="2" t="s">
        <v>887</v>
      </c>
      <c r="K47" s="2" t="s">
        <v>97</v>
      </c>
      <c r="L47" s="2" t="s">
        <v>256</v>
      </c>
      <c r="M47" s="2" t="s">
        <v>98</v>
      </c>
      <c r="N47" s="2" t="s">
        <v>334</v>
      </c>
      <c r="O47" s="2" t="s">
        <v>155</v>
      </c>
      <c r="P47" t="s">
        <v>2774</v>
      </c>
      <c r="Q47" s="2" t="s">
        <v>102</v>
      </c>
      <c r="R47" s="2" t="s">
        <v>194</v>
      </c>
      <c r="S47" s="2" t="s">
        <v>930</v>
      </c>
      <c r="T47" s="2" t="s">
        <v>157</v>
      </c>
      <c r="U47" s="158">
        <v>3.71</v>
      </c>
      <c r="V47" s="151">
        <v>97.578999999999994</v>
      </c>
      <c r="W47" s="151">
        <v>362.01799999999997</v>
      </c>
      <c r="X47" s="164">
        <v>0</v>
      </c>
      <c r="Y47" s="164">
        <v>4.8067900233698599E-3</v>
      </c>
      <c r="Z47" s="164">
        <v>8.7883031646215502E-4</v>
      </c>
    </row>
    <row r="48" spans="1:26">
      <c r="A48" s="2">
        <v>1182</v>
      </c>
      <c r="B48" s="2">
        <v>1182</v>
      </c>
      <c r="C48" s="2" t="s">
        <v>2775</v>
      </c>
      <c r="D48" s="2" t="s">
        <v>2776</v>
      </c>
      <c r="E48" s="2" t="s">
        <v>350</v>
      </c>
      <c r="F48" s="2" t="s">
        <v>2777</v>
      </c>
      <c r="G48" s="2">
        <v>62018064</v>
      </c>
      <c r="H48" s="2" t="s">
        <v>33</v>
      </c>
      <c r="I48" s="2" t="s">
        <v>1059</v>
      </c>
      <c r="J48" s="2" t="s">
        <v>872</v>
      </c>
      <c r="K48" s="2" t="s">
        <v>97</v>
      </c>
      <c r="L48" s="2" t="s">
        <v>256</v>
      </c>
      <c r="M48" s="2" t="s">
        <v>98</v>
      </c>
      <c r="N48" s="2" t="s">
        <v>329</v>
      </c>
      <c r="O48" s="2" t="s">
        <v>155</v>
      </c>
      <c r="P48" t="s">
        <v>2778</v>
      </c>
      <c r="Q48" s="2" t="s">
        <v>102</v>
      </c>
      <c r="R48" s="2" t="s">
        <v>194</v>
      </c>
      <c r="S48" s="2" t="s">
        <v>930</v>
      </c>
      <c r="T48" s="2" t="s">
        <v>157</v>
      </c>
      <c r="U48" s="158">
        <v>3.71</v>
      </c>
      <c r="V48" s="151">
        <v>274.26600000000002</v>
      </c>
      <c r="W48" s="151">
        <v>1017.526</v>
      </c>
      <c r="X48" s="164">
        <v>1.6899999999999999E-4</v>
      </c>
      <c r="Y48" s="164">
        <v>1.35104642077769E-2</v>
      </c>
      <c r="Z48" s="164">
        <v>2.4701319336905801E-3</v>
      </c>
    </row>
    <row r="49" spans="1:26">
      <c r="A49" s="2">
        <v>1182</v>
      </c>
      <c r="B49" s="2">
        <v>1182</v>
      </c>
      <c r="C49" s="2" t="s">
        <v>2775</v>
      </c>
      <c r="D49" s="2" t="s">
        <v>2776</v>
      </c>
      <c r="E49" s="2" t="s">
        <v>350</v>
      </c>
      <c r="F49" s="2" t="s">
        <v>2779</v>
      </c>
      <c r="G49" s="2">
        <v>62021340</v>
      </c>
      <c r="H49" s="2" t="s">
        <v>33</v>
      </c>
      <c r="I49" s="2" t="s">
        <v>1059</v>
      </c>
      <c r="J49" s="2" t="s">
        <v>871</v>
      </c>
      <c r="K49" s="2" t="s">
        <v>97</v>
      </c>
      <c r="L49" s="2" t="s">
        <v>256</v>
      </c>
      <c r="M49" s="2" t="s">
        <v>98</v>
      </c>
      <c r="N49" s="2" t="s">
        <v>329</v>
      </c>
      <c r="O49" s="2" t="s">
        <v>155</v>
      </c>
      <c r="P49" t="s">
        <v>2780</v>
      </c>
      <c r="Q49" s="2" t="s">
        <v>102</v>
      </c>
      <c r="R49" s="2" t="s">
        <v>926</v>
      </c>
      <c r="S49" s="2" t="s">
        <v>930</v>
      </c>
      <c r="T49" s="2" t="s">
        <v>157</v>
      </c>
      <c r="U49" s="158">
        <v>3.71</v>
      </c>
      <c r="V49" s="151">
        <v>88.558000000000007</v>
      </c>
      <c r="W49" s="151">
        <v>328.55</v>
      </c>
      <c r="X49" s="164">
        <v>2.5999999999999998E-5</v>
      </c>
      <c r="Y49" s="164">
        <v>4.3624030290897401E-3</v>
      </c>
      <c r="Z49" s="164">
        <v>7.9758258961823002E-4</v>
      </c>
    </row>
    <row r="50" spans="1:26">
      <c r="A50" s="2">
        <v>1182</v>
      </c>
      <c r="B50" s="2">
        <v>1182</v>
      </c>
      <c r="C50" s="2" t="s">
        <v>2781</v>
      </c>
      <c r="D50" s="2" t="s">
        <v>2782</v>
      </c>
      <c r="E50" s="2" t="s">
        <v>349</v>
      </c>
      <c r="F50" s="2" t="s">
        <v>2783</v>
      </c>
      <c r="G50" s="2">
        <v>62018908</v>
      </c>
      <c r="H50" s="2" t="s">
        <v>33</v>
      </c>
      <c r="I50" s="2" t="s">
        <v>1059</v>
      </c>
      <c r="J50" s="2" t="s">
        <v>872</v>
      </c>
      <c r="K50" s="2" t="s">
        <v>97</v>
      </c>
      <c r="L50" s="2" t="s">
        <v>291</v>
      </c>
      <c r="M50" s="2" t="s">
        <v>291</v>
      </c>
      <c r="N50" s="2" t="s">
        <v>334</v>
      </c>
      <c r="O50" s="2" t="s">
        <v>155</v>
      </c>
      <c r="P50" t="s">
        <v>2784</v>
      </c>
      <c r="Q50" s="2" t="s">
        <v>102</v>
      </c>
      <c r="R50" s="2" t="s">
        <v>926</v>
      </c>
      <c r="S50" s="2" t="s">
        <v>930</v>
      </c>
      <c r="T50" s="2" t="s">
        <v>157</v>
      </c>
      <c r="U50" s="158">
        <v>3.71</v>
      </c>
      <c r="V50" s="151">
        <v>618.66800000000001</v>
      </c>
      <c r="W50" s="151">
        <v>2295.2570000000001</v>
      </c>
      <c r="X50" s="164">
        <v>3.3000000000000003E-5</v>
      </c>
      <c r="Y50" s="164">
        <v>3.0475886043144499E-2</v>
      </c>
      <c r="Z50" s="164">
        <v>5.57193728986411E-3</v>
      </c>
    </row>
    <row r="51" spans="1:26">
      <c r="A51" s="2">
        <v>1182</v>
      </c>
      <c r="B51" s="2">
        <v>1182</v>
      </c>
      <c r="C51" s="2" t="s">
        <v>2785</v>
      </c>
      <c r="D51" s="2" t="s">
        <v>2786</v>
      </c>
      <c r="E51" s="2" t="s">
        <v>349</v>
      </c>
      <c r="F51" s="2" t="s">
        <v>2787</v>
      </c>
      <c r="G51" s="2">
        <v>62019559</v>
      </c>
      <c r="H51" s="2" t="s">
        <v>33</v>
      </c>
      <c r="I51" s="2" t="s">
        <v>1059</v>
      </c>
      <c r="J51" s="2" t="s">
        <v>873</v>
      </c>
      <c r="K51" s="2" t="s">
        <v>97</v>
      </c>
      <c r="L51" s="2" t="s">
        <v>98</v>
      </c>
      <c r="M51" s="2" t="s">
        <v>98</v>
      </c>
      <c r="N51" s="2" t="s">
        <v>98</v>
      </c>
      <c r="O51" s="2" t="s">
        <v>155</v>
      </c>
      <c r="P51" t="s">
        <v>2788</v>
      </c>
      <c r="Q51" s="2" t="s">
        <v>102</v>
      </c>
      <c r="R51" s="2" t="s">
        <v>926</v>
      </c>
      <c r="S51" s="2" t="s">
        <v>930</v>
      </c>
      <c r="T51" s="2" t="s">
        <v>157</v>
      </c>
      <c r="U51" s="158">
        <v>3.71</v>
      </c>
      <c r="V51" s="151">
        <v>695.23500000000001</v>
      </c>
      <c r="W51" s="151">
        <v>2579.3220000000001</v>
      </c>
      <c r="X51" s="164">
        <v>1.1900000000000001E-3</v>
      </c>
      <c r="Y51" s="164">
        <v>3.42476271519443E-2</v>
      </c>
      <c r="Z51" s="164">
        <v>6.2615285589114802E-3</v>
      </c>
    </row>
    <row r="52" spans="1:26">
      <c r="A52" s="2">
        <v>1182</v>
      </c>
      <c r="B52" s="2">
        <v>1182</v>
      </c>
      <c r="C52" s="2" t="s">
        <v>2789</v>
      </c>
      <c r="D52" s="2" t="s">
        <v>2790</v>
      </c>
      <c r="E52" s="2" t="s">
        <v>350</v>
      </c>
      <c r="F52" s="2" t="s">
        <v>2791</v>
      </c>
      <c r="G52" s="2">
        <v>62020946</v>
      </c>
      <c r="H52" s="2" t="s">
        <v>33</v>
      </c>
      <c r="I52" s="2" t="s">
        <v>1059</v>
      </c>
      <c r="J52" s="2" t="s">
        <v>873</v>
      </c>
      <c r="K52" s="2" t="s">
        <v>97</v>
      </c>
      <c r="L52" s="2" t="s">
        <v>98</v>
      </c>
      <c r="M52" s="2" t="s">
        <v>98</v>
      </c>
      <c r="N52" s="2" t="s">
        <v>98</v>
      </c>
      <c r="O52" s="2" t="s">
        <v>155</v>
      </c>
      <c r="P52" t="s">
        <v>2792</v>
      </c>
      <c r="Q52" s="2" t="s">
        <v>102</v>
      </c>
      <c r="R52" s="2" t="s">
        <v>926</v>
      </c>
      <c r="S52" s="2" t="s">
        <v>930</v>
      </c>
      <c r="T52" s="2" t="s">
        <v>157</v>
      </c>
      <c r="U52" s="158">
        <v>3.71</v>
      </c>
      <c r="V52" s="151">
        <v>279.36099999999999</v>
      </c>
      <c r="W52" s="151">
        <v>1036.4280000000001</v>
      </c>
      <c r="X52" s="164">
        <v>3.5100000000000002E-4</v>
      </c>
      <c r="Y52" s="164">
        <v>1.37614447844069E-2</v>
      </c>
      <c r="Z52" s="164">
        <v>2.5160189681799599E-3</v>
      </c>
    </row>
    <row r="53" spans="1:26">
      <c r="A53" s="2">
        <v>1182</v>
      </c>
      <c r="B53" s="2">
        <v>1182</v>
      </c>
      <c r="C53" s="2" t="s">
        <v>2793</v>
      </c>
      <c r="D53" s="2" t="s">
        <v>2794</v>
      </c>
      <c r="E53" s="2" t="s">
        <v>348</v>
      </c>
      <c r="F53" s="2" t="s">
        <v>2795</v>
      </c>
      <c r="G53" s="2">
        <v>62021431</v>
      </c>
      <c r="H53" s="2" t="s">
        <v>33</v>
      </c>
      <c r="I53" s="2" t="s">
        <v>1059</v>
      </c>
      <c r="J53" s="2" t="s">
        <v>883</v>
      </c>
      <c r="K53" s="2" t="s">
        <v>30</v>
      </c>
      <c r="L53" s="2" t="s">
        <v>256</v>
      </c>
      <c r="M53" s="2" t="s">
        <v>30</v>
      </c>
      <c r="N53" s="2" t="s">
        <v>30</v>
      </c>
      <c r="O53" s="2" t="s">
        <v>155</v>
      </c>
      <c r="P53" t="s">
        <v>2796</v>
      </c>
      <c r="Q53" s="2" t="s">
        <v>102</v>
      </c>
      <c r="R53" s="2" t="s">
        <v>926</v>
      </c>
      <c r="S53" s="2" t="s">
        <v>930</v>
      </c>
      <c r="T53" s="2" t="s">
        <v>157</v>
      </c>
      <c r="U53" s="158">
        <v>3.71</v>
      </c>
      <c r="V53" s="151">
        <v>32.814999999999998</v>
      </c>
      <c r="W53" s="151">
        <v>121.744</v>
      </c>
      <c r="X53" s="164">
        <v>3.3000000000000003E-5</v>
      </c>
      <c r="Y53" s="164">
        <v>1.6164844178700401E-3</v>
      </c>
      <c r="Z53" s="164">
        <v>2.9554349276878303E-4</v>
      </c>
    </row>
    <row r="54" spans="1:26">
      <c r="A54" s="2">
        <v>1182</v>
      </c>
      <c r="B54" s="2">
        <v>1182</v>
      </c>
      <c r="C54" s="2" t="s">
        <v>2797</v>
      </c>
      <c r="D54" s="2" t="s">
        <v>2798</v>
      </c>
      <c r="E54" s="2" t="s">
        <v>350</v>
      </c>
      <c r="F54" s="2" t="s">
        <v>2799</v>
      </c>
      <c r="G54" s="2">
        <v>62021662</v>
      </c>
      <c r="H54" s="2" t="s">
        <v>33</v>
      </c>
      <c r="I54" s="2" t="s">
        <v>1059</v>
      </c>
      <c r="J54" s="2" t="s">
        <v>603</v>
      </c>
      <c r="K54" s="2" t="s">
        <v>97</v>
      </c>
      <c r="L54" s="2" t="s">
        <v>256</v>
      </c>
      <c r="M54" s="2" t="s">
        <v>98</v>
      </c>
      <c r="N54" s="2" t="s">
        <v>334</v>
      </c>
      <c r="O54" s="2" t="s">
        <v>155</v>
      </c>
      <c r="P54" t="s">
        <v>2800</v>
      </c>
      <c r="Q54" s="2" t="s">
        <v>102</v>
      </c>
      <c r="R54" s="2" t="s">
        <v>194</v>
      </c>
      <c r="S54" s="2" t="s">
        <v>930</v>
      </c>
      <c r="T54" s="2" t="s">
        <v>157</v>
      </c>
      <c r="U54" s="158">
        <v>3.71</v>
      </c>
      <c r="V54" s="151">
        <v>308.89800000000002</v>
      </c>
      <c r="W54" s="151">
        <v>1146.0129999999999</v>
      </c>
      <c r="X54" s="164">
        <v>0</v>
      </c>
      <c r="Y54" s="164">
        <v>1.5216493622175999E-2</v>
      </c>
      <c r="Z54" s="164">
        <v>2.7820470293907699E-3</v>
      </c>
    </row>
    <row r="55" spans="1:26">
      <c r="A55" s="2">
        <v>1182</v>
      </c>
      <c r="B55" s="2">
        <v>1182</v>
      </c>
      <c r="C55" s="2" t="s">
        <v>2801</v>
      </c>
      <c r="D55" s="2" t="s">
        <v>2802</v>
      </c>
      <c r="E55" s="2" t="s">
        <v>350</v>
      </c>
      <c r="F55" s="2" t="s">
        <v>2803</v>
      </c>
      <c r="G55" s="2">
        <v>62003800</v>
      </c>
      <c r="H55" s="2" t="s">
        <v>33</v>
      </c>
      <c r="I55" s="2" t="s">
        <v>1059</v>
      </c>
      <c r="J55" s="2" t="s">
        <v>884</v>
      </c>
      <c r="K55" s="2" t="s">
        <v>97</v>
      </c>
      <c r="L55" s="2" t="s">
        <v>256</v>
      </c>
      <c r="M55" s="2" t="s">
        <v>98</v>
      </c>
      <c r="N55" s="2" t="s">
        <v>334</v>
      </c>
      <c r="O55" s="2" t="s">
        <v>155</v>
      </c>
      <c r="P55" t="s">
        <v>2804</v>
      </c>
      <c r="Q55" s="2" t="s">
        <v>102</v>
      </c>
      <c r="R55" s="2" t="s">
        <v>194</v>
      </c>
      <c r="S55" s="2" t="s">
        <v>930</v>
      </c>
      <c r="T55" s="2" t="s">
        <v>157</v>
      </c>
      <c r="U55" s="158">
        <v>3.71</v>
      </c>
      <c r="V55" s="151">
        <v>529.20100000000002</v>
      </c>
      <c r="W55" s="151">
        <v>1963.3340000000001</v>
      </c>
      <c r="X55" s="164">
        <v>1.23E-3</v>
      </c>
      <c r="Y55" s="164">
        <v>2.6068689361664399E-2</v>
      </c>
      <c r="Z55" s="164">
        <v>4.7661650311497999E-3</v>
      </c>
    </row>
    <row r="56" spans="1:26">
      <c r="A56" s="2">
        <v>1182</v>
      </c>
      <c r="B56" s="2">
        <v>1182</v>
      </c>
      <c r="C56" s="2" t="s">
        <v>2801</v>
      </c>
      <c r="D56" s="2" t="s">
        <v>2802</v>
      </c>
      <c r="E56" s="2" t="s">
        <v>350</v>
      </c>
      <c r="F56" s="2" t="s">
        <v>2805</v>
      </c>
      <c r="G56" s="2">
        <v>620101031</v>
      </c>
      <c r="H56" s="2" t="s">
        <v>33</v>
      </c>
      <c r="I56" s="2" t="s">
        <v>1059</v>
      </c>
      <c r="J56" s="2" t="s">
        <v>603</v>
      </c>
      <c r="K56" s="2" t="s">
        <v>97</v>
      </c>
      <c r="L56" s="2" t="s">
        <v>256</v>
      </c>
      <c r="M56" s="2" t="s">
        <v>98</v>
      </c>
      <c r="N56" s="2" t="s">
        <v>98</v>
      </c>
      <c r="O56" s="2" t="s">
        <v>155</v>
      </c>
      <c r="P56" t="s">
        <v>2676</v>
      </c>
      <c r="Q56" s="2" t="s">
        <v>102</v>
      </c>
      <c r="R56" s="2" t="s">
        <v>194</v>
      </c>
      <c r="S56" s="2" t="s">
        <v>930</v>
      </c>
      <c r="T56" s="2" t="s">
        <v>157</v>
      </c>
      <c r="U56" s="158">
        <v>3.71</v>
      </c>
      <c r="V56" s="151">
        <v>315.63299999999998</v>
      </c>
      <c r="W56" s="151">
        <v>1170.998</v>
      </c>
      <c r="X56" s="164">
        <v>0</v>
      </c>
      <c r="Y56" s="164">
        <v>1.55482306110135E-2</v>
      </c>
      <c r="Z56" s="164">
        <v>2.8426988409874501E-3</v>
      </c>
    </row>
    <row r="57" spans="1:26">
      <c r="A57" s="2">
        <v>1182</v>
      </c>
      <c r="B57" s="2">
        <v>1182</v>
      </c>
      <c r="C57" s="2" t="s">
        <v>2801</v>
      </c>
      <c r="D57" s="2" t="s">
        <v>2802</v>
      </c>
      <c r="E57" s="2" t="s">
        <v>350</v>
      </c>
      <c r="F57" s="2" t="s">
        <v>2806</v>
      </c>
      <c r="G57" s="2">
        <v>62014857</v>
      </c>
      <c r="H57" s="2" t="s">
        <v>33</v>
      </c>
      <c r="I57" s="2" t="s">
        <v>1059</v>
      </c>
      <c r="J57" s="2" t="s">
        <v>884</v>
      </c>
      <c r="K57" s="2" t="s">
        <v>97</v>
      </c>
      <c r="L57" s="2" t="s">
        <v>256</v>
      </c>
      <c r="M57" s="2" t="s">
        <v>98</v>
      </c>
      <c r="N57" s="2" t="s">
        <v>334</v>
      </c>
      <c r="O57" s="2" t="s">
        <v>155</v>
      </c>
      <c r="P57" t="s">
        <v>2807</v>
      </c>
      <c r="Q57" s="2" t="s">
        <v>102</v>
      </c>
      <c r="R57" s="2" t="s">
        <v>926</v>
      </c>
      <c r="S57" s="2" t="s">
        <v>930</v>
      </c>
      <c r="T57" s="2" t="s">
        <v>157</v>
      </c>
      <c r="U57" s="158">
        <v>3.71</v>
      </c>
      <c r="V57" s="151">
        <v>298.99700000000001</v>
      </c>
      <c r="W57" s="151">
        <v>1109.28</v>
      </c>
      <c r="X57" s="164">
        <v>3.4200000000000002E-4</v>
      </c>
      <c r="Y57" s="164">
        <v>1.4728761421924899E-2</v>
      </c>
      <c r="Z57" s="164">
        <v>2.6928744543850999E-3</v>
      </c>
    </row>
    <row r="58" spans="1:26">
      <c r="A58" s="2">
        <v>1182</v>
      </c>
      <c r="B58" s="2">
        <v>1182</v>
      </c>
      <c r="C58" s="2" t="s">
        <v>2801</v>
      </c>
      <c r="D58" s="2" t="s">
        <v>2802</v>
      </c>
      <c r="E58" s="2" t="s">
        <v>350</v>
      </c>
      <c r="F58" s="2" t="s">
        <v>2808</v>
      </c>
      <c r="G58" s="2">
        <v>62019476</v>
      </c>
      <c r="H58" s="2" t="s">
        <v>33</v>
      </c>
      <c r="I58" s="2" t="s">
        <v>1059</v>
      </c>
      <c r="J58" s="2" t="s">
        <v>884</v>
      </c>
      <c r="K58" s="2" t="s">
        <v>97</v>
      </c>
      <c r="L58" s="2" t="s">
        <v>256</v>
      </c>
      <c r="M58" s="2" t="s">
        <v>98</v>
      </c>
      <c r="N58" s="2" t="s">
        <v>334</v>
      </c>
      <c r="O58" s="2" t="s">
        <v>155</v>
      </c>
      <c r="P58" t="s">
        <v>2726</v>
      </c>
      <c r="Q58" s="2" t="s">
        <v>102</v>
      </c>
      <c r="R58" s="2" t="s">
        <v>194</v>
      </c>
      <c r="S58" s="2" t="s">
        <v>930</v>
      </c>
      <c r="T58" s="2" t="s">
        <v>157</v>
      </c>
      <c r="U58" s="158">
        <v>3.71</v>
      </c>
      <c r="V58" s="151">
        <v>267.815</v>
      </c>
      <c r="W58" s="151">
        <v>993.59199999999998</v>
      </c>
      <c r="X58" s="164">
        <v>2.5900000000000001E-4</v>
      </c>
      <c r="Y58" s="164">
        <v>1.3192683683869199E-2</v>
      </c>
      <c r="Z58" s="164">
        <v>2.4120317967939102E-3</v>
      </c>
    </row>
    <row r="59" spans="1:26">
      <c r="A59" s="2">
        <v>1182</v>
      </c>
      <c r="B59" s="2">
        <v>1182</v>
      </c>
      <c r="C59" s="2" t="s">
        <v>2801</v>
      </c>
      <c r="D59" s="2" t="s">
        <v>2802</v>
      </c>
      <c r="E59" s="2" t="s">
        <v>350</v>
      </c>
      <c r="F59" s="2" t="s">
        <v>2809</v>
      </c>
      <c r="G59" s="2">
        <v>62020458</v>
      </c>
      <c r="H59" s="2" t="s">
        <v>33</v>
      </c>
      <c r="I59" s="2" t="s">
        <v>1059</v>
      </c>
      <c r="J59" s="2" t="s">
        <v>878</v>
      </c>
      <c r="K59" s="2" t="s">
        <v>97</v>
      </c>
      <c r="L59" s="2" t="s">
        <v>256</v>
      </c>
      <c r="M59" s="2" t="s">
        <v>98</v>
      </c>
      <c r="N59" s="2" t="s">
        <v>334</v>
      </c>
      <c r="O59" s="2" t="s">
        <v>155</v>
      </c>
      <c r="P59" t="s">
        <v>2810</v>
      </c>
      <c r="Q59" s="2" t="s">
        <v>102</v>
      </c>
      <c r="R59" s="2" t="s">
        <v>194</v>
      </c>
      <c r="S59" s="2" t="s">
        <v>930</v>
      </c>
      <c r="T59" s="2" t="s">
        <v>157</v>
      </c>
      <c r="U59" s="158">
        <v>3.71</v>
      </c>
      <c r="V59" s="151">
        <v>141.749</v>
      </c>
      <c r="W59" s="151">
        <v>525.88699999999994</v>
      </c>
      <c r="X59" s="164">
        <v>7.4999999999999993E-5</v>
      </c>
      <c r="Y59" s="164">
        <v>6.9826093346523803E-3</v>
      </c>
      <c r="Z59" s="164">
        <v>1.27663757756617E-3</v>
      </c>
    </row>
    <row r="60" spans="1:26">
      <c r="A60" s="2">
        <v>1182</v>
      </c>
      <c r="B60" s="2">
        <v>1182</v>
      </c>
      <c r="C60" s="2" t="s">
        <v>2801</v>
      </c>
      <c r="D60" s="2" t="s">
        <v>2802</v>
      </c>
      <c r="E60" s="2" t="s">
        <v>350</v>
      </c>
      <c r="F60" s="2" t="s">
        <v>2811</v>
      </c>
      <c r="G60" s="2">
        <v>62017678</v>
      </c>
      <c r="H60" s="2" t="s">
        <v>33</v>
      </c>
      <c r="I60" s="2" t="s">
        <v>1059</v>
      </c>
      <c r="J60" s="2" t="s">
        <v>878</v>
      </c>
      <c r="K60" s="2" t="s">
        <v>97</v>
      </c>
      <c r="L60" s="2" t="s">
        <v>256</v>
      </c>
      <c r="M60" s="2" t="s">
        <v>98</v>
      </c>
      <c r="N60" s="2" t="s">
        <v>334</v>
      </c>
      <c r="O60" s="2" t="s">
        <v>155</v>
      </c>
      <c r="P60" t="s">
        <v>2812</v>
      </c>
      <c r="Q60" s="2" t="s">
        <v>102</v>
      </c>
      <c r="R60" s="2" t="s">
        <v>194</v>
      </c>
      <c r="S60" s="2" t="s">
        <v>930</v>
      </c>
      <c r="T60" s="2" t="s">
        <v>157</v>
      </c>
      <c r="U60" s="158">
        <v>3.71</v>
      </c>
      <c r="V60" s="151">
        <v>571.00599999999997</v>
      </c>
      <c r="W60" s="151">
        <v>2118.4319999999998</v>
      </c>
      <c r="X60" s="164">
        <v>9.7000000000000005E-4</v>
      </c>
      <c r="Y60" s="164">
        <v>2.8128044868966098E-2</v>
      </c>
      <c r="Z60" s="164">
        <v>5.14267909633488E-3</v>
      </c>
    </row>
    <row r="61" spans="1:26">
      <c r="A61" s="2">
        <v>1182</v>
      </c>
      <c r="B61" s="2">
        <v>1182</v>
      </c>
      <c r="C61" s="2" t="s">
        <v>2801</v>
      </c>
      <c r="D61" s="2" t="s">
        <v>2802</v>
      </c>
      <c r="E61" s="2" t="s">
        <v>350</v>
      </c>
      <c r="F61" s="2" t="s">
        <v>2813</v>
      </c>
      <c r="G61" s="2">
        <v>62019237</v>
      </c>
      <c r="H61" s="2" t="s">
        <v>33</v>
      </c>
      <c r="I61" s="2" t="s">
        <v>1059</v>
      </c>
      <c r="J61" s="2" t="s">
        <v>877</v>
      </c>
      <c r="K61" s="2" t="s">
        <v>97</v>
      </c>
      <c r="L61" s="2" t="s">
        <v>256</v>
      </c>
      <c r="M61" s="2" t="s">
        <v>98</v>
      </c>
      <c r="N61" s="2" t="s">
        <v>98</v>
      </c>
      <c r="O61" s="2" t="s">
        <v>155</v>
      </c>
      <c r="P61" t="s">
        <v>2814</v>
      </c>
      <c r="Q61" s="2" t="s">
        <v>102</v>
      </c>
      <c r="R61" s="2" t="s">
        <v>926</v>
      </c>
      <c r="S61" s="2" t="s">
        <v>930</v>
      </c>
      <c r="T61" s="2" t="s">
        <v>157</v>
      </c>
      <c r="U61" s="158">
        <v>3.71</v>
      </c>
      <c r="V61" s="151">
        <v>428.29700000000003</v>
      </c>
      <c r="W61" s="151">
        <v>1588.9829999999999</v>
      </c>
      <c r="X61" s="164">
        <v>5.9999999999999995E-4</v>
      </c>
      <c r="Y61" s="164">
        <v>2.1098137321588099E-2</v>
      </c>
      <c r="Z61" s="164">
        <v>3.8573939383552201E-3</v>
      </c>
    </row>
    <row r="62" spans="1:26">
      <c r="A62" s="2">
        <v>1182</v>
      </c>
      <c r="B62" s="2">
        <v>1182</v>
      </c>
      <c r="C62" s="2" t="s">
        <v>2815</v>
      </c>
      <c r="D62" s="2" t="s">
        <v>2816</v>
      </c>
      <c r="E62" s="2" t="s">
        <v>33</v>
      </c>
      <c r="F62" s="2" t="s">
        <v>2817</v>
      </c>
      <c r="G62" s="2">
        <v>62021845</v>
      </c>
      <c r="H62" s="2" t="s">
        <v>33</v>
      </c>
      <c r="I62" s="2" t="s">
        <v>1059</v>
      </c>
      <c r="J62" s="2" t="s">
        <v>603</v>
      </c>
      <c r="K62" s="2" t="s">
        <v>97</v>
      </c>
      <c r="L62" s="11" t="s">
        <v>98</v>
      </c>
      <c r="M62" s="11" t="s">
        <v>98</v>
      </c>
      <c r="N62" s="11" t="s">
        <v>98</v>
      </c>
      <c r="O62" s="2" t="s">
        <v>155</v>
      </c>
      <c r="P62" t="s">
        <v>2818</v>
      </c>
      <c r="Q62" s="2" t="s">
        <v>102</v>
      </c>
      <c r="R62" s="2" t="s">
        <v>194</v>
      </c>
      <c r="T62" s="2" t="s">
        <v>157</v>
      </c>
      <c r="U62" s="158">
        <v>3.71</v>
      </c>
      <c r="V62" s="151">
        <v>40</v>
      </c>
      <c r="W62" s="151">
        <v>148.4</v>
      </c>
      <c r="X62" s="164">
        <v>0</v>
      </c>
      <c r="Y62" s="164">
        <v>1.97042019759905E-3</v>
      </c>
      <c r="Z62" s="164">
        <v>3.6025393191720703E-4</v>
      </c>
    </row>
    <row r="63" spans="1:26">
      <c r="A63" s="2">
        <v>1182</v>
      </c>
      <c r="B63" s="2">
        <v>1182</v>
      </c>
      <c r="C63" s="2" t="s">
        <v>2819</v>
      </c>
      <c r="D63" s="2" t="s">
        <v>2820</v>
      </c>
      <c r="E63" s="2" t="s">
        <v>350</v>
      </c>
      <c r="F63" s="2" t="s">
        <v>2821</v>
      </c>
      <c r="G63" s="2">
        <v>62020565</v>
      </c>
      <c r="H63" s="2" t="s">
        <v>33</v>
      </c>
      <c r="I63" s="2" t="s">
        <v>1059</v>
      </c>
      <c r="J63" s="2" t="s">
        <v>603</v>
      </c>
      <c r="K63" s="2" t="s">
        <v>97</v>
      </c>
      <c r="L63" s="11" t="s">
        <v>98</v>
      </c>
      <c r="M63" s="11" t="s">
        <v>98</v>
      </c>
      <c r="N63" s="11" t="s">
        <v>98</v>
      </c>
      <c r="O63" s="2" t="s">
        <v>155</v>
      </c>
      <c r="P63" t="s">
        <v>2623</v>
      </c>
      <c r="Q63" s="2" t="s">
        <v>1209</v>
      </c>
      <c r="R63" s="2" t="s">
        <v>194</v>
      </c>
      <c r="S63" s="2" t="s">
        <v>930</v>
      </c>
      <c r="T63" s="2" t="s">
        <v>157</v>
      </c>
      <c r="U63" s="158">
        <v>4.1524000000000001</v>
      </c>
      <c r="V63" s="151">
        <v>153.79599999999999</v>
      </c>
      <c r="W63" s="151">
        <v>638.62199999999996</v>
      </c>
      <c r="X63" s="164">
        <v>1.15E-4</v>
      </c>
      <c r="Y63" s="164">
        <v>8.4794720912414797E-3</v>
      </c>
      <c r="Z63" s="164">
        <v>1.55031052014905E-3</v>
      </c>
    </row>
    <row r="64" spans="1:26">
      <c r="A64" s="2">
        <v>1182</v>
      </c>
      <c r="B64" s="2">
        <v>1182</v>
      </c>
      <c r="C64" s="2" t="s">
        <v>2822</v>
      </c>
      <c r="D64" s="2" t="s">
        <v>2823</v>
      </c>
      <c r="E64" s="2" t="s">
        <v>349</v>
      </c>
      <c r="F64" s="2" t="s">
        <v>2824</v>
      </c>
      <c r="G64" s="2">
        <v>62017702</v>
      </c>
      <c r="H64" s="2" t="s">
        <v>33</v>
      </c>
      <c r="I64" s="2" t="s">
        <v>1059</v>
      </c>
      <c r="J64" s="2" t="s">
        <v>868</v>
      </c>
      <c r="K64" s="2" t="s">
        <v>97</v>
      </c>
      <c r="L64" s="2" t="s">
        <v>98</v>
      </c>
      <c r="M64" s="2" t="s">
        <v>98</v>
      </c>
      <c r="N64" s="2" t="s">
        <v>98</v>
      </c>
      <c r="O64" s="2" t="s">
        <v>155</v>
      </c>
      <c r="P64" t="s">
        <v>2825</v>
      </c>
      <c r="Q64" s="2" t="s">
        <v>102</v>
      </c>
      <c r="R64" s="2" t="s">
        <v>926</v>
      </c>
      <c r="S64" s="2" t="s">
        <v>930</v>
      </c>
      <c r="T64" s="2" t="s">
        <v>157</v>
      </c>
      <c r="U64" s="158">
        <v>3.71</v>
      </c>
      <c r="V64" s="151">
        <v>430.661</v>
      </c>
      <c r="W64" s="151">
        <v>1597.75</v>
      </c>
      <c r="X64" s="164">
        <v>0</v>
      </c>
      <c r="Y64" s="164">
        <v>2.12145537790316E-2</v>
      </c>
      <c r="Z64" s="164">
        <v>3.8786784778585201E-3</v>
      </c>
    </row>
    <row r="65" spans="1:26">
      <c r="A65" s="2">
        <v>1182</v>
      </c>
      <c r="B65" s="2">
        <v>1182</v>
      </c>
      <c r="C65" s="2" t="s">
        <v>2826</v>
      </c>
      <c r="D65" s="2" t="s">
        <v>2827</v>
      </c>
      <c r="E65" s="2" t="s">
        <v>350</v>
      </c>
      <c r="F65" s="2" t="s">
        <v>2828</v>
      </c>
      <c r="G65" s="2">
        <v>77847846</v>
      </c>
      <c r="H65" s="2" t="s">
        <v>33</v>
      </c>
      <c r="I65" s="2" t="s">
        <v>1059</v>
      </c>
      <c r="J65" s="2" t="s">
        <v>603</v>
      </c>
      <c r="K65" s="2" t="s">
        <v>97</v>
      </c>
      <c r="L65" s="2" t="s">
        <v>291</v>
      </c>
      <c r="M65" s="2" t="s">
        <v>291</v>
      </c>
      <c r="N65" s="2" t="s">
        <v>98</v>
      </c>
      <c r="O65" s="2" t="s">
        <v>155</v>
      </c>
      <c r="P65" t="s">
        <v>2829</v>
      </c>
      <c r="Q65" s="2" t="s">
        <v>102</v>
      </c>
      <c r="R65" s="2" t="s">
        <v>926</v>
      </c>
      <c r="S65" s="2" t="s">
        <v>930</v>
      </c>
      <c r="T65" s="2" t="s">
        <v>157</v>
      </c>
      <c r="U65" s="158">
        <v>3.71</v>
      </c>
      <c r="V65" s="151">
        <v>835.19200000000001</v>
      </c>
      <c r="W65" s="151">
        <v>3098.5619999999999</v>
      </c>
      <c r="X65" s="164">
        <v>0</v>
      </c>
      <c r="Y65" s="164">
        <v>4.1141974035983103E-2</v>
      </c>
      <c r="Z65" s="164">
        <v>7.5220290227224597E-3</v>
      </c>
    </row>
    <row r="66" spans="1:26">
      <c r="A66" s="2">
        <v>1182</v>
      </c>
      <c r="B66" s="2">
        <v>1182</v>
      </c>
      <c r="C66" s="2" t="s">
        <v>2830</v>
      </c>
      <c r="D66" s="2" t="s">
        <v>2831</v>
      </c>
      <c r="E66" s="2" t="s">
        <v>349</v>
      </c>
      <c r="F66" s="2" t="s">
        <v>2832</v>
      </c>
      <c r="G66" s="2">
        <v>62019013</v>
      </c>
      <c r="H66" s="2" t="s">
        <v>33</v>
      </c>
      <c r="I66" s="2" t="s">
        <v>1059</v>
      </c>
      <c r="J66" s="2" t="s">
        <v>872</v>
      </c>
      <c r="K66" s="2" t="s">
        <v>97</v>
      </c>
      <c r="L66" s="2" t="s">
        <v>98</v>
      </c>
      <c r="M66" s="2" t="s">
        <v>98</v>
      </c>
      <c r="N66" s="2" t="s">
        <v>98</v>
      </c>
      <c r="O66" s="2" t="s">
        <v>155</v>
      </c>
      <c r="P66" t="s">
        <v>2833</v>
      </c>
      <c r="Q66" s="2" t="s">
        <v>102</v>
      </c>
      <c r="R66" s="2" t="s">
        <v>926</v>
      </c>
      <c r="S66" s="2" t="s">
        <v>930</v>
      </c>
      <c r="T66" s="2" t="s">
        <v>157</v>
      </c>
      <c r="U66" s="158">
        <v>3.71</v>
      </c>
      <c r="V66" s="151">
        <v>336.40600000000001</v>
      </c>
      <c r="W66" s="151">
        <v>1248.066</v>
      </c>
      <c r="X66" s="164">
        <v>4.6E-5</v>
      </c>
      <c r="Y66" s="164">
        <v>1.6571520833718899E-2</v>
      </c>
      <c r="Z66" s="164">
        <v>3.0297880347905002E-3</v>
      </c>
    </row>
    <row r="67" spans="1:26">
      <c r="A67" s="2">
        <v>1182</v>
      </c>
      <c r="B67" s="2">
        <v>1182</v>
      </c>
      <c r="C67" s="2" t="s">
        <v>2834</v>
      </c>
      <c r="D67" s="2" t="s">
        <v>2835</v>
      </c>
      <c r="E67" s="2" t="s">
        <v>349</v>
      </c>
      <c r="F67" s="2" t="s">
        <v>2836</v>
      </c>
      <c r="G67" s="2">
        <v>62006705</v>
      </c>
      <c r="H67" s="2" t="s">
        <v>33</v>
      </c>
      <c r="I67" s="2" t="s">
        <v>1059</v>
      </c>
      <c r="J67" s="2" t="s">
        <v>872</v>
      </c>
      <c r="K67" s="2" t="s">
        <v>97</v>
      </c>
      <c r="L67" s="2" t="s">
        <v>98</v>
      </c>
      <c r="M67" s="2" t="s">
        <v>98</v>
      </c>
      <c r="N67" s="2" t="s">
        <v>334</v>
      </c>
      <c r="O67" s="2" t="s">
        <v>155</v>
      </c>
      <c r="P67" t="s">
        <v>2837</v>
      </c>
      <c r="Q67" s="2" t="s">
        <v>102</v>
      </c>
      <c r="R67" s="2" t="s">
        <v>926</v>
      </c>
      <c r="S67" s="2" t="s">
        <v>930</v>
      </c>
      <c r="T67" s="2" t="s">
        <v>157</v>
      </c>
      <c r="U67" s="158">
        <v>3.71</v>
      </c>
      <c r="V67" s="151">
        <v>228.64</v>
      </c>
      <c r="W67" s="151">
        <v>848.25400000000002</v>
      </c>
      <c r="X67" s="164">
        <v>4.8799999999999999E-4</v>
      </c>
      <c r="Y67" s="164">
        <v>1.12629226135135E-2</v>
      </c>
      <c r="Z67" s="164">
        <v>2.0592116145284802E-3</v>
      </c>
    </row>
    <row r="68" spans="1:26">
      <c r="A68" s="2">
        <v>1182</v>
      </c>
      <c r="B68" s="2">
        <v>1182</v>
      </c>
      <c r="C68" s="2" t="s">
        <v>2838</v>
      </c>
      <c r="D68" s="2" t="s">
        <v>2839</v>
      </c>
      <c r="E68" s="2" t="s">
        <v>349</v>
      </c>
      <c r="F68" s="2" t="s">
        <v>2840</v>
      </c>
      <c r="G68" s="2">
        <v>62017652</v>
      </c>
      <c r="H68" s="2" t="s">
        <v>33</v>
      </c>
      <c r="I68" s="2" t="s">
        <v>1059</v>
      </c>
      <c r="J68" s="2" t="s">
        <v>880</v>
      </c>
      <c r="K68" s="2" t="s">
        <v>97</v>
      </c>
      <c r="L68" s="2" t="s">
        <v>256</v>
      </c>
      <c r="M68" s="2" t="s">
        <v>98</v>
      </c>
      <c r="N68" s="2" t="s">
        <v>334</v>
      </c>
      <c r="O68" s="2" t="s">
        <v>155</v>
      </c>
      <c r="P68" t="s">
        <v>2841</v>
      </c>
      <c r="Q68" s="2" t="s">
        <v>102</v>
      </c>
      <c r="R68" s="2" t="s">
        <v>194</v>
      </c>
      <c r="S68" s="2" t="s">
        <v>930</v>
      </c>
      <c r="T68" s="2" t="s">
        <v>157</v>
      </c>
      <c r="U68" s="158">
        <v>3.71</v>
      </c>
      <c r="V68" s="151">
        <v>383.71199999999999</v>
      </c>
      <c r="W68" s="151">
        <v>1423.57</v>
      </c>
      <c r="X68" s="164">
        <v>1.0399999999999999E-4</v>
      </c>
      <c r="Y68" s="164">
        <v>1.8901828800619799E-2</v>
      </c>
      <c r="Z68" s="164">
        <v>3.4558406141727998E-3</v>
      </c>
    </row>
    <row r="69" spans="1:26">
      <c r="A69" s="2">
        <v>1182</v>
      </c>
      <c r="B69" s="2">
        <v>1182</v>
      </c>
      <c r="C69" s="2" t="s">
        <v>2842</v>
      </c>
      <c r="D69" s="2" t="s">
        <v>2843</v>
      </c>
      <c r="E69" s="2" t="s">
        <v>349</v>
      </c>
      <c r="F69" s="2" t="s">
        <v>2844</v>
      </c>
      <c r="G69" s="2">
        <v>62021142</v>
      </c>
      <c r="H69" s="2" t="s">
        <v>33</v>
      </c>
      <c r="I69" s="2" t="s">
        <v>1059</v>
      </c>
      <c r="J69" s="2" t="s">
        <v>880</v>
      </c>
      <c r="K69" s="2" t="s">
        <v>97</v>
      </c>
      <c r="L69" s="2" t="s">
        <v>256</v>
      </c>
      <c r="M69" s="2" t="s">
        <v>98</v>
      </c>
      <c r="N69" s="2" t="s">
        <v>334</v>
      </c>
      <c r="O69" s="2" t="s">
        <v>155</v>
      </c>
      <c r="P69" t="s">
        <v>2845</v>
      </c>
      <c r="Q69" s="2" t="s">
        <v>102</v>
      </c>
      <c r="R69" s="2" t="s">
        <v>926</v>
      </c>
      <c r="S69" s="2" t="s">
        <v>930</v>
      </c>
      <c r="T69" s="2" t="s">
        <v>157</v>
      </c>
      <c r="U69" s="158">
        <v>3.71</v>
      </c>
      <c r="V69" s="151">
        <v>215.643</v>
      </c>
      <c r="W69" s="151">
        <v>800.03399999999999</v>
      </c>
      <c r="X69" s="164">
        <v>5.1999999999999997E-5</v>
      </c>
      <c r="Y69" s="164">
        <v>1.06226645940819E-2</v>
      </c>
      <c r="Z69" s="164">
        <v>1.9421525886299401E-3</v>
      </c>
    </row>
    <row r="70" spans="1:26">
      <c r="A70" s="2">
        <v>1182</v>
      </c>
      <c r="B70" s="2">
        <v>1182</v>
      </c>
      <c r="C70" s="2" t="s">
        <v>2846</v>
      </c>
      <c r="D70" s="2" t="s">
        <v>2847</v>
      </c>
      <c r="E70" s="2" t="s">
        <v>349</v>
      </c>
      <c r="F70" s="2" t="s">
        <v>2848</v>
      </c>
      <c r="G70" s="2">
        <v>62020953</v>
      </c>
      <c r="H70" s="2" t="s">
        <v>33</v>
      </c>
      <c r="I70" s="2" t="s">
        <v>1059</v>
      </c>
      <c r="J70" s="2" t="s">
        <v>603</v>
      </c>
      <c r="K70" s="2" t="s">
        <v>97</v>
      </c>
      <c r="L70" s="2" t="s">
        <v>256</v>
      </c>
      <c r="M70" s="2" t="s">
        <v>30</v>
      </c>
      <c r="N70" s="2" t="s">
        <v>334</v>
      </c>
      <c r="O70" s="2" t="s">
        <v>155</v>
      </c>
      <c r="P70" t="s">
        <v>2849</v>
      </c>
      <c r="Q70" s="2" t="s">
        <v>102</v>
      </c>
      <c r="R70" s="2" t="s">
        <v>194</v>
      </c>
      <c r="S70" s="2" t="s">
        <v>930</v>
      </c>
      <c r="T70" s="2" t="s">
        <v>157</v>
      </c>
      <c r="U70" s="158">
        <v>3.71</v>
      </c>
      <c r="V70" s="151">
        <v>183.75800000000001</v>
      </c>
      <c r="W70" s="151">
        <v>681.74</v>
      </c>
      <c r="X70" s="164">
        <v>1.1000000000000001E-3</v>
      </c>
      <c r="Y70" s="164">
        <v>9.05198871432282E-3</v>
      </c>
      <c r="Z70" s="164">
        <v>1.6549843175473499E-3</v>
      </c>
    </row>
    <row r="71" spans="1:26">
      <c r="A71" s="2">
        <v>1182</v>
      </c>
      <c r="B71" s="2">
        <v>1182</v>
      </c>
      <c r="C71" s="2" t="s">
        <v>2850</v>
      </c>
      <c r="D71" s="2" t="s">
        <v>2851</v>
      </c>
      <c r="E71" s="2" t="s">
        <v>349</v>
      </c>
      <c r="F71" s="2" t="s">
        <v>2852</v>
      </c>
      <c r="G71" s="2">
        <v>62020425</v>
      </c>
      <c r="H71" s="2" t="s">
        <v>33</v>
      </c>
      <c r="I71" s="2" t="s">
        <v>1059</v>
      </c>
      <c r="J71" s="2" t="s">
        <v>883</v>
      </c>
      <c r="K71" s="2" t="s">
        <v>97</v>
      </c>
      <c r="L71" s="2" t="s">
        <v>98</v>
      </c>
      <c r="M71" s="2" t="s">
        <v>98</v>
      </c>
      <c r="N71" s="2" t="s">
        <v>98</v>
      </c>
      <c r="O71" s="2" t="s">
        <v>155</v>
      </c>
      <c r="P71" t="s">
        <v>2853</v>
      </c>
      <c r="Q71" s="2" t="s">
        <v>102</v>
      </c>
      <c r="R71" s="2" t="s">
        <v>926</v>
      </c>
      <c r="S71" s="2" t="s">
        <v>930</v>
      </c>
      <c r="T71" s="2" t="s">
        <v>157</v>
      </c>
      <c r="U71" s="158">
        <v>3.71</v>
      </c>
      <c r="V71" s="151">
        <v>993.53300000000002</v>
      </c>
      <c r="W71" s="151">
        <v>3686.0070000000001</v>
      </c>
      <c r="X71" s="164">
        <v>2.6800000000000001E-4</v>
      </c>
      <c r="Y71" s="164">
        <v>4.8941928341974E-2</v>
      </c>
      <c r="Z71" s="164">
        <v>8.9481026139958796E-3</v>
      </c>
    </row>
    <row r="72" spans="1:26">
      <c r="A72" s="2">
        <v>1182</v>
      </c>
      <c r="B72" s="2">
        <v>1182</v>
      </c>
      <c r="C72" s="2" t="s">
        <v>2854</v>
      </c>
      <c r="D72" s="2" t="s">
        <v>2855</v>
      </c>
      <c r="E72" s="2" t="s">
        <v>349</v>
      </c>
      <c r="F72" s="2" t="s">
        <v>2856</v>
      </c>
      <c r="G72" s="2">
        <v>62021332</v>
      </c>
      <c r="H72" s="2" t="s">
        <v>33</v>
      </c>
      <c r="I72" s="2" t="s">
        <v>1059</v>
      </c>
      <c r="J72" s="2" t="s">
        <v>877</v>
      </c>
      <c r="K72" s="2" t="s">
        <v>97</v>
      </c>
      <c r="L72" s="2" t="s">
        <v>256</v>
      </c>
      <c r="M72" s="2" t="s">
        <v>98</v>
      </c>
      <c r="N72" s="2" t="s">
        <v>98</v>
      </c>
      <c r="O72" s="2" t="s">
        <v>155</v>
      </c>
      <c r="P72" t="s">
        <v>2857</v>
      </c>
      <c r="Q72" s="2" t="s">
        <v>102</v>
      </c>
      <c r="R72" s="2" t="s">
        <v>926</v>
      </c>
      <c r="S72" s="2" t="s">
        <v>930</v>
      </c>
      <c r="T72" s="2" t="s">
        <v>157</v>
      </c>
      <c r="U72" s="158">
        <v>3.71</v>
      </c>
      <c r="V72" s="151">
        <v>391.83100000000002</v>
      </c>
      <c r="W72" s="151">
        <v>1453.692</v>
      </c>
      <c r="X72" s="164">
        <v>0</v>
      </c>
      <c r="Y72" s="164">
        <v>1.93017756175459E-2</v>
      </c>
      <c r="Z72" s="164">
        <v>3.5289632981216198E-3</v>
      </c>
    </row>
    <row r="73" spans="1:26">
      <c r="A73" s="2">
        <v>1182</v>
      </c>
      <c r="B73" s="2">
        <v>1182</v>
      </c>
      <c r="C73" s="2" t="s">
        <v>2858</v>
      </c>
      <c r="D73" s="2" t="s">
        <v>2859</v>
      </c>
      <c r="E73" s="2" t="s">
        <v>349</v>
      </c>
      <c r="F73" s="2" t="s">
        <v>2860</v>
      </c>
      <c r="G73" s="2">
        <v>62021324</v>
      </c>
      <c r="H73" s="2" t="s">
        <v>33</v>
      </c>
      <c r="I73" s="2" t="s">
        <v>1059</v>
      </c>
      <c r="J73" s="2" t="s">
        <v>877</v>
      </c>
      <c r="K73" s="2" t="s">
        <v>97</v>
      </c>
      <c r="L73" s="2" t="s">
        <v>256</v>
      </c>
      <c r="M73" s="2" t="s">
        <v>98</v>
      </c>
      <c r="N73" s="2" t="s">
        <v>98</v>
      </c>
      <c r="O73" s="2" t="s">
        <v>155</v>
      </c>
      <c r="P73" t="s">
        <v>2857</v>
      </c>
      <c r="Q73" s="2" t="s">
        <v>102</v>
      </c>
      <c r="R73" s="2" t="s">
        <v>926</v>
      </c>
      <c r="S73" s="2" t="s">
        <v>930</v>
      </c>
      <c r="T73" s="2" t="s">
        <v>157</v>
      </c>
      <c r="U73" s="158">
        <v>3.71</v>
      </c>
      <c r="V73" s="151">
        <v>164.31800000000001</v>
      </c>
      <c r="W73" s="151">
        <v>609.61900000000003</v>
      </c>
      <c r="X73" s="164">
        <v>0</v>
      </c>
      <c r="Y73" s="164">
        <v>8.0943726826270095E-3</v>
      </c>
      <c r="Z73" s="164">
        <v>1.47990240298632E-3</v>
      </c>
    </row>
    <row r="74" spans="1:26">
      <c r="A74" s="2">
        <v>1182</v>
      </c>
      <c r="B74" s="2">
        <v>1182</v>
      </c>
      <c r="C74" s="2" t="s">
        <v>2861</v>
      </c>
      <c r="E74" s="2" t="s">
        <v>350</v>
      </c>
      <c r="F74" s="2" t="s">
        <v>2862</v>
      </c>
      <c r="G74" s="2">
        <v>62021894</v>
      </c>
      <c r="H74" s="2" t="s">
        <v>33</v>
      </c>
      <c r="I74" s="2" t="s">
        <v>1059</v>
      </c>
      <c r="J74" s="2" t="s">
        <v>603</v>
      </c>
      <c r="K74" s="2" t="s">
        <v>97</v>
      </c>
      <c r="L74" s="2" t="s">
        <v>291</v>
      </c>
      <c r="M74" s="2" t="s">
        <v>271</v>
      </c>
      <c r="N74" s="2" t="s">
        <v>334</v>
      </c>
      <c r="O74" s="2" t="s">
        <v>155</v>
      </c>
      <c r="P74" t="s">
        <v>2863</v>
      </c>
      <c r="Q74" s="2" t="s">
        <v>102</v>
      </c>
      <c r="R74" s="2" t="s">
        <v>194</v>
      </c>
      <c r="T74" s="2" t="s">
        <v>157</v>
      </c>
      <c r="U74" s="158">
        <v>3.71</v>
      </c>
      <c r="V74" s="151">
        <v>15.654</v>
      </c>
      <c r="W74" s="151">
        <v>58.076999999999998</v>
      </c>
      <c r="X74" s="164">
        <v>2.0999999999999999E-5</v>
      </c>
      <c r="Y74" s="164">
        <v>7.7112689996068401E-4</v>
      </c>
      <c r="Z74" s="164">
        <v>1.4098591663669701E-4</v>
      </c>
    </row>
    <row r="75" spans="1:26">
      <c r="A75" s="2">
        <v>1182</v>
      </c>
      <c r="B75" s="2">
        <v>1182</v>
      </c>
      <c r="C75" s="2" t="s">
        <v>2864</v>
      </c>
      <c r="D75" s="2" t="s">
        <v>2865</v>
      </c>
      <c r="E75" s="2" t="s">
        <v>350</v>
      </c>
      <c r="F75" s="2" t="s">
        <v>2866</v>
      </c>
      <c r="G75" s="2">
        <v>62021571</v>
      </c>
      <c r="H75" s="2" t="s">
        <v>33</v>
      </c>
      <c r="I75" s="2" t="s">
        <v>1059</v>
      </c>
      <c r="J75" s="2" t="s">
        <v>603</v>
      </c>
      <c r="K75" s="2" t="s">
        <v>97</v>
      </c>
      <c r="L75" s="2" t="s">
        <v>291</v>
      </c>
      <c r="M75" s="2" t="s">
        <v>271</v>
      </c>
      <c r="N75" s="2" t="s">
        <v>331</v>
      </c>
      <c r="O75" s="2" t="s">
        <v>155</v>
      </c>
      <c r="P75" t="s">
        <v>2867</v>
      </c>
      <c r="Q75" s="2" t="s">
        <v>1209</v>
      </c>
      <c r="R75" s="2" t="s">
        <v>194</v>
      </c>
      <c r="S75" s="2" t="s">
        <v>930</v>
      </c>
      <c r="T75" s="2" t="s">
        <v>157</v>
      </c>
      <c r="U75" s="158">
        <v>4.1524000000000001</v>
      </c>
      <c r="V75" s="151">
        <v>125.751</v>
      </c>
      <c r="W75" s="151">
        <v>522.16700000000003</v>
      </c>
      <c r="X75" s="164">
        <v>4.9899999999999999E-4</v>
      </c>
      <c r="Y75" s="164">
        <v>6.9332134143507904E-3</v>
      </c>
      <c r="Z75" s="164">
        <v>1.26760647113974E-3</v>
      </c>
    </row>
    <row r="76" spans="1:26">
      <c r="A76" s="2">
        <v>1182</v>
      </c>
      <c r="B76" s="2">
        <v>1182</v>
      </c>
      <c r="C76" s="2" t="s">
        <v>2868</v>
      </c>
      <c r="D76" s="2" t="s">
        <v>2869</v>
      </c>
      <c r="E76" s="2" t="s">
        <v>349</v>
      </c>
      <c r="F76" s="2" t="s">
        <v>2870</v>
      </c>
      <c r="G76" s="2">
        <v>62019849</v>
      </c>
      <c r="H76" s="2" t="s">
        <v>33</v>
      </c>
      <c r="I76" s="2" t="s">
        <v>1059</v>
      </c>
      <c r="J76" s="2" t="s">
        <v>603</v>
      </c>
      <c r="K76" s="2" t="s">
        <v>97</v>
      </c>
      <c r="L76" s="2" t="s">
        <v>291</v>
      </c>
      <c r="M76" s="2" t="s">
        <v>271</v>
      </c>
      <c r="N76" s="2" t="s">
        <v>98</v>
      </c>
      <c r="O76" s="2" t="s">
        <v>155</v>
      </c>
      <c r="P76" t="s">
        <v>2871</v>
      </c>
      <c r="Q76" s="2" t="s">
        <v>102</v>
      </c>
      <c r="R76" s="2" t="s">
        <v>926</v>
      </c>
      <c r="S76" s="2" t="s">
        <v>930</v>
      </c>
      <c r="T76" s="2" t="s">
        <v>157</v>
      </c>
      <c r="U76" s="158">
        <v>3.71</v>
      </c>
      <c r="V76" s="151">
        <v>218.81899999999999</v>
      </c>
      <c r="W76" s="151">
        <v>811.81799999999998</v>
      </c>
      <c r="X76" s="164">
        <v>6.8599999999999998E-4</v>
      </c>
      <c r="Y76" s="164">
        <v>1.0779129838585E-2</v>
      </c>
      <c r="Z76" s="164">
        <v>1.97075928866749E-3</v>
      </c>
    </row>
    <row r="77" spans="1:26">
      <c r="A77" s="2">
        <v>1182</v>
      </c>
      <c r="B77" s="2">
        <v>1182</v>
      </c>
      <c r="C77" s="2" t="s">
        <v>2872</v>
      </c>
      <c r="D77" s="2" t="s">
        <v>2873</v>
      </c>
      <c r="E77" s="2" t="s">
        <v>349</v>
      </c>
      <c r="F77" s="2" t="s">
        <v>2874</v>
      </c>
      <c r="G77" s="2">
        <v>62021944</v>
      </c>
      <c r="H77" s="2" t="s">
        <v>33</v>
      </c>
      <c r="I77" s="2" t="s">
        <v>1059</v>
      </c>
      <c r="J77" s="2" t="s">
        <v>603</v>
      </c>
      <c r="K77" s="2" t="s">
        <v>97</v>
      </c>
      <c r="L77" s="2" t="s">
        <v>291</v>
      </c>
      <c r="M77" s="2" t="s">
        <v>271</v>
      </c>
      <c r="N77" s="2" t="s">
        <v>334</v>
      </c>
      <c r="O77" s="2" t="s">
        <v>155</v>
      </c>
      <c r="P77" t="s">
        <v>157</v>
      </c>
      <c r="Q77" s="2" t="s">
        <v>102</v>
      </c>
      <c r="R77" s="2" t="s">
        <v>194</v>
      </c>
      <c r="T77" s="2" t="s">
        <v>157</v>
      </c>
      <c r="U77" s="158">
        <v>3.71</v>
      </c>
      <c r="V77" s="151">
        <v>18.731000000000002</v>
      </c>
      <c r="W77" s="151">
        <v>69.492000000000004</v>
      </c>
      <c r="X77" s="164">
        <v>0</v>
      </c>
      <c r="Y77" s="164">
        <v>9.2269950324079205E-4</v>
      </c>
      <c r="Z77" s="164">
        <v>1.6869809009549601E-4</v>
      </c>
    </row>
    <row r="78" spans="1:26">
      <c r="A78" s="2">
        <v>1182</v>
      </c>
      <c r="B78" s="2">
        <v>1182</v>
      </c>
      <c r="C78" s="2" t="s">
        <v>2875</v>
      </c>
      <c r="D78" s="2" t="s">
        <v>2876</v>
      </c>
      <c r="E78" s="2" t="s">
        <v>349</v>
      </c>
      <c r="F78" s="2" t="s">
        <v>2877</v>
      </c>
      <c r="G78" s="2">
        <v>62009204</v>
      </c>
      <c r="H78" s="2" t="s">
        <v>33</v>
      </c>
      <c r="I78" s="2" t="s">
        <v>1059</v>
      </c>
      <c r="J78" s="2" t="s">
        <v>867</v>
      </c>
      <c r="K78" s="2" t="s">
        <v>97</v>
      </c>
      <c r="L78" s="2" t="s">
        <v>291</v>
      </c>
      <c r="M78" s="2" t="s">
        <v>271</v>
      </c>
      <c r="N78" s="2" t="s">
        <v>334</v>
      </c>
      <c r="O78" s="2" t="s">
        <v>155</v>
      </c>
      <c r="P78" t="s">
        <v>2878</v>
      </c>
      <c r="Q78" s="2" t="s">
        <v>102</v>
      </c>
      <c r="R78" s="2" t="s">
        <v>194</v>
      </c>
      <c r="S78" s="2" t="s">
        <v>930</v>
      </c>
      <c r="T78" s="2" t="s">
        <v>157</v>
      </c>
      <c r="U78" s="158">
        <v>3.71</v>
      </c>
      <c r="V78" s="151">
        <v>382.613</v>
      </c>
      <c r="W78" s="151">
        <v>1419.4939999999999</v>
      </c>
      <c r="X78" s="164">
        <v>3.6299999999999999E-4</v>
      </c>
      <c r="Y78" s="164">
        <v>1.8847706481807901E-2</v>
      </c>
      <c r="Z78" s="164">
        <v>3.4459453754921202E-3</v>
      </c>
    </row>
    <row r="79" spans="1:26">
      <c r="A79" s="2">
        <v>1182</v>
      </c>
      <c r="B79" s="2">
        <v>1182</v>
      </c>
      <c r="C79" s="2" t="s">
        <v>2879</v>
      </c>
      <c r="D79" s="2" t="s">
        <v>2880</v>
      </c>
      <c r="E79" s="2" t="s">
        <v>349</v>
      </c>
      <c r="F79" s="2" t="s">
        <v>2881</v>
      </c>
      <c r="G79" s="2">
        <v>62019807</v>
      </c>
      <c r="H79" s="2" t="s">
        <v>33</v>
      </c>
      <c r="I79" s="2" t="s">
        <v>1059</v>
      </c>
      <c r="J79" s="2" t="s">
        <v>867</v>
      </c>
      <c r="K79" s="2" t="s">
        <v>97</v>
      </c>
      <c r="L79" s="2" t="s">
        <v>291</v>
      </c>
      <c r="M79" s="2" t="s">
        <v>271</v>
      </c>
      <c r="N79" s="2" t="s">
        <v>334</v>
      </c>
      <c r="O79" s="2" t="s">
        <v>155</v>
      </c>
      <c r="P79" t="s">
        <v>2750</v>
      </c>
      <c r="Q79" s="2" t="s">
        <v>102</v>
      </c>
      <c r="R79" s="2" t="s">
        <v>926</v>
      </c>
      <c r="S79" s="2" t="s">
        <v>930</v>
      </c>
      <c r="T79" s="2" t="s">
        <v>157</v>
      </c>
      <c r="U79" s="158">
        <v>3.71</v>
      </c>
      <c r="V79" s="151">
        <v>244.90199999999999</v>
      </c>
      <c r="W79" s="151">
        <v>908.58699999999999</v>
      </c>
      <c r="X79" s="164">
        <v>1.36E-4</v>
      </c>
      <c r="Y79" s="164">
        <v>1.2064000213275E-2</v>
      </c>
      <c r="Z79" s="164">
        <v>2.2056734481193702E-3</v>
      </c>
    </row>
    <row r="80" spans="1:26">
      <c r="A80" s="2">
        <v>1182</v>
      </c>
      <c r="B80" s="2">
        <v>1182</v>
      </c>
      <c r="C80" s="2" t="s">
        <v>2882</v>
      </c>
      <c r="D80" s="2" t="s">
        <v>2876</v>
      </c>
      <c r="E80" s="2" t="s">
        <v>349</v>
      </c>
      <c r="F80" s="2" t="s">
        <v>2883</v>
      </c>
      <c r="G80" s="2">
        <v>62020615</v>
      </c>
      <c r="H80" s="2" t="s">
        <v>33</v>
      </c>
      <c r="I80" s="2" t="s">
        <v>1059</v>
      </c>
      <c r="J80" s="2" t="s">
        <v>872</v>
      </c>
      <c r="K80" s="2" t="s">
        <v>97</v>
      </c>
      <c r="L80" s="2" t="s">
        <v>291</v>
      </c>
      <c r="M80" s="2" t="s">
        <v>271</v>
      </c>
      <c r="N80" s="2" t="s">
        <v>334</v>
      </c>
      <c r="O80" s="2" t="s">
        <v>155</v>
      </c>
      <c r="P80" t="s">
        <v>2884</v>
      </c>
      <c r="Q80" s="2" t="s">
        <v>102</v>
      </c>
      <c r="R80" s="2" t="s">
        <v>926</v>
      </c>
      <c r="S80" s="2" t="s">
        <v>930</v>
      </c>
      <c r="T80" s="2" t="s">
        <v>157</v>
      </c>
      <c r="U80" s="158">
        <v>3.71</v>
      </c>
      <c r="V80" s="151">
        <v>304.82499999999999</v>
      </c>
      <c r="W80" s="151">
        <v>1130.9010000000001</v>
      </c>
      <c r="X80" s="164">
        <v>0</v>
      </c>
      <c r="Y80" s="164">
        <v>1.50158334578352E-2</v>
      </c>
      <c r="Z80" s="164">
        <v>2.74536012713966E-3</v>
      </c>
    </row>
    <row r="81" spans="1:26">
      <c r="A81" s="2">
        <v>1182</v>
      </c>
      <c r="B81" s="2">
        <v>1182</v>
      </c>
      <c r="C81" s="2" t="s">
        <v>2885</v>
      </c>
      <c r="D81" s="2" t="s">
        <v>2886</v>
      </c>
      <c r="E81" s="2" t="s">
        <v>349</v>
      </c>
      <c r="F81" s="2" t="s">
        <v>2887</v>
      </c>
      <c r="G81" s="2">
        <v>62020813</v>
      </c>
      <c r="H81" s="2" t="s">
        <v>33</v>
      </c>
      <c r="I81" s="2" t="s">
        <v>1059</v>
      </c>
      <c r="J81" s="2" t="s">
        <v>887</v>
      </c>
      <c r="K81" s="2" t="s">
        <v>97</v>
      </c>
      <c r="L81" s="2" t="s">
        <v>291</v>
      </c>
      <c r="M81" s="2" t="s">
        <v>271</v>
      </c>
      <c r="N81" s="2" t="s">
        <v>334</v>
      </c>
      <c r="O81" s="2" t="s">
        <v>155</v>
      </c>
      <c r="P81" t="s">
        <v>2888</v>
      </c>
      <c r="Q81" s="2" t="s">
        <v>102</v>
      </c>
      <c r="R81" s="2" t="s">
        <v>194</v>
      </c>
      <c r="S81" s="2" t="s">
        <v>930</v>
      </c>
      <c r="T81" s="2" t="s">
        <v>157</v>
      </c>
      <c r="U81" s="158">
        <v>3.71</v>
      </c>
      <c r="V81" s="151">
        <v>155.82300000000001</v>
      </c>
      <c r="W81" s="151">
        <v>578.10299999999995</v>
      </c>
      <c r="X81" s="164">
        <v>6.3999999999999997E-5</v>
      </c>
      <c r="Y81" s="164">
        <v>7.67591607805278E-3</v>
      </c>
      <c r="Z81" s="164">
        <v>1.4033955557066001E-3</v>
      </c>
    </row>
    <row r="82" spans="1:26">
      <c r="A82" s="2">
        <v>1182</v>
      </c>
      <c r="B82" s="2">
        <v>1182</v>
      </c>
      <c r="C82" s="2" t="s">
        <v>2889</v>
      </c>
      <c r="D82" s="2" t="s">
        <v>2890</v>
      </c>
      <c r="E82" s="2" t="s">
        <v>349</v>
      </c>
      <c r="F82" s="2" t="s">
        <v>2891</v>
      </c>
      <c r="G82" s="2">
        <v>62010137</v>
      </c>
      <c r="H82" s="2" t="s">
        <v>33</v>
      </c>
      <c r="I82" s="2" t="s">
        <v>1059</v>
      </c>
      <c r="J82" s="2" t="s">
        <v>887</v>
      </c>
      <c r="K82" s="2" t="s">
        <v>97</v>
      </c>
      <c r="L82" s="2" t="s">
        <v>291</v>
      </c>
      <c r="M82" s="2" t="s">
        <v>271</v>
      </c>
      <c r="N82" s="2" t="s">
        <v>334</v>
      </c>
      <c r="O82" s="2" t="s">
        <v>155</v>
      </c>
      <c r="P82" t="s">
        <v>2892</v>
      </c>
      <c r="Q82" s="2" t="s">
        <v>102</v>
      </c>
      <c r="R82" s="2" t="s">
        <v>926</v>
      </c>
      <c r="S82" s="2" t="s">
        <v>930</v>
      </c>
      <c r="T82" s="2" t="s">
        <v>157</v>
      </c>
      <c r="U82" s="158">
        <v>3.71</v>
      </c>
      <c r="V82" s="151">
        <v>261.77300000000002</v>
      </c>
      <c r="W82" s="151">
        <v>971.17700000000002</v>
      </c>
      <c r="X82" s="164">
        <v>1.08E-4</v>
      </c>
      <c r="Y82" s="164">
        <v>1.2895058502744999E-2</v>
      </c>
      <c r="Z82" s="164">
        <v>2.3576166817498301E-3</v>
      </c>
    </row>
    <row r="83" spans="1:26">
      <c r="A83" s="2">
        <v>1182</v>
      </c>
      <c r="B83" s="2">
        <v>1182</v>
      </c>
      <c r="C83" s="2" t="s">
        <v>2893</v>
      </c>
      <c r="D83" s="2" t="s">
        <v>2894</v>
      </c>
      <c r="E83" s="2" t="s">
        <v>33</v>
      </c>
      <c r="F83" s="2" t="s">
        <v>2895</v>
      </c>
      <c r="G83" s="2">
        <v>62006366</v>
      </c>
      <c r="H83" s="2" t="s">
        <v>33</v>
      </c>
      <c r="I83" s="2" t="s">
        <v>1059</v>
      </c>
      <c r="J83" s="2" t="s">
        <v>886</v>
      </c>
      <c r="K83" s="2" t="s">
        <v>97</v>
      </c>
      <c r="L83" s="2" t="s">
        <v>30</v>
      </c>
      <c r="M83" s="2" t="s">
        <v>30</v>
      </c>
      <c r="N83" s="2" t="s">
        <v>98</v>
      </c>
      <c r="O83" s="2" t="s">
        <v>155</v>
      </c>
      <c r="P83" t="s">
        <v>2896</v>
      </c>
      <c r="Q83" s="2" t="s">
        <v>102</v>
      </c>
      <c r="R83" s="2" t="s">
        <v>926</v>
      </c>
      <c r="S83" s="2" t="s">
        <v>930</v>
      </c>
      <c r="T83" s="2" t="s">
        <v>157</v>
      </c>
      <c r="U83" s="158">
        <v>3.71</v>
      </c>
      <c r="V83" s="151">
        <v>61.432000000000002</v>
      </c>
      <c r="W83" s="151">
        <v>227.91399999999999</v>
      </c>
      <c r="X83" s="164">
        <v>4.55E-4</v>
      </c>
      <c r="Y83" s="164">
        <v>3.0261851324140001E-3</v>
      </c>
      <c r="Z83" s="164">
        <v>5.53280510415969E-4</v>
      </c>
    </row>
    <row r="84" spans="1:26">
      <c r="A84" s="2">
        <v>1182</v>
      </c>
      <c r="B84" s="2">
        <v>1182</v>
      </c>
      <c r="C84" s="2" t="s">
        <v>2897</v>
      </c>
      <c r="D84" s="2" t="s">
        <v>2898</v>
      </c>
      <c r="E84" s="2" t="s">
        <v>349</v>
      </c>
      <c r="F84" s="2" t="s">
        <v>2899</v>
      </c>
      <c r="G84" s="2">
        <v>62018387</v>
      </c>
      <c r="H84" s="2" t="s">
        <v>33</v>
      </c>
      <c r="I84" s="2" t="s">
        <v>1059</v>
      </c>
      <c r="J84" s="2" t="s">
        <v>885</v>
      </c>
      <c r="K84" s="2" t="s">
        <v>97</v>
      </c>
      <c r="L84" s="2" t="s">
        <v>256</v>
      </c>
      <c r="M84" s="2" t="s">
        <v>327</v>
      </c>
      <c r="N84" s="2" t="s">
        <v>98</v>
      </c>
      <c r="O84" s="2" t="s">
        <v>155</v>
      </c>
      <c r="P84" t="s">
        <v>2900</v>
      </c>
      <c r="Q84" s="2" t="s">
        <v>102</v>
      </c>
      <c r="R84" s="2" t="s">
        <v>926</v>
      </c>
      <c r="S84" s="2" t="s">
        <v>930</v>
      </c>
      <c r="T84" s="2" t="s">
        <v>157</v>
      </c>
      <c r="U84" s="158">
        <v>3.71</v>
      </c>
      <c r="V84" s="151">
        <v>166.68899999999999</v>
      </c>
      <c r="W84" s="151">
        <v>618.41499999999996</v>
      </c>
      <c r="X84" s="164">
        <v>7.6000000000000004E-5</v>
      </c>
      <c r="Y84" s="164">
        <v>8.2111743868020694E-3</v>
      </c>
      <c r="Z84" s="164">
        <v>1.5012573775419801E-3</v>
      </c>
    </row>
    <row r="85" spans="1:26">
      <c r="A85" s="2">
        <v>1182</v>
      </c>
      <c r="B85" s="2">
        <v>1182</v>
      </c>
      <c r="C85" s="2" t="s">
        <v>2901</v>
      </c>
      <c r="D85" s="2" t="s">
        <v>2902</v>
      </c>
      <c r="E85" s="2" t="s">
        <v>350</v>
      </c>
      <c r="F85" s="2" t="s">
        <v>2903</v>
      </c>
      <c r="G85" s="2">
        <v>62018551</v>
      </c>
      <c r="H85" s="2" t="s">
        <v>33</v>
      </c>
      <c r="I85" s="2" t="s">
        <v>1059</v>
      </c>
      <c r="J85" s="2" t="s">
        <v>885</v>
      </c>
      <c r="K85" s="2" t="s">
        <v>97</v>
      </c>
      <c r="L85" s="2" t="s">
        <v>291</v>
      </c>
      <c r="M85" s="2" t="s">
        <v>325</v>
      </c>
      <c r="N85" s="2" t="s">
        <v>327</v>
      </c>
      <c r="O85" s="2" t="s">
        <v>155</v>
      </c>
      <c r="P85" t="s">
        <v>2904</v>
      </c>
      <c r="Q85" s="2" t="s">
        <v>102</v>
      </c>
      <c r="R85" s="2" t="s">
        <v>926</v>
      </c>
      <c r="S85" s="2" t="s">
        <v>930</v>
      </c>
      <c r="T85" s="2" t="s">
        <v>157</v>
      </c>
      <c r="U85" s="158">
        <v>3.71</v>
      </c>
      <c r="V85" s="151">
        <v>373.37400000000002</v>
      </c>
      <c r="W85" s="151">
        <v>1385.2170000000001</v>
      </c>
      <c r="X85" s="164">
        <v>1.454E-3</v>
      </c>
      <c r="Y85" s="164">
        <v>1.8392587338013199E-2</v>
      </c>
      <c r="Z85" s="164">
        <v>3.36273547882003E-3</v>
      </c>
    </row>
    <row r="86" spans="1:26">
      <c r="A86" s="2">
        <v>1182</v>
      </c>
      <c r="B86" s="2">
        <v>1182</v>
      </c>
      <c r="C86" s="2" t="s">
        <v>2905</v>
      </c>
      <c r="D86" s="2" t="s">
        <v>2906</v>
      </c>
      <c r="E86" s="2" t="s">
        <v>350</v>
      </c>
      <c r="F86" s="2" t="s">
        <v>2907</v>
      </c>
      <c r="G86" s="2">
        <v>62020169</v>
      </c>
      <c r="H86" s="2" t="s">
        <v>33</v>
      </c>
      <c r="I86" s="2" t="s">
        <v>1059</v>
      </c>
      <c r="J86" s="2" t="s">
        <v>887</v>
      </c>
      <c r="K86" s="2" t="s">
        <v>97</v>
      </c>
      <c r="L86" s="2" t="s">
        <v>291</v>
      </c>
      <c r="M86" s="2" t="s">
        <v>325</v>
      </c>
      <c r="N86" s="2" t="s">
        <v>334</v>
      </c>
      <c r="O86" s="2" t="s">
        <v>155</v>
      </c>
      <c r="P86" t="s">
        <v>2908</v>
      </c>
      <c r="Q86" s="2" t="s">
        <v>102</v>
      </c>
      <c r="R86" s="2" t="s">
        <v>926</v>
      </c>
      <c r="S86" s="2" t="s">
        <v>930</v>
      </c>
      <c r="T86" s="2" t="s">
        <v>157</v>
      </c>
      <c r="U86" s="158">
        <v>3.71</v>
      </c>
      <c r="V86" s="151">
        <v>424.67099999999999</v>
      </c>
      <c r="W86" s="151">
        <v>1575.53</v>
      </c>
      <c r="X86" s="164">
        <v>1.1670000000000001E-3</v>
      </c>
      <c r="Y86" s="164">
        <v>2.0919512819415099E-2</v>
      </c>
      <c r="Z86" s="164">
        <v>3.8247358386651301E-3</v>
      </c>
    </row>
    <row r="87" spans="1:26">
      <c r="A87" s="2">
        <v>1182</v>
      </c>
      <c r="B87" s="2">
        <v>1182</v>
      </c>
      <c r="C87" s="2" t="s">
        <v>2072</v>
      </c>
      <c r="D87" s="2" t="s">
        <v>2073</v>
      </c>
      <c r="E87" s="2" t="s">
        <v>350</v>
      </c>
      <c r="F87" s="2" t="s">
        <v>2909</v>
      </c>
      <c r="G87" s="2">
        <v>62021852</v>
      </c>
      <c r="H87" s="2" t="s">
        <v>33</v>
      </c>
      <c r="I87" s="2" t="s">
        <v>1059</v>
      </c>
      <c r="J87" s="2" t="s">
        <v>603</v>
      </c>
      <c r="K87" s="2" t="s">
        <v>97</v>
      </c>
      <c r="L87" s="2" t="s">
        <v>291</v>
      </c>
      <c r="M87" s="2" t="s">
        <v>319</v>
      </c>
      <c r="N87" s="2" t="s">
        <v>331</v>
      </c>
      <c r="O87" s="2" t="s">
        <v>155</v>
      </c>
      <c r="P87" t="s">
        <v>2818</v>
      </c>
      <c r="Q87" s="2" t="s">
        <v>1209</v>
      </c>
      <c r="R87" s="2" t="s">
        <v>194</v>
      </c>
      <c r="T87" s="2" t="s">
        <v>157</v>
      </c>
      <c r="U87" s="158">
        <v>4.1524000000000001</v>
      </c>
      <c r="V87" s="151">
        <v>100</v>
      </c>
      <c r="W87" s="151">
        <v>415.24</v>
      </c>
      <c r="X87" s="164">
        <v>0</v>
      </c>
      <c r="Y87" s="164">
        <v>5.5134587793195999E-3</v>
      </c>
      <c r="Z87" s="164">
        <v>1.0080312849683401E-3</v>
      </c>
    </row>
    <row r="88" spans="1:26">
      <c r="A88" s="2">
        <v>1182</v>
      </c>
      <c r="B88" s="2">
        <v>1182</v>
      </c>
      <c r="C88" s="2" t="s">
        <v>2910</v>
      </c>
      <c r="D88" s="2" t="s">
        <v>2911</v>
      </c>
      <c r="E88" s="2" t="s">
        <v>194</v>
      </c>
      <c r="F88" s="2" t="s">
        <v>2912</v>
      </c>
      <c r="G88" s="2">
        <v>62020995</v>
      </c>
      <c r="H88" s="2" t="s">
        <v>33</v>
      </c>
      <c r="I88" s="2" t="s">
        <v>1059</v>
      </c>
      <c r="J88" s="2" t="s">
        <v>866</v>
      </c>
      <c r="K88" s="2" t="s">
        <v>97</v>
      </c>
      <c r="L88" s="2" t="s">
        <v>98</v>
      </c>
      <c r="M88" s="2" t="s">
        <v>30</v>
      </c>
      <c r="N88" s="2" t="s">
        <v>98</v>
      </c>
      <c r="O88" s="2" t="s">
        <v>155</v>
      </c>
      <c r="P88" t="s">
        <v>2913</v>
      </c>
      <c r="Q88" s="2" t="s">
        <v>102</v>
      </c>
      <c r="R88" s="2" t="s">
        <v>926</v>
      </c>
      <c r="S88" s="2" t="s">
        <v>930</v>
      </c>
      <c r="T88" s="2" t="s">
        <v>157</v>
      </c>
      <c r="U88" s="158">
        <v>3.71</v>
      </c>
      <c r="V88" s="151">
        <v>46.829000000000001</v>
      </c>
      <c r="W88" s="151">
        <v>173.73599999999999</v>
      </c>
      <c r="X88" s="164">
        <v>2.8E-5</v>
      </c>
      <c r="Y88" s="164">
        <v>2.30683003793513E-3</v>
      </c>
      <c r="Z88" s="164">
        <v>4.2176008571343199E-4</v>
      </c>
    </row>
    <row r="89" spans="1:26">
      <c r="A89" s="2">
        <v>424</v>
      </c>
      <c r="B89" s="2">
        <v>7228</v>
      </c>
      <c r="C89" s="2" t="s">
        <v>2914</v>
      </c>
      <c r="D89" s="2" t="s">
        <v>2915</v>
      </c>
      <c r="E89" s="2" t="s">
        <v>1342</v>
      </c>
      <c r="F89" s="2" t="s">
        <v>2916</v>
      </c>
      <c r="G89" s="2">
        <v>9840847</v>
      </c>
      <c r="H89" s="2" t="s">
        <v>33</v>
      </c>
      <c r="I89" s="2" t="s">
        <v>1059</v>
      </c>
      <c r="J89" s="2" t="s">
        <v>866</v>
      </c>
      <c r="K89" s="2" t="s">
        <v>30</v>
      </c>
      <c r="L89" s="2" t="s">
        <v>30</v>
      </c>
      <c r="M89" s="2" t="s">
        <v>30</v>
      </c>
      <c r="N89" s="2" t="s">
        <v>30</v>
      </c>
      <c r="O89" s="2" t="s">
        <v>155</v>
      </c>
      <c r="P89" t="s">
        <v>2666</v>
      </c>
      <c r="Q89" s="2" t="s">
        <v>102</v>
      </c>
      <c r="R89" s="2" t="s">
        <v>926</v>
      </c>
      <c r="S89" s="2" t="s">
        <v>930</v>
      </c>
      <c r="T89" s="2" t="s">
        <v>157</v>
      </c>
      <c r="U89" s="158">
        <v>3.71</v>
      </c>
      <c r="V89" s="151">
        <v>18.873999999999999</v>
      </c>
      <c r="W89" s="151">
        <v>70.022999999999996</v>
      </c>
      <c r="X89" s="164">
        <v>6.3160000000000004E-3</v>
      </c>
      <c r="Y89" s="164">
        <v>1.5200359142189499E-4</v>
      </c>
      <c r="Z89" s="164">
        <v>2.9006892413692199E-5</v>
      </c>
    </row>
    <row r="90" spans="1:26">
      <c r="A90" s="2">
        <v>424</v>
      </c>
      <c r="B90" s="2">
        <v>7228</v>
      </c>
      <c r="C90" s="2" t="s">
        <v>2917</v>
      </c>
      <c r="D90" s="2" t="s">
        <v>2918</v>
      </c>
      <c r="E90" s="2" t="s">
        <v>1342</v>
      </c>
      <c r="F90" s="2" t="s">
        <v>2919</v>
      </c>
      <c r="G90" s="2">
        <v>9840848</v>
      </c>
      <c r="H90" s="2" t="s">
        <v>33</v>
      </c>
      <c r="I90" s="2" t="s">
        <v>1059</v>
      </c>
      <c r="J90" s="2" t="s">
        <v>885</v>
      </c>
      <c r="K90" s="2" t="s">
        <v>30</v>
      </c>
      <c r="L90" s="2" t="s">
        <v>30</v>
      </c>
      <c r="M90" s="2" t="s">
        <v>30</v>
      </c>
      <c r="N90" s="2" t="s">
        <v>30</v>
      </c>
      <c r="O90" s="2" t="s">
        <v>155</v>
      </c>
      <c r="P90" t="s">
        <v>2666</v>
      </c>
      <c r="Q90" s="2" t="s">
        <v>102</v>
      </c>
      <c r="R90" s="2" t="s">
        <v>926</v>
      </c>
      <c r="S90" s="2" t="s">
        <v>930</v>
      </c>
      <c r="T90" s="2" t="s">
        <v>157</v>
      </c>
      <c r="U90" s="158">
        <v>3.71</v>
      </c>
      <c r="V90" s="151">
        <v>0.93200000000000005</v>
      </c>
      <c r="W90" s="151">
        <v>3.4580000000000002</v>
      </c>
      <c r="X90" s="164">
        <v>8.0649999999999993E-3</v>
      </c>
      <c r="Y90" s="164">
        <v>7.50592067031645E-6</v>
      </c>
      <c r="Z90" s="164">
        <v>1.4323571654650799E-6</v>
      </c>
    </row>
    <row r="91" spans="1:26">
      <c r="A91" s="2">
        <v>424</v>
      </c>
      <c r="B91" s="2">
        <v>7228</v>
      </c>
      <c r="C91" s="2" t="s">
        <v>2620</v>
      </c>
      <c r="D91" s="2" t="s">
        <v>2621</v>
      </c>
      <c r="E91" s="2" t="s">
        <v>194</v>
      </c>
      <c r="F91" s="2" t="s">
        <v>2622</v>
      </c>
      <c r="G91" s="2">
        <v>50007566</v>
      </c>
      <c r="H91" s="2" t="s">
        <v>33</v>
      </c>
      <c r="I91" s="2" t="s">
        <v>1059</v>
      </c>
      <c r="J91" s="2" t="s">
        <v>874</v>
      </c>
      <c r="K91" s="2" t="s">
        <v>30</v>
      </c>
      <c r="L91" s="2" t="s">
        <v>30</v>
      </c>
      <c r="M91" s="2" t="s">
        <v>30</v>
      </c>
      <c r="N91" s="2" t="s">
        <v>30</v>
      </c>
      <c r="O91" s="2" t="s">
        <v>155</v>
      </c>
      <c r="P91" t="s">
        <v>2623</v>
      </c>
      <c r="Q91" s="2" t="s">
        <v>34</v>
      </c>
      <c r="R91" s="2" t="s">
        <v>926</v>
      </c>
      <c r="S91" s="2" t="s">
        <v>930</v>
      </c>
      <c r="T91" s="2" t="s">
        <v>157</v>
      </c>
      <c r="U91" s="158">
        <v>1</v>
      </c>
      <c r="V91" s="151">
        <v>2247.0010000000002</v>
      </c>
      <c r="W91" s="151">
        <v>2247.0010000000002</v>
      </c>
      <c r="X91" s="164">
        <v>1.1720000000000001E-3</v>
      </c>
      <c r="Y91" s="164">
        <v>4.8777262769908996E-3</v>
      </c>
      <c r="Z91" s="164">
        <v>9.3081801565731901E-4</v>
      </c>
    </row>
    <row r="92" spans="1:26">
      <c r="A92" s="2">
        <v>424</v>
      </c>
      <c r="B92" s="2">
        <v>7228</v>
      </c>
      <c r="C92" s="2" t="s">
        <v>2624</v>
      </c>
      <c r="D92" s="2" t="s">
        <v>2625</v>
      </c>
      <c r="E92" s="2" t="s">
        <v>348</v>
      </c>
      <c r="F92" s="2" t="s">
        <v>2626</v>
      </c>
      <c r="G92" s="2">
        <v>62018312</v>
      </c>
      <c r="H92" s="2" t="s">
        <v>33</v>
      </c>
      <c r="I92" s="2" t="s">
        <v>1059</v>
      </c>
      <c r="J92" s="2" t="s">
        <v>603</v>
      </c>
      <c r="K92" s="2" t="s">
        <v>30</v>
      </c>
      <c r="L92" s="2" t="s">
        <v>30</v>
      </c>
      <c r="M92" s="2" t="s">
        <v>30</v>
      </c>
      <c r="N92" s="2" t="s">
        <v>30</v>
      </c>
      <c r="O92" s="2" t="s">
        <v>155</v>
      </c>
      <c r="P92" t="s">
        <v>2627</v>
      </c>
      <c r="Q92" s="2" t="s">
        <v>102</v>
      </c>
      <c r="R92" s="2" t="s">
        <v>926</v>
      </c>
      <c r="S92" s="2" t="s">
        <v>930</v>
      </c>
      <c r="T92" s="2" t="s">
        <v>157</v>
      </c>
      <c r="U92" s="158">
        <v>3.71</v>
      </c>
      <c r="V92" s="151">
        <v>884.93899999999996</v>
      </c>
      <c r="W92" s="151">
        <v>3283.1239999999998</v>
      </c>
      <c r="X92" s="164">
        <v>6.0700000000000001E-4</v>
      </c>
      <c r="Y92" s="164">
        <v>7.1269122664227398E-3</v>
      </c>
      <c r="Z92" s="164">
        <v>1.3600308744032099E-3</v>
      </c>
    </row>
    <row r="93" spans="1:26">
      <c r="A93" s="2">
        <v>424</v>
      </c>
      <c r="B93" s="2">
        <v>7228</v>
      </c>
      <c r="C93" s="2" t="s">
        <v>2624</v>
      </c>
      <c r="D93" s="2" t="s">
        <v>2625</v>
      </c>
      <c r="E93" s="2" t="s">
        <v>348</v>
      </c>
      <c r="F93" s="2" t="s">
        <v>2920</v>
      </c>
      <c r="G93" s="2">
        <v>60305448</v>
      </c>
      <c r="H93" s="2" t="s">
        <v>33</v>
      </c>
      <c r="I93" s="2" t="s">
        <v>1059</v>
      </c>
      <c r="J93" s="2" t="s">
        <v>603</v>
      </c>
      <c r="K93" s="2" t="s">
        <v>30</v>
      </c>
      <c r="L93" s="2" t="s">
        <v>30</v>
      </c>
      <c r="M93" s="2" t="s">
        <v>30</v>
      </c>
      <c r="N93" s="2" t="s">
        <v>30</v>
      </c>
      <c r="O93" s="2" t="s">
        <v>155</v>
      </c>
      <c r="P93" t="s">
        <v>2666</v>
      </c>
      <c r="Q93" s="2" t="s">
        <v>102</v>
      </c>
      <c r="R93" s="2" t="s">
        <v>194</v>
      </c>
      <c r="S93" s="2" t="s">
        <v>930</v>
      </c>
      <c r="T93" s="2" t="s">
        <v>157</v>
      </c>
      <c r="U93" s="158">
        <v>3.71</v>
      </c>
      <c r="V93" s="151">
        <v>727.60199999999998</v>
      </c>
      <c r="W93" s="151">
        <v>2699.404</v>
      </c>
      <c r="X93" s="164">
        <v>3.2325E-2</v>
      </c>
      <c r="Y93" s="164">
        <v>5.8597899059277102E-3</v>
      </c>
      <c r="Z93" s="164">
        <v>1.1182255220293499E-3</v>
      </c>
    </row>
    <row r="94" spans="1:26">
      <c r="A94" s="2">
        <v>424</v>
      </c>
      <c r="B94" s="2">
        <v>7228</v>
      </c>
      <c r="C94" s="2" t="s">
        <v>2628</v>
      </c>
      <c r="D94" s="2" t="s">
        <v>2629</v>
      </c>
      <c r="E94" s="2" t="s">
        <v>33</v>
      </c>
      <c r="F94" s="2" t="s">
        <v>2630</v>
      </c>
      <c r="G94" s="2">
        <v>60390093</v>
      </c>
      <c r="H94" s="2" t="s">
        <v>33</v>
      </c>
      <c r="I94" s="2" t="s">
        <v>1059</v>
      </c>
      <c r="J94" s="2" t="s">
        <v>867</v>
      </c>
      <c r="K94" s="2" t="s">
        <v>97</v>
      </c>
      <c r="L94" s="2" t="s">
        <v>256</v>
      </c>
      <c r="M94" s="2" t="s">
        <v>30</v>
      </c>
      <c r="N94" s="2" t="s">
        <v>30</v>
      </c>
      <c r="O94" s="2" t="s">
        <v>155</v>
      </c>
      <c r="P94" t="s">
        <v>2631</v>
      </c>
      <c r="Q94" s="2" t="s">
        <v>102</v>
      </c>
      <c r="R94" s="2" t="s">
        <v>926</v>
      </c>
      <c r="S94" s="2" t="s">
        <v>930</v>
      </c>
      <c r="T94" s="2" t="s">
        <v>157</v>
      </c>
      <c r="U94" s="158">
        <v>3.71</v>
      </c>
      <c r="V94" s="151">
        <v>598.79499999999996</v>
      </c>
      <c r="W94" s="151">
        <v>2221.5300000000002</v>
      </c>
      <c r="X94" s="164">
        <v>1.5006E-2</v>
      </c>
      <c r="Y94" s="164">
        <v>4.8224348379466396E-3</v>
      </c>
      <c r="Z94" s="164">
        <v>9.2026673322542296E-4</v>
      </c>
    </row>
    <row r="95" spans="1:26">
      <c r="A95" s="2">
        <v>424</v>
      </c>
      <c r="B95" s="2">
        <v>7228</v>
      </c>
      <c r="C95" s="2" t="s">
        <v>2628</v>
      </c>
      <c r="D95" s="2" t="s">
        <v>2629</v>
      </c>
      <c r="E95" s="2" t="s">
        <v>33</v>
      </c>
      <c r="F95" s="2" t="s">
        <v>2632</v>
      </c>
      <c r="G95" s="2">
        <v>62019724</v>
      </c>
      <c r="H95" s="2" t="s">
        <v>33</v>
      </c>
      <c r="I95" s="2" t="s">
        <v>1059</v>
      </c>
      <c r="J95" s="2" t="s">
        <v>867</v>
      </c>
      <c r="K95" s="2" t="s">
        <v>97</v>
      </c>
      <c r="L95" s="2" t="s">
        <v>256</v>
      </c>
      <c r="M95" s="2" t="s">
        <v>30</v>
      </c>
      <c r="N95" s="2" t="s">
        <v>30</v>
      </c>
      <c r="O95" s="2" t="s">
        <v>155</v>
      </c>
      <c r="P95" t="s">
        <v>2633</v>
      </c>
      <c r="Q95" s="2" t="s">
        <v>102</v>
      </c>
      <c r="R95" s="2" t="s">
        <v>926</v>
      </c>
      <c r="S95" s="2" t="s">
        <v>930</v>
      </c>
      <c r="T95" s="2" t="s">
        <v>157</v>
      </c>
      <c r="U95" s="158">
        <v>3.71</v>
      </c>
      <c r="V95" s="151">
        <v>611.30399999999997</v>
      </c>
      <c r="W95" s="151">
        <v>2267.9389999999999</v>
      </c>
      <c r="X95" s="164">
        <v>0</v>
      </c>
      <c r="Y95" s="164">
        <v>4.9231776622567901E-3</v>
      </c>
      <c r="Z95" s="164">
        <v>9.39491517580058E-4</v>
      </c>
    </row>
    <row r="96" spans="1:26">
      <c r="A96" s="2">
        <v>424</v>
      </c>
      <c r="B96" s="2">
        <v>7228</v>
      </c>
      <c r="C96" s="2" t="s">
        <v>2628</v>
      </c>
      <c r="D96" s="2" t="s">
        <v>2629</v>
      </c>
      <c r="E96" s="2" t="s">
        <v>33</v>
      </c>
      <c r="F96" s="2" t="s">
        <v>2634</v>
      </c>
      <c r="G96" s="2">
        <v>62000563</v>
      </c>
      <c r="H96" s="2" t="s">
        <v>33</v>
      </c>
      <c r="I96" s="2" t="s">
        <v>1059</v>
      </c>
      <c r="J96" s="2" t="s">
        <v>867</v>
      </c>
      <c r="K96" s="2" t="s">
        <v>97</v>
      </c>
      <c r="L96" s="2" t="s">
        <v>256</v>
      </c>
      <c r="M96" s="2" t="s">
        <v>30</v>
      </c>
      <c r="N96" s="2" t="s">
        <v>30</v>
      </c>
      <c r="O96" s="2" t="s">
        <v>155</v>
      </c>
      <c r="P96" t="s">
        <v>2635</v>
      </c>
      <c r="Q96" s="2" t="s">
        <v>102</v>
      </c>
      <c r="R96" s="2" t="s">
        <v>926</v>
      </c>
      <c r="S96" s="2" t="s">
        <v>930</v>
      </c>
      <c r="T96" s="2" t="s">
        <v>157</v>
      </c>
      <c r="U96" s="158">
        <v>3.71</v>
      </c>
      <c r="V96" s="151">
        <v>596.91600000000005</v>
      </c>
      <c r="W96" s="151">
        <v>2214.5569999999998</v>
      </c>
      <c r="X96" s="164">
        <v>1.0997E-2</v>
      </c>
      <c r="Y96" s="164">
        <v>4.8072977918895898E-3</v>
      </c>
      <c r="Z96" s="164">
        <v>9.1737812603969403E-4</v>
      </c>
    </row>
    <row r="97" spans="1:26">
      <c r="A97" s="2">
        <v>424</v>
      </c>
      <c r="B97" s="2">
        <v>7228</v>
      </c>
      <c r="C97" s="2" t="s">
        <v>2636</v>
      </c>
      <c r="D97" s="2" t="s">
        <v>2637</v>
      </c>
      <c r="E97" s="2" t="s">
        <v>33</v>
      </c>
      <c r="F97" s="2" t="s">
        <v>2638</v>
      </c>
      <c r="G97" s="2">
        <v>77419109</v>
      </c>
      <c r="H97" s="2" t="s">
        <v>33</v>
      </c>
      <c r="I97" s="2" t="s">
        <v>1061</v>
      </c>
      <c r="J97" s="2" t="s">
        <v>603</v>
      </c>
      <c r="K97" s="2" t="s">
        <v>30</v>
      </c>
      <c r="L97" s="2" t="s">
        <v>256</v>
      </c>
      <c r="M97" s="2" t="s">
        <v>30</v>
      </c>
      <c r="N97" s="2" t="s">
        <v>30</v>
      </c>
      <c r="O97" s="2" t="s">
        <v>155</v>
      </c>
      <c r="P97" t="s">
        <v>2639</v>
      </c>
      <c r="Q97" s="2" t="s">
        <v>102</v>
      </c>
      <c r="R97" s="2" t="s">
        <v>194</v>
      </c>
      <c r="S97" s="2" t="s">
        <v>930</v>
      </c>
      <c r="T97" s="2" t="s">
        <v>157</v>
      </c>
      <c r="U97" s="158">
        <v>3.71</v>
      </c>
      <c r="V97" s="151">
        <v>1955.0650000000001</v>
      </c>
      <c r="W97" s="151">
        <v>7253.2910000000002</v>
      </c>
      <c r="X97" s="164">
        <v>0</v>
      </c>
      <c r="Y97" s="164">
        <v>1.5745239649685099E-2</v>
      </c>
      <c r="Z97" s="164">
        <v>3.0046689573179999E-3</v>
      </c>
    </row>
    <row r="98" spans="1:26">
      <c r="A98" s="2">
        <v>424</v>
      </c>
      <c r="B98" s="2">
        <v>7228</v>
      </c>
      <c r="C98" s="2" t="s">
        <v>2640</v>
      </c>
      <c r="D98" s="2" t="s">
        <v>2641</v>
      </c>
      <c r="E98" s="2" t="s">
        <v>349</v>
      </c>
      <c r="F98" s="2" t="s">
        <v>2642</v>
      </c>
      <c r="G98" s="2">
        <v>60415775</v>
      </c>
      <c r="H98" s="2" t="s">
        <v>33</v>
      </c>
      <c r="I98" s="2" t="s">
        <v>1059</v>
      </c>
      <c r="J98" s="2" t="s">
        <v>872</v>
      </c>
      <c r="K98" s="2" t="s">
        <v>97</v>
      </c>
      <c r="L98" s="2" t="s">
        <v>256</v>
      </c>
      <c r="M98" s="2" t="s">
        <v>30</v>
      </c>
      <c r="N98" s="2" t="s">
        <v>30</v>
      </c>
      <c r="O98" s="2" t="s">
        <v>155</v>
      </c>
      <c r="P98" t="s">
        <v>2643</v>
      </c>
      <c r="Q98" s="2" t="s">
        <v>102</v>
      </c>
      <c r="R98" s="2" t="s">
        <v>926</v>
      </c>
      <c r="S98" s="2" t="s">
        <v>930</v>
      </c>
      <c r="T98" s="2" t="s">
        <v>157</v>
      </c>
      <c r="U98" s="158">
        <v>3.71</v>
      </c>
      <c r="V98" s="151">
        <v>944.48199999999997</v>
      </c>
      <c r="W98" s="151">
        <v>3504.0279999999998</v>
      </c>
      <c r="X98" s="164">
        <v>5.0000000000000001E-3</v>
      </c>
      <c r="Y98" s="164">
        <v>7.6064452430706199E-3</v>
      </c>
      <c r="Z98" s="164">
        <v>1.45154030080771E-3</v>
      </c>
    </row>
    <row r="99" spans="1:26">
      <c r="A99" s="2">
        <v>424</v>
      </c>
      <c r="B99" s="2">
        <v>7228</v>
      </c>
      <c r="C99" s="2" t="s">
        <v>2921</v>
      </c>
      <c r="D99" s="2" t="s">
        <v>2922</v>
      </c>
      <c r="E99" s="2" t="s">
        <v>33</v>
      </c>
      <c r="F99" s="2" t="s">
        <v>2923</v>
      </c>
      <c r="G99" s="2">
        <v>60283439</v>
      </c>
      <c r="H99" s="2" t="s">
        <v>33</v>
      </c>
      <c r="I99" s="2" t="s">
        <v>1059</v>
      </c>
      <c r="J99" s="2" t="s">
        <v>872</v>
      </c>
      <c r="K99" s="2" t="s">
        <v>97</v>
      </c>
      <c r="L99" s="2" t="s">
        <v>291</v>
      </c>
      <c r="M99" s="2" t="s">
        <v>291</v>
      </c>
      <c r="N99" s="2" t="s">
        <v>331</v>
      </c>
      <c r="O99" s="2" t="s">
        <v>155</v>
      </c>
      <c r="P99" t="s">
        <v>2666</v>
      </c>
      <c r="Q99" s="2" t="s">
        <v>102</v>
      </c>
      <c r="R99" s="2" t="s">
        <v>926</v>
      </c>
      <c r="S99" s="2" t="s">
        <v>930</v>
      </c>
      <c r="T99" s="2" t="s">
        <v>157</v>
      </c>
      <c r="U99" s="158">
        <v>3.71</v>
      </c>
      <c r="V99" s="151">
        <v>130.006</v>
      </c>
      <c r="W99" s="151">
        <v>482.322</v>
      </c>
      <c r="X99" s="164">
        <v>1.277E-2</v>
      </c>
      <c r="Y99" s="164">
        <v>1.0470099748285801E-3</v>
      </c>
      <c r="Z99" s="164">
        <v>1.9980123766694401E-4</v>
      </c>
    </row>
    <row r="100" spans="1:26">
      <c r="A100" s="2">
        <v>424</v>
      </c>
      <c r="B100" s="2">
        <v>7228</v>
      </c>
      <c r="C100" s="2" t="s">
        <v>2644</v>
      </c>
      <c r="D100" s="2" t="s">
        <v>2645</v>
      </c>
      <c r="E100" s="2" t="s">
        <v>33</v>
      </c>
      <c r="F100" s="2" t="s">
        <v>2646</v>
      </c>
      <c r="G100" s="2">
        <v>62017538</v>
      </c>
      <c r="H100" s="2" t="s">
        <v>33</v>
      </c>
      <c r="I100" s="2" t="s">
        <v>1059</v>
      </c>
      <c r="J100" s="2" t="s">
        <v>872</v>
      </c>
      <c r="K100" s="2" t="s">
        <v>30</v>
      </c>
      <c r="L100" s="2" t="s">
        <v>30</v>
      </c>
      <c r="M100" s="2" t="s">
        <v>30</v>
      </c>
      <c r="N100" s="2" t="s">
        <v>30</v>
      </c>
      <c r="O100" s="2" t="s">
        <v>155</v>
      </c>
      <c r="P100" t="s">
        <v>2647</v>
      </c>
      <c r="Q100" s="2" t="s">
        <v>102</v>
      </c>
      <c r="R100" s="2" t="s">
        <v>194</v>
      </c>
      <c r="S100" s="2" t="s">
        <v>930</v>
      </c>
      <c r="T100" s="2" t="s">
        <v>157</v>
      </c>
      <c r="U100" s="158">
        <v>3.71</v>
      </c>
      <c r="V100" s="151">
        <v>3049.085</v>
      </c>
      <c r="W100" s="151">
        <v>11312.107</v>
      </c>
      <c r="X100" s="164">
        <v>1.2727E-2</v>
      </c>
      <c r="Y100" s="164">
        <v>2.4556000760824599E-2</v>
      </c>
      <c r="Z100" s="164">
        <v>4.68602922810403E-3</v>
      </c>
    </row>
    <row r="101" spans="1:26">
      <c r="A101" s="2">
        <v>424</v>
      </c>
      <c r="B101" s="2">
        <v>7228</v>
      </c>
      <c r="C101" s="2" t="s">
        <v>2648</v>
      </c>
      <c r="D101" s="2" t="s">
        <v>2649</v>
      </c>
      <c r="E101" s="2" t="s">
        <v>33</v>
      </c>
      <c r="F101" s="2" t="s">
        <v>2650</v>
      </c>
      <c r="G101" s="2">
        <v>62001189</v>
      </c>
      <c r="H101" s="2" t="s">
        <v>33</v>
      </c>
      <c r="I101" s="2" t="s">
        <v>1059</v>
      </c>
      <c r="J101" s="2" t="s">
        <v>887</v>
      </c>
      <c r="K101" s="2" t="s">
        <v>30</v>
      </c>
      <c r="L101" s="2" t="s">
        <v>256</v>
      </c>
      <c r="M101" s="2" t="s">
        <v>30</v>
      </c>
      <c r="N101" s="2" t="s">
        <v>30</v>
      </c>
      <c r="O101" s="2" t="s">
        <v>155</v>
      </c>
      <c r="P101" t="s">
        <v>2651</v>
      </c>
      <c r="Q101" s="2" t="s">
        <v>102</v>
      </c>
      <c r="R101" s="2" t="s">
        <v>926</v>
      </c>
      <c r="S101" s="2" t="s">
        <v>930</v>
      </c>
      <c r="T101" s="2" t="s">
        <v>157</v>
      </c>
      <c r="U101" s="158">
        <v>3.71</v>
      </c>
      <c r="V101" s="151">
        <v>665.303</v>
      </c>
      <c r="W101" s="151">
        <v>2468.2750000000001</v>
      </c>
      <c r="X101" s="164">
        <v>6.8250000000000003E-3</v>
      </c>
      <c r="Y101" s="164">
        <v>5.35806222227171E-3</v>
      </c>
      <c r="Z101" s="164">
        <v>1.02248067281466E-3</v>
      </c>
    </row>
    <row r="102" spans="1:26">
      <c r="A102" s="2">
        <v>424</v>
      </c>
      <c r="B102" s="2">
        <v>7228</v>
      </c>
      <c r="C102" s="2" t="s">
        <v>2924</v>
      </c>
      <c r="D102" s="2" t="s">
        <v>2925</v>
      </c>
      <c r="E102" s="2" t="s">
        <v>33</v>
      </c>
      <c r="F102" s="2" t="s">
        <v>2926</v>
      </c>
      <c r="G102" s="2">
        <v>9840793</v>
      </c>
      <c r="H102" s="2" t="s">
        <v>33</v>
      </c>
      <c r="I102" s="2" t="s">
        <v>1059</v>
      </c>
      <c r="J102" s="2" t="s">
        <v>886</v>
      </c>
      <c r="K102" s="2" t="s">
        <v>97</v>
      </c>
      <c r="L102" s="2" t="s">
        <v>256</v>
      </c>
      <c r="M102" s="2" t="s">
        <v>30</v>
      </c>
      <c r="N102" s="2" t="s">
        <v>30</v>
      </c>
      <c r="O102" s="2" t="s">
        <v>155</v>
      </c>
      <c r="P102" t="s">
        <v>2666</v>
      </c>
      <c r="Q102" s="2" t="s">
        <v>102</v>
      </c>
      <c r="R102" s="2" t="s">
        <v>926</v>
      </c>
      <c r="S102" s="2" t="s">
        <v>930</v>
      </c>
      <c r="T102" s="2" t="s">
        <v>157</v>
      </c>
      <c r="U102" s="158">
        <v>3.71</v>
      </c>
      <c r="V102" s="151">
        <v>28.765000000000001</v>
      </c>
      <c r="W102" s="151">
        <v>106.71899999999999</v>
      </c>
      <c r="X102" s="164">
        <v>1.8182E-2</v>
      </c>
      <c r="Y102" s="164">
        <v>2.3166234899762501E-4</v>
      </c>
      <c r="Z102" s="164">
        <v>4.4208197785446401E-5</v>
      </c>
    </row>
    <row r="103" spans="1:26">
      <c r="A103" s="2">
        <v>424</v>
      </c>
      <c r="B103" s="2">
        <v>7228</v>
      </c>
      <c r="C103" s="2" t="s">
        <v>2927</v>
      </c>
      <c r="D103" s="2" t="s">
        <v>2928</v>
      </c>
      <c r="E103" s="2" t="s">
        <v>33</v>
      </c>
      <c r="F103" s="2" t="s">
        <v>2929</v>
      </c>
      <c r="G103" s="2">
        <v>60345527</v>
      </c>
      <c r="H103" s="2" t="s">
        <v>33</v>
      </c>
      <c r="I103" s="2" t="s">
        <v>1059</v>
      </c>
      <c r="J103" s="2" t="s">
        <v>886</v>
      </c>
      <c r="K103" s="2" t="s">
        <v>97</v>
      </c>
      <c r="L103" s="2" t="s">
        <v>256</v>
      </c>
      <c r="M103" s="2" t="s">
        <v>30</v>
      </c>
      <c r="N103" s="2" t="s">
        <v>98</v>
      </c>
      <c r="O103" s="2" t="s">
        <v>155</v>
      </c>
      <c r="P103" t="s">
        <v>2666</v>
      </c>
      <c r="Q103" s="2" t="s">
        <v>102</v>
      </c>
      <c r="R103" s="2" t="s">
        <v>926</v>
      </c>
      <c r="S103" s="2" t="s">
        <v>930</v>
      </c>
      <c r="T103" s="2" t="s">
        <v>157</v>
      </c>
      <c r="U103" s="158">
        <v>3.71</v>
      </c>
      <c r="V103" s="151">
        <v>1198.6610000000001</v>
      </c>
      <c r="W103" s="151">
        <v>4447.0320000000002</v>
      </c>
      <c r="X103" s="164">
        <v>3.63E-3</v>
      </c>
      <c r="Y103" s="164">
        <v>9.6534920619955004E-3</v>
      </c>
      <c r="Z103" s="164">
        <v>1.84217887906035E-3</v>
      </c>
    </row>
    <row r="104" spans="1:26">
      <c r="A104" s="2">
        <v>424</v>
      </c>
      <c r="B104" s="2">
        <v>7228</v>
      </c>
      <c r="C104" s="2" t="s">
        <v>2652</v>
      </c>
      <c r="D104" s="2" t="s">
        <v>2653</v>
      </c>
      <c r="E104" s="2" t="s">
        <v>33</v>
      </c>
      <c r="F104" s="2" t="s">
        <v>2652</v>
      </c>
      <c r="G104" s="2">
        <v>60401809</v>
      </c>
      <c r="H104" s="2" t="s">
        <v>33</v>
      </c>
      <c r="I104" s="2" t="s">
        <v>1059</v>
      </c>
      <c r="J104" s="2" t="s">
        <v>885</v>
      </c>
      <c r="K104" s="2" t="s">
        <v>97</v>
      </c>
      <c r="L104" s="2" t="s">
        <v>256</v>
      </c>
      <c r="M104" s="2" t="s">
        <v>30</v>
      </c>
      <c r="N104" s="2" t="s">
        <v>98</v>
      </c>
      <c r="O104" s="2" t="s">
        <v>155</v>
      </c>
      <c r="P104" t="s">
        <v>2654</v>
      </c>
      <c r="Q104" s="2" t="s">
        <v>102</v>
      </c>
      <c r="R104" s="2" t="s">
        <v>926</v>
      </c>
      <c r="S104" s="2" t="s">
        <v>930</v>
      </c>
      <c r="T104" s="2" t="s">
        <v>157</v>
      </c>
      <c r="U104" s="158">
        <v>3.71</v>
      </c>
      <c r="V104" s="151">
        <v>1596.354</v>
      </c>
      <c r="W104" s="151">
        <v>5922.4719999999998</v>
      </c>
      <c r="X104" s="164">
        <v>7.92E-3</v>
      </c>
      <c r="Y104" s="164">
        <v>1.2856334338485801E-2</v>
      </c>
      <c r="Z104" s="164">
        <v>2.45337826233228E-3</v>
      </c>
    </row>
    <row r="105" spans="1:26">
      <c r="A105" s="2">
        <v>424</v>
      </c>
      <c r="B105" s="2">
        <v>7228</v>
      </c>
      <c r="C105" s="2" t="s">
        <v>2930</v>
      </c>
      <c r="D105" s="2" t="s">
        <v>2931</v>
      </c>
      <c r="E105" s="2" t="s">
        <v>33</v>
      </c>
      <c r="F105" s="2" t="s">
        <v>2930</v>
      </c>
      <c r="G105" s="2">
        <v>62011408</v>
      </c>
      <c r="H105" s="2" t="s">
        <v>33</v>
      </c>
      <c r="I105" s="2" t="s">
        <v>1059</v>
      </c>
      <c r="J105" s="2" t="s">
        <v>886</v>
      </c>
      <c r="K105" s="2" t="s">
        <v>97</v>
      </c>
      <c r="L105" s="2" t="s">
        <v>98</v>
      </c>
      <c r="M105" s="2" t="s">
        <v>30</v>
      </c>
      <c r="N105" s="2" t="s">
        <v>30</v>
      </c>
      <c r="O105" s="2" t="s">
        <v>155</v>
      </c>
      <c r="P105" t="s">
        <v>2932</v>
      </c>
      <c r="Q105" s="2" t="s">
        <v>102</v>
      </c>
      <c r="R105" s="2" t="s">
        <v>926</v>
      </c>
      <c r="S105" s="2" t="s">
        <v>930</v>
      </c>
      <c r="T105" s="2" t="s">
        <v>157</v>
      </c>
      <c r="U105" s="158">
        <v>3.71</v>
      </c>
      <c r="V105" s="151">
        <v>1546.9829999999999</v>
      </c>
      <c r="W105" s="151">
        <v>5739.3069999999998</v>
      </c>
      <c r="X105" s="164">
        <v>0</v>
      </c>
      <c r="Y105" s="164">
        <v>1.2458724974601E-2</v>
      </c>
      <c r="Z105" s="164">
        <v>2.3775023443161599E-3</v>
      </c>
    </row>
    <row r="106" spans="1:26">
      <c r="A106" s="2">
        <v>424</v>
      </c>
      <c r="B106" s="2">
        <v>7228</v>
      </c>
      <c r="C106" s="2" t="s">
        <v>2655</v>
      </c>
      <c r="D106" s="2" t="s">
        <v>2656</v>
      </c>
      <c r="E106" s="2" t="s">
        <v>349</v>
      </c>
      <c r="F106" s="2" t="s">
        <v>2657</v>
      </c>
      <c r="G106" s="2">
        <v>50000983</v>
      </c>
      <c r="H106" s="2" t="s">
        <v>33</v>
      </c>
      <c r="I106" s="2" t="s">
        <v>1059</v>
      </c>
      <c r="J106" s="2" t="s">
        <v>879</v>
      </c>
      <c r="K106" s="2" t="s">
        <v>97</v>
      </c>
      <c r="L106" s="2" t="s">
        <v>256</v>
      </c>
      <c r="M106" s="2" t="s">
        <v>30</v>
      </c>
      <c r="N106" s="2" t="s">
        <v>334</v>
      </c>
      <c r="O106" s="2" t="s">
        <v>155</v>
      </c>
      <c r="P106" t="s">
        <v>2658</v>
      </c>
      <c r="Q106" s="2" t="s">
        <v>34</v>
      </c>
      <c r="R106" s="2" t="s">
        <v>926</v>
      </c>
      <c r="S106" s="2" t="s">
        <v>930</v>
      </c>
      <c r="T106" s="2" t="s">
        <v>157</v>
      </c>
      <c r="U106" s="158">
        <v>1</v>
      </c>
      <c r="V106" s="151">
        <v>3162.7809999999999</v>
      </c>
      <c r="W106" s="151">
        <v>3162.7809999999999</v>
      </c>
      <c r="X106" s="164">
        <v>1.8259999999999999E-3</v>
      </c>
      <c r="Y106" s="164">
        <v>6.86567457203471E-3</v>
      </c>
      <c r="Z106" s="164">
        <v>1.31017880429993E-3</v>
      </c>
    </row>
    <row r="107" spans="1:26">
      <c r="A107" s="2">
        <v>424</v>
      </c>
      <c r="B107" s="2">
        <v>7228</v>
      </c>
      <c r="C107" s="2" t="s">
        <v>2655</v>
      </c>
      <c r="D107" s="2" t="s">
        <v>2656</v>
      </c>
      <c r="E107" s="2" t="s">
        <v>349</v>
      </c>
      <c r="F107" s="2" t="s">
        <v>2659</v>
      </c>
      <c r="G107" s="2">
        <v>50007897</v>
      </c>
      <c r="H107" s="2" t="s">
        <v>33</v>
      </c>
      <c r="I107" s="2" t="s">
        <v>1059</v>
      </c>
      <c r="J107" s="2" t="s">
        <v>879</v>
      </c>
      <c r="K107" s="2" t="s">
        <v>97</v>
      </c>
      <c r="L107" s="2" t="s">
        <v>256</v>
      </c>
      <c r="M107" s="2" t="s">
        <v>30</v>
      </c>
      <c r="N107" s="2" t="s">
        <v>334</v>
      </c>
      <c r="O107" s="2" t="s">
        <v>155</v>
      </c>
      <c r="P107" t="s">
        <v>2660</v>
      </c>
      <c r="Q107" s="2" t="s">
        <v>34</v>
      </c>
      <c r="R107" s="2" t="s">
        <v>194</v>
      </c>
      <c r="S107" s="2" t="s">
        <v>930</v>
      </c>
      <c r="T107" s="2" t="s">
        <v>157</v>
      </c>
      <c r="U107" s="158">
        <v>1</v>
      </c>
      <c r="V107" s="151">
        <v>3228.625</v>
      </c>
      <c r="W107" s="151">
        <v>3228.625</v>
      </c>
      <c r="X107" s="164">
        <v>8.4900000000000004E-4</v>
      </c>
      <c r="Y107" s="164">
        <v>7.0086069279784897E-3</v>
      </c>
      <c r="Z107" s="164">
        <v>1.33745463003874E-3</v>
      </c>
    </row>
    <row r="108" spans="1:26">
      <c r="A108" s="2">
        <v>424</v>
      </c>
      <c r="B108" s="2">
        <v>7228</v>
      </c>
      <c r="C108" s="2" t="s">
        <v>2628</v>
      </c>
      <c r="D108" s="2" t="s">
        <v>2629</v>
      </c>
      <c r="E108" s="2" t="s">
        <v>33</v>
      </c>
      <c r="F108" s="2" t="s">
        <v>2661</v>
      </c>
      <c r="G108" s="2">
        <v>62013347</v>
      </c>
      <c r="H108" s="2" t="s">
        <v>33</v>
      </c>
      <c r="I108" s="2" t="s">
        <v>1059</v>
      </c>
      <c r="J108" s="2" t="s">
        <v>867</v>
      </c>
      <c r="K108" s="2" t="s">
        <v>97</v>
      </c>
      <c r="L108" s="2" t="s">
        <v>256</v>
      </c>
      <c r="M108" s="2" t="s">
        <v>30</v>
      </c>
      <c r="N108" s="2" t="s">
        <v>30</v>
      </c>
      <c r="O108" s="2" t="s">
        <v>155</v>
      </c>
      <c r="P108" t="s">
        <v>2662</v>
      </c>
      <c r="Q108" s="2" t="s">
        <v>102</v>
      </c>
      <c r="R108" s="2" t="s">
        <v>926</v>
      </c>
      <c r="S108" s="2" t="s">
        <v>930</v>
      </c>
      <c r="T108" s="2" t="s">
        <v>157</v>
      </c>
      <c r="U108" s="158">
        <v>3.71</v>
      </c>
      <c r="V108" s="151">
        <v>519.09799999999996</v>
      </c>
      <c r="W108" s="151">
        <v>1925.8530000000001</v>
      </c>
      <c r="X108" s="164">
        <v>3.8977999999999999E-2</v>
      </c>
      <c r="Y108" s="164">
        <v>4.18058744584574E-3</v>
      </c>
      <c r="Z108" s="164">
        <v>7.9778279666497403E-4</v>
      </c>
    </row>
    <row r="109" spans="1:26">
      <c r="A109" s="2">
        <v>424</v>
      </c>
      <c r="B109" s="2">
        <v>7228</v>
      </c>
      <c r="C109" s="2" t="s">
        <v>2663</v>
      </c>
      <c r="D109" s="2" t="s">
        <v>2664</v>
      </c>
      <c r="E109" s="2" t="s">
        <v>347</v>
      </c>
      <c r="F109" s="2" t="s">
        <v>2665</v>
      </c>
      <c r="G109" s="2">
        <v>60364742</v>
      </c>
      <c r="H109" s="2" t="s">
        <v>33</v>
      </c>
      <c r="I109" s="2" t="s">
        <v>1059</v>
      </c>
      <c r="J109" s="2" t="s">
        <v>885</v>
      </c>
      <c r="K109" s="2" t="s">
        <v>30</v>
      </c>
      <c r="L109" s="2" t="s">
        <v>256</v>
      </c>
      <c r="M109" s="2" t="s">
        <v>30</v>
      </c>
      <c r="N109" s="2" t="s">
        <v>30</v>
      </c>
      <c r="O109" s="2" t="s">
        <v>155</v>
      </c>
      <c r="P109" t="s">
        <v>2666</v>
      </c>
      <c r="Q109" s="2" t="s">
        <v>102</v>
      </c>
      <c r="R109" s="2" t="s">
        <v>926</v>
      </c>
      <c r="S109" s="2" t="s">
        <v>930</v>
      </c>
      <c r="T109" s="2" t="s">
        <v>157</v>
      </c>
      <c r="U109" s="158">
        <v>3.71</v>
      </c>
      <c r="V109" s="151">
        <v>537.17100000000005</v>
      </c>
      <c r="W109" s="151">
        <v>1992.904</v>
      </c>
      <c r="X109" s="164">
        <v>1.1364000000000001E-2</v>
      </c>
      <c r="Y109" s="164">
        <v>4.3261404639426604E-3</v>
      </c>
      <c r="Z109" s="164">
        <v>8.25558724173864E-4</v>
      </c>
    </row>
    <row r="110" spans="1:26">
      <c r="A110" s="2">
        <v>424</v>
      </c>
      <c r="B110" s="2">
        <v>7228</v>
      </c>
      <c r="C110" s="2" t="s">
        <v>2663</v>
      </c>
      <c r="D110" s="2" t="s">
        <v>2664</v>
      </c>
      <c r="E110" s="2" t="s">
        <v>347</v>
      </c>
      <c r="F110" s="2" t="s">
        <v>2667</v>
      </c>
      <c r="G110" s="2">
        <v>62002785</v>
      </c>
      <c r="H110" s="2" t="s">
        <v>33</v>
      </c>
      <c r="I110" s="2" t="s">
        <v>1059</v>
      </c>
      <c r="J110" s="2" t="s">
        <v>885</v>
      </c>
      <c r="K110" s="2" t="s">
        <v>30</v>
      </c>
      <c r="L110" s="2" t="s">
        <v>256</v>
      </c>
      <c r="M110" s="2" t="s">
        <v>30</v>
      </c>
      <c r="N110" s="2" t="s">
        <v>30</v>
      </c>
      <c r="O110" s="2" t="s">
        <v>155</v>
      </c>
      <c r="P110" t="s">
        <v>2668</v>
      </c>
      <c r="Q110" s="2" t="s">
        <v>102</v>
      </c>
      <c r="R110" s="2" t="s">
        <v>926</v>
      </c>
      <c r="S110" s="2" t="s">
        <v>930</v>
      </c>
      <c r="T110" s="2" t="s">
        <v>157</v>
      </c>
      <c r="U110" s="158">
        <v>3.71</v>
      </c>
      <c r="V110" s="151">
        <v>832.10199999999998</v>
      </c>
      <c r="W110" s="151">
        <v>3087.0990000000002</v>
      </c>
      <c r="X110" s="164">
        <v>6.5040000000000002E-3</v>
      </c>
      <c r="Y110" s="164">
        <v>6.7013868694951696E-3</v>
      </c>
      <c r="Z110" s="164">
        <v>1.2788277311583001E-3</v>
      </c>
    </row>
    <row r="111" spans="1:26">
      <c r="A111" s="2">
        <v>424</v>
      </c>
      <c r="B111" s="2">
        <v>7228</v>
      </c>
      <c r="C111" s="2" t="s">
        <v>2663</v>
      </c>
      <c r="D111" s="2" t="s">
        <v>2664</v>
      </c>
      <c r="E111" s="2" t="s">
        <v>347</v>
      </c>
      <c r="F111" s="2" t="s">
        <v>2669</v>
      </c>
      <c r="G111" s="2">
        <v>62017827</v>
      </c>
      <c r="H111" s="2" t="s">
        <v>33</v>
      </c>
      <c r="I111" s="2" t="s">
        <v>1059</v>
      </c>
      <c r="J111" s="2" t="s">
        <v>885</v>
      </c>
      <c r="K111" s="2" t="s">
        <v>30</v>
      </c>
      <c r="L111" s="2" t="s">
        <v>256</v>
      </c>
      <c r="M111" s="2" t="s">
        <v>30</v>
      </c>
      <c r="N111" s="2" t="s">
        <v>30</v>
      </c>
      <c r="O111" s="2" t="s">
        <v>155</v>
      </c>
      <c r="P111" t="s">
        <v>2670</v>
      </c>
      <c r="Q111" s="2" t="s">
        <v>102</v>
      </c>
      <c r="R111" s="2" t="s">
        <v>926</v>
      </c>
      <c r="S111" s="2" t="s">
        <v>930</v>
      </c>
      <c r="T111" s="2" t="s">
        <v>157</v>
      </c>
      <c r="U111" s="158">
        <v>3.71</v>
      </c>
      <c r="V111" s="151">
        <v>317.197</v>
      </c>
      <c r="W111" s="151">
        <v>1176.8009999999999</v>
      </c>
      <c r="X111" s="164">
        <v>1.635E-3</v>
      </c>
      <c r="Y111" s="164">
        <v>2.5545662529967198E-3</v>
      </c>
      <c r="Z111" s="164">
        <v>4.8748866899240298E-4</v>
      </c>
    </row>
    <row r="112" spans="1:26">
      <c r="A112" s="2">
        <v>424</v>
      </c>
      <c r="B112" s="2">
        <v>7228</v>
      </c>
      <c r="C112" s="2" t="s">
        <v>2663</v>
      </c>
      <c r="D112" s="2" t="s">
        <v>2664</v>
      </c>
      <c r="E112" s="2" t="s">
        <v>347</v>
      </c>
      <c r="F112" s="2" t="s">
        <v>2671</v>
      </c>
      <c r="G112" s="2">
        <v>62018247</v>
      </c>
      <c r="H112" s="2" t="s">
        <v>33</v>
      </c>
      <c r="I112" s="2" t="s">
        <v>1059</v>
      </c>
      <c r="J112" s="2" t="s">
        <v>885</v>
      </c>
      <c r="K112" s="2" t="s">
        <v>30</v>
      </c>
      <c r="L112" s="2" t="s">
        <v>256</v>
      </c>
      <c r="M112" s="2" t="s">
        <v>30</v>
      </c>
      <c r="N112" s="2" t="s">
        <v>30</v>
      </c>
      <c r="O112" s="2" t="s">
        <v>155</v>
      </c>
      <c r="P112" t="s">
        <v>2672</v>
      </c>
      <c r="Q112" s="2" t="s">
        <v>102</v>
      </c>
      <c r="R112" s="2" t="s">
        <v>926</v>
      </c>
      <c r="S112" s="2" t="s">
        <v>930</v>
      </c>
      <c r="T112" s="2" t="s">
        <v>157</v>
      </c>
      <c r="U112" s="158">
        <v>3.71</v>
      </c>
      <c r="V112" s="151">
        <v>796.93</v>
      </c>
      <c r="W112" s="151">
        <v>2956.6109999999999</v>
      </c>
      <c r="X112" s="164">
        <v>5.9199999999999999E-3</v>
      </c>
      <c r="Y112" s="164">
        <v>6.4181281130962498E-3</v>
      </c>
      <c r="Z112" s="164">
        <v>1.2247733749734301E-3</v>
      </c>
    </row>
    <row r="113" spans="1:26">
      <c r="A113" s="2">
        <v>424</v>
      </c>
      <c r="B113" s="2">
        <v>7228</v>
      </c>
      <c r="C113" s="2" t="s">
        <v>2673</v>
      </c>
      <c r="D113" s="2" t="s">
        <v>2674</v>
      </c>
      <c r="E113" s="2" t="s">
        <v>33</v>
      </c>
      <c r="F113" s="2" t="s">
        <v>2675</v>
      </c>
      <c r="G113" s="2">
        <v>62013487</v>
      </c>
      <c r="H113" s="2" t="s">
        <v>33</v>
      </c>
      <c r="I113" s="2" t="s">
        <v>1059</v>
      </c>
      <c r="J113" s="2" t="s">
        <v>867</v>
      </c>
      <c r="K113" s="2" t="s">
        <v>30</v>
      </c>
      <c r="L113" s="2" t="s">
        <v>30</v>
      </c>
      <c r="M113" s="2" t="s">
        <v>30</v>
      </c>
      <c r="N113" s="2" t="s">
        <v>30</v>
      </c>
      <c r="O113" s="2" t="s">
        <v>155</v>
      </c>
      <c r="P113" t="s">
        <v>2676</v>
      </c>
      <c r="Q113" s="2" t="s">
        <v>102</v>
      </c>
      <c r="R113" s="2" t="s">
        <v>926</v>
      </c>
      <c r="S113" s="2" t="s">
        <v>930</v>
      </c>
      <c r="T113" s="2" t="s">
        <v>157</v>
      </c>
      <c r="U113" s="158">
        <v>3.71</v>
      </c>
      <c r="V113" s="151">
        <v>629.86800000000005</v>
      </c>
      <c r="W113" s="151">
        <v>2336.8110000000001</v>
      </c>
      <c r="X113" s="164">
        <v>9.5556000000000002E-2</v>
      </c>
      <c r="Y113" s="164">
        <v>5.0726840048788396E-3</v>
      </c>
      <c r="Z113" s="164">
        <v>9.6802185923208902E-4</v>
      </c>
    </row>
    <row r="114" spans="1:26">
      <c r="A114" s="2">
        <v>424</v>
      </c>
      <c r="B114" s="2">
        <v>7228</v>
      </c>
      <c r="C114" s="2" t="s">
        <v>2677</v>
      </c>
      <c r="D114" s="2" t="s">
        <v>2678</v>
      </c>
      <c r="E114" s="2" t="s">
        <v>33</v>
      </c>
      <c r="F114" s="2" t="s">
        <v>2679</v>
      </c>
      <c r="G114" s="2">
        <v>62017694</v>
      </c>
      <c r="H114" s="2" t="s">
        <v>33</v>
      </c>
      <c r="I114" s="2" t="s">
        <v>1059</v>
      </c>
      <c r="J114" s="2" t="s">
        <v>603</v>
      </c>
      <c r="K114" s="2" t="s">
        <v>30</v>
      </c>
      <c r="L114" s="2" t="s">
        <v>30</v>
      </c>
      <c r="M114" s="2" t="s">
        <v>30</v>
      </c>
      <c r="N114" s="2" t="s">
        <v>30</v>
      </c>
      <c r="O114" s="2" t="s">
        <v>155</v>
      </c>
      <c r="P114" t="s">
        <v>2680</v>
      </c>
      <c r="Q114" s="2" t="s">
        <v>102</v>
      </c>
      <c r="R114" s="2" t="s">
        <v>926</v>
      </c>
      <c r="S114" s="2" t="s">
        <v>930</v>
      </c>
      <c r="T114" s="2" t="s">
        <v>157</v>
      </c>
      <c r="U114" s="158">
        <v>3.71</v>
      </c>
      <c r="V114" s="151">
        <v>1831.194</v>
      </c>
      <c r="W114" s="151">
        <v>6793.73</v>
      </c>
      <c r="X114" s="164">
        <v>4.8780000000000004E-3</v>
      </c>
      <c r="Y114" s="164">
        <v>1.4747636154462901E-2</v>
      </c>
      <c r="Z114" s="164">
        <v>2.81429597345135E-3</v>
      </c>
    </row>
    <row r="115" spans="1:26">
      <c r="A115" s="2">
        <v>424</v>
      </c>
      <c r="B115" s="2">
        <v>7228</v>
      </c>
      <c r="C115" s="2" t="s">
        <v>2681</v>
      </c>
      <c r="D115" s="2" t="s">
        <v>2682</v>
      </c>
      <c r="E115" s="2" t="s">
        <v>33</v>
      </c>
      <c r="F115" s="2" t="s">
        <v>2681</v>
      </c>
      <c r="G115" s="2">
        <v>62020375</v>
      </c>
      <c r="H115" s="2" t="s">
        <v>33</v>
      </c>
      <c r="I115" s="2" t="s">
        <v>1059</v>
      </c>
      <c r="J115" s="2" t="s">
        <v>883</v>
      </c>
      <c r="K115" s="2" t="s">
        <v>30</v>
      </c>
      <c r="L115" s="2" t="s">
        <v>30</v>
      </c>
      <c r="M115" s="2" t="s">
        <v>30</v>
      </c>
      <c r="N115" s="2" t="s">
        <v>30</v>
      </c>
      <c r="O115" s="2" t="s">
        <v>155</v>
      </c>
      <c r="P115" t="s">
        <v>2683</v>
      </c>
      <c r="Q115" s="2" t="s">
        <v>102</v>
      </c>
      <c r="R115" s="2" t="s">
        <v>194</v>
      </c>
      <c r="S115" s="2" t="s">
        <v>930</v>
      </c>
      <c r="T115" s="2" t="s">
        <v>157</v>
      </c>
      <c r="U115" s="158">
        <v>3.71</v>
      </c>
      <c r="V115" s="151">
        <v>705.11</v>
      </c>
      <c r="W115" s="151">
        <v>2615.96</v>
      </c>
      <c r="X115" s="164">
        <v>1.678E-3</v>
      </c>
      <c r="Y115" s="164">
        <v>5.6786514122561596E-3</v>
      </c>
      <c r="Z115" s="164">
        <v>1.0836588071987401E-3</v>
      </c>
    </row>
    <row r="116" spans="1:26">
      <c r="A116" s="2">
        <v>424</v>
      </c>
      <c r="B116" s="2">
        <v>7228</v>
      </c>
      <c r="C116" s="2" t="s">
        <v>2933</v>
      </c>
      <c r="D116" s="2" t="s">
        <v>2934</v>
      </c>
      <c r="E116" s="2" t="s">
        <v>350</v>
      </c>
      <c r="F116" s="2" t="s">
        <v>2935</v>
      </c>
      <c r="G116" s="2">
        <v>60346871</v>
      </c>
      <c r="H116" s="2" t="s">
        <v>33</v>
      </c>
      <c r="I116" s="2" t="s">
        <v>1059</v>
      </c>
      <c r="J116" s="2" t="s">
        <v>603</v>
      </c>
      <c r="K116" s="2" t="s">
        <v>30</v>
      </c>
      <c r="L116" s="2" t="s">
        <v>30</v>
      </c>
      <c r="M116" s="2" t="s">
        <v>30</v>
      </c>
      <c r="N116" s="2" t="s">
        <v>30</v>
      </c>
      <c r="O116" s="2" t="s">
        <v>155</v>
      </c>
      <c r="P116" t="s">
        <v>2666</v>
      </c>
      <c r="Q116" s="2" t="s">
        <v>102</v>
      </c>
      <c r="R116" s="2" t="s">
        <v>926</v>
      </c>
      <c r="S116" s="2" t="s">
        <v>930</v>
      </c>
      <c r="T116" s="2" t="s">
        <v>157</v>
      </c>
      <c r="U116" s="158">
        <v>3.71</v>
      </c>
      <c r="V116" s="151">
        <v>614.20000000000005</v>
      </c>
      <c r="W116" s="151">
        <v>2278.683</v>
      </c>
      <c r="X116" s="164">
        <v>2.1749999999999999E-3</v>
      </c>
      <c r="Y116" s="164">
        <v>4.94650019816138E-3</v>
      </c>
      <c r="Z116" s="164">
        <v>9.4394216432774599E-4</v>
      </c>
    </row>
    <row r="117" spans="1:26">
      <c r="A117" s="2">
        <v>424</v>
      </c>
      <c r="B117" s="2">
        <v>7228</v>
      </c>
      <c r="C117" s="2" t="s">
        <v>2684</v>
      </c>
      <c r="D117" s="2" t="s">
        <v>2685</v>
      </c>
      <c r="E117" s="2" t="s">
        <v>350</v>
      </c>
      <c r="F117" s="2" t="s">
        <v>2686</v>
      </c>
      <c r="G117" s="2">
        <v>62013024</v>
      </c>
      <c r="H117" s="2" t="s">
        <v>33</v>
      </c>
      <c r="I117" s="2" t="s">
        <v>1059</v>
      </c>
      <c r="J117" s="2" t="s">
        <v>603</v>
      </c>
      <c r="K117" s="2" t="s">
        <v>30</v>
      </c>
      <c r="L117" s="2" t="s">
        <v>256</v>
      </c>
      <c r="M117" s="2" t="s">
        <v>30</v>
      </c>
      <c r="N117" s="2" t="s">
        <v>30</v>
      </c>
      <c r="O117" s="2" t="s">
        <v>155</v>
      </c>
      <c r="P117" t="s">
        <v>2687</v>
      </c>
      <c r="Q117" s="2" t="s">
        <v>102</v>
      </c>
      <c r="R117" s="2" t="s">
        <v>194</v>
      </c>
      <c r="S117" s="2" t="s">
        <v>930</v>
      </c>
      <c r="T117" s="2" t="s">
        <v>157</v>
      </c>
      <c r="U117" s="158">
        <v>3.71</v>
      </c>
      <c r="V117" s="151">
        <v>749.77099999999996</v>
      </c>
      <c r="W117" s="151">
        <v>2781.6509999999998</v>
      </c>
      <c r="X117" s="164">
        <v>0</v>
      </c>
      <c r="Y117" s="164">
        <v>6.0383289137492602E-3</v>
      </c>
      <c r="Z117" s="164">
        <v>1.1522961761703599E-3</v>
      </c>
    </row>
    <row r="118" spans="1:26">
      <c r="A118" s="2">
        <v>424</v>
      </c>
      <c r="B118" s="2">
        <v>7228</v>
      </c>
      <c r="C118" s="2" t="s">
        <v>2684</v>
      </c>
      <c r="D118" s="2" t="s">
        <v>2685</v>
      </c>
      <c r="E118" s="2" t="s">
        <v>350</v>
      </c>
      <c r="F118" s="2" t="s">
        <v>2936</v>
      </c>
      <c r="G118" s="2">
        <v>60382116</v>
      </c>
      <c r="H118" s="2" t="s">
        <v>33</v>
      </c>
      <c r="I118" s="2" t="s">
        <v>1059</v>
      </c>
      <c r="J118" s="2" t="s">
        <v>603</v>
      </c>
      <c r="K118" s="2" t="s">
        <v>30</v>
      </c>
      <c r="L118" s="2" t="s">
        <v>256</v>
      </c>
      <c r="M118" s="2" t="s">
        <v>30</v>
      </c>
      <c r="N118" s="2" t="s">
        <v>30</v>
      </c>
      <c r="O118" s="2" t="s">
        <v>155</v>
      </c>
      <c r="P118" t="s">
        <v>2937</v>
      </c>
      <c r="Q118" s="2" t="s">
        <v>102</v>
      </c>
      <c r="R118" s="2" t="s">
        <v>194</v>
      </c>
      <c r="S118" s="2" t="s">
        <v>930</v>
      </c>
      <c r="T118" s="2" t="s">
        <v>157</v>
      </c>
      <c r="U118" s="158">
        <v>3.71</v>
      </c>
      <c r="V118" s="151">
        <v>588.96299999999997</v>
      </c>
      <c r="W118" s="151">
        <v>2185.0529999999999</v>
      </c>
      <c r="X118" s="164">
        <v>3.1667000000000001E-2</v>
      </c>
      <c r="Y118" s="164">
        <v>4.74325019362184E-3</v>
      </c>
      <c r="Z118" s="164">
        <v>9.0515590303213598E-4</v>
      </c>
    </row>
    <row r="119" spans="1:26">
      <c r="A119" s="2">
        <v>424</v>
      </c>
      <c r="B119" s="2">
        <v>7228</v>
      </c>
      <c r="C119" s="2" t="s">
        <v>2688</v>
      </c>
      <c r="D119" s="2" t="s">
        <v>2689</v>
      </c>
      <c r="E119" s="2" t="s">
        <v>194</v>
      </c>
      <c r="F119" s="2" t="s">
        <v>2690</v>
      </c>
      <c r="G119" s="2">
        <v>60406600</v>
      </c>
      <c r="H119" s="2" t="s">
        <v>33</v>
      </c>
      <c r="I119" s="2" t="s">
        <v>1059</v>
      </c>
      <c r="J119" s="2" t="s">
        <v>866</v>
      </c>
      <c r="K119" s="2" t="s">
        <v>97</v>
      </c>
      <c r="L119" s="2" t="s">
        <v>256</v>
      </c>
      <c r="M119" s="2" t="s">
        <v>30</v>
      </c>
      <c r="N119" s="2" t="s">
        <v>30</v>
      </c>
      <c r="O119" s="2" t="s">
        <v>155</v>
      </c>
      <c r="P119" t="s">
        <v>2691</v>
      </c>
      <c r="Q119" s="2" t="s">
        <v>102</v>
      </c>
      <c r="R119" s="2" t="s">
        <v>926</v>
      </c>
      <c r="S119" s="2" t="s">
        <v>930</v>
      </c>
      <c r="T119" s="2" t="s">
        <v>157</v>
      </c>
      <c r="U119" s="158">
        <v>3.71</v>
      </c>
      <c r="V119" s="151">
        <v>2147.81</v>
      </c>
      <c r="W119" s="151">
        <v>7968.3760000000002</v>
      </c>
      <c r="X119" s="164">
        <v>0</v>
      </c>
      <c r="Y119" s="164">
        <v>1.7297524531523702E-2</v>
      </c>
      <c r="Z119" s="164">
        <v>3.3008919619305502E-3</v>
      </c>
    </row>
    <row r="120" spans="1:26">
      <c r="A120" s="2">
        <v>424</v>
      </c>
      <c r="B120" s="2">
        <v>7228</v>
      </c>
      <c r="C120" s="2" t="s">
        <v>2692</v>
      </c>
      <c r="D120" s="2" t="s">
        <v>2693</v>
      </c>
      <c r="E120" s="2" t="s">
        <v>194</v>
      </c>
      <c r="F120" s="2" t="s">
        <v>2694</v>
      </c>
      <c r="G120" s="2">
        <v>62009048</v>
      </c>
      <c r="H120" s="2" t="s">
        <v>33</v>
      </c>
      <c r="I120" s="2" t="s">
        <v>1059</v>
      </c>
      <c r="J120" s="2" t="s">
        <v>866</v>
      </c>
      <c r="K120" s="2" t="s">
        <v>97</v>
      </c>
      <c r="L120" s="2" t="s">
        <v>256</v>
      </c>
      <c r="M120" s="2" t="s">
        <v>30</v>
      </c>
      <c r="N120" s="2" t="s">
        <v>98</v>
      </c>
      <c r="O120" s="2" t="s">
        <v>155</v>
      </c>
      <c r="P120" t="s">
        <v>2695</v>
      </c>
      <c r="Q120" s="2" t="s">
        <v>102</v>
      </c>
      <c r="R120" s="2" t="s">
        <v>926</v>
      </c>
      <c r="S120" s="2" t="s">
        <v>930</v>
      </c>
      <c r="T120" s="2" t="s">
        <v>157</v>
      </c>
      <c r="U120" s="158">
        <v>3.71</v>
      </c>
      <c r="V120" s="151">
        <v>1173.02</v>
      </c>
      <c r="W120" s="151">
        <v>4351.9049999999997</v>
      </c>
      <c r="X120" s="164">
        <v>7.7600000000000004E-3</v>
      </c>
      <c r="Y120" s="164">
        <v>9.4469922167605396E-3</v>
      </c>
      <c r="Z120" s="164">
        <v>1.80277244965864E-3</v>
      </c>
    </row>
    <row r="121" spans="1:26">
      <c r="A121" s="2">
        <v>424</v>
      </c>
      <c r="B121" s="2">
        <v>7228</v>
      </c>
      <c r="C121" s="2" t="s">
        <v>2696</v>
      </c>
      <c r="D121" s="2" t="s">
        <v>2697</v>
      </c>
      <c r="E121" s="2" t="s">
        <v>194</v>
      </c>
      <c r="F121" s="2" t="s">
        <v>2698</v>
      </c>
      <c r="G121" s="2">
        <v>62015334</v>
      </c>
      <c r="H121" s="2" t="s">
        <v>33</v>
      </c>
      <c r="I121" s="2" t="s">
        <v>1059</v>
      </c>
      <c r="J121" s="2" t="s">
        <v>866</v>
      </c>
      <c r="K121" s="2" t="s">
        <v>97</v>
      </c>
      <c r="L121" s="2" t="s">
        <v>256</v>
      </c>
      <c r="M121" s="2" t="s">
        <v>30</v>
      </c>
      <c r="N121" s="2" t="s">
        <v>30</v>
      </c>
      <c r="O121" s="2" t="s">
        <v>155</v>
      </c>
      <c r="P121" t="s">
        <v>2699</v>
      </c>
      <c r="Q121" s="2" t="s">
        <v>102</v>
      </c>
      <c r="R121" s="2" t="s">
        <v>926</v>
      </c>
      <c r="S121" s="2" t="s">
        <v>930</v>
      </c>
      <c r="T121" s="2" t="s">
        <v>157</v>
      </c>
      <c r="U121" s="158">
        <v>3.71</v>
      </c>
      <c r="V121" s="151">
        <v>1603.6479999999999</v>
      </c>
      <c r="W121" s="151">
        <v>5949.5339999999997</v>
      </c>
      <c r="X121" s="164">
        <v>1.2749999999999999E-2</v>
      </c>
      <c r="Y121" s="164">
        <v>1.2915080763503501E-2</v>
      </c>
      <c r="Z121" s="164">
        <v>2.4645888608072E-3</v>
      </c>
    </row>
    <row r="122" spans="1:26">
      <c r="A122" s="2">
        <v>424</v>
      </c>
      <c r="B122" s="2">
        <v>7228</v>
      </c>
      <c r="C122" s="2" t="s">
        <v>2700</v>
      </c>
      <c r="D122" s="2" t="s">
        <v>2701</v>
      </c>
      <c r="E122" s="2" t="s">
        <v>194</v>
      </c>
      <c r="F122" s="2" t="s">
        <v>2702</v>
      </c>
      <c r="G122" s="2">
        <v>62017835</v>
      </c>
      <c r="H122" s="2" t="s">
        <v>33</v>
      </c>
      <c r="I122" s="2" t="s">
        <v>1059</v>
      </c>
      <c r="J122" s="2" t="s">
        <v>866</v>
      </c>
      <c r="K122" s="2" t="s">
        <v>30</v>
      </c>
      <c r="L122" s="2" t="s">
        <v>98</v>
      </c>
      <c r="M122" s="2" t="s">
        <v>30</v>
      </c>
      <c r="N122" s="2" t="s">
        <v>30</v>
      </c>
      <c r="O122" s="2" t="s">
        <v>155</v>
      </c>
      <c r="P122" t="s">
        <v>2670</v>
      </c>
      <c r="Q122" s="2" t="s">
        <v>102</v>
      </c>
      <c r="R122" s="2" t="s">
        <v>194</v>
      </c>
      <c r="S122" s="2" t="s">
        <v>930</v>
      </c>
      <c r="T122" s="2" t="s">
        <v>157</v>
      </c>
      <c r="U122" s="158">
        <v>3.71</v>
      </c>
      <c r="V122" s="151">
        <v>666.75800000000004</v>
      </c>
      <c r="W122" s="151">
        <v>2473.6729999999998</v>
      </c>
      <c r="X122" s="164">
        <v>2.055E-3</v>
      </c>
      <c r="Y122" s="164">
        <v>5.3697790401415601E-3</v>
      </c>
      <c r="Z122" s="164">
        <v>1.0247165967964701E-3</v>
      </c>
    </row>
    <row r="123" spans="1:26">
      <c r="A123" s="2">
        <v>424</v>
      </c>
      <c r="B123" s="2">
        <v>7228</v>
      </c>
      <c r="C123" s="2" t="s">
        <v>2703</v>
      </c>
      <c r="D123" s="2" t="s">
        <v>2704</v>
      </c>
      <c r="E123" s="2" t="s">
        <v>194</v>
      </c>
      <c r="F123" s="2" t="s">
        <v>2705</v>
      </c>
      <c r="G123" s="2">
        <v>62020011</v>
      </c>
      <c r="H123" s="2" t="s">
        <v>33</v>
      </c>
      <c r="I123" s="2" t="s">
        <v>1059</v>
      </c>
      <c r="J123" s="2" t="s">
        <v>866</v>
      </c>
      <c r="K123" s="2" t="s">
        <v>97</v>
      </c>
      <c r="L123" s="2" t="s">
        <v>98</v>
      </c>
      <c r="M123" s="2" t="s">
        <v>30</v>
      </c>
      <c r="N123" s="2" t="s">
        <v>30</v>
      </c>
      <c r="O123" s="2" t="s">
        <v>155</v>
      </c>
      <c r="P123" t="s">
        <v>2706</v>
      </c>
      <c r="Q123" s="2" t="s">
        <v>102</v>
      </c>
      <c r="R123" s="2" t="s">
        <v>926</v>
      </c>
      <c r="S123" s="2" t="s">
        <v>930</v>
      </c>
      <c r="T123" s="2" t="s">
        <v>157</v>
      </c>
      <c r="U123" s="158">
        <v>3.71</v>
      </c>
      <c r="V123" s="151">
        <v>488.07400000000001</v>
      </c>
      <c r="W123" s="151">
        <v>1810.7539999999999</v>
      </c>
      <c r="X123" s="164">
        <v>7.9769999999999997E-3</v>
      </c>
      <c r="Y123" s="164">
        <v>3.93073358845367E-3</v>
      </c>
      <c r="Z123" s="164">
        <v>7.50103107700245E-4</v>
      </c>
    </row>
    <row r="124" spans="1:26">
      <c r="A124" s="2">
        <v>424</v>
      </c>
      <c r="B124" s="2">
        <v>7228</v>
      </c>
      <c r="C124" s="2" t="s">
        <v>2707</v>
      </c>
      <c r="D124" s="2" t="s">
        <v>2708</v>
      </c>
      <c r="E124" s="2" t="s">
        <v>194</v>
      </c>
      <c r="F124" s="2" t="s">
        <v>2709</v>
      </c>
      <c r="G124" s="2">
        <v>62020748</v>
      </c>
      <c r="H124" s="2" t="s">
        <v>33</v>
      </c>
      <c r="I124" s="2" t="s">
        <v>1059</v>
      </c>
      <c r="J124" s="2" t="s">
        <v>866</v>
      </c>
      <c r="K124" s="2" t="s">
        <v>97</v>
      </c>
      <c r="L124" s="2" t="s">
        <v>98</v>
      </c>
      <c r="M124" s="2" t="s">
        <v>30</v>
      </c>
      <c r="N124" s="2" t="s">
        <v>98</v>
      </c>
      <c r="O124" s="2" t="s">
        <v>155</v>
      </c>
      <c r="P124" t="s">
        <v>2710</v>
      </c>
      <c r="Q124" s="2" t="s">
        <v>102</v>
      </c>
      <c r="R124" s="2" t="s">
        <v>194</v>
      </c>
      <c r="S124" s="2" t="s">
        <v>930</v>
      </c>
      <c r="T124" s="2" t="s">
        <v>157</v>
      </c>
      <c r="U124" s="158">
        <v>3.71</v>
      </c>
      <c r="V124" s="151">
        <v>224.321</v>
      </c>
      <c r="W124" s="151">
        <v>832.23099999999999</v>
      </c>
      <c r="X124" s="164">
        <v>6.2500000000000001E-4</v>
      </c>
      <c r="Y124" s="164">
        <v>1.80658329472753E-3</v>
      </c>
      <c r="Z124" s="164">
        <v>3.4475084947885402E-4</v>
      </c>
    </row>
    <row r="125" spans="1:26">
      <c r="A125" s="2">
        <v>424</v>
      </c>
      <c r="B125" s="2">
        <v>7228</v>
      </c>
      <c r="C125" s="2" t="s">
        <v>2938</v>
      </c>
      <c r="D125" s="2" t="s">
        <v>2939</v>
      </c>
      <c r="E125" s="2" t="s">
        <v>194</v>
      </c>
      <c r="F125" s="2" t="s">
        <v>2938</v>
      </c>
      <c r="G125" s="2">
        <v>60297512</v>
      </c>
      <c r="H125" s="2" t="s">
        <v>33</v>
      </c>
      <c r="I125" s="2" t="s">
        <v>1059</v>
      </c>
      <c r="J125" s="2" t="s">
        <v>885</v>
      </c>
      <c r="K125" s="2" t="s">
        <v>30</v>
      </c>
      <c r="L125" s="2" t="s">
        <v>30</v>
      </c>
      <c r="M125" s="2" t="s">
        <v>30</v>
      </c>
      <c r="N125" s="2" t="s">
        <v>30</v>
      </c>
      <c r="O125" s="2" t="s">
        <v>155</v>
      </c>
      <c r="P125" t="s">
        <v>2666</v>
      </c>
      <c r="Q125" s="2" t="s">
        <v>102</v>
      </c>
      <c r="R125" s="2" t="s">
        <v>926</v>
      </c>
      <c r="S125" s="2" t="s">
        <v>930</v>
      </c>
      <c r="T125" s="2" t="s">
        <v>157</v>
      </c>
      <c r="U125" s="158">
        <v>3.71</v>
      </c>
      <c r="V125" s="151">
        <v>217.99700000000001</v>
      </c>
      <c r="W125" s="151">
        <v>808.76800000000003</v>
      </c>
      <c r="X125" s="164">
        <v>7.4999999999999997E-3</v>
      </c>
      <c r="Y125" s="164">
        <v>1.7556509519129199E-3</v>
      </c>
      <c r="Z125" s="164">
        <v>3.3503141473010498E-4</v>
      </c>
    </row>
    <row r="126" spans="1:26">
      <c r="A126" s="2">
        <v>424</v>
      </c>
      <c r="B126" s="2">
        <v>7228</v>
      </c>
      <c r="C126" s="2" t="s">
        <v>2711</v>
      </c>
      <c r="E126" s="2" t="s">
        <v>194</v>
      </c>
      <c r="F126" s="2" t="s">
        <v>2712</v>
      </c>
      <c r="G126" s="2">
        <v>62015151</v>
      </c>
      <c r="H126" s="2" t="s">
        <v>33</v>
      </c>
      <c r="I126" s="2" t="s">
        <v>1059</v>
      </c>
      <c r="J126" s="2" t="s">
        <v>885</v>
      </c>
      <c r="K126" s="2" t="s">
        <v>97</v>
      </c>
      <c r="L126" s="2" t="s">
        <v>98</v>
      </c>
      <c r="M126" s="2" t="s">
        <v>30</v>
      </c>
      <c r="N126" s="2" t="s">
        <v>30</v>
      </c>
      <c r="O126" s="2" t="s">
        <v>155</v>
      </c>
      <c r="P126" t="s">
        <v>2713</v>
      </c>
      <c r="Q126" s="2" t="s">
        <v>102</v>
      </c>
      <c r="R126" s="2" t="s">
        <v>926</v>
      </c>
      <c r="S126" s="2" t="s">
        <v>930</v>
      </c>
      <c r="T126" s="2" t="s">
        <v>157</v>
      </c>
      <c r="U126" s="158">
        <v>3.71</v>
      </c>
      <c r="V126" s="151">
        <v>697.32299999999998</v>
      </c>
      <c r="W126" s="151">
        <v>2587.067</v>
      </c>
      <c r="X126" s="164">
        <v>5.5599999999999998E-3</v>
      </c>
      <c r="Y126" s="164">
        <v>5.6159321810640202E-3</v>
      </c>
      <c r="Z126" s="164">
        <v>1.07169007689151E-3</v>
      </c>
    </row>
    <row r="127" spans="1:26">
      <c r="A127" s="2">
        <v>424</v>
      </c>
      <c r="B127" s="2">
        <v>7228</v>
      </c>
      <c r="C127" s="2" t="s">
        <v>2940</v>
      </c>
      <c r="D127" s="2" t="s">
        <v>2941</v>
      </c>
      <c r="E127" s="2" t="s">
        <v>194</v>
      </c>
      <c r="F127" s="2" t="s">
        <v>2942</v>
      </c>
      <c r="G127" s="2">
        <v>60335908</v>
      </c>
      <c r="H127" s="2" t="s">
        <v>33</v>
      </c>
      <c r="I127" s="2" t="s">
        <v>1059</v>
      </c>
      <c r="J127" s="2" t="s">
        <v>887</v>
      </c>
      <c r="K127" s="2" t="s">
        <v>30</v>
      </c>
      <c r="L127" s="2" t="s">
        <v>30</v>
      </c>
      <c r="M127" s="2" t="s">
        <v>30</v>
      </c>
      <c r="N127" s="2" t="s">
        <v>30</v>
      </c>
      <c r="O127" s="2" t="s">
        <v>155</v>
      </c>
      <c r="P127" t="s">
        <v>2666</v>
      </c>
      <c r="Q127" s="2" t="s">
        <v>102</v>
      </c>
      <c r="R127" s="2" t="s">
        <v>926</v>
      </c>
      <c r="S127" s="2" t="s">
        <v>930</v>
      </c>
      <c r="T127" s="2" t="s">
        <v>157</v>
      </c>
      <c r="U127" s="158">
        <v>3.71</v>
      </c>
      <c r="V127" s="151">
        <v>221.88</v>
      </c>
      <c r="W127" s="151">
        <v>823.17499999999995</v>
      </c>
      <c r="X127" s="164">
        <v>4.8000000000000001E-4</v>
      </c>
      <c r="Y127" s="164">
        <v>1.78692439333845E-3</v>
      </c>
      <c r="Z127" s="164">
        <v>3.40999335240077E-4</v>
      </c>
    </row>
    <row r="128" spans="1:26">
      <c r="A128" s="2">
        <v>424</v>
      </c>
      <c r="B128" s="2">
        <v>7228</v>
      </c>
      <c r="C128" s="2" t="s">
        <v>2711</v>
      </c>
      <c r="E128" s="2" t="s">
        <v>194</v>
      </c>
      <c r="F128" s="2" t="s">
        <v>2714</v>
      </c>
      <c r="G128" s="2">
        <v>62007349</v>
      </c>
      <c r="H128" s="2" t="s">
        <v>33</v>
      </c>
      <c r="I128" s="2" t="s">
        <v>1059</v>
      </c>
      <c r="J128" s="2" t="s">
        <v>887</v>
      </c>
      <c r="K128" s="2" t="s">
        <v>97</v>
      </c>
      <c r="L128" s="2" t="s">
        <v>256</v>
      </c>
      <c r="M128" s="2" t="s">
        <v>30</v>
      </c>
      <c r="N128" s="2" t="s">
        <v>30</v>
      </c>
      <c r="O128" s="2" t="s">
        <v>155</v>
      </c>
      <c r="P128" t="s">
        <v>2943</v>
      </c>
      <c r="Q128" s="2" t="s">
        <v>102</v>
      </c>
      <c r="R128" s="2" t="s">
        <v>926</v>
      </c>
      <c r="S128" s="2" t="s">
        <v>930</v>
      </c>
      <c r="T128" s="2" t="s">
        <v>157</v>
      </c>
      <c r="U128" s="158">
        <v>3.71</v>
      </c>
      <c r="V128" s="151">
        <v>960.75900000000001</v>
      </c>
      <c r="W128" s="151">
        <v>3564.4169999999999</v>
      </c>
      <c r="X128" s="164">
        <v>3.349E-3</v>
      </c>
      <c r="Y128" s="164">
        <v>7.7375351359374404E-3</v>
      </c>
      <c r="Z128" s="164">
        <v>1.47655622565094E-3</v>
      </c>
    </row>
    <row r="129" spans="1:26">
      <c r="A129" s="2">
        <v>424</v>
      </c>
      <c r="B129" s="2">
        <v>7228</v>
      </c>
      <c r="C129" s="2" t="s">
        <v>2716</v>
      </c>
      <c r="D129" s="2" t="s">
        <v>2717</v>
      </c>
      <c r="E129" s="2" t="s">
        <v>194</v>
      </c>
      <c r="F129" s="2" t="s">
        <v>2718</v>
      </c>
      <c r="G129" s="2">
        <v>62020755</v>
      </c>
      <c r="H129" s="2" t="s">
        <v>33</v>
      </c>
      <c r="I129" s="2" t="s">
        <v>1059</v>
      </c>
      <c r="J129" s="2" t="s">
        <v>887</v>
      </c>
      <c r="K129" s="2" t="s">
        <v>97</v>
      </c>
      <c r="L129" s="2" t="s">
        <v>98</v>
      </c>
      <c r="M129" s="2" t="s">
        <v>30</v>
      </c>
      <c r="N129" s="2" t="s">
        <v>30</v>
      </c>
      <c r="O129" s="2" t="s">
        <v>155</v>
      </c>
      <c r="P129" t="s">
        <v>2710</v>
      </c>
      <c r="Q129" s="2" t="s">
        <v>102</v>
      </c>
      <c r="R129" s="2" t="s">
        <v>194</v>
      </c>
      <c r="S129" s="2" t="s">
        <v>930</v>
      </c>
      <c r="T129" s="2" t="s">
        <v>157</v>
      </c>
      <c r="U129" s="158">
        <v>3.71</v>
      </c>
      <c r="V129" s="151">
        <v>630.04600000000005</v>
      </c>
      <c r="W129" s="151">
        <v>2337.471</v>
      </c>
      <c r="X129" s="164">
        <v>1.4170000000000001E-3</v>
      </c>
      <c r="Y129" s="164">
        <v>5.0741149941582204E-3</v>
      </c>
      <c r="Z129" s="164">
        <v>9.6829493535933E-4</v>
      </c>
    </row>
    <row r="130" spans="1:26">
      <c r="A130" s="2">
        <v>424</v>
      </c>
      <c r="B130" s="2">
        <v>7228</v>
      </c>
      <c r="C130" s="2" t="s">
        <v>2944</v>
      </c>
      <c r="D130" s="2" t="s">
        <v>2945</v>
      </c>
      <c r="E130" s="2" t="s">
        <v>33</v>
      </c>
      <c r="F130" s="2" t="s">
        <v>2946</v>
      </c>
      <c r="G130" s="2">
        <v>9840809</v>
      </c>
      <c r="H130" s="2" t="s">
        <v>33</v>
      </c>
      <c r="I130" s="2" t="s">
        <v>1059</v>
      </c>
      <c r="J130" s="2" t="s">
        <v>603</v>
      </c>
      <c r="K130" s="2" t="s">
        <v>97</v>
      </c>
      <c r="L130" s="2" t="s">
        <v>256</v>
      </c>
      <c r="M130" s="2" t="s">
        <v>30</v>
      </c>
      <c r="N130" s="2" t="s">
        <v>30</v>
      </c>
      <c r="O130" s="2" t="s">
        <v>155</v>
      </c>
      <c r="P130" t="s">
        <v>2666</v>
      </c>
      <c r="Q130" s="2" t="s">
        <v>102</v>
      </c>
      <c r="R130" s="2" t="s">
        <v>926</v>
      </c>
      <c r="S130" s="2" t="s">
        <v>930</v>
      </c>
      <c r="T130" s="2" t="s">
        <v>157</v>
      </c>
      <c r="U130" s="158">
        <v>3.71</v>
      </c>
      <c r="V130" s="151">
        <v>330.30599999999998</v>
      </c>
      <c r="W130" s="151">
        <v>1225.4369999999999</v>
      </c>
      <c r="X130" s="164">
        <v>3.98E-3</v>
      </c>
      <c r="Y130" s="164">
        <v>2.6601437881908201E-3</v>
      </c>
      <c r="Z130" s="164">
        <v>5.0763606272192304E-4</v>
      </c>
    </row>
    <row r="131" spans="1:26">
      <c r="A131" s="2">
        <v>424</v>
      </c>
      <c r="B131" s="2">
        <v>7228</v>
      </c>
      <c r="C131" s="2" t="s">
        <v>2719</v>
      </c>
      <c r="D131" s="2" t="s">
        <v>2720</v>
      </c>
      <c r="E131" s="2" t="s">
        <v>1342</v>
      </c>
      <c r="F131" s="2" t="s">
        <v>2947</v>
      </c>
      <c r="G131" s="2">
        <v>50007376</v>
      </c>
      <c r="H131" s="2" t="s">
        <v>33</v>
      </c>
      <c r="I131" s="2" t="s">
        <v>1061</v>
      </c>
      <c r="J131" s="2" t="s">
        <v>603</v>
      </c>
      <c r="K131" s="2" t="s">
        <v>30</v>
      </c>
      <c r="L131" s="2" t="s">
        <v>256</v>
      </c>
      <c r="M131" s="2" t="s">
        <v>30</v>
      </c>
      <c r="N131" s="2" t="s">
        <v>30</v>
      </c>
      <c r="O131" s="2" t="s">
        <v>155</v>
      </c>
      <c r="P131" t="s">
        <v>2948</v>
      </c>
      <c r="Q131" s="2" t="s">
        <v>34</v>
      </c>
      <c r="R131" s="2" t="s">
        <v>926</v>
      </c>
      <c r="S131" s="2" t="s">
        <v>930</v>
      </c>
      <c r="T131" s="2" t="s">
        <v>157</v>
      </c>
      <c r="U131" s="158">
        <v>1</v>
      </c>
      <c r="V131" s="151">
        <v>11659.665999999999</v>
      </c>
      <c r="W131" s="151">
        <v>11659.665999999999</v>
      </c>
      <c r="X131" s="164">
        <v>8.5161000000000001E-2</v>
      </c>
      <c r="Y131" s="164">
        <v>2.53104725301724E-2</v>
      </c>
      <c r="Z131" s="164">
        <v>4.8300053094447303E-3</v>
      </c>
    </row>
    <row r="132" spans="1:26">
      <c r="A132" s="2">
        <v>424</v>
      </c>
      <c r="B132" s="2">
        <v>7228</v>
      </c>
      <c r="C132" s="2" t="s">
        <v>2723</v>
      </c>
      <c r="D132" s="2" t="s">
        <v>2724</v>
      </c>
      <c r="E132" s="2" t="s">
        <v>1342</v>
      </c>
      <c r="F132" s="2" t="s">
        <v>2725</v>
      </c>
      <c r="G132" s="2">
        <v>50007004</v>
      </c>
      <c r="H132" s="2" t="s">
        <v>33</v>
      </c>
      <c r="I132" s="2" t="s">
        <v>1059</v>
      </c>
      <c r="J132" s="2" t="s">
        <v>870</v>
      </c>
      <c r="K132" s="2" t="s">
        <v>30</v>
      </c>
      <c r="L132" s="2" t="s">
        <v>30</v>
      </c>
      <c r="M132" s="2" t="s">
        <v>30</v>
      </c>
      <c r="N132" s="2" t="s">
        <v>30</v>
      </c>
      <c r="O132" s="2" t="s">
        <v>155</v>
      </c>
      <c r="P132" t="s">
        <v>2726</v>
      </c>
      <c r="Q132" s="2" t="s">
        <v>34</v>
      </c>
      <c r="R132" s="2" t="s">
        <v>926</v>
      </c>
      <c r="S132" s="2" t="s">
        <v>930</v>
      </c>
      <c r="T132" s="2" t="s">
        <v>157</v>
      </c>
      <c r="U132" s="158">
        <v>1</v>
      </c>
      <c r="V132" s="151">
        <v>5474.2479999999996</v>
      </c>
      <c r="W132" s="151">
        <v>5474.2479999999996</v>
      </c>
      <c r="X132" s="164">
        <v>0</v>
      </c>
      <c r="Y132" s="164">
        <v>1.18833430596784E-2</v>
      </c>
      <c r="Z132" s="164">
        <v>2.2677020353443801E-3</v>
      </c>
    </row>
    <row r="133" spans="1:26">
      <c r="A133" s="2">
        <v>424</v>
      </c>
      <c r="B133" s="2">
        <v>7228</v>
      </c>
      <c r="C133" s="2" t="s">
        <v>2727</v>
      </c>
      <c r="D133" s="2" t="s">
        <v>2728</v>
      </c>
      <c r="E133" s="2" t="s">
        <v>1342</v>
      </c>
      <c r="F133" s="2" t="s">
        <v>2727</v>
      </c>
      <c r="G133" s="2">
        <v>50007350</v>
      </c>
      <c r="H133" s="2" t="s">
        <v>33</v>
      </c>
      <c r="I133" s="2" t="s">
        <v>1059</v>
      </c>
      <c r="J133" s="2" t="s">
        <v>878</v>
      </c>
      <c r="K133" s="2" t="s">
        <v>30</v>
      </c>
      <c r="L133" s="2" t="s">
        <v>30</v>
      </c>
      <c r="M133" s="2" t="s">
        <v>30</v>
      </c>
      <c r="N133" s="2" t="s">
        <v>30</v>
      </c>
      <c r="O133" s="2" t="s">
        <v>155</v>
      </c>
      <c r="P133" t="s">
        <v>2729</v>
      </c>
      <c r="Q133" s="2" t="s">
        <v>34</v>
      </c>
      <c r="R133" s="2" t="s">
        <v>194</v>
      </c>
      <c r="S133" s="2" t="s">
        <v>930</v>
      </c>
      <c r="T133" s="2" t="s">
        <v>157</v>
      </c>
      <c r="U133" s="158">
        <v>1</v>
      </c>
      <c r="V133" s="151">
        <v>6275.4120000000003</v>
      </c>
      <c r="W133" s="151">
        <v>6275.4120000000003</v>
      </c>
      <c r="X133" s="164">
        <v>8.3590000000000001E-3</v>
      </c>
      <c r="Y133" s="164">
        <v>1.3622485717205E-2</v>
      </c>
      <c r="Z133" s="164">
        <v>2.59958316714552E-3</v>
      </c>
    </row>
    <row r="134" spans="1:26">
      <c r="A134" s="2">
        <v>424</v>
      </c>
      <c r="B134" s="2">
        <v>7228</v>
      </c>
      <c r="C134" s="2" t="s">
        <v>2949</v>
      </c>
      <c r="D134" s="2" t="s">
        <v>2950</v>
      </c>
      <c r="E134" s="2" t="s">
        <v>1342</v>
      </c>
      <c r="F134" s="2" t="s">
        <v>2951</v>
      </c>
      <c r="G134" s="2">
        <v>26427</v>
      </c>
      <c r="H134" s="2" t="s">
        <v>33</v>
      </c>
      <c r="I134" s="2" t="s">
        <v>1059</v>
      </c>
      <c r="J134" s="2" t="s">
        <v>879</v>
      </c>
      <c r="K134" s="2" t="s">
        <v>30</v>
      </c>
      <c r="L134" s="2" t="s">
        <v>30</v>
      </c>
      <c r="M134" s="2" t="s">
        <v>30</v>
      </c>
      <c r="N134" s="2" t="s">
        <v>30</v>
      </c>
      <c r="O134" s="2" t="s">
        <v>155</v>
      </c>
      <c r="P134" t="s">
        <v>2666</v>
      </c>
      <c r="Q134" s="2" t="s">
        <v>34</v>
      </c>
      <c r="R134" s="2" t="s">
        <v>926</v>
      </c>
      <c r="S134" s="2" t="s">
        <v>930</v>
      </c>
      <c r="T134" s="2" t="s">
        <v>157</v>
      </c>
      <c r="U134" s="158">
        <v>1</v>
      </c>
      <c r="V134" s="151">
        <v>8.6129999999999995</v>
      </c>
      <c r="W134" s="151">
        <v>8.6129999999999995</v>
      </c>
      <c r="X134" s="164">
        <v>1.2238000000000001E-2</v>
      </c>
      <c r="Y134" s="164">
        <v>1.86978879294874E-5</v>
      </c>
      <c r="Z134" s="164">
        <v>3.5681237427380398E-6</v>
      </c>
    </row>
    <row r="135" spans="1:26">
      <c r="A135" s="2">
        <v>424</v>
      </c>
      <c r="B135" s="2">
        <v>7228</v>
      </c>
      <c r="C135" s="2" t="s">
        <v>2624</v>
      </c>
      <c r="D135" s="2" t="s">
        <v>2625</v>
      </c>
      <c r="E135" s="2" t="s">
        <v>348</v>
      </c>
      <c r="F135" s="2" t="s">
        <v>2952</v>
      </c>
      <c r="G135" s="2">
        <v>9840906</v>
      </c>
      <c r="H135" s="2" t="s">
        <v>33</v>
      </c>
      <c r="I135" s="2" t="s">
        <v>1059</v>
      </c>
      <c r="J135" s="2" t="s">
        <v>603</v>
      </c>
      <c r="K135" s="2" t="s">
        <v>30</v>
      </c>
      <c r="L135" s="2" t="s">
        <v>30</v>
      </c>
      <c r="M135" s="2" t="s">
        <v>30</v>
      </c>
      <c r="N135" s="2" t="s">
        <v>30</v>
      </c>
      <c r="O135" s="2" t="s">
        <v>155</v>
      </c>
      <c r="P135" t="s">
        <v>2666</v>
      </c>
      <c r="Q135" s="2" t="s">
        <v>102</v>
      </c>
      <c r="R135" s="2" t="s">
        <v>926</v>
      </c>
      <c r="S135" s="2" t="s">
        <v>930</v>
      </c>
      <c r="T135" s="2" t="s">
        <v>157</v>
      </c>
      <c r="U135" s="158">
        <v>3.71</v>
      </c>
      <c r="V135" s="151">
        <v>37.771000000000001</v>
      </c>
      <c r="W135" s="151">
        <v>140.12899999999999</v>
      </c>
      <c r="X135" s="164">
        <v>5.2469999999999999E-3</v>
      </c>
      <c r="Y135" s="164">
        <v>3.0418891245820702E-4</v>
      </c>
      <c r="Z135" s="164">
        <v>5.8048464345969801E-5</v>
      </c>
    </row>
    <row r="136" spans="1:26">
      <c r="A136" s="2">
        <v>424</v>
      </c>
      <c r="B136" s="2">
        <v>7228</v>
      </c>
      <c r="C136" s="2" t="s">
        <v>2624</v>
      </c>
      <c r="D136" s="2" t="s">
        <v>2625</v>
      </c>
      <c r="E136" s="2" t="s">
        <v>348</v>
      </c>
      <c r="F136" s="2" t="s">
        <v>2953</v>
      </c>
      <c r="G136" s="2">
        <v>9840909</v>
      </c>
      <c r="H136" s="2" t="s">
        <v>33</v>
      </c>
      <c r="I136" s="2" t="s">
        <v>1059</v>
      </c>
      <c r="J136" s="2" t="s">
        <v>603</v>
      </c>
      <c r="K136" s="2" t="s">
        <v>30</v>
      </c>
      <c r="L136" s="2" t="s">
        <v>30</v>
      </c>
      <c r="M136" s="2" t="s">
        <v>30</v>
      </c>
      <c r="N136" s="2" t="s">
        <v>30</v>
      </c>
      <c r="O136" s="2" t="s">
        <v>155</v>
      </c>
      <c r="P136" t="s">
        <v>2666</v>
      </c>
      <c r="Q136" s="2" t="s">
        <v>102</v>
      </c>
      <c r="R136" s="2" t="s">
        <v>926</v>
      </c>
      <c r="S136" s="2" t="s">
        <v>930</v>
      </c>
      <c r="T136" s="2" t="s">
        <v>157</v>
      </c>
      <c r="U136" s="158">
        <v>3.71</v>
      </c>
      <c r="V136" s="151">
        <v>52.649000000000001</v>
      </c>
      <c r="W136" s="151">
        <v>195.32900000000001</v>
      </c>
      <c r="X136" s="164">
        <v>7.9109999999999996E-3</v>
      </c>
      <c r="Y136" s="164">
        <v>4.2401517688915699E-4</v>
      </c>
      <c r="Z136" s="164">
        <v>8.0914947487384102E-5</v>
      </c>
    </row>
    <row r="137" spans="1:26">
      <c r="A137" s="2">
        <v>424</v>
      </c>
      <c r="B137" s="2">
        <v>7228</v>
      </c>
      <c r="C137" s="2" t="s">
        <v>2624</v>
      </c>
      <c r="D137" s="2" t="s">
        <v>2625</v>
      </c>
      <c r="E137" s="2" t="s">
        <v>348</v>
      </c>
      <c r="F137" s="2" t="s">
        <v>2730</v>
      </c>
      <c r="G137" s="2">
        <v>60400892</v>
      </c>
      <c r="H137" s="2" t="s">
        <v>33</v>
      </c>
      <c r="I137" s="2" t="s">
        <v>1059</v>
      </c>
      <c r="J137" s="2" t="s">
        <v>603</v>
      </c>
      <c r="K137" s="2" t="s">
        <v>30</v>
      </c>
      <c r="L137" s="2" t="s">
        <v>30</v>
      </c>
      <c r="M137" s="2" t="s">
        <v>30</v>
      </c>
      <c r="N137" s="2" t="s">
        <v>30</v>
      </c>
      <c r="O137" s="2" t="s">
        <v>155</v>
      </c>
      <c r="P137" t="s">
        <v>2731</v>
      </c>
      <c r="Q137" s="2" t="s">
        <v>102</v>
      </c>
      <c r="R137" s="2" t="s">
        <v>926</v>
      </c>
      <c r="S137" s="2" t="s">
        <v>930</v>
      </c>
      <c r="T137" s="2" t="s">
        <v>157</v>
      </c>
      <c r="U137" s="158">
        <v>3.71</v>
      </c>
      <c r="V137" s="151">
        <v>2397.6030000000001</v>
      </c>
      <c r="W137" s="151">
        <v>8895.1059999999998</v>
      </c>
      <c r="X137" s="164">
        <v>0</v>
      </c>
      <c r="Y137" s="164">
        <v>1.9309244298946902E-2</v>
      </c>
      <c r="Z137" s="164">
        <v>3.6847890680073202E-3</v>
      </c>
    </row>
    <row r="138" spans="1:26">
      <c r="A138" s="2">
        <v>424</v>
      </c>
      <c r="B138" s="2">
        <v>7228</v>
      </c>
      <c r="C138" s="2" t="s">
        <v>2954</v>
      </c>
      <c r="D138" s="2" t="s">
        <v>2955</v>
      </c>
      <c r="E138" s="2" t="s">
        <v>1342</v>
      </c>
      <c r="F138" s="2" t="s">
        <v>2956</v>
      </c>
      <c r="G138" s="2">
        <v>9840913</v>
      </c>
      <c r="H138" s="2" t="s">
        <v>33</v>
      </c>
      <c r="I138" s="2" t="s">
        <v>1059</v>
      </c>
      <c r="J138" s="2" t="s">
        <v>872</v>
      </c>
      <c r="K138" s="2" t="s">
        <v>30</v>
      </c>
      <c r="L138" s="2" t="s">
        <v>30</v>
      </c>
      <c r="M138" s="2" t="s">
        <v>30</v>
      </c>
      <c r="N138" s="2" t="s">
        <v>30</v>
      </c>
      <c r="O138" s="2" t="s">
        <v>155</v>
      </c>
      <c r="P138" t="s">
        <v>2666</v>
      </c>
      <c r="Q138" s="2" t="s">
        <v>102</v>
      </c>
      <c r="R138" s="2" t="s">
        <v>926</v>
      </c>
      <c r="S138" s="2" t="s">
        <v>930</v>
      </c>
      <c r="T138" s="2" t="s">
        <v>157</v>
      </c>
      <c r="U138" s="158">
        <v>3.71</v>
      </c>
      <c r="V138" s="151">
        <v>6.81</v>
      </c>
      <c r="W138" s="151">
        <v>25.265999999999998</v>
      </c>
      <c r="X138" s="164">
        <v>1.1132E-2</v>
      </c>
      <c r="Y138" s="164">
        <v>5.4845668634797297E-5</v>
      </c>
      <c r="Z138" s="164">
        <v>1.0466215926641701E-5</v>
      </c>
    </row>
    <row r="139" spans="1:26">
      <c r="A139" s="2">
        <v>424</v>
      </c>
      <c r="B139" s="2">
        <v>7228</v>
      </c>
      <c r="C139" s="2" t="s">
        <v>2957</v>
      </c>
      <c r="E139" s="2" t="s">
        <v>194</v>
      </c>
      <c r="F139" s="2" t="s">
        <v>2958</v>
      </c>
      <c r="G139" s="2">
        <v>9840922</v>
      </c>
      <c r="H139" s="2" t="s">
        <v>33</v>
      </c>
      <c r="I139" s="2" t="s">
        <v>1059</v>
      </c>
      <c r="J139" s="2" t="s">
        <v>873</v>
      </c>
      <c r="K139" s="2" t="s">
        <v>30</v>
      </c>
      <c r="L139" s="2" t="s">
        <v>30</v>
      </c>
      <c r="M139" s="2" t="s">
        <v>30</v>
      </c>
      <c r="N139" s="2" t="s">
        <v>30</v>
      </c>
      <c r="O139" s="2" t="s">
        <v>155</v>
      </c>
      <c r="P139" t="s">
        <v>2666</v>
      </c>
      <c r="Q139" s="2" t="s">
        <v>102</v>
      </c>
      <c r="R139" s="2" t="s">
        <v>926</v>
      </c>
      <c r="S139" s="2" t="s">
        <v>930</v>
      </c>
      <c r="T139" s="2" t="s">
        <v>157</v>
      </c>
      <c r="U139" s="158">
        <v>3.71</v>
      </c>
      <c r="V139" s="151">
        <v>6.016</v>
      </c>
      <c r="W139" s="151">
        <v>22.318999999999999</v>
      </c>
      <c r="X139" s="164">
        <v>5.9369999999999996E-3</v>
      </c>
      <c r="Y139" s="164">
        <v>4.8449366136351302E-5</v>
      </c>
      <c r="Z139" s="164">
        <v>9.2456075404695407E-6</v>
      </c>
    </row>
    <row r="140" spans="1:26">
      <c r="A140" s="2">
        <v>424</v>
      </c>
      <c r="B140" s="2">
        <v>7228</v>
      </c>
      <c r="C140" s="2" t="s">
        <v>2959</v>
      </c>
      <c r="D140" s="2" t="s">
        <v>2960</v>
      </c>
      <c r="E140" s="2" t="s">
        <v>1342</v>
      </c>
      <c r="F140" s="2" t="s">
        <v>2961</v>
      </c>
      <c r="G140" s="2">
        <v>9840936</v>
      </c>
      <c r="H140" s="2" t="s">
        <v>33</v>
      </c>
      <c r="I140" s="2" t="s">
        <v>1059</v>
      </c>
      <c r="J140" s="2" t="s">
        <v>885</v>
      </c>
      <c r="K140" s="2" t="s">
        <v>30</v>
      </c>
      <c r="L140" s="2" t="s">
        <v>30</v>
      </c>
      <c r="M140" s="2" t="s">
        <v>30</v>
      </c>
      <c r="N140" s="2" t="s">
        <v>30</v>
      </c>
      <c r="O140" s="2" t="s">
        <v>155</v>
      </c>
      <c r="P140" t="s">
        <v>2666</v>
      </c>
      <c r="Q140" s="2" t="s">
        <v>102</v>
      </c>
      <c r="R140" s="2" t="s">
        <v>926</v>
      </c>
      <c r="S140" s="2" t="s">
        <v>930</v>
      </c>
      <c r="T140" s="2" t="s">
        <v>157</v>
      </c>
      <c r="U140" s="158">
        <v>3.71</v>
      </c>
      <c r="V140" s="151">
        <v>275.488</v>
      </c>
      <c r="W140" s="151">
        <v>1022.061</v>
      </c>
      <c r="X140" s="164">
        <v>2.0996000000000001E-2</v>
      </c>
      <c r="Y140" s="164">
        <v>2.2186613700836402E-3</v>
      </c>
      <c r="Z140" s="164">
        <v>4.2338783618477599E-4</v>
      </c>
    </row>
    <row r="141" spans="1:26">
      <c r="A141" s="2">
        <v>424</v>
      </c>
      <c r="B141" s="2">
        <v>7228</v>
      </c>
      <c r="C141" s="2" t="s">
        <v>2723</v>
      </c>
      <c r="D141" s="2" t="s">
        <v>2724</v>
      </c>
      <c r="E141" s="2" t="s">
        <v>1342</v>
      </c>
      <c r="F141" s="2" t="s">
        <v>2723</v>
      </c>
      <c r="G141" s="2">
        <v>18952</v>
      </c>
      <c r="H141" s="2" t="s">
        <v>33</v>
      </c>
      <c r="I141" s="2" t="s">
        <v>1059</v>
      </c>
      <c r="J141" s="2" t="s">
        <v>870</v>
      </c>
      <c r="K141" s="2" t="s">
        <v>30</v>
      </c>
      <c r="L141" s="2" t="s">
        <v>30</v>
      </c>
      <c r="M141" s="2" t="s">
        <v>30</v>
      </c>
      <c r="N141" s="2" t="s">
        <v>30</v>
      </c>
      <c r="O141" s="2" t="s">
        <v>155</v>
      </c>
      <c r="P141" t="s">
        <v>2732</v>
      </c>
      <c r="Q141" s="2" t="s">
        <v>34</v>
      </c>
      <c r="R141" s="2" t="s">
        <v>926</v>
      </c>
      <c r="S141" s="2" t="s">
        <v>930</v>
      </c>
      <c r="T141" s="2" t="s">
        <v>157</v>
      </c>
      <c r="U141" s="158">
        <v>1</v>
      </c>
      <c r="V141" s="151">
        <v>1385.441</v>
      </c>
      <c r="W141" s="151">
        <v>1385.441</v>
      </c>
      <c r="X141" s="164">
        <v>3.2560000000000002E-3</v>
      </c>
      <c r="Y141" s="164">
        <v>3.00747658151725E-3</v>
      </c>
      <c r="Z141" s="164">
        <v>5.7391768721198595E-4</v>
      </c>
    </row>
    <row r="142" spans="1:26">
      <c r="A142" s="2">
        <v>424</v>
      </c>
      <c r="B142" s="2">
        <v>7228</v>
      </c>
      <c r="C142" s="2" t="s">
        <v>2962</v>
      </c>
      <c r="D142" s="2" t="s">
        <v>2963</v>
      </c>
      <c r="E142" s="2" t="s">
        <v>33</v>
      </c>
      <c r="F142" s="2" t="s">
        <v>2964</v>
      </c>
      <c r="G142" s="2">
        <v>9840777</v>
      </c>
      <c r="H142" s="2" t="s">
        <v>33</v>
      </c>
      <c r="I142" s="2" t="s">
        <v>1059</v>
      </c>
      <c r="J142" s="2" t="s">
        <v>886</v>
      </c>
      <c r="K142" s="2" t="s">
        <v>97</v>
      </c>
      <c r="L142" s="2" t="s">
        <v>256</v>
      </c>
      <c r="M142" s="2" t="s">
        <v>30</v>
      </c>
      <c r="N142" s="2" t="s">
        <v>30</v>
      </c>
      <c r="O142" s="2" t="s">
        <v>155</v>
      </c>
      <c r="P142" t="s">
        <v>2666</v>
      </c>
      <c r="Q142" s="2" t="s">
        <v>102</v>
      </c>
      <c r="R142" s="2" t="s">
        <v>926</v>
      </c>
      <c r="S142" s="2" t="s">
        <v>930</v>
      </c>
      <c r="T142" s="2" t="s">
        <v>157</v>
      </c>
      <c r="U142" s="158">
        <v>3.71</v>
      </c>
      <c r="V142" s="151">
        <v>86.513999999999996</v>
      </c>
      <c r="W142" s="151">
        <v>320.96699999999998</v>
      </c>
      <c r="X142" s="164">
        <v>4.3480000000000003E-3</v>
      </c>
      <c r="Y142" s="164">
        <v>6.9674594514137003E-4</v>
      </c>
      <c r="Z142" s="164">
        <v>1.32960244434598E-4</v>
      </c>
    </row>
    <row r="143" spans="1:26">
      <c r="A143" s="2">
        <v>424</v>
      </c>
      <c r="B143" s="2">
        <v>7228</v>
      </c>
      <c r="C143" s="2" t="s">
        <v>2733</v>
      </c>
      <c r="D143" s="2" t="s">
        <v>2734</v>
      </c>
      <c r="E143" s="2" t="s">
        <v>194</v>
      </c>
      <c r="F143" s="2" t="s">
        <v>2735</v>
      </c>
      <c r="G143" s="2">
        <v>50007160</v>
      </c>
      <c r="H143" s="2" t="s">
        <v>33</v>
      </c>
      <c r="I143" s="2" t="s">
        <v>1059</v>
      </c>
      <c r="J143" s="2" t="s">
        <v>603</v>
      </c>
      <c r="K143" s="2" t="s">
        <v>30</v>
      </c>
      <c r="L143" s="2" t="s">
        <v>30</v>
      </c>
      <c r="M143" s="2" t="s">
        <v>30</v>
      </c>
      <c r="N143" s="2" t="s">
        <v>30</v>
      </c>
      <c r="O143" s="2" t="s">
        <v>155</v>
      </c>
      <c r="P143" t="s">
        <v>2736</v>
      </c>
      <c r="Q143" s="2" t="s">
        <v>34</v>
      </c>
      <c r="R143" s="2" t="s">
        <v>194</v>
      </c>
      <c r="S143" s="2" t="s">
        <v>930</v>
      </c>
      <c r="T143" s="2" t="s">
        <v>157</v>
      </c>
      <c r="U143" s="158">
        <v>1</v>
      </c>
      <c r="V143" s="151">
        <v>2293.4549999999999</v>
      </c>
      <c r="W143" s="151">
        <v>2293.4549999999999</v>
      </c>
      <c r="X143" s="164">
        <v>1.5674E-2</v>
      </c>
      <c r="Y143" s="164">
        <v>4.9785665755922599E-3</v>
      </c>
      <c r="Z143" s="164">
        <v>9.5006140106112505E-4</v>
      </c>
    </row>
    <row r="144" spans="1:26">
      <c r="A144" s="2">
        <v>424</v>
      </c>
      <c r="B144" s="2">
        <v>7228</v>
      </c>
      <c r="C144" s="2" t="s">
        <v>2965</v>
      </c>
      <c r="D144" s="2" t="s">
        <v>2966</v>
      </c>
      <c r="E144" s="2" t="s">
        <v>1342</v>
      </c>
      <c r="F144" s="2" t="s">
        <v>2967</v>
      </c>
      <c r="G144" s="2">
        <v>9840947</v>
      </c>
      <c r="H144" s="2" t="s">
        <v>33</v>
      </c>
      <c r="I144" s="2" t="s">
        <v>1059</v>
      </c>
      <c r="J144" s="2" t="s">
        <v>872</v>
      </c>
      <c r="K144" s="2" t="s">
        <v>97</v>
      </c>
      <c r="L144" s="2" t="s">
        <v>256</v>
      </c>
      <c r="M144" s="2" t="s">
        <v>30</v>
      </c>
      <c r="N144" s="2" t="s">
        <v>98</v>
      </c>
      <c r="O144" s="2" t="s">
        <v>155</v>
      </c>
      <c r="P144" t="s">
        <v>2666</v>
      </c>
      <c r="Q144" s="2" t="s">
        <v>102</v>
      </c>
      <c r="R144" s="2" t="s">
        <v>926</v>
      </c>
      <c r="S144" s="2" t="s">
        <v>930</v>
      </c>
      <c r="T144" s="2" t="s">
        <v>157</v>
      </c>
      <c r="U144" s="158">
        <v>3.71</v>
      </c>
      <c r="V144" s="151">
        <v>1E-3</v>
      </c>
      <c r="W144" s="151">
        <v>3.0000000000000001E-3</v>
      </c>
      <c r="X144" s="164">
        <v>1.4841999999999999E-2</v>
      </c>
      <c r="Y144" s="164">
        <v>7.5302504839913708E-9</v>
      </c>
      <c r="Z144" s="164">
        <v>1.4370000313415501E-9</v>
      </c>
    </row>
    <row r="145" spans="1:26">
      <c r="A145" s="2">
        <v>424</v>
      </c>
      <c r="B145" s="2">
        <v>7228</v>
      </c>
      <c r="C145" s="2" t="s">
        <v>2737</v>
      </c>
      <c r="D145" s="2" t="s">
        <v>2738</v>
      </c>
      <c r="E145" s="2" t="s">
        <v>33</v>
      </c>
      <c r="F145" s="2" t="s">
        <v>2739</v>
      </c>
      <c r="G145" s="2">
        <v>62020672</v>
      </c>
      <c r="H145" s="2" t="s">
        <v>33</v>
      </c>
      <c r="I145" s="2" t="s">
        <v>1059</v>
      </c>
      <c r="J145" s="2" t="s">
        <v>603</v>
      </c>
      <c r="K145" s="2" t="s">
        <v>97</v>
      </c>
      <c r="L145" s="2" t="s">
        <v>98</v>
      </c>
      <c r="M145" s="2" t="s">
        <v>98</v>
      </c>
      <c r="N145" s="2" t="s">
        <v>98</v>
      </c>
      <c r="O145" s="2" t="s">
        <v>155</v>
      </c>
      <c r="P145" t="s">
        <v>2740</v>
      </c>
      <c r="Q145" s="2" t="s">
        <v>102</v>
      </c>
      <c r="R145" s="2" t="s">
        <v>194</v>
      </c>
      <c r="S145" s="2" t="s">
        <v>930</v>
      </c>
      <c r="T145" s="2" t="s">
        <v>157</v>
      </c>
      <c r="U145" s="158">
        <v>3.71</v>
      </c>
      <c r="V145" s="151">
        <v>1128.0029999999999</v>
      </c>
      <c r="W145" s="151">
        <v>4184.8919999999998</v>
      </c>
      <c r="X145" s="164">
        <v>2.9689999999999999E-3</v>
      </c>
      <c r="Y145" s="164">
        <v>9.0844440923524492E-3</v>
      </c>
      <c r="Z145" s="164">
        <v>1.73358727882736E-3</v>
      </c>
    </row>
    <row r="146" spans="1:26">
      <c r="A146" s="2">
        <v>424</v>
      </c>
      <c r="B146" s="2">
        <v>7228</v>
      </c>
      <c r="C146" s="2" t="s">
        <v>2741</v>
      </c>
      <c r="D146" s="2" t="s">
        <v>2742</v>
      </c>
      <c r="E146" s="2" t="s">
        <v>350</v>
      </c>
      <c r="F146" s="2" t="s">
        <v>2741</v>
      </c>
      <c r="G146" s="2">
        <v>62021365</v>
      </c>
      <c r="H146" s="2" t="s">
        <v>33</v>
      </c>
      <c r="I146" s="2" t="s">
        <v>1059</v>
      </c>
      <c r="J146" s="2" t="s">
        <v>869</v>
      </c>
      <c r="K146" s="2" t="s">
        <v>97</v>
      </c>
      <c r="L146" s="2" t="s">
        <v>291</v>
      </c>
      <c r="M146" s="2" t="s">
        <v>291</v>
      </c>
      <c r="N146" s="2" t="s">
        <v>331</v>
      </c>
      <c r="O146" s="2" t="s">
        <v>155</v>
      </c>
      <c r="P146" t="s">
        <v>2743</v>
      </c>
      <c r="Q146" s="2" t="s">
        <v>102</v>
      </c>
      <c r="R146" s="2" t="s">
        <v>926</v>
      </c>
      <c r="S146" s="2" t="s">
        <v>930</v>
      </c>
      <c r="T146" s="2" t="s">
        <v>157</v>
      </c>
      <c r="U146" s="158">
        <v>3.71</v>
      </c>
      <c r="V146" s="151">
        <v>571.928</v>
      </c>
      <c r="W146" s="151">
        <v>2121.855</v>
      </c>
      <c r="X146" s="164">
        <v>0</v>
      </c>
      <c r="Y146" s="164">
        <v>4.6060617151557504E-3</v>
      </c>
      <c r="Z146" s="164">
        <v>8.7897618321078797E-4</v>
      </c>
    </row>
    <row r="147" spans="1:26">
      <c r="A147" s="2">
        <v>424</v>
      </c>
      <c r="B147" s="2">
        <v>7228</v>
      </c>
      <c r="C147" s="2" t="s">
        <v>2744</v>
      </c>
      <c r="D147" s="2" t="s">
        <v>2745</v>
      </c>
      <c r="E147" s="2" t="s">
        <v>349</v>
      </c>
      <c r="F147" s="2" t="s">
        <v>2744</v>
      </c>
      <c r="G147" s="2">
        <v>62020896</v>
      </c>
      <c r="H147" s="2" t="s">
        <v>33</v>
      </c>
      <c r="I147" s="2" t="s">
        <v>1059</v>
      </c>
      <c r="J147" s="2" t="s">
        <v>887</v>
      </c>
      <c r="K147" s="2" t="s">
        <v>97</v>
      </c>
      <c r="L147" s="2" t="s">
        <v>271</v>
      </c>
      <c r="M147" s="2" t="s">
        <v>2746</v>
      </c>
      <c r="N147" s="2" t="s">
        <v>334</v>
      </c>
      <c r="O147" s="2" t="s">
        <v>155</v>
      </c>
      <c r="P147" t="s">
        <v>2747</v>
      </c>
      <c r="Q147" s="2" t="s">
        <v>102</v>
      </c>
      <c r="R147" s="2" t="s">
        <v>926</v>
      </c>
      <c r="S147" s="2" t="s">
        <v>930</v>
      </c>
      <c r="T147" s="2" t="s">
        <v>157</v>
      </c>
      <c r="U147" s="158">
        <v>3.71</v>
      </c>
      <c r="V147" s="151">
        <v>355.69</v>
      </c>
      <c r="W147" s="151">
        <v>1319.61</v>
      </c>
      <c r="X147" s="164">
        <v>1.9000000000000001E-5</v>
      </c>
      <c r="Y147" s="164">
        <v>2.86457276102675E-3</v>
      </c>
      <c r="Z147" s="164">
        <v>5.4664730690256005E-4</v>
      </c>
    </row>
    <row r="148" spans="1:26">
      <c r="A148" s="2">
        <v>424</v>
      </c>
      <c r="B148" s="2">
        <v>7228</v>
      </c>
      <c r="C148" s="2" t="s">
        <v>2748</v>
      </c>
      <c r="D148" s="2" t="s">
        <v>2749</v>
      </c>
      <c r="E148" s="2" t="s">
        <v>350</v>
      </c>
      <c r="F148" s="2" t="s">
        <v>2748</v>
      </c>
      <c r="G148" s="2">
        <v>62019815</v>
      </c>
      <c r="H148" s="2" t="s">
        <v>33</v>
      </c>
      <c r="I148" s="2" t="s">
        <v>1059</v>
      </c>
      <c r="J148" s="2" t="s">
        <v>887</v>
      </c>
      <c r="K148" s="2" t="s">
        <v>97</v>
      </c>
      <c r="L148" s="2" t="s">
        <v>271</v>
      </c>
      <c r="M148" s="2" t="s">
        <v>2746</v>
      </c>
      <c r="N148" s="2" t="s">
        <v>334</v>
      </c>
      <c r="O148" s="2" t="s">
        <v>155</v>
      </c>
      <c r="P148" t="s">
        <v>2750</v>
      </c>
      <c r="Q148" s="2" t="s">
        <v>102</v>
      </c>
      <c r="R148" s="2" t="s">
        <v>926</v>
      </c>
      <c r="S148" s="2" t="s">
        <v>930</v>
      </c>
      <c r="T148" s="2" t="s">
        <v>157</v>
      </c>
      <c r="U148" s="158">
        <v>3.71</v>
      </c>
      <c r="V148" s="151">
        <v>1409.414</v>
      </c>
      <c r="W148" s="151">
        <v>5228.9260000000004</v>
      </c>
      <c r="X148" s="164">
        <v>5.1699999999999999E-4</v>
      </c>
      <c r="Y148" s="164">
        <v>1.1350805318702899E-2</v>
      </c>
      <c r="Z148" s="164">
        <v>2.1660776933521502E-3</v>
      </c>
    </row>
    <row r="149" spans="1:26">
      <c r="A149" s="2">
        <v>424</v>
      </c>
      <c r="B149" s="2">
        <v>7228</v>
      </c>
      <c r="C149" s="2" t="s">
        <v>2751</v>
      </c>
      <c r="D149" s="2" t="s">
        <v>2752</v>
      </c>
      <c r="E149" s="2" t="s">
        <v>349</v>
      </c>
      <c r="F149" s="2" t="s">
        <v>2753</v>
      </c>
      <c r="G149" s="2">
        <v>62019757</v>
      </c>
      <c r="H149" s="2" t="s">
        <v>33</v>
      </c>
      <c r="I149" s="2" t="s">
        <v>1059</v>
      </c>
      <c r="J149" s="2" t="s">
        <v>867</v>
      </c>
      <c r="K149" s="2" t="s">
        <v>97</v>
      </c>
      <c r="L149" s="2" t="s">
        <v>256</v>
      </c>
      <c r="M149" s="2" t="s">
        <v>256</v>
      </c>
      <c r="N149" s="2" t="s">
        <v>327</v>
      </c>
      <c r="O149" s="2" t="s">
        <v>155</v>
      </c>
      <c r="P149" t="s">
        <v>2754</v>
      </c>
      <c r="Q149" s="2" t="s">
        <v>102</v>
      </c>
      <c r="R149" s="2" t="s">
        <v>926</v>
      </c>
      <c r="S149" s="2" t="s">
        <v>930</v>
      </c>
      <c r="T149" s="2" t="s">
        <v>157</v>
      </c>
      <c r="U149" s="158">
        <v>3.71</v>
      </c>
      <c r="V149" s="151">
        <v>781.68899999999996</v>
      </c>
      <c r="W149" s="151">
        <v>2900.067</v>
      </c>
      <c r="X149" s="164">
        <v>0</v>
      </c>
      <c r="Y149" s="164">
        <v>6.2953836952485999E-3</v>
      </c>
      <c r="Z149" s="164">
        <v>1.2013500197119999E-3</v>
      </c>
    </row>
    <row r="150" spans="1:26">
      <c r="A150" s="2">
        <v>424</v>
      </c>
      <c r="B150" s="2">
        <v>7228</v>
      </c>
      <c r="C150" s="2" t="s">
        <v>2755</v>
      </c>
      <c r="D150" s="2" t="s">
        <v>2756</v>
      </c>
      <c r="E150" s="2" t="s">
        <v>349</v>
      </c>
      <c r="F150" s="2" t="s">
        <v>2757</v>
      </c>
      <c r="G150" s="2">
        <v>62013909</v>
      </c>
      <c r="H150" s="2" t="s">
        <v>33</v>
      </c>
      <c r="I150" s="2" t="s">
        <v>1059</v>
      </c>
      <c r="J150" s="2" t="s">
        <v>873</v>
      </c>
      <c r="K150" s="2" t="s">
        <v>97</v>
      </c>
      <c r="L150" s="2" t="s">
        <v>256</v>
      </c>
      <c r="M150" s="2" t="s">
        <v>98</v>
      </c>
      <c r="N150" s="2" t="s">
        <v>98</v>
      </c>
      <c r="O150" s="2" t="s">
        <v>155</v>
      </c>
      <c r="P150" t="s">
        <v>2758</v>
      </c>
      <c r="Q150" s="2" t="s">
        <v>102</v>
      </c>
      <c r="R150" s="2" t="s">
        <v>926</v>
      </c>
      <c r="S150" s="2" t="s">
        <v>930</v>
      </c>
      <c r="T150" s="2" t="s">
        <v>157</v>
      </c>
      <c r="U150" s="158">
        <v>3.71</v>
      </c>
      <c r="V150" s="151">
        <v>1206.8420000000001</v>
      </c>
      <c r="W150" s="151">
        <v>4477.384</v>
      </c>
      <c r="X150" s="164">
        <v>2.6667E-2</v>
      </c>
      <c r="Y150" s="164">
        <v>9.7193780188905999E-3</v>
      </c>
      <c r="Z150" s="164">
        <v>1.8547519166139501E-3</v>
      </c>
    </row>
    <row r="151" spans="1:26">
      <c r="A151" s="2">
        <v>424</v>
      </c>
      <c r="B151" s="2">
        <v>7228</v>
      </c>
      <c r="C151" s="2" t="s">
        <v>2759</v>
      </c>
      <c r="D151" s="2" t="s">
        <v>2760</v>
      </c>
      <c r="E151" s="2" t="s">
        <v>349</v>
      </c>
      <c r="F151" s="2" t="s">
        <v>2761</v>
      </c>
      <c r="G151" s="2">
        <v>62011226</v>
      </c>
      <c r="H151" s="2" t="s">
        <v>33</v>
      </c>
      <c r="I151" s="2" t="s">
        <v>1059</v>
      </c>
      <c r="J151" s="2" t="s">
        <v>877</v>
      </c>
      <c r="K151" s="2" t="s">
        <v>97</v>
      </c>
      <c r="L151" s="2" t="s">
        <v>256</v>
      </c>
      <c r="M151" s="2" t="s">
        <v>98</v>
      </c>
      <c r="N151" s="2" t="s">
        <v>98</v>
      </c>
      <c r="O151" s="2" t="s">
        <v>155</v>
      </c>
      <c r="P151" t="s">
        <v>2762</v>
      </c>
      <c r="Q151" s="2" t="s">
        <v>102</v>
      </c>
      <c r="R151" s="2" t="s">
        <v>926</v>
      </c>
      <c r="S151" s="2" t="s">
        <v>930</v>
      </c>
      <c r="T151" s="2" t="s">
        <v>157</v>
      </c>
      <c r="U151" s="158">
        <v>3.71</v>
      </c>
      <c r="V151" s="151">
        <v>81.727000000000004</v>
      </c>
      <c r="W151" s="151">
        <v>303.20600000000002</v>
      </c>
      <c r="X151" s="164">
        <v>0</v>
      </c>
      <c r="Y151" s="164">
        <v>6.5819000807181601E-4</v>
      </c>
      <c r="Z151" s="164">
        <v>1.2560260302610401E-4</v>
      </c>
    </row>
    <row r="152" spans="1:26">
      <c r="A152" s="2">
        <v>424</v>
      </c>
      <c r="B152" s="2">
        <v>7228</v>
      </c>
      <c r="C152" s="2" t="s">
        <v>2763</v>
      </c>
      <c r="D152" s="2" t="s">
        <v>2764</v>
      </c>
      <c r="E152" s="2" t="s">
        <v>349</v>
      </c>
      <c r="F152" s="2" t="s">
        <v>2765</v>
      </c>
      <c r="G152" s="2">
        <v>60419041</v>
      </c>
      <c r="H152" s="2" t="s">
        <v>33</v>
      </c>
      <c r="I152" s="2" t="s">
        <v>1059</v>
      </c>
      <c r="J152" s="2" t="s">
        <v>887</v>
      </c>
      <c r="K152" s="2" t="s">
        <v>97</v>
      </c>
      <c r="L152" s="2" t="s">
        <v>256</v>
      </c>
      <c r="M152" s="2" t="s">
        <v>98</v>
      </c>
      <c r="N152" s="2" t="s">
        <v>334</v>
      </c>
      <c r="O152" s="2" t="s">
        <v>155</v>
      </c>
      <c r="P152" t="s">
        <v>2766</v>
      </c>
      <c r="Q152" s="2" t="s">
        <v>102</v>
      </c>
      <c r="R152" s="2" t="s">
        <v>926</v>
      </c>
      <c r="S152" s="2" t="s">
        <v>930</v>
      </c>
      <c r="T152" s="2" t="s">
        <v>157</v>
      </c>
      <c r="U152" s="158">
        <v>3.71</v>
      </c>
      <c r="V152" s="151">
        <v>568.57899999999995</v>
      </c>
      <c r="W152" s="151">
        <v>2109.4279999999999</v>
      </c>
      <c r="X152" s="164">
        <v>2.5300000000000002E-4</v>
      </c>
      <c r="Y152" s="164">
        <v>4.5790861248221001E-3</v>
      </c>
      <c r="Z152" s="164">
        <v>8.7382842295535997E-4</v>
      </c>
    </row>
    <row r="153" spans="1:26">
      <c r="A153" s="2">
        <v>424</v>
      </c>
      <c r="B153" s="2">
        <v>7228</v>
      </c>
      <c r="C153" s="2" t="s">
        <v>2767</v>
      </c>
      <c r="D153" s="2" t="s">
        <v>2768</v>
      </c>
      <c r="E153" s="2" t="s">
        <v>349</v>
      </c>
      <c r="F153" s="2" t="s">
        <v>2769</v>
      </c>
      <c r="G153" s="2">
        <v>62016654</v>
      </c>
      <c r="H153" s="2" t="s">
        <v>33</v>
      </c>
      <c r="I153" s="2" t="s">
        <v>1059</v>
      </c>
      <c r="J153" s="2" t="s">
        <v>887</v>
      </c>
      <c r="K153" s="2" t="s">
        <v>97</v>
      </c>
      <c r="L153" s="2" t="s">
        <v>256</v>
      </c>
      <c r="M153" s="2" t="s">
        <v>98</v>
      </c>
      <c r="N153" s="2" t="s">
        <v>334</v>
      </c>
      <c r="O153" s="2" t="s">
        <v>155</v>
      </c>
      <c r="P153" t="s">
        <v>2770</v>
      </c>
      <c r="Q153" s="2" t="s">
        <v>102</v>
      </c>
      <c r="R153" s="2" t="s">
        <v>926</v>
      </c>
      <c r="S153" s="2" t="s">
        <v>930</v>
      </c>
      <c r="T153" s="2" t="s">
        <v>157</v>
      </c>
      <c r="U153" s="158">
        <v>3.71</v>
      </c>
      <c r="V153" s="151">
        <v>2008.42</v>
      </c>
      <c r="W153" s="151">
        <v>7451.24</v>
      </c>
      <c r="X153" s="164">
        <v>3.0899999999999998E-4</v>
      </c>
      <c r="Y153" s="164">
        <v>1.61749397811627E-2</v>
      </c>
      <c r="Z153" s="164">
        <v>3.0866687664496302E-3</v>
      </c>
    </row>
    <row r="154" spans="1:26">
      <c r="A154" s="2">
        <v>424</v>
      </c>
      <c r="B154" s="2">
        <v>7228</v>
      </c>
      <c r="C154" s="2" t="s">
        <v>2771</v>
      </c>
      <c r="D154" s="2" t="s">
        <v>2772</v>
      </c>
      <c r="E154" s="2" t="s">
        <v>350</v>
      </c>
      <c r="F154" s="2" t="s">
        <v>2773</v>
      </c>
      <c r="G154" s="2">
        <v>62021241</v>
      </c>
      <c r="H154" s="2" t="s">
        <v>33</v>
      </c>
      <c r="I154" s="2" t="s">
        <v>1059</v>
      </c>
      <c r="J154" s="2" t="s">
        <v>887</v>
      </c>
      <c r="K154" s="2" t="s">
        <v>97</v>
      </c>
      <c r="L154" s="2" t="s">
        <v>256</v>
      </c>
      <c r="M154" s="2" t="s">
        <v>98</v>
      </c>
      <c r="N154" s="2" t="s">
        <v>334</v>
      </c>
      <c r="O154" s="2" t="s">
        <v>155</v>
      </c>
      <c r="P154" t="s">
        <v>2774</v>
      </c>
      <c r="Q154" s="2" t="s">
        <v>102</v>
      </c>
      <c r="R154" s="2" t="s">
        <v>194</v>
      </c>
      <c r="S154" s="2" t="s">
        <v>930</v>
      </c>
      <c r="T154" s="2" t="s">
        <v>157</v>
      </c>
      <c r="U154" s="158">
        <v>3.71</v>
      </c>
      <c r="V154" s="151">
        <v>390.31599999999997</v>
      </c>
      <c r="W154" s="151">
        <v>1448.0719999999999</v>
      </c>
      <c r="X154" s="164">
        <v>0</v>
      </c>
      <c r="Y154" s="164">
        <v>3.1434339613479701E-3</v>
      </c>
      <c r="Z154" s="164">
        <v>5.9986247609957995E-4</v>
      </c>
    </row>
    <row r="155" spans="1:26">
      <c r="A155" s="2">
        <v>424</v>
      </c>
      <c r="B155" s="2">
        <v>7228</v>
      </c>
      <c r="C155" s="2" t="s">
        <v>2775</v>
      </c>
      <c r="D155" s="2" t="s">
        <v>2776</v>
      </c>
      <c r="E155" s="2" t="s">
        <v>350</v>
      </c>
      <c r="F155" s="2" t="s">
        <v>2777</v>
      </c>
      <c r="G155" s="2">
        <v>62018064</v>
      </c>
      <c r="H155" s="2" t="s">
        <v>33</v>
      </c>
      <c r="I155" s="2" t="s">
        <v>1059</v>
      </c>
      <c r="J155" s="2" t="s">
        <v>872</v>
      </c>
      <c r="K155" s="2" t="s">
        <v>97</v>
      </c>
      <c r="L155" s="2" t="s">
        <v>256</v>
      </c>
      <c r="M155" s="2" t="s">
        <v>98</v>
      </c>
      <c r="N155" s="2" t="s">
        <v>329</v>
      </c>
      <c r="O155" s="2" t="s">
        <v>155</v>
      </c>
      <c r="P155" t="s">
        <v>2778</v>
      </c>
      <c r="Q155" s="2" t="s">
        <v>102</v>
      </c>
      <c r="R155" s="2" t="s">
        <v>194</v>
      </c>
      <c r="S155" s="2" t="s">
        <v>930</v>
      </c>
      <c r="T155" s="2" t="s">
        <v>157</v>
      </c>
      <c r="U155" s="158">
        <v>3.71</v>
      </c>
      <c r="V155" s="151">
        <v>1371.33</v>
      </c>
      <c r="W155" s="151">
        <v>5087.634</v>
      </c>
      <c r="X155" s="164">
        <v>8.4699999999999999E-4</v>
      </c>
      <c r="Y155" s="164">
        <v>1.1044091258364599E-2</v>
      </c>
      <c r="Z155" s="164">
        <v>2.1075473542543901E-3</v>
      </c>
    </row>
    <row r="156" spans="1:26">
      <c r="A156" s="2">
        <v>424</v>
      </c>
      <c r="B156" s="2">
        <v>7228</v>
      </c>
      <c r="C156" s="2" t="s">
        <v>2775</v>
      </c>
      <c r="D156" s="2" t="s">
        <v>2776</v>
      </c>
      <c r="E156" s="2" t="s">
        <v>350</v>
      </c>
      <c r="F156" s="2" t="s">
        <v>2779</v>
      </c>
      <c r="G156" s="2">
        <v>62021340</v>
      </c>
      <c r="H156" s="2" t="s">
        <v>33</v>
      </c>
      <c r="I156" s="2" t="s">
        <v>1059</v>
      </c>
      <c r="J156" s="2" t="s">
        <v>871</v>
      </c>
      <c r="K156" s="2" t="s">
        <v>97</v>
      </c>
      <c r="L156" s="2" t="s">
        <v>256</v>
      </c>
      <c r="M156" s="2" t="s">
        <v>98</v>
      </c>
      <c r="N156" s="2" t="s">
        <v>329</v>
      </c>
      <c r="O156" s="2" t="s">
        <v>155</v>
      </c>
      <c r="P156" t="s">
        <v>2780</v>
      </c>
      <c r="Q156" s="2" t="s">
        <v>102</v>
      </c>
      <c r="R156" s="2" t="s">
        <v>926</v>
      </c>
      <c r="S156" s="2" t="s">
        <v>930</v>
      </c>
      <c r="T156" s="2" t="s">
        <v>157</v>
      </c>
      <c r="U156" s="158">
        <v>3.71</v>
      </c>
      <c r="V156" s="151">
        <v>664.16700000000003</v>
      </c>
      <c r="W156" s="151">
        <v>2464.06</v>
      </c>
      <c r="X156" s="164">
        <v>1.94E-4</v>
      </c>
      <c r="Y156" s="164">
        <v>5.3489113559888803E-3</v>
      </c>
      <c r="Z156" s="164">
        <v>1.02073441016866E-3</v>
      </c>
    </row>
    <row r="157" spans="1:26">
      <c r="A157" s="2">
        <v>424</v>
      </c>
      <c r="B157" s="2">
        <v>7228</v>
      </c>
      <c r="C157" s="2" t="s">
        <v>2781</v>
      </c>
      <c r="D157" s="2" t="s">
        <v>2782</v>
      </c>
      <c r="E157" s="2" t="s">
        <v>349</v>
      </c>
      <c r="F157" s="2" t="s">
        <v>2783</v>
      </c>
      <c r="G157" s="2">
        <v>62018908</v>
      </c>
      <c r="H157" s="2" t="s">
        <v>33</v>
      </c>
      <c r="I157" s="2" t="s">
        <v>1059</v>
      </c>
      <c r="J157" s="2" t="s">
        <v>872</v>
      </c>
      <c r="K157" s="2" t="s">
        <v>97</v>
      </c>
      <c r="L157" s="2" t="s">
        <v>291</v>
      </c>
      <c r="M157" s="2" t="s">
        <v>291</v>
      </c>
      <c r="N157" s="2" t="s">
        <v>334</v>
      </c>
      <c r="O157" s="2" t="s">
        <v>155</v>
      </c>
      <c r="P157" t="s">
        <v>2968</v>
      </c>
      <c r="Q157" s="2" t="s">
        <v>102</v>
      </c>
      <c r="R157" s="2" t="s">
        <v>926</v>
      </c>
      <c r="S157" s="2" t="s">
        <v>930</v>
      </c>
      <c r="T157" s="2" t="s">
        <v>157</v>
      </c>
      <c r="U157" s="158">
        <v>3.71</v>
      </c>
      <c r="V157" s="151">
        <v>3505.7669999999998</v>
      </c>
      <c r="W157" s="151">
        <v>13006.397000000001</v>
      </c>
      <c r="X157" s="164">
        <v>1.9000000000000001E-4</v>
      </c>
      <c r="Y157" s="164">
        <v>2.82339177722928E-2</v>
      </c>
      <c r="Z157" s="164">
        <v>5.3878872701422298E-3</v>
      </c>
    </row>
    <row r="158" spans="1:26">
      <c r="A158" s="2">
        <v>424</v>
      </c>
      <c r="B158" s="2">
        <v>7228</v>
      </c>
      <c r="C158" s="2" t="s">
        <v>2785</v>
      </c>
      <c r="D158" s="2" t="s">
        <v>2786</v>
      </c>
      <c r="E158" s="2" t="s">
        <v>349</v>
      </c>
      <c r="F158" s="2" t="s">
        <v>2787</v>
      </c>
      <c r="G158" s="2">
        <v>62019559</v>
      </c>
      <c r="H158" s="2" t="s">
        <v>33</v>
      </c>
      <c r="I158" s="2" t="s">
        <v>1059</v>
      </c>
      <c r="J158" s="2" t="s">
        <v>873</v>
      </c>
      <c r="K158" s="2" t="s">
        <v>97</v>
      </c>
      <c r="L158" s="2" t="s">
        <v>98</v>
      </c>
      <c r="M158" s="2" t="s">
        <v>98</v>
      </c>
      <c r="N158" s="2" t="s">
        <v>98</v>
      </c>
      <c r="O158" s="2" t="s">
        <v>155</v>
      </c>
      <c r="P158" t="s">
        <v>2788</v>
      </c>
      <c r="Q158" s="2" t="s">
        <v>102</v>
      </c>
      <c r="R158" s="2" t="s">
        <v>926</v>
      </c>
      <c r="S158" s="2" t="s">
        <v>930</v>
      </c>
      <c r="T158" s="2" t="s">
        <v>157</v>
      </c>
      <c r="U158" s="158">
        <v>3.71</v>
      </c>
      <c r="V158" s="151">
        <v>3754.2689999999998</v>
      </c>
      <c r="W158" s="151">
        <v>13928.338</v>
      </c>
      <c r="X158" s="164">
        <v>6.4289999999999998E-3</v>
      </c>
      <c r="Y158" s="164">
        <v>3.0235241726425201E-2</v>
      </c>
      <c r="Z158" s="164">
        <v>5.7698005399500103E-3</v>
      </c>
    </row>
    <row r="159" spans="1:26">
      <c r="A159" s="2">
        <v>424</v>
      </c>
      <c r="B159" s="2">
        <v>7228</v>
      </c>
      <c r="C159" s="2" t="s">
        <v>2789</v>
      </c>
      <c r="D159" s="2" t="s">
        <v>2790</v>
      </c>
      <c r="E159" s="2" t="s">
        <v>350</v>
      </c>
      <c r="F159" s="2" t="s">
        <v>2791</v>
      </c>
      <c r="G159" s="2">
        <v>62020946</v>
      </c>
      <c r="H159" s="2" t="s">
        <v>33</v>
      </c>
      <c r="I159" s="2" t="s">
        <v>1059</v>
      </c>
      <c r="J159" s="2" t="s">
        <v>873</v>
      </c>
      <c r="K159" s="2" t="s">
        <v>97</v>
      </c>
      <c r="L159" s="2" t="s">
        <v>98</v>
      </c>
      <c r="M159" s="2" t="s">
        <v>98</v>
      </c>
      <c r="N159" s="2" t="s">
        <v>98</v>
      </c>
      <c r="O159" s="2" t="s">
        <v>155</v>
      </c>
      <c r="P159" t="s">
        <v>2792</v>
      </c>
      <c r="Q159" s="2" t="s">
        <v>102</v>
      </c>
      <c r="R159" s="2" t="s">
        <v>926</v>
      </c>
      <c r="S159" s="2" t="s">
        <v>930</v>
      </c>
      <c r="T159" s="2" t="s">
        <v>157</v>
      </c>
      <c r="U159" s="158">
        <v>3.71</v>
      </c>
      <c r="V159" s="151">
        <v>1508.55</v>
      </c>
      <c r="W159" s="151">
        <v>5596.7190000000001</v>
      </c>
      <c r="X159" s="164">
        <v>1.897E-3</v>
      </c>
      <c r="Y159" s="164">
        <v>1.2149199453264099E-2</v>
      </c>
      <c r="Z159" s="164">
        <v>2.31843549324557E-3</v>
      </c>
    </row>
    <row r="160" spans="1:26">
      <c r="A160" s="2">
        <v>424</v>
      </c>
      <c r="B160" s="2">
        <v>7228</v>
      </c>
      <c r="C160" s="2" t="s">
        <v>2793</v>
      </c>
      <c r="D160" s="2" t="s">
        <v>2794</v>
      </c>
      <c r="E160" s="2" t="s">
        <v>348</v>
      </c>
      <c r="F160" s="2" t="s">
        <v>2795</v>
      </c>
      <c r="G160" s="2">
        <v>62021431</v>
      </c>
      <c r="H160" s="2" t="s">
        <v>33</v>
      </c>
      <c r="I160" s="2" t="s">
        <v>1059</v>
      </c>
      <c r="J160" s="2" t="s">
        <v>883</v>
      </c>
      <c r="K160" s="2" t="s">
        <v>30</v>
      </c>
      <c r="L160" s="2" t="s">
        <v>256</v>
      </c>
      <c r="M160" s="2" t="s">
        <v>30</v>
      </c>
      <c r="N160" s="2" t="s">
        <v>30</v>
      </c>
      <c r="O160" s="2" t="s">
        <v>155</v>
      </c>
      <c r="P160" t="s">
        <v>2796</v>
      </c>
      <c r="Q160" s="2" t="s">
        <v>102</v>
      </c>
      <c r="R160" s="2" t="s">
        <v>926</v>
      </c>
      <c r="S160" s="2" t="s">
        <v>930</v>
      </c>
      <c r="T160" s="2" t="s">
        <v>157</v>
      </c>
      <c r="U160" s="158">
        <v>3.71</v>
      </c>
      <c r="V160" s="151">
        <v>282.714</v>
      </c>
      <c r="W160" s="151">
        <v>1048.8689999999999</v>
      </c>
      <c r="X160" s="164">
        <v>2.8600000000000001E-4</v>
      </c>
      <c r="Y160" s="164">
        <v>2.2768550927670501E-3</v>
      </c>
      <c r="Z160" s="164">
        <v>4.34492962302125E-4</v>
      </c>
    </row>
    <row r="161" spans="1:26">
      <c r="A161" s="2">
        <v>424</v>
      </c>
      <c r="B161" s="2">
        <v>7228</v>
      </c>
      <c r="C161" s="2" t="s">
        <v>2797</v>
      </c>
      <c r="D161" s="2" t="s">
        <v>2798</v>
      </c>
      <c r="E161" s="2" t="s">
        <v>350</v>
      </c>
      <c r="F161" s="2" t="s">
        <v>2799</v>
      </c>
      <c r="G161" s="2">
        <v>62021662</v>
      </c>
      <c r="H161" s="2" t="s">
        <v>33</v>
      </c>
      <c r="I161" s="2" t="s">
        <v>1059</v>
      </c>
      <c r="J161" s="2" t="s">
        <v>603</v>
      </c>
      <c r="K161" s="2" t="s">
        <v>97</v>
      </c>
      <c r="L161" s="2" t="s">
        <v>256</v>
      </c>
      <c r="M161" s="2" t="s">
        <v>98</v>
      </c>
      <c r="N161" s="2" t="s">
        <v>334</v>
      </c>
      <c r="O161" s="2" t="s">
        <v>155</v>
      </c>
      <c r="P161" t="s">
        <v>2800</v>
      </c>
      <c r="Q161" s="2" t="s">
        <v>102</v>
      </c>
      <c r="R161" s="2" t="s">
        <v>194</v>
      </c>
      <c r="S161" s="2" t="s">
        <v>930</v>
      </c>
      <c r="T161" s="2" t="s">
        <v>157</v>
      </c>
      <c r="U161" s="158">
        <v>3.71</v>
      </c>
      <c r="V161" s="151">
        <v>1750.425</v>
      </c>
      <c r="W161" s="151">
        <v>6494.0749999999998</v>
      </c>
      <c r="X161" s="164">
        <v>0</v>
      </c>
      <c r="Y161" s="164">
        <v>1.40971543043716E-2</v>
      </c>
      <c r="Z161" s="164">
        <v>2.69016432059923E-3</v>
      </c>
    </row>
    <row r="162" spans="1:26">
      <c r="A162" s="2">
        <v>424</v>
      </c>
      <c r="B162" s="2">
        <v>7228</v>
      </c>
      <c r="C162" s="2" t="s">
        <v>2801</v>
      </c>
      <c r="D162" s="2" t="s">
        <v>2802</v>
      </c>
      <c r="E162" s="2" t="s">
        <v>350</v>
      </c>
      <c r="F162" s="2" t="s">
        <v>2803</v>
      </c>
      <c r="G162" s="2">
        <v>62003800</v>
      </c>
      <c r="H162" s="2" t="s">
        <v>33</v>
      </c>
      <c r="I162" s="2" t="s">
        <v>1059</v>
      </c>
      <c r="J162" s="2" t="s">
        <v>884</v>
      </c>
      <c r="K162" s="2" t="s">
        <v>97</v>
      </c>
      <c r="L162" s="2" t="s">
        <v>256</v>
      </c>
      <c r="M162" s="2" t="s">
        <v>98</v>
      </c>
      <c r="N162" s="2" t="s">
        <v>334</v>
      </c>
      <c r="O162" s="2" t="s">
        <v>155</v>
      </c>
      <c r="P162" t="s">
        <v>2969</v>
      </c>
      <c r="Q162" s="2" t="s">
        <v>102</v>
      </c>
      <c r="R162" s="2" t="s">
        <v>194</v>
      </c>
      <c r="S162" s="2" t="s">
        <v>930</v>
      </c>
      <c r="T162" s="2" t="s">
        <v>157</v>
      </c>
      <c r="U162" s="158">
        <v>3.71</v>
      </c>
      <c r="V162" s="151">
        <v>2646.0030000000002</v>
      </c>
      <c r="W162" s="151">
        <v>9816.6710000000003</v>
      </c>
      <c r="X162" s="164">
        <v>6.1500000000000001E-3</v>
      </c>
      <c r="Y162" s="164">
        <v>2.1309752212204498E-2</v>
      </c>
      <c r="Z162" s="164">
        <v>4.0665466124823199E-3</v>
      </c>
    </row>
    <row r="163" spans="1:26">
      <c r="A163" s="2">
        <v>424</v>
      </c>
      <c r="B163" s="2">
        <v>7228</v>
      </c>
      <c r="C163" s="2" t="s">
        <v>2801</v>
      </c>
      <c r="D163" s="2" t="s">
        <v>2802</v>
      </c>
      <c r="E163" s="2" t="s">
        <v>350</v>
      </c>
      <c r="F163" s="2" t="s">
        <v>2805</v>
      </c>
      <c r="G163" s="2">
        <v>620101031</v>
      </c>
      <c r="H163" s="2" t="s">
        <v>33</v>
      </c>
      <c r="I163" s="2" t="s">
        <v>1059</v>
      </c>
      <c r="J163" s="2" t="s">
        <v>603</v>
      </c>
      <c r="K163" s="2" t="s">
        <v>97</v>
      </c>
      <c r="L163" s="2" t="s">
        <v>256</v>
      </c>
      <c r="M163" s="2" t="s">
        <v>98</v>
      </c>
      <c r="N163" s="2" t="s">
        <v>98</v>
      </c>
      <c r="O163" s="2" t="s">
        <v>155</v>
      </c>
      <c r="P163" t="s">
        <v>2676</v>
      </c>
      <c r="Q163" s="2" t="s">
        <v>102</v>
      </c>
      <c r="R163" s="2" t="s">
        <v>194</v>
      </c>
      <c r="S163" s="2" t="s">
        <v>930</v>
      </c>
      <c r="T163" s="2" t="s">
        <v>157</v>
      </c>
      <c r="U163" s="158">
        <v>3.71</v>
      </c>
      <c r="V163" s="151">
        <v>1578.164</v>
      </c>
      <c r="W163" s="151">
        <v>5854.9880000000003</v>
      </c>
      <c r="X163" s="164">
        <v>0</v>
      </c>
      <c r="Y163" s="164">
        <v>1.27098427182975E-2</v>
      </c>
      <c r="Z163" s="164">
        <v>2.4254232210956799E-3</v>
      </c>
    </row>
    <row r="164" spans="1:26">
      <c r="A164" s="2">
        <v>424</v>
      </c>
      <c r="B164" s="2">
        <v>7228</v>
      </c>
      <c r="C164" s="2" t="s">
        <v>2801</v>
      </c>
      <c r="D164" s="2" t="s">
        <v>2802</v>
      </c>
      <c r="E164" s="2" t="s">
        <v>350</v>
      </c>
      <c r="F164" s="2" t="s">
        <v>2806</v>
      </c>
      <c r="G164" s="2">
        <v>62014857</v>
      </c>
      <c r="H164" s="2" t="s">
        <v>33</v>
      </c>
      <c r="I164" s="2" t="s">
        <v>1059</v>
      </c>
      <c r="J164" s="2" t="s">
        <v>884</v>
      </c>
      <c r="K164" s="2" t="s">
        <v>97</v>
      </c>
      <c r="L164" s="2" t="s">
        <v>256</v>
      </c>
      <c r="M164" s="2" t="s">
        <v>98</v>
      </c>
      <c r="N164" s="2" t="s">
        <v>334</v>
      </c>
      <c r="O164" s="2" t="s">
        <v>155</v>
      </c>
      <c r="P164" t="s">
        <v>2807</v>
      </c>
      <c r="Q164" s="2" t="s">
        <v>102</v>
      </c>
      <c r="R164" s="2" t="s">
        <v>926</v>
      </c>
      <c r="S164" s="2" t="s">
        <v>930</v>
      </c>
      <c r="T164" s="2" t="s">
        <v>157</v>
      </c>
      <c r="U164" s="158">
        <v>3.71</v>
      </c>
      <c r="V164" s="151">
        <v>1494.9870000000001</v>
      </c>
      <c r="W164" s="151">
        <v>5546.4009999999998</v>
      </c>
      <c r="X164" s="164">
        <v>1.7080000000000001E-3</v>
      </c>
      <c r="Y164" s="164">
        <v>1.20399707073672E-2</v>
      </c>
      <c r="Z164" s="164">
        <v>2.2975913378471698E-3</v>
      </c>
    </row>
    <row r="165" spans="1:26">
      <c r="A165" s="2">
        <v>424</v>
      </c>
      <c r="B165" s="2">
        <v>7228</v>
      </c>
      <c r="C165" s="2" t="s">
        <v>2801</v>
      </c>
      <c r="D165" s="2" t="s">
        <v>2802</v>
      </c>
      <c r="E165" s="2" t="s">
        <v>350</v>
      </c>
      <c r="F165" s="2" t="s">
        <v>2808</v>
      </c>
      <c r="G165" s="2">
        <v>62019476</v>
      </c>
      <c r="H165" s="2" t="s">
        <v>33</v>
      </c>
      <c r="I165" s="2" t="s">
        <v>1059</v>
      </c>
      <c r="J165" s="2" t="s">
        <v>884</v>
      </c>
      <c r="K165" s="2" t="s">
        <v>97</v>
      </c>
      <c r="L165" s="2" t="s">
        <v>256</v>
      </c>
      <c r="M165" s="2" t="s">
        <v>98</v>
      </c>
      <c r="N165" s="2" t="s">
        <v>334</v>
      </c>
      <c r="O165" s="2" t="s">
        <v>155</v>
      </c>
      <c r="P165" t="s">
        <v>2726</v>
      </c>
      <c r="Q165" s="2" t="s">
        <v>102</v>
      </c>
      <c r="R165" s="2" t="s">
        <v>194</v>
      </c>
      <c r="S165" s="2" t="s">
        <v>930</v>
      </c>
      <c r="T165" s="2" t="s">
        <v>157</v>
      </c>
      <c r="U165" s="158">
        <v>3.71</v>
      </c>
      <c r="V165" s="151">
        <v>1171.69</v>
      </c>
      <c r="W165" s="151">
        <v>4346.97</v>
      </c>
      <c r="X165" s="164">
        <v>1.134E-3</v>
      </c>
      <c r="Y165" s="164">
        <v>9.4362786774710508E-3</v>
      </c>
      <c r="Z165" s="164">
        <v>1.80072798163895E-3</v>
      </c>
    </row>
    <row r="166" spans="1:26">
      <c r="A166" s="2">
        <v>424</v>
      </c>
      <c r="B166" s="2">
        <v>7228</v>
      </c>
      <c r="C166" s="2" t="s">
        <v>2801</v>
      </c>
      <c r="D166" s="2" t="s">
        <v>2802</v>
      </c>
      <c r="E166" s="2" t="s">
        <v>350</v>
      </c>
      <c r="F166" s="2" t="s">
        <v>2809</v>
      </c>
      <c r="G166" s="2">
        <v>62020458</v>
      </c>
      <c r="H166" s="2" t="s">
        <v>33</v>
      </c>
      <c r="I166" s="2" t="s">
        <v>1059</v>
      </c>
      <c r="J166" s="2" t="s">
        <v>878</v>
      </c>
      <c r="K166" s="2" t="s">
        <v>97</v>
      </c>
      <c r="L166" s="2" t="s">
        <v>256</v>
      </c>
      <c r="M166" s="2" t="s">
        <v>98</v>
      </c>
      <c r="N166" s="2" t="s">
        <v>334</v>
      </c>
      <c r="O166" s="2" t="s">
        <v>155</v>
      </c>
      <c r="P166" t="s">
        <v>2810</v>
      </c>
      <c r="Q166" s="2" t="s">
        <v>102</v>
      </c>
      <c r="R166" s="2" t="s">
        <v>194</v>
      </c>
      <c r="S166" s="2" t="s">
        <v>930</v>
      </c>
      <c r="T166" s="2" t="s">
        <v>157</v>
      </c>
      <c r="U166" s="158">
        <v>3.71</v>
      </c>
      <c r="V166" s="151">
        <v>944.99099999999999</v>
      </c>
      <c r="W166" s="151">
        <v>3505.9160000000002</v>
      </c>
      <c r="X166" s="164">
        <v>5.0000000000000001E-4</v>
      </c>
      <c r="Y166" s="164">
        <v>7.6105437012563802E-3</v>
      </c>
      <c r="Z166" s="164">
        <v>1.45232241085225E-3</v>
      </c>
    </row>
    <row r="167" spans="1:26">
      <c r="A167" s="2">
        <v>424</v>
      </c>
      <c r="B167" s="2">
        <v>7228</v>
      </c>
      <c r="C167" s="2" t="s">
        <v>2801</v>
      </c>
      <c r="D167" s="2" t="s">
        <v>2802</v>
      </c>
      <c r="E167" s="2" t="s">
        <v>350</v>
      </c>
      <c r="F167" s="2" t="s">
        <v>2811</v>
      </c>
      <c r="G167" s="2">
        <v>62017678</v>
      </c>
      <c r="H167" s="2" t="s">
        <v>33</v>
      </c>
      <c r="I167" s="2" t="s">
        <v>1059</v>
      </c>
      <c r="J167" s="2" t="s">
        <v>878</v>
      </c>
      <c r="K167" s="2" t="s">
        <v>97</v>
      </c>
      <c r="L167" s="2" t="s">
        <v>256</v>
      </c>
      <c r="M167" s="2" t="s">
        <v>98</v>
      </c>
      <c r="N167" s="2" t="s">
        <v>334</v>
      </c>
      <c r="O167" s="2" t="s">
        <v>155</v>
      </c>
      <c r="P167" t="s">
        <v>2812</v>
      </c>
      <c r="Q167" s="2" t="s">
        <v>102</v>
      </c>
      <c r="R167" s="2" t="s">
        <v>194</v>
      </c>
      <c r="S167" s="2" t="s">
        <v>930</v>
      </c>
      <c r="T167" s="2" t="s">
        <v>157</v>
      </c>
      <c r="U167" s="158">
        <v>3.71</v>
      </c>
      <c r="V167" s="151">
        <v>2855.03</v>
      </c>
      <c r="W167" s="151">
        <v>10592.162</v>
      </c>
      <c r="X167" s="164">
        <v>4.8500000000000001E-3</v>
      </c>
      <c r="Y167" s="164">
        <v>2.2993164637302201E-2</v>
      </c>
      <c r="Z167" s="164">
        <v>4.3877927267741198E-3</v>
      </c>
    </row>
    <row r="168" spans="1:26">
      <c r="A168" s="2">
        <v>424</v>
      </c>
      <c r="B168" s="2">
        <v>7228</v>
      </c>
      <c r="C168" s="2" t="s">
        <v>2801</v>
      </c>
      <c r="D168" s="2" t="s">
        <v>2802</v>
      </c>
      <c r="E168" s="2" t="s">
        <v>350</v>
      </c>
      <c r="F168" s="2" t="s">
        <v>2813</v>
      </c>
      <c r="G168" s="2">
        <v>62019237</v>
      </c>
      <c r="H168" s="2" t="s">
        <v>33</v>
      </c>
      <c r="I168" s="2" t="s">
        <v>1059</v>
      </c>
      <c r="J168" s="2" t="s">
        <v>877</v>
      </c>
      <c r="K168" s="2" t="s">
        <v>97</v>
      </c>
      <c r="L168" s="2" t="s">
        <v>256</v>
      </c>
      <c r="M168" s="2" t="s">
        <v>98</v>
      </c>
      <c r="N168" s="2" t="s">
        <v>98</v>
      </c>
      <c r="O168" s="2" t="s">
        <v>155</v>
      </c>
      <c r="P168" t="s">
        <v>2814</v>
      </c>
      <c r="Q168" s="2" t="s">
        <v>102</v>
      </c>
      <c r="R168" s="2" t="s">
        <v>926</v>
      </c>
      <c r="S168" s="2" t="s">
        <v>930</v>
      </c>
      <c r="T168" s="2" t="s">
        <v>157</v>
      </c>
      <c r="U168" s="158">
        <v>3.71</v>
      </c>
      <c r="V168" s="151">
        <v>2141.4859999999999</v>
      </c>
      <c r="W168" s="151">
        <v>7944.9129999999996</v>
      </c>
      <c r="X168" s="164">
        <v>3.0000000000000001E-3</v>
      </c>
      <c r="Y168" s="164">
        <v>1.72465931150057E-2</v>
      </c>
      <c r="Z168" s="164">
        <v>3.29117270394728E-3</v>
      </c>
    </row>
    <row r="169" spans="1:26">
      <c r="A169" s="2">
        <v>424</v>
      </c>
      <c r="B169" s="2">
        <v>7228</v>
      </c>
      <c r="C169" s="2" t="s">
        <v>2815</v>
      </c>
      <c r="D169" s="2" t="s">
        <v>2816</v>
      </c>
      <c r="E169" s="2" t="s">
        <v>33</v>
      </c>
      <c r="F169" s="2" t="s">
        <v>2817</v>
      </c>
      <c r="G169" s="2">
        <v>62021845</v>
      </c>
      <c r="H169" s="2" t="s">
        <v>33</v>
      </c>
      <c r="I169" s="2" t="s">
        <v>1059</v>
      </c>
      <c r="J169" s="2" t="s">
        <v>603</v>
      </c>
      <c r="K169" s="2" t="s">
        <v>97</v>
      </c>
      <c r="L169" s="11" t="s">
        <v>98</v>
      </c>
      <c r="M169" s="11" t="s">
        <v>98</v>
      </c>
      <c r="N169" s="11" t="s">
        <v>98</v>
      </c>
      <c r="O169" s="2" t="s">
        <v>155</v>
      </c>
      <c r="P169" t="s">
        <v>2818</v>
      </c>
      <c r="Q169" s="2" t="s">
        <v>102</v>
      </c>
      <c r="R169" s="2" t="s">
        <v>194</v>
      </c>
      <c r="T169" s="2" t="s">
        <v>157</v>
      </c>
      <c r="U169" s="158">
        <v>3.71</v>
      </c>
      <c r="V169" s="151">
        <v>300</v>
      </c>
      <c r="W169" s="151">
        <v>1113</v>
      </c>
      <c r="X169" s="164">
        <v>0</v>
      </c>
      <c r="Y169" s="164">
        <v>2.41606888529499E-3</v>
      </c>
      <c r="Z169" s="164">
        <v>4.6105917343296498E-4</v>
      </c>
    </row>
    <row r="170" spans="1:26">
      <c r="A170" s="2">
        <v>424</v>
      </c>
      <c r="B170" s="2">
        <v>7228</v>
      </c>
      <c r="C170" s="2" t="s">
        <v>2970</v>
      </c>
      <c r="D170" s="2" t="s">
        <v>2971</v>
      </c>
      <c r="E170" s="2" t="s">
        <v>349</v>
      </c>
      <c r="F170" s="2" t="s">
        <v>2972</v>
      </c>
      <c r="G170" s="2">
        <v>62001875</v>
      </c>
      <c r="H170" s="2" t="s">
        <v>33</v>
      </c>
      <c r="I170" s="2" t="s">
        <v>1059</v>
      </c>
      <c r="J170" s="2" t="s">
        <v>603</v>
      </c>
      <c r="K170" s="2" t="s">
        <v>97</v>
      </c>
      <c r="L170" s="11" t="s">
        <v>98</v>
      </c>
      <c r="M170" s="11" t="s">
        <v>98</v>
      </c>
      <c r="N170" s="11" t="s">
        <v>98</v>
      </c>
      <c r="O170" s="2" t="s">
        <v>155</v>
      </c>
      <c r="P170" t="s">
        <v>2973</v>
      </c>
      <c r="Q170" s="2" t="s">
        <v>102</v>
      </c>
      <c r="R170" s="2" t="s">
        <v>194</v>
      </c>
      <c r="S170" s="2" t="s">
        <v>930</v>
      </c>
      <c r="T170" s="2" t="s">
        <v>157</v>
      </c>
      <c r="U170" s="158">
        <v>3.71</v>
      </c>
      <c r="V170" s="151">
        <v>194.51599999999999</v>
      </c>
      <c r="W170" s="151">
        <v>721.65499999999997</v>
      </c>
      <c r="X170" s="164">
        <v>7.5900000000000002E-4</v>
      </c>
      <c r="Y170" s="164">
        <v>1.5665485471488599E-3</v>
      </c>
      <c r="Z170" s="164">
        <v>2.98944944279964E-4</v>
      </c>
    </row>
    <row r="171" spans="1:26">
      <c r="A171" s="2">
        <v>424</v>
      </c>
      <c r="B171" s="2">
        <v>7228</v>
      </c>
      <c r="C171" s="2" t="s">
        <v>2819</v>
      </c>
      <c r="D171" s="2" t="s">
        <v>2820</v>
      </c>
      <c r="E171" s="2" t="s">
        <v>350</v>
      </c>
      <c r="F171" s="2" t="s">
        <v>2821</v>
      </c>
      <c r="G171" s="2">
        <v>62020565</v>
      </c>
      <c r="H171" s="2" t="s">
        <v>33</v>
      </c>
      <c r="I171" s="2" t="s">
        <v>1059</v>
      </c>
      <c r="J171" s="2" t="s">
        <v>603</v>
      </c>
      <c r="K171" s="2" t="s">
        <v>97</v>
      </c>
      <c r="L171" s="2" t="s">
        <v>271</v>
      </c>
      <c r="M171" s="2" t="s">
        <v>271</v>
      </c>
      <c r="N171" s="2" t="s">
        <v>331</v>
      </c>
      <c r="O171" s="2" t="s">
        <v>155</v>
      </c>
      <c r="P171" t="s">
        <v>2623</v>
      </c>
      <c r="Q171" s="2" t="s">
        <v>1209</v>
      </c>
      <c r="R171" s="2" t="s">
        <v>194</v>
      </c>
      <c r="S171" s="2" t="s">
        <v>930</v>
      </c>
      <c r="T171" s="2" t="s">
        <v>157</v>
      </c>
      <c r="U171" s="158">
        <v>4.1524000000000001</v>
      </c>
      <c r="V171" s="151">
        <v>766.077</v>
      </c>
      <c r="W171" s="151">
        <v>3181.0590000000002</v>
      </c>
      <c r="X171" s="164">
        <v>5.7499999999999999E-4</v>
      </c>
      <c r="Y171" s="164">
        <v>6.9053534090160401E-3</v>
      </c>
      <c r="Z171" s="164">
        <v>1.3177507290462499E-3</v>
      </c>
    </row>
    <row r="172" spans="1:26">
      <c r="A172" s="2">
        <v>424</v>
      </c>
      <c r="B172" s="2">
        <v>7228</v>
      </c>
      <c r="C172" s="2" t="s">
        <v>2822</v>
      </c>
      <c r="D172" s="2" t="s">
        <v>2823</v>
      </c>
      <c r="E172" s="2" t="s">
        <v>349</v>
      </c>
      <c r="F172" s="2" t="s">
        <v>2824</v>
      </c>
      <c r="G172" s="2">
        <v>62017702</v>
      </c>
      <c r="H172" s="2" t="s">
        <v>33</v>
      </c>
      <c r="I172" s="2" t="s">
        <v>1059</v>
      </c>
      <c r="J172" s="2" t="s">
        <v>868</v>
      </c>
      <c r="K172" s="2" t="s">
        <v>97</v>
      </c>
      <c r="L172" s="2" t="s">
        <v>98</v>
      </c>
      <c r="M172" s="2" t="s">
        <v>98</v>
      </c>
      <c r="N172" s="2" t="s">
        <v>98</v>
      </c>
      <c r="O172" s="2" t="s">
        <v>155</v>
      </c>
      <c r="P172" t="s">
        <v>2825</v>
      </c>
      <c r="Q172" s="2" t="s">
        <v>102</v>
      </c>
      <c r="R172" s="2" t="s">
        <v>926</v>
      </c>
      <c r="S172" s="2" t="s">
        <v>930</v>
      </c>
      <c r="T172" s="2" t="s">
        <v>157</v>
      </c>
      <c r="U172" s="158">
        <v>3.71</v>
      </c>
      <c r="V172" s="151">
        <v>2153.2950000000001</v>
      </c>
      <c r="W172" s="151">
        <v>7988.7250000000004</v>
      </c>
      <c r="X172" s="164">
        <v>0</v>
      </c>
      <c r="Y172" s="164">
        <v>1.7341698196411199E-2</v>
      </c>
      <c r="Z172" s="164">
        <v>3.3093216360778801E-3</v>
      </c>
    </row>
    <row r="173" spans="1:26">
      <c r="A173" s="2">
        <v>424</v>
      </c>
      <c r="B173" s="2">
        <v>7228</v>
      </c>
      <c r="C173" s="2" t="s">
        <v>2974</v>
      </c>
      <c r="D173" s="2" t="s">
        <v>2975</v>
      </c>
      <c r="E173" s="2" t="s">
        <v>349</v>
      </c>
      <c r="F173" s="2" t="s">
        <v>2976</v>
      </c>
      <c r="G173" s="2">
        <v>62006754</v>
      </c>
      <c r="H173" s="2" t="s">
        <v>33</v>
      </c>
      <c r="I173" s="2" t="s">
        <v>1059</v>
      </c>
      <c r="J173" s="2" t="s">
        <v>883</v>
      </c>
      <c r="K173" s="2" t="s">
        <v>97</v>
      </c>
      <c r="L173" s="2" t="s">
        <v>98</v>
      </c>
      <c r="M173" s="2" t="s">
        <v>98</v>
      </c>
      <c r="N173" s="2" t="s">
        <v>334</v>
      </c>
      <c r="O173" s="2" t="s">
        <v>155</v>
      </c>
      <c r="P173" t="s">
        <v>2977</v>
      </c>
      <c r="Q173" s="2" t="s">
        <v>102</v>
      </c>
      <c r="R173" s="2" t="s">
        <v>926</v>
      </c>
      <c r="S173" s="2" t="s">
        <v>930</v>
      </c>
      <c r="T173" s="2" t="s">
        <v>157</v>
      </c>
      <c r="U173" s="158">
        <v>3.71</v>
      </c>
      <c r="V173" s="151">
        <v>895.05499999999995</v>
      </c>
      <c r="W173" s="151">
        <v>3320.6529999999998</v>
      </c>
      <c r="X173" s="164">
        <v>3.4200000000000002E-4</v>
      </c>
      <c r="Y173" s="164">
        <v>7.2083790980180902E-3</v>
      </c>
      <c r="Z173" s="164">
        <v>1.3755772150999301E-3</v>
      </c>
    </row>
    <row r="174" spans="1:26">
      <c r="A174" s="2">
        <v>424</v>
      </c>
      <c r="B174" s="2">
        <v>7228</v>
      </c>
      <c r="C174" s="2" t="s">
        <v>2826</v>
      </c>
      <c r="D174" s="2" t="s">
        <v>2827</v>
      </c>
      <c r="E174" s="2" t="s">
        <v>350</v>
      </c>
      <c r="F174" s="2" t="s">
        <v>2828</v>
      </c>
      <c r="G174" s="2">
        <v>77847846</v>
      </c>
      <c r="H174" s="2" t="s">
        <v>33</v>
      </c>
      <c r="I174" s="2" t="s">
        <v>1059</v>
      </c>
      <c r="J174" s="2" t="s">
        <v>603</v>
      </c>
      <c r="K174" s="2" t="s">
        <v>97</v>
      </c>
      <c r="L174" s="2" t="s">
        <v>291</v>
      </c>
      <c r="M174" s="2" t="s">
        <v>291</v>
      </c>
      <c r="N174" s="2" t="s">
        <v>98</v>
      </c>
      <c r="O174" s="2" t="s">
        <v>155</v>
      </c>
      <c r="P174" t="s">
        <v>2829</v>
      </c>
      <c r="Q174" s="2" t="s">
        <v>102</v>
      </c>
      <c r="R174" s="2" t="s">
        <v>926</v>
      </c>
      <c r="S174" s="2" t="s">
        <v>930</v>
      </c>
      <c r="T174" s="2" t="s">
        <v>157</v>
      </c>
      <c r="U174" s="158">
        <v>3.71</v>
      </c>
      <c r="V174" s="151">
        <v>5474.2950000000001</v>
      </c>
      <c r="W174" s="151">
        <v>20309.633000000002</v>
      </c>
      <c r="X174" s="164">
        <v>9.9999999999999995E-7</v>
      </c>
      <c r="Y174" s="164">
        <v>4.4087576234535103E-2</v>
      </c>
      <c r="Z174" s="164">
        <v>8.4132458230286502E-3</v>
      </c>
    </row>
    <row r="175" spans="1:26">
      <c r="A175" s="2">
        <v>424</v>
      </c>
      <c r="B175" s="2">
        <v>7228</v>
      </c>
      <c r="C175" s="2" t="s">
        <v>2830</v>
      </c>
      <c r="D175" s="2" t="s">
        <v>2831</v>
      </c>
      <c r="E175" s="2" t="s">
        <v>349</v>
      </c>
      <c r="F175" s="2" t="s">
        <v>2832</v>
      </c>
      <c r="G175" s="2">
        <v>62019013</v>
      </c>
      <c r="H175" s="2" t="s">
        <v>33</v>
      </c>
      <c r="I175" s="2" t="s">
        <v>1059</v>
      </c>
      <c r="J175" s="2" t="s">
        <v>872</v>
      </c>
      <c r="K175" s="2" t="s">
        <v>97</v>
      </c>
      <c r="L175" s="2" t="s">
        <v>98</v>
      </c>
      <c r="M175" s="2" t="s">
        <v>98</v>
      </c>
      <c r="N175" s="2" t="s">
        <v>98</v>
      </c>
      <c r="O175" s="2" t="s">
        <v>155</v>
      </c>
      <c r="P175" t="s">
        <v>2833</v>
      </c>
      <c r="Q175" s="2" t="s">
        <v>102</v>
      </c>
      <c r="R175" s="2" t="s">
        <v>926</v>
      </c>
      <c r="S175" s="2" t="s">
        <v>930</v>
      </c>
      <c r="T175" s="2" t="s">
        <v>157</v>
      </c>
      <c r="U175" s="158">
        <v>3.71</v>
      </c>
      <c r="V175" s="151">
        <v>3027.6529999999998</v>
      </c>
      <c r="W175" s="151">
        <v>11232.591</v>
      </c>
      <c r="X175" s="164">
        <v>4.17E-4</v>
      </c>
      <c r="Y175" s="164">
        <v>2.4383391390987399E-2</v>
      </c>
      <c r="Z175" s="164">
        <v>4.6530901286154797E-3</v>
      </c>
    </row>
    <row r="176" spans="1:26">
      <c r="A176" s="2">
        <v>424</v>
      </c>
      <c r="B176" s="2">
        <v>7228</v>
      </c>
      <c r="C176" s="2" t="s">
        <v>2834</v>
      </c>
      <c r="D176" s="2" t="s">
        <v>2835</v>
      </c>
      <c r="E176" s="2" t="s">
        <v>349</v>
      </c>
      <c r="F176" s="2" t="s">
        <v>2836</v>
      </c>
      <c r="G176" s="2">
        <v>62006705</v>
      </c>
      <c r="H176" s="2" t="s">
        <v>33</v>
      </c>
      <c r="I176" s="2" t="s">
        <v>1059</v>
      </c>
      <c r="J176" s="2" t="s">
        <v>872</v>
      </c>
      <c r="K176" s="2" t="s">
        <v>97</v>
      </c>
      <c r="L176" s="2" t="s">
        <v>98</v>
      </c>
      <c r="M176" s="2" t="s">
        <v>98</v>
      </c>
      <c r="N176" s="2" t="s">
        <v>334</v>
      </c>
      <c r="O176" s="2" t="s">
        <v>155</v>
      </c>
      <c r="P176" t="s">
        <v>2837</v>
      </c>
      <c r="Q176" s="2" t="s">
        <v>102</v>
      </c>
      <c r="R176" s="2" t="s">
        <v>926</v>
      </c>
      <c r="S176" s="2" t="s">
        <v>930</v>
      </c>
      <c r="T176" s="2" t="s">
        <v>157</v>
      </c>
      <c r="U176" s="158">
        <v>3.71</v>
      </c>
      <c r="V176" s="151">
        <v>1145.5309999999999</v>
      </c>
      <c r="W176" s="151">
        <v>4249.92</v>
      </c>
      <c r="X176" s="164">
        <v>2.444E-3</v>
      </c>
      <c r="Y176" s="164">
        <v>9.2256065620635007E-3</v>
      </c>
      <c r="Z176" s="164">
        <v>1.76052535662839E-3</v>
      </c>
    </row>
    <row r="177" spans="1:26">
      <c r="A177" s="2">
        <v>424</v>
      </c>
      <c r="B177" s="2">
        <v>7228</v>
      </c>
      <c r="C177" s="2" t="s">
        <v>2838</v>
      </c>
      <c r="D177" s="2" t="s">
        <v>2839</v>
      </c>
      <c r="E177" s="2" t="s">
        <v>349</v>
      </c>
      <c r="F177" s="2" t="s">
        <v>2840</v>
      </c>
      <c r="G177" s="2">
        <v>62017652</v>
      </c>
      <c r="H177" s="2" t="s">
        <v>33</v>
      </c>
      <c r="I177" s="2" t="s">
        <v>1059</v>
      </c>
      <c r="J177" s="2" t="s">
        <v>880</v>
      </c>
      <c r="K177" s="2" t="s">
        <v>97</v>
      </c>
      <c r="L177" s="2" t="s">
        <v>256</v>
      </c>
      <c r="M177" s="2" t="s">
        <v>98</v>
      </c>
      <c r="N177" s="2" t="s">
        <v>334</v>
      </c>
      <c r="O177" s="2" t="s">
        <v>155</v>
      </c>
      <c r="P177" t="s">
        <v>2841</v>
      </c>
      <c r="Q177" s="2" t="s">
        <v>102</v>
      </c>
      <c r="R177" s="2" t="s">
        <v>194</v>
      </c>
      <c r="S177" s="2" t="s">
        <v>930</v>
      </c>
      <c r="T177" s="2" t="s">
        <v>157</v>
      </c>
      <c r="U177" s="158">
        <v>3.71</v>
      </c>
      <c r="V177" s="151">
        <v>2110.4140000000002</v>
      </c>
      <c r="W177" s="151">
        <v>7829.6360000000004</v>
      </c>
      <c r="X177" s="164">
        <v>5.7399999999999997E-4</v>
      </c>
      <c r="Y177" s="164">
        <v>1.6996352037193001E-2</v>
      </c>
      <c r="Z177" s="164">
        <v>3.2434191215897799E-3</v>
      </c>
    </row>
    <row r="178" spans="1:26">
      <c r="A178" s="2">
        <v>424</v>
      </c>
      <c r="B178" s="2">
        <v>7228</v>
      </c>
      <c r="C178" s="2" t="s">
        <v>2842</v>
      </c>
      <c r="D178" s="2" t="s">
        <v>2843</v>
      </c>
      <c r="E178" s="2" t="s">
        <v>349</v>
      </c>
      <c r="F178" s="2" t="s">
        <v>2844</v>
      </c>
      <c r="G178" s="2">
        <v>62021142</v>
      </c>
      <c r="H178" s="2" t="s">
        <v>33</v>
      </c>
      <c r="I178" s="2" t="s">
        <v>1059</v>
      </c>
      <c r="J178" s="2" t="s">
        <v>880</v>
      </c>
      <c r="K178" s="2" t="s">
        <v>97</v>
      </c>
      <c r="L178" s="2" t="s">
        <v>256</v>
      </c>
      <c r="M178" s="2" t="s">
        <v>98</v>
      </c>
      <c r="N178" s="2" t="s">
        <v>334</v>
      </c>
      <c r="O178" s="2" t="s">
        <v>155</v>
      </c>
      <c r="P178" t="s">
        <v>2845</v>
      </c>
      <c r="Q178" s="2" t="s">
        <v>102</v>
      </c>
      <c r="R178" s="2" t="s">
        <v>926</v>
      </c>
      <c r="S178" s="2" t="s">
        <v>930</v>
      </c>
      <c r="T178" s="2" t="s">
        <v>157</v>
      </c>
      <c r="U178" s="158">
        <v>3.71</v>
      </c>
      <c r="V178" s="151">
        <v>2012.664</v>
      </c>
      <c r="W178" s="151">
        <v>7466.9849999999997</v>
      </c>
      <c r="X178" s="164">
        <v>4.8799999999999999E-4</v>
      </c>
      <c r="Y178" s="164">
        <v>1.6209120249959401E-2</v>
      </c>
      <c r="Z178" s="164">
        <v>3.0931914358929098E-3</v>
      </c>
    </row>
    <row r="179" spans="1:26">
      <c r="A179" s="2">
        <v>424</v>
      </c>
      <c r="B179" s="2">
        <v>7228</v>
      </c>
      <c r="C179" s="2" t="s">
        <v>2846</v>
      </c>
      <c r="D179" s="2" t="s">
        <v>2847</v>
      </c>
      <c r="E179" s="2" t="s">
        <v>349</v>
      </c>
      <c r="F179" s="2" t="s">
        <v>2848</v>
      </c>
      <c r="G179" s="2">
        <v>62020953</v>
      </c>
      <c r="H179" s="2" t="s">
        <v>33</v>
      </c>
      <c r="I179" s="2" t="s">
        <v>1059</v>
      </c>
      <c r="J179" s="2" t="s">
        <v>603</v>
      </c>
      <c r="K179" s="2" t="s">
        <v>97</v>
      </c>
      <c r="L179" s="2" t="s">
        <v>256</v>
      </c>
      <c r="M179" s="2" t="s">
        <v>30</v>
      </c>
      <c r="N179" s="2" t="s">
        <v>334</v>
      </c>
      <c r="O179" s="2" t="s">
        <v>155</v>
      </c>
      <c r="P179" t="s">
        <v>2849</v>
      </c>
      <c r="Q179" s="2" t="s">
        <v>102</v>
      </c>
      <c r="R179" s="2" t="s">
        <v>194</v>
      </c>
      <c r="S179" s="2" t="s">
        <v>930</v>
      </c>
      <c r="T179" s="2" t="s">
        <v>157</v>
      </c>
      <c r="U179" s="158">
        <v>3.71</v>
      </c>
      <c r="V179" s="151">
        <v>1002.314</v>
      </c>
      <c r="W179" s="151">
        <v>3718.5839999999998</v>
      </c>
      <c r="X179" s="164">
        <v>6.0000000000000001E-3</v>
      </c>
      <c r="Y179" s="164">
        <v>8.0721972849392993E-3</v>
      </c>
      <c r="Z179" s="164">
        <v>1.5404199071615101E-3</v>
      </c>
    </row>
    <row r="180" spans="1:26">
      <c r="A180" s="2">
        <v>424</v>
      </c>
      <c r="B180" s="2">
        <v>7228</v>
      </c>
      <c r="C180" s="2" t="s">
        <v>2850</v>
      </c>
      <c r="D180" s="2" t="s">
        <v>2851</v>
      </c>
      <c r="E180" s="2" t="s">
        <v>349</v>
      </c>
      <c r="F180" s="2" t="s">
        <v>2852</v>
      </c>
      <c r="G180" s="2">
        <v>62020425</v>
      </c>
      <c r="H180" s="2" t="s">
        <v>33</v>
      </c>
      <c r="I180" s="2" t="s">
        <v>1059</v>
      </c>
      <c r="J180" s="2" t="s">
        <v>883</v>
      </c>
      <c r="K180" s="2" t="s">
        <v>97</v>
      </c>
      <c r="L180" s="2" t="s">
        <v>98</v>
      </c>
      <c r="M180" s="2" t="s">
        <v>98</v>
      </c>
      <c r="N180" s="2" t="s">
        <v>98</v>
      </c>
      <c r="O180" s="2" t="s">
        <v>155</v>
      </c>
      <c r="P180" t="s">
        <v>2853</v>
      </c>
      <c r="Q180" s="2" t="s">
        <v>102</v>
      </c>
      <c r="R180" s="2" t="s">
        <v>926</v>
      </c>
      <c r="S180" s="2" t="s">
        <v>930</v>
      </c>
      <c r="T180" s="2" t="s">
        <v>157</v>
      </c>
      <c r="U180" s="158">
        <v>3.71</v>
      </c>
      <c r="V180" s="151">
        <v>4258.0140000000001</v>
      </c>
      <c r="W180" s="151">
        <v>15797.232</v>
      </c>
      <c r="X180" s="164">
        <v>1.147E-3</v>
      </c>
      <c r="Y180" s="164">
        <v>3.4292183145133E-2</v>
      </c>
      <c r="Z180" s="164">
        <v>6.5439879269735398E-3</v>
      </c>
    </row>
    <row r="181" spans="1:26">
      <c r="A181" s="2">
        <v>424</v>
      </c>
      <c r="B181" s="2">
        <v>7228</v>
      </c>
      <c r="C181" s="2" t="s">
        <v>2854</v>
      </c>
      <c r="D181" s="2" t="s">
        <v>2855</v>
      </c>
      <c r="E181" s="2" t="s">
        <v>349</v>
      </c>
      <c r="F181" s="2" t="s">
        <v>2856</v>
      </c>
      <c r="G181" s="2">
        <v>62021332</v>
      </c>
      <c r="H181" s="2" t="s">
        <v>33</v>
      </c>
      <c r="I181" s="2" t="s">
        <v>1059</v>
      </c>
      <c r="J181" s="2" t="s">
        <v>877</v>
      </c>
      <c r="K181" s="2" t="s">
        <v>97</v>
      </c>
      <c r="L181" s="2" t="s">
        <v>256</v>
      </c>
      <c r="M181" s="2" t="s">
        <v>98</v>
      </c>
      <c r="N181" s="2" t="s">
        <v>98</v>
      </c>
      <c r="O181" s="2" t="s">
        <v>155</v>
      </c>
      <c r="P181" t="s">
        <v>2857</v>
      </c>
      <c r="Q181" s="2" t="s">
        <v>102</v>
      </c>
      <c r="R181" s="2" t="s">
        <v>926</v>
      </c>
      <c r="S181" s="2" t="s">
        <v>930</v>
      </c>
      <c r="T181" s="2" t="s">
        <v>157</v>
      </c>
      <c r="U181" s="158">
        <v>3.71</v>
      </c>
      <c r="V181" s="151">
        <v>2902.4540000000002</v>
      </c>
      <c r="W181" s="151">
        <v>10768.103999999999</v>
      </c>
      <c r="X181" s="164">
        <v>0</v>
      </c>
      <c r="Y181" s="164">
        <v>2.3375095838764098E-2</v>
      </c>
      <c r="Z181" s="164">
        <v>4.4606767762008798E-3</v>
      </c>
    </row>
    <row r="182" spans="1:26">
      <c r="A182" s="2">
        <v>424</v>
      </c>
      <c r="B182" s="2">
        <v>7228</v>
      </c>
      <c r="C182" s="2" t="s">
        <v>2858</v>
      </c>
      <c r="D182" s="2" t="s">
        <v>2859</v>
      </c>
      <c r="E182" s="2" t="s">
        <v>349</v>
      </c>
      <c r="F182" s="2" t="s">
        <v>2860</v>
      </c>
      <c r="G182" s="2">
        <v>62021324</v>
      </c>
      <c r="H182" s="2" t="s">
        <v>33</v>
      </c>
      <c r="I182" s="2" t="s">
        <v>1059</v>
      </c>
      <c r="J182" s="2" t="s">
        <v>877</v>
      </c>
      <c r="K182" s="2" t="s">
        <v>97</v>
      </c>
      <c r="L182" s="2" t="s">
        <v>256</v>
      </c>
      <c r="M182" s="2" t="s">
        <v>98</v>
      </c>
      <c r="N182" s="2" t="s">
        <v>98</v>
      </c>
      <c r="O182" s="2" t="s">
        <v>155</v>
      </c>
      <c r="P182" t="s">
        <v>2857</v>
      </c>
      <c r="Q182" s="2" t="s">
        <v>102</v>
      </c>
      <c r="R182" s="2" t="s">
        <v>926</v>
      </c>
      <c r="S182" s="2" t="s">
        <v>930</v>
      </c>
      <c r="T182" s="2" t="s">
        <v>157</v>
      </c>
      <c r="U182" s="158">
        <v>3.71</v>
      </c>
      <c r="V182" s="151">
        <v>1264.039</v>
      </c>
      <c r="W182" s="151">
        <v>4689.5839999999998</v>
      </c>
      <c r="X182" s="164">
        <v>0</v>
      </c>
      <c r="Y182" s="164">
        <v>1.0180017162954901E-2</v>
      </c>
      <c r="Z182" s="164">
        <v>1.9426558270967101E-3</v>
      </c>
    </row>
    <row r="183" spans="1:26">
      <c r="A183" s="2">
        <v>424</v>
      </c>
      <c r="B183" s="2">
        <v>7228</v>
      </c>
      <c r="C183" s="2" t="s">
        <v>2861</v>
      </c>
      <c r="E183" s="2" t="s">
        <v>350</v>
      </c>
      <c r="F183" s="2" t="s">
        <v>2862</v>
      </c>
      <c r="G183" s="2">
        <v>62021894</v>
      </c>
      <c r="H183" s="2" t="s">
        <v>33</v>
      </c>
      <c r="I183" s="2" t="s">
        <v>1059</v>
      </c>
      <c r="J183" s="2" t="s">
        <v>603</v>
      </c>
      <c r="K183" s="2" t="s">
        <v>97</v>
      </c>
      <c r="L183" s="2" t="s">
        <v>291</v>
      </c>
      <c r="M183" s="2" t="s">
        <v>271</v>
      </c>
      <c r="N183" s="2" t="s">
        <v>334</v>
      </c>
      <c r="O183" s="2" t="s">
        <v>155</v>
      </c>
      <c r="P183" t="s">
        <v>2863</v>
      </c>
      <c r="Q183" s="2" t="s">
        <v>102</v>
      </c>
      <c r="R183" s="2" t="s">
        <v>194</v>
      </c>
      <c r="T183" s="2" t="s">
        <v>157</v>
      </c>
      <c r="U183" s="158">
        <v>3.71</v>
      </c>
      <c r="V183" s="151">
        <v>78.27</v>
      </c>
      <c r="W183" s="151">
        <v>290.38299999999998</v>
      </c>
      <c r="X183" s="164">
        <v>1.0399999999999999E-4</v>
      </c>
      <c r="Y183" s="164">
        <v>6.3035478824234896E-4</v>
      </c>
      <c r="Z183" s="164">
        <v>1.20290799407834E-4</v>
      </c>
    </row>
    <row r="184" spans="1:26">
      <c r="A184" s="2">
        <v>424</v>
      </c>
      <c r="B184" s="2">
        <v>7228</v>
      </c>
      <c r="C184" s="2" t="s">
        <v>2864</v>
      </c>
      <c r="D184" s="2" t="s">
        <v>2865</v>
      </c>
      <c r="E184" s="2" t="s">
        <v>350</v>
      </c>
      <c r="F184" s="2" t="s">
        <v>2866</v>
      </c>
      <c r="G184" s="2">
        <v>62021571</v>
      </c>
      <c r="H184" s="2" t="s">
        <v>33</v>
      </c>
      <c r="I184" s="2" t="s">
        <v>1059</v>
      </c>
      <c r="J184" s="2" t="s">
        <v>603</v>
      </c>
      <c r="K184" s="2" t="s">
        <v>97</v>
      </c>
      <c r="L184" s="2" t="s">
        <v>291</v>
      </c>
      <c r="M184" s="2" t="s">
        <v>271</v>
      </c>
      <c r="N184" s="2" t="s">
        <v>331</v>
      </c>
      <c r="O184" s="2" t="s">
        <v>155</v>
      </c>
      <c r="P184" t="s">
        <v>2867</v>
      </c>
      <c r="Q184" s="2" t="s">
        <v>1209</v>
      </c>
      <c r="R184" s="2" t="s">
        <v>194</v>
      </c>
      <c r="S184" s="2" t="s">
        <v>930</v>
      </c>
      <c r="T184" s="2" t="s">
        <v>157</v>
      </c>
      <c r="U184" s="158">
        <v>4.1524000000000001</v>
      </c>
      <c r="V184" s="151">
        <v>670.67</v>
      </c>
      <c r="W184" s="151">
        <v>2784.8919999999998</v>
      </c>
      <c r="X184" s="164">
        <v>2.6610000000000002E-3</v>
      </c>
      <c r="Y184" s="164">
        <v>6.0453644296632504E-3</v>
      </c>
      <c r="Z184" s="164">
        <v>1.1536387658505299E-3</v>
      </c>
    </row>
    <row r="185" spans="1:26">
      <c r="A185" s="2">
        <v>424</v>
      </c>
      <c r="B185" s="2">
        <v>7228</v>
      </c>
      <c r="C185" s="2" t="s">
        <v>2868</v>
      </c>
      <c r="D185" s="2" t="s">
        <v>2869</v>
      </c>
      <c r="E185" s="2" t="s">
        <v>349</v>
      </c>
      <c r="F185" s="2" t="s">
        <v>2870</v>
      </c>
      <c r="G185" s="2">
        <v>62019849</v>
      </c>
      <c r="H185" s="2" t="s">
        <v>33</v>
      </c>
      <c r="I185" s="2" t="s">
        <v>1059</v>
      </c>
      <c r="J185" s="2" t="s">
        <v>603</v>
      </c>
      <c r="K185" s="2" t="s">
        <v>97</v>
      </c>
      <c r="L185" s="2" t="s">
        <v>291</v>
      </c>
      <c r="M185" s="2" t="s">
        <v>271</v>
      </c>
      <c r="N185" s="2" t="s">
        <v>98</v>
      </c>
      <c r="O185" s="2" t="s">
        <v>155</v>
      </c>
      <c r="P185" t="s">
        <v>2871</v>
      </c>
      <c r="Q185" s="2" t="s">
        <v>102</v>
      </c>
      <c r="R185" s="2" t="s">
        <v>926</v>
      </c>
      <c r="S185" s="2" t="s">
        <v>930</v>
      </c>
      <c r="T185" s="2" t="s">
        <v>157</v>
      </c>
      <c r="U185" s="158">
        <v>3.71</v>
      </c>
      <c r="V185" s="151">
        <v>2188.2049999999999</v>
      </c>
      <c r="W185" s="151">
        <v>8118.241</v>
      </c>
      <c r="X185" s="164">
        <v>6.8630000000000002E-3</v>
      </c>
      <c r="Y185" s="164">
        <v>1.7622846634733999E-2</v>
      </c>
      <c r="Z185" s="164">
        <v>3.36297327961091E-3</v>
      </c>
    </row>
    <row r="186" spans="1:26">
      <c r="A186" s="2">
        <v>424</v>
      </c>
      <c r="B186" s="2">
        <v>7228</v>
      </c>
      <c r="C186" s="2" t="s">
        <v>2872</v>
      </c>
      <c r="D186" s="2" t="s">
        <v>2873</v>
      </c>
      <c r="E186" s="2" t="s">
        <v>349</v>
      </c>
      <c r="F186" s="2" t="s">
        <v>2874</v>
      </c>
      <c r="G186" s="2">
        <v>62021944</v>
      </c>
      <c r="H186" s="2" t="s">
        <v>33</v>
      </c>
      <c r="I186" s="2" t="s">
        <v>1059</v>
      </c>
      <c r="J186" s="2" t="s">
        <v>603</v>
      </c>
      <c r="K186" s="2" t="s">
        <v>97</v>
      </c>
      <c r="L186" s="2" t="s">
        <v>291</v>
      </c>
      <c r="M186" s="2" t="s">
        <v>271</v>
      </c>
      <c r="N186" s="2" t="s">
        <v>334</v>
      </c>
      <c r="O186" s="2" t="s">
        <v>155</v>
      </c>
      <c r="P186" t="s">
        <v>157</v>
      </c>
      <c r="Q186" s="2" t="s">
        <v>102</v>
      </c>
      <c r="R186" s="2" t="s">
        <v>194</v>
      </c>
      <c r="T186" s="2" t="s">
        <v>157</v>
      </c>
      <c r="U186" s="158">
        <v>3.71</v>
      </c>
      <c r="V186" s="151">
        <v>93.655000000000001</v>
      </c>
      <c r="W186" s="151">
        <v>347.46</v>
      </c>
      <c r="X186" s="164">
        <v>0</v>
      </c>
      <c r="Y186" s="164">
        <v>7.5425716299500805E-4</v>
      </c>
      <c r="Z186" s="164">
        <v>1.4393512794396601E-4</v>
      </c>
    </row>
    <row r="187" spans="1:26">
      <c r="A187" s="2">
        <v>424</v>
      </c>
      <c r="B187" s="2">
        <v>7228</v>
      </c>
      <c r="C187" s="2" t="s">
        <v>2875</v>
      </c>
      <c r="D187" s="2" t="s">
        <v>2876</v>
      </c>
      <c r="E187" s="2" t="s">
        <v>349</v>
      </c>
      <c r="F187" s="2" t="s">
        <v>2877</v>
      </c>
      <c r="G187" s="2">
        <v>62009204</v>
      </c>
      <c r="H187" s="2" t="s">
        <v>33</v>
      </c>
      <c r="I187" s="2" t="s">
        <v>1059</v>
      </c>
      <c r="J187" s="2" t="s">
        <v>867</v>
      </c>
      <c r="K187" s="2" t="s">
        <v>97</v>
      </c>
      <c r="L187" s="2" t="s">
        <v>291</v>
      </c>
      <c r="M187" s="2" t="s">
        <v>271</v>
      </c>
      <c r="N187" s="2" t="s">
        <v>334</v>
      </c>
      <c r="O187" s="2" t="s">
        <v>155</v>
      </c>
      <c r="P187" t="s">
        <v>2878</v>
      </c>
      <c r="Q187" s="2" t="s">
        <v>102</v>
      </c>
      <c r="R187" s="2" t="s">
        <v>194</v>
      </c>
      <c r="S187" s="2" t="s">
        <v>930</v>
      </c>
      <c r="T187" s="2" t="s">
        <v>157</v>
      </c>
      <c r="U187" s="158">
        <v>3.71</v>
      </c>
      <c r="V187" s="151">
        <v>1913.06</v>
      </c>
      <c r="W187" s="151">
        <v>7097.4539999999997</v>
      </c>
      <c r="X187" s="164">
        <v>1.8159999999999999E-3</v>
      </c>
      <c r="Y187" s="164">
        <v>1.54069529502441E-2</v>
      </c>
      <c r="Z187" s="164">
        <v>2.9401136017248898E-3</v>
      </c>
    </row>
    <row r="188" spans="1:26">
      <c r="A188" s="2">
        <v>424</v>
      </c>
      <c r="B188" s="2">
        <v>7228</v>
      </c>
      <c r="C188" s="2" t="s">
        <v>2879</v>
      </c>
      <c r="D188" s="2" t="s">
        <v>2880</v>
      </c>
      <c r="E188" s="2" t="s">
        <v>349</v>
      </c>
      <c r="F188" s="2" t="s">
        <v>2881</v>
      </c>
      <c r="G188" s="2">
        <v>62019807</v>
      </c>
      <c r="H188" s="2" t="s">
        <v>33</v>
      </c>
      <c r="I188" s="2" t="s">
        <v>1059</v>
      </c>
      <c r="J188" s="2" t="s">
        <v>867</v>
      </c>
      <c r="K188" s="2" t="s">
        <v>97</v>
      </c>
      <c r="L188" s="2" t="s">
        <v>291</v>
      </c>
      <c r="M188" s="2" t="s">
        <v>271</v>
      </c>
      <c r="N188" s="2" t="s">
        <v>334</v>
      </c>
      <c r="O188" s="2" t="s">
        <v>155</v>
      </c>
      <c r="P188" t="s">
        <v>2750</v>
      </c>
      <c r="Q188" s="2" t="s">
        <v>102</v>
      </c>
      <c r="R188" s="2" t="s">
        <v>926</v>
      </c>
      <c r="S188" s="2" t="s">
        <v>930</v>
      </c>
      <c r="T188" s="2" t="s">
        <v>157</v>
      </c>
      <c r="U188" s="158">
        <v>3.71</v>
      </c>
      <c r="V188" s="151">
        <v>2644.9340000000002</v>
      </c>
      <c r="W188" s="151">
        <v>9812.7049999999999</v>
      </c>
      <c r="X188" s="164">
        <v>1.467E-3</v>
      </c>
      <c r="Y188" s="164">
        <v>2.13011430511157E-2</v>
      </c>
      <c r="Z188" s="164">
        <v>4.06490372360622E-3</v>
      </c>
    </row>
    <row r="189" spans="1:26">
      <c r="A189" s="2">
        <v>424</v>
      </c>
      <c r="B189" s="2">
        <v>7228</v>
      </c>
      <c r="C189" s="2" t="s">
        <v>2882</v>
      </c>
      <c r="D189" s="2" t="s">
        <v>2876</v>
      </c>
      <c r="E189" s="2" t="s">
        <v>349</v>
      </c>
      <c r="F189" s="2" t="s">
        <v>2883</v>
      </c>
      <c r="G189" s="2">
        <v>62020615</v>
      </c>
      <c r="H189" s="2" t="s">
        <v>33</v>
      </c>
      <c r="I189" s="2" t="s">
        <v>1059</v>
      </c>
      <c r="J189" s="2" t="s">
        <v>872</v>
      </c>
      <c r="K189" s="2" t="s">
        <v>97</v>
      </c>
      <c r="L189" s="2" t="s">
        <v>291</v>
      </c>
      <c r="M189" s="2" t="s">
        <v>271</v>
      </c>
      <c r="N189" s="2" t="s">
        <v>334</v>
      </c>
      <c r="O189" s="2" t="s">
        <v>155</v>
      </c>
      <c r="P189" t="s">
        <v>2884</v>
      </c>
      <c r="Q189" s="2" t="s">
        <v>102</v>
      </c>
      <c r="R189" s="2" t="s">
        <v>926</v>
      </c>
      <c r="S189" s="2" t="s">
        <v>930</v>
      </c>
      <c r="T189" s="2" t="s">
        <v>157</v>
      </c>
      <c r="U189" s="158">
        <v>3.71</v>
      </c>
      <c r="V189" s="151">
        <v>1585.088</v>
      </c>
      <c r="W189" s="151">
        <v>5880.6769999999997</v>
      </c>
      <c r="X189" s="164">
        <v>0</v>
      </c>
      <c r="Y189" s="164">
        <v>1.2765606761260101E-2</v>
      </c>
      <c r="Z189" s="164">
        <v>2.4360646906796402E-3</v>
      </c>
    </row>
    <row r="190" spans="1:26">
      <c r="A190" s="2">
        <v>424</v>
      </c>
      <c r="B190" s="2">
        <v>7228</v>
      </c>
      <c r="C190" s="2" t="s">
        <v>2885</v>
      </c>
      <c r="D190" s="2" t="s">
        <v>2886</v>
      </c>
      <c r="E190" s="2" t="s">
        <v>349</v>
      </c>
      <c r="F190" s="2" t="s">
        <v>2887</v>
      </c>
      <c r="G190" s="2">
        <v>62020813</v>
      </c>
      <c r="H190" s="2" t="s">
        <v>33</v>
      </c>
      <c r="I190" s="2" t="s">
        <v>1059</v>
      </c>
      <c r="J190" s="2" t="s">
        <v>887</v>
      </c>
      <c r="K190" s="2" t="s">
        <v>97</v>
      </c>
      <c r="L190" s="2" t="s">
        <v>291</v>
      </c>
      <c r="M190" s="2" t="s">
        <v>271</v>
      </c>
      <c r="N190" s="2" t="s">
        <v>334</v>
      </c>
      <c r="O190" s="2" t="s">
        <v>155</v>
      </c>
      <c r="P190" t="s">
        <v>2888</v>
      </c>
      <c r="Q190" s="2" t="s">
        <v>102</v>
      </c>
      <c r="R190" s="2" t="s">
        <v>194</v>
      </c>
      <c r="S190" s="2" t="s">
        <v>930</v>
      </c>
      <c r="T190" s="2" t="s">
        <v>157</v>
      </c>
      <c r="U190" s="158">
        <v>3.71</v>
      </c>
      <c r="V190" s="151">
        <v>1071.2819999999999</v>
      </c>
      <c r="W190" s="151">
        <v>3974.4549999999999</v>
      </c>
      <c r="X190" s="164">
        <v>4.4200000000000001E-4</v>
      </c>
      <c r="Y190" s="164">
        <v>8.6276347434393105E-3</v>
      </c>
      <c r="Z190" s="164">
        <v>1.6464142093390601E-3</v>
      </c>
    </row>
    <row r="191" spans="1:26">
      <c r="A191" s="2">
        <v>424</v>
      </c>
      <c r="B191" s="2">
        <v>7228</v>
      </c>
      <c r="C191" s="2" t="s">
        <v>2889</v>
      </c>
      <c r="D191" s="2" t="s">
        <v>2890</v>
      </c>
      <c r="E191" s="2" t="s">
        <v>349</v>
      </c>
      <c r="F191" s="2" t="s">
        <v>2891</v>
      </c>
      <c r="G191" s="2">
        <v>62010137</v>
      </c>
      <c r="H191" s="2" t="s">
        <v>33</v>
      </c>
      <c r="I191" s="2" t="s">
        <v>1059</v>
      </c>
      <c r="J191" s="2" t="s">
        <v>887</v>
      </c>
      <c r="K191" s="2" t="s">
        <v>97</v>
      </c>
      <c r="L191" s="2" t="s">
        <v>291</v>
      </c>
      <c r="M191" s="2" t="s">
        <v>271</v>
      </c>
      <c r="N191" s="2" t="s">
        <v>334</v>
      </c>
      <c r="O191" s="2" t="s">
        <v>155</v>
      </c>
      <c r="P191" t="s">
        <v>2892</v>
      </c>
      <c r="Q191" s="2" t="s">
        <v>102</v>
      </c>
      <c r="R191" s="2" t="s">
        <v>926</v>
      </c>
      <c r="S191" s="2" t="s">
        <v>930</v>
      </c>
      <c r="T191" s="2" t="s">
        <v>157</v>
      </c>
      <c r="U191" s="158">
        <v>3.71</v>
      </c>
      <c r="V191" s="151">
        <v>1308.866</v>
      </c>
      <c r="W191" s="151">
        <v>4855.8940000000002</v>
      </c>
      <c r="X191" s="164">
        <v>5.4199999999999995E-4</v>
      </c>
      <c r="Y191" s="164">
        <v>1.05410365894311E-2</v>
      </c>
      <c r="Z191" s="164">
        <v>2.01154927602834E-3</v>
      </c>
    </row>
    <row r="192" spans="1:26">
      <c r="A192" s="2">
        <v>424</v>
      </c>
      <c r="B192" s="2">
        <v>7228</v>
      </c>
      <c r="C192" s="2" t="s">
        <v>2893</v>
      </c>
      <c r="D192" s="2" t="s">
        <v>2894</v>
      </c>
      <c r="E192" s="2" t="s">
        <v>33</v>
      </c>
      <c r="F192" s="2" t="s">
        <v>2895</v>
      </c>
      <c r="G192" s="2">
        <v>62006366</v>
      </c>
      <c r="H192" s="2" t="s">
        <v>33</v>
      </c>
      <c r="I192" s="2" t="s">
        <v>1059</v>
      </c>
      <c r="J192" s="2" t="s">
        <v>886</v>
      </c>
      <c r="K192" s="2" t="s">
        <v>97</v>
      </c>
      <c r="L192" s="2" t="s">
        <v>30</v>
      </c>
      <c r="M192" s="2" t="s">
        <v>30</v>
      </c>
      <c r="N192" s="2" t="s">
        <v>98</v>
      </c>
      <c r="O192" s="2" t="s">
        <v>155</v>
      </c>
      <c r="P192" t="s">
        <v>2896</v>
      </c>
      <c r="Q192" s="2" t="s">
        <v>102</v>
      </c>
      <c r="R192" s="2" t="s">
        <v>926</v>
      </c>
      <c r="S192" s="2" t="s">
        <v>930</v>
      </c>
      <c r="T192" s="2" t="s">
        <v>157</v>
      </c>
      <c r="U192" s="158">
        <v>3.71</v>
      </c>
      <c r="V192" s="151">
        <v>245.72900000000001</v>
      </c>
      <c r="W192" s="151">
        <v>911.65499999999997</v>
      </c>
      <c r="X192" s="164">
        <v>1.82E-3</v>
      </c>
      <c r="Y192" s="164">
        <v>1.97899493680973E-3</v>
      </c>
      <c r="Z192" s="164">
        <v>3.7765221651870002E-4</v>
      </c>
    </row>
    <row r="193" spans="1:26">
      <c r="A193" s="2">
        <v>424</v>
      </c>
      <c r="B193" s="2">
        <v>7228</v>
      </c>
      <c r="C193" s="2" t="s">
        <v>2897</v>
      </c>
      <c r="D193" s="2" t="s">
        <v>2898</v>
      </c>
      <c r="E193" s="2" t="s">
        <v>349</v>
      </c>
      <c r="F193" s="2" t="s">
        <v>2899</v>
      </c>
      <c r="G193" s="2">
        <v>62018387</v>
      </c>
      <c r="H193" s="2" t="s">
        <v>33</v>
      </c>
      <c r="I193" s="2" t="s">
        <v>1059</v>
      </c>
      <c r="J193" s="2" t="s">
        <v>885</v>
      </c>
      <c r="K193" s="2" t="s">
        <v>97</v>
      </c>
      <c r="L193" s="2" t="s">
        <v>256</v>
      </c>
      <c r="M193" s="2" t="s">
        <v>327</v>
      </c>
      <c r="N193" s="2" t="s">
        <v>98</v>
      </c>
      <c r="O193" s="2" t="s">
        <v>155</v>
      </c>
      <c r="P193" t="s">
        <v>2900</v>
      </c>
      <c r="Q193" s="2" t="s">
        <v>102</v>
      </c>
      <c r="R193" s="2" t="s">
        <v>926</v>
      </c>
      <c r="S193" s="2" t="s">
        <v>930</v>
      </c>
      <c r="T193" s="2" t="s">
        <v>157</v>
      </c>
      <c r="U193" s="158">
        <v>3.71</v>
      </c>
      <c r="V193" s="151">
        <v>996.38699999999994</v>
      </c>
      <c r="W193" s="151">
        <v>3696.5949999999998</v>
      </c>
      <c r="X193" s="164">
        <v>4.57E-4</v>
      </c>
      <c r="Y193" s="164">
        <v>8.0244640425114304E-3</v>
      </c>
      <c r="Z193" s="164">
        <v>1.5313109577300601E-3</v>
      </c>
    </row>
    <row r="194" spans="1:26">
      <c r="A194" s="2">
        <v>424</v>
      </c>
      <c r="B194" s="2">
        <v>7228</v>
      </c>
      <c r="C194" s="2" t="s">
        <v>2901</v>
      </c>
      <c r="D194" s="2" t="s">
        <v>2902</v>
      </c>
      <c r="E194" s="2" t="s">
        <v>350</v>
      </c>
      <c r="F194" s="2" t="s">
        <v>2903</v>
      </c>
      <c r="G194" s="2">
        <v>62018551</v>
      </c>
      <c r="H194" s="2" t="s">
        <v>33</v>
      </c>
      <c r="I194" s="2" t="s">
        <v>1059</v>
      </c>
      <c r="J194" s="2" t="s">
        <v>885</v>
      </c>
      <c r="K194" s="2" t="s">
        <v>97</v>
      </c>
      <c r="L194" s="2" t="s">
        <v>291</v>
      </c>
      <c r="M194" s="2" t="s">
        <v>325</v>
      </c>
      <c r="N194" s="2" t="s">
        <v>327</v>
      </c>
      <c r="O194" s="2" t="s">
        <v>155</v>
      </c>
      <c r="P194" t="s">
        <v>2904</v>
      </c>
      <c r="Q194" s="2" t="s">
        <v>102</v>
      </c>
      <c r="R194" s="2" t="s">
        <v>926</v>
      </c>
      <c r="S194" s="2" t="s">
        <v>930</v>
      </c>
      <c r="T194" s="2" t="s">
        <v>157</v>
      </c>
      <c r="U194" s="158">
        <v>3.71</v>
      </c>
      <c r="V194" s="151">
        <v>1849.09</v>
      </c>
      <c r="W194" s="151">
        <v>6860.1229999999996</v>
      </c>
      <c r="X194" s="164">
        <v>7.1999999999999998E-3</v>
      </c>
      <c r="Y194" s="164">
        <v>1.48917614284637E-2</v>
      </c>
      <c r="Z194" s="164">
        <v>2.8417994441123102E-3</v>
      </c>
    </row>
    <row r="195" spans="1:26">
      <c r="A195" s="2">
        <v>424</v>
      </c>
      <c r="B195" s="2">
        <v>7228</v>
      </c>
      <c r="C195" s="2" t="s">
        <v>2905</v>
      </c>
      <c r="D195" s="2" t="s">
        <v>2906</v>
      </c>
      <c r="E195" s="2" t="s">
        <v>350</v>
      </c>
      <c r="F195" s="2" t="s">
        <v>2907</v>
      </c>
      <c r="G195" s="2">
        <v>62020169</v>
      </c>
      <c r="H195" s="2" t="s">
        <v>33</v>
      </c>
      <c r="I195" s="2" t="s">
        <v>1059</v>
      </c>
      <c r="J195" s="2" t="s">
        <v>887</v>
      </c>
      <c r="K195" s="2" t="s">
        <v>97</v>
      </c>
      <c r="L195" s="2" t="s">
        <v>291</v>
      </c>
      <c r="M195" s="2" t="s">
        <v>325</v>
      </c>
      <c r="N195" s="2" t="s">
        <v>334</v>
      </c>
      <c r="O195" s="2" t="s">
        <v>155</v>
      </c>
      <c r="P195" t="s">
        <v>2908</v>
      </c>
      <c r="Q195" s="2" t="s">
        <v>102</v>
      </c>
      <c r="R195" s="2" t="s">
        <v>926</v>
      </c>
      <c r="S195" s="2" t="s">
        <v>930</v>
      </c>
      <c r="T195" s="2" t="s">
        <v>157</v>
      </c>
      <c r="U195" s="158">
        <v>3.71</v>
      </c>
      <c r="V195" s="151">
        <v>2123.355</v>
      </c>
      <c r="W195" s="151">
        <v>7877.6490000000003</v>
      </c>
      <c r="X195" s="164">
        <v>5.8329999999999996E-3</v>
      </c>
      <c r="Y195" s="164">
        <v>1.7100577186566601E-2</v>
      </c>
      <c r="Z195" s="164">
        <v>3.26330843911447E-3</v>
      </c>
    </row>
    <row r="196" spans="1:26">
      <c r="A196" s="2">
        <v>424</v>
      </c>
      <c r="B196" s="2">
        <v>7228</v>
      </c>
      <c r="C196" s="2" t="s">
        <v>2072</v>
      </c>
      <c r="D196" s="2" t="s">
        <v>2073</v>
      </c>
      <c r="E196" s="2" t="s">
        <v>350</v>
      </c>
      <c r="F196" s="2" t="s">
        <v>2909</v>
      </c>
      <c r="G196" s="2">
        <v>62021852</v>
      </c>
      <c r="H196" s="2" t="s">
        <v>33</v>
      </c>
      <c r="I196" s="2" t="s">
        <v>1059</v>
      </c>
      <c r="J196" s="2" t="s">
        <v>603</v>
      </c>
      <c r="K196" s="2" t="s">
        <v>97</v>
      </c>
      <c r="L196" s="2" t="s">
        <v>291</v>
      </c>
      <c r="M196" s="2" t="s">
        <v>319</v>
      </c>
      <c r="N196" s="2" t="s">
        <v>331</v>
      </c>
      <c r="O196" s="2" t="s">
        <v>155</v>
      </c>
      <c r="P196" t="s">
        <v>2818</v>
      </c>
      <c r="Q196" s="2" t="s">
        <v>1209</v>
      </c>
      <c r="R196" s="2" t="s">
        <v>194</v>
      </c>
      <c r="T196" s="2" t="s">
        <v>157</v>
      </c>
      <c r="U196" s="158">
        <v>4.1524000000000001</v>
      </c>
      <c r="V196" s="151">
        <v>700</v>
      </c>
      <c r="W196" s="151">
        <v>2906.68</v>
      </c>
      <c r="X196" s="164">
        <v>0</v>
      </c>
      <c r="Y196" s="164">
        <v>6.3097386410685104E-3</v>
      </c>
      <c r="Z196" s="164">
        <v>1.20408937846732E-3</v>
      </c>
    </row>
    <row r="197" spans="1:26">
      <c r="A197" s="2">
        <v>424</v>
      </c>
      <c r="B197" s="2">
        <v>7228</v>
      </c>
      <c r="C197" s="2" t="s">
        <v>2910</v>
      </c>
      <c r="D197" s="2" t="s">
        <v>2911</v>
      </c>
      <c r="E197" s="2" t="s">
        <v>194</v>
      </c>
      <c r="F197" s="2" t="s">
        <v>2912</v>
      </c>
      <c r="G197" s="2">
        <v>62020995</v>
      </c>
      <c r="H197" s="2" t="s">
        <v>33</v>
      </c>
      <c r="I197" s="2" t="s">
        <v>1059</v>
      </c>
      <c r="J197" s="2" t="s">
        <v>866</v>
      </c>
      <c r="K197" s="2" t="s">
        <v>97</v>
      </c>
      <c r="L197" s="2" t="s">
        <v>98</v>
      </c>
      <c r="M197" s="2" t="s">
        <v>30</v>
      </c>
      <c r="N197" s="2" t="s">
        <v>98</v>
      </c>
      <c r="O197" s="2" t="s">
        <v>155</v>
      </c>
      <c r="P197" t="s">
        <v>2913</v>
      </c>
      <c r="Q197" s="2" t="s">
        <v>102</v>
      </c>
      <c r="R197" s="2" t="s">
        <v>926</v>
      </c>
      <c r="S197" s="2" t="s">
        <v>930</v>
      </c>
      <c r="T197" s="2" t="s">
        <v>157</v>
      </c>
      <c r="U197" s="158">
        <v>3.71</v>
      </c>
      <c r="V197" s="151">
        <v>234.14599999999999</v>
      </c>
      <c r="W197" s="151">
        <v>868.68200000000002</v>
      </c>
      <c r="X197" s="164">
        <v>1.3799999999999999E-4</v>
      </c>
      <c r="Y197" s="164">
        <v>1.8857095507209399E-3</v>
      </c>
      <c r="Z197" s="164">
        <v>3.5985053740878402E-4</v>
      </c>
    </row>
    <row r="198" spans="1:26">
      <c r="A198" s="2">
        <v>424</v>
      </c>
      <c r="B198" s="2">
        <v>7229</v>
      </c>
      <c r="C198" s="2" t="s">
        <v>2636</v>
      </c>
      <c r="D198" s="2" t="s">
        <v>2637</v>
      </c>
      <c r="E198" s="2" t="s">
        <v>33</v>
      </c>
      <c r="F198" s="2" t="s">
        <v>2638</v>
      </c>
      <c r="G198" s="2">
        <v>77419109</v>
      </c>
      <c r="H198" s="2" t="s">
        <v>33</v>
      </c>
      <c r="I198" s="2" t="s">
        <v>1061</v>
      </c>
      <c r="J198" s="2" t="s">
        <v>603</v>
      </c>
      <c r="K198" s="2" t="s">
        <v>30</v>
      </c>
      <c r="L198" s="2" t="s">
        <v>256</v>
      </c>
      <c r="M198" s="2" t="s">
        <v>30</v>
      </c>
      <c r="N198" s="2" t="s">
        <v>30</v>
      </c>
      <c r="O198" s="2" t="s">
        <v>155</v>
      </c>
      <c r="P198" t="s">
        <v>2639</v>
      </c>
      <c r="Q198" s="2" t="s">
        <v>102</v>
      </c>
      <c r="R198" s="2" t="s">
        <v>194</v>
      </c>
      <c r="S198" s="2" t="s">
        <v>930</v>
      </c>
      <c r="T198" s="2" t="s">
        <v>157</v>
      </c>
      <c r="U198" s="158">
        <v>3.71</v>
      </c>
      <c r="V198" s="151">
        <v>391.00099999999998</v>
      </c>
      <c r="W198" s="151">
        <v>1450.615</v>
      </c>
      <c r="X198" s="164">
        <v>0</v>
      </c>
      <c r="Y198" s="164">
        <v>9.2993700727322298E-2</v>
      </c>
      <c r="Z198" s="164">
        <v>9.9583793282559604E-3</v>
      </c>
    </row>
    <row r="199" spans="1:26">
      <c r="A199" s="2">
        <v>424</v>
      </c>
      <c r="B199" s="2">
        <v>7229</v>
      </c>
      <c r="C199" s="2" t="s">
        <v>2644</v>
      </c>
      <c r="D199" s="2" t="s">
        <v>2645</v>
      </c>
      <c r="E199" s="2" t="s">
        <v>33</v>
      </c>
      <c r="F199" s="2" t="s">
        <v>2646</v>
      </c>
      <c r="G199" s="2">
        <v>62017538</v>
      </c>
      <c r="H199" s="2" t="s">
        <v>33</v>
      </c>
      <c r="I199" s="2" t="s">
        <v>1059</v>
      </c>
      <c r="J199" s="2" t="s">
        <v>872</v>
      </c>
      <c r="K199" s="2" t="s">
        <v>30</v>
      </c>
      <c r="L199" s="2" t="s">
        <v>30</v>
      </c>
      <c r="M199" s="2" t="s">
        <v>30</v>
      </c>
      <c r="N199" s="2" t="s">
        <v>30</v>
      </c>
      <c r="O199" s="2" t="s">
        <v>155</v>
      </c>
      <c r="P199" t="s">
        <v>2647</v>
      </c>
      <c r="Q199" s="2" t="s">
        <v>102</v>
      </c>
      <c r="R199" s="2" t="s">
        <v>194</v>
      </c>
      <c r="S199" s="2" t="s">
        <v>930</v>
      </c>
      <c r="T199" s="2" t="s">
        <v>157</v>
      </c>
      <c r="U199" s="158">
        <v>3.71</v>
      </c>
      <c r="V199" s="151">
        <v>198.85300000000001</v>
      </c>
      <c r="W199" s="151">
        <v>737.74599999999998</v>
      </c>
      <c r="X199" s="164">
        <v>8.3000000000000001E-4</v>
      </c>
      <c r="Y199" s="164">
        <v>4.7294256416596701E-2</v>
      </c>
      <c r="Z199" s="164">
        <v>5.0645811679790199E-3</v>
      </c>
    </row>
    <row r="200" spans="1:26">
      <c r="A200" s="2">
        <v>424</v>
      </c>
      <c r="B200" s="2">
        <v>7229</v>
      </c>
      <c r="C200" s="2" t="s">
        <v>2648</v>
      </c>
      <c r="D200" s="2" t="s">
        <v>2649</v>
      </c>
      <c r="E200" s="2" t="s">
        <v>33</v>
      </c>
      <c r="F200" s="2" t="s">
        <v>2650</v>
      </c>
      <c r="G200" s="2">
        <v>62001189</v>
      </c>
      <c r="H200" s="2" t="s">
        <v>33</v>
      </c>
      <c r="I200" s="2" t="s">
        <v>1059</v>
      </c>
      <c r="J200" s="2" t="s">
        <v>887</v>
      </c>
      <c r="K200" s="2" t="s">
        <v>30</v>
      </c>
      <c r="L200" s="2" t="s">
        <v>256</v>
      </c>
      <c r="M200" s="2" t="s">
        <v>30</v>
      </c>
      <c r="N200" s="2" t="s">
        <v>30</v>
      </c>
      <c r="O200" s="2" t="s">
        <v>155</v>
      </c>
      <c r="P200" t="s">
        <v>2978</v>
      </c>
      <c r="Q200" s="2" t="s">
        <v>102</v>
      </c>
      <c r="R200" s="2" t="s">
        <v>926</v>
      </c>
      <c r="S200" s="2" t="s">
        <v>930</v>
      </c>
      <c r="T200" s="2" t="s">
        <v>157</v>
      </c>
      <c r="U200" s="158">
        <v>3.71</v>
      </c>
      <c r="V200" s="151">
        <v>63.795999999999999</v>
      </c>
      <c r="W200" s="151">
        <v>236.684</v>
      </c>
      <c r="X200" s="164">
        <v>6.5499999999999998E-4</v>
      </c>
      <c r="Y200" s="164">
        <v>1.51729586074674E-2</v>
      </c>
      <c r="Z200" s="164">
        <v>1.6248205648696501E-3</v>
      </c>
    </row>
    <row r="201" spans="1:26">
      <c r="A201" s="2">
        <v>424</v>
      </c>
      <c r="B201" s="2">
        <v>7229</v>
      </c>
      <c r="C201" s="2" t="s">
        <v>2655</v>
      </c>
      <c r="D201" s="2" t="s">
        <v>2656</v>
      </c>
      <c r="E201" s="2" t="s">
        <v>349</v>
      </c>
      <c r="F201" s="2" t="s">
        <v>2657</v>
      </c>
      <c r="G201" s="2">
        <v>50000983</v>
      </c>
      <c r="H201" s="2" t="s">
        <v>33</v>
      </c>
      <c r="I201" s="2" t="s">
        <v>1059</v>
      </c>
      <c r="J201" s="2" t="s">
        <v>879</v>
      </c>
      <c r="K201" s="2" t="s">
        <v>97</v>
      </c>
      <c r="L201" s="2" t="s">
        <v>256</v>
      </c>
      <c r="M201" s="2" t="s">
        <v>30</v>
      </c>
      <c r="N201" s="2" t="s">
        <v>334</v>
      </c>
      <c r="O201" s="2" t="s">
        <v>155</v>
      </c>
      <c r="P201" t="s">
        <v>2658</v>
      </c>
      <c r="Q201" s="2" t="s">
        <v>34</v>
      </c>
      <c r="R201" s="2" t="s">
        <v>926</v>
      </c>
      <c r="S201" s="2" t="s">
        <v>930</v>
      </c>
      <c r="T201" s="2" t="s">
        <v>157</v>
      </c>
      <c r="U201" s="158">
        <v>1</v>
      </c>
      <c r="V201" s="151">
        <v>263.565</v>
      </c>
      <c r="W201" s="151">
        <v>263.565</v>
      </c>
      <c r="X201" s="164">
        <v>1.5200000000000001E-4</v>
      </c>
      <c r="Y201" s="164">
        <v>1.68962103928245E-2</v>
      </c>
      <c r="Z201" s="164">
        <v>1.80935774128549E-3</v>
      </c>
    </row>
    <row r="202" spans="1:26">
      <c r="A202" s="2">
        <v>424</v>
      </c>
      <c r="B202" s="2">
        <v>7229</v>
      </c>
      <c r="C202" s="2" t="s">
        <v>2663</v>
      </c>
      <c r="D202" s="2" t="s">
        <v>2664</v>
      </c>
      <c r="E202" s="2" t="s">
        <v>347</v>
      </c>
      <c r="F202" s="2" t="s">
        <v>2667</v>
      </c>
      <c r="G202" s="2">
        <v>62002785</v>
      </c>
      <c r="H202" s="2" t="s">
        <v>33</v>
      </c>
      <c r="I202" s="2" t="s">
        <v>1059</v>
      </c>
      <c r="J202" s="2" t="s">
        <v>885</v>
      </c>
      <c r="K202" s="2" t="s">
        <v>30</v>
      </c>
      <c r="L202" s="2" t="s">
        <v>256</v>
      </c>
      <c r="M202" s="2" t="s">
        <v>30</v>
      </c>
      <c r="N202" s="2" t="s">
        <v>30</v>
      </c>
      <c r="O202" s="2" t="s">
        <v>155</v>
      </c>
      <c r="P202" t="s">
        <v>2979</v>
      </c>
      <c r="Q202" s="2" t="s">
        <v>102</v>
      </c>
      <c r="R202" s="2" t="s">
        <v>926</v>
      </c>
      <c r="S202" s="2" t="s">
        <v>930</v>
      </c>
      <c r="T202" s="2" t="s">
        <v>157</v>
      </c>
      <c r="U202" s="158">
        <v>3.71</v>
      </c>
      <c r="V202" s="151">
        <v>52.006</v>
      </c>
      <c r="W202" s="151">
        <v>192.94399999999999</v>
      </c>
      <c r="X202" s="164">
        <v>4.0700000000000003E-4</v>
      </c>
      <c r="Y202" s="164">
        <v>1.23689276213188E-2</v>
      </c>
      <c r="Z202" s="164">
        <v>1.32454641737519E-3</v>
      </c>
    </row>
    <row r="203" spans="1:26">
      <c r="A203" s="2">
        <v>424</v>
      </c>
      <c r="B203" s="2">
        <v>7229</v>
      </c>
      <c r="C203" s="2" t="s">
        <v>2673</v>
      </c>
      <c r="D203" s="2" t="s">
        <v>2674</v>
      </c>
      <c r="E203" s="2" t="s">
        <v>33</v>
      </c>
      <c r="F203" s="2" t="s">
        <v>2675</v>
      </c>
      <c r="G203" s="2">
        <v>62013487</v>
      </c>
      <c r="H203" s="2" t="s">
        <v>33</v>
      </c>
      <c r="I203" s="2" t="s">
        <v>1059</v>
      </c>
      <c r="J203" s="2" t="s">
        <v>867</v>
      </c>
      <c r="K203" s="2" t="s">
        <v>30</v>
      </c>
      <c r="L203" s="2" t="s">
        <v>30</v>
      </c>
      <c r="M203" s="2" t="s">
        <v>30</v>
      </c>
      <c r="N203" s="2" t="s">
        <v>30</v>
      </c>
      <c r="O203" s="2" t="s">
        <v>155</v>
      </c>
      <c r="P203" t="s">
        <v>2676</v>
      </c>
      <c r="Q203" s="2" t="s">
        <v>102</v>
      </c>
      <c r="R203" s="2" t="s">
        <v>926</v>
      </c>
      <c r="S203" s="2" t="s">
        <v>930</v>
      </c>
      <c r="T203" s="2" t="s">
        <v>157</v>
      </c>
      <c r="U203" s="158">
        <v>3.71</v>
      </c>
      <c r="V203" s="151">
        <v>43.944000000000003</v>
      </c>
      <c r="W203" s="151">
        <v>163.03299999999999</v>
      </c>
      <c r="X203" s="164">
        <v>6.6670000000000002E-3</v>
      </c>
      <c r="Y203" s="164">
        <v>1.04514837355545E-2</v>
      </c>
      <c r="Z203" s="164">
        <v>1.11921386897952E-3</v>
      </c>
    </row>
    <row r="204" spans="1:26">
      <c r="A204" s="2">
        <v>424</v>
      </c>
      <c r="B204" s="2">
        <v>7229</v>
      </c>
      <c r="C204" s="2" t="s">
        <v>2723</v>
      </c>
      <c r="D204" s="2" t="s">
        <v>2724</v>
      </c>
      <c r="E204" s="2" t="s">
        <v>1342</v>
      </c>
      <c r="F204" s="2" t="s">
        <v>2725</v>
      </c>
      <c r="G204" s="2">
        <v>50007004</v>
      </c>
      <c r="H204" s="2" t="s">
        <v>33</v>
      </c>
      <c r="I204" s="2" t="s">
        <v>1059</v>
      </c>
      <c r="J204" s="2" t="s">
        <v>870</v>
      </c>
      <c r="K204" s="2" t="s">
        <v>30</v>
      </c>
      <c r="L204" s="2" t="s">
        <v>30</v>
      </c>
      <c r="M204" s="2" t="s">
        <v>30</v>
      </c>
      <c r="N204" s="2" t="s">
        <v>30</v>
      </c>
      <c r="O204" s="2" t="s">
        <v>155</v>
      </c>
      <c r="P204" t="s">
        <v>2726</v>
      </c>
      <c r="Q204" s="2" t="s">
        <v>34</v>
      </c>
      <c r="R204" s="2" t="s">
        <v>926</v>
      </c>
      <c r="S204" s="2" t="s">
        <v>930</v>
      </c>
      <c r="T204" s="2" t="s">
        <v>157</v>
      </c>
      <c r="U204" s="158">
        <v>1</v>
      </c>
      <c r="V204" s="151">
        <v>547.42499999999995</v>
      </c>
      <c r="W204" s="151">
        <v>547.42499999999995</v>
      </c>
      <c r="X204" s="164">
        <v>0</v>
      </c>
      <c r="Y204" s="164">
        <v>3.5093455361583203E-2</v>
      </c>
      <c r="Z204" s="164">
        <v>3.7580388531326101E-3</v>
      </c>
    </row>
    <row r="205" spans="1:26">
      <c r="A205" s="2">
        <v>424</v>
      </c>
      <c r="B205" s="2">
        <v>7229</v>
      </c>
      <c r="C205" s="2" t="s">
        <v>2727</v>
      </c>
      <c r="D205" s="2" t="s">
        <v>2728</v>
      </c>
      <c r="E205" s="2" t="s">
        <v>1342</v>
      </c>
      <c r="F205" s="2" t="s">
        <v>2727</v>
      </c>
      <c r="G205" s="2">
        <v>50007350</v>
      </c>
      <c r="H205" s="2" t="s">
        <v>33</v>
      </c>
      <c r="I205" s="2" t="s">
        <v>1059</v>
      </c>
      <c r="J205" s="2" t="s">
        <v>878</v>
      </c>
      <c r="K205" s="2" t="s">
        <v>30</v>
      </c>
      <c r="L205" s="2" t="s">
        <v>30</v>
      </c>
      <c r="M205" s="2" t="s">
        <v>30</v>
      </c>
      <c r="N205" s="2" t="s">
        <v>30</v>
      </c>
      <c r="O205" s="2" t="s">
        <v>155</v>
      </c>
      <c r="P205" t="s">
        <v>2729</v>
      </c>
      <c r="Q205" s="2" t="s">
        <v>34</v>
      </c>
      <c r="R205" s="2" t="s">
        <v>194</v>
      </c>
      <c r="S205" s="2" t="s">
        <v>930</v>
      </c>
      <c r="T205" s="2" t="s">
        <v>157</v>
      </c>
      <c r="U205" s="158">
        <v>1</v>
      </c>
      <c r="V205" s="151">
        <v>588.32000000000005</v>
      </c>
      <c r="W205" s="151">
        <v>588.32000000000005</v>
      </c>
      <c r="X205" s="164">
        <v>7.8399999999999997E-4</v>
      </c>
      <c r="Y205" s="164">
        <v>3.77150936343945E-2</v>
      </c>
      <c r="Z205" s="164">
        <v>4.03878118490281E-3</v>
      </c>
    </row>
    <row r="206" spans="1:26">
      <c r="A206" s="2">
        <v>424</v>
      </c>
      <c r="B206" s="2">
        <v>7229</v>
      </c>
      <c r="C206" s="2" t="s">
        <v>2723</v>
      </c>
      <c r="D206" s="2" t="s">
        <v>2724</v>
      </c>
      <c r="E206" s="2" t="s">
        <v>1342</v>
      </c>
      <c r="F206" s="2" t="s">
        <v>2723</v>
      </c>
      <c r="G206" s="2">
        <v>18952</v>
      </c>
      <c r="H206" s="2" t="s">
        <v>33</v>
      </c>
      <c r="I206" s="2" t="s">
        <v>1059</v>
      </c>
      <c r="J206" s="2" t="s">
        <v>870</v>
      </c>
      <c r="K206" s="2" t="s">
        <v>30</v>
      </c>
      <c r="L206" s="2" t="s">
        <v>30</v>
      </c>
      <c r="M206" s="2" t="s">
        <v>30</v>
      </c>
      <c r="N206" s="2" t="s">
        <v>30</v>
      </c>
      <c r="O206" s="2" t="s">
        <v>155</v>
      </c>
      <c r="P206" t="s">
        <v>2732</v>
      </c>
      <c r="Q206" s="2" t="s">
        <v>34</v>
      </c>
      <c r="R206" s="2" t="s">
        <v>926</v>
      </c>
      <c r="S206" s="2" t="s">
        <v>930</v>
      </c>
      <c r="T206" s="2" t="s">
        <v>157</v>
      </c>
      <c r="U206" s="158">
        <v>1</v>
      </c>
      <c r="V206" s="151">
        <v>110.83499999999999</v>
      </c>
      <c r="W206" s="151">
        <v>110.83499999999999</v>
      </c>
      <c r="X206" s="164">
        <v>2.5999999999999998E-4</v>
      </c>
      <c r="Y206" s="164">
        <v>7.1052047510382597E-3</v>
      </c>
      <c r="Z206" s="164">
        <v>7.6087222642357596E-4</v>
      </c>
    </row>
    <row r="207" spans="1:26">
      <c r="A207" s="2">
        <v>424</v>
      </c>
      <c r="B207" s="2">
        <v>7229</v>
      </c>
      <c r="C207" s="2" t="s">
        <v>2733</v>
      </c>
      <c r="D207" s="2" t="s">
        <v>2734</v>
      </c>
      <c r="E207" s="2" t="s">
        <v>194</v>
      </c>
      <c r="F207" s="2" t="s">
        <v>2735</v>
      </c>
      <c r="G207" s="2">
        <v>50007160</v>
      </c>
      <c r="H207" s="2" t="s">
        <v>33</v>
      </c>
      <c r="I207" s="2" t="s">
        <v>1059</v>
      </c>
      <c r="J207" s="2" t="s">
        <v>603</v>
      </c>
      <c r="K207" s="2" t="s">
        <v>30</v>
      </c>
      <c r="L207" s="2" t="s">
        <v>30</v>
      </c>
      <c r="M207" s="2" t="s">
        <v>30</v>
      </c>
      <c r="N207" s="2" t="s">
        <v>30</v>
      </c>
      <c r="O207" s="2" t="s">
        <v>155</v>
      </c>
      <c r="P207" t="s">
        <v>2736</v>
      </c>
      <c r="Q207" s="2" t="s">
        <v>34</v>
      </c>
      <c r="R207" s="2" t="s">
        <v>194</v>
      </c>
      <c r="S207" s="2" t="s">
        <v>930</v>
      </c>
      <c r="T207" s="2" t="s">
        <v>157</v>
      </c>
      <c r="U207" s="158">
        <v>1</v>
      </c>
      <c r="V207" s="151">
        <v>305.79399999999998</v>
      </c>
      <c r="W207" s="151">
        <v>305.79399999999998</v>
      </c>
      <c r="X207" s="164">
        <v>2.0899999999999998E-3</v>
      </c>
      <c r="Y207" s="164">
        <v>1.9603350443525701E-2</v>
      </c>
      <c r="Z207" s="164">
        <v>2.0992561678321001E-3</v>
      </c>
    </row>
    <row r="208" spans="1:26">
      <c r="A208" s="2">
        <v>424</v>
      </c>
      <c r="B208" s="2">
        <v>7229</v>
      </c>
      <c r="C208" s="2" t="s">
        <v>2741</v>
      </c>
      <c r="D208" s="2" t="s">
        <v>2742</v>
      </c>
      <c r="E208" s="2" t="s">
        <v>350</v>
      </c>
      <c r="F208" s="2" t="s">
        <v>2741</v>
      </c>
      <c r="G208" s="2">
        <v>62021365</v>
      </c>
      <c r="H208" s="2" t="s">
        <v>33</v>
      </c>
      <c r="I208" s="2" t="s">
        <v>1059</v>
      </c>
      <c r="J208" s="2" t="s">
        <v>869</v>
      </c>
      <c r="K208" s="2" t="s">
        <v>97</v>
      </c>
      <c r="L208" s="2" t="s">
        <v>291</v>
      </c>
      <c r="M208" s="2" t="s">
        <v>291</v>
      </c>
      <c r="N208" s="2" t="s">
        <v>331</v>
      </c>
      <c r="O208" s="2" t="s">
        <v>155</v>
      </c>
      <c r="P208" t="s">
        <v>2743</v>
      </c>
      <c r="Q208" s="2" t="s">
        <v>102</v>
      </c>
      <c r="R208" s="2" t="s">
        <v>926</v>
      </c>
      <c r="S208" s="2" t="s">
        <v>930</v>
      </c>
      <c r="T208" s="2" t="s">
        <v>157</v>
      </c>
      <c r="U208" s="158">
        <v>3.71</v>
      </c>
      <c r="V208" s="151">
        <v>41.941000000000003</v>
      </c>
      <c r="W208" s="151">
        <v>155.60300000000001</v>
      </c>
      <c r="X208" s="164">
        <v>0</v>
      </c>
      <c r="Y208" s="164">
        <v>9.9751340497656604E-3</v>
      </c>
      <c r="Z208" s="164">
        <v>1.06820320022583E-3</v>
      </c>
    </row>
    <row r="209" spans="1:26">
      <c r="A209" s="2">
        <v>424</v>
      </c>
      <c r="B209" s="2">
        <v>7229</v>
      </c>
      <c r="C209" s="2" t="s">
        <v>2748</v>
      </c>
      <c r="D209" s="2" t="s">
        <v>2749</v>
      </c>
      <c r="E209" s="2" t="s">
        <v>350</v>
      </c>
      <c r="F209" s="2" t="s">
        <v>2748</v>
      </c>
      <c r="G209" s="2">
        <v>62019815</v>
      </c>
      <c r="H209" s="2" t="s">
        <v>33</v>
      </c>
      <c r="I209" s="2" t="s">
        <v>1059</v>
      </c>
      <c r="J209" s="2" t="s">
        <v>887</v>
      </c>
      <c r="K209" s="2" t="s">
        <v>97</v>
      </c>
      <c r="L209" s="2" t="s">
        <v>271</v>
      </c>
      <c r="M209" s="2" t="s">
        <v>2746</v>
      </c>
      <c r="N209" s="2" t="s">
        <v>334</v>
      </c>
      <c r="O209" s="2" t="s">
        <v>155</v>
      </c>
      <c r="P209" t="s">
        <v>2750</v>
      </c>
      <c r="Q209" s="2" t="s">
        <v>102</v>
      </c>
      <c r="R209" s="2" t="s">
        <v>926</v>
      </c>
      <c r="S209" s="2" t="s">
        <v>930</v>
      </c>
      <c r="T209" s="2" t="s">
        <v>157</v>
      </c>
      <c r="U209" s="158">
        <v>3.71</v>
      </c>
      <c r="V209" s="151">
        <v>123.32899999999999</v>
      </c>
      <c r="W209" s="151">
        <v>457.55099999999999</v>
      </c>
      <c r="X209" s="164">
        <v>4.5000000000000003E-5</v>
      </c>
      <c r="Y209" s="164">
        <v>2.9331929978083499E-2</v>
      </c>
      <c r="Z209" s="164">
        <v>3.14105668305528E-3</v>
      </c>
    </row>
    <row r="210" spans="1:26">
      <c r="A210" s="2">
        <v>424</v>
      </c>
      <c r="B210" s="2">
        <v>7229</v>
      </c>
      <c r="C210" s="2" t="s">
        <v>2755</v>
      </c>
      <c r="D210" s="2" t="s">
        <v>2756</v>
      </c>
      <c r="E210" s="2" t="s">
        <v>349</v>
      </c>
      <c r="F210" s="2" t="s">
        <v>2757</v>
      </c>
      <c r="G210" s="2">
        <v>62013909</v>
      </c>
      <c r="H210" s="2" t="s">
        <v>33</v>
      </c>
      <c r="I210" s="2" t="s">
        <v>1059</v>
      </c>
      <c r="J210" s="2" t="s">
        <v>873</v>
      </c>
      <c r="K210" s="2" t="s">
        <v>97</v>
      </c>
      <c r="L210" s="2" t="s">
        <v>256</v>
      </c>
      <c r="M210" s="2" t="s">
        <v>98</v>
      </c>
      <c r="N210" s="2" t="s">
        <v>98</v>
      </c>
      <c r="O210" s="2" t="s">
        <v>155</v>
      </c>
      <c r="P210" t="s">
        <v>2758</v>
      </c>
      <c r="Q210" s="2" t="s">
        <v>102</v>
      </c>
      <c r="R210" s="2" t="s">
        <v>926</v>
      </c>
      <c r="S210" s="2" t="s">
        <v>930</v>
      </c>
      <c r="T210" s="2" t="s">
        <v>157</v>
      </c>
      <c r="U210" s="158">
        <v>3.71</v>
      </c>
      <c r="V210" s="151">
        <v>90.513000000000005</v>
      </c>
      <c r="W210" s="151">
        <v>335.80399999999997</v>
      </c>
      <c r="X210" s="164">
        <v>2E-3</v>
      </c>
      <c r="Y210" s="164">
        <v>2.1527176791502199E-2</v>
      </c>
      <c r="Z210" s="164">
        <v>2.3052721924122898E-3</v>
      </c>
    </row>
    <row r="211" spans="1:26">
      <c r="A211" s="2">
        <v>424</v>
      </c>
      <c r="B211" s="2">
        <v>7229</v>
      </c>
      <c r="C211" s="2" t="s">
        <v>2759</v>
      </c>
      <c r="D211" s="2" t="s">
        <v>2760</v>
      </c>
      <c r="E211" s="2" t="s">
        <v>349</v>
      </c>
      <c r="F211" s="2" t="s">
        <v>2761</v>
      </c>
      <c r="G211" s="2">
        <v>62011226</v>
      </c>
      <c r="H211" s="2" t="s">
        <v>33</v>
      </c>
      <c r="I211" s="2" t="s">
        <v>1059</v>
      </c>
      <c r="J211" s="2" t="s">
        <v>877</v>
      </c>
      <c r="K211" s="2" t="s">
        <v>97</v>
      </c>
      <c r="L211" s="2" t="s">
        <v>256</v>
      </c>
      <c r="M211" s="2" t="s">
        <v>98</v>
      </c>
      <c r="N211" s="2" t="s">
        <v>98</v>
      </c>
      <c r="O211" s="2" t="s">
        <v>155</v>
      </c>
      <c r="P211" t="s">
        <v>2762</v>
      </c>
      <c r="Q211" s="2" t="s">
        <v>102</v>
      </c>
      <c r="R211" s="2" t="s">
        <v>926</v>
      </c>
      <c r="S211" s="2" t="s">
        <v>930</v>
      </c>
      <c r="T211" s="2" t="s">
        <v>157</v>
      </c>
      <c r="U211" s="158">
        <v>3.71</v>
      </c>
      <c r="V211" s="151">
        <v>3.5</v>
      </c>
      <c r="W211" s="151">
        <v>12.984</v>
      </c>
      <c r="X211" s="164">
        <v>0</v>
      </c>
      <c r="Y211" s="164">
        <v>8.3238952647646995E-4</v>
      </c>
      <c r="Z211" s="164">
        <v>8.9137765124822004E-5</v>
      </c>
    </row>
    <row r="212" spans="1:26">
      <c r="A212" s="2">
        <v>424</v>
      </c>
      <c r="B212" s="2">
        <v>7229</v>
      </c>
      <c r="C212" s="2" t="s">
        <v>2767</v>
      </c>
      <c r="D212" s="2" t="s">
        <v>2768</v>
      </c>
      <c r="E212" s="2" t="s">
        <v>349</v>
      </c>
      <c r="F212" s="2" t="s">
        <v>2769</v>
      </c>
      <c r="G212" s="2">
        <v>62016654</v>
      </c>
      <c r="H212" s="2" t="s">
        <v>33</v>
      </c>
      <c r="I212" s="2" t="s">
        <v>1059</v>
      </c>
      <c r="J212" s="2" t="s">
        <v>887</v>
      </c>
      <c r="K212" s="2" t="s">
        <v>97</v>
      </c>
      <c r="L212" s="2" t="s">
        <v>256</v>
      </c>
      <c r="M212" s="2" t="s">
        <v>98</v>
      </c>
      <c r="N212" s="2" t="s">
        <v>334</v>
      </c>
      <c r="O212" s="2" t="s">
        <v>155</v>
      </c>
      <c r="P212" t="s">
        <v>2770</v>
      </c>
      <c r="Q212" s="2" t="s">
        <v>102</v>
      </c>
      <c r="R212" s="2" t="s">
        <v>926</v>
      </c>
      <c r="S212" s="2" t="s">
        <v>930</v>
      </c>
      <c r="T212" s="2" t="s">
        <v>157</v>
      </c>
      <c r="U212" s="158">
        <v>3.71</v>
      </c>
      <c r="V212" s="151">
        <v>160.67400000000001</v>
      </c>
      <c r="W212" s="151">
        <v>596.09900000000005</v>
      </c>
      <c r="X212" s="164">
        <v>2.5000000000000001E-5</v>
      </c>
      <c r="Y212" s="164">
        <v>3.8213780081726899E-2</v>
      </c>
      <c r="Z212" s="164">
        <v>4.09218382152825E-3</v>
      </c>
    </row>
    <row r="213" spans="1:26">
      <c r="A213" s="2">
        <v>424</v>
      </c>
      <c r="B213" s="2">
        <v>7229</v>
      </c>
      <c r="C213" s="2" t="s">
        <v>2775</v>
      </c>
      <c r="D213" s="2" t="s">
        <v>2776</v>
      </c>
      <c r="E213" s="2" t="s">
        <v>350</v>
      </c>
      <c r="F213" s="2" t="s">
        <v>2777</v>
      </c>
      <c r="G213" s="2">
        <v>62018064</v>
      </c>
      <c r="H213" s="2" t="s">
        <v>33</v>
      </c>
      <c r="I213" s="2" t="s">
        <v>1059</v>
      </c>
      <c r="J213" s="2" t="s">
        <v>872</v>
      </c>
      <c r="K213" s="2" t="s">
        <v>97</v>
      </c>
      <c r="L213" s="2" t="s">
        <v>256</v>
      </c>
      <c r="M213" s="2" t="s">
        <v>98</v>
      </c>
      <c r="N213" s="2" t="s">
        <v>329</v>
      </c>
      <c r="O213" s="2" t="s">
        <v>155</v>
      </c>
      <c r="P213" t="s">
        <v>2778</v>
      </c>
      <c r="Q213" s="2" t="s">
        <v>102</v>
      </c>
      <c r="R213" s="2" t="s">
        <v>194</v>
      </c>
      <c r="S213" s="2" t="s">
        <v>930</v>
      </c>
      <c r="T213" s="2" t="s">
        <v>157</v>
      </c>
      <c r="U213" s="158">
        <v>3.71</v>
      </c>
      <c r="V213" s="151">
        <v>137.13399999999999</v>
      </c>
      <c r="W213" s="151">
        <v>508.76600000000002</v>
      </c>
      <c r="X213" s="164">
        <v>8.5000000000000006E-5</v>
      </c>
      <c r="Y213" s="164">
        <v>3.26151497656356E-2</v>
      </c>
      <c r="Z213" s="164">
        <v>3.4926455305445301E-3</v>
      </c>
    </row>
    <row r="214" spans="1:26">
      <c r="A214" s="2">
        <v>424</v>
      </c>
      <c r="B214" s="2">
        <v>7229</v>
      </c>
      <c r="C214" s="2" t="s">
        <v>2781</v>
      </c>
      <c r="D214" s="2" t="s">
        <v>2782</v>
      </c>
      <c r="E214" s="2" t="s">
        <v>349</v>
      </c>
      <c r="F214" s="2" t="s">
        <v>2783</v>
      </c>
      <c r="G214" s="2">
        <v>62018908</v>
      </c>
      <c r="H214" s="2" t="s">
        <v>33</v>
      </c>
      <c r="I214" s="2" t="s">
        <v>1059</v>
      </c>
      <c r="J214" s="2" t="s">
        <v>872</v>
      </c>
      <c r="K214" s="2" t="s">
        <v>97</v>
      </c>
      <c r="L214" s="2" t="s">
        <v>291</v>
      </c>
      <c r="M214" s="2" t="s">
        <v>291</v>
      </c>
      <c r="N214" s="2" t="s">
        <v>334</v>
      </c>
      <c r="O214" s="2" t="s">
        <v>155</v>
      </c>
      <c r="P214" t="s">
        <v>2784</v>
      </c>
      <c r="Q214" s="2" t="s">
        <v>102</v>
      </c>
      <c r="R214" s="2" t="s">
        <v>926</v>
      </c>
      <c r="S214" s="2" t="s">
        <v>930</v>
      </c>
      <c r="T214" s="2" t="s">
        <v>157</v>
      </c>
      <c r="U214" s="158">
        <v>3.71</v>
      </c>
      <c r="V214" s="151">
        <v>206.22300000000001</v>
      </c>
      <c r="W214" s="151">
        <v>765.08799999999997</v>
      </c>
      <c r="X214" s="164">
        <v>1.1E-5</v>
      </c>
      <c r="Y214" s="164">
        <v>4.9047079103523503E-2</v>
      </c>
      <c r="Z214" s="164">
        <v>5.2522849917334101E-3</v>
      </c>
    </row>
    <row r="215" spans="1:26">
      <c r="A215" s="2">
        <v>424</v>
      </c>
      <c r="B215" s="2">
        <v>7229</v>
      </c>
      <c r="C215" s="2" t="s">
        <v>2801</v>
      </c>
      <c r="D215" s="2" t="s">
        <v>2802</v>
      </c>
      <c r="E215" s="2" t="s">
        <v>350</v>
      </c>
      <c r="F215" s="2" t="s">
        <v>2803</v>
      </c>
      <c r="G215" s="2">
        <v>62003800</v>
      </c>
      <c r="H215" s="2" t="s">
        <v>33</v>
      </c>
      <c r="I215" s="2" t="s">
        <v>1059</v>
      </c>
      <c r="J215" s="2" t="s">
        <v>884</v>
      </c>
      <c r="K215" s="2" t="s">
        <v>97</v>
      </c>
      <c r="L215" s="2" t="s">
        <v>256</v>
      </c>
      <c r="M215" s="2" t="s">
        <v>98</v>
      </c>
      <c r="N215" s="2" t="s">
        <v>334</v>
      </c>
      <c r="O215" s="2" t="s">
        <v>155</v>
      </c>
      <c r="P215" t="s">
        <v>2892</v>
      </c>
      <c r="Q215" s="2" t="s">
        <v>102</v>
      </c>
      <c r="R215" s="2" t="s">
        <v>194</v>
      </c>
      <c r="S215" s="2" t="s">
        <v>930</v>
      </c>
      <c r="T215" s="2" t="s">
        <v>157</v>
      </c>
      <c r="U215" s="158">
        <v>3.71</v>
      </c>
      <c r="V215" s="151">
        <v>211.68</v>
      </c>
      <c r="W215" s="151">
        <v>785.33399999999995</v>
      </c>
      <c r="X215" s="164">
        <v>4.9200000000000003E-4</v>
      </c>
      <c r="Y215" s="164">
        <v>5.0344928367624601E-2</v>
      </c>
      <c r="Z215" s="164">
        <v>5.3912672580776E-3</v>
      </c>
    </row>
    <row r="216" spans="1:26">
      <c r="A216" s="2">
        <v>424</v>
      </c>
      <c r="B216" s="2">
        <v>7229</v>
      </c>
      <c r="C216" s="2" t="s">
        <v>2801</v>
      </c>
      <c r="D216" s="2" t="s">
        <v>2802</v>
      </c>
      <c r="E216" s="2" t="s">
        <v>350</v>
      </c>
      <c r="F216" s="2" t="s">
        <v>2805</v>
      </c>
      <c r="G216" s="2">
        <v>620101031</v>
      </c>
      <c r="H216" s="2" t="s">
        <v>33</v>
      </c>
      <c r="I216" s="2" t="s">
        <v>1059</v>
      </c>
      <c r="J216" s="2" t="s">
        <v>603</v>
      </c>
      <c r="K216" s="2" t="s">
        <v>97</v>
      </c>
      <c r="L216" s="2" t="s">
        <v>256</v>
      </c>
      <c r="M216" s="2" t="s">
        <v>98</v>
      </c>
      <c r="N216" s="2" t="s">
        <v>98</v>
      </c>
      <c r="O216" s="2" t="s">
        <v>155</v>
      </c>
      <c r="P216" t="s">
        <v>2676</v>
      </c>
      <c r="Q216" s="2" t="s">
        <v>102</v>
      </c>
      <c r="R216" s="2" t="s">
        <v>194</v>
      </c>
      <c r="S216" s="2" t="s">
        <v>930</v>
      </c>
      <c r="T216" s="2" t="s">
        <v>157</v>
      </c>
      <c r="U216" s="158">
        <v>3.71</v>
      </c>
      <c r="V216" s="151">
        <v>126.253</v>
      </c>
      <c r="W216" s="151">
        <v>468.399</v>
      </c>
      <c r="X216" s="164">
        <v>0</v>
      </c>
      <c r="Y216" s="164">
        <v>3.0027384403371601E-2</v>
      </c>
      <c r="Z216" s="164">
        <v>3.2155305336318898E-3</v>
      </c>
    </row>
    <row r="217" spans="1:26">
      <c r="A217" s="2">
        <v>424</v>
      </c>
      <c r="B217" s="2">
        <v>7229</v>
      </c>
      <c r="C217" s="2" t="s">
        <v>2801</v>
      </c>
      <c r="D217" s="2" t="s">
        <v>2802</v>
      </c>
      <c r="E217" s="2" t="s">
        <v>350</v>
      </c>
      <c r="F217" s="2" t="s">
        <v>2806</v>
      </c>
      <c r="G217" s="2">
        <v>62014857</v>
      </c>
      <c r="H217" s="2" t="s">
        <v>33</v>
      </c>
      <c r="I217" s="2" t="s">
        <v>1059</v>
      </c>
      <c r="J217" s="2" t="s">
        <v>884</v>
      </c>
      <c r="K217" s="2" t="s">
        <v>97</v>
      </c>
      <c r="L217" s="2" t="s">
        <v>256</v>
      </c>
      <c r="M217" s="2" t="s">
        <v>98</v>
      </c>
      <c r="N217" s="2" t="s">
        <v>334</v>
      </c>
      <c r="O217" s="2" t="s">
        <v>155</v>
      </c>
      <c r="P217" t="s">
        <v>2807</v>
      </c>
      <c r="Q217" s="2" t="s">
        <v>102</v>
      </c>
      <c r="R217" s="2" t="s">
        <v>926</v>
      </c>
      <c r="S217" s="2" t="s">
        <v>930</v>
      </c>
      <c r="T217" s="2" t="s">
        <v>157</v>
      </c>
      <c r="U217" s="158">
        <v>3.71</v>
      </c>
      <c r="V217" s="151">
        <v>119.599</v>
      </c>
      <c r="W217" s="151">
        <v>443.71199999999999</v>
      </c>
      <c r="X217" s="164">
        <v>1.37E-4</v>
      </c>
      <c r="Y217" s="164">
        <v>2.8444791697932001E-2</v>
      </c>
      <c r="Z217" s="164">
        <v>3.04605605998867E-3</v>
      </c>
    </row>
    <row r="218" spans="1:26">
      <c r="A218" s="2">
        <v>424</v>
      </c>
      <c r="B218" s="2">
        <v>7229</v>
      </c>
      <c r="C218" s="2" t="s">
        <v>2801</v>
      </c>
      <c r="D218" s="2" t="s">
        <v>2802</v>
      </c>
      <c r="E218" s="2" t="s">
        <v>350</v>
      </c>
      <c r="F218" s="2" t="s">
        <v>2808</v>
      </c>
      <c r="G218" s="2">
        <v>62019476</v>
      </c>
      <c r="H218" s="2" t="s">
        <v>33</v>
      </c>
      <c r="I218" s="2" t="s">
        <v>1059</v>
      </c>
      <c r="J218" s="2" t="s">
        <v>884</v>
      </c>
      <c r="K218" s="2" t="s">
        <v>97</v>
      </c>
      <c r="L218" s="2" t="s">
        <v>256</v>
      </c>
      <c r="M218" s="2" t="s">
        <v>98</v>
      </c>
      <c r="N218" s="2" t="s">
        <v>334</v>
      </c>
      <c r="O218" s="2" t="s">
        <v>155</v>
      </c>
      <c r="P218" t="s">
        <v>2726</v>
      </c>
      <c r="Q218" s="2" t="s">
        <v>102</v>
      </c>
      <c r="R218" s="2" t="s">
        <v>194</v>
      </c>
      <c r="S218" s="2" t="s">
        <v>930</v>
      </c>
      <c r="T218" s="2" t="s">
        <v>157</v>
      </c>
      <c r="U218" s="158">
        <v>3.71</v>
      </c>
      <c r="V218" s="151">
        <v>80.343999999999994</v>
      </c>
      <c r="W218" s="151">
        <v>298.07799999999997</v>
      </c>
      <c r="X218" s="164">
        <v>7.7999999999999999E-5</v>
      </c>
      <c r="Y218" s="164">
        <v>1.91087171160878E-2</v>
      </c>
      <c r="Z218" s="164">
        <v>2.0462875660397402E-3</v>
      </c>
    </row>
    <row r="219" spans="1:26">
      <c r="A219" s="2">
        <v>424</v>
      </c>
      <c r="B219" s="2">
        <v>7229</v>
      </c>
      <c r="C219" s="2" t="s">
        <v>2801</v>
      </c>
      <c r="D219" s="2" t="s">
        <v>2802</v>
      </c>
      <c r="E219" s="2" t="s">
        <v>350</v>
      </c>
      <c r="F219" s="2" t="s">
        <v>2809</v>
      </c>
      <c r="G219" s="2">
        <v>62020458</v>
      </c>
      <c r="H219" s="2" t="s">
        <v>33</v>
      </c>
      <c r="I219" s="2" t="s">
        <v>1059</v>
      </c>
      <c r="J219" s="2" t="s">
        <v>878</v>
      </c>
      <c r="K219" s="2" t="s">
        <v>97</v>
      </c>
      <c r="L219" s="2" t="s">
        <v>256</v>
      </c>
      <c r="M219" s="2" t="s">
        <v>98</v>
      </c>
      <c r="N219" s="2" t="s">
        <v>334</v>
      </c>
      <c r="O219" s="2" t="s">
        <v>155</v>
      </c>
      <c r="P219" t="s">
        <v>2810</v>
      </c>
      <c r="Q219" s="2" t="s">
        <v>102</v>
      </c>
      <c r="R219" s="2" t="s">
        <v>194</v>
      </c>
      <c r="S219" s="2" t="s">
        <v>930</v>
      </c>
      <c r="T219" s="2" t="s">
        <v>157</v>
      </c>
      <c r="U219" s="158">
        <v>3.71</v>
      </c>
      <c r="V219" s="151">
        <v>94.498999999999995</v>
      </c>
      <c r="W219" s="151">
        <v>350.59199999999998</v>
      </c>
      <c r="X219" s="164">
        <v>5.0000000000000002E-5</v>
      </c>
      <c r="Y219" s="164">
        <v>2.24751720282199E-2</v>
      </c>
      <c r="Z219" s="164">
        <v>2.40678978010672E-3</v>
      </c>
    </row>
    <row r="220" spans="1:26">
      <c r="A220" s="2">
        <v>424</v>
      </c>
      <c r="B220" s="2">
        <v>7229</v>
      </c>
      <c r="C220" s="2" t="s">
        <v>2801</v>
      </c>
      <c r="D220" s="2" t="s">
        <v>2802</v>
      </c>
      <c r="E220" s="2" t="s">
        <v>350</v>
      </c>
      <c r="F220" s="2" t="s">
        <v>2811</v>
      </c>
      <c r="G220" s="2">
        <v>62017678</v>
      </c>
      <c r="H220" s="2" t="s">
        <v>33</v>
      </c>
      <c r="I220" s="2" t="s">
        <v>1059</v>
      </c>
      <c r="J220" s="2" t="s">
        <v>878</v>
      </c>
      <c r="K220" s="2" t="s">
        <v>97</v>
      </c>
      <c r="L220" s="2" t="s">
        <v>256</v>
      </c>
      <c r="M220" s="2" t="s">
        <v>98</v>
      </c>
      <c r="N220" s="2" t="s">
        <v>334</v>
      </c>
      <c r="O220" s="2" t="s">
        <v>155</v>
      </c>
      <c r="P220" t="s">
        <v>2812</v>
      </c>
      <c r="Q220" s="2" t="s">
        <v>102</v>
      </c>
      <c r="R220" s="2" t="s">
        <v>194</v>
      </c>
      <c r="S220" s="2" t="s">
        <v>930</v>
      </c>
      <c r="T220" s="2" t="s">
        <v>157</v>
      </c>
      <c r="U220" s="158">
        <v>3.71</v>
      </c>
      <c r="V220" s="151">
        <v>228.40199999999999</v>
      </c>
      <c r="W220" s="151">
        <v>847.37300000000005</v>
      </c>
      <c r="X220" s="164">
        <v>3.88E-4</v>
      </c>
      <c r="Y220" s="164">
        <v>5.4322040682716399E-2</v>
      </c>
      <c r="Z220" s="164">
        <v>5.8171626978224299E-3</v>
      </c>
    </row>
    <row r="221" spans="1:26">
      <c r="A221" s="2">
        <v>424</v>
      </c>
      <c r="B221" s="2">
        <v>7229</v>
      </c>
      <c r="C221" s="2" t="s">
        <v>2819</v>
      </c>
      <c r="D221" s="2" t="s">
        <v>2820</v>
      </c>
      <c r="E221" s="2" t="s">
        <v>350</v>
      </c>
      <c r="F221" s="2" t="s">
        <v>2821</v>
      </c>
      <c r="G221" s="2">
        <v>62020565</v>
      </c>
      <c r="H221" s="2" t="s">
        <v>33</v>
      </c>
      <c r="I221" s="2" t="s">
        <v>1059</v>
      </c>
      <c r="J221" s="2" t="s">
        <v>603</v>
      </c>
      <c r="K221" s="2" t="s">
        <v>97</v>
      </c>
      <c r="L221" s="2" t="s">
        <v>271</v>
      </c>
      <c r="M221" s="2" t="s">
        <v>271</v>
      </c>
      <c r="N221" s="2" t="s">
        <v>331</v>
      </c>
      <c r="O221" s="2" t="s">
        <v>155</v>
      </c>
      <c r="P221" t="s">
        <v>2623</v>
      </c>
      <c r="Q221" s="2" t="s">
        <v>1209</v>
      </c>
      <c r="R221" s="2" t="s">
        <v>194</v>
      </c>
      <c r="S221" s="2" t="s">
        <v>930</v>
      </c>
      <c r="T221" s="2" t="s">
        <v>157</v>
      </c>
      <c r="U221" s="158">
        <v>4.1524000000000001</v>
      </c>
      <c r="V221" s="151">
        <v>101.63</v>
      </c>
      <c r="W221" s="151">
        <v>422.00799999999998</v>
      </c>
      <c r="X221" s="164">
        <v>7.6000000000000004E-5</v>
      </c>
      <c r="Y221" s="164">
        <v>2.7053409141966599E-2</v>
      </c>
      <c r="Z221" s="164">
        <v>2.8970576313354199E-3</v>
      </c>
    </row>
    <row r="222" spans="1:26">
      <c r="A222" s="2">
        <v>424</v>
      </c>
      <c r="B222" s="2">
        <v>7229</v>
      </c>
      <c r="C222" s="2" t="s">
        <v>2826</v>
      </c>
      <c r="D222" s="2" t="s">
        <v>2827</v>
      </c>
      <c r="E222" s="2" t="s">
        <v>350</v>
      </c>
      <c r="F222" s="2" t="s">
        <v>2828</v>
      </c>
      <c r="G222" s="2">
        <v>77847846</v>
      </c>
      <c r="H222" s="2" t="s">
        <v>33</v>
      </c>
      <c r="I222" s="2" t="s">
        <v>1059</v>
      </c>
      <c r="J222" s="2" t="s">
        <v>603</v>
      </c>
      <c r="K222" s="2" t="s">
        <v>97</v>
      </c>
      <c r="L222" s="2" t="s">
        <v>291</v>
      </c>
      <c r="M222" s="2" t="s">
        <v>291</v>
      </c>
      <c r="N222" s="2" t="s">
        <v>98</v>
      </c>
      <c r="O222" s="2" t="s">
        <v>155</v>
      </c>
      <c r="P222" t="s">
        <v>2829</v>
      </c>
      <c r="Q222" s="2" t="s">
        <v>102</v>
      </c>
      <c r="R222" s="2" t="s">
        <v>926</v>
      </c>
      <c r="S222" s="2" t="s">
        <v>930</v>
      </c>
      <c r="T222" s="2" t="s">
        <v>157</v>
      </c>
      <c r="U222" s="158">
        <v>3.71</v>
      </c>
      <c r="V222" s="151">
        <v>284.00400000000002</v>
      </c>
      <c r="W222" s="151">
        <v>1053.655</v>
      </c>
      <c r="X222" s="164">
        <v>0</v>
      </c>
      <c r="Y222" s="164">
        <v>6.7546055089131002E-2</v>
      </c>
      <c r="Z222" s="164">
        <v>7.2332774526007197E-3</v>
      </c>
    </row>
    <row r="223" spans="1:26">
      <c r="A223" s="2">
        <v>424</v>
      </c>
      <c r="B223" s="2">
        <v>7229</v>
      </c>
      <c r="C223" s="2" t="s">
        <v>2838</v>
      </c>
      <c r="D223" s="2" t="s">
        <v>2839</v>
      </c>
      <c r="E223" s="2" t="s">
        <v>349</v>
      </c>
      <c r="F223" s="2" t="s">
        <v>2840</v>
      </c>
      <c r="G223" s="2">
        <v>62017652</v>
      </c>
      <c r="H223" s="2" t="s">
        <v>33</v>
      </c>
      <c r="I223" s="2" t="s">
        <v>1059</v>
      </c>
      <c r="J223" s="2" t="s">
        <v>880</v>
      </c>
      <c r="K223" s="2" t="s">
        <v>97</v>
      </c>
      <c r="L223" s="2" t="s">
        <v>256</v>
      </c>
      <c r="M223" s="2" t="s">
        <v>98</v>
      </c>
      <c r="N223" s="2" t="s">
        <v>334</v>
      </c>
      <c r="O223" s="2" t="s">
        <v>155</v>
      </c>
      <c r="P223" t="s">
        <v>2841</v>
      </c>
      <c r="Q223" s="2" t="s">
        <v>102</v>
      </c>
      <c r="R223" s="2" t="s">
        <v>194</v>
      </c>
      <c r="S223" s="2" t="s">
        <v>930</v>
      </c>
      <c r="T223" s="2" t="s">
        <v>157</v>
      </c>
      <c r="U223" s="158">
        <v>3.71</v>
      </c>
      <c r="V223" s="151">
        <v>191.85599999999999</v>
      </c>
      <c r="W223" s="151">
        <v>711.78499999999997</v>
      </c>
      <c r="X223" s="164">
        <v>5.1999999999999997E-5</v>
      </c>
      <c r="Y223" s="164">
        <v>4.5629991224705201E-2</v>
      </c>
      <c r="Z223" s="164">
        <v>4.8863606653638397E-3</v>
      </c>
    </row>
    <row r="224" spans="1:26">
      <c r="A224" s="2">
        <v>424</v>
      </c>
      <c r="B224" s="2">
        <v>7229</v>
      </c>
      <c r="C224" s="2" t="s">
        <v>2842</v>
      </c>
      <c r="D224" s="2" t="s">
        <v>2843</v>
      </c>
      <c r="E224" s="2" t="s">
        <v>349</v>
      </c>
      <c r="F224" s="2" t="s">
        <v>2844</v>
      </c>
      <c r="G224" s="2">
        <v>62021142</v>
      </c>
      <c r="H224" s="2" t="s">
        <v>33</v>
      </c>
      <c r="I224" s="2" t="s">
        <v>1059</v>
      </c>
      <c r="J224" s="2" t="s">
        <v>880</v>
      </c>
      <c r="K224" s="2" t="s">
        <v>97</v>
      </c>
      <c r="L224" s="2" t="s">
        <v>256</v>
      </c>
      <c r="M224" s="2" t="s">
        <v>98</v>
      </c>
      <c r="N224" s="2" t="s">
        <v>334</v>
      </c>
      <c r="O224" s="2" t="s">
        <v>155</v>
      </c>
      <c r="P224" t="s">
        <v>2845</v>
      </c>
      <c r="Q224" s="2" t="s">
        <v>102</v>
      </c>
      <c r="R224" s="2" t="s">
        <v>926</v>
      </c>
      <c r="S224" s="2" t="s">
        <v>930</v>
      </c>
      <c r="T224" s="2" t="s">
        <v>157</v>
      </c>
      <c r="U224" s="158">
        <v>3.71</v>
      </c>
      <c r="V224" s="151">
        <v>150.94999999999999</v>
      </c>
      <c r="W224" s="151">
        <v>560.024</v>
      </c>
      <c r="X224" s="164">
        <v>3.6999999999999998E-5</v>
      </c>
      <c r="Y224" s="164">
        <v>3.5901124184839699E-2</v>
      </c>
      <c r="Z224" s="164">
        <v>3.8445293621744898E-3</v>
      </c>
    </row>
    <row r="225" spans="1:26">
      <c r="A225" s="2">
        <v>424</v>
      </c>
      <c r="B225" s="2">
        <v>7229</v>
      </c>
      <c r="C225" s="2" t="s">
        <v>2858</v>
      </c>
      <c r="D225" s="2" t="s">
        <v>2859</v>
      </c>
      <c r="E225" s="2" t="s">
        <v>349</v>
      </c>
      <c r="F225" s="2" t="s">
        <v>2860</v>
      </c>
      <c r="G225" s="2">
        <v>62021324</v>
      </c>
      <c r="H225" s="2" t="s">
        <v>33</v>
      </c>
      <c r="I225" s="2" t="s">
        <v>1059</v>
      </c>
      <c r="J225" s="2" t="s">
        <v>877</v>
      </c>
      <c r="K225" s="2" t="s">
        <v>97</v>
      </c>
      <c r="L225" s="2" t="s">
        <v>256</v>
      </c>
      <c r="M225" s="2" t="s">
        <v>98</v>
      </c>
      <c r="N225" s="2" t="s">
        <v>98</v>
      </c>
      <c r="O225" s="2" t="s">
        <v>155</v>
      </c>
      <c r="P225" t="s">
        <v>2857</v>
      </c>
      <c r="Q225" s="2" t="s">
        <v>102</v>
      </c>
      <c r="R225" s="2" t="s">
        <v>926</v>
      </c>
      <c r="S225" s="2" t="s">
        <v>930</v>
      </c>
      <c r="T225" s="2" t="s">
        <v>157</v>
      </c>
      <c r="U225" s="158">
        <v>3.71</v>
      </c>
      <c r="V225" s="151">
        <v>51.307000000000002</v>
      </c>
      <c r="W225" s="151">
        <v>190.34899999999999</v>
      </c>
      <c r="X225" s="164">
        <v>0</v>
      </c>
      <c r="Y225" s="164">
        <v>1.2202577539141999E-2</v>
      </c>
      <c r="Z225" s="164">
        <v>1.30673255249352E-3</v>
      </c>
    </row>
    <row r="226" spans="1:26">
      <c r="A226" s="2">
        <v>424</v>
      </c>
      <c r="B226" s="2">
        <v>7229</v>
      </c>
      <c r="C226" s="2" t="s">
        <v>2864</v>
      </c>
      <c r="D226" s="2" t="s">
        <v>2865</v>
      </c>
      <c r="E226" s="2" t="s">
        <v>350</v>
      </c>
      <c r="F226" s="2" t="s">
        <v>2866</v>
      </c>
      <c r="G226" s="2">
        <v>62021571</v>
      </c>
      <c r="H226" s="2" t="s">
        <v>33</v>
      </c>
      <c r="I226" s="2" t="s">
        <v>1059</v>
      </c>
      <c r="J226" s="2" t="s">
        <v>603</v>
      </c>
      <c r="K226" s="2" t="s">
        <v>97</v>
      </c>
      <c r="L226" s="2" t="s">
        <v>291</v>
      </c>
      <c r="M226" s="2" t="s">
        <v>271</v>
      </c>
      <c r="N226" s="2" t="s">
        <v>331</v>
      </c>
      <c r="O226" s="2" t="s">
        <v>155</v>
      </c>
      <c r="P226" t="s">
        <v>2867</v>
      </c>
      <c r="Q226" s="2" t="s">
        <v>1209</v>
      </c>
      <c r="R226" s="2" t="s">
        <v>194</v>
      </c>
      <c r="S226" s="2" t="s">
        <v>930</v>
      </c>
      <c r="T226" s="2" t="s">
        <v>157</v>
      </c>
      <c r="U226" s="158">
        <v>4.1524000000000001</v>
      </c>
      <c r="V226" s="151">
        <v>41.917000000000002</v>
      </c>
      <c r="W226" s="151">
        <v>174.05600000000001</v>
      </c>
      <c r="X226" s="164">
        <v>1.66E-4</v>
      </c>
      <c r="Y226" s="164">
        <v>1.1158088920228E-2</v>
      </c>
      <c r="Z226" s="164">
        <v>1.1948818164776299E-3</v>
      </c>
    </row>
    <row r="227" spans="1:26">
      <c r="A227" s="2">
        <v>424</v>
      </c>
      <c r="B227" s="2">
        <v>7229</v>
      </c>
      <c r="C227" s="2" t="s">
        <v>2875</v>
      </c>
      <c r="D227" s="2" t="s">
        <v>2876</v>
      </c>
      <c r="E227" s="2" t="s">
        <v>349</v>
      </c>
      <c r="F227" s="2" t="s">
        <v>2877</v>
      </c>
      <c r="G227" s="2">
        <v>62009204</v>
      </c>
      <c r="H227" s="2" t="s">
        <v>33</v>
      </c>
      <c r="I227" s="2" t="s">
        <v>1059</v>
      </c>
      <c r="J227" s="2" t="s">
        <v>867</v>
      </c>
      <c r="K227" s="2" t="s">
        <v>97</v>
      </c>
      <c r="L227" s="2" t="s">
        <v>291</v>
      </c>
      <c r="M227" s="2" t="s">
        <v>271</v>
      </c>
      <c r="N227" s="2" t="s">
        <v>334</v>
      </c>
      <c r="O227" s="2" t="s">
        <v>155</v>
      </c>
      <c r="P227" t="s">
        <v>2878</v>
      </c>
      <c r="Q227" s="2" t="s">
        <v>102</v>
      </c>
      <c r="R227" s="2" t="s">
        <v>194</v>
      </c>
      <c r="S227" s="2" t="s">
        <v>930</v>
      </c>
      <c r="T227" s="2" t="s">
        <v>157</v>
      </c>
      <c r="U227" s="158">
        <v>3.71</v>
      </c>
      <c r="V227" s="151">
        <v>153.04400000000001</v>
      </c>
      <c r="W227" s="151">
        <v>567.79200000000003</v>
      </c>
      <c r="X227" s="164">
        <v>1.45E-4</v>
      </c>
      <c r="Y227" s="164">
        <v>3.6399134355299199E-2</v>
      </c>
      <c r="Z227" s="164">
        <v>3.8978595786082599E-3</v>
      </c>
    </row>
    <row r="228" spans="1:26">
      <c r="A228" s="2">
        <v>424</v>
      </c>
      <c r="B228" s="2">
        <v>7229</v>
      </c>
      <c r="C228" s="2" t="s">
        <v>2879</v>
      </c>
      <c r="D228" s="2" t="s">
        <v>2880</v>
      </c>
      <c r="E228" s="2" t="s">
        <v>349</v>
      </c>
      <c r="F228" s="2" t="s">
        <v>2881</v>
      </c>
      <c r="G228" s="2">
        <v>62019807</v>
      </c>
      <c r="H228" s="2" t="s">
        <v>33</v>
      </c>
      <c r="I228" s="2" t="s">
        <v>1059</v>
      </c>
      <c r="J228" s="2" t="s">
        <v>867</v>
      </c>
      <c r="K228" s="2" t="s">
        <v>97</v>
      </c>
      <c r="L228" s="2" t="s">
        <v>291</v>
      </c>
      <c r="M228" s="2" t="s">
        <v>271</v>
      </c>
      <c r="N228" s="2" t="s">
        <v>334</v>
      </c>
      <c r="O228" s="2" t="s">
        <v>155</v>
      </c>
      <c r="P228" t="s">
        <v>2750</v>
      </c>
      <c r="Q228" s="2" t="s">
        <v>102</v>
      </c>
      <c r="R228" s="2" t="s">
        <v>926</v>
      </c>
      <c r="S228" s="2" t="s">
        <v>930</v>
      </c>
      <c r="T228" s="2" t="s">
        <v>157</v>
      </c>
      <c r="U228" s="158">
        <v>3.71</v>
      </c>
      <c r="V228" s="151">
        <v>244.90199999999999</v>
      </c>
      <c r="W228" s="151">
        <v>908.58699999999999</v>
      </c>
      <c r="X228" s="164">
        <v>1.36E-4</v>
      </c>
      <c r="Y228" s="164">
        <v>5.8246237290461703E-2</v>
      </c>
      <c r="Z228" s="164">
        <v>6.2373915743263401E-3</v>
      </c>
    </row>
    <row r="229" spans="1:26">
      <c r="A229" s="2">
        <v>424</v>
      </c>
      <c r="B229" s="2">
        <v>7229</v>
      </c>
      <c r="C229" s="2" t="s">
        <v>2889</v>
      </c>
      <c r="D229" s="2" t="s">
        <v>2890</v>
      </c>
      <c r="E229" s="2" t="s">
        <v>349</v>
      </c>
      <c r="F229" s="2" t="s">
        <v>2891</v>
      </c>
      <c r="G229" s="2">
        <v>62010137</v>
      </c>
      <c r="H229" s="2" t="s">
        <v>33</v>
      </c>
      <c r="I229" s="2" t="s">
        <v>1059</v>
      </c>
      <c r="J229" s="2" t="s">
        <v>887</v>
      </c>
      <c r="K229" s="2" t="s">
        <v>97</v>
      </c>
      <c r="L229" s="2" t="s">
        <v>291</v>
      </c>
      <c r="M229" s="2" t="s">
        <v>271</v>
      </c>
      <c r="N229" s="2" t="s">
        <v>334</v>
      </c>
      <c r="O229" s="2" t="s">
        <v>155</v>
      </c>
      <c r="P229" t="s">
        <v>2892</v>
      </c>
      <c r="Q229" s="2" t="s">
        <v>102</v>
      </c>
      <c r="R229" s="2" t="s">
        <v>926</v>
      </c>
      <c r="S229" s="2" t="s">
        <v>930</v>
      </c>
      <c r="T229" s="2" t="s">
        <v>157</v>
      </c>
      <c r="U229" s="158">
        <v>3.71</v>
      </c>
      <c r="V229" s="151">
        <v>104.70699999999999</v>
      </c>
      <c r="W229" s="151">
        <v>388.46499999999997</v>
      </c>
      <c r="X229" s="164">
        <v>4.3000000000000002E-5</v>
      </c>
      <c r="Y229" s="164">
        <v>2.4903066969934599E-2</v>
      </c>
      <c r="Z229" s="164">
        <v>2.66678479707721E-3</v>
      </c>
    </row>
    <row r="230" spans="1:26">
      <c r="A230" s="2">
        <v>969</v>
      </c>
      <c r="B230" s="2">
        <v>969</v>
      </c>
      <c r="C230" s="2" t="s">
        <v>2624</v>
      </c>
      <c r="D230" s="2" t="s">
        <v>2625</v>
      </c>
      <c r="E230" s="2" t="s">
        <v>348</v>
      </c>
      <c r="F230" s="2" t="s">
        <v>2626</v>
      </c>
      <c r="G230" s="2">
        <v>62018312</v>
      </c>
      <c r="H230" s="2" t="s">
        <v>33</v>
      </c>
      <c r="I230" s="2" t="s">
        <v>1059</v>
      </c>
      <c r="J230" s="2" t="s">
        <v>603</v>
      </c>
      <c r="K230" s="2" t="s">
        <v>30</v>
      </c>
      <c r="L230" s="2" t="s">
        <v>30</v>
      </c>
      <c r="M230" s="2" t="s">
        <v>30</v>
      </c>
      <c r="N230" s="2" t="s">
        <v>30</v>
      </c>
      <c r="O230" s="2" t="s">
        <v>155</v>
      </c>
      <c r="P230" t="s">
        <v>2627</v>
      </c>
      <c r="Q230" s="2" t="s">
        <v>102</v>
      </c>
      <c r="R230" s="2" t="s">
        <v>926</v>
      </c>
      <c r="S230" s="2" t="s">
        <v>930</v>
      </c>
      <c r="T230" s="2" t="s">
        <v>157</v>
      </c>
      <c r="U230" s="158">
        <v>3.71</v>
      </c>
      <c r="V230" s="151">
        <v>88.494</v>
      </c>
      <c r="W230" s="151">
        <v>328.31200000000001</v>
      </c>
      <c r="X230" s="164">
        <v>6.0999999999999999E-5</v>
      </c>
      <c r="Y230" s="164">
        <v>3.1452344160291502E-2</v>
      </c>
      <c r="Z230" s="164">
        <v>4.3394700188238199E-3</v>
      </c>
    </row>
    <row r="231" spans="1:26">
      <c r="A231" s="2">
        <v>969</v>
      </c>
      <c r="B231" s="2">
        <v>969</v>
      </c>
      <c r="C231" s="2" t="s">
        <v>2640</v>
      </c>
      <c r="D231" s="2" t="s">
        <v>2641</v>
      </c>
      <c r="E231" s="2" t="s">
        <v>349</v>
      </c>
      <c r="F231" s="2" t="s">
        <v>2642</v>
      </c>
      <c r="G231" s="2">
        <v>60415775</v>
      </c>
      <c r="H231" s="2" t="s">
        <v>33</v>
      </c>
      <c r="I231" s="2" t="s">
        <v>1059</v>
      </c>
      <c r="J231" s="2" t="s">
        <v>872</v>
      </c>
      <c r="K231" s="2" t="s">
        <v>97</v>
      </c>
      <c r="L231" s="2" t="s">
        <v>256</v>
      </c>
      <c r="M231" s="2" t="s">
        <v>30</v>
      </c>
      <c r="N231" s="2" t="s">
        <v>30</v>
      </c>
      <c r="O231" s="2" t="s">
        <v>155</v>
      </c>
      <c r="P231" t="s">
        <v>2980</v>
      </c>
      <c r="Q231" s="2" t="s">
        <v>102</v>
      </c>
      <c r="R231" s="2" t="s">
        <v>926</v>
      </c>
      <c r="S231" s="2" t="s">
        <v>930</v>
      </c>
      <c r="T231" s="2" t="s">
        <v>157</v>
      </c>
      <c r="U231" s="158">
        <v>3.71</v>
      </c>
      <c r="V231" s="151">
        <v>94.447999999999993</v>
      </c>
      <c r="W231" s="151">
        <v>350.40300000000002</v>
      </c>
      <c r="X231" s="164">
        <v>5.0000000000000001E-4</v>
      </c>
      <c r="Y231" s="164">
        <v>3.3568609332909997E-2</v>
      </c>
      <c r="Z231" s="164">
        <v>4.63145045823581E-3</v>
      </c>
    </row>
    <row r="232" spans="1:26">
      <c r="A232" s="2">
        <v>969</v>
      </c>
      <c r="B232" s="2">
        <v>969</v>
      </c>
      <c r="C232" s="2" t="s">
        <v>2648</v>
      </c>
      <c r="D232" s="2" t="s">
        <v>2649</v>
      </c>
      <c r="E232" s="2" t="s">
        <v>33</v>
      </c>
      <c r="F232" s="2" t="s">
        <v>2650</v>
      </c>
      <c r="G232" s="2">
        <v>62001189</v>
      </c>
      <c r="H232" s="2" t="s">
        <v>33</v>
      </c>
      <c r="I232" s="2" t="s">
        <v>1059</v>
      </c>
      <c r="J232" s="2" t="s">
        <v>887</v>
      </c>
      <c r="K232" s="2" t="s">
        <v>30</v>
      </c>
      <c r="L232" s="2" t="s">
        <v>256</v>
      </c>
      <c r="M232" s="2" t="s">
        <v>30</v>
      </c>
      <c r="N232" s="2" t="s">
        <v>30</v>
      </c>
      <c r="O232" s="2" t="s">
        <v>155</v>
      </c>
      <c r="P232" t="s">
        <v>2978</v>
      </c>
      <c r="Q232" s="2" t="s">
        <v>102</v>
      </c>
      <c r="R232" s="2" t="s">
        <v>926</v>
      </c>
      <c r="S232" s="2" t="s">
        <v>930</v>
      </c>
      <c r="T232" s="2" t="s">
        <v>157</v>
      </c>
      <c r="U232" s="158">
        <v>3.71</v>
      </c>
      <c r="V232" s="151">
        <v>45.569000000000003</v>
      </c>
      <c r="W232" s="151">
        <v>169.06</v>
      </c>
      <c r="X232" s="164">
        <v>4.6700000000000002E-4</v>
      </c>
      <c r="Y232" s="164">
        <v>1.61959528402804E-2</v>
      </c>
      <c r="Z232" s="164">
        <v>2.2345505129443399E-3</v>
      </c>
    </row>
    <row r="233" spans="1:26">
      <c r="A233" s="2">
        <v>969</v>
      </c>
      <c r="B233" s="2">
        <v>969</v>
      </c>
      <c r="C233" s="2" t="s">
        <v>2652</v>
      </c>
      <c r="D233" s="2" t="s">
        <v>2653</v>
      </c>
      <c r="E233" s="2" t="s">
        <v>33</v>
      </c>
      <c r="F233" s="2" t="s">
        <v>2652</v>
      </c>
      <c r="G233" s="2">
        <v>60401809</v>
      </c>
      <c r="H233" s="2" t="s">
        <v>33</v>
      </c>
      <c r="I233" s="2" t="s">
        <v>1059</v>
      </c>
      <c r="J233" s="2" t="s">
        <v>885</v>
      </c>
      <c r="K233" s="2" t="s">
        <v>97</v>
      </c>
      <c r="L233" s="2" t="s">
        <v>256</v>
      </c>
      <c r="M233" s="2" t="s">
        <v>30</v>
      </c>
      <c r="N233" s="2" t="s">
        <v>98</v>
      </c>
      <c r="O233" s="2" t="s">
        <v>155</v>
      </c>
      <c r="P233" t="s">
        <v>2981</v>
      </c>
      <c r="Q233" s="2" t="s">
        <v>102</v>
      </c>
      <c r="R233" s="2" t="s">
        <v>926</v>
      </c>
      <c r="S233" s="2" t="s">
        <v>930</v>
      </c>
      <c r="T233" s="2" t="s">
        <v>157</v>
      </c>
      <c r="U233" s="158">
        <v>3.71</v>
      </c>
      <c r="V233" s="151">
        <v>199.54400000000001</v>
      </c>
      <c r="W233" s="151">
        <v>740.30899999999997</v>
      </c>
      <c r="X233" s="164">
        <v>9.8999999999999999E-4</v>
      </c>
      <c r="Y233" s="164">
        <v>7.0921641297401999E-2</v>
      </c>
      <c r="Z233" s="164">
        <v>9.7850365151606802E-3</v>
      </c>
    </row>
    <row r="234" spans="1:26">
      <c r="A234" s="2">
        <v>969</v>
      </c>
      <c r="B234" s="2">
        <v>969</v>
      </c>
      <c r="C234" s="2" t="s">
        <v>2655</v>
      </c>
      <c r="D234" s="2" t="s">
        <v>2656</v>
      </c>
      <c r="E234" s="2" t="s">
        <v>349</v>
      </c>
      <c r="F234" s="2" t="s">
        <v>2657</v>
      </c>
      <c r="G234" s="2">
        <v>50000983</v>
      </c>
      <c r="H234" s="2" t="s">
        <v>33</v>
      </c>
      <c r="I234" s="2" t="s">
        <v>1059</v>
      </c>
      <c r="J234" s="2" t="s">
        <v>879</v>
      </c>
      <c r="K234" s="2" t="s">
        <v>97</v>
      </c>
      <c r="L234" s="2" t="s">
        <v>256</v>
      </c>
      <c r="M234" s="2" t="s">
        <v>30</v>
      </c>
      <c r="N234" s="2" t="s">
        <v>334</v>
      </c>
      <c r="O234" s="2" t="s">
        <v>155</v>
      </c>
      <c r="P234" t="s">
        <v>2658</v>
      </c>
      <c r="Q234" s="2" t="s">
        <v>34</v>
      </c>
      <c r="R234" s="2" t="s">
        <v>926</v>
      </c>
      <c r="S234" s="2" t="s">
        <v>930</v>
      </c>
      <c r="T234" s="2" t="s">
        <v>157</v>
      </c>
      <c r="U234" s="158">
        <v>1</v>
      </c>
      <c r="V234" s="151">
        <v>158.13900000000001</v>
      </c>
      <c r="W234" s="151">
        <v>158.13900000000001</v>
      </c>
      <c r="X234" s="164">
        <v>9.1000000000000003E-5</v>
      </c>
      <c r="Y234" s="164">
        <v>1.51497276421916E-2</v>
      </c>
      <c r="Z234" s="164">
        <v>2.0902031518412402E-3</v>
      </c>
    </row>
    <row r="235" spans="1:26">
      <c r="A235" s="2">
        <v>969</v>
      </c>
      <c r="B235" s="2">
        <v>969</v>
      </c>
      <c r="C235" s="2" t="s">
        <v>2663</v>
      </c>
      <c r="D235" s="2" t="s">
        <v>2664</v>
      </c>
      <c r="E235" s="2" t="s">
        <v>347</v>
      </c>
      <c r="F235" s="2" t="s">
        <v>2665</v>
      </c>
      <c r="G235" s="2">
        <v>60364742</v>
      </c>
      <c r="H235" s="2" t="s">
        <v>33</v>
      </c>
      <c r="I235" s="2" t="s">
        <v>1059</v>
      </c>
      <c r="J235" s="2" t="s">
        <v>885</v>
      </c>
      <c r="K235" s="2" t="s">
        <v>30</v>
      </c>
      <c r="L235" s="2" t="s">
        <v>256</v>
      </c>
      <c r="M235" s="2" t="s">
        <v>30</v>
      </c>
      <c r="N235" s="2" t="s">
        <v>30</v>
      </c>
      <c r="O235" s="2" t="s">
        <v>155</v>
      </c>
      <c r="P235" t="s">
        <v>2982</v>
      </c>
      <c r="Q235" s="2" t="s">
        <v>102</v>
      </c>
      <c r="R235" s="2" t="s">
        <v>926</v>
      </c>
      <c r="S235" s="2" t="s">
        <v>930</v>
      </c>
      <c r="T235" s="2" t="s">
        <v>157</v>
      </c>
      <c r="U235" s="158">
        <v>3.71</v>
      </c>
      <c r="V235" s="151">
        <v>107.434</v>
      </c>
      <c r="W235" s="151">
        <v>398.58100000000002</v>
      </c>
      <c r="X235" s="164">
        <v>2.2729999999999998E-3</v>
      </c>
      <c r="Y235" s="164">
        <v>3.8184070091263997E-2</v>
      </c>
      <c r="Z235" s="164">
        <v>5.2682441255651E-3</v>
      </c>
    </row>
    <row r="236" spans="1:26">
      <c r="A236" s="2">
        <v>969</v>
      </c>
      <c r="B236" s="2">
        <v>969</v>
      </c>
      <c r="C236" s="2" t="s">
        <v>2663</v>
      </c>
      <c r="D236" s="2" t="s">
        <v>2664</v>
      </c>
      <c r="E236" s="2" t="s">
        <v>347</v>
      </c>
      <c r="F236" s="2" t="s">
        <v>2667</v>
      </c>
      <c r="G236" s="2">
        <v>62002785</v>
      </c>
      <c r="H236" s="2" t="s">
        <v>33</v>
      </c>
      <c r="I236" s="2" t="s">
        <v>1059</v>
      </c>
      <c r="J236" s="2" t="s">
        <v>885</v>
      </c>
      <c r="K236" s="2" t="s">
        <v>30</v>
      </c>
      <c r="L236" s="2" t="s">
        <v>256</v>
      </c>
      <c r="M236" s="2" t="s">
        <v>30</v>
      </c>
      <c r="N236" s="2" t="s">
        <v>30</v>
      </c>
      <c r="O236" s="2" t="s">
        <v>155</v>
      </c>
      <c r="P236" t="s">
        <v>2979</v>
      </c>
      <c r="Q236" s="2" t="s">
        <v>102</v>
      </c>
      <c r="R236" s="2" t="s">
        <v>926</v>
      </c>
      <c r="S236" s="2" t="s">
        <v>930</v>
      </c>
      <c r="T236" s="2" t="s">
        <v>157</v>
      </c>
      <c r="U236" s="158">
        <v>3.71</v>
      </c>
      <c r="V236" s="151">
        <v>52.006</v>
      </c>
      <c r="W236" s="151">
        <v>192.94399999999999</v>
      </c>
      <c r="X236" s="164">
        <v>4.0700000000000003E-4</v>
      </c>
      <c r="Y236" s="164">
        <v>1.8484015087049801E-2</v>
      </c>
      <c r="Z236" s="164">
        <v>2.5502337405745902E-3</v>
      </c>
    </row>
    <row r="237" spans="1:26">
      <c r="A237" s="2">
        <v>969</v>
      </c>
      <c r="B237" s="2">
        <v>969</v>
      </c>
      <c r="C237" s="2" t="s">
        <v>2688</v>
      </c>
      <c r="D237" s="2" t="s">
        <v>2689</v>
      </c>
      <c r="E237" s="2" t="s">
        <v>194</v>
      </c>
      <c r="F237" s="2" t="s">
        <v>2690</v>
      </c>
      <c r="G237" s="2">
        <v>60406600</v>
      </c>
      <c r="H237" s="2" t="s">
        <v>33</v>
      </c>
      <c r="I237" s="2" t="s">
        <v>1059</v>
      </c>
      <c r="J237" s="2" t="s">
        <v>866</v>
      </c>
      <c r="K237" s="2" t="s">
        <v>97</v>
      </c>
      <c r="L237" s="2" t="s">
        <v>256</v>
      </c>
      <c r="M237" s="2" t="s">
        <v>30</v>
      </c>
      <c r="N237" s="2" t="s">
        <v>30</v>
      </c>
      <c r="O237" s="2" t="s">
        <v>155</v>
      </c>
      <c r="P237" t="s">
        <v>2983</v>
      </c>
      <c r="Q237" s="2" t="s">
        <v>102</v>
      </c>
      <c r="R237" s="2" t="s">
        <v>926</v>
      </c>
      <c r="S237" s="2" t="s">
        <v>930</v>
      </c>
      <c r="T237" s="2" t="s">
        <v>157</v>
      </c>
      <c r="U237" s="158">
        <v>3.71</v>
      </c>
      <c r="V237" s="151">
        <v>214.78100000000001</v>
      </c>
      <c r="W237" s="151">
        <v>796.83699999999999</v>
      </c>
      <c r="X237" s="164">
        <v>0</v>
      </c>
      <c r="Y237" s="164">
        <v>7.6337000233195604E-2</v>
      </c>
      <c r="Z237" s="164">
        <v>1.05321918821274E-2</v>
      </c>
    </row>
    <row r="238" spans="1:26">
      <c r="A238" s="2">
        <v>969</v>
      </c>
      <c r="B238" s="2">
        <v>969</v>
      </c>
      <c r="C238" s="2" t="s">
        <v>2711</v>
      </c>
      <c r="E238" s="2" t="s">
        <v>194</v>
      </c>
      <c r="F238" s="2" t="s">
        <v>2714</v>
      </c>
      <c r="G238" s="2">
        <v>62007349</v>
      </c>
      <c r="H238" s="2" t="s">
        <v>33</v>
      </c>
      <c r="I238" s="2" t="s">
        <v>1059</v>
      </c>
      <c r="J238" s="2" t="s">
        <v>887</v>
      </c>
      <c r="K238" s="2" t="s">
        <v>97</v>
      </c>
      <c r="L238" s="2" t="s">
        <v>256</v>
      </c>
      <c r="M238" s="2" t="s">
        <v>30</v>
      </c>
      <c r="N238" s="2" t="s">
        <v>30</v>
      </c>
      <c r="O238" s="2" t="s">
        <v>155</v>
      </c>
      <c r="P238" t="s">
        <v>2715</v>
      </c>
      <c r="Q238" s="2" t="s">
        <v>102</v>
      </c>
      <c r="R238" s="2" t="s">
        <v>926</v>
      </c>
      <c r="S238" s="2" t="s">
        <v>930</v>
      </c>
      <c r="T238" s="2" t="s">
        <v>157</v>
      </c>
      <c r="U238" s="158">
        <v>3.71</v>
      </c>
      <c r="V238" s="151">
        <v>120.096</v>
      </c>
      <c r="W238" s="151">
        <v>445.55599999999998</v>
      </c>
      <c r="X238" s="164">
        <v>4.1899999999999999E-4</v>
      </c>
      <c r="Y238" s="164">
        <v>4.2684330706987898E-2</v>
      </c>
      <c r="Z238" s="164">
        <v>5.88914366549454E-3</v>
      </c>
    </row>
    <row r="239" spans="1:26">
      <c r="A239" s="2">
        <v>969</v>
      </c>
      <c r="B239" s="2">
        <v>969</v>
      </c>
      <c r="C239" s="2" t="s">
        <v>2624</v>
      </c>
      <c r="D239" s="2" t="s">
        <v>2625</v>
      </c>
      <c r="E239" s="2" t="s">
        <v>348</v>
      </c>
      <c r="F239" s="2" t="s">
        <v>2730</v>
      </c>
      <c r="G239" s="2">
        <v>60400892</v>
      </c>
      <c r="H239" s="2" t="s">
        <v>33</v>
      </c>
      <c r="I239" s="2" t="s">
        <v>1059</v>
      </c>
      <c r="J239" s="2" t="s">
        <v>603</v>
      </c>
      <c r="K239" s="2" t="s">
        <v>30</v>
      </c>
      <c r="L239" s="2" t="s">
        <v>30</v>
      </c>
      <c r="M239" s="2" t="s">
        <v>30</v>
      </c>
      <c r="N239" s="2" t="s">
        <v>30</v>
      </c>
      <c r="O239" s="2" t="s">
        <v>155</v>
      </c>
      <c r="P239" t="s">
        <v>2984</v>
      </c>
      <c r="Q239" s="2" t="s">
        <v>102</v>
      </c>
      <c r="R239" s="2" t="s">
        <v>926</v>
      </c>
      <c r="S239" s="2" t="s">
        <v>930</v>
      </c>
      <c r="T239" s="2" t="s">
        <v>157</v>
      </c>
      <c r="U239" s="158">
        <v>3.71</v>
      </c>
      <c r="V239" s="151">
        <v>419.57900000000001</v>
      </c>
      <c r="W239" s="151">
        <v>1556.6369999999999</v>
      </c>
      <c r="X239" s="164">
        <v>0</v>
      </c>
      <c r="Y239" s="164">
        <v>0.149125928368809</v>
      </c>
      <c r="Z239" s="164">
        <v>2.0574857374310199E-2</v>
      </c>
    </row>
    <row r="240" spans="1:26">
      <c r="A240" s="2">
        <v>969</v>
      </c>
      <c r="B240" s="2">
        <v>969</v>
      </c>
      <c r="C240" s="2" t="s">
        <v>2723</v>
      </c>
      <c r="D240" s="2" t="s">
        <v>2724</v>
      </c>
      <c r="E240" s="2" t="s">
        <v>1342</v>
      </c>
      <c r="F240" s="2" t="s">
        <v>2723</v>
      </c>
      <c r="G240" s="2">
        <v>18952</v>
      </c>
      <c r="H240" s="2" t="s">
        <v>33</v>
      </c>
      <c r="I240" s="2" t="s">
        <v>1059</v>
      </c>
      <c r="J240" s="2" t="s">
        <v>870</v>
      </c>
      <c r="K240" s="2" t="s">
        <v>30</v>
      </c>
      <c r="L240" s="2" t="s">
        <v>30</v>
      </c>
      <c r="M240" s="2" t="s">
        <v>30</v>
      </c>
      <c r="N240" s="2" t="s">
        <v>30</v>
      </c>
      <c r="O240" s="2" t="s">
        <v>155</v>
      </c>
      <c r="P240" t="s">
        <v>2732</v>
      </c>
      <c r="Q240" s="2" t="s">
        <v>34</v>
      </c>
      <c r="R240" s="2" t="s">
        <v>926</v>
      </c>
      <c r="S240" s="2" t="s">
        <v>930</v>
      </c>
      <c r="T240" s="2" t="s">
        <v>157</v>
      </c>
      <c r="U240" s="158">
        <v>1</v>
      </c>
      <c r="V240" s="151">
        <v>76.73</v>
      </c>
      <c r="W240" s="151">
        <v>76.73</v>
      </c>
      <c r="X240" s="164">
        <v>1.8000000000000001E-4</v>
      </c>
      <c r="Y240" s="164">
        <v>7.3507589152933799E-3</v>
      </c>
      <c r="Z240" s="164">
        <v>1.0141818926421701E-3</v>
      </c>
    </row>
    <row r="241" spans="1:26">
      <c r="A241" s="2">
        <v>969</v>
      </c>
      <c r="B241" s="2">
        <v>969</v>
      </c>
      <c r="C241" s="2" t="s">
        <v>2755</v>
      </c>
      <c r="D241" s="2" t="s">
        <v>2756</v>
      </c>
      <c r="E241" s="2" t="s">
        <v>349</v>
      </c>
      <c r="F241" s="2" t="s">
        <v>2757</v>
      </c>
      <c r="G241" s="2">
        <v>62013909</v>
      </c>
      <c r="H241" s="2" t="s">
        <v>33</v>
      </c>
      <c r="I241" s="2" t="s">
        <v>1059</v>
      </c>
      <c r="J241" s="2" t="s">
        <v>873</v>
      </c>
      <c r="K241" s="2" t="s">
        <v>97</v>
      </c>
      <c r="L241" s="2" t="s">
        <v>256</v>
      </c>
      <c r="M241" s="2" t="s">
        <v>98</v>
      </c>
      <c r="N241" s="2" t="s">
        <v>98</v>
      </c>
      <c r="O241" s="2" t="s">
        <v>155</v>
      </c>
      <c r="P241" t="s">
        <v>2758</v>
      </c>
      <c r="Q241" s="2" t="s">
        <v>102</v>
      </c>
      <c r="R241" s="2" t="s">
        <v>926</v>
      </c>
      <c r="S241" s="2" t="s">
        <v>930</v>
      </c>
      <c r="T241" s="2" t="s">
        <v>157</v>
      </c>
      <c r="U241" s="158">
        <v>3.71</v>
      </c>
      <c r="V241" s="151">
        <v>60.341999999999999</v>
      </c>
      <c r="W241" s="151">
        <v>223.869</v>
      </c>
      <c r="X241" s="164">
        <v>1.333E-3</v>
      </c>
      <c r="Y241" s="164">
        <v>2.1446680627342701E-2</v>
      </c>
      <c r="Z241" s="164">
        <v>2.9589917721662301E-3</v>
      </c>
    </row>
    <row r="242" spans="1:26">
      <c r="A242" s="2">
        <v>969</v>
      </c>
      <c r="B242" s="2">
        <v>969</v>
      </c>
      <c r="C242" s="2" t="s">
        <v>2763</v>
      </c>
      <c r="D242" s="2" t="s">
        <v>2764</v>
      </c>
      <c r="E242" s="2" t="s">
        <v>349</v>
      </c>
      <c r="F242" s="2" t="s">
        <v>2765</v>
      </c>
      <c r="G242" s="2">
        <v>60419041</v>
      </c>
      <c r="H242" s="2" t="s">
        <v>33</v>
      </c>
      <c r="I242" s="2" t="s">
        <v>1059</v>
      </c>
      <c r="J242" s="2" t="s">
        <v>887</v>
      </c>
      <c r="K242" s="2" t="s">
        <v>97</v>
      </c>
      <c r="L242" s="2" t="s">
        <v>256</v>
      </c>
      <c r="M242" s="2" t="s">
        <v>98</v>
      </c>
      <c r="N242" s="2" t="s">
        <v>334</v>
      </c>
      <c r="O242" s="2" t="s">
        <v>155</v>
      </c>
      <c r="P242" t="s">
        <v>2985</v>
      </c>
      <c r="Q242" s="2" t="s">
        <v>102</v>
      </c>
      <c r="R242" s="2" t="s">
        <v>926</v>
      </c>
      <c r="S242" s="2" t="s">
        <v>930</v>
      </c>
      <c r="T242" s="2" t="s">
        <v>157</v>
      </c>
      <c r="U242" s="158">
        <v>3.71</v>
      </c>
      <c r="V242" s="151">
        <v>56.857999999999997</v>
      </c>
      <c r="W242" s="151">
        <v>210.94300000000001</v>
      </c>
      <c r="X242" s="164">
        <v>2.5000000000000001E-5</v>
      </c>
      <c r="Y242" s="164">
        <v>2.0208329688027798E-2</v>
      </c>
      <c r="Z242" s="164">
        <v>2.7881368830504098E-3</v>
      </c>
    </row>
    <row r="243" spans="1:26">
      <c r="A243" s="2">
        <v>969</v>
      </c>
      <c r="B243" s="2">
        <v>969</v>
      </c>
      <c r="C243" s="2" t="s">
        <v>2767</v>
      </c>
      <c r="D243" s="2" t="s">
        <v>2768</v>
      </c>
      <c r="E243" s="2" t="s">
        <v>349</v>
      </c>
      <c r="F243" s="2" t="s">
        <v>2769</v>
      </c>
      <c r="G243" s="2">
        <v>62016654</v>
      </c>
      <c r="H243" s="2" t="s">
        <v>33</v>
      </c>
      <c r="I243" s="2" t="s">
        <v>1059</v>
      </c>
      <c r="J243" s="2" t="s">
        <v>887</v>
      </c>
      <c r="K243" s="2" t="s">
        <v>97</v>
      </c>
      <c r="L243" s="2" t="s">
        <v>256</v>
      </c>
      <c r="M243" s="2" t="s">
        <v>98</v>
      </c>
      <c r="N243" s="2" t="s">
        <v>334</v>
      </c>
      <c r="O243" s="2" t="s">
        <v>155</v>
      </c>
      <c r="P243" t="s">
        <v>2770</v>
      </c>
      <c r="Q243" s="2" t="s">
        <v>102</v>
      </c>
      <c r="R243" s="2" t="s">
        <v>926</v>
      </c>
      <c r="S243" s="2" t="s">
        <v>930</v>
      </c>
      <c r="T243" s="2" t="s">
        <v>157</v>
      </c>
      <c r="U243" s="158">
        <v>3.71</v>
      </c>
      <c r="V243" s="151">
        <v>107.116</v>
      </c>
      <c r="W243" s="151">
        <v>397.399</v>
      </c>
      <c r="X243" s="164">
        <v>1.5999999999999999E-5</v>
      </c>
      <c r="Y243" s="164">
        <v>3.80708880181551E-2</v>
      </c>
      <c r="Z243" s="164">
        <v>5.2526284305815596E-3</v>
      </c>
    </row>
    <row r="244" spans="1:26">
      <c r="A244" s="2">
        <v>969</v>
      </c>
      <c r="B244" s="2">
        <v>969</v>
      </c>
      <c r="C244" s="2" t="s">
        <v>2775</v>
      </c>
      <c r="D244" s="2" t="s">
        <v>2776</v>
      </c>
      <c r="E244" s="2" t="s">
        <v>350</v>
      </c>
      <c r="F244" s="2" t="s">
        <v>2777</v>
      </c>
      <c r="G244" s="2">
        <v>62018064</v>
      </c>
      <c r="H244" s="2" t="s">
        <v>33</v>
      </c>
      <c r="I244" s="2" t="s">
        <v>1059</v>
      </c>
      <c r="J244" s="2" t="s">
        <v>872</v>
      </c>
      <c r="K244" s="2" t="s">
        <v>97</v>
      </c>
      <c r="L244" s="2" t="s">
        <v>256</v>
      </c>
      <c r="M244" s="2" t="s">
        <v>98</v>
      </c>
      <c r="N244" s="2" t="s">
        <v>329</v>
      </c>
      <c r="O244" s="2" t="s">
        <v>155</v>
      </c>
      <c r="P244" t="s">
        <v>2778</v>
      </c>
      <c r="Q244" s="2" t="s">
        <v>102</v>
      </c>
      <c r="R244" s="2" t="s">
        <v>194</v>
      </c>
      <c r="S244" s="2" t="s">
        <v>930</v>
      </c>
      <c r="T244" s="2" t="s">
        <v>157</v>
      </c>
      <c r="U244" s="158">
        <v>3.71</v>
      </c>
      <c r="V244" s="151">
        <v>137.13399999999999</v>
      </c>
      <c r="W244" s="151">
        <v>508.76600000000002</v>
      </c>
      <c r="X244" s="164">
        <v>8.5000000000000006E-5</v>
      </c>
      <c r="Y244" s="164">
        <v>4.87397888314361E-2</v>
      </c>
      <c r="Z244" s="164">
        <v>6.7246133159399001E-3</v>
      </c>
    </row>
    <row r="245" spans="1:26">
      <c r="A245" s="2">
        <v>969</v>
      </c>
      <c r="B245" s="2">
        <v>969</v>
      </c>
      <c r="C245" s="2" t="s">
        <v>2801</v>
      </c>
      <c r="D245" s="2" t="s">
        <v>2802</v>
      </c>
      <c r="E245" s="2" t="s">
        <v>350</v>
      </c>
      <c r="F245" s="2" t="s">
        <v>2803</v>
      </c>
      <c r="G245" s="2">
        <v>62003800</v>
      </c>
      <c r="H245" s="2" t="s">
        <v>33</v>
      </c>
      <c r="I245" s="2" t="s">
        <v>1059</v>
      </c>
      <c r="J245" s="2" t="s">
        <v>884</v>
      </c>
      <c r="K245" s="2" t="s">
        <v>97</v>
      </c>
      <c r="L245" s="2" t="s">
        <v>256</v>
      </c>
      <c r="M245" s="2" t="s">
        <v>98</v>
      </c>
      <c r="N245" s="2" t="s">
        <v>334</v>
      </c>
      <c r="O245" s="2" t="s">
        <v>155</v>
      </c>
      <c r="P245" t="s">
        <v>2892</v>
      </c>
      <c r="Q245" s="2" t="s">
        <v>102</v>
      </c>
      <c r="R245" s="2" t="s">
        <v>194</v>
      </c>
      <c r="S245" s="2" t="s">
        <v>930</v>
      </c>
      <c r="T245" s="2" t="s">
        <v>157</v>
      </c>
      <c r="U245" s="158">
        <v>3.71</v>
      </c>
      <c r="V245" s="151">
        <v>141.12</v>
      </c>
      <c r="W245" s="151">
        <v>523.55600000000004</v>
      </c>
      <c r="X245" s="164">
        <v>3.28E-4</v>
      </c>
      <c r="Y245" s="164">
        <v>5.0156674531196002E-2</v>
      </c>
      <c r="Z245" s="164">
        <v>6.9201005897301599E-3</v>
      </c>
    </row>
    <row r="246" spans="1:26">
      <c r="A246" s="2">
        <v>969</v>
      </c>
      <c r="B246" s="2">
        <v>969</v>
      </c>
      <c r="C246" s="2" t="s">
        <v>2801</v>
      </c>
      <c r="D246" s="2" t="s">
        <v>2802</v>
      </c>
      <c r="E246" s="2" t="s">
        <v>350</v>
      </c>
      <c r="F246" s="2" t="s">
        <v>2805</v>
      </c>
      <c r="G246" s="2">
        <v>620101031</v>
      </c>
      <c r="H246" s="2" t="s">
        <v>33</v>
      </c>
      <c r="I246" s="2" t="s">
        <v>1059</v>
      </c>
      <c r="J246" s="2" t="s">
        <v>603</v>
      </c>
      <c r="K246" s="2" t="s">
        <v>97</v>
      </c>
      <c r="L246" s="2" t="s">
        <v>256</v>
      </c>
      <c r="M246" s="2" t="s">
        <v>98</v>
      </c>
      <c r="N246" s="2" t="s">
        <v>98</v>
      </c>
      <c r="O246" s="2" t="s">
        <v>155</v>
      </c>
      <c r="P246" t="s">
        <v>2676</v>
      </c>
      <c r="Q246" s="2" t="s">
        <v>102</v>
      </c>
      <c r="R246" s="2" t="s">
        <v>194</v>
      </c>
      <c r="S246" s="2" t="s">
        <v>930</v>
      </c>
      <c r="T246" s="2" t="s">
        <v>157</v>
      </c>
      <c r="U246" s="158">
        <v>3.71</v>
      </c>
      <c r="V246" s="151">
        <v>84.168999999999997</v>
      </c>
      <c r="W246" s="151">
        <v>312.26600000000002</v>
      </c>
      <c r="X246" s="164">
        <v>0</v>
      </c>
      <c r="Y246" s="164">
        <v>2.9915103573998399E-2</v>
      </c>
      <c r="Z246" s="164">
        <v>4.1273774192407296E-3</v>
      </c>
    </row>
    <row r="247" spans="1:26">
      <c r="A247" s="2">
        <v>969</v>
      </c>
      <c r="B247" s="2">
        <v>969</v>
      </c>
      <c r="C247" s="2" t="s">
        <v>2801</v>
      </c>
      <c r="D247" s="2" t="s">
        <v>2802</v>
      </c>
      <c r="E247" s="2" t="s">
        <v>350</v>
      </c>
      <c r="F247" s="2" t="s">
        <v>2806</v>
      </c>
      <c r="G247" s="2">
        <v>62014857</v>
      </c>
      <c r="H247" s="2" t="s">
        <v>33</v>
      </c>
      <c r="I247" s="2" t="s">
        <v>1059</v>
      </c>
      <c r="J247" s="2" t="s">
        <v>884</v>
      </c>
      <c r="K247" s="2" t="s">
        <v>97</v>
      </c>
      <c r="L247" s="2" t="s">
        <v>256</v>
      </c>
      <c r="M247" s="2" t="s">
        <v>98</v>
      </c>
      <c r="N247" s="2" t="s">
        <v>334</v>
      </c>
      <c r="O247" s="2" t="s">
        <v>155</v>
      </c>
      <c r="P247" t="s">
        <v>2807</v>
      </c>
      <c r="Q247" s="2" t="s">
        <v>102</v>
      </c>
      <c r="R247" s="2" t="s">
        <v>926</v>
      </c>
      <c r="S247" s="2" t="s">
        <v>930</v>
      </c>
      <c r="T247" s="2" t="s">
        <v>157</v>
      </c>
      <c r="U247" s="158">
        <v>3.71</v>
      </c>
      <c r="V247" s="151">
        <v>79.733000000000004</v>
      </c>
      <c r="W247" s="151">
        <v>295.80799999999999</v>
      </c>
      <c r="X247" s="164">
        <v>9.1000000000000003E-5</v>
      </c>
      <c r="Y247" s="164">
        <v>2.8338428627466501E-2</v>
      </c>
      <c r="Z247" s="164">
        <v>3.9098440733941701E-3</v>
      </c>
    </row>
    <row r="248" spans="1:26">
      <c r="A248" s="2">
        <v>969</v>
      </c>
      <c r="B248" s="2">
        <v>969</v>
      </c>
      <c r="C248" s="2" t="s">
        <v>2801</v>
      </c>
      <c r="D248" s="2" t="s">
        <v>2802</v>
      </c>
      <c r="E248" s="2" t="s">
        <v>350</v>
      </c>
      <c r="F248" s="2" t="s">
        <v>2811</v>
      </c>
      <c r="G248" s="2">
        <v>62017678</v>
      </c>
      <c r="H248" s="2" t="s">
        <v>33</v>
      </c>
      <c r="I248" s="2" t="s">
        <v>1059</v>
      </c>
      <c r="J248" s="2" t="s">
        <v>878</v>
      </c>
      <c r="K248" s="2" t="s">
        <v>97</v>
      </c>
      <c r="L248" s="2" t="s">
        <v>256</v>
      </c>
      <c r="M248" s="2" t="s">
        <v>98</v>
      </c>
      <c r="N248" s="2" t="s">
        <v>334</v>
      </c>
      <c r="O248" s="2" t="s">
        <v>155</v>
      </c>
      <c r="P248" t="s">
        <v>2812</v>
      </c>
      <c r="Q248" s="2" t="s">
        <v>102</v>
      </c>
      <c r="R248" s="2" t="s">
        <v>194</v>
      </c>
      <c r="S248" s="2" t="s">
        <v>930</v>
      </c>
      <c r="T248" s="2" t="s">
        <v>157</v>
      </c>
      <c r="U248" s="158">
        <v>3.71</v>
      </c>
      <c r="V248" s="151">
        <v>152.268</v>
      </c>
      <c r="W248" s="151">
        <v>564.91499999999996</v>
      </c>
      <c r="X248" s="164">
        <v>2.5900000000000001E-4</v>
      </c>
      <c r="Y248" s="164">
        <v>5.4118915305588502E-2</v>
      </c>
      <c r="Z248" s="164">
        <v>7.4667697015843E-3</v>
      </c>
    </row>
    <row r="249" spans="1:26">
      <c r="A249" s="2">
        <v>969</v>
      </c>
      <c r="B249" s="2">
        <v>969</v>
      </c>
      <c r="C249" s="2" t="s">
        <v>2826</v>
      </c>
      <c r="D249" s="2" t="s">
        <v>2827</v>
      </c>
      <c r="E249" s="2" t="s">
        <v>350</v>
      </c>
      <c r="F249" s="2" t="s">
        <v>2828</v>
      </c>
      <c r="G249" s="2">
        <v>77847846</v>
      </c>
      <c r="H249" s="2" t="s">
        <v>33</v>
      </c>
      <c r="I249" s="2" t="s">
        <v>1059</v>
      </c>
      <c r="J249" s="2" t="s">
        <v>603</v>
      </c>
      <c r="K249" s="2" t="s">
        <v>97</v>
      </c>
      <c r="L249" s="2" t="s">
        <v>291</v>
      </c>
      <c r="M249" s="2" t="s">
        <v>291</v>
      </c>
      <c r="N249" s="2" t="s">
        <v>98</v>
      </c>
      <c r="O249" s="2" t="s">
        <v>155</v>
      </c>
      <c r="P249" t="s">
        <v>2829</v>
      </c>
      <c r="Q249" s="2" t="s">
        <v>102</v>
      </c>
      <c r="R249" s="2" t="s">
        <v>926</v>
      </c>
      <c r="S249" s="2" t="s">
        <v>930</v>
      </c>
      <c r="T249" s="2" t="s">
        <v>157</v>
      </c>
      <c r="U249" s="158">
        <v>3.71</v>
      </c>
      <c r="V249" s="151">
        <v>392.101</v>
      </c>
      <c r="W249" s="151">
        <v>1454.6949999999999</v>
      </c>
      <c r="X249" s="164">
        <v>0</v>
      </c>
      <c r="Y249" s="164">
        <v>0.13935986270796399</v>
      </c>
      <c r="Z249" s="164">
        <v>1.92274363706126E-2</v>
      </c>
    </row>
    <row r="250" spans="1:26">
      <c r="A250" s="2">
        <v>969</v>
      </c>
      <c r="B250" s="2">
        <v>969</v>
      </c>
      <c r="C250" s="2" t="s">
        <v>2858</v>
      </c>
      <c r="D250" s="2" t="s">
        <v>2859</v>
      </c>
      <c r="E250" s="2" t="s">
        <v>349</v>
      </c>
      <c r="F250" s="2" t="s">
        <v>2860</v>
      </c>
      <c r="G250" s="2">
        <v>62021324</v>
      </c>
      <c r="H250" s="2" t="s">
        <v>33</v>
      </c>
      <c r="I250" s="2" t="s">
        <v>1059</v>
      </c>
      <c r="J250" s="2" t="s">
        <v>877</v>
      </c>
      <c r="K250" s="2" t="s">
        <v>97</v>
      </c>
      <c r="L250" s="2" t="s">
        <v>256</v>
      </c>
      <c r="M250" s="2" t="s">
        <v>98</v>
      </c>
      <c r="N250" s="2" t="s">
        <v>98</v>
      </c>
      <c r="O250" s="2" t="s">
        <v>155</v>
      </c>
      <c r="P250" t="s">
        <v>2857</v>
      </c>
      <c r="Q250" s="2" t="s">
        <v>102</v>
      </c>
      <c r="R250" s="2" t="s">
        <v>926</v>
      </c>
      <c r="S250" s="2" t="s">
        <v>930</v>
      </c>
      <c r="T250" s="2" t="s">
        <v>157</v>
      </c>
      <c r="U250" s="158">
        <v>3.71</v>
      </c>
      <c r="V250" s="151">
        <v>25.652999999999999</v>
      </c>
      <c r="W250" s="151">
        <v>95.174000000000007</v>
      </c>
      <c r="X250" s="164">
        <v>0</v>
      </c>
      <c r="Y250" s="164">
        <v>9.1177115041743192E-3</v>
      </c>
      <c r="Z250" s="164">
        <v>1.2579677848813999E-3</v>
      </c>
    </row>
    <row r="251" spans="1:26">
      <c r="A251" s="2">
        <v>969</v>
      </c>
      <c r="B251" s="2">
        <v>969</v>
      </c>
      <c r="C251" s="2" t="s">
        <v>2875</v>
      </c>
      <c r="D251" s="2" t="s">
        <v>2876</v>
      </c>
      <c r="E251" s="2" t="s">
        <v>349</v>
      </c>
      <c r="F251" s="2" t="s">
        <v>2877</v>
      </c>
      <c r="G251" s="2">
        <v>62009204</v>
      </c>
      <c r="H251" s="2" t="s">
        <v>33</v>
      </c>
      <c r="I251" s="2" t="s">
        <v>1059</v>
      </c>
      <c r="J251" s="2" t="s">
        <v>867</v>
      </c>
      <c r="K251" s="2" t="s">
        <v>97</v>
      </c>
      <c r="L251" s="2" t="s">
        <v>291</v>
      </c>
      <c r="M251" s="2" t="s">
        <v>271</v>
      </c>
      <c r="N251" s="2" t="s">
        <v>334</v>
      </c>
      <c r="O251" s="2" t="s">
        <v>155</v>
      </c>
      <c r="P251" t="s">
        <v>2878</v>
      </c>
      <c r="Q251" s="2" t="s">
        <v>102</v>
      </c>
      <c r="R251" s="2" t="s">
        <v>194</v>
      </c>
      <c r="S251" s="2" t="s">
        <v>930</v>
      </c>
      <c r="T251" s="2" t="s">
        <v>157</v>
      </c>
      <c r="U251" s="158">
        <v>3.71</v>
      </c>
      <c r="V251" s="151">
        <v>102.029</v>
      </c>
      <c r="W251" s="151">
        <v>378.52699999999999</v>
      </c>
      <c r="X251" s="164">
        <v>9.7E-5</v>
      </c>
      <c r="Y251" s="164">
        <v>3.6262861401145499E-2</v>
      </c>
      <c r="Z251" s="164">
        <v>5.0031755676164403E-3</v>
      </c>
    </row>
    <row r="252" spans="1:26">
      <c r="A252" s="2">
        <v>969</v>
      </c>
      <c r="B252" s="2">
        <v>969</v>
      </c>
      <c r="C252" s="2" t="s">
        <v>2889</v>
      </c>
      <c r="D252" s="2" t="s">
        <v>2890</v>
      </c>
      <c r="E252" s="2" t="s">
        <v>349</v>
      </c>
      <c r="F252" s="2" t="s">
        <v>2891</v>
      </c>
      <c r="G252" s="2">
        <v>62010137</v>
      </c>
      <c r="H252" s="2" t="s">
        <v>33</v>
      </c>
      <c r="I252" s="2" t="s">
        <v>1059</v>
      </c>
      <c r="J252" s="2" t="s">
        <v>887</v>
      </c>
      <c r="K252" s="2" t="s">
        <v>97</v>
      </c>
      <c r="L252" s="2" t="s">
        <v>291</v>
      </c>
      <c r="M252" s="2" t="s">
        <v>271</v>
      </c>
      <c r="N252" s="2" t="s">
        <v>334</v>
      </c>
      <c r="O252" s="2" t="s">
        <v>155</v>
      </c>
      <c r="P252" t="s">
        <v>2892</v>
      </c>
      <c r="Q252" s="2" t="s">
        <v>102</v>
      </c>
      <c r="R252" s="2" t="s">
        <v>926</v>
      </c>
      <c r="S252" s="2" t="s">
        <v>930</v>
      </c>
      <c r="T252" s="2" t="s">
        <v>157</v>
      </c>
      <c r="U252" s="158">
        <v>3.71</v>
      </c>
      <c r="V252" s="151">
        <v>69.805999999999997</v>
      </c>
      <c r="W252" s="151">
        <v>258.98099999999999</v>
      </c>
      <c r="X252" s="164">
        <v>2.9E-5</v>
      </c>
      <c r="Y252" s="164">
        <v>2.4810376507829499E-2</v>
      </c>
      <c r="Z252" s="164">
        <v>3.4230798335019501E-3</v>
      </c>
    </row>
    <row r="1048574" spans="12:12">
      <c r="L1048574" s="20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L1048574:L1048576" xr:uid="{00000000-0002-0000-1300-000006000000}">
      <formula1>Country</formula1>
    </dataValidation>
    <dataValidation type="list" allowBlank="1" showInputMessage="1" showErrorMessage="1" sqref="E2:E20" xr:uid="{00000000-0002-0000-1300-000007000000}">
      <formula1>Issuer_Number_Fund</formula1>
    </dataValidation>
    <dataValidation type="list" allowBlank="1" showInputMessage="1" showErrorMessage="1" sqref="H2:H20" xr:uid="{00000000-0002-0000-1300-000008000000}">
      <formula1>Type_of_Security_ID_Fund</formula1>
    </dataValidation>
    <dataValidation type="list" allowBlank="1" showInputMessage="1" showErrorMessage="1" sqref="N2:N20" xr:uid="{00000000-0002-0000-1300-000009000000}">
      <formula1>Country_list_funds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I2:I24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B24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10" width="11.625" style="2" customWidth="1"/>
    <col min="11" max="11" width="11.625" style="4" customWidth="1"/>
    <col min="12" max="29" width="11.625" style="2" customWidth="1"/>
    <col min="30" max="30" width="9" style="2" customWidth="1"/>
    <col min="31" max="16384" width="9" style="2"/>
  </cols>
  <sheetData>
    <row r="1" spans="1:28" ht="66.75" customHeight="1">
      <c r="A1" s="19" t="s">
        <v>0</v>
      </c>
      <c r="B1" s="19" t="s">
        <v>1</v>
      </c>
      <c r="C1" s="19" t="s">
        <v>2</v>
      </c>
      <c r="D1" s="19" t="s">
        <v>173</v>
      </c>
      <c r="E1" s="19" t="s">
        <v>174</v>
      </c>
      <c r="F1" s="19" t="s">
        <v>3</v>
      </c>
      <c r="G1" s="19" t="s">
        <v>4</v>
      </c>
      <c r="H1" s="19" t="s">
        <v>175</v>
      </c>
      <c r="I1" s="19" t="s">
        <v>6</v>
      </c>
      <c r="J1" s="19" t="s">
        <v>7</v>
      </c>
      <c r="K1" s="19" t="s">
        <v>361</v>
      </c>
      <c r="L1" s="19" t="s">
        <v>1150</v>
      </c>
      <c r="M1" s="19" t="s">
        <v>176</v>
      </c>
      <c r="N1" s="19" t="s">
        <v>1151</v>
      </c>
      <c r="O1" s="19" t="s">
        <v>141</v>
      </c>
      <c r="P1" s="19" t="s">
        <v>184</v>
      </c>
      <c r="Q1" s="19" t="s">
        <v>11</v>
      </c>
      <c r="R1" s="19" t="s">
        <v>177</v>
      </c>
      <c r="S1" s="19" t="s">
        <v>178</v>
      </c>
      <c r="T1" s="19" t="s">
        <v>150</v>
      </c>
      <c r="U1" s="19" t="s">
        <v>1152</v>
      </c>
      <c r="V1" s="19" t="s">
        <v>1153</v>
      </c>
      <c r="W1" s="19" t="s">
        <v>17</v>
      </c>
      <c r="X1" s="19" t="s">
        <v>19</v>
      </c>
      <c r="Y1" s="19" t="s">
        <v>18</v>
      </c>
      <c r="Z1" s="19" t="s">
        <v>20</v>
      </c>
      <c r="AA1" s="19" t="s">
        <v>24</v>
      </c>
      <c r="AB1" s="19" t="s">
        <v>25</v>
      </c>
    </row>
    <row r="2" spans="1:28">
      <c r="A2" s="20"/>
      <c r="B2" s="20"/>
      <c r="C2" s="20"/>
      <c r="D2" s="20"/>
      <c r="E2" s="18"/>
      <c r="F2" s="20"/>
      <c r="G2" s="20"/>
      <c r="H2" s="20"/>
      <c r="I2" s="18"/>
      <c r="J2" s="18"/>
      <c r="K2" s="20"/>
      <c r="L2" s="20"/>
      <c r="M2" s="20"/>
      <c r="N2" s="20"/>
      <c r="O2" s="20"/>
      <c r="P2" s="20"/>
      <c r="Q2" s="18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spans="1:28">
      <c r="A3" s="20"/>
      <c r="B3" s="20"/>
      <c r="C3" s="20"/>
      <c r="D3" s="20"/>
      <c r="E3" s="18"/>
      <c r="F3" s="20"/>
      <c r="G3" s="20"/>
      <c r="H3" s="20"/>
      <c r="I3" s="18"/>
      <c r="J3" s="18"/>
      <c r="K3" s="20"/>
      <c r="L3" s="20"/>
      <c r="M3" s="20"/>
      <c r="N3" s="20"/>
      <c r="O3" s="20"/>
      <c r="P3" s="20"/>
      <c r="Q3" s="18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spans="1:28">
      <c r="A4" s="20"/>
      <c r="B4" s="20"/>
      <c r="C4" s="20"/>
      <c r="D4" s="20"/>
      <c r="E4" s="18"/>
      <c r="F4" s="20"/>
      <c r="G4" s="20"/>
      <c r="H4" s="20"/>
      <c r="I4" s="18"/>
      <c r="J4" s="18"/>
      <c r="K4" s="20"/>
      <c r="L4" s="20"/>
      <c r="M4" s="20"/>
      <c r="N4" s="20"/>
      <c r="O4" s="20"/>
      <c r="P4" s="20"/>
      <c r="Q4" s="18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 spans="1:28">
      <c r="A5" s="20"/>
      <c r="B5" s="20"/>
      <c r="C5" s="20"/>
      <c r="D5" s="20"/>
      <c r="E5" s="18"/>
      <c r="F5" s="20"/>
      <c r="G5" s="20"/>
      <c r="H5" s="20"/>
      <c r="I5" s="18"/>
      <c r="J5" s="18"/>
      <c r="K5" s="20"/>
      <c r="L5" s="20"/>
      <c r="M5" s="20"/>
      <c r="N5" s="20"/>
      <c r="O5" s="20"/>
      <c r="P5" s="20"/>
      <c r="Q5" s="18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 spans="1:28">
      <c r="A6" s="20"/>
      <c r="B6" s="20"/>
      <c r="C6" s="20"/>
      <c r="D6" s="20"/>
      <c r="E6" s="18"/>
      <c r="F6" s="20"/>
      <c r="G6" s="20"/>
      <c r="H6" s="20"/>
      <c r="I6" s="18"/>
      <c r="J6" s="18"/>
      <c r="K6" s="20"/>
      <c r="L6" s="20"/>
      <c r="M6" s="20"/>
      <c r="N6" s="20"/>
      <c r="O6" s="20"/>
      <c r="P6" s="20"/>
      <c r="Q6" s="18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</row>
    <row r="7" spans="1:28">
      <c r="A7" s="20"/>
      <c r="B7" s="20"/>
      <c r="C7" s="20"/>
      <c r="D7" s="20"/>
      <c r="E7" s="18"/>
      <c r="F7" s="20"/>
      <c r="G7" s="20"/>
      <c r="H7" s="20"/>
      <c r="I7" s="18"/>
      <c r="J7" s="18"/>
      <c r="K7" s="20"/>
      <c r="L7" s="20"/>
      <c r="M7" s="20"/>
      <c r="N7" s="20"/>
      <c r="O7" s="20"/>
      <c r="P7" s="20"/>
      <c r="Q7" s="18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 spans="1:28">
      <c r="A8" s="20"/>
      <c r="B8" s="20"/>
      <c r="C8" s="20"/>
      <c r="D8" s="20"/>
      <c r="E8" s="18"/>
      <c r="F8" s="20"/>
      <c r="G8" s="20"/>
      <c r="H8" s="20"/>
      <c r="I8" s="18"/>
      <c r="J8" s="18"/>
      <c r="K8" s="20"/>
      <c r="L8" s="20"/>
      <c r="M8" s="20"/>
      <c r="N8" s="20"/>
      <c r="O8" s="20"/>
      <c r="P8" s="20"/>
      <c r="Q8" s="18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 spans="1:28">
      <c r="A9" s="20"/>
      <c r="B9" s="20"/>
      <c r="C9" s="20"/>
      <c r="D9" s="20"/>
      <c r="E9" s="18"/>
      <c r="F9" s="20"/>
      <c r="G9" s="20"/>
      <c r="H9" s="20"/>
      <c r="I9" s="18"/>
      <c r="J9" s="18"/>
      <c r="K9" s="20"/>
      <c r="L9" s="20"/>
      <c r="M9" s="20"/>
      <c r="N9" s="20"/>
      <c r="O9" s="20"/>
      <c r="P9" s="20"/>
      <c r="Q9" s="18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 spans="1:28">
      <c r="A10" s="20"/>
      <c r="B10" s="20"/>
      <c r="C10" s="20"/>
      <c r="D10" s="20"/>
      <c r="E10" s="18"/>
      <c r="F10" s="20"/>
      <c r="G10" s="20"/>
      <c r="H10" s="20"/>
      <c r="I10" s="18"/>
      <c r="J10" s="18"/>
      <c r="K10" s="20"/>
      <c r="L10" s="20"/>
      <c r="M10" s="20"/>
      <c r="N10" s="20"/>
      <c r="O10" s="20"/>
      <c r="P10" s="20"/>
      <c r="Q10" s="18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 spans="1:28">
      <c r="A11" s="20"/>
      <c r="B11" s="20"/>
      <c r="C11" s="20"/>
      <c r="D11" s="20"/>
      <c r="E11" s="18"/>
      <c r="F11" s="20"/>
      <c r="G11" s="20"/>
      <c r="H11" s="20"/>
      <c r="I11" s="18"/>
      <c r="J11" s="18"/>
      <c r="K11" s="20"/>
      <c r="L11" s="20"/>
      <c r="M11" s="20"/>
      <c r="N11" s="20"/>
      <c r="O11" s="20"/>
      <c r="P11" s="20"/>
      <c r="Q11" s="18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 spans="1:28">
      <c r="A12" s="20"/>
      <c r="B12" s="20"/>
      <c r="C12" s="20"/>
      <c r="D12" s="20"/>
      <c r="E12" s="18"/>
      <c r="F12" s="20"/>
      <c r="G12" s="20"/>
      <c r="H12" s="20"/>
      <c r="I12" s="18"/>
      <c r="J12" s="18"/>
      <c r="K12" s="20"/>
      <c r="L12" s="20"/>
      <c r="M12" s="20"/>
      <c r="N12" s="20"/>
      <c r="O12" s="20"/>
      <c r="P12" s="20"/>
      <c r="Q12" s="18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 spans="1:28">
      <c r="A13" s="20"/>
      <c r="B13" s="20"/>
      <c r="C13" s="20"/>
      <c r="D13" s="20"/>
      <c r="E13" s="18"/>
      <c r="F13" s="20"/>
      <c r="G13" s="20"/>
      <c r="H13" s="20"/>
      <c r="I13" s="18"/>
      <c r="J13" s="18"/>
      <c r="K13" s="20"/>
      <c r="L13" s="20"/>
      <c r="M13" s="20"/>
      <c r="N13" s="20"/>
      <c r="O13" s="20"/>
      <c r="P13" s="20"/>
      <c r="Q13" s="18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 spans="1:28">
      <c r="A14" s="20"/>
      <c r="B14" s="20"/>
      <c r="C14" s="20"/>
      <c r="D14" s="20"/>
      <c r="E14" s="18"/>
      <c r="F14" s="20"/>
      <c r="G14" s="20"/>
      <c r="H14" s="20"/>
      <c r="I14" s="18"/>
      <c r="J14" s="18"/>
      <c r="K14" s="20"/>
      <c r="L14" s="20"/>
      <c r="M14" s="20"/>
      <c r="N14" s="20"/>
      <c r="O14" s="20"/>
      <c r="P14" s="20"/>
      <c r="Q14" s="18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spans="1:28">
      <c r="A15" s="20"/>
      <c r="B15" s="20"/>
      <c r="C15" s="20"/>
      <c r="D15" s="20"/>
      <c r="E15" s="18"/>
      <c r="F15" s="20"/>
      <c r="G15" s="20"/>
      <c r="H15" s="20"/>
      <c r="I15" s="18"/>
      <c r="J15" s="18"/>
      <c r="K15" s="20"/>
      <c r="L15" s="20"/>
      <c r="M15" s="20"/>
      <c r="N15" s="20"/>
      <c r="O15" s="20"/>
      <c r="P15" s="20"/>
      <c r="Q15" s="18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 spans="1:28">
      <c r="A16" s="20"/>
      <c r="B16" s="20"/>
      <c r="C16" s="20"/>
      <c r="D16" s="20"/>
      <c r="E16" s="18"/>
      <c r="F16" s="20"/>
      <c r="G16" s="20"/>
      <c r="H16" s="20"/>
      <c r="I16" s="18"/>
      <c r="J16" s="18"/>
      <c r="K16" s="20"/>
      <c r="L16" s="20"/>
      <c r="M16" s="20"/>
      <c r="N16" s="20"/>
      <c r="O16" s="20"/>
      <c r="P16" s="20"/>
      <c r="Q16" s="18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 spans="1:28">
      <c r="A17" s="20"/>
      <c r="B17" s="20"/>
      <c r="C17" s="20"/>
      <c r="D17" s="20"/>
      <c r="E17" s="18"/>
      <c r="F17" s="20"/>
      <c r="G17" s="20"/>
      <c r="H17" s="20"/>
      <c r="I17" s="18"/>
      <c r="J17" s="18"/>
      <c r="K17" s="20"/>
      <c r="L17" s="20"/>
      <c r="M17" s="20"/>
      <c r="N17" s="20"/>
      <c r="O17" s="20"/>
      <c r="P17" s="20"/>
      <c r="Q17" s="18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 spans="1:28">
      <c r="A18" s="20"/>
      <c r="B18" s="20"/>
      <c r="C18" s="20"/>
      <c r="D18" s="20"/>
      <c r="E18" s="18"/>
      <c r="F18" s="20"/>
      <c r="G18" s="20"/>
      <c r="H18" s="20"/>
      <c r="I18" s="18"/>
      <c r="J18" s="18"/>
      <c r="K18" s="20"/>
      <c r="L18" s="20"/>
      <c r="M18" s="20"/>
      <c r="N18" s="20"/>
      <c r="O18" s="20"/>
      <c r="P18" s="20"/>
      <c r="Q18" s="18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 spans="1:28">
      <c r="A19" s="20"/>
      <c r="B19" s="20"/>
      <c r="C19" s="20"/>
      <c r="D19" s="20"/>
      <c r="E19" s="18"/>
      <c r="F19" s="20"/>
      <c r="G19" s="20"/>
      <c r="H19" s="20"/>
      <c r="I19" s="18"/>
      <c r="J19" s="18"/>
      <c r="K19" s="20"/>
      <c r="L19" s="20"/>
      <c r="M19" s="20"/>
      <c r="N19" s="20"/>
      <c r="O19" s="20"/>
      <c r="P19" s="20"/>
      <c r="Q19" s="18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 spans="1:28">
      <c r="E20" s="18"/>
      <c r="H20" s="20"/>
      <c r="I20" s="18"/>
      <c r="J20" s="18"/>
      <c r="K20" s="20"/>
      <c r="M20" s="20"/>
      <c r="O20" s="20"/>
      <c r="S20" s="20"/>
    </row>
    <row r="24" spans="1:28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B20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9" width="11.625" style="2" customWidth="1"/>
    <col min="30" max="30" width="9" style="2" customWidth="1"/>
    <col min="31" max="16384" width="9" style="2"/>
  </cols>
  <sheetData>
    <row r="1" spans="1:28" ht="66.75" customHeight="1">
      <c r="A1" s="19" t="s">
        <v>0</v>
      </c>
      <c r="B1" s="19" t="s">
        <v>1</v>
      </c>
      <c r="C1" s="19" t="s">
        <v>2</v>
      </c>
      <c r="D1" s="19" t="s">
        <v>173</v>
      </c>
      <c r="E1" s="19" t="s">
        <v>174</v>
      </c>
      <c r="F1" s="19" t="s">
        <v>3</v>
      </c>
      <c r="G1" s="19" t="s">
        <v>4</v>
      </c>
      <c r="H1" s="19" t="s">
        <v>175</v>
      </c>
      <c r="I1" s="19" t="s">
        <v>5</v>
      </c>
      <c r="J1" s="19" t="s">
        <v>6</v>
      </c>
      <c r="K1" s="19" t="s">
        <v>7</v>
      </c>
      <c r="L1" s="19" t="s">
        <v>176</v>
      </c>
      <c r="M1" s="19" t="s">
        <v>210</v>
      </c>
      <c r="N1" s="19" t="s">
        <v>1151</v>
      </c>
      <c r="O1" s="19" t="s">
        <v>141</v>
      </c>
      <c r="P1" s="19" t="s">
        <v>184</v>
      </c>
      <c r="Q1" s="19" t="s">
        <v>11</v>
      </c>
      <c r="R1" s="19" t="s">
        <v>177</v>
      </c>
      <c r="S1" s="19" t="s">
        <v>178</v>
      </c>
      <c r="T1" s="19" t="s">
        <v>150</v>
      </c>
      <c r="U1" s="19" t="s">
        <v>1152</v>
      </c>
      <c r="V1" s="19" t="s">
        <v>1153</v>
      </c>
      <c r="W1" s="19" t="s">
        <v>17</v>
      </c>
      <c r="X1" s="19" t="s">
        <v>19</v>
      </c>
      <c r="Y1" s="19" t="s">
        <v>18</v>
      </c>
      <c r="Z1" s="19" t="s">
        <v>1523</v>
      </c>
      <c r="AA1" s="19" t="s">
        <v>24</v>
      </c>
      <c r="AB1" s="19" t="s">
        <v>25</v>
      </c>
    </row>
    <row r="2" spans="1:28">
      <c r="A2" s="20"/>
      <c r="B2" s="20"/>
      <c r="C2" s="20"/>
      <c r="D2" s="20"/>
      <c r="E2" s="18"/>
      <c r="F2" s="20"/>
      <c r="G2" s="20"/>
      <c r="H2" s="20"/>
      <c r="I2" s="20"/>
      <c r="J2" s="18"/>
      <c r="K2" s="18"/>
      <c r="L2" s="20"/>
      <c r="M2" s="20"/>
      <c r="N2" s="20"/>
      <c r="O2" s="20"/>
      <c r="P2" s="20"/>
      <c r="Q2" s="18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spans="1:28">
      <c r="A3" s="20"/>
      <c r="B3" s="20"/>
      <c r="C3" s="20"/>
      <c r="D3" s="20"/>
      <c r="E3" s="18"/>
      <c r="F3" s="20"/>
      <c r="G3" s="20"/>
      <c r="H3" s="20"/>
      <c r="I3" s="20"/>
      <c r="J3" s="18"/>
      <c r="K3" s="18"/>
      <c r="L3" s="20"/>
      <c r="M3" s="20"/>
      <c r="N3" s="20"/>
      <c r="O3" s="20"/>
      <c r="P3" s="20"/>
      <c r="Q3" s="18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spans="1:28">
      <c r="A4" s="20"/>
      <c r="B4" s="20"/>
      <c r="C4" s="20"/>
      <c r="D4" s="20"/>
      <c r="E4" s="18"/>
      <c r="F4" s="20"/>
      <c r="G4" s="20"/>
      <c r="H4" s="20"/>
      <c r="I4" s="20"/>
      <c r="J4" s="18"/>
      <c r="K4" s="18"/>
      <c r="L4" s="20"/>
      <c r="M4" s="20"/>
      <c r="N4" s="20"/>
      <c r="O4" s="20"/>
      <c r="P4" s="20"/>
      <c r="Q4" s="18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 spans="1:28">
      <c r="A5" s="20"/>
      <c r="B5" s="20"/>
      <c r="C5" s="20"/>
      <c r="D5" s="20"/>
      <c r="E5" s="18"/>
      <c r="F5" s="20"/>
      <c r="G5" s="20"/>
      <c r="H5" s="20"/>
      <c r="I5" s="20"/>
      <c r="J5" s="18"/>
      <c r="K5" s="18"/>
      <c r="L5" s="20"/>
      <c r="M5" s="20"/>
      <c r="N5" s="20"/>
      <c r="O5" s="20"/>
      <c r="P5" s="20"/>
      <c r="Q5" s="18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 spans="1:28">
      <c r="A6" s="20"/>
      <c r="B6" s="20"/>
      <c r="C6" s="20"/>
      <c r="D6" s="20"/>
      <c r="E6" s="18"/>
      <c r="F6" s="20"/>
      <c r="G6" s="20"/>
      <c r="H6" s="20"/>
      <c r="I6" s="20"/>
      <c r="J6" s="18"/>
      <c r="K6" s="18"/>
      <c r="L6" s="20"/>
      <c r="M6" s="20"/>
      <c r="N6" s="20"/>
      <c r="O6" s="20"/>
      <c r="P6" s="20"/>
      <c r="Q6" s="18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</row>
    <row r="7" spans="1:28">
      <c r="A7" s="20"/>
      <c r="B7" s="20"/>
      <c r="C7" s="20"/>
      <c r="D7" s="20"/>
      <c r="E7" s="18"/>
      <c r="F7" s="20"/>
      <c r="G7" s="20"/>
      <c r="H7" s="20"/>
      <c r="I7" s="20"/>
      <c r="J7" s="18"/>
      <c r="K7" s="18"/>
      <c r="L7" s="20"/>
      <c r="M7" s="20"/>
      <c r="N7" s="20"/>
      <c r="O7" s="20"/>
      <c r="P7" s="20"/>
      <c r="Q7" s="18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 spans="1:28">
      <c r="A8" s="20"/>
      <c r="B8" s="20"/>
      <c r="C8" s="20"/>
      <c r="D8" s="20"/>
      <c r="E8" s="18"/>
      <c r="F8" s="20"/>
      <c r="G8" s="20"/>
      <c r="H8" s="20"/>
      <c r="I8" s="20"/>
      <c r="J8" s="18"/>
      <c r="K8" s="18"/>
      <c r="L8" s="20"/>
      <c r="M8" s="20"/>
      <c r="N8" s="20"/>
      <c r="O8" s="20"/>
      <c r="P8" s="20"/>
      <c r="Q8" s="18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 spans="1:28">
      <c r="A9" s="20"/>
      <c r="B9" s="20"/>
      <c r="C9" s="20"/>
      <c r="D9" s="20"/>
      <c r="E9" s="18"/>
      <c r="F9" s="20"/>
      <c r="G9" s="20"/>
      <c r="H9" s="20"/>
      <c r="I9" s="20"/>
      <c r="J9" s="18"/>
      <c r="K9" s="18"/>
      <c r="L9" s="20"/>
      <c r="M9" s="20"/>
      <c r="N9" s="20"/>
      <c r="O9" s="20"/>
      <c r="P9" s="20"/>
      <c r="Q9" s="18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 spans="1:28">
      <c r="A10" s="20"/>
      <c r="B10" s="20"/>
      <c r="C10" s="20"/>
      <c r="D10" s="20"/>
      <c r="E10" s="18"/>
      <c r="F10" s="20"/>
      <c r="G10" s="20"/>
      <c r="H10" s="20"/>
      <c r="I10" s="20"/>
      <c r="J10" s="18"/>
      <c r="K10" s="18"/>
      <c r="L10" s="20"/>
      <c r="M10" s="20"/>
      <c r="N10" s="20"/>
      <c r="O10" s="20"/>
      <c r="P10" s="20"/>
      <c r="Q10" s="18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 spans="1:28">
      <c r="A11" s="20"/>
      <c r="B11" s="20"/>
      <c r="C11" s="20"/>
      <c r="D11" s="20"/>
      <c r="E11" s="18"/>
      <c r="F11" s="20"/>
      <c r="G11" s="20"/>
      <c r="H11" s="20"/>
      <c r="I11" s="20"/>
      <c r="J11" s="18"/>
      <c r="K11" s="18"/>
      <c r="L11" s="20"/>
      <c r="M11" s="20"/>
      <c r="N11" s="20"/>
      <c r="O11" s="20"/>
      <c r="P11" s="20"/>
      <c r="Q11" s="18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 spans="1:28">
      <c r="A12" s="20"/>
      <c r="B12" s="20"/>
      <c r="C12" s="20"/>
      <c r="D12" s="20"/>
      <c r="E12" s="18"/>
      <c r="F12" s="20"/>
      <c r="G12" s="20"/>
      <c r="H12" s="20"/>
      <c r="I12" s="20"/>
      <c r="J12" s="18"/>
      <c r="K12" s="18"/>
      <c r="L12" s="20"/>
      <c r="M12" s="20"/>
      <c r="N12" s="20"/>
      <c r="O12" s="20"/>
      <c r="P12" s="20"/>
      <c r="Q12" s="18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 spans="1:28">
      <c r="A13" s="20"/>
      <c r="B13" s="20"/>
      <c r="C13" s="20"/>
      <c r="D13" s="20"/>
      <c r="E13" s="18"/>
      <c r="F13" s="20"/>
      <c r="G13" s="20"/>
      <c r="H13" s="20"/>
      <c r="I13" s="20"/>
      <c r="J13" s="18"/>
      <c r="K13" s="18"/>
      <c r="L13" s="20"/>
      <c r="M13" s="20"/>
      <c r="N13" s="20"/>
      <c r="O13" s="20"/>
      <c r="P13" s="20"/>
      <c r="Q13" s="18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 spans="1:28">
      <c r="A14" s="20"/>
      <c r="B14" s="20"/>
      <c r="C14" s="20"/>
      <c r="D14" s="20"/>
      <c r="E14" s="18"/>
      <c r="F14" s="20"/>
      <c r="G14" s="20"/>
      <c r="H14" s="20"/>
      <c r="I14" s="20"/>
      <c r="J14" s="18"/>
      <c r="K14" s="18"/>
      <c r="L14" s="20"/>
      <c r="M14" s="20"/>
      <c r="N14" s="20"/>
      <c r="O14" s="20"/>
      <c r="P14" s="20"/>
      <c r="Q14" s="18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spans="1:28">
      <c r="A15" s="20"/>
      <c r="B15" s="20"/>
      <c r="C15" s="20"/>
      <c r="D15" s="20"/>
      <c r="E15" s="18"/>
      <c r="F15" s="20"/>
      <c r="G15" s="20"/>
      <c r="H15" s="20"/>
      <c r="I15" s="20"/>
      <c r="J15" s="18"/>
      <c r="K15" s="18"/>
      <c r="L15" s="20"/>
      <c r="M15" s="20"/>
      <c r="N15" s="20"/>
      <c r="O15" s="20"/>
      <c r="P15" s="20"/>
      <c r="Q15" s="18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 spans="1:28">
      <c r="A16" s="20"/>
      <c r="B16" s="20"/>
      <c r="C16" s="20"/>
      <c r="D16" s="20"/>
      <c r="E16" s="18"/>
      <c r="F16" s="20"/>
      <c r="G16" s="20"/>
      <c r="H16" s="20"/>
      <c r="I16" s="20"/>
      <c r="J16" s="18"/>
      <c r="K16" s="18"/>
      <c r="L16" s="20"/>
      <c r="M16" s="20"/>
      <c r="N16" s="20"/>
      <c r="O16" s="20"/>
      <c r="P16" s="20"/>
      <c r="Q16" s="18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 spans="1:28">
      <c r="A17" s="20"/>
      <c r="B17" s="20"/>
      <c r="C17" s="20"/>
      <c r="D17" s="20"/>
      <c r="E17" s="18"/>
      <c r="F17" s="20"/>
      <c r="G17" s="20"/>
      <c r="H17" s="20"/>
      <c r="I17" s="20"/>
      <c r="J17" s="18"/>
      <c r="K17" s="18"/>
      <c r="L17" s="20"/>
      <c r="M17" s="20"/>
      <c r="N17" s="20"/>
      <c r="O17" s="20"/>
      <c r="P17" s="20"/>
      <c r="Q17" s="18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 spans="1:28">
      <c r="A18" s="20"/>
      <c r="B18" s="20"/>
      <c r="C18" s="20"/>
      <c r="D18" s="20"/>
      <c r="E18" s="18"/>
      <c r="F18" s="20"/>
      <c r="G18" s="20"/>
      <c r="H18" s="20"/>
      <c r="I18" s="20"/>
      <c r="J18" s="18"/>
      <c r="K18" s="18"/>
      <c r="L18" s="20"/>
      <c r="M18" s="20"/>
      <c r="N18" s="20"/>
      <c r="O18" s="20"/>
      <c r="P18" s="20"/>
      <c r="Q18" s="18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 spans="1:28">
      <c r="A19" s="20"/>
      <c r="B19" s="20"/>
      <c r="C19" s="20"/>
      <c r="D19" s="20"/>
      <c r="E19" s="18"/>
      <c r="F19" s="20"/>
      <c r="G19" s="20"/>
      <c r="H19" s="20"/>
      <c r="I19" s="20"/>
      <c r="J19" s="18"/>
      <c r="K19" s="18"/>
      <c r="L19" s="20"/>
      <c r="M19" s="20"/>
      <c r="N19" s="20"/>
      <c r="O19" s="20"/>
      <c r="P19" s="20"/>
      <c r="Q19" s="18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 spans="1:28">
      <c r="E20" s="18"/>
      <c r="H20" s="20"/>
      <c r="I20" s="20"/>
      <c r="J20" s="18"/>
      <c r="K20" s="18"/>
      <c r="L20" s="20"/>
      <c r="M20" s="20"/>
      <c r="O20" s="20"/>
      <c r="R20" s="20"/>
      <c r="S20" s="2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50"/>
  <sheetViews>
    <sheetView rightToLeft="1" zoomScale="80" zoomScaleNormal="80" workbookViewId="0">
      <selection activeCell="E32" sqref="E32"/>
    </sheetView>
  </sheetViews>
  <sheetFormatPr defaultColWidth="9" defaultRowHeight="14.25"/>
  <cols>
    <col min="1" max="6" width="11.625" style="11" customWidth="1"/>
    <col min="7" max="7" width="13.625" style="11" customWidth="1"/>
    <col min="8" max="8" width="16.375" style="11" bestFit="1" customWidth="1"/>
    <col min="9" max="9" width="11.625" style="11" customWidth="1"/>
    <col min="10" max="10" width="15.375" style="11" customWidth="1"/>
    <col min="11" max="12" width="11.625" style="11" customWidth="1"/>
    <col min="13" max="14" width="14.25" style="11" customWidth="1"/>
    <col min="15" max="15" width="15.5" style="11" customWidth="1"/>
    <col min="16" max="33" width="11.625" style="11" customWidth="1"/>
    <col min="34" max="34" width="11.625" style="143" customWidth="1"/>
    <col min="35" max="39" width="11.625" style="11" customWidth="1"/>
    <col min="40" max="41" width="11.625" style="2" customWidth="1"/>
    <col min="42" max="42" width="9" style="11" customWidth="1"/>
    <col min="43" max="16384" width="9" style="11"/>
  </cols>
  <sheetData>
    <row r="1" spans="1:41" ht="66.75" customHeight="1">
      <c r="A1" s="19" t="s">
        <v>0</v>
      </c>
      <c r="B1" s="19" t="s">
        <v>1</v>
      </c>
      <c r="C1" s="19" t="s">
        <v>5</v>
      </c>
      <c r="D1" s="19" t="s">
        <v>1166</v>
      </c>
      <c r="E1" s="19" t="s">
        <v>1167</v>
      </c>
      <c r="F1" s="19" t="s">
        <v>18</v>
      </c>
      <c r="G1" s="19" t="s">
        <v>1168</v>
      </c>
      <c r="H1" s="19" t="s">
        <v>1169</v>
      </c>
      <c r="I1" s="19" t="s">
        <v>1170</v>
      </c>
      <c r="J1" s="19" t="s">
        <v>1171</v>
      </c>
      <c r="K1" s="19" t="s">
        <v>1172</v>
      </c>
      <c r="L1" s="19" t="s">
        <v>1173</v>
      </c>
      <c r="M1" s="19" t="s">
        <v>18</v>
      </c>
      <c r="N1" s="19" t="s">
        <v>1174</v>
      </c>
      <c r="O1" s="19" t="s">
        <v>1175</v>
      </c>
      <c r="P1" s="19" t="s">
        <v>1330</v>
      </c>
      <c r="Q1" s="19" t="s">
        <v>1331</v>
      </c>
      <c r="R1" s="19" t="s">
        <v>1332</v>
      </c>
      <c r="S1" s="19" t="s">
        <v>6</v>
      </c>
      <c r="T1" s="19" t="s">
        <v>7</v>
      </c>
      <c r="U1" s="19" t="s">
        <v>1179</v>
      </c>
      <c r="V1" s="19" t="s">
        <v>961</v>
      </c>
      <c r="W1" s="19" t="s">
        <v>968</v>
      </c>
      <c r="X1" s="19" t="s">
        <v>359</v>
      </c>
      <c r="Y1" s="19" t="s">
        <v>141</v>
      </c>
      <c r="Z1" s="19" t="s">
        <v>1180</v>
      </c>
      <c r="AA1" s="19" t="s">
        <v>1181</v>
      </c>
      <c r="AB1" s="19" t="s">
        <v>932</v>
      </c>
      <c r="AC1" s="19" t="s">
        <v>940</v>
      </c>
      <c r="AD1" s="19" t="s">
        <v>1182</v>
      </c>
      <c r="AE1" s="19" t="s">
        <v>958</v>
      </c>
      <c r="AF1" s="19" t="s">
        <v>943</v>
      </c>
      <c r="AG1" s="19" t="s">
        <v>954</v>
      </c>
      <c r="AH1" s="142" t="s">
        <v>1183</v>
      </c>
      <c r="AI1" s="19" t="s">
        <v>1184</v>
      </c>
      <c r="AJ1" s="19" t="s">
        <v>1185</v>
      </c>
      <c r="AK1" s="19" t="s">
        <v>983</v>
      </c>
      <c r="AL1" s="19" t="s">
        <v>1186</v>
      </c>
      <c r="AM1" s="19" t="s">
        <v>1187</v>
      </c>
      <c r="AN1" s="19" t="s">
        <v>24</v>
      </c>
      <c r="AO1" s="19" t="s">
        <v>25</v>
      </c>
    </row>
    <row r="2" spans="1:41" s="187" customFormat="1" ht="15">
      <c r="A2" s="183">
        <v>424</v>
      </c>
      <c r="B2" s="183">
        <v>7228</v>
      </c>
      <c r="C2" s="184" t="s">
        <v>1078</v>
      </c>
      <c r="D2" s="183">
        <v>9934180</v>
      </c>
      <c r="E2" s="184" t="s">
        <v>102</v>
      </c>
      <c r="F2" s="185">
        <v>3.71</v>
      </c>
      <c r="G2" s="186">
        <v>-94584451</v>
      </c>
      <c r="H2" s="186">
        <v>348490.81806000002</v>
      </c>
      <c r="I2" s="186">
        <v>92.98</v>
      </c>
      <c r="J2" s="186">
        <v>14.47</v>
      </c>
      <c r="K2" s="183">
        <v>9934180</v>
      </c>
      <c r="L2" s="184" t="s">
        <v>34</v>
      </c>
      <c r="M2" s="185">
        <v>1</v>
      </c>
      <c r="N2" s="186">
        <v>349962468.69999999</v>
      </c>
      <c r="O2" s="186">
        <v>-349187.64404000004</v>
      </c>
      <c r="P2" s="186">
        <v>92.79</v>
      </c>
      <c r="Q2" s="186">
        <v>14.5</v>
      </c>
      <c r="R2" s="186">
        <v>-696.82600000000002</v>
      </c>
      <c r="S2" s="184" t="s">
        <v>30</v>
      </c>
      <c r="T2" s="184" t="s">
        <v>30</v>
      </c>
      <c r="U2" s="184" t="s">
        <v>781</v>
      </c>
      <c r="V2" s="184" t="s">
        <v>194</v>
      </c>
      <c r="W2" s="184" t="s">
        <v>194</v>
      </c>
      <c r="X2" s="184" t="s">
        <v>3224</v>
      </c>
      <c r="Y2" s="184" t="s">
        <v>155</v>
      </c>
      <c r="Z2" s="184" t="s">
        <v>3225</v>
      </c>
      <c r="AA2" s="184" t="s">
        <v>3226</v>
      </c>
      <c r="AB2" s="184" t="s">
        <v>936</v>
      </c>
      <c r="AC2" s="184" t="s">
        <v>942</v>
      </c>
      <c r="AD2" s="184" t="s">
        <v>155</v>
      </c>
      <c r="AE2" s="184" t="s">
        <v>960</v>
      </c>
      <c r="AF2" s="184" t="s">
        <v>939</v>
      </c>
      <c r="AG2" s="184" t="s">
        <v>935</v>
      </c>
      <c r="AH2" s="186">
        <v>4.9509999999999996</v>
      </c>
      <c r="AI2" s="186">
        <v>-368.44400000000002</v>
      </c>
      <c r="AJ2" s="186">
        <v>369.18</v>
      </c>
      <c r="AK2" s="184" t="s">
        <v>155</v>
      </c>
      <c r="AL2" s="184" t="s">
        <v>156</v>
      </c>
      <c r="AM2" s="184" t="s">
        <v>3227</v>
      </c>
      <c r="AN2" s="184" t="s">
        <v>3228</v>
      </c>
      <c r="AO2" s="184" t="s">
        <v>3229</v>
      </c>
    </row>
    <row r="3" spans="1:41" s="187" customFormat="1" ht="15">
      <c r="A3" s="183">
        <v>424</v>
      </c>
      <c r="B3" s="183">
        <v>7228</v>
      </c>
      <c r="C3" s="184" t="s">
        <v>1078</v>
      </c>
      <c r="D3" s="183">
        <v>9934182</v>
      </c>
      <c r="E3" s="184" t="s">
        <v>1209</v>
      </c>
      <c r="F3" s="185">
        <v>4.1524000000000001</v>
      </c>
      <c r="G3" s="186">
        <v>-13690000</v>
      </c>
      <c r="H3" s="186">
        <v>56041.423470000002</v>
      </c>
      <c r="I3" s="186">
        <v>14.95</v>
      </c>
      <c r="J3" s="186">
        <v>2.33</v>
      </c>
      <c r="K3" s="183">
        <v>9934182</v>
      </c>
      <c r="L3" s="184" t="s">
        <v>34</v>
      </c>
      <c r="M3" s="185">
        <v>1</v>
      </c>
      <c r="N3" s="186">
        <v>56272745</v>
      </c>
      <c r="O3" s="186">
        <v>-56650.645349999999</v>
      </c>
      <c r="P3" s="186">
        <v>15.06</v>
      </c>
      <c r="Q3" s="186">
        <v>2.35</v>
      </c>
      <c r="R3" s="186">
        <v>-609.22199999999998</v>
      </c>
      <c r="S3" s="184" t="s">
        <v>30</v>
      </c>
      <c r="T3" s="184" t="s">
        <v>30</v>
      </c>
      <c r="U3" s="184" t="s">
        <v>781</v>
      </c>
      <c r="V3" s="184" t="s">
        <v>194</v>
      </c>
      <c r="W3" s="184" t="s">
        <v>194</v>
      </c>
      <c r="X3" s="184" t="s">
        <v>3230</v>
      </c>
      <c r="Y3" s="184" t="s">
        <v>155</v>
      </c>
      <c r="Z3" s="184" t="s">
        <v>3225</v>
      </c>
      <c r="AA3" s="184" t="s">
        <v>3226</v>
      </c>
      <c r="AB3" s="184" t="s">
        <v>936</v>
      </c>
      <c r="AC3" s="184" t="s">
        <v>942</v>
      </c>
      <c r="AD3" s="184" t="s">
        <v>155</v>
      </c>
      <c r="AE3" s="184" t="s">
        <v>960</v>
      </c>
      <c r="AF3" s="184" t="s">
        <v>939</v>
      </c>
      <c r="AG3" s="184" t="s">
        <v>935</v>
      </c>
      <c r="AH3" s="186">
        <v>3.3460000000000001</v>
      </c>
      <c r="AI3" s="186">
        <v>-409.36</v>
      </c>
      <c r="AJ3" s="186">
        <v>413.81</v>
      </c>
      <c r="AK3" s="184" t="s">
        <v>155</v>
      </c>
      <c r="AL3" s="184" t="s">
        <v>156</v>
      </c>
      <c r="AM3" s="184" t="s">
        <v>3227</v>
      </c>
      <c r="AN3" s="184" t="s">
        <v>3231</v>
      </c>
      <c r="AO3" s="184" t="s">
        <v>3229</v>
      </c>
    </row>
    <row r="4" spans="1:41" s="187" customFormat="1" ht="15">
      <c r="A4" s="183">
        <v>424</v>
      </c>
      <c r="B4" s="183">
        <v>7228</v>
      </c>
      <c r="C4" s="184" t="s">
        <v>1078</v>
      </c>
      <c r="D4" s="183">
        <v>9934296</v>
      </c>
      <c r="E4" s="184" t="s">
        <v>102</v>
      </c>
      <c r="F4" s="185">
        <v>3.71</v>
      </c>
      <c r="G4" s="186">
        <v>8000000</v>
      </c>
      <c r="H4" s="186">
        <v>-29732.83756</v>
      </c>
      <c r="I4" s="186">
        <v>7.93</v>
      </c>
      <c r="J4" s="186">
        <v>1.23</v>
      </c>
      <c r="K4" s="183">
        <v>9934296</v>
      </c>
      <c r="L4" s="184" t="s">
        <v>34</v>
      </c>
      <c r="M4" s="185">
        <v>1</v>
      </c>
      <c r="N4" s="186">
        <v>-29858400</v>
      </c>
      <c r="O4" s="186">
        <v>29534.442440000003</v>
      </c>
      <c r="P4" s="186">
        <v>7.85</v>
      </c>
      <c r="Q4" s="186">
        <v>1.23</v>
      </c>
      <c r="R4" s="186">
        <v>-198.39500000000001</v>
      </c>
      <c r="S4" s="184" t="s">
        <v>30</v>
      </c>
      <c r="T4" s="184" t="s">
        <v>30</v>
      </c>
      <c r="U4" s="184" t="s">
        <v>781</v>
      </c>
      <c r="V4" s="184" t="s">
        <v>194</v>
      </c>
      <c r="W4" s="184" t="s">
        <v>194</v>
      </c>
      <c r="X4" s="184" t="s">
        <v>3224</v>
      </c>
      <c r="Y4" s="184" t="s">
        <v>155</v>
      </c>
      <c r="Z4" s="184" t="s">
        <v>3232</v>
      </c>
      <c r="AA4" s="184" t="s">
        <v>3226</v>
      </c>
      <c r="AB4" s="184" t="s">
        <v>935</v>
      </c>
      <c r="AC4" s="184" t="s">
        <v>942</v>
      </c>
      <c r="AD4" s="184" t="s">
        <v>155</v>
      </c>
      <c r="AE4" s="184" t="s">
        <v>960</v>
      </c>
      <c r="AF4" s="184" t="s">
        <v>939</v>
      </c>
      <c r="AG4" s="184" t="s">
        <v>935</v>
      </c>
      <c r="AH4" s="186">
        <v>4.9509999999999996</v>
      </c>
      <c r="AI4" s="186">
        <v>-371.66</v>
      </c>
      <c r="AJ4" s="186">
        <v>369.18</v>
      </c>
      <c r="AK4" s="184" t="s">
        <v>155</v>
      </c>
      <c r="AL4" s="184" t="s">
        <v>156</v>
      </c>
      <c r="AM4" s="184" t="s">
        <v>3227</v>
      </c>
      <c r="AN4" s="184" t="s">
        <v>3233</v>
      </c>
      <c r="AO4" s="184" t="s">
        <v>3234</v>
      </c>
    </row>
    <row r="5" spans="1:41" s="187" customFormat="1" ht="15">
      <c r="A5" s="183">
        <v>424</v>
      </c>
      <c r="B5" s="183">
        <v>7229</v>
      </c>
      <c r="C5" s="184" t="s">
        <v>1078</v>
      </c>
      <c r="D5" s="183">
        <v>9934180</v>
      </c>
      <c r="E5" s="184" t="s">
        <v>102</v>
      </c>
      <c r="F5" s="185">
        <v>3.71</v>
      </c>
      <c r="G5" s="186">
        <v>-4080765.8</v>
      </c>
      <c r="H5" s="186">
        <v>15035.340330000001</v>
      </c>
      <c r="I5" s="186">
        <v>83.78</v>
      </c>
      <c r="J5" s="186">
        <v>10.35</v>
      </c>
      <c r="K5" s="183">
        <v>9934180</v>
      </c>
      <c r="L5" s="184" t="s">
        <v>34</v>
      </c>
      <c r="M5" s="185">
        <v>1</v>
      </c>
      <c r="N5" s="186">
        <v>15098833.460000001</v>
      </c>
      <c r="O5" s="186">
        <v>-15065.4043</v>
      </c>
      <c r="P5" s="186">
        <v>83.66</v>
      </c>
      <c r="Q5" s="186">
        <v>10.37</v>
      </c>
      <c r="R5" s="186">
        <v>-30.064</v>
      </c>
      <c r="S5" s="184" t="s">
        <v>30</v>
      </c>
      <c r="T5" s="184" t="s">
        <v>30</v>
      </c>
      <c r="U5" s="184" t="s">
        <v>781</v>
      </c>
      <c r="V5" s="184" t="s">
        <v>194</v>
      </c>
      <c r="W5" s="184" t="s">
        <v>194</v>
      </c>
      <c r="X5" s="184" t="s">
        <v>3224</v>
      </c>
      <c r="Y5" s="184" t="s">
        <v>155</v>
      </c>
      <c r="Z5" s="184" t="s">
        <v>3225</v>
      </c>
      <c r="AA5" s="184" t="s">
        <v>3226</v>
      </c>
      <c r="AB5" s="184" t="s">
        <v>936</v>
      </c>
      <c r="AC5" s="184" t="s">
        <v>942</v>
      </c>
      <c r="AD5" s="184" t="s">
        <v>155</v>
      </c>
      <c r="AE5" s="184" t="s">
        <v>960</v>
      </c>
      <c r="AF5" s="184" t="s">
        <v>939</v>
      </c>
      <c r="AG5" s="184" t="s">
        <v>935</v>
      </c>
      <c r="AH5" s="186">
        <v>4.9509999999999996</v>
      </c>
      <c r="AI5" s="186">
        <v>-368.44400000000002</v>
      </c>
      <c r="AJ5" s="186">
        <v>369.18</v>
      </c>
      <c r="AK5" s="184" t="s">
        <v>155</v>
      </c>
      <c r="AL5" s="184" t="s">
        <v>156</v>
      </c>
      <c r="AM5" s="184" t="s">
        <v>3227</v>
      </c>
      <c r="AN5" s="184" t="s">
        <v>3235</v>
      </c>
      <c r="AO5" s="184" t="s">
        <v>3236</v>
      </c>
    </row>
    <row r="6" spans="1:41" s="187" customFormat="1" ht="15">
      <c r="A6" s="183">
        <v>424</v>
      </c>
      <c r="B6" s="183">
        <v>7229</v>
      </c>
      <c r="C6" s="184" t="s">
        <v>1078</v>
      </c>
      <c r="D6" s="183">
        <v>9934182</v>
      </c>
      <c r="E6" s="184" t="s">
        <v>1209</v>
      </c>
      <c r="F6" s="185">
        <v>4.1524000000000001</v>
      </c>
      <c r="G6" s="186">
        <v>-711000</v>
      </c>
      <c r="H6" s="186">
        <v>2910.5516499999999</v>
      </c>
      <c r="I6" s="186">
        <v>16.22</v>
      </c>
      <c r="J6" s="186">
        <v>2</v>
      </c>
      <c r="K6" s="183">
        <v>9934182</v>
      </c>
      <c r="L6" s="184" t="s">
        <v>34</v>
      </c>
      <c r="M6" s="185">
        <v>1</v>
      </c>
      <c r="N6" s="186">
        <v>2922565.5</v>
      </c>
      <c r="O6" s="186">
        <v>-2942.19202</v>
      </c>
      <c r="P6" s="186">
        <v>16.34</v>
      </c>
      <c r="Q6" s="186">
        <v>2.0299999999999998</v>
      </c>
      <c r="R6" s="186">
        <v>-31.64</v>
      </c>
      <c r="S6" s="184" t="s">
        <v>30</v>
      </c>
      <c r="T6" s="184" t="s">
        <v>30</v>
      </c>
      <c r="U6" s="184" t="s">
        <v>781</v>
      </c>
      <c r="V6" s="184" t="s">
        <v>194</v>
      </c>
      <c r="W6" s="184" t="s">
        <v>194</v>
      </c>
      <c r="X6" s="184" t="s">
        <v>3230</v>
      </c>
      <c r="Y6" s="184" t="s">
        <v>155</v>
      </c>
      <c r="Z6" s="184" t="s">
        <v>3225</v>
      </c>
      <c r="AA6" s="184" t="s">
        <v>3226</v>
      </c>
      <c r="AB6" s="184" t="s">
        <v>936</v>
      </c>
      <c r="AC6" s="184" t="s">
        <v>942</v>
      </c>
      <c r="AD6" s="184" t="s">
        <v>155</v>
      </c>
      <c r="AE6" s="184" t="s">
        <v>960</v>
      </c>
      <c r="AF6" s="184" t="s">
        <v>939</v>
      </c>
      <c r="AG6" s="184" t="s">
        <v>935</v>
      </c>
      <c r="AH6" s="186">
        <v>3.3460000000000001</v>
      </c>
      <c r="AI6" s="186">
        <v>-409.36</v>
      </c>
      <c r="AJ6" s="186">
        <v>413.81</v>
      </c>
      <c r="AK6" s="184" t="s">
        <v>155</v>
      </c>
      <c r="AL6" s="184" t="s">
        <v>156</v>
      </c>
      <c r="AM6" s="184" t="s">
        <v>3227</v>
      </c>
      <c r="AN6" s="184" t="s">
        <v>3237</v>
      </c>
      <c r="AO6" s="184" t="s">
        <v>3236</v>
      </c>
    </row>
    <row r="7" spans="1:41" s="187" customFormat="1" ht="15">
      <c r="A7" s="183">
        <v>969</v>
      </c>
      <c r="B7" s="183">
        <v>969</v>
      </c>
      <c r="C7" s="184" t="s">
        <v>1078</v>
      </c>
      <c r="D7" s="183">
        <v>9934180</v>
      </c>
      <c r="E7" s="184" t="s">
        <v>102</v>
      </c>
      <c r="F7" s="185">
        <v>3.71</v>
      </c>
      <c r="G7" s="186">
        <v>-2796647</v>
      </c>
      <c r="H7" s="186">
        <v>10304.080529999999</v>
      </c>
      <c r="I7" s="186">
        <v>89.16</v>
      </c>
      <c r="J7" s="186">
        <v>13.62</v>
      </c>
      <c r="K7" s="183">
        <v>9934180</v>
      </c>
      <c r="L7" s="184" t="s">
        <v>34</v>
      </c>
      <c r="M7" s="185">
        <v>1</v>
      </c>
      <c r="N7" s="186">
        <v>10347593.9</v>
      </c>
      <c r="O7" s="186">
        <v>-10324.684090000001</v>
      </c>
      <c r="P7" s="186">
        <v>89.07</v>
      </c>
      <c r="Q7" s="186">
        <v>13.65</v>
      </c>
      <c r="R7" s="186">
        <v>-20.603999999999999</v>
      </c>
      <c r="S7" s="184" t="s">
        <v>30</v>
      </c>
      <c r="T7" s="184" t="s">
        <v>30</v>
      </c>
      <c r="U7" s="184" t="s">
        <v>781</v>
      </c>
      <c r="V7" s="184" t="s">
        <v>194</v>
      </c>
      <c r="W7" s="184" t="s">
        <v>194</v>
      </c>
      <c r="X7" s="184" t="s">
        <v>3224</v>
      </c>
      <c r="Y7" s="184" t="s">
        <v>155</v>
      </c>
      <c r="Z7" s="184" t="s">
        <v>3225</v>
      </c>
      <c r="AA7" s="184" t="s">
        <v>3226</v>
      </c>
      <c r="AB7" s="184" t="s">
        <v>936</v>
      </c>
      <c r="AC7" s="184" t="s">
        <v>942</v>
      </c>
      <c r="AD7" s="184" t="s">
        <v>155</v>
      </c>
      <c r="AE7" s="184" t="s">
        <v>960</v>
      </c>
      <c r="AF7" s="184" t="s">
        <v>939</v>
      </c>
      <c r="AG7" s="184" t="s">
        <v>935</v>
      </c>
      <c r="AH7" s="186">
        <v>4.9509999999999996</v>
      </c>
      <c r="AI7" s="186">
        <v>-368.44400000000002</v>
      </c>
      <c r="AJ7" s="186">
        <v>369.18</v>
      </c>
      <c r="AK7" s="184" t="s">
        <v>155</v>
      </c>
      <c r="AL7" s="184" t="s">
        <v>156</v>
      </c>
      <c r="AM7" s="184" t="s">
        <v>3227</v>
      </c>
      <c r="AN7" s="184" t="s">
        <v>3238</v>
      </c>
      <c r="AO7" s="184" t="s">
        <v>3229</v>
      </c>
    </row>
    <row r="8" spans="1:41" s="187" customFormat="1" ht="15">
      <c r="A8" s="183">
        <v>969</v>
      </c>
      <c r="B8" s="183">
        <v>969</v>
      </c>
      <c r="C8" s="184" t="s">
        <v>1078</v>
      </c>
      <c r="D8" s="183">
        <v>9934182</v>
      </c>
      <c r="E8" s="184" t="s">
        <v>1209</v>
      </c>
      <c r="F8" s="185">
        <v>4.1524000000000001</v>
      </c>
      <c r="G8" s="186">
        <v>-306083</v>
      </c>
      <c r="H8" s="186">
        <v>1252.98224</v>
      </c>
      <c r="I8" s="186">
        <v>10.84</v>
      </c>
      <c r="J8" s="186">
        <v>1.66</v>
      </c>
      <c r="K8" s="183">
        <v>9934182</v>
      </c>
      <c r="L8" s="184" t="s">
        <v>34</v>
      </c>
      <c r="M8" s="185">
        <v>1</v>
      </c>
      <c r="N8" s="186">
        <v>1258154.1710000001</v>
      </c>
      <c r="O8" s="186">
        <v>-1266.6033200000002</v>
      </c>
      <c r="P8" s="186">
        <v>10.93</v>
      </c>
      <c r="Q8" s="186">
        <v>1.67</v>
      </c>
      <c r="R8" s="186">
        <v>-13.621</v>
      </c>
      <c r="S8" s="184" t="s">
        <v>30</v>
      </c>
      <c r="T8" s="184" t="s">
        <v>30</v>
      </c>
      <c r="U8" s="184" t="s">
        <v>781</v>
      </c>
      <c r="V8" s="184" t="s">
        <v>194</v>
      </c>
      <c r="W8" s="184" t="s">
        <v>194</v>
      </c>
      <c r="X8" s="184" t="s">
        <v>3230</v>
      </c>
      <c r="Y8" s="184" t="s">
        <v>155</v>
      </c>
      <c r="Z8" s="184" t="s">
        <v>3225</v>
      </c>
      <c r="AA8" s="184" t="s">
        <v>3226</v>
      </c>
      <c r="AB8" s="184" t="s">
        <v>936</v>
      </c>
      <c r="AC8" s="184" t="s">
        <v>942</v>
      </c>
      <c r="AD8" s="184" t="s">
        <v>155</v>
      </c>
      <c r="AE8" s="184" t="s">
        <v>960</v>
      </c>
      <c r="AF8" s="184" t="s">
        <v>939</v>
      </c>
      <c r="AG8" s="184" t="s">
        <v>935</v>
      </c>
      <c r="AH8" s="186">
        <v>3.3460000000000001</v>
      </c>
      <c r="AI8" s="186">
        <v>-409.36</v>
      </c>
      <c r="AJ8" s="186">
        <v>413.81</v>
      </c>
      <c r="AK8" s="184" t="s">
        <v>155</v>
      </c>
      <c r="AL8" s="184" t="s">
        <v>156</v>
      </c>
      <c r="AM8" s="184" t="s">
        <v>3227</v>
      </c>
      <c r="AN8" s="184" t="s">
        <v>3239</v>
      </c>
      <c r="AO8" s="184" t="s">
        <v>3236</v>
      </c>
    </row>
    <row r="9" spans="1:41" s="187" customFormat="1" ht="15">
      <c r="A9" s="183">
        <v>1182</v>
      </c>
      <c r="B9" s="183">
        <v>1182</v>
      </c>
      <c r="C9" s="184" t="s">
        <v>1078</v>
      </c>
      <c r="D9" s="183">
        <v>9934180</v>
      </c>
      <c r="E9" s="184" t="s">
        <v>102</v>
      </c>
      <c r="F9" s="185">
        <v>3.71</v>
      </c>
      <c r="G9" s="186">
        <v>-14393013</v>
      </c>
      <c r="H9" s="186">
        <v>53030.20551</v>
      </c>
      <c r="I9" s="186">
        <v>82.12</v>
      </c>
      <c r="J9" s="186">
        <v>12.93</v>
      </c>
      <c r="K9" s="183">
        <v>9934180</v>
      </c>
      <c r="L9" s="184" t="s">
        <v>34</v>
      </c>
      <c r="M9" s="185">
        <v>1</v>
      </c>
      <c r="N9" s="186">
        <v>53254148.100000001</v>
      </c>
      <c r="O9" s="186">
        <v>-53136.242229999996</v>
      </c>
      <c r="P9" s="186">
        <v>81.99</v>
      </c>
      <c r="Q9" s="186">
        <v>12.95</v>
      </c>
      <c r="R9" s="186">
        <v>-106.03700000000001</v>
      </c>
      <c r="S9" s="184" t="s">
        <v>30</v>
      </c>
      <c r="T9" s="184" t="s">
        <v>30</v>
      </c>
      <c r="U9" s="184" t="s">
        <v>781</v>
      </c>
      <c r="V9" s="184" t="s">
        <v>194</v>
      </c>
      <c r="W9" s="184" t="s">
        <v>194</v>
      </c>
      <c r="X9" s="184" t="s">
        <v>3224</v>
      </c>
      <c r="Y9" s="184" t="s">
        <v>155</v>
      </c>
      <c r="Z9" s="184" t="s">
        <v>3225</v>
      </c>
      <c r="AA9" s="184" t="s">
        <v>3226</v>
      </c>
      <c r="AB9" s="184" t="s">
        <v>936</v>
      </c>
      <c r="AC9" s="184" t="s">
        <v>942</v>
      </c>
      <c r="AD9" s="184" t="s">
        <v>155</v>
      </c>
      <c r="AE9" s="184" t="s">
        <v>960</v>
      </c>
      <c r="AF9" s="184" t="s">
        <v>939</v>
      </c>
      <c r="AG9" s="184" t="s">
        <v>935</v>
      </c>
      <c r="AH9" s="186">
        <v>4.9509999999999996</v>
      </c>
      <c r="AI9" s="186">
        <v>-368.44400000000002</v>
      </c>
      <c r="AJ9" s="186">
        <v>369.18</v>
      </c>
      <c r="AK9" s="184" t="s">
        <v>155</v>
      </c>
      <c r="AL9" s="184" t="s">
        <v>156</v>
      </c>
      <c r="AM9" s="184" t="s">
        <v>3227</v>
      </c>
      <c r="AN9" s="184" t="s">
        <v>3240</v>
      </c>
      <c r="AO9" s="184" t="s">
        <v>3229</v>
      </c>
    </row>
    <row r="10" spans="1:41" s="187" customFormat="1" ht="15">
      <c r="A10" s="183">
        <v>1182</v>
      </c>
      <c r="B10" s="183">
        <v>1182</v>
      </c>
      <c r="C10" s="184" t="s">
        <v>1078</v>
      </c>
      <c r="D10" s="183">
        <v>9934182</v>
      </c>
      <c r="E10" s="184" t="s">
        <v>1209</v>
      </c>
      <c r="F10" s="185">
        <v>4.1524000000000001</v>
      </c>
      <c r="G10" s="186">
        <v>-2820912</v>
      </c>
      <c r="H10" s="186">
        <v>11547.69349</v>
      </c>
      <c r="I10" s="186">
        <v>17.88</v>
      </c>
      <c r="J10" s="186">
        <v>2.81</v>
      </c>
      <c r="K10" s="183">
        <v>9934182</v>
      </c>
      <c r="L10" s="184" t="s">
        <v>34</v>
      </c>
      <c r="M10" s="185">
        <v>1</v>
      </c>
      <c r="N10" s="186">
        <v>11595358.776000001</v>
      </c>
      <c r="O10" s="186">
        <v>-11673.227550000001</v>
      </c>
      <c r="P10" s="186">
        <v>18.010000000000002</v>
      </c>
      <c r="Q10" s="186">
        <v>2.85</v>
      </c>
      <c r="R10" s="186">
        <v>-125.53400000000001</v>
      </c>
      <c r="S10" s="184" t="s">
        <v>30</v>
      </c>
      <c r="T10" s="184" t="s">
        <v>30</v>
      </c>
      <c r="U10" s="184" t="s">
        <v>781</v>
      </c>
      <c r="V10" s="184" t="s">
        <v>194</v>
      </c>
      <c r="W10" s="184" t="s">
        <v>194</v>
      </c>
      <c r="X10" s="184" t="s">
        <v>3230</v>
      </c>
      <c r="Y10" s="184" t="s">
        <v>155</v>
      </c>
      <c r="Z10" s="184" t="s">
        <v>3225</v>
      </c>
      <c r="AA10" s="184" t="s">
        <v>3226</v>
      </c>
      <c r="AB10" s="184" t="s">
        <v>936</v>
      </c>
      <c r="AC10" s="184" t="s">
        <v>942</v>
      </c>
      <c r="AD10" s="184" t="s">
        <v>155</v>
      </c>
      <c r="AE10" s="184" t="s">
        <v>960</v>
      </c>
      <c r="AF10" s="184" t="s">
        <v>939</v>
      </c>
      <c r="AG10" s="184" t="s">
        <v>935</v>
      </c>
      <c r="AH10" s="186">
        <v>3.3460000000000001</v>
      </c>
      <c r="AI10" s="186">
        <v>-409.36</v>
      </c>
      <c r="AJ10" s="186">
        <v>413.81</v>
      </c>
      <c r="AK10" s="184" t="s">
        <v>155</v>
      </c>
      <c r="AL10" s="184" t="s">
        <v>156</v>
      </c>
      <c r="AM10" s="184" t="s">
        <v>3227</v>
      </c>
      <c r="AN10" s="184" t="s">
        <v>3241</v>
      </c>
      <c r="AO10" s="184" t="s">
        <v>3229</v>
      </c>
    </row>
    <row r="11" spans="1:41" s="187" customFormat="1" ht="15">
      <c r="A11" s="183">
        <v>1182</v>
      </c>
      <c r="B11" s="183">
        <v>14769</v>
      </c>
      <c r="C11" s="184" t="s">
        <v>1078</v>
      </c>
      <c r="D11" s="183">
        <v>9934182</v>
      </c>
      <c r="E11" s="184" t="s">
        <v>1209</v>
      </c>
      <c r="F11" s="185">
        <v>4.1524000000000001</v>
      </c>
      <c r="G11" s="186">
        <v>-11367.26</v>
      </c>
      <c r="H11" s="186">
        <v>46.53304</v>
      </c>
      <c r="I11" s="186">
        <v>100</v>
      </c>
      <c r="J11" s="186">
        <v>0.27</v>
      </c>
      <c r="K11" s="183">
        <v>9934182</v>
      </c>
      <c r="L11" s="184" t="s">
        <v>34</v>
      </c>
      <c r="M11" s="185">
        <v>1</v>
      </c>
      <c r="N11" s="186">
        <v>46725.122000000003</v>
      </c>
      <c r="O11" s="186">
        <v>-47.038899999999998</v>
      </c>
      <c r="P11" s="186">
        <v>100</v>
      </c>
      <c r="Q11" s="186">
        <v>0.28000000000000003</v>
      </c>
      <c r="R11" s="186">
        <v>-0.50600000000000001</v>
      </c>
      <c r="S11" s="184" t="s">
        <v>30</v>
      </c>
      <c r="T11" s="184" t="s">
        <v>30</v>
      </c>
      <c r="U11" s="184" t="s">
        <v>781</v>
      </c>
      <c r="V11" s="184" t="s">
        <v>194</v>
      </c>
      <c r="W11" s="184" t="s">
        <v>194</v>
      </c>
      <c r="X11" s="184" t="s">
        <v>3230</v>
      </c>
      <c r="Y11" s="184" t="s">
        <v>155</v>
      </c>
      <c r="Z11" s="184" t="s">
        <v>3225</v>
      </c>
      <c r="AA11" s="184" t="s">
        <v>3226</v>
      </c>
      <c r="AB11" s="184" t="s">
        <v>936</v>
      </c>
      <c r="AC11" s="184" t="s">
        <v>942</v>
      </c>
      <c r="AD11" s="184" t="s">
        <v>155</v>
      </c>
      <c r="AE11" s="184" t="s">
        <v>960</v>
      </c>
      <c r="AF11" s="184" t="s">
        <v>939</v>
      </c>
      <c r="AG11" s="184" t="s">
        <v>935</v>
      </c>
      <c r="AH11" s="186">
        <v>3.3460000000000001</v>
      </c>
      <c r="AI11" s="186">
        <v>-409.36</v>
      </c>
      <c r="AJ11" s="186">
        <v>413.81</v>
      </c>
      <c r="AK11" s="184" t="s">
        <v>155</v>
      </c>
      <c r="AL11" s="184" t="s">
        <v>156</v>
      </c>
      <c r="AM11" s="184" t="s">
        <v>3227</v>
      </c>
      <c r="AN11" s="184" t="s">
        <v>3242</v>
      </c>
      <c r="AO11" s="184">
        <v>0</v>
      </c>
    </row>
    <row r="12" spans="1:41" s="187" customFormat="1" ht="15">
      <c r="A12" s="183">
        <v>12904</v>
      </c>
      <c r="B12" s="183">
        <v>12905</v>
      </c>
      <c r="C12" s="184" t="s">
        <v>1078</v>
      </c>
      <c r="D12" s="183">
        <v>9934180</v>
      </c>
      <c r="E12" s="184" t="s">
        <v>102</v>
      </c>
      <c r="F12" s="185">
        <v>3.71</v>
      </c>
      <c r="G12" s="186">
        <v>-47460.46</v>
      </c>
      <c r="H12" s="186">
        <v>174.86525</v>
      </c>
      <c r="I12" s="186">
        <v>11.97</v>
      </c>
      <c r="J12" s="186">
        <v>0.52</v>
      </c>
      <c r="K12" s="183">
        <v>9934180</v>
      </c>
      <c r="L12" s="184" t="s">
        <v>34</v>
      </c>
      <c r="M12" s="185">
        <v>1</v>
      </c>
      <c r="N12" s="186">
        <v>175603.70199999999</v>
      </c>
      <c r="O12" s="186">
        <v>-175.2149</v>
      </c>
      <c r="P12" s="186">
        <v>11.88</v>
      </c>
      <c r="Q12" s="186">
        <v>0.52</v>
      </c>
      <c r="R12" s="186">
        <v>-0.35</v>
      </c>
      <c r="S12" s="184" t="s">
        <v>30</v>
      </c>
      <c r="T12" s="184" t="s">
        <v>30</v>
      </c>
      <c r="U12" s="184" t="s">
        <v>781</v>
      </c>
      <c r="V12" s="184" t="s">
        <v>194</v>
      </c>
      <c r="W12" s="184" t="s">
        <v>194</v>
      </c>
      <c r="X12" s="184" t="s">
        <v>3224</v>
      </c>
      <c r="Y12" s="184" t="s">
        <v>155</v>
      </c>
      <c r="Z12" s="184" t="s">
        <v>3225</v>
      </c>
      <c r="AA12" s="184" t="s">
        <v>3226</v>
      </c>
      <c r="AB12" s="184" t="s">
        <v>936</v>
      </c>
      <c r="AC12" s="184" t="s">
        <v>942</v>
      </c>
      <c r="AD12" s="184" t="s">
        <v>155</v>
      </c>
      <c r="AE12" s="184" t="s">
        <v>960</v>
      </c>
      <c r="AF12" s="184" t="s">
        <v>939</v>
      </c>
      <c r="AG12" s="184" t="s">
        <v>935</v>
      </c>
      <c r="AH12" s="186">
        <v>4.9509999999999996</v>
      </c>
      <c r="AI12" s="186">
        <v>-368.44400000000002</v>
      </c>
      <c r="AJ12" s="186">
        <v>369.18</v>
      </c>
      <c r="AK12" s="184" t="s">
        <v>155</v>
      </c>
      <c r="AL12" s="184" t="s">
        <v>156</v>
      </c>
      <c r="AM12" s="184" t="s">
        <v>3227</v>
      </c>
      <c r="AN12" s="184" t="s">
        <v>3243</v>
      </c>
      <c r="AO12" s="184">
        <v>0</v>
      </c>
    </row>
    <row r="13" spans="1:41" s="187" customFormat="1" ht="15">
      <c r="A13" s="183">
        <v>12904</v>
      </c>
      <c r="B13" s="183">
        <v>12905</v>
      </c>
      <c r="C13" s="184" t="s">
        <v>1078</v>
      </c>
      <c r="D13" s="183">
        <v>9934182</v>
      </c>
      <c r="E13" s="184" t="s">
        <v>1209</v>
      </c>
      <c r="F13" s="185">
        <v>4.1524000000000001</v>
      </c>
      <c r="G13" s="186">
        <v>-314051</v>
      </c>
      <c r="H13" s="186">
        <v>1285.6000800000002</v>
      </c>
      <c r="I13" s="186">
        <v>88.03</v>
      </c>
      <c r="J13" s="186">
        <v>3.83</v>
      </c>
      <c r="K13" s="183">
        <v>9934182</v>
      </c>
      <c r="L13" s="184" t="s">
        <v>34</v>
      </c>
      <c r="M13" s="185">
        <v>1</v>
      </c>
      <c r="N13" s="186">
        <v>1290906.635</v>
      </c>
      <c r="O13" s="186">
        <v>-1299.57573</v>
      </c>
      <c r="P13" s="186">
        <v>88.12</v>
      </c>
      <c r="Q13" s="186">
        <v>3.87</v>
      </c>
      <c r="R13" s="186">
        <v>-13.976000000000001</v>
      </c>
      <c r="S13" s="184" t="s">
        <v>30</v>
      </c>
      <c r="T13" s="184" t="s">
        <v>30</v>
      </c>
      <c r="U13" s="184" t="s">
        <v>781</v>
      </c>
      <c r="V13" s="184" t="s">
        <v>194</v>
      </c>
      <c r="W13" s="184" t="s">
        <v>194</v>
      </c>
      <c r="X13" s="184" t="s">
        <v>3230</v>
      </c>
      <c r="Y13" s="184" t="s">
        <v>155</v>
      </c>
      <c r="Z13" s="184" t="s">
        <v>3225</v>
      </c>
      <c r="AA13" s="184" t="s">
        <v>3226</v>
      </c>
      <c r="AB13" s="184" t="s">
        <v>936</v>
      </c>
      <c r="AC13" s="184" t="s">
        <v>942</v>
      </c>
      <c r="AD13" s="184" t="s">
        <v>155</v>
      </c>
      <c r="AE13" s="184" t="s">
        <v>960</v>
      </c>
      <c r="AF13" s="184" t="s">
        <v>939</v>
      </c>
      <c r="AG13" s="184" t="s">
        <v>935</v>
      </c>
      <c r="AH13" s="186">
        <v>3.3460000000000001</v>
      </c>
      <c r="AI13" s="186">
        <v>-409.36</v>
      </c>
      <c r="AJ13" s="186">
        <v>413.81</v>
      </c>
      <c r="AK13" s="184" t="s">
        <v>155</v>
      </c>
      <c r="AL13" s="184" t="s">
        <v>156</v>
      </c>
      <c r="AM13" s="184" t="s">
        <v>3227</v>
      </c>
      <c r="AN13" s="184" t="s">
        <v>3244</v>
      </c>
      <c r="AO13" s="184" t="s">
        <v>3245</v>
      </c>
    </row>
    <row r="14" spans="1:41" s="187" customFormat="1" ht="15">
      <c r="A14" s="183">
        <v>12904</v>
      </c>
      <c r="B14" s="183">
        <v>13680</v>
      </c>
      <c r="C14" s="184" t="s">
        <v>1078</v>
      </c>
      <c r="D14" s="183">
        <v>9934180</v>
      </c>
      <c r="E14" s="184" t="s">
        <v>102</v>
      </c>
      <c r="F14" s="185">
        <v>3.71</v>
      </c>
      <c r="G14" s="186">
        <v>-103103</v>
      </c>
      <c r="H14" s="186">
        <v>379.87690000000003</v>
      </c>
      <c r="I14" s="186">
        <v>100</v>
      </c>
      <c r="J14" s="186">
        <v>1.04</v>
      </c>
      <c r="K14" s="183">
        <v>9934180</v>
      </c>
      <c r="L14" s="184" t="s">
        <v>34</v>
      </c>
      <c r="M14" s="185">
        <v>1</v>
      </c>
      <c r="N14" s="186">
        <v>381481.1</v>
      </c>
      <c r="O14" s="186">
        <v>-380.63648000000001</v>
      </c>
      <c r="P14" s="186">
        <v>100</v>
      </c>
      <c r="Q14" s="186">
        <v>1.04</v>
      </c>
      <c r="R14" s="186">
        <v>-0.76</v>
      </c>
      <c r="S14" s="184" t="s">
        <v>30</v>
      </c>
      <c r="T14" s="184" t="s">
        <v>30</v>
      </c>
      <c r="U14" s="184" t="s">
        <v>781</v>
      </c>
      <c r="V14" s="184" t="s">
        <v>194</v>
      </c>
      <c r="W14" s="184" t="s">
        <v>194</v>
      </c>
      <c r="X14" s="184" t="s">
        <v>3224</v>
      </c>
      <c r="Y14" s="184" t="s">
        <v>155</v>
      </c>
      <c r="Z14" s="184" t="s">
        <v>3225</v>
      </c>
      <c r="AA14" s="184" t="s">
        <v>3226</v>
      </c>
      <c r="AB14" s="184" t="s">
        <v>936</v>
      </c>
      <c r="AC14" s="184" t="s">
        <v>942</v>
      </c>
      <c r="AD14" s="184" t="s">
        <v>155</v>
      </c>
      <c r="AE14" s="184" t="s">
        <v>960</v>
      </c>
      <c r="AF14" s="184" t="s">
        <v>939</v>
      </c>
      <c r="AG14" s="184" t="s">
        <v>935</v>
      </c>
      <c r="AH14" s="186">
        <v>4.9509999999999996</v>
      </c>
      <c r="AI14" s="186">
        <v>-368.44400000000002</v>
      </c>
      <c r="AJ14" s="186">
        <v>369.18</v>
      </c>
      <c r="AK14" s="184" t="s">
        <v>155</v>
      </c>
      <c r="AL14" s="184" t="s">
        <v>156</v>
      </c>
      <c r="AM14" s="184" t="s">
        <v>3227</v>
      </c>
      <c r="AN14" s="184" t="s">
        <v>3242</v>
      </c>
      <c r="AO14" s="184">
        <v>0</v>
      </c>
    </row>
    <row r="15" spans="1:41" s="191" customFormat="1">
      <c r="A15" s="188"/>
      <c r="B15" s="188"/>
      <c r="C15" s="188"/>
      <c r="D15" s="189"/>
      <c r="E15" s="188"/>
      <c r="F15" s="188"/>
      <c r="G15" s="188"/>
      <c r="H15" s="190"/>
      <c r="J15" s="192"/>
      <c r="L15" s="188"/>
      <c r="R15" s="193"/>
      <c r="T15" s="194"/>
      <c r="U15" s="188"/>
      <c r="V15" s="188"/>
      <c r="X15" s="188"/>
      <c r="Y15" s="188"/>
      <c r="Z15" s="189"/>
      <c r="AA15" s="195"/>
      <c r="AB15" s="188"/>
      <c r="AC15" s="188"/>
      <c r="AD15" s="188"/>
      <c r="AE15" s="188"/>
      <c r="AF15" s="188"/>
      <c r="AG15" s="188"/>
      <c r="AH15" s="196"/>
      <c r="AI15" s="188"/>
      <c r="AJ15" s="188"/>
      <c r="AK15" s="188"/>
      <c r="AN15" s="197"/>
      <c r="AO15" s="197"/>
    </row>
    <row r="16" spans="1:41">
      <c r="C16" s="12"/>
    </row>
    <row r="17" spans="3:3">
      <c r="C17" s="12"/>
    </row>
    <row r="18" spans="3:3">
      <c r="C18" s="12"/>
    </row>
    <row r="19" spans="3:3">
      <c r="C19" s="12"/>
    </row>
    <row r="20" spans="3:3">
      <c r="C20" s="12"/>
    </row>
    <row r="21" spans="3:3">
      <c r="C21" s="12"/>
    </row>
    <row r="22" spans="3:3">
      <c r="C22" s="12"/>
    </row>
    <row r="23" spans="3:3">
      <c r="C23" s="12"/>
    </row>
    <row r="24" spans="3:3">
      <c r="C24" s="12"/>
    </row>
    <row r="25" spans="3:3">
      <c r="C25" s="12"/>
    </row>
    <row r="26" spans="3:3">
      <c r="C26" s="12"/>
    </row>
    <row r="27" spans="3:3">
      <c r="C27" s="12"/>
    </row>
    <row r="28" spans="3:3">
      <c r="C28" s="12"/>
    </row>
    <row r="29" spans="3:3">
      <c r="C29" s="12"/>
    </row>
    <row r="30" spans="3:3">
      <c r="C30" s="12"/>
    </row>
    <row r="31" spans="3:3">
      <c r="C31" s="12"/>
    </row>
    <row r="32" spans="3:3">
      <c r="C32" s="12"/>
    </row>
    <row r="33" spans="3:3">
      <c r="C33" s="12"/>
    </row>
    <row r="34" spans="3:3">
      <c r="C34" s="12"/>
    </row>
    <row r="35" spans="3:3">
      <c r="C35" s="12"/>
    </row>
    <row r="36" spans="3:3">
      <c r="C36" s="12"/>
    </row>
    <row r="37" spans="3:3">
      <c r="C37" s="12"/>
    </row>
    <row r="38" spans="3:3">
      <c r="C38" s="12"/>
    </row>
    <row r="39" spans="3:3">
      <c r="C39" s="12"/>
    </row>
    <row r="40" spans="3:3">
      <c r="C40" s="12"/>
    </row>
    <row r="41" spans="3:3">
      <c r="C41" s="12"/>
    </row>
    <row r="42" spans="3:3">
      <c r="C42" s="12"/>
    </row>
    <row r="43" spans="3:3">
      <c r="C43" s="12"/>
    </row>
    <row r="44" spans="3:3">
      <c r="C44" s="12"/>
    </row>
    <row r="45" spans="3:3">
      <c r="C45" s="12"/>
    </row>
    <row r="46" spans="3:3">
      <c r="C46" s="12"/>
    </row>
    <row r="47" spans="3:3">
      <c r="C47" s="12"/>
    </row>
    <row r="48" spans="3:3">
      <c r="C48" s="12"/>
    </row>
    <row r="49" spans="3:3">
      <c r="C49" s="12"/>
    </row>
    <row r="50" spans="3:3">
      <c r="C50" s="12"/>
    </row>
  </sheetData>
  <dataValidations count="13">
    <dataValidation type="list" allowBlank="1" showInputMessage="1" showErrorMessage="1" sqref="U2:U15" xr:uid="{00000000-0002-0000-1600-000000000000}">
      <formula1>Underlying_Asset</formula1>
    </dataValidation>
    <dataValidation type="list" allowBlank="1" showInputMessage="1" showErrorMessage="1" sqref="AB2:AB1048576 AG2:AG1048576" xr:uid="{00000000-0002-0000-1600-000001000000}">
      <formula1>Reset_frequency</formula1>
    </dataValidation>
    <dataValidation type="list" allowBlank="1" showInputMessage="1" showErrorMessage="1" sqref="S2:S15" xr:uid="{00000000-0002-0000-1600-000002000000}">
      <formula1>israel_abroad</formula1>
    </dataValidation>
    <dataValidation type="list" allowBlank="1" showInputMessage="1" showErrorMessage="1" sqref="AL16:AL1048576 AD2:AD1048576 Y2:Y189" xr:uid="{00000000-0002-0000-1600-000003000000}">
      <formula1>Holding_interest</formula1>
    </dataValidation>
    <dataValidation type="list" allowBlank="1" showInputMessage="1" showErrorMessage="1" sqref="AC2:AC35" xr:uid="{00000000-0002-0000-1600-000004000000}">
      <formula1>Delivery</formula1>
    </dataValidation>
    <dataValidation type="list" allowBlank="1" showInputMessage="1" showErrorMessage="1" sqref="V2:V15" xr:uid="{00000000-0002-0000-1600-000006000000}">
      <formula1>Leading_factor</formula1>
    </dataValidation>
    <dataValidation type="list" allowBlank="1" showInputMessage="1" showErrorMessage="1" sqref="T2:T15" xr:uid="{00000000-0002-0000-1600-000007000000}">
      <formula1>Country_list</formula1>
    </dataValidation>
    <dataValidation type="list" allowBlank="1" showInputMessage="1" showErrorMessage="1" sqref="W2:W15" xr:uid="{00000000-0002-0000-1600-000008000000}">
      <formula1>Additional_Factor</formula1>
    </dataValidation>
    <dataValidation allowBlank="1" showInputMessage="1" showErrorMessage="1" sqref="Z2:Z15 D2:D15 I2:K15 P2:R15 M2:N15" xr:uid="{00000000-0002-0000-1600-000009000000}"/>
    <dataValidation type="list" allowBlank="1" showInputMessage="1" showErrorMessage="1" sqref="AF2:AF15" xr:uid="{00000000-0002-0000-1600-00000B000000}">
      <formula1>Underlying_Interest_Rates</formula1>
    </dataValidation>
    <dataValidation type="list" allowBlank="1" showInputMessage="1" showErrorMessage="1" sqref="AK2:AK15" xr:uid="{00000000-0002-0000-1600-00000C000000}">
      <formula1>Penalty</formula1>
    </dataValidation>
    <dataValidation type="list" allowBlank="1" showInputMessage="1" showErrorMessage="1" sqref="AE3:AE15" xr:uid="{00000000-0002-0000-1600-00000E000000}">
      <formula1>$C$509:$C$510</formula1>
    </dataValidation>
    <dataValidation type="list" allowBlank="1" showInputMessage="1" showErrorMessage="1" sqref="C16:C50" xr:uid="{00000000-0002-0000-1600-00000D000000}">
      <formula1>$C$808:$C$815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0F000000}">
          <x14:formula1>
            <xm:f>'P:\Documents\[קובץ דיווח נכס בודד נגזרים.xlsx]אפשרויות בחירה'!#REF!</xm:f>
          </x14:formula1>
          <xm:sqref>C51:C1048576</xm:sqref>
        </x14:dataValidation>
        <x14:dataValidation type="list" allowBlank="1" showInputMessage="1" showErrorMessage="1" xr:uid="{BA1C13CB-2E40-427F-BB1F-403272F7427B}">
          <x14:formula1>
            <xm:f>'[HU_510960586_gm_0324_638645143651801648.xlsx]אפשרויות בחירה'!#REF!</xm:f>
          </x14:formula1>
          <xm:sqref>C2:C15 AE2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802"/>
  <sheetViews>
    <sheetView rightToLeft="1" zoomScale="70" zoomScaleNormal="70" workbookViewId="0">
      <selection activeCell="I832" sqref="I832"/>
    </sheetView>
  </sheetViews>
  <sheetFormatPr defaultColWidth="9" defaultRowHeight="14.25"/>
  <cols>
    <col min="1" max="21" width="11.625" style="2" customWidth="1"/>
    <col min="22" max="22" width="11.625" style="144" customWidth="1"/>
    <col min="23" max="27" width="11.625" style="2" customWidth="1"/>
    <col min="28" max="28" width="11.625" style="4" customWidth="1"/>
    <col min="29" max="41" width="11.625" style="2" customWidth="1"/>
    <col min="42" max="42" width="11.625" style="144" customWidth="1"/>
    <col min="43" max="49" width="11.625" style="2" customWidth="1"/>
    <col min="50" max="50" width="11.625" style="4" customWidth="1"/>
    <col min="51" max="53" width="11.625" style="2" customWidth="1"/>
    <col min="54" max="54" width="9" style="2" customWidth="1"/>
    <col min="55" max="16384" width="9" style="2"/>
  </cols>
  <sheetData>
    <row r="1" spans="1:53" ht="66.75" customHeight="1">
      <c r="A1" s="19" t="s">
        <v>0</v>
      </c>
      <c r="B1" s="19" t="s">
        <v>1</v>
      </c>
      <c r="C1" s="19" t="s">
        <v>136</v>
      </c>
      <c r="D1" s="19" t="s">
        <v>137</v>
      </c>
      <c r="E1" s="19" t="s">
        <v>138</v>
      </c>
      <c r="F1" s="19" t="s">
        <v>139</v>
      </c>
      <c r="G1" s="19" t="s">
        <v>5</v>
      </c>
      <c r="H1" s="19" t="s">
        <v>1188</v>
      </c>
      <c r="I1" s="19" t="s">
        <v>6</v>
      </c>
      <c r="J1" s="19" t="s">
        <v>7</v>
      </c>
      <c r="K1" s="19" t="s">
        <v>176</v>
      </c>
      <c r="L1" s="19" t="s">
        <v>141</v>
      </c>
      <c r="M1" s="19" t="s">
        <v>1189</v>
      </c>
      <c r="N1" s="19" t="s">
        <v>1190</v>
      </c>
      <c r="O1" s="19" t="s">
        <v>1191</v>
      </c>
      <c r="P1" s="19" t="s">
        <v>9</v>
      </c>
      <c r="Q1" s="19" t="s">
        <v>10</v>
      </c>
      <c r="R1" s="19" t="s">
        <v>142</v>
      </c>
      <c r="S1" s="19" t="s">
        <v>11</v>
      </c>
      <c r="T1" s="19" t="s">
        <v>12</v>
      </c>
      <c r="U1" s="19" t="s">
        <v>143</v>
      </c>
      <c r="V1" s="159" t="s">
        <v>14</v>
      </c>
      <c r="W1" s="19" t="s">
        <v>788</v>
      </c>
      <c r="X1" s="19" t="s">
        <v>943</v>
      </c>
      <c r="Y1" s="180" t="s">
        <v>1193</v>
      </c>
      <c r="Z1" s="163" t="s">
        <v>15</v>
      </c>
      <c r="AA1" s="19" t="s">
        <v>13</v>
      </c>
      <c r="AB1" s="19" t="s">
        <v>445</v>
      </c>
      <c r="AC1" s="19" t="s">
        <v>791</v>
      </c>
      <c r="AD1" s="180" t="s">
        <v>1194</v>
      </c>
      <c r="AE1" s="163" t="s">
        <v>1195</v>
      </c>
      <c r="AF1" s="19" t="s">
        <v>1196</v>
      </c>
      <c r="AG1" s="19" t="s">
        <v>814</v>
      </c>
      <c r="AH1" s="19" t="s">
        <v>815</v>
      </c>
      <c r="AI1" s="19" t="s">
        <v>1197</v>
      </c>
      <c r="AJ1" s="19" t="s">
        <v>821</v>
      </c>
      <c r="AK1" s="19" t="s">
        <v>177</v>
      </c>
      <c r="AL1" s="19" t="s">
        <v>190</v>
      </c>
      <c r="AM1" s="19" t="s">
        <v>178</v>
      </c>
      <c r="AN1" s="19" t="s">
        <v>150</v>
      </c>
      <c r="AO1" s="19" t="s">
        <v>179</v>
      </c>
      <c r="AP1" s="159" t="s">
        <v>1198</v>
      </c>
      <c r="AQ1" s="19" t="s">
        <v>1199</v>
      </c>
      <c r="AR1" s="168" t="s">
        <v>1200</v>
      </c>
      <c r="AS1" s="157" t="s">
        <v>18</v>
      </c>
      <c r="AT1" s="19" t="s">
        <v>20</v>
      </c>
      <c r="AU1" s="19" t="s">
        <v>191</v>
      </c>
      <c r="AV1" s="19" t="s">
        <v>21</v>
      </c>
      <c r="AW1" s="19" t="s">
        <v>192</v>
      </c>
      <c r="AX1" s="19" t="s">
        <v>864</v>
      </c>
      <c r="AY1" s="19" t="s">
        <v>22</v>
      </c>
      <c r="AZ1" s="163" t="s">
        <v>24</v>
      </c>
      <c r="BA1" s="163" t="s">
        <v>25</v>
      </c>
    </row>
    <row r="2" spans="1:53">
      <c r="A2" s="2">
        <v>1182</v>
      </c>
      <c r="B2" s="2">
        <v>1182</v>
      </c>
      <c r="C2" s="20" t="s">
        <v>1333</v>
      </c>
      <c r="D2" s="20" t="s">
        <v>33</v>
      </c>
      <c r="E2" s="20" t="s">
        <v>1334</v>
      </c>
      <c r="F2" s="20" t="s">
        <v>1335</v>
      </c>
      <c r="G2" s="20" t="s">
        <v>1073</v>
      </c>
      <c r="I2" s="18" t="s">
        <v>30</v>
      </c>
      <c r="J2" s="18" t="s">
        <v>30</v>
      </c>
      <c r="K2" s="20" t="s">
        <v>482</v>
      </c>
      <c r="L2" s="20" t="s">
        <v>155</v>
      </c>
      <c r="M2" s="20" t="s">
        <v>375</v>
      </c>
      <c r="N2" s="153">
        <v>514984558</v>
      </c>
      <c r="O2" s="20" t="s">
        <v>1336</v>
      </c>
      <c r="P2" s="20" t="s">
        <v>1337</v>
      </c>
      <c r="Q2" s="20" t="s">
        <v>101</v>
      </c>
      <c r="R2" s="20" t="s">
        <v>442</v>
      </c>
      <c r="S2" s="18" t="s">
        <v>34</v>
      </c>
      <c r="T2" s="153">
        <v>1.47</v>
      </c>
      <c r="U2" s="20" t="s">
        <v>194</v>
      </c>
      <c r="V2" s="171">
        <v>5.5E-2</v>
      </c>
      <c r="W2" s="20" t="s">
        <v>790</v>
      </c>
      <c r="X2" s="20" t="s">
        <v>944</v>
      </c>
      <c r="Y2" s="181">
        <v>5.5</v>
      </c>
      <c r="Z2" s="172">
        <v>0.24424999999999999</v>
      </c>
      <c r="AA2" s="20" t="s">
        <v>1338</v>
      </c>
      <c r="AB2" s="18" t="s">
        <v>447</v>
      </c>
      <c r="AC2" s="20"/>
      <c r="AD2" s="20"/>
      <c r="AE2" s="172">
        <v>0</v>
      </c>
      <c r="AF2" s="20"/>
      <c r="AG2" s="20" t="s">
        <v>375</v>
      </c>
      <c r="AH2" s="20" t="s">
        <v>818</v>
      </c>
      <c r="AI2" s="2" t="s">
        <v>1339</v>
      </c>
      <c r="AJ2" s="2" t="s">
        <v>375</v>
      </c>
      <c r="AK2" s="20" t="s">
        <v>927</v>
      </c>
      <c r="AL2" s="20" t="s">
        <v>1340</v>
      </c>
      <c r="AM2" s="20"/>
      <c r="AN2" s="2" t="s">
        <v>157</v>
      </c>
      <c r="AP2" s="162">
        <v>0</v>
      </c>
      <c r="AQ2" s="151">
        <v>42217</v>
      </c>
      <c r="AR2" s="174">
        <v>82.26</v>
      </c>
      <c r="AS2" s="173">
        <v>1</v>
      </c>
      <c r="AT2" s="153">
        <v>34.728000000000002</v>
      </c>
      <c r="AU2" s="156">
        <v>34.728000000000002</v>
      </c>
      <c r="AV2" s="26"/>
      <c r="AW2" s="26"/>
      <c r="AX2" s="18" t="s">
        <v>375</v>
      </c>
      <c r="AY2" s="20" t="s">
        <v>36</v>
      </c>
      <c r="AZ2" s="172">
        <v>3.8554359524104898E-3</v>
      </c>
      <c r="BA2" s="172">
        <v>8.4304528197491196E-5</v>
      </c>
    </row>
    <row r="3" spans="1:53">
      <c r="A3" s="2">
        <v>1182</v>
      </c>
      <c r="B3" s="2">
        <v>1182</v>
      </c>
      <c r="C3" s="20" t="s">
        <v>1341</v>
      </c>
      <c r="D3" s="20" t="s">
        <v>1342</v>
      </c>
      <c r="E3" s="20" t="s">
        <v>1343</v>
      </c>
      <c r="F3" s="20" t="s">
        <v>1344</v>
      </c>
      <c r="G3" s="20" t="s">
        <v>1073</v>
      </c>
      <c r="I3" s="18" t="s">
        <v>30</v>
      </c>
      <c r="J3" s="18" t="s">
        <v>30</v>
      </c>
      <c r="K3" s="20" t="s">
        <v>473</v>
      </c>
      <c r="L3" s="20" t="s">
        <v>155</v>
      </c>
      <c r="M3" s="20" t="s">
        <v>375</v>
      </c>
      <c r="N3" s="153">
        <v>513846667</v>
      </c>
      <c r="O3" s="20" t="s">
        <v>1345</v>
      </c>
      <c r="P3" s="20" t="s">
        <v>1346</v>
      </c>
      <c r="Q3" s="20" t="s">
        <v>101</v>
      </c>
      <c r="R3" s="20" t="s">
        <v>442</v>
      </c>
      <c r="S3" s="18" t="s">
        <v>34</v>
      </c>
      <c r="T3" s="153">
        <v>4.6500000000000004</v>
      </c>
      <c r="U3" s="20" t="s">
        <v>194</v>
      </c>
      <c r="V3" s="171">
        <v>3.5499999999999997E-2</v>
      </c>
      <c r="W3" s="20" t="s">
        <v>790</v>
      </c>
      <c r="X3" s="20" t="s">
        <v>944</v>
      </c>
      <c r="Y3" s="181">
        <v>3.55</v>
      </c>
      <c r="Z3" s="172">
        <v>5.8930000000000003E-2</v>
      </c>
      <c r="AA3" s="20" t="s">
        <v>1347</v>
      </c>
      <c r="AB3" s="18" t="s">
        <v>447</v>
      </c>
      <c r="AC3" s="20"/>
      <c r="AD3" s="20"/>
      <c r="AE3" s="172">
        <v>0</v>
      </c>
      <c r="AF3" s="20"/>
      <c r="AG3" s="20" t="s">
        <v>155</v>
      </c>
      <c r="AH3" s="20"/>
      <c r="AI3" s="2" t="s">
        <v>1348</v>
      </c>
      <c r="AJ3" s="2" t="s">
        <v>375</v>
      </c>
      <c r="AK3" s="20" t="s">
        <v>927</v>
      </c>
      <c r="AL3" s="20" t="s">
        <v>1340</v>
      </c>
      <c r="AM3" s="20"/>
      <c r="AN3" s="2" t="s">
        <v>157</v>
      </c>
      <c r="AP3" s="162">
        <v>0</v>
      </c>
      <c r="AQ3" s="151">
        <v>333855.92</v>
      </c>
      <c r="AR3" s="174">
        <v>110.14</v>
      </c>
      <c r="AS3" s="173">
        <v>1</v>
      </c>
      <c r="AT3" s="153">
        <v>367.709</v>
      </c>
      <c r="AU3" s="153">
        <v>367.709</v>
      </c>
      <c r="AV3" s="20"/>
      <c r="AW3" s="20"/>
      <c r="AX3" s="18" t="s">
        <v>155</v>
      </c>
      <c r="AY3" s="20" t="s">
        <v>36</v>
      </c>
      <c r="AZ3" s="172">
        <v>4.0822685674281801E-2</v>
      </c>
      <c r="BA3" s="172">
        <v>8.9264542272401201E-4</v>
      </c>
    </row>
    <row r="4" spans="1:53">
      <c r="A4" s="2">
        <v>1182</v>
      </c>
      <c r="B4" s="2">
        <v>1182</v>
      </c>
      <c r="C4" s="20" t="s">
        <v>1349</v>
      </c>
      <c r="D4" s="20" t="s">
        <v>33</v>
      </c>
      <c r="E4" s="20" t="s">
        <v>1350</v>
      </c>
      <c r="F4" s="20" t="s">
        <v>1351</v>
      </c>
      <c r="G4" s="20" t="s">
        <v>1073</v>
      </c>
      <c r="I4" s="18" t="s">
        <v>30</v>
      </c>
      <c r="J4" s="18" t="s">
        <v>30</v>
      </c>
      <c r="K4" s="20" t="s">
        <v>487</v>
      </c>
      <c r="L4" s="20" t="s">
        <v>155</v>
      </c>
      <c r="M4" s="20" t="s">
        <v>375</v>
      </c>
      <c r="N4" s="153">
        <v>513326439</v>
      </c>
      <c r="O4" s="20" t="s">
        <v>1352</v>
      </c>
      <c r="P4" s="20" t="s">
        <v>1353</v>
      </c>
      <c r="Q4" s="20" t="s">
        <v>206</v>
      </c>
      <c r="R4" s="20" t="s">
        <v>442</v>
      </c>
      <c r="S4" s="18" t="s">
        <v>34</v>
      </c>
      <c r="T4" s="153">
        <v>3.22</v>
      </c>
      <c r="U4" s="20" t="s">
        <v>194</v>
      </c>
      <c r="V4" s="171">
        <v>5.5E-2</v>
      </c>
      <c r="W4" s="20" t="s">
        <v>790</v>
      </c>
      <c r="X4" s="20" t="s">
        <v>1354</v>
      </c>
      <c r="Y4" s="181">
        <v>5.5</v>
      </c>
      <c r="Z4" s="172">
        <v>3.2800000000000003E-2</v>
      </c>
      <c r="AA4" s="20" t="s">
        <v>1355</v>
      </c>
      <c r="AB4" s="18" t="s">
        <v>447</v>
      </c>
      <c r="AC4" s="20"/>
      <c r="AD4" s="20"/>
      <c r="AE4" s="172">
        <v>0</v>
      </c>
      <c r="AF4" s="20"/>
      <c r="AG4" s="20" t="s">
        <v>155</v>
      </c>
      <c r="AH4" s="20"/>
      <c r="AJ4" s="2" t="s">
        <v>155</v>
      </c>
      <c r="AK4" s="20" t="s">
        <v>194</v>
      </c>
      <c r="AL4" s="20"/>
      <c r="AM4" s="20"/>
      <c r="AN4" s="2" t="s">
        <v>157</v>
      </c>
      <c r="AP4" s="162">
        <v>0</v>
      </c>
      <c r="AQ4" s="151">
        <v>6218.87</v>
      </c>
      <c r="AR4" s="174">
        <v>124.32</v>
      </c>
      <c r="AS4" s="173">
        <v>1</v>
      </c>
      <c r="AT4" s="153">
        <v>7.7309999999999999</v>
      </c>
      <c r="AU4" s="156">
        <v>7.7309999999999999</v>
      </c>
      <c r="AV4" s="26"/>
      <c r="AW4" s="26"/>
      <c r="AX4" s="18" t="s">
        <v>155</v>
      </c>
      <c r="AY4" s="20" t="s">
        <v>36</v>
      </c>
      <c r="AZ4" s="172">
        <v>8.5832131779201904E-4</v>
      </c>
      <c r="BA4" s="172">
        <v>1.8768402492347001E-5</v>
      </c>
    </row>
    <row r="5" spans="1:53">
      <c r="A5" s="2">
        <v>1182</v>
      </c>
      <c r="B5" s="2">
        <v>1182</v>
      </c>
      <c r="C5" s="20" t="s">
        <v>1349</v>
      </c>
      <c r="D5" s="20" t="s">
        <v>33</v>
      </c>
      <c r="E5" s="20" t="s">
        <v>1356</v>
      </c>
      <c r="F5" s="20" t="s">
        <v>1357</v>
      </c>
      <c r="G5" s="20" t="s">
        <v>1073</v>
      </c>
      <c r="I5" s="18" t="s">
        <v>30</v>
      </c>
      <c r="J5" s="18" t="s">
        <v>30</v>
      </c>
      <c r="K5" s="20" t="s">
        <v>487</v>
      </c>
      <c r="L5" s="20" t="s">
        <v>155</v>
      </c>
      <c r="M5" s="20" t="s">
        <v>375</v>
      </c>
      <c r="N5" s="153">
        <v>513326439</v>
      </c>
      <c r="O5" s="20" t="s">
        <v>1352</v>
      </c>
      <c r="P5" s="20" t="s">
        <v>1353</v>
      </c>
      <c r="Q5" s="20" t="s">
        <v>206</v>
      </c>
      <c r="R5" s="20" t="s">
        <v>442</v>
      </c>
      <c r="S5" s="18" t="s">
        <v>34</v>
      </c>
      <c r="T5" s="153">
        <v>3.24</v>
      </c>
      <c r="U5" s="20" t="s">
        <v>1358</v>
      </c>
      <c r="V5" s="171">
        <v>5.5E-2</v>
      </c>
      <c r="W5" s="20" t="s">
        <v>790</v>
      </c>
      <c r="X5" s="20" t="s">
        <v>1354</v>
      </c>
      <c r="Y5" s="181">
        <v>5.5</v>
      </c>
      <c r="Z5" s="172">
        <v>2.9000000000000001E-2</v>
      </c>
      <c r="AA5" s="20" t="s">
        <v>1355</v>
      </c>
      <c r="AB5" s="18" t="s">
        <v>447</v>
      </c>
      <c r="AC5" s="20"/>
      <c r="AD5" s="20"/>
      <c r="AE5" s="172">
        <v>0</v>
      </c>
      <c r="AF5" s="20"/>
      <c r="AG5" s="20" t="s">
        <v>155</v>
      </c>
      <c r="AH5" s="20"/>
      <c r="AJ5" s="2" t="s">
        <v>155</v>
      </c>
      <c r="AK5" s="20" t="s">
        <v>194</v>
      </c>
      <c r="AL5" s="20"/>
      <c r="AM5" s="20"/>
      <c r="AN5" s="2" t="s">
        <v>157</v>
      </c>
      <c r="AP5" s="162">
        <v>0</v>
      </c>
      <c r="AQ5" s="151">
        <v>8958.35</v>
      </c>
      <c r="AR5" s="174">
        <v>128.31</v>
      </c>
      <c r="AS5" s="173">
        <v>1</v>
      </c>
      <c r="AT5" s="153">
        <v>11.494</v>
      </c>
      <c r="AU5" s="156">
        <v>11.494</v>
      </c>
      <c r="AV5" s="26"/>
      <c r="AW5" s="26"/>
      <c r="AX5" s="18" t="s">
        <v>155</v>
      </c>
      <c r="AY5" s="20" t="s">
        <v>36</v>
      </c>
      <c r="AZ5" s="172">
        <v>1.27610364864641E-3</v>
      </c>
      <c r="BA5" s="172">
        <v>2.79038005969132E-5</v>
      </c>
    </row>
    <row r="6" spans="1:53">
      <c r="A6" s="2">
        <v>1182</v>
      </c>
      <c r="B6" s="2">
        <v>1182</v>
      </c>
      <c r="C6" s="20" t="s">
        <v>1349</v>
      </c>
      <c r="D6" s="20" t="s">
        <v>33</v>
      </c>
      <c r="E6" s="20" t="s">
        <v>1359</v>
      </c>
      <c r="F6" s="20" t="s">
        <v>1360</v>
      </c>
      <c r="G6" s="20" t="s">
        <v>1073</v>
      </c>
      <c r="I6" s="18" t="s">
        <v>30</v>
      </c>
      <c r="J6" s="18" t="s">
        <v>30</v>
      </c>
      <c r="K6" s="20" t="s">
        <v>487</v>
      </c>
      <c r="L6" s="20" t="s">
        <v>155</v>
      </c>
      <c r="M6" s="20" t="s">
        <v>375</v>
      </c>
      <c r="N6" s="153">
        <v>513326439</v>
      </c>
      <c r="O6" s="20" t="s">
        <v>1352</v>
      </c>
      <c r="P6" s="20" t="s">
        <v>1353</v>
      </c>
      <c r="Q6" s="20" t="s">
        <v>206</v>
      </c>
      <c r="R6" s="20" t="s">
        <v>442</v>
      </c>
      <c r="S6" s="18" t="s">
        <v>34</v>
      </c>
      <c r="T6" s="153">
        <v>3.22</v>
      </c>
      <c r="U6" s="20" t="s">
        <v>1358</v>
      </c>
      <c r="V6" s="171">
        <v>5.5E-2</v>
      </c>
      <c r="W6" s="20" t="s">
        <v>790</v>
      </c>
      <c r="X6" s="20" t="s">
        <v>1354</v>
      </c>
      <c r="Y6" s="181">
        <v>5.5</v>
      </c>
      <c r="Z6" s="172">
        <v>3.2800000000000003E-2</v>
      </c>
      <c r="AA6" s="20" t="s">
        <v>1355</v>
      </c>
      <c r="AB6" s="18" t="s">
        <v>447</v>
      </c>
      <c r="AC6" s="20"/>
      <c r="AD6" s="20"/>
      <c r="AE6" s="172">
        <v>0</v>
      </c>
      <c r="AF6" s="20"/>
      <c r="AG6" s="20" t="s">
        <v>155</v>
      </c>
      <c r="AH6" s="20"/>
      <c r="AJ6" s="2" t="s">
        <v>155</v>
      </c>
      <c r="AK6" s="20" t="s">
        <v>194</v>
      </c>
      <c r="AL6" s="20"/>
      <c r="AM6" s="20"/>
      <c r="AN6" s="2" t="s">
        <v>157</v>
      </c>
      <c r="AP6" s="162">
        <v>0</v>
      </c>
      <c r="AQ6" s="151">
        <v>987.02</v>
      </c>
      <c r="AR6" s="174">
        <v>128.31</v>
      </c>
      <c r="AS6" s="173">
        <v>1</v>
      </c>
      <c r="AT6" s="153">
        <v>1.266</v>
      </c>
      <c r="AU6" s="156">
        <v>1.266</v>
      </c>
      <c r="AV6" s="26"/>
      <c r="AW6" s="26"/>
      <c r="AX6" s="18" t="s">
        <v>155</v>
      </c>
      <c r="AY6" s="20" t="s">
        <v>36</v>
      </c>
      <c r="AZ6" s="172">
        <v>1.40599532646858E-4</v>
      </c>
      <c r="BA6" s="172">
        <v>3.0744064772157002E-6</v>
      </c>
    </row>
    <row r="7" spans="1:53">
      <c r="A7" s="2">
        <v>1182</v>
      </c>
      <c r="B7" s="2">
        <v>1182</v>
      </c>
      <c r="C7" s="20" t="s">
        <v>1349</v>
      </c>
      <c r="D7" s="20" t="s">
        <v>33</v>
      </c>
      <c r="E7" s="20" t="s">
        <v>1361</v>
      </c>
      <c r="F7" s="20" t="s">
        <v>1362</v>
      </c>
      <c r="G7" s="20" t="s">
        <v>1073</v>
      </c>
      <c r="I7" s="18" t="s">
        <v>30</v>
      </c>
      <c r="J7" s="18" t="s">
        <v>30</v>
      </c>
      <c r="K7" s="20" t="s">
        <v>487</v>
      </c>
      <c r="L7" s="20" t="s">
        <v>155</v>
      </c>
      <c r="M7" s="20" t="s">
        <v>375</v>
      </c>
      <c r="N7" s="20" t="s">
        <v>1349</v>
      </c>
      <c r="O7" s="20" t="s">
        <v>1363</v>
      </c>
      <c r="P7" s="20" t="s">
        <v>1340</v>
      </c>
      <c r="Q7" s="20" t="s">
        <v>101</v>
      </c>
      <c r="R7" s="20" t="s">
        <v>442</v>
      </c>
      <c r="S7" s="18" t="s">
        <v>34</v>
      </c>
      <c r="T7" s="153">
        <v>3.09</v>
      </c>
      <c r="U7" s="20" t="s">
        <v>194</v>
      </c>
      <c r="V7" s="171">
        <v>5.5300000000000002E-2</v>
      </c>
      <c r="W7" s="20" t="s">
        <v>790</v>
      </c>
      <c r="X7" s="20" t="s">
        <v>944</v>
      </c>
      <c r="Y7" s="181">
        <v>5.53</v>
      </c>
      <c r="Z7" s="172">
        <v>2.818E-2</v>
      </c>
      <c r="AA7" s="20" t="s">
        <v>1364</v>
      </c>
      <c r="AB7" s="18" t="s">
        <v>447</v>
      </c>
      <c r="AC7" s="20" t="s">
        <v>519</v>
      </c>
      <c r="AD7" s="153">
        <v>4791</v>
      </c>
      <c r="AE7" s="172">
        <v>0.78</v>
      </c>
      <c r="AF7" s="20" t="s">
        <v>1365</v>
      </c>
      <c r="AG7" s="20" t="s">
        <v>155</v>
      </c>
      <c r="AH7" s="20"/>
      <c r="AI7" s="2" t="s">
        <v>1366</v>
      </c>
      <c r="AJ7" s="2" t="s">
        <v>375</v>
      </c>
      <c r="AK7" s="20" t="s">
        <v>927</v>
      </c>
      <c r="AL7" s="20" t="s">
        <v>1340</v>
      </c>
      <c r="AM7" s="20"/>
      <c r="AN7" s="2" t="s">
        <v>157</v>
      </c>
      <c r="AO7" s="2" t="s">
        <v>1365</v>
      </c>
      <c r="AP7" s="162">
        <v>0</v>
      </c>
      <c r="AQ7" s="151">
        <v>12335.41</v>
      </c>
      <c r="AR7" s="174">
        <v>129.91999999999999</v>
      </c>
      <c r="AS7" s="173">
        <v>1</v>
      </c>
      <c r="AT7" s="153">
        <v>16.026</v>
      </c>
      <c r="AU7" s="156">
        <v>16.026</v>
      </c>
      <c r="AV7" s="26"/>
      <c r="AW7" s="26"/>
      <c r="AX7" s="18" t="s">
        <v>155</v>
      </c>
      <c r="AY7" s="20" t="s">
        <v>36</v>
      </c>
      <c r="AZ7" s="172">
        <v>1.77920921866409E-3</v>
      </c>
      <c r="BA7" s="172">
        <v>3.8904911298117499E-5</v>
      </c>
    </row>
    <row r="8" spans="1:53">
      <c r="A8" s="2">
        <v>1182</v>
      </c>
      <c r="B8" s="2">
        <v>1182</v>
      </c>
      <c r="C8" s="20" t="s">
        <v>1349</v>
      </c>
      <c r="D8" s="20" t="s">
        <v>33</v>
      </c>
      <c r="E8" s="20" t="s">
        <v>1367</v>
      </c>
      <c r="F8" s="20" t="s">
        <v>1368</v>
      </c>
      <c r="G8" s="20" t="s">
        <v>1073</v>
      </c>
      <c r="I8" s="18" t="s">
        <v>30</v>
      </c>
      <c r="J8" s="18" t="s">
        <v>30</v>
      </c>
      <c r="K8" s="20" t="s">
        <v>487</v>
      </c>
      <c r="L8" s="20" t="s">
        <v>155</v>
      </c>
      <c r="M8" s="20" t="s">
        <v>375</v>
      </c>
      <c r="N8" s="20" t="s">
        <v>1349</v>
      </c>
      <c r="O8" s="20" t="s">
        <v>1369</v>
      </c>
      <c r="P8" s="20" t="s">
        <v>1340</v>
      </c>
      <c r="Q8" s="20" t="s">
        <v>101</v>
      </c>
      <c r="R8" s="20" t="s">
        <v>442</v>
      </c>
      <c r="S8" s="18" t="s">
        <v>34</v>
      </c>
      <c r="T8" s="153">
        <v>3.09</v>
      </c>
      <c r="U8" s="20" t="s">
        <v>194</v>
      </c>
      <c r="V8" s="171">
        <v>5.5301000000000003E-2</v>
      </c>
      <c r="W8" s="20" t="s">
        <v>790</v>
      </c>
      <c r="X8" s="20" t="s">
        <v>944</v>
      </c>
      <c r="Y8" s="181">
        <v>5.5301</v>
      </c>
      <c r="Z8" s="172">
        <v>2.818E-2</v>
      </c>
      <c r="AA8" s="20" t="s">
        <v>1364</v>
      </c>
      <c r="AB8" s="18" t="s">
        <v>447</v>
      </c>
      <c r="AC8" s="20" t="s">
        <v>519</v>
      </c>
      <c r="AD8" s="153">
        <v>4596</v>
      </c>
      <c r="AE8" s="172">
        <v>0.78</v>
      </c>
      <c r="AF8" s="20" t="s">
        <v>1365</v>
      </c>
      <c r="AG8" s="20" t="s">
        <v>155</v>
      </c>
      <c r="AH8" s="20"/>
      <c r="AI8" s="2" t="s">
        <v>1366</v>
      </c>
      <c r="AJ8" s="2" t="s">
        <v>375</v>
      </c>
      <c r="AK8" s="20" t="s">
        <v>927</v>
      </c>
      <c r="AL8" s="20" t="s">
        <v>1340</v>
      </c>
      <c r="AM8" s="20"/>
      <c r="AN8" s="2" t="s">
        <v>157</v>
      </c>
      <c r="AO8" s="2" t="s">
        <v>1365</v>
      </c>
      <c r="AP8" s="162">
        <v>0</v>
      </c>
      <c r="AQ8" s="151">
        <v>11834.72</v>
      </c>
      <c r="AR8" s="174">
        <v>129.91999999999999</v>
      </c>
      <c r="AS8" s="173">
        <v>1</v>
      </c>
      <c r="AT8" s="153">
        <v>15.375999999999999</v>
      </c>
      <c r="AU8" s="153">
        <v>15.375999999999999</v>
      </c>
      <c r="AV8" s="20"/>
      <c r="AW8" s="20"/>
      <c r="AX8" s="18" t="s">
        <v>155</v>
      </c>
      <c r="AY8" s="20" t="s">
        <v>36</v>
      </c>
      <c r="AZ8" s="172">
        <v>1.70699173552466E-3</v>
      </c>
      <c r="BA8" s="172">
        <v>3.7325774484841303E-5</v>
      </c>
    </row>
    <row r="9" spans="1:53">
      <c r="A9" s="2">
        <v>1182</v>
      </c>
      <c r="B9" s="2">
        <v>1182</v>
      </c>
      <c r="C9" s="20" t="s">
        <v>1349</v>
      </c>
      <c r="D9" s="20" t="s">
        <v>33</v>
      </c>
      <c r="E9" s="20" t="s">
        <v>1370</v>
      </c>
      <c r="F9" s="20" t="s">
        <v>1371</v>
      </c>
      <c r="G9" s="20" t="s">
        <v>1073</v>
      </c>
      <c r="I9" s="18" t="s">
        <v>30</v>
      </c>
      <c r="J9" s="18" t="s">
        <v>30</v>
      </c>
      <c r="K9" s="20" t="s">
        <v>487</v>
      </c>
      <c r="L9" s="20" t="s">
        <v>155</v>
      </c>
      <c r="M9" s="20" t="s">
        <v>375</v>
      </c>
      <c r="N9" s="20" t="s">
        <v>1349</v>
      </c>
      <c r="O9" s="20" t="s">
        <v>1372</v>
      </c>
      <c r="P9" s="20" t="s">
        <v>1340</v>
      </c>
      <c r="Q9" s="20" t="s">
        <v>101</v>
      </c>
      <c r="R9" s="20" t="s">
        <v>442</v>
      </c>
      <c r="S9" s="18" t="s">
        <v>34</v>
      </c>
      <c r="T9" s="153">
        <v>3.09</v>
      </c>
      <c r="U9" s="20" t="s">
        <v>194</v>
      </c>
      <c r="V9" s="171">
        <v>5.5300000000000002E-2</v>
      </c>
      <c r="W9" s="20" t="s">
        <v>790</v>
      </c>
      <c r="X9" s="20" t="s">
        <v>944</v>
      </c>
      <c r="Y9" s="181">
        <v>5.53</v>
      </c>
      <c r="Z9" s="172">
        <v>2.8139999999999998E-2</v>
      </c>
      <c r="AA9" s="20" t="s">
        <v>1364</v>
      </c>
      <c r="AB9" s="18" t="s">
        <v>447</v>
      </c>
      <c r="AC9" s="20" t="s">
        <v>519</v>
      </c>
      <c r="AD9" s="153">
        <v>4622</v>
      </c>
      <c r="AE9" s="172">
        <v>0.78</v>
      </c>
      <c r="AF9" s="20" t="s">
        <v>1365</v>
      </c>
      <c r="AG9" s="20" t="s">
        <v>155</v>
      </c>
      <c r="AH9" s="20"/>
      <c r="AI9" s="2" t="s">
        <v>1366</v>
      </c>
      <c r="AJ9" s="2" t="s">
        <v>375</v>
      </c>
      <c r="AK9" s="20" t="s">
        <v>927</v>
      </c>
      <c r="AL9" s="20" t="s">
        <v>1340</v>
      </c>
      <c r="AM9" s="20"/>
      <c r="AN9" s="2" t="s">
        <v>157</v>
      </c>
      <c r="AO9" s="2" t="s">
        <v>1365</v>
      </c>
      <c r="AP9" s="162">
        <v>0</v>
      </c>
      <c r="AQ9" s="151">
        <v>11902.25</v>
      </c>
      <c r="AR9" s="174">
        <v>128.31</v>
      </c>
      <c r="AS9" s="173">
        <v>1</v>
      </c>
      <c r="AT9" s="153">
        <v>15.272</v>
      </c>
      <c r="AU9" s="156">
        <v>15.272</v>
      </c>
      <c r="AV9" s="26"/>
      <c r="AW9" s="26"/>
      <c r="AX9" s="18" t="s">
        <v>155</v>
      </c>
      <c r="AY9" s="20" t="s">
        <v>36</v>
      </c>
      <c r="AZ9" s="172">
        <v>1.69545783008051E-3</v>
      </c>
      <c r="BA9" s="172">
        <v>3.7073569424571503E-5</v>
      </c>
    </row>
    <row r="10" spans="1:53">
      <c r="A10" s="2">
        <v>1182</v>
      </c>
      <c r="B10" s="2">
        <v>1182</v>
      </c>
      <c r="C10" s="20" t="s">
        <v>1349</v>
      </c>
      <c r="D10" s="20" t="s">
        <v>33</v>
      </c>
      <c r="E10" s="20" t="s">
        <v>1373</v>
      </c>
      <c r="F10" s="20" t="s">
        <v>1374</v>
      </c>
      <c r="G10" s="20" t="s">
        <v>1073</v>
      </c>
      <c r="I10" s="18" t="s">
        <v>30</v>
      </c>
      <c r="J10" s="18" t="s">
        <v>30</v>
      </c>
      <c r="K10" s="20" t="s">
        <v>487</v>
      </c>
      <c r="L10" s="20" t="s">
        <v>155</v>
      </c>
      <c r="M10" s="20" t="s">
        <v>375</v>
      </c>
      <c r="N10" s="20" t="s">
        <v>1349</v>
      </c>
      <c r="O10" s="20" t="s">
        <v>1375</v>
      </c>
      <c r="P10" s="20" t="s">
        <v>1340</v>
      </c>
      <c r="Q10" s="20" t="s">
        <v>101</v>
      </c>
      <c r="R10" s="20" t="s">
        <v>442</v>
      </c>
      <c r="S10" s="18" t="s">
        <v>34</v>
      </c>
      <c r="T10" s="153">
        <v>3.24</v>
      </c>
      <c r="U10" s="20" t="s">
        <v>194</v>
      </c>
      <c r="V10" s="171">
        <v>5.5E-2</v>
      </c>
      <c r="W10" s="20" t="s">
        <v>790</v>
      </c>
      <c r="X10" s="20" t="s">
        <v>1354</v>
      </c>
      <c r="Y10" s="181">
        <v>5.5</v>
      </c>
      <c r="Z10" s="172">
        <v>2.9000000000000001E-2</v>
      </c>
      <c r="AA10" s="20" t="s">
        <v>1364</v>
      </c>
      <c r="AB10" s="18" t="s">
        <v>447</v>
      </c>
      <c r="AC10" s="20" t="s">
        <v>519</v>
      </c>
      <c r="AD10" s="153">
        <v>3155</v>
      </c>
      <c r="AE10" s="172">
        <v>0.78</v>
      </c>
      <c r="AF10" s="20" t="s">
        <v>1365</v>
      </c>
      <c r="AG10" s="20" t="s">
        <v>155</v>
      </c>
      <c r="AH10" s="20"/>
      <c r="AI10" s="2" t="s">
        <v>1366</v>
      </c>
      <c r="AJ10" s="2" t="s">
        <v>375</v>
      </c>
      <c r="AK10" s="20" t="s">
        <v>194</v>
      </c>
      <c r="AL10" s="20"/>
      <c r="AM10" s="20"/>
      <c r="AN10" s="2" t="s">
        <v>157</v>
      </c>
      <c r="AO10" s="2" t="s">
        <v>1365</v>
      </c>
      <c r="AP10" s="162">
        <v>0</v>
      </c>
      <c r="AQ10" s="151">
        <v>3758.6</v>
      </c>
      <c r="AR10" s="174">
        <v>127.8</v>
      </c>
      <c r="AS10" s="173">
        <v>1</v>
      </c>
      <c r="AT10" s="153">
        <v>4.8029999999999999</v>
      </c>
      <c r="AU10" s="153">
        <v>4.8029999999999999</v>
      </c>
      <c r="AV10" s="20"/>
      <c r="AW10" s="20"/>
      <c r="AX10" s="18" t="s">
        <v>155</v>
      </c>
      <c r="AY10" s="20" t="s">
        <v>36</v>
      </c>
      <c r="AZ10" s="172">
        <v>5.3327887788773005E-4</v>
      </c>
      <c r="BA10" s="172">
        <v>1.16608925042327E-5</v>
      </c>
    </row>
    <row r="11" spans="1:53">
      <c r="A11" s="2">
        <v>1182</v>
      </c>
      <c r="B11" s="2">
        <v>1182</v>
      </c>
      <c r="C11" s="20" t="s">
        <v>1349</v>
      </c>
      <c r="D11" s="20" t="s">
        <v>33</v>
      </c>
      <c r="E11" s="20" t="s">
        <v>1376</v>
      </c>
      <c r="F11" s="20" t="s">
        <v>1377</v>
      </c>
      <c r="G11" s="20" t="s">
        <v>1073</v>
      </c>
      <c r="I11" s="18" t="s">
        <v>30</v>
      </c>
      <c r="J11" s="18" t="s">
        <v>30</v>
      </c>
      <c r="K11" s="20" t="s">
        <v>487</v>
      </c>
      <c r="L11" s="20" t="s">
        <v>155</v>
      </c>
      <c r="M11" s="20" t="s">
        <v>375</v>
      </c>
      <c r="N11" s="20" t="s">
        <v>1349</v>
      </c>
      <c r="O11" s="20" t="s">
        <v>1378</v>
      </c>
      <c r="P11" s="20" t="s">
        <v>1340</v>
      </c>
      <c r="Q11" s="20" t="s">
        <v>101</v>
      </c>
      <c r="R11" s="20" t="s">
        <v>442</v>
      </c>
      <c r="S11" s="18" t="s">
        <v>34</v>
      </c>
      <c r="T11" s="153">
        <v>3.08</v>
      </c>
      <c r="U11" s="20" t="s">
        <v>1358</v>
      </c>
      <c r="V11" s="171">
        <v>5.6132000000000001E-2</v>
      </c>
      <c r="W11" s="20" t="s">
        <v>790</v>
      </c>
      <c r="X11" s="20" t="s">
        <v>944</v>
      </c>
      <c r="Y11" s="181">
        <v>5.6132</v>
      </c>
      <c r="Z11" s="172">
        <v>2.7990000000000001E-2</v>
      </c>
      <c r="AA11" s="20" t="s">
        <v>1364</v>
      </c>
      <c r="AB11" s="18" t="s">
        <v>447</v>
      </c>
      <c r="AC11" s="20" t="s">
        <v>519</v>
      </c>
      <c r="AD11" s="153">
        <v>465</v>
      </c>
      <c r="AE11" s="172">
        <v>0.78</v>
      </c>
      <c r="AF11" s="20" t="s">
        <v>1365</v>
      </c>
      <c r="AG11" s="20" t="s">
        <v>155</v>
      </c>
      <c r="AH11" s="20"/>
      <c r="AI11" s="2" t="s">
        <v>1366</v>
      </c>
      <c r="AJ11" s="2" t="s">
        <v>375</v>
      </c>
      <c r="AK11" s="20" t="s">
        <v>927</v>
      </c>
      <c r="AL11" s="20" t="s">
        <v>1340</v>
      </c>
      <c r="AM11" s="20"/>
      <c r="AN11" s="2" t="s">
        <v>157</v>
      </c>
      <c r="AO11" s="2" t="s">
        <v>1365</v>
      </c>
      <c r="AP11" s="162">
        <v>0</v>
      </c>
      <c r="AQ11" s="151">
        <v>552.03</v>
      </c>
      <c r="AR11" s="174">
        <v>130.63</v>
      </c>
      <c r="AS11" s="173">
        <v>1</v>
      </c>
      <c r="AT11" s="153">
        <v>0.72099999999999997</v>
      </c>
      <c r="AU11" s="153">
        <v>0.72099999999999997</v>
      </c>
      <c r="AV11" s="20"/>
      <c r="AW11" s="20"/>
      <c r="AX11" s="18" t="s">
        <v>155</v>
      </c>
      <c r="AY11" s="20" t="s">
        <v>36</v>
      </c>
      <c r="AZ11" s="172">
        <v>8.0057684728764895E-5</v>
      </c>
      <c r="BA11" s="172">
        <v>1.7505738450725099E-6</v>
      </c>
    </row>
    <row r="12" spans="1:53">
      <c r="A12" s="2">
        <v>1182</v>
      </c>
      <c r="B12" s="2">
        <v>1182</v>
      </c>
      <c r="C12" s="20" t="s">
        <v>1349</v>
      </c>
      <c r="D12" s="20" t="s">
        <v>33</v>
      </c>
      <c r="E12" s="20" t="s">
        <v>1379</v>
      </c>
      <c r="F12" s="20" t="s">
        <v>1380</v>
      </c>
      <c r="G12" s="20" t="s">
        <v>1073</v>
      </c>
      <c r="I12" s="18" t="s">
        <v>30</v>
      </c>
      <c r="J12" s="18" t="s">
        <v>30</v>
      </c>
      <c r="K12" s="20" t="s">
        <v>487</v>
      </c>
      <c r="L12" s="20" t="s">
        <v>155</v>
      </c>
      <c r="M12" s="20" t="s">
        <v>375</v>
      </c>
      <c r="N12" s="153">
        <v>513326439</v>
      </c>
      <c r="O12" s="20" t="s">
        <v>1352</v>
      </c>
      <c r="P12" s="20" t="s">
        <v>1353</v>
      </c>
      <c r="Q12" s="20" t="s">
        <v>206</v>
      </c>
      <c r="R12" s="20" t="s">
        <v>442</v>
      </c>
      <c r="S12" s="18" t="s">
        <v>34</v>
      </c>
      <c r="T12" s="153">
        <v>3.24</v>
      </c>
      <c r="U12" s="20" t="s">
        <v>1358</v>
      </c>
      <c r="V12" s="171">
        <v>5.6691999999999999E-2</v>
      </c>
      <c r="W12" s="20" t="s">
        <v>790</v>
      </c>
      <c r="X12" s="20" t="s">
        <v>1354</v>
      </c>
      <c r="Y12" s="181">
        <v>5.6692</v>
      </c>
      <c r="Z12" s="172">
        <v>2.7799999999999998E-2</v>
      </c>
      <c r="AA12" s="20" t="s">
        <v>1381</v>
      </c>
      <c r="AB12" s="18" t="s">
        <v>447</v>
      </c>
      <c r="AC12" s="20"/>
      <c r="AD12" s="20"/>
      <c r="AE12" s="172">
        <v>0</v>
      </c>
      <c r="AF12" s="20"/>
      <c r="AG12" s="20" t="s">
        <v>155</v>
      </c>
      <c r="AH12" s="20"/>
      <c r="AJ12" s="2" t="s">
        <v>155</v>
      </c>
      <c r="AK12" s="20" t="s">
        <v>194</v>
      </c>
      <c r="AL12" s="20"/>
      <c r="AM12" s="20"/>
      <c r="AN12" s="2" t="s">
        <v>157</v>
      </c>
      <c r="AP12" s="162">
        <v>0</v>
      </c>
      <c r="AQ12" s="151">
        <v>1111.51</v>
      </c>
      <c r="AR12" s="174">
        <v>131.06</v>
      </c>
      <c r="AS12" s="173">
        <v>1</v>
      </c>
      <c r="AT12" s="153">
        <v>1.4570000000000001</v>
      </c>
      <c r="AU12" s="153">
        <v>1.4570000000000001</v>
      </c>
      <c r="AV12" s="20"/>
      <c r="AW12" s="20"/>
      <c r="AX12" s="18" t="s">
        <v>155</v>
      </c>
      <c r="AY12" s="20" t="s">
        <v>36</v>
      </c>
      <c r="AZ12" s="172">
        <v>1.6172641408374001E-4</v>
      </c>
      <c r="BA12" s="172">
        <v>3.5363754461742201E-6</v>
      </c>
    </row>
    <row r="13" spans="1:53">
      <c r="A13" s="2">
        <v>1182</v>
      </c>
      <c r="B13" s="2">
        <v>1182</v>
      </c>
      <c r="C13" s="20" t="s">
        <v>1349</v>
      </c>
      <c r="D13" s="20" t="s">
        <v>33</v>
      </c>
      <c r="E13" s="20" t="s">
        <v>1382</v>
      </c>
      <c r="F13" s="20" t="s">
        <v>1383</v>
      </c>
      <c r="G13" s="20" t="s">
        <v>1073</v>
      </c>
      <c r="I13" s="18" t="s">
        <v>30</v>
      </c>
      <c r="J13" s="18" t="s">
        <v>30</v>
      </c>
      <c r="K13" s="20" t="s">
        <v>487</v>
      </c>
      <c r="L13" s="20" t="s">
        <v>155</v>
      </c>
      <c r="M13" s="20" t="s">
        <v>375</v>
      </c>
      <c r="N13" s="20" t="s">
        <v>1349</v>
      </c>
      <c r="O13" s="20" t="s">
        <v>1384</v>
      </c>
      <c r="P13" s="20" t="s">
        <v>1340</v>
      </c>
      <c r="Q13" s="20" t="s">
        <v>101</v>
      </c>
      <c r="R13" s="20" t="s">
        <v>442</v>
      </c>
      <c r="S13" s="18" t="s">
        <v>34</v>
      </c>
      <c r="T13" s="153">
        <v>3.09</v>
      </c>
      <c r="U13" s="20" t="s">
        <v>1358</v>
      </c>
      <c r="V13" s="171">
        <v>5.5E-2</v>
      </c>
      <c r="W13" s="20" t="s">
        <v>790</v>
      </c>
      <c r="X13" s="20" t="s">
        <v>944</v>
      </c>
      <c r="Y13" s="181">
        <v>5.5</v>
      </c>
      <c r="Z13" s="172">
        <v>2.7130000000000001E-2</v>
      </c>
      <c r="AA13" s="20" t="s">
        <v>1364</v>
      </c>
      <c r="AB13" s="18" t="s">
        <v>447</v>
      </c>
      <c r="AC13" s="20" t="s">
        <v>519</v>
      </c>
      <c r="AD13" s="153">
        <v>562</v>
      </c>
      <c r="AE13" s="172">
        <v>0.78</v>
      </c>
      <c r="AF13" s="20" t="s">
        <v>1365</v>
      </c>
      <c r="AG13" s="20" t="s">
        <v>155</v>
      </c>
      <c r="AH13" s="20"/>
      <c r="AI13" s="2" t="s">
        <v>1366</v>
      </c>
      <c r="AJ13" s="2" t="s">
        <v>375</v>
      </c>
      <c r="AK13" s="20" t="s">
        <v>927</v>
      </c>
      <c r="AL13" s="20" t="s">
        <v>1340</v>
      </c>
      <c r="AM13" s="20"/>
      <c r="AN13" s="2" t="s">
        <v>157</v>
      </c>
      <c r="AO13" s="2" t="s">
        <v>1365</v>
      </c>
      <c r="AP13" s="162">
        <v>0</v>
      </c>
      <c r="AQ13" s="151">
        <v>666.95</v>
      </c>
      <c r="AR13" s="174">
        <v>131.02000000000001</v>
      </c>
      <c r="AS13" s="173">
        <v>1</v>
      </c>
      <c r="AT13" s="153">
        <v>0.874</v>
      </c>
      <c r="AU13" s="153">
        <v>0.874</v>
      </c>
      <c r="AV13" s="20"/>
      <c r="AW13" s="20"/>
      <c r="AX13" s="18" t="s">
        <v>155</v>
      </c>
      <c r="AY13" s="20" t="s">
        <v>36</v>
      </c>
      <c r="AZ13" s="172">
        <v>9.7012632861705802E-5</v>
      </c>
      <c r="BA13" s="172">
        <v>2.1213176262179002E-6</v>
      </c>
    </row>
    <row r="14" spans="1:53">
      <c r="A14" s="2">
        <v>1182</v>
      </c>
      <c r="B14" s="2">
        <v>1182</v>
      </c>
      <c r="C14" s="20" t="s">
        <v>1349</v>
      </c>
      <c r="D14" s="20" t="s">
        <v>33</v>
      </c>
      <c r="E14" s="20" t="s">
        <v>1385</v>
      </c>
      <c r="F14" s="20" t="s">
        <v>1386</v>
      </c>
      <c r="G14" s="20" t="s">
        <v>1073</v>
      </c>
      <c r="I14" s="18" t="s">
        <v>30</v>
      </c>
      <c r="J14" s="18" t="s">
        <v>30</v>
      </c>
      <c r="K14" s="20" t="s">
        <v>487</v>
      </c>
      <c r="L14" s="20" t="s">
        <v>155</v>
      </c>
      <c r="M14" s="20" t="s">
        <v>375</v>
      </c>
      <c r="N14" s="20" t="s">
        <v>1349</v>
      </c>
      <c r="O14" s="20" t="s">
        <v>1387</v>
      </c>
      <c r="P14" s="20" t="s">
        <v>1340</v>
      </c>
      <c r="Q14" s="20" t="s">
        <v>101</v>
      </c>
      <c r="R14" s="20" t="s">
        <v>442</v>
      </c>
      <c r="S14" s="18" t="s">
        <v>34</v>
      </c>
      <c r="T14" s="153">
        <v>3.09</v>
      </c>
      <c r="U14" s="20" t="s">
        <v>1358</v>
      </c>
      <c r="V14" s="171">
        <v>5.5E-2</v>
      </c>
      <c r="W14" s="20" t="s">
        <v>790</v>
      </c>
      <c r="X14" s="20" t="s">
        <v>944</v>
      </c>
      <c r="Y14" s="181">
        <v>5.5</v>
      </c>
      <c r="Z14" s="172">
        <v>2.8150000000000001E-2</v>
      </c>
      <c r="AA14" s="20" t="s">
        <v>1364</v>
      </c>
      <c r="AB14" s="18" t="s">
        <v>447</v>
      </c>
      <c r="AC14" s="20" t="s">
        <v>519</v>
      </c>
      <c r="AD14" s="153">
        <v>4665</v>
      </c>
      <c r="AE14" s="172">
        <v>0.78</v>
      </c>
      <c r="AF14" s="20" t="s">
        <v>1365</v>
      </c>
      <c r="AG14" s="20" t="s">
        <v>155</v>
      </c>
      <c r="AH14" s="20"/>
      <c r="AI14" s="2" t="s">
        <v>1366</v>
      </c>
      <c r="AJ14" s="2" t="s">
        <v>375</v>
      </c>
      <c r="AK14" s="20" t="s">
        <v>927</v>
      </c>
      <c r="AL14" s="20" t="s">
        <v>1340</v>
      </c>
      <c r="AM14" s="20"/>
      <c r="AN14" s="2" t="s">
        <v>157</v>
      </c>
      <c r="AO14" s="2" t="s">
        <v>1365</v>
      </c>
      <c r="AP14" s="162">
        <v>0</v>
      </c>
      <c r="AQ14" s="151">
        <v>12011.47</v>
      </c>
      <c r="AR14" s="174">
        <v>130.54</v>
      </c>
      <c r="AS14" s="173">
        <v>1</v>
      </c>
      <c r="AT14" s="153">
        <v>15.68</v>
      </c>
      <c r="AU14" s="153">
        <v>15.68</v>
      </c>
      <c r="AV14" s="20"/>
      <c r="AW14" s="20"/>
      <c r="AX14" s="18" t="s">
        <v>155</v>
      </c>
      <c r="AY14" s="20" t="s">
        <v>36</v>
      </c>
      <c r="AZ14" s="172">
        <v>1.7407531451733001E-3</v>
      </c>
      <c r="BA14" s="172">
        <v>3.8064015178460302E-5</v>
      </c>
    </row>
    <row r="15" spans="1:53">
      <c r="A15" s="2">
        <v>1182</v>
      </c>
      <c r="B15" s="2">
        <v>1182</v>
      </c>
      <c r="C15" s="20" t="s">
        <v>1349</v>
      </c>
      <c r="D15" s="20" t="s">
        <v>33</v>
      </c>
      <c r="E15" s="20" t="s">
        <v>1388</v>
      </c>
      <c r="F15" s="20" t="s">
        <v>1389</v>
      </c>
      <c r="G15" s="20" t="s">
        <v>1073</v>
      </c>
      <c r="I15" s="18" t="s">
        <v>30</v>
      </c>
      <c r="J15" s="18" t="s">
        <v>30</v>
      </c>
      <c r="K15" s="20" t="s">
        <v>487</v>
      </c>
      <c r="L15" s="20" t="s">
        <v>155</v>
      </c>
      <c r="M15" s="20" t="s">
        <v>375</v>
      </c>
      <c r="N15" s="20" t="s">
        <v>1349</v>
      </c>
      <c r="O15" s="20" t="s">
        <v>1390</v>
      </c>
      <c r="P15" s="20" t="s">
        <v>1340</v>
      </c>
      <c r="Q15" s="20" t="s">
        <v>101</v>
      </c>
      <c r="R15" s="20" t="s">
        <v>442</v>
      </c>
      <c r="S15" s="18" t="s">
        <v>34</v>
      </c>
      <c r="T15" s="153">
        <v>3.24</v>
      </c>
      <c r="U15" s="20" t="s">
        <v>1358</v>
      </c>
      <c r="V15" s="171">
        <v>5.5E-2</v>
      </c>
      <c r="W15" s="20" t="s">
        <v>790</v>
      </c>
      <c r="X15" s="20" t="s">
        <v>944</v>
      </c>
      <c r="Y15" s="181">
        <v>5.5</v>
      </c>
      <c r="Z15" s="172">
        <v>2.75E-2</v>
      </c>
      <c r="AA15" s="20" t="s">
        <v>1355</v>
      </c>
      <c r="AB15" s="18" t="s">
        <v>447</v>
      </c>
      <c r="AC15" s="20" t="s">
        <v>519</v>
      </c>
      <c r="AD15" s="153">
        <v>534</v>
      </c>
      <c r="AE15" s="172">
        <v>0.78</v>
      </c>
      <c r="AF15" s="20" t="s">
        <v>1365</v>
      </c>
      <c r="AG15" s="20" t="s">
        <v>155</v>
      </c>
      <c r="AH15" s="20"/>
      <c r="AI15" s="2" t="s">
        <v>1366</v>
      </c>
      <c r="AJ15" s="2" t="s">
        <v>375</v>
      </c>
      <c r="AK15" s="20" t="s">
        <v>927</v>
      </c>
      <c r="AL15" s="20" t="s">
        <v>1340</v>
      </c>
      <c r="AM15" s="20"/>
      <c r="AN15" s="2" t="s">
        <v>157</v>
      </c>
      <c r="AO15" s="2" t="s">
        <v>1365</v>
      </c>
      <c r="AP15" s="162">
        <v>0</v>
      </c>
      <c r="AQ15" s="151">
        <v>1375.07</v>
      </c>
      <c r="AR15" s="174">
        <v>127.89</v>
      </c>
      <c r="AS15" s="173">
        <v>1</v>
      </c>
      <c r="AT15" s="153">
        <v>1.7589999999999999</v>
      </c>
      <c r="AU15" s="153">
        <v>1.7589999999999999</v>
      </c>
      <c r="AV15" s="20"/>
      <c r="AW15" s="20"/>
      <c r="AX15" s="18" t="s">
        <v>155</v>
      </c>
      <c r="AY15" s="20" t="s">
        <v>36</v>
      </c>
      <c r="AZ15" s="172">
        <v>1.9523551112132499E-4</v>
      </c>
      <c r="BA15" s="172">
        <v>4.2690989697776697E-6</v>
      </c>
    </row>
    <row r="16" spans="1:53">
      <c r="A16" s="2">
        <v>1182</v>
      </c>
      <c r="B16" s="2">
        <v>1182</v>
      </c>
      <c r="C16" s="20" t="s">
        <v>1349</v>
      </c>
      <c r="D16" s="20" t="s">
        <v>33</v>
      </c>
      <c r="E16" s="20" t="s">
        <v>1391</v>
      </c>
      <c r="F16" s="20" t="s">
        <v>1392</v>
      </c>
      <c r="G16" s="20" t="s">
        <v>1073</v>
      </c>
      <c r="I16" s="18" t="s">
        <v>30</v>
      </c>
      <c r="J16" s="18" t="s">
        <v>30</v>
      </c>
      <c r="K16" s="20" t="s">
        <v>487</v>
      </c>
      <c r="L16" s="20" t="s">
        <v>155</v>
      </c>
      <c r="M16" s="20" t="s">
        <v>375</v>
      </c>
      <c r="N16" s="153">
        <v>513326439</v>
      </c>
      <c r="O16" s="20" t="s">
        <v>1352</v>
      </c>
      <c r="P16" s="20" t="s">
        <v>1353</v>
      </c>
      <c r="Q16" s="20" t="s">
        <v>206</v>
      </c>
      <c r="R16" s="20" t="s">
        <v>442</v>
      </c>
      <c r="S16" s="18" t="s">
        <v>34</v>
      </c>
      <c r="T16" s="153">
        <v>3.24</v>
      </c>
      <c r="U16" s="20" t="s">
        <v>194</v>
      </c>
      <c r="V16" s="171">
        <v>5.5E-2</v>
      </c>
      <c r="W16" s="20" t="s">
        <v>790</v>
      </c>
      <c r="X16" s="20" t="s">
        <v>1354</v>
      </c>
      <c r="Y16" s="181">
        <v>5.5</v>
      </c>
      <c r="Z16" s="172">
        <v>2.75E-2</v>
      </c>
      <c r="AA16" s="20" t="s">
        <v>1355</v>
      </c>
      <c r="AB16" s="18" t="s">
        <v>447</v>
      </c>
      <c r="AC16" s="20"/>
      <c r="AD16" s="20"/>
      <c r="AE16" s="172">
        <v>0</v>
      </c>
      <c r="AF16" s="20"/>
      <c r="AG16" s="20" t="s">
        <v>155</v>
      </c>
      <c r="AH16" s="20"/>
      <c r="AJ16" s="2" t="s">
        <v>155</v>
      </c>
      <c r="AK16" s="20" t="s">
        <v>194</v>
      </c>
      <c r="AL16" s="20"/>
      <c r="AM16" s="20"/>
      <c r="AN16" s="2" t="s">
        <v>157</v>
      </c>
      <c r="AP16" s="162">
        <v>0</v>
      </c>
      <c r="AQ16" s="151">
        <v>1138.99</v>
      </c>
      <c r="AR16" s="174">
        <v>127.84</v>
      </c>
      <c r="AS16" s="173">
        <v>1</v>
      </c>
      <c r="AT16" s="153">
        <v>1.456</v>
      </c>
      <c r="AU16" s="153">
        <v>1.456</v>
      </c>
      <c r="AV16" s="20"/>
      <c r="AW16" s="20"/>
      <c r="AX16" s="18" t="s">
        <v>155</v>
      </c>
      <c r="AY16" s="20" t="s">
        <v>36</v>
      </c>
      <c r="AZ16" s="172">
        <v>1.6165312043188299E-4</v>
      </c>
      <c r="BA16" s="172">
        <v>3.5347727774187501E-6</v>
      </c>
    </row>
    <row r="17" spans="1:53">
      <c r="A17" s="2">
        <v>1182</v>
      </c>
      <c r="B17" s="2">
        <v>1182</v>
      </c>
      <c r="C17" s="20" t="s">
        <v>1349</v>
      </c>
      <c r="D17" s="20" t="s">
        <v>33</v>
      </c>
      <c r="E17" s="20" t="s">
        <v>1393</v>
      </c>
      <c r="F17" s="20" t="s">
        <v>1394</v>
      </c>
      <c r="G17" s="20" t="s">
        <v>1073</v>
      </c>
      <c r="I17" s="18" t="s">
        <v>30</v>
      </c>
      <c r="J17" s="18" t="s">
        <v>30</v>
      </c>
      <c r="K17" s="20" t="s">
        <v>487</v>
      </c>
      <c r="L17" s="20" t="s">
        <v>155</v>
      </c>
      <c r="M17" s="20" t="s">
        <v>375</v>
      </c>
      <c r="N17" s="20" t="s">
        <v>1349</v>
      </c>
      <c r="O17" s="20" t="s">
        <v>1395</v>
      </c>
      <c r="P17" s="20" t="s">
        <v>1340</v>
      </c>
      <c r="Q17" s="20" t="s">
        <v>101</v>
      </c>
      <c r="R17" s="20" t="s">
        <v>442</v>
      </c>
      <c r="S17" s="18" t="s">
        <v>34</v>
      </c>
      <c r="T17" s="153">
        <v>2.96</v>
      </c>
      <c r="U17" s="20" t="s">
        <v>1358</v>
      </c>
      <c r="V17" s="171">
        <v>5.5E-2</v>
      </c>
      <c r="W17" s="20" t="s">
        <v>790</v>
      </c>
      <c r="X17" s="20" t="s">
        <v>944</v>
      </c>
      <c r="Y17" s="181">
        <v>5.5</v>
      </c>
      <c r="Z17" s="172">
        <v>2.7869999999999999E-2</v>
      </c>
      <c r="AA17" s="20" t="s">
        <v>1364</v>
      </c>
      <c r="AB17" s="18" t="s">
        <v>447</v>
      </c>
      <c r="AC17" s="20" t="s">
        <v>519</v>
      </c>
      <c r="AD17" s="153">
        <v>2192</v>
      </c>
      <c r="AE17" s="172">
        <v>0.78</v>
      </c>
      <c r="AF17" s="20" t="s">
        <v>1365</v>
      </c>
      <c r="AG17" s="20" t="s">
        <v>155</v>
      </c>
      <c r="AH17" s="20"/>
      <c r="AI17" s="2" t="s">
        <v>1366</v>
      </c>
      <c r="AJ17" s="2" t="s">
        <v>375</v>
      </c>
      <c r="AK17" s="20" t="s">
        <v>927</v>
      </c>
      <c r="AL17" s="20" t="s">
        <v>1340</v>
      </c>
      <c r="AM17" s="20"/>
      <c r="AN17" s="2" t="s">
        <v>157</v>
      </c>
      <c r="AO17" s="2" t="s">
        <v>1365</v>
      </c>
      <c r="AP17" s="162">
        <v>0</v>
      </c>
      <c r="AQ17" s="151">
        <v>2604.1799999999998</v>
      </c>
      <c r="AR17" s="174">
        <v>129.94</v>
      </c>
      <c r="AS17" s="173">
        <v>1</v>
      </c>
      <c r="AT17" s="153">
        <v>3.3839999999999999</v>
      </c>
      <c r="AU17" s="153">
        <v>3.3839999999999999</v>
      </c>
      <c r="AV17" s="20"/>
      <c r="AW17" s="20"/>
      <c r="AX17" s="18" t="s">
        <v>155</v>
      </c>
      <c r="AY17" s="20" t="s">
        <v>36</v>
      </c>
      <c r="AZ17" s="172">
        <v>3.7567412269636001E-4</v>
      </c>
      <c r="BA17" s="172">
        <v>8.2146429251721407E-6</v>
      </c>
    </row>
    <row r="18" spans="1:53">
      <c r="A18" s="2">
        <v>1182</v>
      </c>
      <c r="B18" s="2">
        <v>1182</v>
      </c>
      <c r="C18" s="20" t="s">
        <v>1349</v>
      </c>
      <c r="D18" s="20" t="s">
        <v>33</v>
      </c>
      <c r="E18" s="20" t="s">
        <v>1396</v>
      </c>
      <c r="F18" s="20" t="s">
        <v>1397</v>
      </c>
      <c r="G18" s="20" t="s">
        <v>1073</v>
      </c>
      <c r="I18" s="18" t="s">
        <v>30</v>
      </c>
      <c r="J18" s="18" t="s">
        <v>30</v>
      </c>
      <c r="K18" s="20" t="s">
        <v>487</v>
      </c>
      <c r="L18" s="20" t="s">
        <v>155</v>
      </c>
      <c r="M18" s="20" t="s">
        <v>375</v>
      </c>
      <c r="N18" s="20" t="s">
        <v>1349</v>
      </c>
      <c r="O18" s="20" t="s">
        <v>1398</v>
      </c>
      <c r="P18" s="20" t="s">
        <v>1340</v>
      </c>
      <c r="Q18" s="20" t="s">
        <v>101</v>
      </c>
      <c r="R18" s="20" t="s">
        <v>442</v>
      </c>
      <c r="S18" s="18" t="s">
        <v>34</v>
      </c>
      <c r="T18" s="153">
        <v>3.24</v>
      </c>
      <c r="U18" s="20" t="s">
        <v>1358</v>
      </c>
      <c r="V18" s="171">
        <v>5.5E-2</v>
      </c>
      <c r="W18" s="20" t="s">
        <v>790</v>
      </c>
      <c r="X18" s="20" t="s">
        <v>944</v>
      </c>
      <c r="Y18" s="181">
        <v>5.5</v>
      </c>
      <c r="Z18" s="172">
        <v>2.9000000000000001E-2</v>
      </c>
      <c r="AA18" s="20" t="s">
        <v>1355</v>
      </c>
      <c r="AB18" s="18" t="s">
        <v>447</v>
      </c>
      <c r="AC18" s="20" t="s">
        <v>519</v>
      </c>
      <c r="AD18" s="153">
        <v>3904</v>
      </c>
      <c r="AE18" s="172">
        <v>0.78</v>
      </c>
      <c r="AF18" s="20" t="s">
        <v>1365</v>
      </c>
      <c r="AG18" s="20" t="s">
        <v>155</v>
      </c>
      <c r="AH18" s="20"/>
      <c r="AI18" s="2" t="s">
        <v>1366</v>
      </c>
      <c r="AJ18" s="2" t="s">
        <v>375</v>
      </c>
      <c r="AK18" s="20" t="s">
        <v>927</v>
      </c>
      <c r="AL18" s="20" t="s">
        <v>1340</v>
      </c>
      <c r="AM18" s="20"/>
      <c r="AN18" s="2" t="s">
        <v>157</v>
      </c>
      <c r="AO18" s="2" t="s">
        <v>1365</v>
      </c>
      <c r="AP18" s="162">
        <v>0</v>
      </c>
      <c r="AQ18" s="151">
        <v>10053.129999999999</v>
      </c>
      <c r="AR18" s="174">
        <v>127.47</v>
      </c>
      <c r="AS18" s="173">
        <v>1</v>
      </c>
      <c r="AT18" s="153">
        <v>12.815</v>
      </c>
      <c r="AU18" s="153">
        <v>12.815</v>
      </c>
      <c r="AV18" s="20"/>
      <c r="AW18" s="20"/>
      <c r="AX18" s="18" t="s">
        <v>155</v>
      </c>
      <c r="AY18" s="20" t="s">
        <v>36</v>
      </c>
      <c r="AZ18" s="172">
        <v>1.4226782879755099E-3</v>
      </c>
      <c r="BA18" s="172">
        <v>3.1108861183286603E-5</v>
      </c>
    </row>
    <row r="19" spans="1:53">
      <c r="A19" s="2">
        <v>1182</v>
      </c>
      <c r="B19" s="2">
        <v>1182</v>
      </c>
      <c r="C19" s="20" t="s">
        <v>1349</v>
      </c>
      <c r="D19" s="20" t="s">
        <v>33</v>
      </c>
      <c r="E19" s="20" t="s">
        <v>1399</v>
      </c>
      <c r="F19" s="20" t="s">
        <v>1400</v>
      </c>
      <c r="G19" s="20" t="s">
        <v>1073</v>
      </c>
      <c r="I19" s="18" t="s">
        <v>30</v>
      </c>
      <c r="J19" s="18" t="s">
        <v>30</v>
      </c>
      <c r="K19" s="20" t="s">
        <v>487</v>
      </c>
      <c r="L19" s="20" t="s">
        <v>155</v>
      </c>
      <c r="M19" s="20" t="s">
        <v>375</v>
      </c>
      <c r="N19" s="153">
        <v>513326439</v>
      </c>
      <c r="O19" s="20" t="s">
        <v>1352</v>
      </c>
      <c r="P19" s="20" t="s">
        <v>1353</v>
      </c>
      <c r="Q19" s="20" t="s">
        <v>206</v>
      </c>
      <c r="R19" s="20" t="s">
        <v>442</v>
      </c>
      <c r="S19" s="18" t="s">
        <v>34</v>
      </c>
      <c r="T19" s="153">
        <v>3.24</v>
      </c>
      <c r="U19" s="20" t="s">
        <v>1358</v>
      </c>
      <c r="V19" s="171">
        <v>5.5E-2</v>
      </c>
      <c r="W19" s="20" t="s">
        <v>790</v>
      </c>
      <c r="X19" s="20" t="s">
        <v>1354</v>
      </c>
      <c r="Y19" s="181">
        <v>5.5</v>
      </c>
      <c r="Z19" s="172">
        <v>2.9000000000000001E-2</v>
      </c>
      <c r="AA19" s="20" t="s">
        <v>1364</v>
      </c>
      <c r="AB19" s="18" t="s">
        <v>447</v>
      </c>
      <c r="AC19" s="20"/>
      <c r="AD19" s="20"/>
      <c r="AE19" s="172">
        <v>0</v>
      </c>
      <c r="AF19" s="20"/>
      <c r="AG19" s="20" t="s">
        <v>155</v>
      </c>
      <c r="AH19" s="20"/>
      <c r="AJ19" s="2" t="s">
        <v>155</v>
      </c>
      <c r="AK19" s="20" t="s">
        <v>194</v>
      </c>
      <c r="AL19" s="20"/>
      <c r="AM19" s="20"/>
      <c r="AN19" s="2" t="s">
        <v>157</v>
      </c>
      <c r="AP19" s="162">
        <v>0</v>
      </c>
      <c r="AQ19" s="151">
        <v>12211.05</v>
      </c>
      <c r="AR19" s="174">
        <v>129.44999999999999</v>
      </c>
      <c r="AS19" s="173">
        <v>1</v>
      </c>
      <c r="AT19" s="153">
        <v>15.807</v>
      </c>
      <c r="AU19" s="153">
        <v>15.807</v>
      </c>
      <c r="AV19" s="20"/>
      <c r="AW19" s="20"/>
      <c r="AX19" s="18" t="s">
        <v>155</v>
      </c>
      <c r="AY19" s="20" t="s">
        <v>36</v>
      </c>
      <c r="AZ19" s="172">
        <v>1.7549004427467999E-3</v>
      </c>
      <c r="BA19" s="172">
        <v>3.8373365732308201E-5</v>
      </c>
    </row>
    <row r="20" spans="1:53">
      <c r="A20" s="2">
        <v>1182</v>
      </c>
      <c r="B20" s="2">
        <v>1182</v>
      </c>
      <c r="C20" s="2" t="s">
        <v>1349</v>
      </c>
      <c r="D20" s="20" t="s">
        <v>33</v>
      </c>
      <c r="E20" s="2" t="s">
        <v>1401</v>
      </c>
      <c r="F20" s="2" t="s">
        <v>1402</v>
      </c>
      <c r="G20" s="20" t="s">
        <v>1073</v>
      </c>
      <c r="I20" s="18" t="s">
        <v>30</v>
      </c>
      <c r="J20" s="18" t="s">
        <v>30</v>
      </c>
      <c r="K20" s="20" t="s">
        <v>487</v>
      </c>
      <c r="L20" s="20" t="s">
        <v>155</v>
      </c>
      <c r="M20" s="20" t="s">
        <v>375</v>
      </c>
      <c r="N20" s="151">
        <v>513326439</v>
      </c>
      <c r="O20" s="2" t="s">
        <v>1352</v>
      </c>
      <c r="P20" s="2" t="s">
        <v>1353</v>
      </c>
      <c r="Q20" s="20" t="s">
        <v>206</v>
      </c>
      <c r="R20" s="20" t="s">
        <v>442</v>
      </c>
      <c r="S20" s="18" t="s">
        <v>34</v>
      </c>
      <c r="T20" s="151">
        <v>3.24</v>
      </c>
      <c r="U20" s="20" t="s">
        <v>1358</v>
      </c>
      <c r="V20" s="162">
        <v>5.5888E-2</v>
      </c>
      <c r="W20" s="20" t="s">
        <v>790</v>
      </c>
      <c r="X20" s="20" t="s">
        <v>1354</v>
      </c>
      <c r="Y20" s="182">
        <v>5.5888</v>
      </c>
      <c r="Z20" s="164">
        <v>2.75E-2</v>
      </c>
      <c r="AA20" s="2" t="s">
        <v>1364</v>
      </c>
      <c r="AB20" s="18" t="s">
        <v>447</v>
      </c>
      <c r="AC20" s="20"/>
      <c r="AE20" s="164">
        <v>0</v>
      </c>
      <c r="AG20" s="20" t="s">
        <v>155</v>
      </c>
      <c r="AH20" s="20"/>
      <c r="AJ20" s="2" t="s">
        <v>155</v>
      </c>
      <c r="AK20" s="20" t="s">
        <v>194</v>
      </c>
      <c r="AM20" s="20"/>
      <c r="AN20" s="2" t="s">
        <v>157</v>
      </c>
      <c r="AP20" s="162">
        <v>0</v>
      </c>
      <c r="AQ20" s="151">
        <v>2556.37</v>
      </c>
      <c r="AR20" s="175">
        <v>131.38</v>
      </c>
      <c r="AS20" s="158">
        <v>1</v>
      </c>
      <c r="AT20" s="151">
        <v>3.359</v>
      </c>
      <c r="AU20" s="151">
        <v>3.359</v>
      </c>
      <c r="AX20" s="18" t="s">
        <v>155</v>
      </c>
      <c r="AY20" s="20" t="s">
        <v>36</v>
      </c>
      <c r="AZ20" s="164">
        <v>3.7286394401161798E-4</v>
      </c>
      <c r="BA20" s="164">
        <v>8.1531944168601893E-6</v>
      </c>
    </row>
    <row r="21" spans="1:53">
      <c r="A21" s="2">
        <v>1182</v>
      </c>
      <c r="B21" s="2">
        <v>1182</v>
      </c>
      <c r="C21" s="2" t="s">
        <v>1349</v>
      </c>
      <c r="D21" s="4" t="s">
        <v>33</v>
      </c>
      <c r="E21" s="2" t="s">
        <v>1403</v>
      </c>
      <c r="F21" s="2" t="s">
        <v>1404</v>
      </c>
      <c r="G21" s="2" t="s">
        <v>1073</v>
      </c>
      <c r="I21" s="2" t="s">
        <v>30</v>
      </c>
      <c r="J21" s="2" t="s">
        <v>30</v>
      </c>
      <c r="K21" s="2" t="s">
        <v>487</v>
      </c>
      <c r="L21" s="2" t="s">
        <v>155</v>
      </c>
      <c r="M21" s="2" t="s">
        <v>375</v>
      </c>
      <c r="N21" s="2" t="s">
        <v>1349</v>
      </c>
      <c r="O21" s="2" t="s">
        <v>1405</v>
      </c>
      <c r="P21" s="2" t="s">
        <v>1340</v>
      </c>
      <c r="Q21" s="2" t="s">
        <v>101</v>
      </c>
      <c r="R21" s="2" t="s">
        <v>442</v>
      </c>
      <c r="S21" s="18" t="s">
        <v>34</v>
      </c>
      <c r="T21" s="151">
        <v>3.08</v>
      </c>
      <c r="U21" s="2" t="s">
        <v>1358</v>
      </c>
      <c r="V21" s="162">
        <v>5.6193E-2</v>
      </c>
      <c r="W21" s="2" t="s">
        <v>790</v>
      </c>
      <c r="X21" s="2" t="s">
        <v>944</v>
      </c>
      <c r="Y21" s="182">
        <v>5.6193</v>
      </c>
      <c r="Z21" s="164">
        <v>2.8150000000000001E-2</v>
      </c>
      <c r="AA21" s="2" t="s">
        <v>1364</v>
      </c>
      <c r="AB21" s="4" t="s">
        <v>447</v>
      </c>
      <c r="AC21" s="2" t="s">
        <v>519</v>
      </c>
      <c r="AD21" s="151">
        <v>3026</v>
      </c>
      <c r="AE21" s="164">
        <v>0.78</v>
      </c>
      <c r="AF21" s="2" t="s">
        <v>1365</v>
      </c>
      <c r="AG21" s="2" t="s">
        <v>155</v>
      </c>
      <c r="AI21" s="2" t="s">
        <v>1366</v>
      </c>
      <c r="AJ21" s="2" t="s">
        <v>375</v>
      </c>
      <c r="AK21" s="2" t="s">
        <v>927</v>
      </c>
      <c r="AL21" s="2" t="s">
        <v>1340</v>
      </c>
      <c r="AN21" s="2" t="s">
        <v>157</v>
      </c>
      <c r="AO21" s="2" t="s">
        <v>1365</v>
      </c>
      <c r="AP21" s="162">
        <v>0</v>
      </c>
      <c r="AQ21" s="151">
        <v>3592.61</v>
      </c>
      <c r="AR21" s="175">
        <v>130.19</v>
      </c>
      <c r="AS21" s="158">
        <v>1</v>
      </c>
      <c r="AT21" s="151">
        <v>4.6769999999999996</v>
      </c>
      <c r="AU21" s="151">
        <v>4.6769999999999996</v>
      </c>
      <c r="AX21" s="4" t="s">
        <v>155</v>
      </c>
      <c r="AY21" s="2" t="s">
        <v>36</v>
      </c>
      <c r="AZ21" s="164">
        <v>5.1926030088175399E-4</v>
      </c>
      <c r="BA21" s="164">
        <v>1.13543566065866E-5</v>
      </c>
    </row>
    <row r="22" spans="1:53">
      <c r="A22" s="2">
        <v>1182</v>
      </c>
      <c r="B22" s="2">
        <v>1182</v>
      </c>
      <c r="C22" s="2" t="s">
        <v>1349</v>
      </c>
      <c r="D22" s="4" t="s">
        <v>33</v>
      </c>
      <c r="E22" s="2" t="s">
        <v>1406</v>
      </c>
      <c r="F22" s="2" t="s">
        <v>1407</v>
      </c>
      <c r="G22" s="2" t="s">
        <v>1073</v>
      </c>
      <c r="I22" s="2" t="s">
        <v>30</v>
      </c>
      <c r="J22" s="2" t="s">
        <v>30</v>
      </c>
      <c r="K22" s="2" t="s">
        <v>487</v>
      </c>
      <c r="L22" s="2" t="s">
        <v>155</v>
      </c>
      <c r="M22" s="2" t="s">
        <v>375</v>
      </c>
      <c r="N22" s="151">
        <v>513326439</v>
      </c>
      <c r="O22" s="2" t="s">
        <v>1352</v>
      </c>
      <c r="P22" s="2" t="s">
        <v>1353</v>
      </c>
      <c r="Q22" s="2" t="s">
        <v>206</v>
      </c>
      <c r="R22" s="2" t="s">
        <v>442</v>
      </c>
      <c r="S22" s="18" t="s">
        <v>34</v>
      </c>
      <c r="T22" s="151">
        <v>3.22</v>
      </c>
      <c r="U22" s="2" t="s">
        <v>194</v>
      </c>
      <c r="V22" s="162">
        <v>5.5E-2</v>
      </c>
      <c r="W22" s="2" t="s">
        <v>790</v>
      </c>
      <c r="X22" s="2" t="s">
        <v>1354</v>
      </c>
      <c r="Y22" s="182">
        <v>5.5</v>
      </c>
      <c r="Z22" s="164">
        <v>3.2800000000000003E-2</v>
      </c>
      <c r="AA22" s="2" t="s">
        <v>1355</v>
      </c>
      <c r="AB22" s="4" t="s">
        <v>447</v>
      </c>
      <c r="AE22" s="164">
        <v>0</v>
      </c>
      <c r="AG22" s="2" t="s">
        <v>155</v>
      </c>
      <c r="AJ22" s="2" t="s">
        <v>155</v>
      </c>
      <c r="AK22" s="2" t="s">
        <v>194</v>
      </c>
      <c r="AN22" s="2" t="s">
        <v>157</v>
      </c>
      <c r="AP22" s="162">
        <v>0</v>
      </c>
      <c r="AQ22" s="151">
        <v>4550.76</v>
      </c>
      <c r="AR22" s="175">
        <v>124.07</v>
      </c>
      <c r="AS22" s="158">
        <v>1</v>
      </c>
      <c r="AT22" s="151">
        <v>5.6459999999999999</v>
      </c>
      <c r="AU22" s="151">
        <v>5.6459999999999999</v>
      </c>
      <c r="AX22" s="4" t="s">
        <v>155</v>
      </c>
      <c r="AY22" s="2" t="s">
        <v>36</v>
      </c>
      <c r="AZ22" s="164">
        <v>6.2682763293468399E-4</v>
      </c>
      <c r="BA22" s="164">
        <v>1.37064675714998E-5</v>
      </c>
    </row>
    <row r="23" spans="1:53">
      <c r="A23" s="2">
        <v>1182</v>
      </c>
      <c r="B23" s="2">
        <v>1182</v>
      </c>
      <c r="C23" s="2" t="s">
        <v>1349</v>
      </c>
      <c r="D23" s="4" t="s">
        <v>33</v>
      </c>
      <c r="E23" s="2" t="s">
        <v>1408</v>
      </c>
      <c r="F23" s="2" t="s">
        <v>1409</v>
      </c>
      <c r="G23" s="2" t="s">
        <v>1073</v>
      </c>
      <c r="I23" s="2" t="s">
        <v>30</v>
      </c>
      <c r="J23" s="2" t="s">
        <v>30</v>
      </c>
      <c r="K23" s="2" t="s">
        <v>487</v>
      </c>
      <c r="L23" s="2" t="s">
        <v>155</v>
      </c>
      <c r="M23" s="2" t="s">
        <v>375</v>
      </c>
      <c r="N23" s="151">
        <v>513326439</v>
      </c>
      <c r="O23" s="2" t="s">
        <v>1352</v>
      </c>
      <c r="P23" s="2" t="s">
        <v>1353</v>
      </c>
      <c r="Q23" s="2" t="s">
        <v>206</v>
      </c>
      <c r="R23" s="2" t="s">
        <v>442</v>
      </c>
      <c r="S23" s="2" t="s">
        <v>34</v>
      </c>
      <c r="T23" s="151">
        <v>3.24</v>
      </c>
      <c r="U23" s="2" t="s">
        <v>194</v>
      </c>
      <c r="V23" s="162">
        <v>5.5E-2</v>
      </c>
      <c r="W23" s="2" t="s">
        <v>790</v>
      </c>
      <c r="X23" s="2" t="s">
        <v>1354</v>
      </c>
      <c r="Y23" s="182">
        <v>5.5</v>
      </c>
      <c r="Z23" s="164">
        <v>2.7900000000000001E-2</v>
      </c>
      <c r="AA23" s="2" t="s">
        <v>1355</v>
      </c>
      <c r="AB23" s="4" t="s">
        <v>447</v>
      </c>
      <c r="AE23" s="164">
        <v>0</v>
      </c>
      <c r="AG23" s="2" t="s">
        <v>155</v>
      </c>
      <c r="AJ23" s="2" t="s">
        <v>155</v>
      </c>
      <c r="AK23" s="2" t="s">
        <v>194</v>
      </c>
      <c r="AN23" s="2" t="s">
        <v>157</v>
      </c>
      <c r="AP23" s="162">
        <v>0</v>
      </c>
      <c r="AQ23" s="151">
        <v>565.45000000000005</v>
      </c>
      <c r="AR23" s="175">
        <v>125.63</v>
      </c>
      <c r="AS23" s="158">
        <v>1</v>
      </c>
      <c r="AT23" s="151">
        <v>0.71</v>
      </c>
      <c r="AU23" s="151">
        <v>0.71</v>
      </c>
      <c r="AX23" s="4" t="s">
        <v>155</v>
      </c>
      <c r="AY23" s="2" t="s">
        <v>36</v>
      </c>
      <c r="AZ23" s="164">
        <v>7.8865123440744698E-5</v>
      </c>
      <c r="BA23" s="164">
        <v>1.7244968156589399E-6</v>
      </c>
    </row>
    <row r="24" spans="1:53">
      <c r="A24" s="2">
        <v>1182</v>
      </c>
      <c r="B24" s="2">
        <v>1182</v>
      </c>
      <c r="C24" s="2" t="s">
        <v>1349</v>
      </c>
      <c r="D24" s="2" t="s">
        <v>33</v>
      </c>
      <c r="E24" s="2" t="s">
        <v>1410</v>
      </c>
      <c r="F24" s="2" t="s">
        <v>1411</v>
      </c>
      <c r="G24" s="2" t="s">
        <v>1073</v>
      </c>
      <c r="I24" s="2" t="s">
        <v>30</v>
      </c>
      <c r="J24" s="2" t="s">
        <v>30</v>
      </c>
      <c r="K24" s="2" t="s">
        <v>487</v>
      </c>
      <c r="L24" s="2" t="s">
        <v>155</v>
      </c>
      <c r="M24" s="2" t="s">
        <v>375</v>
      </c>
      <c r="N24" s="151">
        <v>513326439</v>
      </c>
      <c r="O24" s="2" t="s">
        <v>1352</v>
      </c>
      <c r="P24" s="2" t="s">
        <v>1353</v>
      </c>
      <c r="Q24" s="2" t="s">
        <v>206</v>
      </c>
      <c r="R24" s="2" t="s">
        <v>442</v>
      </c>
      <c r="S24" s="2" t="s">
        <v>34</v>
      </c>
      <c r="T24" s="151">
        <v>3.24</v>
      </c>
      <c r="U24" s="2" t="s">
        <v>194</v>
      </c>
      <c r="V24" s="162">
        <v>5.5E-2</v>
      </c>
      <c r="W24" s="2" t="s">
        <v>790</v>
      </c>
      <c r="X24" s="2" t="s">
        <v>1354</v>
      </c>
      <c r="Y24" s="182">
        <v>5.5</v>
      </c>
      <c r="Z24" s="164">
        <v>2.9000000000000001E-2</v>
      </c>
      <c r="AA24" s="2" t="s">
        <v>1355</v>
      </c>
      <c r="AB24" s="4" t="s">
        <v>447</v>
      </c>
      <c r="AE24" s="164">
        <v>0</v>
      </c>
      <c r="AG24" s="2" t="s">
        <v>155</v>
      </c>
      <c r="AJ24" s="2" t="s">
        <v>155</v>
      </c>
      <c r="AK24" s="2" t="s">
        <v>194</v>
      </c>
      <c r="AN24" s="2" t="s">
        <v>157</v>
      </c>
      <c r="AP24" s="162">
        <v>0</v>
      </c>
      <c r="AQ24" s="151">
        <v>1255.76</v>
      </c>
      <c r="AR24" s="175">
        <v>125.56</v>
      </c>
      <c r="AS24" s="158">
        <v>1</v>
      </c>
      <c r="AT24" s="151">
        <v>1.577</v>
      </c>
      <c r="AU24" s="151">
        <v>1.577</v>
      </c>
      <c r="AX24" s="4" t="s">
        <v>155</v>
      </c>
      <c r="AY24" s="2" t="s">
        <v>36</v>
      </c>
      <c r="AZ24" s="164">
        <v>1.75047281907789E-4</v>
      </c>
      <c r="BA24" s="164">
        <v>3.8276549515140698E-6</v>
      </c>
    </row>
    <row r="25" spans="1:53">
      <c r="A25" s="2">
        <v>1182</v>
      </c>
      <c r="B25" s="2">
        <v>1182</v>
      </c>
      <c r="C25" s="2" t="s">
        <v>1349</v>
      </c>
      <c r="D25" s="2" t="s">
        <v>33</v>
      </c>
      <c r="E25" s="2" t="s">
        <v>1412</v>
      </c>
      <c r="F25" s="2" t="s">
        <v>1413</v>
      </c>
      <c r="G25" s="2" t="s">
        <v>1073</v>
      </c>
      <c r="I25" s="2" t="s">
        <v>30</v>
      </c>
      <c r="J25" s="2" t="s">
        <v>30</v>
      </c>
      <c r="K25" s="2" t="s">
        <v>487</v>
      </c>
      <c r="L25" s="2" t="s">
        <v>155</v>
      </c>
      <c r="M25" s="2" t="s">
        <v>375</v>
      </c>
      <c r="N25" s="2" t="s">
        <v>1349</v>
      </c>
      <c r="O25" s="2" t="s">
        <v>1414</v>
      </c>
      <c r="P25" s="2" t="s">
        <v>1340</v>
      </c>
      <c r="Q25" s="2" t="s">
        <v>101</v>
      </c>
      <c r="R25" s="2" t="s">
        <v>442</v>
      </c>
      <c r="S25" s="2" t="s">
        <v>34</v>
      </c>
      <c r="T25" s="151">
        <v>3.08</v>
      </c>
      <c r="U25" s="2" t="s">
        <v>194</v>
      </c>
      <c r="V25" s="162">
        <v>5.7230999999999997E-2</v>
      </c>
      <c r="W25" s="2" t="s">
        <v>790</v>
      </c>
      <c r="X25" s="2" t="s">
        <v>944</v>
      </c>
      <c r="Y25" s="182">
        <v>5.7230999999999996</v>
      </c>
      <c r="Z25" s="164">
        <v>2.811E-2</v>
      </c>
      <c r="AA25" s="2" t="s">
        <v>1364</v>
      </c>
      <c r="AB25" s="4" t="s">
        <v>447</v>
      </c>
      <c r="AC25" s="2" t="s">
        <v>519</v>
      </c>
      <c r="AD25" s="151">
        <v>4685</v>
      </c>
      <c r="AE25" s="164">
        <v>0.78</v>
      </c>
      <c r="AF25" s="2" t="s">
        <v>1365</v>
      </c>
      <c r="AG25" s="2" t="s">
        <v>155</v>
      </c>
      <c r="AI25" s="2" t="s">
        <v>1366</v>
      </c>
      <c r="AJ25" s="2" t="s">
        <v>375</v>
      </c>
      <c r="AK25" s="2" t="s">
        <v>927</v>
      </c>
      <c r="AL25" s="2" t="s">
        <v>1340</v>
      </c>
      <c r="AN25" s="2" t="s">
        <v>157</v>
      </c>
      <c r="AO25" s="2" t="s">
        <v>1365</v>
      </c>
      <c r="AP25" s="162">
        <v>0</v>
      </c>
      <c r="AQ25" s="151">
        <v>12063.6</v>
      </c>
      <c r="AR25" s="175">
        <v>130.76</v>
      </c>
      <c r="AS25" s="158">
        <v>1</v>
      </c>
      <c r="AT25" s="151">
        <v>15.773999999999999</v>
      </c>
      <c r="AU25" s="151">
        <v>15.773999999999999</v>
      </c>
      <c r="AX25" s="4" t="s">
        <v>155</v>
      </c>
      <c r="AY25" s="2" t="s">
        <v>36</v>
      </c>
      <c r="AZ25" s="164">
        <v>1.7512544818476801E-3</v>
      </c>
      <c r="BA25" s="164">
        <v>3.8293641670692201E-5</v>
      </c>
    </row>
    <row r="26" spans="1:53">
      <c r="A26" s="2">
        <v>1182</v>
      </c>
      <c r="B26" s="2">
        <v>1182</v>
      </c>
      <c r="C26" s="2" t="s">
        <v>1349</v>
      </c>
      <c r="D26" s="2" t="s">
        <v>33</v>
      </c>
      <c r="E26" s="2" t="s">
        <v>1415</v>
      </c>
      <c r="F26" s="2" t="s">
        <v>1416</v>
      </c>
      <c r="G26" s="2" t="s">
        <v>1073</v>
      </c>
      <c r="I26" s="2" t="s">
        <v>30</v>
      </c>
      <c r="J26" s="2" t="s">
        <v>30</v>
      </c>
      <c r="K26" s="2" t="s">
        <v>487</v>
      </c>
      <c r="L26" s="2" t="s">
        <v>155</v>
      </c>
      <c r="M26" s="2" t="s">
        <v>375</v>
      </c>
      <c r="N26" s="151">
        <v>513326439</v>
      </c>
      <c r="O26" s="2" t="s">
        <v>1352</v>
      </c>
      <c r="P26" s="2" t="s">
        <v>1353</v>
      </c>
      <c r="Q26" s="2" t="s">
        <v>206</v>
      </c>
      <c r="R26" s="2" t="s">
        <v>442</v>
      </c>
      <c r="S26" s="2" t="s">
        <v>34</v>
      </c>
      <c r="T26" s="151">
        <v>3.22</v>
      </c>
      <c r="U26" s="2" t="s">
        <v>1358</v>
      </c>
      <c r="V26" s="162">
        <v>5.6619999999999997E-2</v>
      </c>
      <c r="W26" s="2" t="s">
        <v>790</v>
      </c>
      <c r="X26" s="2" t="s">
        <v>1354</v>
      </c>
      <c r="Y26" s="182">
        <v>5.6619999999999999</v>
      </c>
      <c r="Z26" s="164">
        <v>3.27E-2</v>
      </c>
      <c r="AA26" s="2" t="s">
        <v>1355</v>
      </c>
      <c r="AB26" s="4" t="s">
        <v>447</v>
      </c>
      <c r="AE26" s="164">
        <v>0</v>
      </c>
      <c r="AG26" s="2" t="s">
        <v>155</v>
      </c>
      <c r="AJ26" s="2" t="s">
        <v>155</v>
      </c>
      <c r="AK26" s="2" t="s">
        <v>194</v>
      </c>
      <c r="AN26" s="2" t="s">
        <v>157</v>
      </c>
      <c r="AP26" s="162">
        <v>0</v>
      </c>
      <c r="AQ26" s="151">
        <v>2712.72</v>
      </c>
      <c r="AR26" s="175">
        <v>129.13</v>
      </c>
      <c r="AS26" s="158">
        <v>1</v>
      </c>
      <c r="AT26" s="151">
        <v>3.5030000000000001</v>
      </c>
      <c r="AU26" s="151">
        <v>3.5030000000000001</v>
      </c>
      <c r="AX26" s="4" t="s">
        <v>155</v>
      </c>
      <c r="AY26" s="2" t="s">
        <v>36</v>
      </c>
      <c r="AZ26" s="164">
        <v>3.88892474884173E-4</v>
      </c>
      <c r="BA26" s="164">
        <v>8.5036807819792599E-6</v>
      </c>
    </row>
    <row r="27" spans="1:53">
      <c r="A27" s="2">
        <v>1182</v>
      </c>
      <c r="B27" s="2">
        <v>1182</v>
      </c>
      <c r="C27" s="2" t="s">
        <v>1349</v>
      </c>
      <c r="D27" s="2" t="s">
        <v>33</v>
      </c>
      <c r="E27" s="2" t="s">
        <v>1417</v>
      </c>
      <c r="F27" s="2" t="s">
        <v>1418</v>
      </c>
      <c r="G27" s="2" t="s">
        <v>1073</v>
      </c>
      <c r="I27" s="2" t="s">
        <v>30</v>
      </c>
      <c r="J27" s="2" t="s">
        <v>30</v>
      </c>
      <c r="K27" s="2" t="s">
        <v>487</v>
      </c>
      <c r="L27" s="2" t="s">
        <v>155</v>
      </c>
      <c r="M27" s="2" t="s">
        <v>375</v>
      </c>
      <c r="N27" s="2" t="s">
        <v>1349</v>
      </c>
      <c r="O27" s="2" t="s">
        <v>1419</v>
      </c>
      <c r="P27" s="2" t="s">
        <v>1340</v>
      </c>
      <c r="Q27" s="2" t="s">
        <v>101</v>
      </c>
      <c r="R27" s="2" t="s">
        <v>442</v>
      </c>
      <c r="S27" s="2" t="s">
        <v>34</v>
      </c>
      <c r="T27" s="151">
        <v>3.24</v>
      </c>
      <c r="U27" s="2" t="s">
        <v>1358</v>
      </c>
      <c r="V27" s="162">
        <v>5.5E-2</v>
      </c>
      <c r="W27" s="2" t="s">
        <v>790</v>
      </c>
      <c r="X27" s="2" t="s">
        <v>944</v>
      </c>
      <c r="Y27" s="182">
        <v>5.5</v>
      </c>
      <c r="Z27" s="164">
        <v>2.9000000000000001E-2</v>
      </c>
      <c r="AA27" s="2" t="s">
        <v>1364</v>
      </c>
      <c r="AB27" s="4" t="s">
        <v>447</v>
      </c>
      <c r="AC27" s="2" t="s">
        <v>519</v>
      </c>
      <c r="AD27" s="151">
        <v>6161</v>
      </c>
      <c r="AE27" s="164">
        <v>0.78</v>
      </c>
      <c r="AF27" s="2" t="s">
        <v>1365</v>
      </c>
      <c r="AG27" s="2" t="s">
        <v>155</v>
      </c>
      <c r="AI27" s="2" t="s">
        <v>1366</v>
      </c>
      <c r="AJ27" s="2" t="s">
        <v>375</v>
      </c>
      <c r="AK27" s="2" t="s">
        <v>927</v>
      </c>
      <c r="AL27" s="2" t="s">
        <v>1340</v>
      </c>
      <c r="AN27" s="2" t="s">
        <v>157</v>
      </c>
      <c r="AO27" s="2" t="s">
        <v>1365</v>
      </c>
      <c r="AP27" s="162">
        <v>0</v>
      </c>
      <c r="AQ27" s="151">
        <v>15861.79</v>
      </c>
      <c r="AR27" s="175">
        <v>127.45</v>
      </c>
      <c r="AS27" s="158">
        <v>1</v>
      </c>
      <c r="AT27" s="151">
        <v>20.216000000000001</v>
      </c>
      <c r="AU27" s="151">
        <v>20.216000000000001</v>
      </c>
      <c r="AX27" s="4" t="s">
        <v>155</v>
      </c>
      <c r="AY27" s="2" t="s">
        <v>36</v>
      </c>
      <c r="AZ27" s="164">
        <v>2.2443441603218102E-3</v>
      </c>
      <c r="BA27" s="164">
        <v>4.9075740820030599E-5</v>
      </c>
    </row>
    <row r="28" spans="1:53">
      <c r="A28" s="2">
        <v>1182</v>
      </c>
      <c r="B28" s="2">
        <v>1182</v>
      </c>
      <c r="C28" s="2" t="s">
        <v>1349</v>
      </c>
      <c r="D28" s="2" t="s">
        <v>33</v>
      </c>
      <c r="E28" s="2" t="s">
        <v>1420</v>
      </c>
      <c r="F28" s="2" t="s">
        <v>1421</v>
      </c>
      <c r="G28" s="2" t="s">
        <v>1073</v>
      </c>
      <c r="I28" s="2" t="s">
        <v>30</v>
      </c>
      <c r="J28" s="2" t="s">
        <v>30</v>
      </c>
      <c r="K28" s="2" t="s">
        <v>487</v>
      </c>
      <c r="L28" s="2" t="s">
        <v>155</v>
      </c>
      <c r="M28" s="2" t="s">
        <v>375</v>
      </c>
      <c r="N28" s="2" t="s">
        <v>1349</v>
      </c>
      <c r="O28" s="2" t="s">
        <v>1422</v>
      </c>
      <c r="P28" s="2" t="s">
        <v>1340</v>
      </c>
      <c r="Q28" s="2" t="s">
        <v>101</v>
      </c>
      <c r="R28" s="2" t="s">
        <v>442</v>
      </c>
      <c r="S28" s="2" t="s">
        <v>34</v>
      </c>
      <c r="T28" s="151">
        <v>3.24</v>
      </c>
      <c r="U28" s="2" t="s">
        <v>1358</v>
      </c>
      <c r="V28" s="162">
        <v>5.5309999999999998E-2</v>
      </c>
      <c r="W28" s="2" t="s">
        <v>790</v>
      </c>
      <c r="X28" s="2" t="s">
        <v>944</v>
      </c>
      <c r="Y28" s="182">
        <v>5.5309999999999997</v>
      </c>
      <c r="Z28" s="164">
        <v>2.9000000000000001E-2</v>
      </c>
      <c r="AA28" s="2" t="s">
        <v>1355</v>
      </c>
      <c r="AB28" s="4" t="s">
        <v>447</v>
      </c>
      <c r="AC28" s="2" t="s">
        <v>519</v>
      </c>
      <c r="AD28" s="151">
        <v>9674</v>
      </c>
      <c r="AE28" s="164">
        <v>0.78</v>
      </c>
      <c r="AF28" s="2" t="s">
        <v>1365</v>
      </c>
      <c r="AG28" s="2" t="s">
        <v>155</v>
      </c>
      <c r="AI28" s="2" t="s">
        <v>1366</v>
      </c>
      <c r="AJ28" s="2" t="s">
        <v>375</v>
      </c>
      <c r="AK28" s="2" t="s">
        <v>927</v>
      </c>
      <c r="AL28" s="2" t="s">
        <v>1340</v>
      </c>
      <c r="AN28" s="2" t="s">
        <v>157</v>
      </c>
      <c r="AO28" s="2" t="s">
        <v>1365</v>
      </c>
      <c r="AP28" s="162">
        <v>0</v>
      </c>
      <c r="AQ28" s="151">
        <v>11489.26</v>
      </c>
      <c r="AR28" s="175">
        <v>130.07</v>
      </c>
      <c r="AS28" s="158">
        <v>1</v>
      </c>
      <c r="AT28" s="151">
        <v>14.944000000000001</v>
      </c>
      <c r="AU28" s="151">
        <v>14.944000000000001</v>
      </c>
      <c r="AX28" s="4" t="s">
        <v>155</v>
      </c>
      <c r="AY28" s="2" t="s">
        <v>36</v>
      </c>
      <c r="AZ28" s="164">
        <v>1.6590772840670101E-3</v>
      </c>
      <c r="BA28" s="164">
        <v>3.6278057631588203E-5</v>
      </c>
    </row>
    <row r="29" spans="1:53">
      <c r="A29" s="2">
        <v>1182</v>
      </c>
      <c r="B29" s="2">
        <v>1182</v>
      </c>
      <c r="C29" s="2" t="s">
        <v>1349</v>
      </c>
      <c r="D29" s="2" t="s">
        <v>33</v>
      </c>
      <c r="E29" s="2" t="s">
        <v>1423</v>
      </c>
      <c r="F29" s="2" t="s">
        <v>1424</v>
      </c>
      <c r="G29" s="2" t="s">
        <v>1073</v>
      </c>
      <c r="I29" s="2" t="s">
        <v>30</v>
      </c>
      <c r="J29" s="2" t="s">
        <v>30</v>
      </c>
      <c r="K29" s="2" t="s">
        <v>487</v>
      </c>
      <c r="L29" s="2" t="s">
        <v>155</v>
      </c>
      <c r="M29" s="2" t="s">
        <v>375</v>
      </c>
      <c r="N29" s="151">
        <v>513326439</v>
      </c>
      <c r="O29" s="2" t="s">
        <v>1425</v>
      </c>
      <c r="P29" s="2" t="s">
        <v>1353</v>
      </c>
      <c r="Q29" s="2" t="s">
        <v>206</v>
      </c>
      <c r="R29" s="2" t="s">
        <v>442</v>
      </c>
      <c r="S29" s="2" t="s">
        <v>34</v>
      </c>
      <c r="T29" s="151">
        <v>3.24</v>
      </c>
      <c r="U29" s="2" t="s">
        <v>194</v>
      </c>
      <c r="V29" s="162">
        <v>5.5E-2</v>
      </c>
      <c r="W29" s="2" t="s">
        <v>790</v>
      </c>
      <c r="X29" s="2" t="s">
        <v>1354</v>
      </c>
      <c r="Y29" s="182">
        <v>5.5</v>
      </c>
      <c r="Z29" s="164">
        <v>2.75E-2</v>
      </c>
      <c r="AA29" s="2" t="s">
        <v>1364</v>
      </c>
      <c r="AB29" s="4" t="s">
        <v>447</v>
      </c>
      <c r="AE29" s="164">
        <v>0</v>
      </c>
      <c r="AG29" s="2" t="s">
        <v>155</v>
      </c>
      <c r="AJ29" s="2" t="s">
        <v>155</v>
      </c>
      <c r="AK29" s="2" t="s">
        <v>194</v>
      </c>
      <c r="AN29" s="2" t="s">
        <v>157</v>
      </c>
      <c r="AP29" s="162">
        <v>0</v>
      </c>
      <c r="AQ29" s="151">
        <v>2740.41</v>
      </c>
      <c r="AR29" s="175">
        <v>128.68</v>
      </c>
      <c r="AS29" s="158">
        <v>1</v>
      </c>
      <c r="AT29" s="151">
        <v>3.5259999999999998</v>
      </c>
      <c r="AU29" s="151">
        <v>3.5259999999999998</v>
      </c>
      <c r="AX29" s="4" t="s">
        <v>155</v>
      </c>
      <c r="AY29" s="2" t="s">
        <v>36</v>
      </c>
      <c r="AZ29" s="164">
        <v>3.9149301256437898E-4</v>
      </c>
      <c r="BA29" s="164">
        <v>8.5605451949524308E-6</v>
      </c>
    </row>
    <row r="30" spans="1:53">
      <c r="A30" s="2">
        <v>1182</v>
      </c>
      <c r="B30" s="2">
        <v>1182</v>
      </c>
      <c r="C30" s="2" t="s">
        <v>1349</v>
      </c>
      <c r="D30" s="2" t="s">
        <v>33</v>
      </c>
      <c r="E30" s="2" t="s">
        <v>1426</v>
      </c>
      <c r="F30" s="2" t="s">
        <v>1427</v>
      </c>
      <c r="G30" s="2" t="s">
        <v>1073</v>
      </c>
      <c r="I30" s="2" t="s">
        <v>30</v>
      </c>
      <c r="J30" s="2" t="s">
        <v>30</v>
      </c>
      <c r="K30" s="2" t="s">
        <v>487</v>
      </c>
      <c r="L30" s="2" t="s">
        <v>155</v>
      </c>
      <c r="M30" s="2" t="s">
        <v>375</v>
      </c>
      <c r="N30" s="2" t="s">
        <v>1349</v>
      </c>
      <c r="O30" s="2" t="s">
        <v>1428</v>
      </c>
      <c r="P30" s="2" t="s">
        <v>1340</v>
      </c>
      <c r="Q30" s="2" t="s">
        <v>206</v>
      </c>
      <c r="R30" s="2" t="s">
        <v>442</v>
      </c>
      <c r="S30" s="2" t="s">
        <v>34</v>
      </c>
      <c r="T30" s="151">
        <v>3.24</v>
      </c>
      <c r="U30" s="2" t="s">
        <v>1358</v>
      </c>
      <c r="V30" s="162">
        <v>5.5E-2</v>
      </c>
      <c r="W30" s="2" t="s">
        <v>790</v>
      </c>
      <c r="X30" s="2" t="s">
        <v>944</v>
      </c>
      <c r="Y30" s="182">
        <v>5.5</v>
      </c>
      <c r="Z30" s="164">
        <v>2.9000000000000001E-2</v>
      </c>
      <c r="AA30" s="2" t="s">
        <v>1355</v>
      </c>
      <c r="AB30" s="4" t="s">
        <v>447</v>
      </c>
      <c r="AC30" s="2" t="s">
        <v>519</v>
      </c>
      <c r="AD30" s="151">
        <v>2154</v>
      </c>
      <c r="AE30" s="164">
        <v>0.78</v>
      </c>
      <c r="AF30" s="2" t="s">
        <v>1365</v>
      </c>
      <c r="AG30" s="2" t="s">
        <v>155</v>
      </c>
      <c r="AI30" s="2" t="s">
        <v>1366</v>
      </c>
      <c r="AJ30" s="2" t="s">
        <v>375</v>
      </c>
      <c r="AK30" s="2" t="s">
        <v>927</v>
      </c>
      <c r="AL30" s="2" t="s">
        <v>1340</v>
      </c>
      <c r="AN30" s="2" t="s">
        <v>157</v>
      </c>
      <c r="AO30" s="2" t="s">
        <v>1365</v>
      </c>
      <c r="AP30" s="162">
        <v>0</v>
      </c>
      <c r="AQ30" s="151">
        <v>5547.73</v>
      </c>
      <c r="AR30" s="175">
        <v>127.82</v>
      </c>
      <c r="AS30" s="158">
        <v>1</v>
      </c>
      <c r="AT30" s="151">
        <v>7.0910000000000002</v>
      </c>
      <c r="AU30" s="151">
        <v>7.0910000000000002</v>
      </c>
      <c r="AX30" s="4" t="s">
        <v>155</v>
      </c>
      <c r="AY30" s="2" t="s">
        <v>36</v>
      </c>
      <c r="AZ30" s="164">
        <v>7.8724796899668002E-4</v>
      </c>
      <c r="BA30" s="164">
        <v>1.7214283785262601E-5</v>
      </c>
    </row>
    <row r="31" spans="1:53">
      <c r="A31" s="2">
        <v>1182</v>
      </c>
      <c r="B31" s="2">
        <v>1182</v>
      </c>
      <c r="C31" s="2" t="s">
        <v>1349</v>
      </c>
      <c r="D31" s="2" t="s">
        <v>33</v>
      </c>
      <c r="E31" s="2" t="s">
        <v>1429</v>
      </c>
      <c r="F31" s="2" t="s">
        <v>1430</v>
      </c>
      <c r="G31" s="2" t="s">
        <v>1073</v>
      </c>
      <c r="I31" s="2" t="s">
        <v>30</v>
      </c>
      <c r="J31" s="2" t="s">
        <v>30</v>
      </c>
      <c r="K31" s="2" t="s">
        <v>487</v>
      </c>
      <c r="L31" s="2" t="s">
        <v>155</v>
      </c>
      <c r="M31" s="2" t="s">
        <v>375</v>
      </c>
      <c r="N31" s="2" t="s">
        <v>1349</v>
      </c>
      <c r="O31" s="2" t="s">
        <v>1431</v>
      </c>
      <c r="P31" s="2" t="s">
        <v>1340</v>
      </c>
      <c r="Q31" s="2" t="s">
        <v>206</v>
      </c>
      <c r="R31" s="2" t="s">
        <v>442</v>
      </c>
      <c r="S31" s="2" t="s">
        <v>34</v>
      </c>
      <c r="T31" s="151">
        <v>3.24</v>
      </c>
      <c r="U31" s="2" t="s">
        <v>1358</v>
      </c>
      <c r="V31" s="162">
        <v>5.5E-2</v>
      </c>
      <c r="W31" s="2" t="s">
        <v>790</v>
      </c>
      <c r="X31" s="2" t="s">
        <v>944</v>
      </c>
      <c r="Y31" s="182">
        <v>5.5</v>
      </c>
      <c r="Z31" s="164">
        <v>2.9000000000000001E-2</v>
      </c>
      <c r="AA31" s="2" t="s">
        <v>1355</v>
      </c>
      <c r="AB31" s="4" t="s">
        <v>447</v>
      </c>
      <c r="AC31" s="2" t="s">
        <v>519</v>
      </c>
      <c r="AD31" s="151">
        <v>3341</v>
      </c>
      <c r="AE31" s="164">
        <v>0.78</v>
      </c>
      <c r="AF31" s="2" t="s">
        <v>1365</v>
      </c>
      <c r="AG31" s="2" t="s">
        <v>155</v>
      </c>
      <c r="AI31" s="2" t="s">
        <v>1366</v>
      </c>
      <c r="AJ31" s="2" t="s">
        <v>375</v>
      </c>
      <c r="AK31" s="2" t="s">
        <v>927</v>
      </c>
      <c r="AL31" s="2" t="s">
        <v>1340</v>
      </c>
      <c r="AN31" s="2" t="s">
        <v>157</v>
      </c>
      <c r="AO31" s="2" t="s">
        <v>1365</v>
      </c>
      <c r="AP31" s="162">
        <v>0</v>
      </c>
      <c r="AQ31" s="151">
        <v>8602.25</v>
      </c>
      <c r="AR31" s="175">
        <v>128.06</v>
      </c>
      <c r="AS31" s="158">
        <v>1</v>
      </c>
      <c r="AT31" s="151">
        <v>11.016</v>
      </c>
      <c r="AU31" s="151">
        <v>11.016</v>
      </c>
      <c r="AX31" s="4" t="s">
        <v>155</v>
      </c>
      <c r="AY31" s="2" t="s">
        <v>36</v>
      </c>
      <c r="AZ31" s="164">
        <v>1.22299019910537E-3</v>
      </c>
      <c r="BA31" s="164">
        <v>2.6742400340296699E-5</v>
      </c>
    </row>
    <row r="32" spans="1:53">
      <c r="A32" s="2">
        <v>1182</v>
      </c>
      <c r="B32" s="2">
        <v>1182</v>
      </c>
      <c r="C32" s="2" t="s">
        <v>1349</v>
      </c>
      <c r="D32" s="2" t="s">
        <v>33</v>
      </c>
      <c r="E32" s="2" t="s">
        <v>1432</v>
      </c>
      <c r="F32" s="2" t="s">
        <v>1433</v>
      </c>
      <c r="G32" s="2" t="s">
        <v>1073</v>
      </c>
      <c r="I32" s="2" t="s">
        <v>30</v>
      </c>
      <c r="J32" s="2" t="s">
        <v>30</v>
      </c>
      <c r="K32" s="2" t="s">
        <v>487</v>
      </c>
      <c r="L32" s="2" t="s">
        <v>155</v>
      </c>
      <c r="M32" s="2" t="s">
        <v>375</v>
      </c>
      <c r="N32" s="151">
        <v>513326439</v>
      </c>
      <c r="O32" s="2" t="s">
        <v>1425</v>
      </c>
      <c r="P32" s="2" t="s">
        <v>1353</v>
      </c>
      <c r="Q32" s="2" t="s">
        <v>206</v>
      </c>
      <c r="R32" s="2" t="s">
        <v>442</v>
      </c>
      <c r="S32" s="2" t="s">
        <v>34</v>
      </c>
      <c r="T32" s="151">
        <v>3.21</v>
      </c>
      <c r="U32" s="2" t="s">
        <v>194</v>
      </c>
      <c r="V32" s="162">
        <v>5.5E-2</v>
      </c>
      <c r="W32" s="2" t="s">
        <v>790</v>
      </c>
      <c r="X32" s="2" t="s">
        <v>1354</v>
      </c>
      <c r="Y32" s="182">
        <v>5.5</v>
      </c>
      <c r="Z32" s="164">
        <v>3.0949999999999998E-2</v>
      </c>
      <c r="AA32" s="2" t="s">
        <v>1364</v>
      </c>
      <c r="AB32" s="4" t="s">
        <v>447</v>
      </c>
      <c r="AE32" s="164">
        <v>0</v>
      </c>
      <c r="AG32" s="2" t="s">
        <v>155</v>
      </c>
      <c r="AJ32" s="2" t="s">
        <v>155</v>
      </c>
      <c r="AK32" s="2" t="s">
        <v>194</v>
      </c>
      <c r="AN32" s="2" t="s">
        <v>157</v>
      </c>
      <c r="AP32" s="162">
        <v>0</v>
      </c>
      <c r="AQ32" s="151">
        <v>2269.31</v>
      </c>
      <c r="AR32" s="175">
        <v>127.76</v>
      </c>
      <c r="AS32" s="158">
        <v>1</v>
      </c>
      <c r="AT32" s="151">
        <v>2.899</v>
      </c>
      <c r="AU32" s="151">
        <v>2.899</v>
      </c>
      <c r="AX32" s="4" t="s">
        <v>155</v>
      </c>
      <c r="AY32" s="2" t="s">
        <v>36</v>
      </c>
      <c r="AZ32" s="164">
        <v>3.2187418688690497E-4</v>
      </c>
      <c r="BA32" s="164">
        <v>7.0382316810336398E-6</v>
      </c>
    </row>
    <row r="33" spans="1:53">
      <c r="A33" s="2">
        <v>1182</v>
      </c>
      <c r="B33" s="2">
        <v>1182</v>
      </c>
      <c r="C33" s="2" t="s">
        <v>1349</v>
      </c>
      <c r="D33" s="2" t="s">
        <v>33</v>
      </c>
      <c r="E33" s="2" t="s">
        <v>1434</v>
      </c>
      <c r="F33" s="2" t="s">
        <v>1435</v>
      </c>
      <c r="G33" s="2" t="s">
        <v>1073</v>
      </c>
      <c r="I33" s="2" t="s">
        <v>30</v>
      </c>
      <c r="J33" s="2" t="s">
        <v>30</v>
      </c>
      <c r="K33" s="2" t="s">
        <v>487</v>
      </c>
      <c r="L33" s="2" t="s">
        <v>155</v>
      </c>
      <c r="M33" s="2" t="s">
        <v>375</v>
      </c>
      <c r="N33" s="2" t="s">
        <v>1349</v>
      </c>
      <c r="O33" s="2" t="s">
        <v>1436</v>
      </c>
      <c r="P33" s="2" t="s">
        <v>1340</v>
      </c>
      <c r="Q33" s="2" t="s">
        <v>206</v>
      </c>
      <c r="R33" s="2" t="s">
        <v>442</v>
      </c>
      <c r="S33" s="2" t="s">
        <v>34</v>
      </c>
      <c r="T33" s="151">
        <v>3.24</v>
      </c>
      <c r="U33" s="2" t="s">
        <v>1358</v>
      </c>
      <c r="V33" s="162">
        <v>5.5E-2</v>
      </c>
      <c r="W33" s="2" t="s">
        <v>790</v>
      </c>
      <c r="X33" s="2" t="s">
        <v>944</v>
      </c>
      <c r="Y33" s="182">
        <v>5.5</v>
      </c>
      <c r="Z33" s="164">
        <v>2.76E-2</v>
      </c>
      <c r="AA33" s="2" t="s">
        <v>1355</v>
      </c>
      <c r="AB33" s="4" t="s">
        <v>447</v>
      </c>
      <c r="AC33" s="2" t="s">
        <v>519</v>
      </c>
      <c r="AD33" s="151">
        <v>774</v>
      </c>
      <c r="AE33" s="164">
        <v>0.78</v>
      </c>
      <c r="AF33" s="2" t="s">
        <v>1365</v>
      </c>
      <c r="AG33" s="2" t="s">
        <v>155</v>
      </c>
      <c r="AI33" s="2" t="s">
        <v>1366</v>
      </c>
      <c r="AJ33" s="2" t="s">
        <v>375</v>
      </c>
      <c r="AK33" s="2" t="s">
        <v>927</v>
      </c>
      <c r="AL33" s="2" t="s">
        <v>1340</v>
      </c>
      <c r="AN33" s="2" t="s">
        <v>157</v>
      </c>
      <c r="AO33" s="2" t="s">
        <v>1365</v>
      </c>
      <c r="AP33" s="162">
        <v>0</v>
      </c>
      <c r="AQ33" s="151">
        <v>1991.92</v>
      </c>
      <c r="AR33" s="175">
        <v>126.71</v>
      </c>
      <c r="AS33" s="158">
        <v>1</v>
      </c>
      <c r="AT33" s="151">
        <v>2.524</v>
      </c>
      <c r="AU33" s="151">
        <v>2.524</v>
      </c>
      <c r="AX33" s="4" t="s">
        <v>155</v>
      </c>
      <c r="AY33" s="2" t="s">
        <v>36</v>
      </c>
      <c r="AZ33" s="164">
        <v>2.8020778838598397E-4</v>
      </c>
      <c r="BA33" s="164">
        <v>6.1271372910172304E-6</v>
      </c>
    </row>
    <row r="34" spans="1:53">
      <c r="A34" s="2">
        <v>1182</v>
      </c>
      <c r="B34" s="2">
        <v>1182</v>
      </c>
      <c r="C34" s="2" t="s">
        <v>1349</v>
      </c>
      <c r="D34" s="2" t="s">
        <v>33</v>
      </c>
      <c r="E34" s="2" t="s">
        <v>1437</v>
      </c>
      <c r="F34" s="2" t="s">
        <v>1438</v>
      </c>
      <c r="G34" s="2" t="s">
        <v>1073</v>
      </c>
      <c r="I34" s="2" t="s">
        <v>30</v>
      </c>
      <c r="J34" s="2" t="s">
        <v>30</v>
      </c>
      <c r="K34" s="2" t="s">
        <v>487</v>
      </c>
      <c r="L34" s="2" t="s">
        <v>155</v>
      </c>
      <c r="M34" s="2" t="s">
        <v>375</v>
      </c>
      <c r="N34" s="2" t="s">
        <v>1349</v>
      </c>
      <c r="O34" s="2" t="s">
        <v>1439</v>
      </c>
      <c r="P34" s="2" t="s">
        <v>1340</v>
      </c>
      <c r="Q34" s="2" t="s">
        <v>206</v>
      </c>
      <c r="R34" s="2" t="s">
        <v>442</v>
      </c>
      <c r="S34" s="2" t="s">
        <v>34</v>
      </c>
      <c r="T34" s="151">
        <v>3.24</v>
      </c>
      <c r="U34" s="2" t="s">
        <v>1358</v>
      </c>
      <c r="V34" s="162">
        <v>5.5E-2</v>
      </c>
      <c r="W34" s="2" t="s">
        <v>790</v>
      </c>
      <c r="X34" s="2" t="s">
        <v>944</v>
      </c>
      <c r="Y34" s="182">
        <v>5.5</v>
      </c>
      <c r="Z34" s="164">
        <v>2.7799999999999998E-2</v>
      </c>
      <c r="AA34" s="2" t="s">
        <v>1355</v>
      </c>
      <c r="AB34" s="4" t="s">
        <v>447</v>
      </c>
      <c r="AC34" s="2" t="s">
        <v>519</v>
      </c>
      <c r="AD34" s="151">
        <v>862</v>
      </c>
      <c r="AE34" s="164">
        <v>0.78</v>
      </c>
      <c r="AF34" s="2" t="s">
        <v>1365</v>
      </c>
      <c r="AG34" s="2" t="s">
        <v>155</v>
      </c>
      <c r="AI34" s="2" t="s">
        <v>1366</v>
      </c>
      <c r="AJ34" s="2" t="s">
        <v>375</v>
      </c>
      <c r="AK34" s="2" t="s">
        <v>927</v>
      </c>
      <c r="AL34" s="2" t="s">
        <v>1340</v>
      </c>
      <c r="AN34" s="2" t="s">
        <v>157</v>
      </c>
      <c r="AO34" s="2" t="s">
        <v>1365</v>
      </c>
      <c r="AP34" s="162">
        <v>0</v>
      </c>
      <c r="AQ34" s="151">
        <v>2220.44</v>
      </c>
      <c r="AR34" s="175">
        <v>126.03</v>
      </c>
      <c r="AS34" s="158">
        <v>1</v>
      </c>
      <c r="AT34" s="151">
        <v>2.798</v>
      </c>
      <c r="AU34" s="151">
        <v>2.798</v>
      </c>
      <c r="AX34" s="4" t="s">
        <v>155</v>
      </c>
      <c r="AY34" s="2" t="s">
        <v>36</v>
      </c>
      <c r="AZ34" s="164">
        <v>3.1067792638698203E-4</v>
      </c>
      <c r="BA34" s="164">
        <v>6.7934097022293899E-6</v>
      </c>
    </row>
    <row r="35" spans="1:53">
      <c r="A35" s="2">
        <v>1182</v>
      </c>
      <c r="B35" s="2">
        <v>1182</v>
      </c>
      <c r="C35" s="2" t="s">
        <v>1349</v>
      </c>
      <c r="D35" s="2" t="s">
        <v>33</v>
      </c>
      <c r="E35" s="2" t="s">
        <v>1440</v>
      </c>
      <c r="F35" s="2" t="s">
        <v>1441</v>
      </c>
      <c r="G35" s="2" t="s">
        <v>1073</v>
      </c>
      <c r="I35" s="2" t="s">
        <v>30</v>
      </c>
      <c r="J35" s="2" t="s">
        <v>30</v>
      </c>
      <c r="K35" s="2" t="s">
        <v>487</v>
      </c>
      <c r="L35" s="2" t="s">
        <v>155</v>
      </c>
      <c r="M35" s="2" t="s">
        <v>375</v>
      </c>
      <c r="N35" s="2" t="s">
        <v>1349</v>
      </c>
      <c r="O35" s="2" t="s">
        <v>1442</v>
      </c>
      <c r="P35" s="2" t="s">
        <v>1340</v>
      </c>
      <c r="Q35" s="2" t="s">
        <v>206</v>
      </c>
      <c r="R35" s="2" t="s">
        <v>442</v>
      </c>
      <c r="S35" s="2" t="s">
        <v>34</v>
      </c>
      <c r="T35" s="151">
        <v>3.24</v>
      </c>
      <c r="U35" s="2" t="s">
        <v>1358</v>
      </c>
      <c r="V35" s="162">
        <v>5.5E-2</v>
      </c>
      <c r="W35" s="2" t="s">
        <v>790</v>
      </c>
      <c r="X35" s="2" t="s">
        <v>944</v>
      </c>
      <c r="Y35" s="182">
        <v>5.5</v>
      </c>
      <c r="Z35" s="164">
        <v>2.9000000000000001E-2</v>
      </c>
      <c r="AA35" s="2" t="s">
        <v>1355</v>
      </c>
      <c r="AB35" s="4" t="s">
        <v>447</v>
      </c>
      <c r="AC35" s="2" t="s">
        <v>519</v>
      </c>
      <c r="AD35" s="151">
        <v>2532</v>
      </c>
      <c r="AE35" s="164">
        <v>0.78</v>
      </c>
      <c r="AF35" s="2" t="s">
        <v>1365</v>
      </c>
      <c r="AG35" s="2" t="s">
        <v>155</v>
      </c>
      <c r="AI35" s="2" t="s">
        <v>1366</v>
      </c>
      <c r="AJ35" s="2" t="s">
        <v>375</v>
      </c>
      <c r="AK35" s="2" t="s">
        <v>927</v>
      </c>
      <c r="AL35" s="2" t="s">
        <v>1340</v>
      </c>
      <c r="AN35" s="2" t="s">
        <v>157</v>
      </c>
      <c r="AO35" s="2" t="s">
        <v>1365</v>
      </c>
      <c r="AP35" s="162">
        <v>0</v>
      </c>
      <c r="AQ35" s="151">
        <v>6519.67</v>
      </c>
      <c r="AR35" s="175">
        <v>125.67</v>
      </c>
      <c r="AS35" s="158">
        <v>1</v>
      </c>
      <c r="AT35" s="151">
        <v>8.1929999999999996</v>
      </c>
      <c r="AU35" s="151">
        <v>8.1929999999999996</v>
      </c>
      <c r="AX35" s="4" t="s">
        <v>155</v>
      </c>
      <c r="AY35" s="2" t="s">
        <v>36</v>
      </c>
      <c r="AZ35" s="164">
        <v>9.0960878964729504E-4</v>
      </c>
      <c r="BA35" s="164">
        <v>1.9889875179371599E-5</v>
      </c>
    </row>
    <row r="36" spans="1:53">
      <c r="A36" s="2">
        <v>1182</v>
      </c>
      <c r="B36" s="2">
        <v>1182</v>
      </c>
      <c r="C36" s="2" t="s">
        <v>1349</v>
      </c>
      <c r="D36" s="2" t="s">
        <v>33</v>
      </c>
      <c r="E36" s="2" t="s">
        <v>1443</v>
      </c>
      <c r="F36" s="2" t="s">
        <v>1444</v>
      </c>
      <c r="G36" s="2" t="s">
        <v>1073</v>
      </c>
      <c r="I36" s="2" t="s">
        <v>30</v>
      </c>
      <c r="J36" s="2" t="s">
        <v>30</v>
      </c>
      <c r="K36" s="2" t="s">
        <v>487</v>
      </c>
      <c r="L36" s="2" t="s">
        <v>155</v>
      </c>
      <c r="M36" s="2" t="s">
        <v>375</v>
      </c>
      <c r="N36" s="2" t="s">
        <v>1349</v>
      </c>
      <c r="O36" s="2" t="s">
        <v>1445</v>
      </c>
      <c r="P36" s="2" t="s">
        <v>1340</v>
      </c>
      <c r="Q36" s="2" t="s">
        <v>206</v>
      </c>
      <c r="R36" s="2" t="s">
        <v>442</v>
      </c>
      <c r="S36" s="2" t="s">
        <v>34</v>
      </c>
      <c r="T36" s="151">
        <v>3.24</v>
      </c>
      <c r="U36" s="2" t="s">
        <v>1358</v>
      </c>
      <c r="V36" s="162">
        <v>5.5E-2</v>
      </c>
      <c r="W36" s="2" t="s">
        <v>790</v>
      </c>
      <c r="X36" s="2" t="s">
        <v>944</v>
      </c>
      <c r="Y36" s="182">
        <v>5.5</v>
      </c>
      <c r="Z36" s="164">
        <v>2.9000000000000001E-2</v>
      </c>
      <c r="AA36" s="2" t="s">
        <v>1355</v>
      </c>
      <c r="AB36" s="4" t="s">
        <v>447</v>
      </c>
      <c r="AC36" s="2" t="s">
        <v>519</v>
      </c>
      <c r="AD36" s="151">
        <v>470</v>
      </c>
      <c r="AE36" s="164">
        <v>0.78</v>
      </c>
      <c r="AF36" s="2" t="s">
        <v>1365</v>
      </c>
      <c r="AG36" s="2" t="s">
        <v>155</v>
      </c>
      <c r="AI36" s="2" t="s">
        <v>1366</v>
      </c>
      <c r="AJ36" s="2" t="s">
        <v>375</v>
      </c>
      <c r="AK36" s="2" t="s">
        <v>927</v>
      </c>
      <c r="AL36" s="2" t="s">
        <v>1340</v>
      </c>
      <c r="AN36" s="2" t="s">
        <v>157</v>
      </c>
      <c r="AO36" s="2" t="s">
        <v>1365</v>
      </c>
      <c r="AP36" s="162">
        <v>0</v>
      </c>
      <c r="AQ36" s="151">
        <v>1210.2</v>
      </c>
      <c r="AR36" s="175">
        <v>126.3</v>
      </c>
      <c r="AS36" s="158">
        <v>1</v>
      </c>
      <c r="AT36" s="151">
        <v>1.528</v>
      </c>
      <c r="AU36" s="151">
        <v>1.528</v>
      </c>
      <c r="AX36" s="4" t="s">
        <v>155</v>
      </c>
      <c r="AY36" s="2" t="s">
        <v>36</v>
      </c>
      <c r="AZ36" s="164">
        <v>1.6969065201476399E-4</v>
      </c>
      <c r="BA36" s="164">
        <v>3.71052470698811E-6</v>
      </c>
    </row>
    <row r="37" spans="1:53">
      <c r="A37" s="2">
        <v>1182</v>
      </c>
      <c r="B37" s="2">
        <v>1182</v>
      </c>
      <c r="C37" s="2" t="s">
        <v>1349</v>
      </c>
      <c r="D37" s="2" t="s">
        <v>33</v>
      </c>
      <c r="E37" s="2" t="s">
        <v>1446</v>
      </c>
      <c r="F37" s="2" t="s">
        <v>1447</v>
      </c>
      <c r="G37" s="2" t="s">
        <v>1073</v>
      </c>
      <c r="I37" s="2" t="s">
        <v>30</v>
      </c>
      <c r="J37" s="2" t="s">
        <v>30</v>
      </c>
      <c r="K37" s="2" t="s">
        <v>487</v>
      </c>
      <c r="L37" s="2" t="s">
        <v>155</v>
      </c>
      <c r="M37" s="2" t="s">
        <v>375</v>
      </c>
      <c r="N37" s="2" t="s">
        <v>1349</v>
      </c>
      <c r="O37" s="2" t="s">
        <v>1448</v>
      </c>
      <c r="P37" s="2" t="s">
        <v>1340</v>
      </c>
      <c r="Q37" s="2" t="s">
        <v>206</v>
      </c>
      <c r="R37" s="2" t="s">
        <v>442</v>
      </c>
      <c r="S37" s="2" t="s">
        <v>34</v>
      </c>
      <c r="T37" s="151">
        <v>3.24</v>
      </c>
      <c r="U37" s="2" t="s">
        <v>1358</v>
      </c>
      <c r="V37" s="162">
        <v>5.5E-2</v>
      </c>
      <c r="W37" s="2" t="s">
        <v>790</v>
      </c>
      <c r="X37" s="2" t="s">
        <v>944</v>
      </c>
      <c r="Y37" s="182">
        <v>5.5</v>
      </c>
      <c r="Z37" s="164">
        <v>2.9000000000000001E-2</v>
      </c>
      <c r="AA37" s="2" t="s">
        <v>1449</v>
      </c>
      <c r="AB37" s="4" t="s">
        <v>447</v>
      </c>
      <c r="AC37" s="2" t="s">
        <v>519</v>
      </c>
      <c r="AD37" s="151">
        <v>938</v>
      </c>
      <c r="AE37" s="164">
        <v>0.78</v>
      </c>
      <c r="AF37" s="2" t="s">
        <v>1365</v>
      </c>
      <c r="AG37" s="2" t="s">
        <v>155</v>
      </c>
      <c r="AI37" s="2" t="s">
        <v>1366</v>
      </c>
      <c r="AJ37" s="2" t="s">
        <v>375</v>
      </c>
      <c r="AK37" s="2" t="s">
        <v>927</v>
      </c>
      <c r="AL37" s="2" t="s">
        <v>1340</v>
      </c>
      <c r="AN37" s="2" t="s">
        <v>157</v>
      </c>
      <c r="AO37" s="2" t="s">
        <v>1365</v>
      </c>
      <c r="AP37" s="162">
        <v>0</v>
      </c>
      <c r="AQ37" s="151">
        <v>2415.06</v>
      </c>
      <c r="AR37" s="175">
        <v>126.55</v>
      </c>
      <c r="AS37" s="158">
        <v>1</v>
      </c>
      <c r="AT37" s="151">
        <v>3.056</v>
      </c>
      <c r="AU37" s="151">
        <v>3.056</v>
      </c>
      <c r="AX37" s="4" t="s">
        <v>155</v>
      </c>
      <c r="AY37" s="2" t="s">
        <v>36</v>
      </c>
      <c r="AZ37" s="164">
        <v>3.3930283911136398E-4</v>
      </c>
      <c r="BA37" s="164">
        <v>7.4193336682116498E-6</v>
      </c>
    </row>
    <row r="38" spans="1:53">
      <c r="A38" s="2">
        <v>1182</v>
      </c>
      <c r="B38" s="2">
        <v>1182</v>
      </c>
      <c r="C38" s="2" t="s">
        <v>1349</v>
      </c>
      <c r="D38" s="2" t="s">
        <v>33</v>
      </c>
      <c r="E38" s="2" t="s">
        <v>1450</v>
      </c>
      <c r="F38" s="2" t="s">
        <v>1451</v>
      </c>
      <c r="G38" s="2" t="s">
        <v>1073</v>
      </c>
      <c r="I38" s="2" t="s">
        <v>30</v>
      </c>
      <c r="J38" s="2" t="s">
        <v>30</v>
      </c>
      <c r="K38" s="2" t="s">
        <v>487</v>
      </c>
      <c r="L38" s="2" t="s">
        <v>155</v>
      </c>
      <c r="M38" s="2" t="s">
        <v>375</v>
      </c>
      <c r="N38" s="2" t="s">
        <v>1349</v>
      </c>
      <c r="O38" s="2" t="s">
        <v>1452</v>
      </c>
      <c r="P38" s="2" t="s">
        <v>1340</v>
      </c>
      <c r="Q38" s="2" t="s">
        <v>206</v>
      </c>
      <c r="R38" s="2" t="s">
        <v>442</v>
      </c>
      <c r="S38" s="2" t="s">
        <v>34</v>
      </c>
      <c r="T38" s="151">
        <v>3.24</v>
      </c>
      <c r="U38" s="2" t="s">
        <v>1358</v>
      </c>
      <c r="V38" s="162">
        <v>5.5E-2</v>
      </c>
      <c r="W38" s="2" t="s">
        <v>790</v>
      </c>
      <c r="X38" s="2" t="s">
        <v>944</v>
      </c>
      <c r="Y38" s="182">
        <v>5.5</v>
      </c>
      <c r="Z38" s="164">
        <v>2.9000000000000001E-2</v>
      </c>
      <c r="AA38" s="2" t="s">
        <v>1355</v>
      </c>
      <c r="AB38" s="4" t="s">
        <v>447</v>
      </c>
      <c r="AC38" s="2" t="s">
        <v>519</v>
      </c>
      <c r="AD38" s="151">
        <v>588</v>
      </c>
      <c r="AE38" s="164">
        <v>0.78</v>
      </c>
      <c r="AF38" s="2" t="s">
        <v>1365</v>
      </c>
      <c r="AG38" s="2" t="s">
        <v>155</v>
      </c>
      <c r="AI38" s="2" t="s">
        <v>1366</v>
      </c>
      <c r="AJ38" s="2" t="s">
        <v>375</v>
      </c>
      <c r="AK38" s="2" t="s">
        <v>927</v>
      </c>
      <c r="AL38" s="2" t="s">
        <v>1340</v>
      </c>
      <c r="AN38" s="2" t="s">
        <v>157</v>
      </c>
      <c r="AO38" s="2" t="s">
        <v>1365</v>
      </c>
      <c r="AP38" s="162">
        <v>0</v>
      </c>
      <c r="AQ38" s="151">
        <v>1513.32</v>
      </c>
      <c r="AR38" s="175">
        <v>126.06</v>
      </c>
      <c r="AS38" s="158">
        <v>1</v>
      </c>
      <c r="AT38" s="151">
        <v>1.9079999999999999</v>
      </c>
      <c r="AU38" s="151">
        <v>1.9079999999999999</v>
      </c>
      <c r="AX38" s="4" t="s">
        <v>155</v>
      </c>
      <c r="AY38" s="2" t="s">
        <v>36</v>
      </c>
      <c r="AZ38" s="164">
        <v>2.1179002117086701E-4</v>
      </c>
      <c r="BA38" s="164">
        <v>4.6310866091767E-6</v>
      </c>
    </row>
    <row r="39" spans="1:53">
      <c r="A39" s="2">
        <v>1182</v>
      </c>
      <c r="B39" s="2">
        <v>1182</v>
      </c>
      <c r="C39" s="2" t="s">
        <v>1349</v>
      </c>
      <c r="D39" s="2" t="s">
        <v>33</v>
      </c>
      <c r="E39" s="2" t="s">
        <v>1453</v>
      </c>
      <c r="F39" s="2" t="s">
        <v>1454</v>
      </c>
      <c r="G39" s="2" t="s">
        <v>1073</v>
      </c>
      <c r="I39" s="2" t="s">
        <v>30</v>
      </c>
      <c r="J39" s="2" t="s">
        <v>30</v>
      </c>
      <c r="K39" s="2" t="s">
        <v>487</v>
      </c>
      <c r="L39" s="2" t="s">
        <v>155</v>
      </c>
      <c r="M39" s="2" t="s">
        <v>375</v>
      </c>
      <c r="N39" s="2" t="s">
        <v>1349</v>
      </c>
      <c r="O39" s="2" t="s">
        <v>1455</v>
      </c>
      <c r="P39" s="2" t="s">
        <v>1340</v>
      </c>
      <c r="Q39" s="2" t="s">
        <v>206</v>
      </c>
      <c r="R39" s="2" t="s">
        <v>442</v>
      </c>
      <c r="S39" s="2" t="s">
        <v>34</v>
      </c>
      <c r="T39" s="151">
        <v>3.24</v>
      </c>
      <c r="U39" s="2" t="s">
        <v>1358</v>
      </c>
      <c r="V39" s="162">
        <v>5.5E-2</v>
      </c>
      <c r="W39" s="2" t="s">
        <v>790</v>
      </c>
      <c r="X39" s="2" t="s">
        <v>944</v>
      </c>
      <c r="Y39" s="182">
        <v>5.5</v>
      </c>
      <c r="Z39" s="164">
        <v>2.9000000000000001E-2</v>
      </c>
      <c r="AA39" s="2" t="s">
        <v>1364</v>
      </c>
      <c r="AB39" s="4" t="s">
        <v>447</v>
      </c>
      <c r="AC39" s="2" t="s">
        <v>519</v>
      </c>
      <c r="AD39" s="151">
        <v>331</v>
      </c>
      <c r="AE39" s="164">
        <v>0.78</v>
      </c>
      <c r="AF39" s="2" t="s">
        <v>1365</v>
      </c>
      <c r="AG39" s="2" t="s">
        <v>155</v>
      </c>
      <c r="AI39" s="2" t="s">
        <v>1366</v>
      </c>
      <c r="AJ39" s="2" t="s">
        <v>375</v>
      </c>
      <c r="AK39" s="2" t="s">
        <v>927</v>
      </c>
      <c r="AL39" s="2" t="s">
        <v>1340</v>
      </c>
      <c r="AN39" s="2" t="s">
        <v>157</v>
      </c>
      <c r="AO39" s="2" t="s">
        <v>1365</v>
      </c>
      <c r="AP39" s="162">
        <v>0</v>
      </c>
      <c r="AQ39" s="151">
        <v>852.17</v>
      </c>
      <c r="AR39" s="175">
        <v>125.93</v>
      </c>
      <c r="AS39" s="158">
        <v>1</v>
      </c>
      <c r="AT39" s="151">
        <v>1.073</v>
      </c>
      <c r="AU39" s="151">
        <v>1.073</v>
      </c>
      <c r="AX39" s="4" t="s">
        <v>155</v>
      </c>
      <c r="AY39" s="2" t="s">
        <v>36</v>
      </c>
      <c r="AZ39" s="164">
        <v>1.19138701867134E-4</v>
      </c>
      <c r="BA39" s="164">
        <v>2.6051352363124198E-6</v>
      </c>
    </row>
    <row r="40" spans="1:53">
      <c r="A40" s="2">
        <v>1182</v>
      </c>
      <c r="B40" s="2">
        <v>1182</v>
      </c>
      <c r="C40" s="2" t="s">
        <v>1349</v>
      </c>
      <c r="D40" s="2" t="s">
        <v>33</v>
      </c>
      <c r="E40" s="2" t="s">
        <v>1456</v>
      </c>
      <c r="F40" s="2" t="s">
        <v>1457</v>
      </c>
      <c r="G40" s="2" t="s">
        <v>1073</v>
      </c>
      <c r="I40" s="2" t="s">
        <v>30</v>
      </c>
      <c r="J40" s="2" t="s">
        <v>30</v>
      </c>
      <c r="K40" s="2" t="s">
        <v>487</v>
      </c>
      <c r="L40" s="2" t="s">
        <v>155</v>
      </c>
      <c r="M40" s="2" t="s">
        <v>375</v>
      </c>
      <c r="N40" s="2" t="s">
        <v>1349</v>
      </c>
      <c r="O40" s="2" t="s">
        <v>1458</v>
      </c>
      <c r="P40" s="2" t="s">
        <v>1340</v>
      </c>
      <c r="Q40" s="2" t="s">
        <v>206</v>
      </c>
      <c r="R40" s="2" t="s">
        <v>442</v>
      </c>
      <c r="S40" s="2" t="s">
        <v>34</v>
      </c>
      <c r="T40" s="151">
        <v>3.24</v>
      </c>
      <c r="U40" s="2" t="s">
        <v>1358</v>
      </c>
      <c r="V40" s="162">
        <v>5.5E-2</v>
      </c>
      <c r="W40" s="2" t="s">
        <v>790</v>
      </c>
      <c r="X40" s="2" t="s">
        <v>944</v>
      </c>
      <c r="Y40" s="182">
        <v>5.5</v>
      </c>
      <c r="Z40" s="164">
        <v>2.9000000000000001E-2</v>
      </c>
      <c r="AA40" s="2" t="s">
        <v>1364</v>
      </c>
      <c r="AB40" s="4" t="s">
        <v>447</v>
      </c>
      <c r="AC40" s="2" t="s">
        <v>519</v>
      </c>
      <c r="AD40" s="151">
        <v>987</v>
      </c>
      <c r="AE40" s="164">
        <v>0.78</v>
      </c>
      <c r="AF40" s="2" t="s">
        <v>1365</v>
      </c>
      <c r="AG40" s="2" t="s">
        <v>155</v>
      </c>
      <c r="AI40" s="2" t="s">
        <v>1366</v>
      </c>
      <c r="AJ40" s="2" t="s">
        <v>375</v>
      </c>
      <c r="AK40" s="2" t="s">
        <v>927</v>
      </c>
      <c r="AL40" s="2" t="s">
        <v>1340</v>
      </c>
      <c r="AN40" s="2" t="s">
        <v>157</v>
      </c>
      <c r="AO40" s="2" t="s">
        <v>1365</v>
      </c>
      <c r="AP40" s="162">
        <v>0</v>
      </c>
      <c r="AQ40" s="151">
        <v>2541.96</v>
      </c>
      <c r="AR40" s="175">
        <v>125.56</v>
      </c>
      <c r="AS40" s="158">
        <v>1</v>
      </c>
      <c r="AT40" s="151">
        <v>3.1920000000000002</v>
      </c>
      <c r="AU40" s="151">
        <v>3.1920000000000002</v>
      </c>
      <c r="AX40" s="4" t="s">
        <v>155</v>
      </c>
      <c r="AY40" s="2" t="s">
        <v>36</v>
      </c>
      <c r="AZ40" s="164">
        <v>3.5433776256475898E-4</v>
      </c>
      <c r="BA40" s="164">
        <v>7.7480934100072506E-6</v>
      </c>
    </row>
    <row r="41" spans="1:53">
      <c r="A41" s="2">
        <v>1182</v>
      </c>
      <c r="B41" s="2">
        <v>1182</v>
      </c>
      <c r="C41" s="2" t="s">
        <v>1349</v>
      </c>
      <c r="D41" s="2" t="s">
        <v>33</v>
      </c>
      <c r="E41" s="2" t="s">
        <v>1459</v>
      </c>
      <c r="F41" s="2" t="s">
        <v>1460</v>
      </c>
      <c r="G41" s="2" t="s">
        <v>1073</v>
      </c>
      <c r="I41" s="2" t="s">
        <v>30</v>
      </c>
      <c r="J41" s="2" t="s">
        <v>30</v>
      </c>
      <c r="K41" s="2" t="s">
        <v>487</v>
      </c>
      <c r="L41" s="2" t="s">
        <v>155</v>
      </c>
      <c r="M41" s="2" t="s">
        <v>375</v>
      </c>
      <c r="N41" s="151">
        <v>513326439</v>
      </c>
      <c r="O41" s="2" t="s">
        <v>1425</v>
      </c>
      <c r="P41" s="2" t="s">
        <v>1353</v>
      </c>
      <c r="Q41" s="2" t="s">
        <v>206</v>
      </c>
      <c r="R41" s="2" t="s">
        <v>442</v>
      </c>
      <c r="S41" s="2" t="s">
        <v>34</v>
      </c>
      <c r="T41" s="151">
        <v>3.23</v>
      </c>
      <c r="U41" s="2" t="s">
        <v>194</v>
      </c>
      <c r="V41" s="162">
        <v>5.5E-2</v>
      </c>
      <c r="W41" s="2" t="s">
        <v>790</v>
      </c>
      <c r="X41" s="2" t="s">
        <v>1354</v>
      </c>
      <c r="Y41" s="182">
        <v>5.5</v>
      </c>
      <c r="Z41" s="164">
        <v>3.4299999999999997E-2</v>
      </c>
      <c r="AA41" s="2" t="s">
        <v>1364</v>
      </c>
      <c r="AB41" s="4" t="s">
        <v>447</v>
      </c>
      <c r="AE41" s="164">
        <v>0</v>
      </c>
      <c r="AG41" s="2" t="s">
        <v>155</v>
      </c>
      <c r="AJ41" s="2" t="s">
        <v>155</v>
      </c>
      <c r="AK41" s="2" t="s">
        <v>194</v>
      </c>
      <c r="AN41" s="2" t="s">
        <v>157</v>
      </c>
      <c r="AP41" s="162">
        <v>0</v>
      </c>
      <c r="AQ41" s="151">
        <v>989.56</v>
      </c>
      <c r="AR41" s="175">
        <v>125.56</v>
      </c>
      <c r="AS41" s="158">
        <v>1</v>
      </c>
      <c r="AT41" s="151">
        <v>1.242</v>
      </c>
      <c r="AU41" s="151">
        <v>1.242</v>
      </c>
      <c r="AX41" s="4" t="s">
        <v>155</v>
      </c>
      <c r="AY41" s="2" t="s">
        <v>36</v>
      </c>
      <c r="AZ41" s="164">
        <v>1.3794020217611E-4</v>
      </c>
      <c r="BA41" s="164">
        <v>3.0162564772092301E-6</v>
      </c>
    </row>
    <row r="42" spans="1:53">
      <c r="A42" s="2">
        <v>1182</v>
      </c>
      <c r="B42" s="2">
        <v>1182</v>
      </c>
      <c r="C42" s="2" t="s">
        <v>1349</v>
      </c>
      <c r="D42" s="2" t="s">
        <v>33</v>
      </c>
      <c r="E42" s="2" t="s">
        <v>1461</v>
      </c>
      <c r="F42" s="2" t="s">
        <v>1462</v>
      </c>
      <c r="G42" s="2" t="s">
        <v>1073</v>
      </c>
      <c r="I42" s="2" t="s">
        <v>30</v>
      </c>
      <c r="J42" s="2" t="s">
        <v>30</v>
      </c>
      <c r="K42" s="2" t="s">
        <v>487</v>
      </c>
      <c r="L42" s="2" t="s">
        <v>155</v>
      </c>
      <c r="M42" s="2" t="s">
        <v>375</v>
      </c>
      <c r="N42" s="2" t="s">
        <v>1349</v>
      </c>
      <c r="O42" s="2" t="s">
        <v>1463</v>
      </c>
      <c r="P42" s="2" t="s">
        <v>1340</v>
      </c>
      <c r="Q42" s="2" t="s">
        <v>206</v>
      </c>
      <c r="R42" s="2" t="s">
        <v>442</v>
      </c>
      <c r="S42" s="2" t="s">
        <v>34</v>
      </c>
      <c r="T42" s="151">
        <v>3.24</v>
      </c>
      <c r="U42" s="2" t="s">
        <v>1358</v>
      </c>
      <c r="V42" s="162">
        <v>5.5E-2</v>
      </c>
      <c r="W42" s="2" t="s">
        <v>790</v>
      </c>
      <c r="X42" s="2" t="s">
        <v>944</v>
      </c>
      <c r="Y42" s="182">
        <v>5.5</v>
      </c>
      <c r="Z42" s="164">
        <v>2.9000000000000001E-2</v>
      </c>
      <c r="AA42" s="2" t="s">
        <v>1364</v>
      </c>
      <c r="AB42" s="4" t="s">
        <v>447</v>
      </c>
      <c r="AC42" s="2" t="s">
        <v>519</v>
      </c>
      <c r="AD42" s="151">
        <v>5567</v>
      </c>
      <c r="AE42" s="164">
        <v>0.78</v>
      </c>
      <c r="AF42" s="2" t="s">
        <v>1365</v>
      </c>
      <c r="AG42" s="2" t="s">
        <v>155</v>
      </c>
      <c r="AI42" s="2" t="s">
        <v>1366</v>
      </c>
      <c r="AJ42" s="2" t="s">
        <v>375</v>
      </c>
      <c r="AK42" s="2" t="s">
        <v>927</v>
      </c>
      <c r="AL42" s="2" t="s">
        <v>1340</v>
      </c>
      <c r="AN42" s="2" t="s">
        <v>157</v>
      </c>
      <c r="AO42" s="2" t="s">
        <v>1365</v>
      </c>
      <c r="AP42" s="162">
        <v>0</v>
      </c>
      <c r="AQ42" s="151">
        <v>6650.35</v>
      </c>
      <c r="AR42" s="175">
        <v>125.81</v>
      </c>
      <c r="AS42" s="158">
        <v>1</v>
      </c>
      <c r="AT42" s="151">
        <v>8.3670000000000009</v>
      </c>
      <c r="AU42" s="151">
        <v>8.3670000000000009</v>
      </c>
      <c r="AX42" s="4" t="s">
        <v>155</v>
      </c>
      <c r="AY42" s="2" t="s">
        <v>36</v>
      </c>
      <c r="AZ42" s="164">
        <v>9.2887459273449104E-4</v>
      </c>
      <c r="BA42" s="164">
        <v>2.0311149053366701E-5</v>
      </c>
    </row>
    <row r="43" spans="1:53">
      <c r="A43" s="2">
        <v>1182</v>
      </c>
      <c r="B43" s="2">
        <v>1182</v>
      </c>
      <c r="C43" s="2" t="s">
        <v>1349</v>
      </c>
      <c r="D43" s="2" t="s">
        <v>33</v>
      </c>
      <c r="E43" s="2" t="s">
        <v>1464</v>
      </c>
      <c r="F43" s="2" t="s">
        <v>1465</v>
      </c>
      <c r="G43" s="2" t="s">
        <v>1073</v>
      </c>
      <c r="I43" s="2" t="s">
        <v>30</v>
      </c>
      <c r="J43" s="2" t="s">
        <v>30</v>
      </c>
      <c r="K43" s="2" t="s">
        <v>487</v>
      </c>
      <c r="L43" s="2" t="s">
        <v>155</v>
      </c>
      <c r="M43" s="2" t="s">
        <v>375</v>
      </c>
      <c r="N43" s="2" t="s">
        <v>1349</v>
      </c>
      <c r="O43" s="2" t="s">
        <v>1466</v>
      </c>
      <c r="P43" s="2" t="s">
        <v>1340</v>
      </c>
      <c r="Q43" s="2" t="s">
        <v>206</v>
      </c>
      <c r="R43" s="2" t="s">
        <v>442</v>
      </c>
      <c r="S43" s="2" t="s">
        <v>34</v>
      </c>
      <c r="T43" s="151">
        <v>3.24</v>
      </c>
      <c r="U43" s="2" t="s">
        <v>1358</v>
      </c>
      <c r="V43" s="162">
        <v>5.5E-2</v>
      </c>
      <c r="W43" s="2" t="s">
        <v>790</v>
      </c>
      <c r="X43" s="2" t="s">
        <v>944</v>
      </c>
      <c r="Y43" s="182">
        <v>5.5</v>
      </c>
      <c r="Z43" s="164">
        <v>2.9000000000000001E-2</v>
      </c>
      <c r="AA43" s="2" t="s">
        <v>1364</v>
      </c>
      <c r="AB43" s="4" t="s">
        <v>447</v>
      </c>
      <c r="AC43" s="2" t="s">
        <v>519</v>
      </c>
      <c r="AD43" s="151">
        <v>5045</v>
      </c>
      <c r="AE43" s="164">
        <v>0.78</v>
      </c>
      <c r="AF43" s="2" t="s">
        <v>1365</v>
      </c>
      <c r="AG43" s="2" t="s">
        <v>155</v>
      </c>
      <c r="AI43" s="2" t="s">
        <v>1366</v>
      </c>
      <c r="AJ43" s="2" t="s">
        <v>375</v>
      </c>
      <c r="AK43" s="2" t="s">
        <v>927</v>
      </c>
      <c r="AL43" s="2" t="s">
        <v>1340</v>
      </c>
      <c r="AN43" s="2" t="s">
        <v>157</v>
      </c>
      <c r="AO43" s="2" t="s">
        <v>1365</v>
      </c>
      <c r="AP43" s="162">
        <v>0</v>
      </c>
      <c r="AQ43" s="151">
        <v>12990.79</v>
      </c>
      <c r="AR43" s="175">
        <v>126.93</v>
      </c>
      <c r="AS43" s="158">
        <v>1</v>
      </c>
      <c r="AT43" s="151">
        <v>16.489000000000001</v>
      </c>
      <c r="AU43" s="151">
        <v>16.489000000000001</v>
      </c>
      <c r="AX43" s="4" t="s">
        <v>155</v>
      </c>
      <c r="AY43" s="2" t="s">
        <v>36</v>
      </c>
      <c r="AZ43" s="164">
        <v>1.83061603264351E-3</v>
      </c>
      <c r="BA43" s="164">
        <v>4.0028993568492397E-5</v>
      </c>
    </row>
    <row r="44" spans="1:53">
      <c r="A44" s="2">
        <v>1182</v>
      </c>
      <c r="B44" s="2">
        <v>1182</v>
      </c>
      <c r="C44" s="2" t="s">
        <v>1349</v>
      </c>
      <c r="D44" s="2" t="s">
        <v>33</v>
      </c>
      <c r="E44" s="2" t="s">
        <v>1467</v>
      </c>
      <c r="F44" s="2" t="s">
        <v>1468</v>
      </c>
      <c r="G44" s="2" t="s">
        <v>1073</v>
      </c>
      <c r="I44" s="2" t="s">
        <v>30</v>
      </c>
      <c r="J44" s="2" t="s">
        <v>30</v>
      </c>
      <c r="K44" s="2" t="s">
        <v>487</v>
      </c>
      <c r="L44" s="2" t="s">
        <v>155</v>
      </c>
      <c r="M44" s="2" t="s">
        <v>375</v>
      </c>
      <c r="N44" s="151">
        <v>513326439</v>
      </c>
      <c r="O44" s="2" t="s">
        <v>1425</v>
      </c>
      <c r="P44" s="2" t="s">
        <v>1353</v>
      </c>
      <c r="Q44" s="2" t="s">
        <v>206</v>
      </c>
      <c r="R44" s="2" t="s">
        <v>442</v>
      </c>
      <c r="S44" s="2" t="s">
        <v>34</v>
      </c>
      <c r="T44" s="151">
        <v>3.19</v>
      </c>
      <c r="U44" s="2" t="s">
        <v>194</v>
      </c>
      <c r="V44" s="162">
        <v>5.5500000000000001E-2</v>
      </c>
      <c r="W44" s="2" t="s">
        <v>790</v>
      </c>
      <c r="X44" s="2" t="s">
        <v>1354</v>
      </c>
      <c r="Y44" s="182">
        <v>5.55</v>
      </c>
      <c r="Z44" s="164">
        <v>3.091E-2</v>
      </c>
      <c r="AA44" s="2" t="s">
        <v>1364</v>
      </c>
      <c r="AB44" s="4" t="s">
        <v>447</v>
      </c>
      <c r="AE44" s="164">
        <v>0</v>
      </c>
      <c r="AG44" s="2" t="s">
        <v>155</v>
      </c>
      <c r="AJ44" s="2" t="s">
        <v>155</v>
      </c>
      <c r="AK44" s="2" t="s">
        <v>194</v>
      </c>
      <c r="AN44" s="2" t="s">
        <v>157</v>
      </c>
      <c r="AP44" s="162">
        <v>0</v>
      </c>
      <c r="AQ44" s="151">
        <v>9578.7000000000007</v>
      </c>
      <c r="AR44" s="175">
        <v>130.13</v>
      </c>
      <c r="AS44" s="158">
        <v>1</v>
      </c>
      <c r="AT44" s="151">
        <v>12.465</v>
      </c>
      <c r="AU44" s="151">
        <v>12.465</v>
      </c>
      <c r="AX44" s="4" t="s">
        <v>155</v>
      </c>
      <c r="AY44" s="2" t="s">
        <v>36</v>
      </c>
      <c r="AZ44" s="164">
        <v>1.3838257914044699E-3</v>
      </c>
      <c r="BA44" s="164">
        <v>3.0259296715572101E-5</v>
      </c>
    </row>
    <row r="45" spans="1:53">
      <c r="A45" s="2">
        <v>1182</v>
      </c>
      <c r="B45" s="2">
        <v>1182</v>
      </c>
      <c r="C45" s="2" t="s">
        <v>1349</v>
      </c>
      <c r="D45" s="2" t="s">
        <v>33</v>
      </c>
      <c r="E45" s="2" t="s">
        <v>1469</v>
      </c>
      <c r="F45" s="2" t="s">
        <v>1470</v>
      </c>
      <c r="G45" s="2" t="s">
        <v>1073</v>
      </c>
      <c r="I45" s="2" t="s">
        <v>30</v>
      </c>
      <c r="J45" s="2" t="s">
        <v>30</v>
      </c>
      <c r="K45" s="2" t="s">
        <v>487</v>
      </c>
      <c r="L45" s="2" t="s">
        <v>155</v>
      </c>
      <c r="M45" s="2" t="s">
        <v>375</v>
      </c>
      <c r="N45" s="2" t="s">
        <v>1349</v>
      </c>
      <c r="O45" s="2" t="s">
        <v>1471</v>
      </c>
      <c r="P45" s="2" t="s">
        <v>1340</v>
      </c>
      <c r="Q45" s="2" t="s">
        <v>206</v>
      </c>
      <c r="R45" s="2" t="s">
        <v>442</v>
      </c>
      <c r="S45" s="2" t="s">
        <v>34</v>
      </c>
      <c r="T45" s="151">
        <v>3.24</v>
      </c>
      <c r="U45" s="2" t="s">
        <v>1358</v>
      </c>
      <c r="V45" s="162">
        <v>5.5E-2</v>
      </c>
      <c r="W45" s="2" t="s">
        <v>790</v>
      </c>
      <c r="X45" s="2" t="s">
        <v>944</v>
      </c>
      <c r="Y45" s="182">
        <v>5.5</v>
      </c>
      <c r="Z45" s="164">
        <v>2.9000000000000001E-2</v>
      </c>
      <c r="AA45" s="2" t="s">
        <v>1355</v>
      </c>
      <c r="AB45" s="4" t="s">
        <v>447</v>
      </c>
      <c r="AC45" s="2" t="s">
        <v>519</v>
      </c>
      <c r="AD45" s="151">
        <v>936</v>
      </c>
      <c r="AE45" s="164">
        <v>0.78</v>
      </c>
      <c r="AF45" s="2" t="s">
        <v>1365</v>
      </c>
      <c r="AG45" s="2" t="s">
        <v>155</v>
      </c>
      <c r="AI45" s="2" t="s">
        <v>1366</v>
      </c>
      <c r="AJ45" s="2" t="s">
        <v>375</v>
      </c>
      <c r="AK45" s="2" t="s">
        <v>927</v>
      </c>
      <c r="AL45" s="2" t="s">
        <v>1340</v>
      </c>
      <c r="AN45" s="2" t="s">
        <v>157</v>
      </c>
      <c r="AO45" s="2" t="s">
        <v>1365</v>
      </c>
      <c r="AP45" s="162">
        <v>0</v>
      </c>
      <c r="AQ45" s="151">
        <v>4203.88</v>
      </c>
      <c r="AR45" s="175">
        <v>128.31</v>
      </c>
      <c r="AS45" s="158">
        <v>1</v>
      </c>
      <c r="AT45" s="151">
        <v>5.3940000000000001</v>
      </c>
      <c r="AU45" s="151">
        <v>5.3940000000000001</v>
      </c>
      <c r="AX45" s="4" t="s">
        <v>155</v>
      </c>
      <c r="AY45" s="2" t="s">
        <v>36</v>
      </c>
      <c r="AZ45" s="164">
        <v>5.9883646056156105E-4</v>
      </c>
      <c r="BA45" s="164">
        <v>1.30944012293951E-5</v>
      </c>
    </row>
    <row r="46" spans="1:53">
      <c r="A46" s="2">
        <v>1182</v>
      </c>
      <c r="B46" s="2">
        <v>1182</v>
      </c>
      <c r="C46" s="2" t="s">
        <v>1349</v>
      </c>
      <c r="D46" s="2" t="s">
        <v>33</v>
      </c>
      <c r="E46" s="2" t="s">
        <v>1472</v>
      </c>
      <c r="F46" s="2" t="s">
        <v>1473</v>
      </c>
      <c r="G46" s="2" t="s">
        <v>1073</v>
      </c>
      <c r="I46" s="2" t="s">
        <v>30</v>
      </c>
      <c r="J46" s="2" t="s">
        <v>30</v>
      </c>
      <c r="K46" s="2" t="s">
        <v>487</v>
      </c>
      <c r="L46" s="2" t="s">
        <v>155</v>
      </c>
      <c r="M46" s="2" t="s">
        <v>375</v>
      </c>
      <c r="N46" s="2" t="s">
        <v>1349</v>
      </c>
      <c r="O46" s="2" t="s">
        <v>1474</v>
      </c>
      <c r="P46" s="2" t="s">
        <v>1340</v>
      </c>
      <c r="Q46" s="2" t="s">
        <v>206</v>
      </c>
      <c r="R46" s="2" t="s">
        <v>442</v>
      </c>
      <c r="S46" s="2" t="s">
        <v>34</v>
      </c>
      <c r="T46" s="151">
        <v>3.24</v>
      </c>
      <c r="U46" s="2" t="s">
        <v>1358</v>
      </c>
      <c r="V46" s="162">
        <v>5.5E-2</v>
      </c>
      <c r="W46" s="2" t="s">
        <v>790</v>
      </c>
      <c r="X46" s="2" t="s">
        <v>944</v>
      </c>
      <c r="Y46" s="182">
        <v>5.5</v>
      </c>
      <c r="Z46" s="164">
        <v>2.9100000000000001E-2</v>
      </c>
      <c r="AA46" s="2" t="s">
        <v>1355</v>
      </c>
      <c r="AB46" s="4" t="s">
        <v>447</v>
      </c>
      <c r="AC46" s="2" t="s">
        <v>519</v>
      </c>
      <c r="AD46" s="151">
        <v>1524</v>
      </c>
      <c r="AE46" s="164">
        <v>0.78</v>
      </c>
      <c r="AF46" s="2" t="s">
        <v>1365</v>
      </c>
      <c r="AG46" s="2" t="s">
        <v>155</v>
      </c>
      <c r="AI46" s="2" t="s">
        <v>1366</v>
      </c>
      <c r="AJ46" s="2" t="s">
        <v>375</v>
      </c>
      <c r="AK46" s="2" t="s">
        <v>927</v>
      </c>
      <c r="AL46" s="2" t="s">
        <v>1340</v>
      </c>
      <c r="AN46" s="2" t="s">
        <v>157</v>
      </c>
      <c r="AO46" s="2" t="s">
        <v>1365</v>
      </c>
      <c r="AP46" s="162">
        <v>0</v>
      </c>
      <c r="AQ46" s="151">
        <v>3924.4</v>
      </c>
      <c r="AR46" s="175">
        <v>128.63999999999999</v>
      </c>
      <c r="AS46" s="158">
        <v>1</v>
      </c>
      <c r="AT46" s="151">
        <v>5.048</v>
      </c>
      <c r="AU46" s="151">
        <v>5.048</v>
      </c>
      <c r="AX46" s="4" t="s">
        <v>155</v>
      </c>
      <c r="AY46" s="2" t="s">
        <v>36</v>
      </c>
      <c r="AZ46" s="164">
        <v>5.6046270390512404E-4</v>
      </c>
      <c r="BA46" s="164">
        <v>1.2255305083066E-5</v>
      </c>
    </row>
    <row r="47" spans="1:53">
      <c r="A47" s="2">
        <v>1182</v>
      </c>
      <c r="B47" s="2">
        <v>1182</v>
      </c>
      <c r="C47" s="2" t="s">
        <v>1349</v>
      </c>
      <c r="D47" s="2" t="s">
        <v>33</v>
      </c>
      <c r="E47" s="2" t="s">
        <v>1475</v>
      </c>
      <c r="F47" s="2" t="s">
        <v>1476</v>
      </c>
      <c r="G47" s="2" t="s">
        <v>1073</v>
      </c>
      <c r="I47" s="2" t="s">
        <v>30</v>
      </c>
      <c r="J47" s="2" t="s">
        <v>30</v>
      </c>
      <c r="K47" s="2" t="s">
        <v>487</v>
      </c>
      <c r="L47" s="2" t="s">
        <v>155</v>
      </c>
      <c r="M47" s="2" t="s">
        <v>375</v>
      </c>
      <c r="N47" s="151">
        <v>513326439</v>
      </c>
      <c r="O47" s="2" t="s">
        <v>1425</v>
      </c>
      <c r="P47" s="2" t="s">
        <v>1353</v>
      </c>
      <c r="Q47" s="2" t="s">
        <v>206</v>
      </c>
      <c r="R47" s="2" t="s">
        <v>442</v>
      </c>
      <c r="S47" s="2" t="s">
        <v>34</v>
      </c>
      <c r="T47" s="151">
        <v>3.24</v>
      </c>
      <c r="U47" s="2" t="s">
        <v>194</v>
      </c>
      <c r="V47" s="162">
        <v>5.5E-2</v>
      </c>
      <c r="W47" s="2" t="s">
        <v>790</v>
      </c>
      <c r="X47" s="2" t="s">
        <v>1354</v>
      </c>
      <c r="Y47" s="182">
        <v>5.5</v>
      </c>
      <c r="Z47" s="164">
        <v>2.9000000000000001E-2</v>
      </c>
      <c r="AA47" s="2" t="s">
        <v>1364</v>
      </c>
      <c r="AB47" s="4" t="s">
        <v>447</v>
      </c>
      <c r="AE47" s="164">
        <v>0</v>
      </c>
      <c r="AG47" s="2" t="s">
        <v>155</v>
      </c>
      <c r="AJ47" s="2" t="s">
        <v>155</v>
      </c>
      <c r="AK47" s="2" t="s">
        <v>194</v>
      </c>
      <c r="AN47" s="2" t="s">
        <v>157</v>
      </c>
      <c r="AP47" s="162">
        <v>0</v>
      </c>
      <c r="AQ47" s="151">
        <v>5023.91</v>
      </c>
      <c r="AR47" s="175">
        <v>127.23</v>
      </c>
      <c r="AS47" s="158">
        <v>1</v>
      </c>
      <c r="AT47" s="151">
        <v>6.3920000000000003</v>
      </c>
      <c r="AU47" s="151">
        <v>6.3920000000000003</v>
      </c>
      <c r="AX47" s="4" t="s">
        <v>155</v>
      </c>
      <c r="AY47" s="2" t="s">
        <v>36</v>
      </c>
      <c r="AZ47" s="164">
        <v>7.0962482008092998E-4</v>
      </c>
      <c r="BA47" s="164">
        <v>1.55169444889232E-5</v>
      </c>
    </row>
    <row r="48" spans="1:53">
      <c r="A48" s="2">
        <v>1182</v>
      </c>
      <c r="B48" s="2">
        <v>1182</v>
      </c>
      <c r="C48" s="2" t="s">
        <v>1477</v>
      </c>
      <c r="D48" s="2" t="s">
        <v>33</v>
      </c>
      <c r="E48" s="2" t="s">
        <v>1478</v>
      </c>
      <c r="F48" s="2" t="s">
        <v>1479</v>
      </c>
      <c r="G48" s="2" t="s">
        <v>1073</v>
      </c>
      <c r="I48" s="2" t="s">
        <v>30</v>
      </c>
      <c r="J48" s="2" t="s">
        <v>30</v>
      </c>
      <c r="K48" s="2" t="s">
        <v>519</v>
      </c>
      <c r="L48" s="2" t="s">
        <v>155</v>
      </c>
      <c r="M48" s="2" t="s">
        <v>375</v>
      </c>
      <c r="N48" s="151">
        <v>513184192</v>
      </c>
      <c r="O48" s="2" t="s">
        <v>1480</v>
      </c>
      <c r="P48" s="2" t="s">
        <v>1353</v>
      </c>
      <c r="Q48" s="2" t="s">
        <v>206</v>
      </c>
      <c r="R48" s="2" t="s">
        <v>442</v>
      </c>
      <c r="S48" s="2" t="s">
        <v>34</v>
      </c>
      <c r="T48" s="151">
        <v>1.93</v>
      </c>
      <c r="U48" s="2" t="s">
        <v>1358</v>
      </c>
      <c r="V48" s="162">
        <v>2.562E-2</v>
      </c>
      <c r="W48" s="2" t="s">
        <v>790</v>
      </c>
      <c r="X48" s="2" t="s">
        <v>944</v>
      </c>
      <c r="Y48" s="182">
        <v>2.5619999999999998</v>
      </c>
      <c r="Z48" s="164">
        <v>2.7099999999999999E-2</v>
      </c>
      <c r="AA48" s="2" t="s">
        <v>1481</v>
      </c>
      <c r="AB48" s="4" t="s">
        <v>447</v>
      </c>
      <c r="AE48" s="164">
        <v>0</v>
      </c>
      <c r="AG48" s="2" t="s">
        <v>155</v>
      </c>
      <c r="AI48" s="2" t="s">
        <v>1482</v>
      </c>
      <c r="AJ48" s="2" t="s">
        <v>375</v>
      </c>
      <c r="AK48" s="2" t="s">
        <v>927</v>
      </c>
      <c r="AL48" s="2" t="s">
        <v>1340</v>
      </c>
      <c r="AN48" s="2" t="s">
        <v>157</v>
      </c>
      <c r="AP48" s="162">
        <v>0</v>
      </c>
      <c r="AQ48" s="151">
        <v>159154.12</v>
      </c>
      <c r="AR48" s="175">
        <v>115.53</v>
      </c>
      <c r="AS48" s="158">
        <v>1</v>
      </c>
      <c r="AT48" s="151">
        <v>183.87100000000001</v>
      </c>
      <c r="AU48" s="151">
        <v>183.87100000000001</v>
      </c>
      <c r="AX48" s="4" t="s">
        <v>155</v>
      </c>
      <c r="AY48" s="2" t="s">
        <v>36</v>
      </c>
      <c r="AZ48" s="164">
        <v>2.0413152413097602E-2</v>
      </c>
      <c r="BA48" s="164">
        <v>4.4636228028472903E-4</v>
      </c>
    </row>
    <row r="49" spans="1:53">
      <c r="A49" s="2">
        <v>1182</v>
      </c>
      <c r="B49" s="2">
        <v>1182</v>
      </c>
      <c r="C49" s="2" t="s">
        <v>1483</v>
      </c>
      <c r="D49" s="2" t="s">
        <v>1342</v>
      </c>
      <c r="E49" s="2" t="s">
        <v>1484</v>
      </c>
      <c r="F49" s="2" t="s">
        <v>1485</v>
      </c>
      <c r="G49" s="2" t="s">
        <v>1073</v>
      </c>
      <c r="H49" s="2" t="s">
        <v>856</v>
      </c>
      <c r="I49" s="2" t="s">
        <v>30</v>
      </c>
      <c r="J49" s="2" t="s">
        <v>30</v>
      </c>
      <c r="K49" s="2" t="s">
        <v>480</v>
      </c>
      <c r="L49" s="2" t="s">
        <v>155</v>
      </c>
      <c r="M49" s="2" t="s">
        <v>375</v>
      </c>
      <c r="N49" s="2" t="s">
        <v>1486</v>
      </c>
      <c r="O49" s="2" t="s">
        <v>1487</v>
      </c>
      <c r="P49" s="2" t="s">
        <v>1340</v>
      </c>
      <c r="Q49" s="2" t="s">
        <v>444</v>
      </c>
      <c r="R49" s="2" t="s">
        <v>442</v>
      </c>
      <c r="S49" s="2" t="s">
        <v>34</v>
      </c>
      <c r="T49" s="151">
        <v>0.03</v>
      </c>
      <c r="U49" s="2" t="s">
        <v>1358</v>
      </c>
      <c r="V49" s="162">
        <v>0.1065</v>
      </c>
      <c r="W49" s="2" t="s">
        <v>790</v>
      </c>
      <c r="X49" s="2" t="s">
        <v>939</v>
      </c>
      <c r="Y49" s="182">
        <v>4.6500000000000004</v>
      </c>
      <c r="Z49" s="164">
        <v>8.8999999999999996E-2</v>
      </c>
      <c r="AA49" s="2" t="s">
        <v>1488</v>
      </c>
      <c r="AB49" s="4" t="s">
        <v>447</v>
      </c>
      <c r="AC49" s="2" t="s">
        <v>809</v>
      </c>
      <c r="AD49" s="151">
        <v>817674</v>
      </c>
      <c r="AE49" s="164">
        <v>0.55000000000000004</v>
      </c>
      <c r="AF49" s="2" t="s">
        <v>1489</v>
      </c>
      <c r="AG49" s="2" t="s">
        <v>375</v>
      </c>
      <c r="AH49" s="2" t="s">
        <v>816</v>
      </c>
      <c r="AI49" s="2" t="s">
        <v>1490</v>
      </c>
      <c r="AJ49" s="2" t="s">
        <v>155</v>
      </c>
      <c r="AK49" s="2" t="s">
        <v>927</v>
      </c>
      <c r="AL49" s="2" t="s">
        <v>1340</v>
      </c>
      <c r="AN49" s="2" t="s">
        <v>157</v>
      </c>
      <c r="AO49" s="2" t="s">
        <v>1491</v>
      </c>
      <c r="AP49" s="162">
        <v>0</v>
      </c>
      <c r="AQ49" s="151">
        <v>337568.83</v>
      </c>
      <c r="AR49" s="175">
        <v>106.65</v>
      </c>
      <c r="AS49" s="158">
        <v>1</v>
      </c>
      <c r="AT49" s="151">
        <v>360.017</v>
      </c>
      <c r="AU49" s="151">
        <v>360.017</v>
      </c>
      <c r="AX49" s="4" t="s">
        <v>155</v>
      </c>
      <c r="AY49" s="2" t="s">
        <v>36</v>
      </c>
      <c r="AZ49" s="164">
        <v>3.9968754725059598E-2</v>
      </c>
      <c r="BA49" s="164">
        <v>8.7397302181370503E-4</v>
      </c>
    </row>
    <row r="50" spans="1:53">
      <c r="A50" s="2">
        <v>1182</v>
      </c>
      <c r="B50" s="2">
        <v>1182</v>
      </c>
      <c r="C50" s="2" t="s">
        <v>1492</v>
      </c>
      <c r="D50" s="2" t="s">
        <v>1342</v>
      </c>
      <c r="E50" s="2" t="s">
        <v>1493</v>
      </c>
      <c r="F50" s="2" t="s">
        <v>1494</v>
      </c>
      <c r="G50" s="2" t="s">
        <v>1073</v>
      </c>
      <c r="H50" s="2" t="s">
        <v>856</v>
      </c>
      <c r="I50" s="2" t="s">
        <v>30</v>
      </c>
      <c r="J50" s="2" t="s">
        <v>30</v>
      </c>
      <c r="K50" s="2" t="s">
        <v>497</v>
      </c>
      <c r="L50" s="2" t="s">
        <v>155</v>
      </c>
      <c r="M50" s="2" t="s">
        <v>375</v>
      </c>
      <c r="N50" s="2" t="s">
        <v>1333</v>
      </c>
      <c r="O50" s="2" t="s">
        <v>1336</v>
      </c>
      <c r="P50" s="2" t="s">
        <v>1340</v>
      </c>
      <c r="Q50" s="2" t="s">
        <v>206</v>
      </c>
      <c r="R50" s="2" t="s">
        <v>442</v>
      </c>
      <c r="S50" s="2" t="s">
        <v>34</v>
      </c>
      <c r="T50" s="151">
        <v>0.53</v>
      </c>
      <c r="U50" s="2" t="s">
        <v>1358</v>
      </c>
      <c r="V50" s="162">
        <v>4.2500000000000003E-2</v>
      </c>
      <c r="W50" s="2" t="s">
        <v>790</v>
      </c>
      <c r="X50" s="2" t="s">
        <v>939</v>
      </c>
      <c r="Y50" s="182">
        <v>4.25</v>
      </c>
      <c r="Z50" s="164">
        <v>7.6039999999999996E-2</v>
      </c>
      <c r="AA50" s="2" t="s">
        <v>1495</v>
      </c>
      <c r="AB50" s="4" t="s">
        <v>447</v>
      </c>
      <c r="AC50" s="2" t="s">
        <v>809</v>
      </c>
      <c r="AD50" s="151">
        <v>67322</v>
      </c>
      <c r="AE50" s="164">
        <v>0.72</v>
      </c>
      <c r="AF50" s="2" t="s">
        <v>1496</v>
      </c>
      <c r="AG50" s="2" t="s">
        <v>375</v>
      </c>
      <c r="AH50" s="2" t="s">
        <v>818</v>
      </c>
      <c r="AI50" s="2" t="s">
        <v>1339</v>
      </c>
      <c r="AJ50" s="2" t="s">
        <v>375</v>
      </c>
      <c r="AK50" s="2" t="s">
        <v>927</v>
      </c>
      <c r="AL50" s="2" t="s">
        <v>1340</v>
      </c>
      <c r="AN50" s="2" t="s">
        <v>157</v>
      </c>
      <c r="AO50" s="2" t="s">
        <v>1496</v>
      </c>
      <c r="AP50" s="162">
        <v>0</v>
      </c>
      <c r="AQ50" s="151">
        <v>485000</v>
      </c>
      <c r="AR50" s="175">
        <v>106.54</v>
      </c>
      <c r="AS50" s="158">
        <v>1</v>
      </c>
      <c r="AT50" s="151">
        <v>516.71900000000005</v>
      </c>
      <c r="AU50" s="151">
        <v>516.71900000000005</v>
      </c>
      <c r="AX50" s="4" t="s">
        <v>375</v>
      </c>
      <c r="AY50" s="2" t="s">
        <v>36</v>
      </c>
      <c r="AZ50" s="164">
        <v>5.7365640942472498E-2</v>
      </c>
      <c r="BA50" s="164">
        <v>1.25438040058172E-3</v>
      </c>
    </row>
    <row r="51" spans="1:53">
      <c r="A51" s="2">
        <v>1182</v>
      </c>
      <c r="B51" s="2">
        <v>1182</v>
      </c>
      <c r="C51" s="2" t="s">
        <v>1497</v>
      </c>
      <c r="D51" s="2" t="s">
        <v>1342</v>
      </c>
      <c r="E51" s="2" t="s">
        <v>1498</v>
      </c>
      <c r="F51" s="2" t="s">
        <v>1499</v>
      </c>
      <c r="G51" s="2" t="s">
        <v>1073</v>
      </c>
      <c r="I51" s="2" t="s">
        <v>30</v>
      </c>
      <c r="J51" s="2" t="s">
        <v>30</v>
      </c>
      <c r="K51" s="2" t="s">
        <v>474</v>
      </c>
      <c r="L51" s="2" t="s">
        <v>155</v>
      </c>
      <c r="M51" s="2" t="s">
        <v>375</v>
      </c>
      <c r="N51" s="151">
        <v>512065202</v>
      </c>
      <c r="O51" s="2" t="s">
        <v>1500</v>
      </c>
      <c r="P51" s="2" t="s">
        <v>1501</v>
      </c>
      <c r="Q51" s="2" t="s">
        <v>444</v>
      </c>
      <c r="R51" s="2" t="s">
        <v>442</v>
      </c>
      <c r="S51" s="2" t="s">
        <v>34</v>
      </c>
      <c r="T51" s="151">
        <v>3.08</v>
      </c>
      <c r="U51" s="2" t="s">
        <v>194</v>
      </c>
      <c r="V51" s="162">
        <v>7.2499999999999995E-2</v>
      </c>
      <c r="W51" s="2" t="s">
        <v>790</v>
      </c>
      <c r="X51" s="2" t="s">
        <v>944</v>
      </c>
      <c r="Y51" s="182">
        <v>7.25</v>
      </c>
      <c r="Z51" s="164">
        <v>0.11509999999999999</v>
      </c>
      <c r="AA51" s="2" t="s">
        <v>1502</v>
      </c>
      <c r="AB51" s="4" t="s">
        <v>447</v>
      </c>
      <c r="AE51" s="164">
        <v>0</v>
      </c>
      <c r="AG51" s="2" t="s">
        <v>375</v>
      </c>
      <c r="AI51" s="2" t="s">
        <v>1503</v>
      </c>
      <c r="AJ51" s="2" t="s">
        <v>375</v>
      </c>
      <c r="AK51" s="2" t="s">
        <v>927</v>
      </c>
      <c r="AL51" s="2" t="s">
        <v>1340</v>
      </c>
      <c r="AN51" s="2" t="s">
        <v>157</v>
      </c>
      <c r="AP51" s="162">
        <v>0</v>
      </c>
      <c r="AQ51" s="151">
        <v>176549</v>
      </c>
      <c r="AR51" s="175">
        <v>108.18</v>
      </c>
      <c r="AS51" s="158">
        <v>1</v>
      </c>
      <c r="AT51" s="151">
        <v>190.99100000000001</v>
      </c>
      <c r="AU51" s="151">
        <v>190.99100000000001</v>
      </c>
      <c r="AX51" s="4" t="s">
        <v>375</v>
      </c>
      <c r="AY51" s="2" t="s">
        <v>36</v>
      </c>
      <c r="AZ51" s="164">
        <v>2.1203602712402202E-2</v>
      </c>
      <c r="BA51" s="164">
        <v>4.6364658752494602E-4</v>
      </c>
    </row>
    <row r="52" spans="1:53">
      <c r="A52" s="2">
        <v>1182</v>
      </c>
      <c r="B52" s="2">
        <v>1182</v>
      </c>
      <c r="C52" s="2" t="s">
        <v>1504</v>
      </c>
      <c r="D52" s="2" t="s">
        <v>1342</v>
      </c>
      <c r="E52" s="2" t="s">
        <v>1505</v>
      </c>
      <c r="F52" s="2" t="s">
        <v>1506</v>
      </c>
      <c r="G52" s="2" t="s">
        <v>1073</v>
      </c>
      <c r="I52" s="2" t="s">
        <v>30</v>
      </c>
      <c r="J52" s="2" t="s">
        <v>30</v>
      </c>
      <c r="K52" s="2" t="s">
        <v>476</v>
      </c>
      <c r="L52" s="2" t="s">
        <v>155</v>
      </c>
      <c r="M52" s="2" t="s">
        <v>375</v>
      </c>
      <c r="O52" s="2" t="s">
        <v>1507</v>
      </c>
      <c r="P52" s="2" t="s">
        <v>1501</v>
      </c>
      <c r="Q52" s="2" t="s">
        <v>444</v>
      </c>
      <c r="R52" s="2" t="s">
        <v>442</v>
      </c>
      <c r="S52" s="2" t="s">
        <v>34</v>
      </c>
      <c r="T52" s="151">
        <v>0.84</v>
      </c>
      <c r="U52" s="2" t="s">
        <v>1358</v>
      </c>
      <c r="V52" s="162">
        <v>1.7999999999999999E-2</v>
      </c>
      <c r="W52" s="2" t="s">
        <v>790</v>
      </c>
      <c r="X52" s="2" t="s">
        <v>1354</v>
      </c>
      <c r="Y52" s="182">
        <v>1.8</v>
      </c>
      <c r="Z52" s="164">
        <v>5.1950000000000003E-2</v>
      </c>
      <c r="AA52" s="2" t="s">
        <v>1508</v>
      </c>
      <c r="AB52" s="4" t="s">
        <v>447</v>
      </c>
      <c r="AE52" s="164">
        <v>0</v>
      </c>
      <c r="AG52" s="2" t="s">
        <v>155</v>
      </c>
      <c r="AJ52" s="2" t="s">
        <v>155</v>
      </c>
      <c r="AK52" s="2" t="s">
        <v>194</v>
      </c>
      <c r="AN52" s="2" t="s">
        <v>157</v>
      </c>
      <c r="AP52" s="162">
        <v>0</v>
      </c>
      <c r="AQ52" s="151">
        <v>250000</v>
      </c>
      <c r="AR52" s="175">
        <v>99.13</v>
      </c>
      <c r="AS52" s="158">
        <v>1</v>
      </c>
      <c r="AT52" s="151">
        <v>247.82499999999999</v>
      </c>
      <c r="AU52" s="151">
        <v>247.82499999999999</v>
      </c>
      <c r="AX52" s="4" t="s">
        <v>155</v>
      </c>
      <c r="AY52" s="2" t="s">
        <v>36</v>
      </c>
      <c r="AZ52" s="164">
        <v>2.7513290524575702E-2</v>
      </c>
      <c r="BA52" s="164">
        <v>6.0161678354030796E-4</v>
      </c>
    </row>
    <row r="53" spans="1:53">
      <c r="A53" s="2">
        <v>1182</v>
      </c>
      <c r="B53" s="2">
        <v>1182</v>
      </c>
      <c r="C53" s="2" t="s">
        <v>1504</v>
      </c>
      <c r="D53" s="2" t="s">
        <v>1342</v>
      </c>
      <c r="E53" s="2" t="s">
        <v>1509</v>
      </c>
      <c r="F53" s="2" t="s">
        <v>1510</v>
      </c>
      <c r="G53" s="2" t="s">
        <v>1073</v>
      </c>
      <c r="I53" s="2" t="s">
        <v>30</v>
      </c>
      <c r="J53" s="2" t="s">
        <v>30</v>
      </c>
      <c r="K53" s="2" t="s">
        <v>476</v>
      </c>
      <c r="L53" s="2" t="s">
        <v>155</v>
      </c>
      <c r="M53" s="2" t="s">
        <v>375</v>
      </c>
      <c r="O53" s="2" t="s">
        <v>1507</v>
      </c>
      <c r="P53" s="2" t="s">
        <v>1501</v>
      </c>
      <c r="Q53" s="2" t="s">
        <v>444</v>
      </c>
      <c r="R53" s="2" t="s">
        <v>442</v>
      </c>
      <c r="S53" s="2" t="s">
        <v>34</v>
      </c>
      <c r="T53" s="151">
        <v>1.35</v>
      </c>
      <c r="U53" s="2" t="s">
        <v>1358</v>
      </c>
      <c r="V53" s="162">
        <v>2.8000000000000001E-2</v>
      </c>
      <c r="W53" s="2" t="s">
        <v>790</v>
      </c>
      <c r="X53" s="2" t="s">
        <v>1354</v>
      </c>
      <c r="Y53" s="182">
        <v>2.8</v>
      </c>
      <c r="Z53" s="164">
        <v>5.4260000000000003E-2</v>
      </c>
      <c r="AA53" s="2" t="s">
        <v>1511</v>
      </c>
      <c r="AB53" s="4" t="s">
        <v>447</v>
      </c>
      <c r="AE53" s="164">
        <v>0</v>
      </c>
      <c r="AG53" s="2" t="s">
        <v>155</v>
      </c>
      <c r="AJ53" s="2" t="s">
        <v>155</v>
      </c>
      <c r="AK53" s="2" t="s">
        <v>194</v>
      </c>
      <c r="AN53" s="2" t="s">
        <v>157</v>
      </c>
      <c r="AP53" s="162">
        <v>0</v>
      </c>
      <c r="AQ53" s="151">
        <v>250000</v>
      </c>
      <c r="AR53" s="175">
        <v>97.47</v>
      </c>
      <c r="AS53" s="158">
        <v>1</v>
      </c>
      <c r="AT53" s="151">
        <v>243.67500000000001</v>
      </c>
      <c r="AU53" s="151">
        <v>243.67500000000001</v>
      </c>
      <c r="AX53" s="4" t="s">
        <v>155</v>
      </c>
      <c r="AY53" s="2" t="s">
        <v>36</v>
      </c>
      <c r="AZ53" s="164">
        <v>2.7052561559874899E-2</v>
      </c>
      <c r="BA53" s="164">
        <v>5.9154229689976597E-4</v>
      </c>
    </row>
    <row r="54" spans="1:53">
      <c r="A54" s="2">
        <v>1182</v>
      </c>
      <c r="B54" s="2">
        <v>1182</v>
      </c>
      <c r="C54" s="2" t="s">
        <v>1512</v>
      </c>
      <c r="D54" s="2" t="s">
        <v>1342</v>
      </c>
      <c r="E54" s="2" t="s">
        <v>1513</v>
      </c>
      <c r="F54" s="2" t="s">
        <v>1514</v>
      </c>
      <c r="G54" s="2" t="s">
        <v>1073</v>
      </c>
      <c r="I54" s="2" t="s">
        <v>30</v>
      </c>
      <c r="J54" s="2" t="s">
        <v>30</v>
      </c>
      <c r="K54" s="2" t="s">
        <v>473</v>
      </c>
      <c r="L54" s="2" t="s">
        <v>155</v>
      </c>
      <c r="M54" s="2" t="s">
        <v>375</v>
      </c>
      <c r="N54" s="151">
        <v>513846667</v>
      </c>
      <c r="O54" s="2" t="s">
        <v>1345</v>
      </c>
      <c r="P54" s="2" t="s">
        <v>1346</v>
      </c>
      <c r="Q54" s="2" t="s">
        <v>101</v>
      </c>
      <c r="R54" s="2" t="s">
        <v>442</v>
      </c>
      <c r="S54" s="2" t="s">
        <v>34</v>
      </c>
      <c r="T54" s="151">
        <v>5</v>
      </c>
      <c r="U54" s="2" t="s">
        <v>194</v>
      </c>
      <c r="V54" s="162">
        <v>3.5499999999999997E-2</v>
      </c>
      <c r="W54" s="2" t="s">
        <v>790</v>
      </c>
      <c r="X54" s="2" t="s">
        <v>944</v>
      </c>
      <c r="Y54" s="182">
        <v>3.55</v>
      </c>
      <c r="Z54" s="164">
        <v>2.9479999999999999E-2</v>
      </c>
      <c r="AA54" s="2" t="s">
        <v>1347</v>
      </c>
      <c r="AB54" s="4" t="s">
        <v>447</v>
      </c>
      <c r="AE54" s="164">
        <v>0</v>
      </c>
      <c r="AG54" s="2" t="s">
        <v>155</v>
      </c>
      <c r="AI54" s="2" t="s">
        <v>1348</v>
      </c>
      <c r="AJ54" s="2" t="s">
        <v>375</v>
      </c>
      <c r="AK54" s="2" t="s">
        <v>927</v>
      </c>
      <c r="AL54" s="2" t="s">
        <v>1340</v>
      </c>
      <c r="AN54" s="2" t="s">
        <v>157</v>
      </c>
      <c r="AP54" s="162">
        <v>0</v>
      </c>
      <c r="AQ54" s="151">
        <v>709380.6</v>
      </c>
      <c r="AR54" s="175">
        <v>110.31</v>
      </c>
      <c r="AS54" s="158">
        <v>1</v>
      </c>
      <c r="AT54" s="151">
        <v>782.51800000000003</v>
      </c>
      <c r="AU54" s="151">
        <v>782.51800000000003</v>
      </c>
      <c r="AX54" s="4" t="s">
        <v>155</v>
      </c>
      <c r="AY54" s="2" t="s">
        <v>36</v>
      </c>
      <c r="AZ54" s="164">
        <v>8.6874358589337397E-2</v>
      </c>
      <c r="BA54" s="164">
        <v>1.8996300039052E-3</v>
      </c>
    </row>
    <row r="55" spans="1:53">
      <c r="A55" s="2">
        <v>1182</v>
      </c>
      <c r="B55" s="2">
        <v>1182</v>
      </c>
      <c r="C55" s="2" t="s">
        <v>1515</v>
      </c>
      <c r="D55" s="2" t="s">
        <v>1342</v>
      </c>
      <c r="E55" s="2" t="s">
        <v>1516</v>
      </c>
      <c r="F55" s="2" t="s">
        <v>1517</v>
      </c>
      <c r="G55" s="2" t="s">
        <v>1072</v>
      </c>
      <c r="I55" s="2" t="s">
        <v>30</v>
      </c>
      <c r="J55" s="2" t="s">
        <v>30</v>
      </c>
      <c r="K55" s="2" t="s">
        <v>512</v>
      </c>
      <c r="L55" s="2" t="s">
        <v>155</v>
      </c>
      <c r="M55" s="2" t="s">
        <v>155</v>
      </c>
      <c r="O55" s="2" t="s">
        <v>1518</v>
      </c>
      <c r="P55" s="2" t="s">
        <v>1519</v>
      </c>
      <c r="Q55" s="2" t="s">
        <v>33</v>
      </c>
      <c r="R55" s="2" t="s">
        <v>442</v>
      </c>
      <c r="S55" s="2" t="s">
        <v>34</v>
      </c>
      <c r="T55" s="151">
        <v>2.0699999999999998</v>
      </c>
      <c r="U55" s="2" t="s">
        <v>194</v>
      </c>
      <c r="V55" s="162">
        <v>5.4199999999999998E-2</v>
      </c>
      <c r="W55" s="2" t="s">
        <v>790</v>
      </c>
      <c r="X55" s="2" t="s">
        <v>1354</v>
      </c>
      <c r="Z55" s="164">
        <v>5.2499999999999998E-2</v>
      </c>
      <c r="AB55" s="4" t="s">
        <v>447</v>
      </c>
      <c r="AE55" s="164">
        <v>0</v>
      </c>
      <c r="AG55" s="2" t="s">
        <v>155</v>
      </c>
      <c r="AJ55" s="2" t="s">
        <v>155</v>
      </c>
      <c r="AK55" s="2" t="s">
        <v>194</v>
      </c>
      <c r="AN55" s="2" t="s">
        <v>157</v>
      </c>
      <c r="AP55" s="162">
        <v>0</v>
      </c>
      <c r="AQ55" s="151">
        <v>5719872.7999999998</v>
      </c>
      <c r="AR55" s="175">
        <v>101.032</v>
      </c>
      <c r="AS55" s="158">
        <v>1</v>
      </c>
      <c r="AT55" s="151">
        <v>5778.8819999999996</v>
      </c>
      <c r="AU55" s="151">
        <v>5778.8819999999996</v>
      </c>
      <c r="AX55" s="4" t="s">
        <v>155</v>
      </c>
      <c r="AY55" s="2" t="s">
        <v>36</v>
      </c>
      <c r="AZ55" s="164">
        <v>0.64156589024692001</v>
      </c>
      <c r="BA55" s="164">
        <v>1.4028740290978999E-2</v>
      </c>
    </row>
    <row r="56" spans="1:53">
      <c r="A56" s="2">
        <v>12904</v>
      </c>
      <c r="B56" s="2">
        <v>12905</v>
      </c>
      <c r="C56" s="2" t="s">
        <v>1492</v>
      </c>
      <c r="D56" s="2" t="s">
        <v>1342</v>
      </c>
      <c r="E56" s="2" t="s">
        <v>1493</v>
      </c>
      <c r="F56" s="2" t="s">
        <v>1494</v>
      </c>
      <c r="G56" s="2" t="s">
        <v>1073</v>
      </c>
      <c r="H56" s="2" t="s">
        <v>856</v>
      </c>
      <c r="I56" s="2" t="s">
        <v>30</v>
      </c>
      <c r="J56" s="2" t="s">
        <v>30</v>
      </c>
      <c r="K56" s="2" t="s">
        <v>497</v>
      </c>
      <c r="L56" s="2" t="s">
        <v>155</v>
      </c>
      <c r="M56" s="2" t="s">
        <v>375</v>
      </c>
      <c r="N56" s="2" t="s">
        <v>1333</v>
      </c>
      <c r="O56" s="2" t="s">
        <v>1336</v>
      </c>
      <c r="P56" s="2" t="s">
        <v>1340</v>
      </c>
      <c r="Q56" s="2" t="s">
        <v>206</v>
      </c>
      <c r="R56" s="2" t="s">
        <v>442</v>
      </c>
      <c r="S56" s="2" t="s">
        <v>34</v>
      </c>
      <c r="T56" s="151">
        <v>0.53</v>
      </c>
      <c r="U56" s="2" t="s">
        <v>1358</v>
      </c>
      <c r="V56" s="162">
        <v>5.5E-2</v>
      </c>
      <c r="W56" s="2" t="s">
        <v>790</v>
      </c>
      <c r="X56" s="2" t="s">
        <v>939</v>
      </c>
      <c r="Y56" s="151">
        <v>4.25</v>
      </c>
      <c r="Z56" s="164">
        <v>7.6039999999999996E-2</v>
      </c>
      <c r="AA56" s="2" t="s">
        <v>1495</v>
      </c>
      <c r="AB56" s="4" t="s">
        <v>447</v>
      </c>
      <c r="AC56" s="2" t="s">
        <v>809</v>
      </c>
      <c r="AD56" s="151">
        <v>67322</v>
      </c>
      <c r="AE56" s="164">
        <v>0.72</v>
      </c>
      <c r="AF56" s="2" t="s">
        <v>1496</v>
      </c>
      <c r="AG56" s="2" t="s">
        <v>375</v>
      </c>
      <c r="AH56" s="2" t="s">
        <v>818</v>
      </c>
      <c r="AI56" s="2" t="s">
        <v>1339</v>
      </c>
      <c r="AJ56" s="2" t="s">
        <v>375</v>
      </c>
      <c r="AK56" s="2" t="s">
        <v>927</v>
      </c>
      <c r="AL56" s="2" t="s">
        <v>1340</v>
      </c>
      <c r="AN56" s="2" t="s">
        <v>157</v>
      </c>
      <c r="AO56" s="2" t="s">
        <v>1496</v>
      </c>
      <c r="AP56" s="162">
        <v>0</v>
      </c>
      <c r="AQ56" s="151">
        <v>25000</v>
      </c>
      <c r="AR56" s="175">
        <v>106.54</v>
      </c>
      <c r="AS56" s="158">
        <v>1</v>
      </c>
      <c r="AT56" s="151">
        <v>26.635000000000002</v>
      </c>
      <c r="AU56" s="151">
        <v>26.635000000000002</v>
      </c>
      <c r="AX56" s="4" t="s">
        <v>375</v>
      </c>
      <c r="AY56" s="2" t="s">
        <v>36</v>
      </c>
      <c r="AZ56" s="164">
        <v>1</v>
      </c>
      <c r="BA56" s="164">
        <v>7.86976319301789E-4</v>
      </c>
    </row>
    <row r="57" spans="1:53">
      <c r="A57" s="2">
        <v>424</v>
      </c>
      <c r="B57" s="2">
        <v>7228</v>
      </c>
      <c r="C57" s="2" t="s">
        <v>1333</v>
      </c>
      <c r="D57" s="2" t="s">
        <v>33</v>
      </c>
      <c r="E57" s="2" t="s">
        <v>1334</v>
      </c>
      <c r="F57" s="2" t="s">
        <v>1335</v>
      </c>
      <c r="G57" s="2" t="s">
        <v>1073</v>
      </c>
      <c r="I57" s="2" t="s">
        <v>30</v>
      </c>
      <c r="J57" s="2" t="s">
        <v>30</v>
      </c>
      <c r="K57" s="2" t="s">
        <v>482</v>
      </c>
      <c r="L57" s="2" t="s">
        <v>155</v>
      </c>
      <c r="M57" s="2" t="s">
        <v>375</v>
      </c>
      <c r="N57" s="151">
        <v>514984558</v>
      </c>
      <c r="O57" s="2" t="s">
        <v>1336</v>
      </c>
      <c r="P57" s="2" t="s">
        <v>1337</v>
      </c>
      <c r="Q57" s="2" t="s">
        <v>101</v>
      </c>
      <c r="R57" s="2" t="s">
        <v>442</v>
      </c>
      <c r="S57" s="2" t="s">
        <v>34</v>
      </c>
      <c r="T57" s="151">
        <v>1.47</v>
      </c>
      <c r="U57" s="2" t="s">
        <v>194</v>
      </c>
      <c r="V57" s="162">
        <v>5.5E-2</v>
      </c>
      <c r="W57" s="2" t="s">
        <v>790</v>
      </c>
      <c r="X57" s="2" t="s">
        <v>944</v>
      </c>
      <c r="Y57" s="151">
        <v>5.5</v>
      </c>
      <c r="Z57" s="164">
        <v>0.24424999999999999</v>
      </c>
      <c r="AA57" s="2" t="s">
        <v>1338</v>
      </c>
      <c r="AB57" s="4" t="s">
        <v>447</v>
      </c>
      <c r="AE57" s="164">
        <v>0</v>
      </c>
      <c r="AG57" s="2" t="s">
        <v>375</v>
      </c>
      <c r="AH57" s="2" t="s">
        <v>818</v>
      </c>
      <c r="AI57" s="2" t="s">
        <v>1339</v>
      </c>
      <c r="AJ57" s="2" t="s">
        <v>375</v>
      </c>
      <c r="AK57" s="2" t="s">
        <v>927</v>
      </c>
      <c r="AL57" s="2" t="s">
        <v>1340</v>
      </c>
      <c r="AN57" s="2" t="s">
        <v>157</v>
      </c>
      <c r="AP57" s="162">
        <v>0</v>
      </c>
      <c r="AQ57" s="151">
        <v>312406</v>
      </c>
      <c r="AR57" s="175">
        <v>82.26</v>
      </c>
      <c r="AS57" s="158">
        <v>1</v>
      </c>
      <c r="AT57" s="151">
        <v>256.98500000000001</v>
      </c>
      <c r="AU57" s="151">
        <v>256.98500000000001</v>
      </c>
      <c r="AX57" s="4" t="s">
        <v>375</v>
      </c>
      <c r="AY57" s="2" t="s">
        <v>36</v>
      </c>
      <c r="AZ57" s="164">
        <v>5.1560896531673396E-3</v>
      </c>
      <c r="BA57" s="164">
        <v>1.06455860419282E-4</v>
      </c>
    </row>
    <row r="58" spans="1:53">
      <c r="A58" s="2">
        <v>424</v>
      </c>
      <c r="B58" s="2">
        <v>7228</v>
      </c>
      <c r="C58" s="2" t="s">
        <v>1341</v>
      </c>
      <c r="D58" s="2" t="s">
        <v>1342</v>
      </c>
      <c r="E58" s="2" t="s">
        <v>1343</v>
      </c>
      <c r="F58" s="2" t="s">
        <v>1344</v>
      </c>
      <c r="G58" s="2" t="s">
        <v>1073</v>
      </c>
      <c r="I58" s="2" t="s">
        <v>30</v>
      </c>
      <c r="J58" s="2" t="s">
        <v>30</v>
      </c>
      <c r="K58" s="2" t="s">
        <v>473</v>
      </c>
      <c r="L58" s="2" t="s">
        <v>155</v>
      </c>
      <c r="M58" s="2" t="s">
        <v>375</v>
      </c>
      <c r="N58" s="151">
        <v>513846667</v>
      </c>
      <c r="O58" s="2" t="s">
        <v>1345</v>
      </c>
      <c r="P58" s="2" t="s">
        <v>1346</v>
      </c>
      <c r="Q58" s="2" t="s">
        <v>101</v>
      </c>
      <c r="R58" s="2" t="s">
        <v>442</v>
      </c>
      <c r="S58" s="2" t="s">
        <v>34</v>
      </c>
      <c r="T58" s="151">
        <v>4.6500000000000004</v>
      </c>
      <c r="U58" s="2" t="s">
        <v>194</v>
      </c>
      <c r="V58" s="162">
        <v>3.5499999999999997E-2</v>
      </c>
      <c r="W58" s="2" t="s">
        <v>790</v>
      </c>
      <c r="X58" s="2" t="s">
        <v>944</v>
      </c>
      <c r="Y58" s="151">
        <v>3.55</v>
      </c>
      <c r="Z58" s="164">
        <v>5.8930000000000003E-2</v>
      </c>
      <c r="AA58" s="2" t="s">
        <v>1347</v>
      </c>
      <c r="AB58" s="4" t="s">
        <v>447</v>
      </c>
      <c r="AE58" s="164">
        <v>0</v>
      </c>
      <c r="AG58" s="2" t="s">
        <v>155</v>
      </c>
      <c r="AI58" s="2" t="s">
        <v>1348</v>
      </c>
      <c r="AJ58" s="2" t="s">
        <v>375</v>
      </c>
      <c r="AK58" s="2" t="s">
        <v>927</v>
      </c>
      <c r="AL58" s="2" t="s">
        <v>1340</v>
      </c>
      <c r="AN58" s="2" t="s">
        <v>157</v>
      </c>
      <c r="AP58" s="162">
        <v>0</v>
      </c>
      <c r="AQ58" s="151">
        <v>1691534.59</v>
      </c>
      <c r="AR58" s="175">
        <v>110.14</v>
      </c>
      <c r="AS58" s="158">
        <v>1</v>
      </c>
      <c r="AT58" s="151">
        <v>1863.056</v>
      </c>
      <c r="AU58" s="151">
        <v>1863.056</v>
      </c>
      <c r="AX58" s="4" t="s">
        <v>155</v>
      </c>
      <c r="AY58" s="2" t="s">
        <v>36</v>
      </c>
      <c r="AZ58" s="164">
        <v>3.7379917967600797E-2</v>
      </c>
      <c r="BA58" s="164">
        <v>7.71769227712843E-4</v>
      </c>
    </row>
    <row r="59" spans="1:53">
      <c r="A59" s="2">
        <v>424</v>
      </c>
      <c r="B59" s="2">
        <v>7228</v>
      </c>
      <c r="C59" s="2" t="s">
        <v>1349</v>
      </c>
      <c r="D59" s="2" t="s">
        <v>33</v>
      </c>
      <c r="E59" s="2" t="s">
        <v>1350</v>
      </c>
      <c r="F59" s="2" t="s">
        <v>1351</v>
      </c>
      <c r="G59" s="2" t="s">
        <v>1073</v>
      </c>
      <c r="I59" s="2" t="s">
        <v>30</v>
      </c>
      <c r="J59" s="2" t="s">
        <v>30</v>
      </c>
      <c r="K59" s="2" t="s">
        <v>487</v>
      </c>
      <c r="L59" s="2" t="s">
        <v>155</v>
      </c>
      <c r="M59" s="2" t="s">
        <v>375</v>
      </c>
      <c r="N59" s="151">
        <v>513326439</v>
      </c>
      <c r="O59" s="2" t="s">
        <v>1352</v>
      </c>
      <c r="P59" s="2" t="s">
        <v>1353</v>
      </c>
      <c r="Q59" s="2" t="s">
        <v>206</v>
      </c>
      <c r="R59" s="2" t="s">
        <v>442</v>
      </c>
      <c r="S59" s="2" t="s">
        <v>34</v>
      </c>
      <c r="T59" s="151">
        <v>3.22</v>
      </c>
      <c r="U59" s="2" t="s">
        <v>194</v>
      </c>
      <c r="V59" s="162">
        <v>5.5E-2</v>
      </c>
      <c r="W59" s="2" t="s">
        <v>790</v>
      </c>
      <c r="X59" s="2" t="s">
        <v>1354</v>
      </c>
      <c r="Y59" s="151">
        <v>5.5</v>
      </c>
      <c r="Z59" s="164">
        <v>3.2800000000000003E-2</v>
      </c>
      <c r="AA59" s="2" t="s">
        <v>1355</v>
      </c>
      <c r="AB59" s="4" t="s">
        <v>447</v>
      </c>
      <c r="AE59" s="164">
        <v>0</v>
      </c>
      <c r="AG59" s="2" t="s">
        <v>155</v>
      </c>
      <c r="AJ59" s="2" t="s">
        <v>155</v>
      </c>
      <c r="AK59" s="2" t="s">
        <v>194</v>
      </c>
      <c r="AN59" s="2" t="s">
        <v>157</v>
      </c>
      <c r="AP59" s="162">
        <v>0</v>
      </c>
      <c r="AQ59" s="151">
        <v>48693.67</v>
      </c>
      <c r="AR59" s="175">
        <v>124.32</v>
      </c>
      <c r="AS59" s="158">
        <v>1</v>
      </c>
      <c r="AT59" s="151">
        <v>60.536000000000001</v>
      </c>
      <c r="AU59" s="151">
        <v>60.536000000000001</v>
      </c>
      <c r="AX59" s="4" t="s">
        <v>155</v>
      </c>
      <c r="AY59" s="2" t="s">
        <v>36</v>
      </c>
      <c r="AZ59" s="164">
        <v>1.2145793648898799E-3</v>
      </c>
      <c r="BA59" s="164">
        <v>2.50769672434672E-5</v>
      </c>
    </row>
    <row r="60" spans="1:53">
      <c r="A60" s="2">
        <v>424</v>
      </c>
      <c r="B60" s="2">
        <v>7228</v>
      </c>
      <c r="C60" s="2" t="s">
        <v>1349</v>
      </c>
      <c r="D60" s="2" t="s">
        <v>33</v>
      </c>
      <c r="E60" s="2" t="s">
        <v>1356</v>
      </c>
      <c r="F60" s="2" t="s">
        <v>1357</v>
      </c>
      <c r="G60" s="2" t="s">
        <v>1073</v>
      </c>
      <c r="I60" s="2" t="s">
        <v>30</v>
      </c>
      <c r="J60" s="2" t="s">
        <v>30</v>
      </c>
      <c r="K60" s="2" t="s">
        <v>487</v>
      </c>
      <c r="L60" s="2" t="s">
        <v>155</v>
      </c>
      <c r="M60" s="2" t="s">
        <v>375</v>
      </c>
      <c r="N60" s="151">
        <v>513326439</v>
      </c>
      <c r="O60" s="2" t="s">
        <v>1352</v>
      </c>
      <c r="P60" s="2" t="s">
        <v>1353</v>
      </c>
      <c r="Q60" s="2" t="s">
        <v>206</v>
      </c>
      <c r="R60" s="2" t="s">
        <v>442</v>
      </c>
      <c r="S60" s="2" t="s">
        <v>34</v>
      </c>
      <c r="T60" s="151">
        <v>3.24</v>
      </c>
      <c r="U60" s="2" t="s">
        <v>1358</v>
      </c>
      <c r="V60" s="162">
        <v>5.5E-2</v>
      </c>
      <c r="W60" s="2" t="s">
        <v>790</v>
      </c>
      <c r="X60" s="2" t="s">
        <v>1354</v>
      </c>
      <c r="Y60" s="151">
        <v>5.5</v>
      </c>
      <c r="Z60" s="164">
        <v>2.9000000000000001E-2</v>
      </c>
      <c r="AA60" s="2" t="s">
        <v>1355</v>
      </c>
      <c r="AB60" s="4" t="s">
        <v>447</v>
      </c>
      <c r="AE60" s="164">
        <v>0</v>
      </c>
      <c r="AG60" s="2" t="s">
        <v>155</v>
      </c>
      <c r="AJ60" s="2" t="s">
        <v>155</v>
      </c>
      <c r="AK60" s="2" t="s">
        <v>194</v>
      </c>
      <c r="AN60" s="2" t="s">
        <v>157</v>
      </c>
      <c r="AP60" s="162">
        <v>0</v>
      </c>
      <c r="AQ60" s="151">
        <v>70143.88</v>
      </c>
      <c r="AR60" s="175">
        <v>128.31</v>
      </c>
      <c r="AS60" s="158">
        <v>1</v>
      </c>
      <c r="AT60" s="151">
        <v>90.001999999999995</v>
      </c>
      <c r="AU60" s="151">
        <v>90.001999999999995</v>
      </c>
      <c r="AX60" s="4" t="s">
        <v>155</v>
      </c>
      <c r="AY60" s="2" t="s">
        <v>36</v>
      </c>
      <c r="AZ60" s="164">
        <v>1.80577101976768E-3</v>
      </c>
      <c r="BA60" s="164">
        <v>3.7283080892801201E-5</v>
      </c>
    </row>
    <row r="61" spans="1:53">
      <c r="A61" s="2">
        <v>424</v>
      </c>
      <c r="B61" s="2">
        <v>7228</v>
      </c>
      <c r="C61" s="2" t="s">
        <v>1349</v>
      </c>
      <c r="D61" s="2" t="s">
        <v>33</v>
      </c>
      <c r="E61" s="2" t="s">
        <v>1359</v>
      </c>
      <c r="F61" s="2" t="s">
        <v>1360</v>
      </c>
      <c r="G61" s="2" t="s">
        <v>1073</v>
      </c>
      <c r="I61" s="2" t="s">
        <v>30</v>
      </c>
      <c r="J61" s="2" t="s">
        <v>30</v>
      </c>
      <c r="K61" s="2" t="s">
        <v>487</v>
      </c>
      <c r="L61" s="2" t="s">
        <v>155</v>
      </c>
      <c r="M61" s="2" t="s">
        <v>375</v>
      </c>
      <c r="N61" s="151">
        <v>513326439</v>
      </c>
      <c r="O61" s="2" t="s">
        <v>1352</v>
      </c>
      <c r="P61" s="2" t="s">
        <v>1353</v>
      </c>
      <c r="Q61" s="2" t="s">
        <v>206</v>
      </c>
      <c r="R61" s="2" t="s">
        <v>442</v>
      </c>
      <c r="S61" s="2" t="s">
        <v>34</v>
      </c>
      <c r="T61" s="151">
        <v>3.22</v>
      </c>
      <c r="U61" s="2" t="s">
        <v>1358</v>
      </c>
      <c r="V61" s="162">
        <v>5.5E-2</v>
      </c>
      <c r="W61" s="2" t="s">
        <v>790</v>
      </c>
      <c r="X61" s="2" t="s">
        <v>1354</v>
      </c>
      <c r="Y61" s="151">
        <v>5.5</v>
      </c>
      <c r="Z61" s="164">
        <v>3.2800000000000003E-2</v>
      </c>
      <c r="AA61" s="2" t="s">
        <v>1355</v>
      </c>
      <c r="AB61" s="4" t="s">
        <v>447</v>
      </c>
      <c r="AE61" s="164">
        <v>0</v>
      </c>
      <c r="AG61" s="2" t="s">
        <v>155</v>
      </c>
      <c r="AJ61" s="2" t="s">
        <v>155</v>
      </c>
      <c r="AK61" s="2" t="s">
        <v>194</v>
      </c>
      <c r="AN61" s="2" t="s">
        <v>157</v>
      </c>
      <c r="AP61" s="162">
        <v>0</v>
      </c>
      <c r="AQ61" s="151">
        <v>7728.41</v>
      </c>
      <c r="AR61" s="175">
        <v>128.31</v>
      </c>
      <c r="AS61" s="158">
        <v>1</v>
      </c>
      <c r="AT61" s="151">
        <v>9.9160000000000004</v>
      </c>
      <c r="AU61" s="151">
        <v>9.9160000000000004</v>
      </c>
      <c r="AX61" s="4" t="s">
        <v>155</v>
      </c>
      <c r="AY61" s="2" t="s">
        <v>36</v>
      </c>
      <c r="AZ61" s="164">
        <v>1.9895875173832301E-4</v>
      </c>
      <c r="BA61" s="164">
        <v>4.10782715759E-6</v>
      </c>
    </row>
    <row r="62" spans="1:53">
      <c r="A62" s="2">
        <v>424</v>
      </c>
      <c r="B62" s="2">
        <v>7228</v>
      </c>
      <c r="C62" s="2" t="s">
        <v>1349</v>
      </c>
      <c r="D62" s="2" t="s">
        <v>33</v>
      </c>
      <c r="E62" s="2" t="s">
        <v>1361</v>
      </c>
      <c r="F62" s="2" t="s">
        <v>1362</v>
      </c>
      <c r="G62" s="2" t="s">
        <v>1073</v>
      </c>
      <c r="I62" s="2" t="s">
        <v>30</v>
      </c>
      <c r="J62" s="2" t="s">
        <v>30</v>
      </c>
      <c r="K62" s="2" t="s">
        <v>487</v>
      </c>
      <c r="L62" s="2" t="s">
        <v>155</v>
      </c>
      <c r="M62" s="2" t="s">
        <v>375</v>
      </c>
      <c r="N62" s="2" t="s">
        <v>1349</v>
      </c>
      <c r="O62" s="2" t="s">
        <v>1363</v>
      </c>
      <c r="P62" s="2" t="s">
        <v>1340</v>
      </c>
      <c r="Q62" s="2" t="s">
        <v>101</v>
      </c>
      <c r="R62" s="2" t="s">
        <v>442</v>
      </c>
      <c r="S62" s="2" t="s">
        <v>34</v>
      </c>
      <c r="T62" s="151">
        <v>3.09</v>
      </c>
      <c r="U62" s="2" t="s">
        <v>194</v>
      </c>
      <c r="V62" s="162">
        <v>5.5300000000000002E-2</v>
      </c>
      <c r="W62" s="2" t="s">
        <v>790</v>
      </c>
      <c r="X62" s="2" t="s">
        <v>944</v>
      </c>
      <c r="Y62" s="151">
        <v>5.53</v>
      </c>
      <c r="Z62" s="164">
        <v>2.818E-2</v>
      </c>
      <c r="AA62" s="2" t="s">
        <v>1364</v>
      </c>
      <c r="AB62" s="4" t="s">
        <v>447</v>
      </c>
      <c r="AC62" s="2" t="s">
        <v>519</v>
      </c>
      <c r="AD62" s="151">
        <v>4791</v>
      </c>
      <c r="AE62" s="164">
        <v>0.78</v>
      </c>
      <c r="AF62" s="2" t="s">
        <v>1365</v>
      </c>
      <c r="AG62" s="2" t="s">
        <v>155</v>
      </c>
      <c r="AI62" s="2" t="s">
        <v>1366</v>
      </c>
      <c r="AJ62" s="2" t="s">
        <v>375</v>
      </c>
      <c r="AK62" s="2" t="s">
        <v>927</v>
      </c>
      <c r="AL62" s="2" t="s">
        <v>1340</v>
      </c>
      <c r="AN62" s="2" t="s">
        <v>157</v>
      </c>
      <c r="AO62" s="2" t="s">
        <v>1365</v>
      </c>
      <c r="AP62" s="162">
        <v>0</v>
      </c>
      <c r="AQ62" s="151">
        <v>96586.12</v>
      </c>
      <c r="AR62" s="175">
        <v>129.91999999999999</v>
      </c>
      <c r="AS62" s="158">
        <v>1</v>
      </c>
      <c r="AT62" s="151">
        <v>125.485</v>
      </c>
      <c r="AU62" s="151">
        <v>125.485</v>
      </c>
      <c r="AX62" s="4" t="s">
        <v>155</v>
      </c>
      <c r="AY62" s="2" t="s">
        <v>36</v>
      </c>
      <c r="AZ62" s="164">
        <v>2.5176950199452498E-3</v>
      </c>
      <c r="BA62" s="164">
        <v>5.1981910255763203E-5</v>
      </c>
    </row>
    <row r="63" spans="1:53">
      <c r="A63" s="2">
        <v>424</v>
      </c>
      <c r="B63" s="2">
        <v>7228</v>
      </c>
      <c r="C63" s="2" t="s">
        <v>1349</v>
      </c>
      <c r="D63" s="2" t="s">
        <v>33</v>
      </c>
      <c r="E63" s="2" t="s">
        <v>1367</v>
      </c>
      <c r="F63" s="2" t="s">
        <v>1368</v>
      </c>
      <c r="G63" s="2" t="s">
        <v>1073</v>
      </c>
      <c r="I63" s="2" t="s">
        <v>30</v>
      </c>
      <c r="J63" s="2" t="s">
        <v>30</v>
      </c>
      <c r="K63" s="2" t="s">
        <v>487</v>
      </c>
      <c r="L63" s="2" t="s">
        <v>155</v>
      </c>
      <c r="M63" s="2" t="s">
        <v>375</v>
      </c>
      <c r="N63" s="2" t="s">
        <v>1349</v>
      </c>
      <c r="O63" s="2" t="s">
        <v>1369</v>
      </c>
      <c r="P63" s="2" t="s">
        <v>1340</v>
      </c>
      <c r="Q63" s="2" t="s">
        <v>101</v>
      </c>
      <c r="R63" s="2" t="s">
        <v>442</v>
      </c>
      <c r="S63" s="2" t="s">
        <v>34</v>
      </c>
      <c r="T63" s="151">
        <v>3.09</v>
      </c>
      <c r="U63" s="2" t="s">
        <v>194</v>
      </c>
      <c r="V63" s="162">
        <v>5.5301000000000003E-2</v>
      </c>
      <c r="W63" s="2" t="s">
        <v>790</v>
      </c>
      <c r="X63" s="2" t="s">
        <v>944</v>
      </c>
      <c r="Y63" s="151">
        <v>5.5301</v>
      </c>
      <c r="Z63" s="164">
        <v>2.818E-2</v>
      </c>
      <c r="AA63" s="2" t="s">
        <v>1364</v>
      </c>
      <c r="AB63" s="4" t="s">
        <v>447</v>
      </c>
      <c r="AC63" s="2" t="s">
        <v>519</v>
      </c>
      <c r="AD63" s="151">
        <v>4596</v>
      </c>
      <c r="AE63" s="164">
        <v>0.78</v>
      </c>
      <c r="AF63" s="2" t="s">
        <v>1365</v>
      </c>
      <c r="AG63" s="2" t="s">
        <v>155</v>
      </c>
      <c r="AI63" s="2" t="s">
        <v>1366</v>
      </c>
      <c r="AJ63" s="2" t="s">
        <v>375</v>
      </c>
      <c r="AK63" s="2" t="s">
        <v>927</v>
      </c>
      <c r="AL63" s="2" t="s">
        <v>1340</v>
      </c>
      <c r="AN63" s="2" t="s">
        <v>157</v>
      </c>
      <c r="AO63" s="2" t="s">
        <v>1365</v>
      </c>
      <c r="AP63" s="162">
        <v>0</v>
      </c>
      <c r="AQ63" s="151">
        <v>92665.75</v>
      </c>
      <c r="AR63" s="175">
        <v>129.91999999999999</v>
      </c>
      <c r="AS63" s="158">
        <v>1</v>
      </c>
      <c r="AT63" s="151">
        <v>120.39100000000001</v>
      </c>
      <c r="AU63" s="151">
        <v>120.39100000000001</v>
      </c>
      <c r="AX63" s="4" t="s">
        <v>155</v>
      </c>
      <c r="AY63" s="2" t="s">
        <v>36</v>
      </c>
      <c r="AZ63" s="164">
        <v>2.4155033590177498E-3</v>
      </c>
      <c r="BA63" s="164">
        <v>4.9871997138750297E-5</v>
      </c>
    </row>
    <row r="64" spans="1:53">
      <c r="A64" s="2">
        <v>424</v>
      </c>
      <c r="B64" s="2">
        <v>7228</v>
      </c>
      <c r="C64" s="2" t="s">
        <v>1349</v>
      </c>
      <c r="D64" s="2" t="s">
        <v>33</v>
      </c>
      <c r="E64" s="2" t="s">
        <v>1370</v>
      </c>
      <c r="F64" s="2" t="s">
        <v>1371</v>
      </c>
      <c r="G64" s="2" t="s">
        <v>1073</v>
      </c>
      <c r="I64" s="2" t="s">
        <v>30</v>
      </c>
      <c r="J64" s="2" t="s">
        <v>30</v>
      </c>
      <c r="K64" s="2" t="s">
        <v>487</v>
      </c>
      <c r="L64" s="2" t="s">
        <v>155</v>
      </c>
      <c r="M64" s="2" t="s">
        <v>375</v>
      </c>
      <c r="N64" s="2" t="s">
        <v>1349</v>
      </c>
      <c r="O64" s="2" t="s">
        <v>1372</v>
      </c>
      <c r="P64" s="2" t="s">
        <v>1340</v>
      </c>
      <c r="Q64" s="2" t="s">
        <v>101</v>
      </c>
      <c r="R64" s="2" t="s">
        <v>442</v>
      </c>
      <c r="S64" s="2" t="s">
        <v>34</v>
      </c>
      <c r="T64" s="151">
        <v>3.09</v>
      </c>
      <c r="U64" s="2" t="s">
        <v>194</v>
      </c>
      <c r="V64" s="162">
        <v>5.5300000000000002E-2</v>
      </c>
      <c r="W64" s="2" t="s">
        <v>790</v>
      </c>
      <c r="X64" s="2" t="s">
        <v>944</v>
      </c>
      <c r="Y64" s="151">
        <v>5.53</v>
      </c>
      <c r="Z64" s="164">
        <v>2.8139999999999998E-2</v>
      </c>
      <c r="AA64" s="2" t="s">
        <v>1364</v>
      </c>
      <c r="AB64" s="4" t="s">
        <v>447</v>
      </c>
      <c r="AC64" s="2" t="s">
        <v>519</v>
      </c>
      <c r="AD64" s="151">
        <v>4622</v>
      </c>
      <c r="AE64" s="164">
        <v>0.78</v>
      </c>
      <c r="AF64" s="2" t="s">
        <v>1365</v>
      </c>
      <c r="AG64" s="2" t="s">
        <v>155</v>
      </c>
      <c r="AI64" s="2" t="s">
        <v>1366</v>
      </c>
      <c r="AJ64" s="2" t="s">
        <v>375</v>
      </c>
      <c r="AK64" s="2" t="s">
        <v>927</v>
      </c>
      <c r="AL64" s="2" t="s">
        <v>1340</v>
      </c>
      <c r="AN64" s="2" t="s">
        <v>157</v>
      </c>
      <c r="AO64" s="2" t="s">
        <v>1365</v>
      </c>
      <c r="AP64" s="162">
        <v>0</v>
      </c>
      <c r="AQ64" s="151">
        <v>93194.59</v>
      </c>
      <c r="AR64" s="175">
        <v>128.31</v>
      </c>
      <c r="AS64" s="158">
        <v>1</v>
      </c>
      <c r="AT64" s="151">
        <v>119.578</v>
      </c>
      <c r="AU64" s="151">
        <v>119.578</v>
      </c>
      <c r="AX64" s="4" t="s">
        <v>155</v>
      </c>
      <c r="AY64" s="2" t="s">
        <v>36</v>
      </c>
      <c r="AZ64" s="164">
        <v>2.39918421708538E-3</v>
      </c>
      <c r="BA64" s="164">
        <v>4.9535061900502803E-5</v>
      </c>
    </row>
    <row r="65" spans="1:53">
      <c r="A65" s="2">
        <v>424</v>
      </c>
      <c r="B65" s="2">
        <v>7228</v>
      </c>
      <c r="C65" s="2" t="s">
        <v>1349</v>
      </c>
      <c r="D65" s="2" t="s">
        <v>33</v>
      </c>
      <c r="E65" s="2" t="s">
        <v>1373</v>
      </c>
      <c r="F65" s="2" t="s">
        <v>1374</v>
      </c>
      <c r="G65" s="2" t="s">
        <v>1073</v>
      </c>
      <c r="I65" s="2" t="s">
        <v>30</v>
      </c>
      <c r="J65" s="2" t="s">
        <v>30</v>
      </c>
      <c r="K65" s="2" t="s">
        <v>487</v>
      </c>
      <c r="L65" s="2" t="s">
        <v>155</v>
      </c>
      <c r="M65" s="2" t="s">
        <v>375</v>
      </c>
      <c r="N65" s="2" t="s">
        <v>1349</v>
      </c>
      <c r="O65" s="2" t="s">
        <v>1375</v>
      </c>
      <c r="P65" s="2" t="s">
        <v>1340</v>
      </c>
      <c r="Q65" s="2" t="s">
        <v>101</v>
      </c>
      <c r="R65" s="2" t="s">
        <v>442</v>
      </c>
      <c r="S65" s="2" t="s">
        <v>34</v>
      </c>
      <c r="T65" s="151">
        <v>3.24</v>
      </c>
      <c r="U65" s="2" t="s">
        <v>194</v>
      </c>
      <c r="V65" s="162">
        <v>5.5E-2</v>
      </c>
      <c r="W65" s="2" t="s">
        <v>790</v>
      </c>
      <c r="X65" s="2" t="s">
        <v>1354</v>
      </c>
      <c r="Y65" s="151">
        <v>5.5</v>
      </c>
      <c r="Z65" s="164">
        <v>2.9000000000000001E-2</v>
      </c>
      <c r="AA65" s="2" t="s">
        <v>1364</v>
      </c>
      <c r="AB65" s="4" t="s">
        <v>447</v>
      </c>
      <c r="AC65" s="2" t="s">
        <v>519</v>
      </c>
      <c r="AD65" s="151">
        <v>3155</v>
      </c>
      <c r="AE65" s="164">
        <v>0.78</v>
      </c>
      <c r="AF65" s="2" t="s">
        <v>1365</v>
      </c>
      <c r="AG65" s="2" t="s">
        <v>155</v>
      </c>
      <c r="AI65" s="2" t="s">
        <v>1366</v>
      </c>
      <c r="AJ65" s="2" t="s">
        <v>375</v>
      </c>
      <c r="AK65" s="2" t="s">
        <v>194</v>
      </c>
      <c r="AN65" s="2" t="s">
        <v>157</v>
      </c>
      <c r="AO65" s="2" t="s">
        <v>1365</v>
      </c>
      <c r="AP65" s="162">
        <v>0</v>
      </c>
      <c r="AQ65" s="151">
        <v>29429.88</v>
      </c>
      <c r="AR65" s="175">
        <v>127.8</v>
      </c>
      <c r="AS65" s="158">
        <v>1</v>
      </c>
      <c r="AT65" s="151">
        <v>37.610999999999997</v>
      </c>
      <c r="AU65" s="151">
        <v>37.610999999999997</v>
      </c>
      <c r="AX65" s="4" t="s">
        <v>155</v>
      </c>
      <c r="AY65" s="2" t="s">
        <v>36</v>
      </c>
      <c r="AZ65" s="164">
        <v>7.5462594697536496E-4</v>
      </c>
      <c r="BA65" s="164">
        <v>1.5580480535405301E-5</v>
      </c>
    </row>
    <row r="66" spans="1:53">
      <c r="A66" s="2">
        <v>424</v>
      </c>
      <c r="B66" s="2">
        <v>7228</v>
      </c>
      <c r="C66" s="2" t="s">
        <v>1349</v>
      </c>
      <c r="D66" s="2" t="s">
        <v>33</v>
      </c>
      <c r="E66" s="2" t="s">
        <v>1376</v>
      </c>
      <c r="F66" s="2" t="s">
        <v>1377</v>
      </c>
      <c r="G66" s="2" t="s">
        <v>1073</v>
      </c>
      <c r="I66" s="2" t="s">
        <v>30</v>
      </c>
      <c r="J66" s="2" t="s">
        <v>30</v>
      </c>
      <c r="K66" s="2" t="s">
        <v>487</v>
      </c>
      <c r="L66" s="2" t="s">
        <v>155</v>
      </c>
      <c r="M66" s="2" t="s">
        <v>375</v>
      </c>
      <c r="N66" s="2" t="s">
        <v>1349</v>
      </c>
      <c r="O66" s="2" t="s">
        <v>1378</v>
      </c>
      <c r="P66" s="2" t="s">
        <v>1340</v>
      </c>
      <c r="Q66" s="2" t="s">
        <v>101</v>
      </c>
      <c r="R66" s="2" t="s">
        <v>442</v>
      </c>
      <c r="S66" s="2" t="s">
        <v>34</v>
      </c>
      <c r="T66" s="151">
        <v>3.08</v>
      </c>
      <c r="U66" s="2" t="s">
        <v>1358</v>
      </c>
      <c r="V66" s="162">
        <v>5.6132000000000001E-2</v>
      </c>
      <c r="W66" s="2" t="s">
        <v>790</v>
      </c>
      <c r="X66" s="2" t="s">
        <v>944</v>
      </c>
      <c r="Y66" s="151">
        <v>5.6132</v>
      </c>
      <c r="Z66" s="164">
        <v>2.7990000000000001E-2</v>
      </c>
      <c r="AA66" s="2" t="s">
        <v>1364</v>
      </c>
      <c r="AB66" s="4" t="s">
        <v>447</v>
      </c>
      <c r="AC66" s="2" t="s">
        <v>519</v>
      </c>
      <c r="AD66" s="151">
        <v>465</v>
      </c>
      <c r="AE66" s="164">
        <v>0.78</v>
      </c>
      <c r="AF66" s="2" t="s">
        <v>1365</v>
      </c>
      <c r="AG66" s="2" t="s">
        <v>155</v>
      </c>
      <c r="AI66" s="2" t="s">
        <v>1366</v>
      </c>
      <c r="AJ66" s="2" t="s">
        <v>375</v>
      </c>
      <c r="AK66" s="2" t="s">
        <v>927</v>
      </c>
      <c r="AL66" s="2" t="s">
        <v>1340</v>
      </c>
      <c r="AN66" s="2" t="s">
        <v>157</v>
      </c>
      <c r="AO66" s="2" t="s">
        <v>1365</v>
      </c>
      <c r="AP66" s="162">
        <v>0</v>
      </c>
      <c r="AQ66" s="151">
        <v>4322.29</v>
      </c>
      <c r="AR66" s="175">
        <v>130.63</v>
      </c>
      <c r="AS66" s="158">
        <v>1</v>
      </c>
      <c r="AT66" s="151">
        <v>5.6459999999999999</v>
      </c>
      <c r="AU66" s="151">
        <v>5.6459999999999999</v>
      </c>
      <c r="AX66" s="4" t="s">
        <v>155</v>
      </c>
      <c r="AY66" s="2" t="s">
        <v>36</v>
      </c>
      <c r="AZ66" s="164">
        <v>1.13284167563443E-4</v>
      </c>
      <c r="BA66" s="164">
        <v>2.3389359652503898E-6</v>
      </c>
    </row>
    <row r="67" spans="1:53">
      <c r="A67" s="2">
        <v>424</v>
      </c>
      <c r="B67" s="2">
        <v>7228</v>
      </c>
      <c r="C67" s="2" t="s">
        <v>1349</v>
      </c>
      <c r="D67" s="2" t="s">
        <v>33</v>
      </c>
      <c r="E67" s="2" t="s">
        <v>1379</v>
      </c>
      <c r="F67" s="2" t="s">
        <v>1380</v>
      </c>
      <c r="G67" s="2" t="s">
        <v>1073</v>
      </c>
      <c r="I67" s="2" t="s">
        <v>30</v>
      </c>
      <c r="J67" s="2" t="s">
        <v>30</v>
      </c>
      <c r="K67" s="2" t="s">
        <v>487</v>
      </c>
      <c r="L67" s="2" t="s">
        <v>155</v>
      </c>
      <c r="M67" s="2" t="s">
        <v>375</v>
      </c>
      <c r="N67" s="151">
        <v>513326439</v>
      </c>
      <c r="O67" s="2" t="s">
        <v>1352</v>
      </c>
      <c r="P67" s="2" t="s">
        <v>1353</v>
      </c>
      <c r="Q67" s="2" t="s">
        <v>206</v>
      </c>
      <c r="R67" s="2" t="s">
        <v>442</v>
      </c>
      <c r="S67" s="2" t="s">
        <v>34</v>
      </c>
      <c r="T67" s="151">
        <v>3.24</v>
      </c>
      <c r="U67" s="2" t="s">
        <v>1358</v>
      </c>
      <c r="V67" s="162">
        <v>5.6691999999999999E-2</v>
      </c>
      <c r="W67" s="2" t="s">
        <v>790</v>
      </c>
      <c r="X67" s="2" t="s">
        <v>1354</v>
      </c>
      <c r="Y67" s="151">
        <v>5.6692</v>
      </c>
      <c r="Z67" s="164">
        <v>2.7799999999999998E-2</v>
      </c>
      <c r="AA67" s="2" t="s">
        <v>1381</v>
      </c>
      <c r="AB67" s="4" t="s">
        <v>447</v>
      </c>
      <c r="AE67" s="164">
        <v>0</v>
      </c>
      <c r="AG67" s="2" t="s">
        <v>155</v>
      </c>
      <c r="AJ67" s="2" t="s">
        <v>155</v>
      </c>
      <c r="AK67" s="2" t="s">
        <v>194</v>
      </c>
      <c r="AN67" s="2" t="s">
        <v>157</v>
      </c>
      <c r="AP67" s="162">
        <v>0</v>
      </c>
      <c r="AQ67" s="151">
        <v>8703.1299999999992</v>
      </c>
      <c r="AR67" s="175">
        <v>131.06</v>
      </c>
      <c r="AS67" s="158">
        <v>1</v>
      </c>
      <c r="AT67" s="151">
        <v>11.406000000000001</v>
      </c>
      <c r="AU67" s="151">
        <v>11.406000000000001</v>
      </c>
      <c r="AX67" s="4" t="s">
        <v>155</v>
      </c>
      <c r="AY67" s="2" t="s">
        <v>36</v>
      </c>
      <c r="AZ67" s="164">
        <v>2.28853744677555E-4</v>
      </c>
      <c r="BA67" s="164">
        <v>4.7250579292891102E-6</v>
      </c>
    </row>
    <row r="68" spans="1:53">
      <c r="A68" s="2">
        <v>424</v>
      </c>
      <c r="B68" s="2">
        <v>7228</v>
      </c>
      <c r="C68" s="2" t="s">
        <v>1349</v>
      </c>
      <c r="D68" s="2" t="s">
        <v>33</v>
      </c>
      <c r="E68" s="2" t="s">
        <v>1382</v>
      </c>
      <c r="F68" s="2" t="s">
        <v>1383</v>
      </c>
      <c r="G68" s="2" t="s">
        <v>1073</v>
      </c>
      <c r="I68" s="2" t="s">
        <v>30</v>
      </c>
      <c r="J68" s="2" t="s">
        <v>30</v>
      </c>
      <c r="K68" s="2" t="s">
        <v>487</v>
      </c>
      <c r="L68" s="2" t="s">
        <v>155</v>
      </c>
      <c r="M68" s="2" t="s">
        <v>375</v>
      </c>
      <c r="N68" s="2" t="s">
        <v>1349</v>
      </c>
      <c r="O68" s="2" t="s">
        <v>1384</v>
      </c>
      <c r="P68" s="2" t="s">
        <v>1340</v>
      </c>
      <c r="Q68" s="2" t="s">
        <v>101</v>
      </c>
      <c r="R68" s="2" t="s">
        <v>442</v>
      </c>
      <c r="S68" s="2" t="s">
        <v>34</v>
      </c>
      <c r="T68" s="151">
        <v>3.09</v>
      </c>
      <c r="U68" s="2" t="s">
        <v>1358</v>
      </c>
      <c r="V68" s="162">
        <v>5.5E-2</v>
      </c>
      <c r="W68" s="2" t="s">
        <v>790</v>
      </c>
      <c r="X68" s="2" t="s">
        <v>944</v>
      </c>
      <c r="Y68" s="151">
        <v>5.5</v>
      </c>
      <c r="Z68" s="164">
        <v>2.7130000000000001E-2</v>
      </c>
      <c r="AA68" s="2" t="s">
        <v>1364</v>
      </c>
      <c r="AB68" s="4" t="s">
        <v>447</v>
      </c>
      <c r="AC68" s="2" t="s">
        <v>519</v>
      </c>
      <c r="AD68" s="151">
        <v>562</v>
      </c>
      <c r="AE68" s="164">
        <v>0.78</v>
      </c>
      <c r="AF68" s="2" t="s">
        <v>1365</v>
      </c>
      <c r="AG68" s="2" t="s">
        <v>155</v>
      </c>
      <c r="AI68" s="2" t="s">
        <v>1366</v>
      </c>
      <c r="AJ68" s="2" t="s">
        <v>375</v>
      </c>
      <c r="AK68" s="2" t="s">
        <v>927</v>
      </c>
      <c r="AL68" s="2" t="s">
        <v>1340</v>
      </c>
      <c r="AN68" s="2" t="s">
        <v>157</v>
      </c>
      <c r="AO68" s="2" t="s">
        <v>1365</v>
      </c>
      <c r="AP68" s="162">
        <v>0</v>
      </c>
      <c r="AQ68" s="151">
        <v>5222.26</v>
      </c>
      <c r="AR68" s="175">
        <v>131.02000000000001</v>
      </c>
      <c r="AS68" s="158">
        <v>1</v>
      </c>
      <c r="AT68" s="151">
        <v>6.8419999999999996</v>
      </c>
      <c r="AU68" s="151">
        <v>6.8419999999999996</v>
      </c>
      <c r="AX68" s="4" t="s">
        <v>155</v>
      </c>
      <c r="AY68" s="2" t="s">
        <v>36</v>
      </c>
      <c r="AZ68" s="164">
        <v>1.3728038043867E-4</v>
      </c>
      <c r="BA68" s="164">
        <v>2.8343768245588301E-6</v>
      </c>
    </row>
    <row r="69" spans="1:53">
      <c r="A69" s="2">
        <v>424</v>
      </c>
      <c r="B69" s="2">
        <v>7228</v>
      </c>
      <c r="C69" s="2" t="s">
        <v>1349</v>
      </c>
      <c r="D69" s="2" t="s">
        <v>33</v>
      </c>
      <c r="E69" s="2" t="s">
        <v>1385</v>
      </c>
      <c r="F69" s="2" t="s">
        <v>1386</v>
      </c>
      <c r="G69" s="2" t="s">
        <v>1073</v>
      </c>
      <c r="I69" s="2" t="s">
        <v>30</v>
      </c>
      <c r="J69" s="2" t="s">
        <v>30</v>
      </c>
      <c r="K69" s="2" t="s">
        <v>487</v>
      </c>
      <c r="L69" s="2" t="s">
        <v>155</v>
      </c>
      <c r="M69" s="2" t="s">
        <v>375</v>
      </c>
      <c r="N69" s="2" t="s">
        <v>1349</v>
      </c>
      <c r="O69" s="2" t="s">
        <v>1387</v>
      </c>
      <c r="P69" s="2" t="s">
        <v>1340</v>
      </c>
      <c r="Q69" s="2" t="s">
        <v>101</v>
      </c>
      <c r="R69" s="2" t="s">
        <v>442</v>
      </c>
      <c r="S69" s="2" t="s">
        <v>34</v>
      </c>
      <c r="T69" s="151">
        <v>3.09</v>
      </c>
      <c r="U69" s="2" t="s">
        <v>1358</v>
      </c>
      <c r="V69" s="162">
        <v>5.5E-2</v>
      </c>
      <c r="W69" s="2" t="s">
        <v>790</v>
      </c>
      <c r="X69" s="2" t="s">
        <v>944</v>
      </c>
      <c r="Y69" s="151">
        <v>5.5</v>
      </c>
      <c r="Z69" s="164">
        <v>2.8150000000000001E-2</v>
      </c>
      <c r="AA69" s="2" t="s">
        <v>1364</v>
      </c>
      <c r="AB69" s="4" t="s">
        <v>447</v>
      </c>
      <c r="AC69" s="2" t="s">
        <v>519</v>
      </c>
      <c r="AD69" s="151">
        <v>4665</v>
      </c>
      <c r="AE69" s="164">
        <v>0.78</v>
      </c>
      <c r="AF69" s="2" t="s">
        <v>1365</v>
      </c>
      <c r="AG69" s="2" t="s">
        <v>155</v>
      </c>
      <c r="AI69" s="2" t="s">
        <v>1366</v>
      </c>
      <c r="AJ69" s="2" t="s">
        <v>375</v>
      </c>
      <c r="AK69" s="2" t="s">
        <v>927</v>
      </c>
      <c r="AL69" s="2" t="s">
        <v>1340</v>
      </c>
      <c r="AN69" s="2" t="s">
        <v>157</v>
      </c>
      <c r="AO69" s="2" t="s">
        <v>1365</v>
      </c>
      <c r="AP69" s="162">
        <v>0</v>
      </c>
      <c r="AQ69" s="151">
        <v>94049.83</v>
      </c>
      <c r="AR69" s="175">
        <v>130.54</v>
      </c>
      <c r="AS69" s="158">
        <v>1</v>
      </c>
      <c r="AT69" s="151">
        <v>122.773</v>
      </c>
      <c r="AU69" s="151">
        <v>122.773</v>
      </c>
      <c r="AX69" s="4" t="s">
        <v>155</v>
      </c>
      <c r="AY69" s="2" t="s">
        <v>36</v>
      </c>
      <c r="AZ69" s="164">
        <v>2.4632813118094701E-3</v>
      </c>
      <c r="BA69" s="164">
        <v>5.0858450714162803E-5</v>
      </c>
    </row>
    <row r="70" spans="1:53">
      <c r="A70" s="2">
        <v>424</v>
      </c>
      <c r="B70" s="2">
        <v>7228</v>
      </c>
      <c r="C70" s="2" t="s">
        <v>1349</v>
      </c>
      <c r="D70" s="2" t="s">
        <v>33</v>
      </c>
      <c r="E70" s="2" t="s">
        <v>1388</v>
      </c>
      <c r="F70" s="2" t="s">
        <v>1389</v>
      </c>
      <c r="G70" s="2" t="s">
        <v>1073</v>
      </c>
      <c r="I70" s="2" t="s">
        <v>30</v>
      </c>
      <c r="J70" s="2" t="s">
        <v>30</v>
      </c>
      <c r="K70" s="2" t="s">
        <v>487</v>
      </c>
      <c r="L70" s="2" t="s">
        <v>155</v>
      </c>
      <c r="M70" s="2" t="s">
        <v>375</v>
      </c>
      <c r="N70" s="2" t="s">
        <v>1349</v>
      </c>
      <c r="O70" s="2" t="s">
        <v>1390</v>
      </c>
      <c r="P70" s="2" t="s">
        <v>1340</v>
      </c>
      <c r="Q70" s="2" t="s">
        <v>101</v>
      </c>
      <c r="R70" s="2" t="s">
        <v>442</v>
      </c>
      <c r="S70" s="2" t="s">
        <v>34</v>
      </c>
      <c r="T70" s="151">
        <v>3.24</v>
      </c>
      <c r="U70" s="2" t="s">
        <v>1358</v>
      </c>
      <c r="V70" s="162">
        <v>5.5E-2</v>
      </c>
      <c r="W70" s="2" t="s">
        <v>790</v>
      </c>
      <c r="X70" s="2" t="s">
        <v>944</v>
      </c>
      <c r="Y70" s="151">
        <v>5.5</v>
      </c>
      <c r="Z70" s="164">
        <v>2.75E-2</v>
      </c>
      <c r="AA70" s="2" t="s">
        <v>1355</v>
      </c>
      <c r="AB70" s="4" t="s">
        <v>447</v>
      </c>
      <c r="AC70" s="2" t="s">
        <v>519</v>
      </c>
      <c r="AD70" s="151">
        <v>534</v>
      </c>
      <c r="AE70" s="164">
        <v>0.78</v>
      </c>
      <c r="AF70" s="2" t="s">
        <v>1365</v>
      </c>
      <c r="AG70" s="2" t="s">
        <v>155</v>
      </c>
      <c r="AI70" s="2" t="s">
        <v>1366</v>
      </c>
      <c r="AJ70" s="2" t="s">
        <v>375</v>
      </c>
      <c r="AK70" s="2" t="s">
        <v>927</v>
      </c>
      <c r="AL70" s="2" t="s">
        <v>1340</v>
      </c>
      <c r="AN70" s="2" t="s">
        <v>157</v>
      </c>
      <c r="AO70" s="2" t="s">
        <v>1365</v>
      </c>
      <c r="AP70" s="162">
        <v>0</v>
      </c>
      <c r="AQ70" s="151">
        <v>10766.93</v>
      </c>
      <c r="AR70" s="175">
        <v>127.89</v>
      </c>
      <c r="AS70" s="158">
        <v>1</v>
      </c>
      <c r="AT70" s="151">
        <v>13.77</v>
      </c>
      <c r="AU70" s="151">
        <v>13.77</v>
      </c>
      <c r="AX70" s="4" t="s">
        <v>155</v>
      </c>
      <c r="AY70" s="2" t="s">
        <v>36</v>
      </c>
      <c r="AZ70" s="164">
        <v>2.7627454075913698E-4</v>
      </c>
      <c r="BA70" s="164">
        <v>5.7041374232872696E-6</v>
      </c>
    </row>
    <row r="71" spans="1:53">
      <c r="A71" s="2">
        <v>424</v>
      </c>
      <c r="B71" s="2">
        <v>7228</v>
      </c>
      <c r="C71" s="2" t="s">
        <v>1349</v>
      </c>
      <c r="D71" s="2" t="s">
        <v>33</v>
      </c>
      <c r="E71" s="2" t="s">
        <v>1391</v>
      </c>
      <c r="F71" s="2" t="s">
        <v>1392</v>
      </c>
      <c r="G71" s="2" t="s">
        <v>1073</v>
      </c>
      <c r="I71" s="2" t="s">
        <v>30</v>
      </c>
      <c r="J71" s="2" t="s">
        <v>30</v>
      </c>
      <c r="K71" s="2" t="s">
        <v>487</v>
      </c>
      <c r="L71" s="2" t="s">
        <v>155</v>
      </c>
      <c r="M71" s="2" t="s">
        <v>375</v>
      </c>
      <c r="N71" s="151">
        <v>513326439</v>
      </c>
      <c r="O71" s="2" t="s">
        <v>1352</v>
      </c>
      <c r="P71" s="2" t="s">
        <v>1353</v>
      </c>
      <c r="Q71" s="2" t="s">
        <v>206</v>
      </c>
      <c r="R71" s="2" t="s">
        <v>442</v>
      </c>
      <c r="S71" s="2" t="s">
        <v>34</v>
      </c>
      <c r="T71" s="151">
        <v>3.24</v>
      </c>
      <c r="U71" s="2" t="s">
        <v>194</v>
      </c>
      <c r="V71" s="162">
        <v>5.5E-2</v>
      </c>
      <c r="W71" s="2" t="s">
        <v>790</v>
      </c>
      <c r="X71" s="2" t="s">
        <v>1354</v>
      </c>
      <c r="Y71" s="151">
        <v>5.5</v>
      </c>
      <c r="Z71" s="164">
        <v>2.75E-2</v>
      </c>
      <c r="AA71" s="2" t="s">
        <v>1355</v>
      </c>
      <c r="AB71" s="4" t="s">
        <v>447</v>
      </c>
      <c r="AE71" s="164">
        <v>0</v>
      </c>
      <c r="AG71" s="2" t="s">
        <v>155</v>
      </c>
      <c r="AJ71" s="2" t="s">
        <v>155</v>
      </c>
      <c r="AK71" s="2" t="s">
        <v>194</v>
      </c>
      <c r="AN71" s="2" t="s">
        <v>157</v>
      </c>
      <c r="AP71" s="162">
        <v>0</v>
      </c>
      <c r="AQ71" s="151">
        <v>8918.25</v>
      </c>
      <c r="AR71" s="175">
        <v>127.84</v>
      </c>
      <c r="AS71" s="158">
        <v>1</v>
      </c>
      <c r="AT71" s="151">
        <v>11.401</v>
      </c>
      <c r="AU71" s="151">
        <v>11.401</v>
      </c>
      <c r="AX71" s="4" t="s">
        <v>155</v>
      </c>
      <c r="AY71" s="2" t="s">
        <v>36</v>
      </c>
      <c r="AZ71" s="164">
        <v>2.2874878354929299E-4</v>
      </c>
      <c r="BA71" s="164">
        <v>4.7228908360127397E-6</v>
      </c>
    </row>
    <row r="72" spans="1:53">
      <c r="A72" s="2">
        <v>424</v>
      </c>
      <c r="B72" s="2">
        <v>7228</v>
      </c>
      <c r="C72" s="2" t="s">
        <v>1349</v>
      </c>
      <c r="D72" s="2" t="s">
        <v>33</v>
      </c>
      <c r="E72" s="2" t="s">
        <v>1393</v>
      </c>
      <c r="F72" s="2" t="s">
        <v>1394</v>
      </c>
      <c r="G72" s="2" t="s">
        <v>1073</v>
      </c>
      <c r="I72" s="2" t="s">
        <v>30</v>
      </c>
      <c r="J72" s="2" t="s">
        <v>30</v>
      </c>
      <c r="K72" s="2" t="s">
        <v>487</v>
      </c>
      <c r="L72" s="2" t="s">
        <v>155</v>
      </c>
      <c r="M72" s="2" t="s">
        <v>375</v>
      </c>
      <c r="N72" s="2" t="s">
        <v>1349</v>
      </c>
      <c r="O72" s="2" t="s">
        <v>1395</v>
      </c>
      <c r="P72" s="2" t="s">
        <v>1340</v>
      </c>
      <c r="Q72" s="2" t="s">
        <v>101</v>
      </c>
      <c r="R72" s="2" t="s">
        <v>442</v>
      </c>
      <c r="S72" s="2" t="s">
        <v>34</v>
      </c>
      <c r="T72" s="151">
        <v>2.96</v>
      </c>
      <c r="U72" s="2" t="s">
        <v>1358</v>
      </c>
      <c r="V72" s="162">
        <v>5.5E-2</v>
      </c>
      <c r="W72" s="2" t="s">
        <v>790</v>
      </c>
      <c r="X72" s="2" t="s">
        <v>944</v>
      </c>
      <c r="Y72" s="151">
        <v>5.5</v>
      </c>
      <c r="Z72" s="164">
        <v>2.7869999999999999E-2</v>
      </c>
      <c r="AA72" s="2" t="s">
        <v>1364</v>
      </c>
      <c r="AB72" s="4" t="s">
        <v>447</v>
      </c>
      <c r="AC72" s="2" t="s">
        <v>519</v>
      </c>
      <c r="AD72" s="151">
        <v>2192</v>
      </c>
      <c r="AE72" s="164">
        <v>0.78</v>
      </c>
      <c r="AF72" s="2" t="s">
        <v>1365</v>
      </c>
      <c r="AG72" s="2" t="s">
        <v>155</v>
      </c>
      <c r="AI72" s="2" t="s">
        <v>1366</v>
      </c>
      <c r="AJ72" s="2" t="s">
        <v>375</v>
      </c>
      <c r="AK72" s="2" t="s">
        <v>927</v>
      </c>
      <c r="AL72" s="2" t="s">
        <v>1340</v>
      </c>
      <c r="AN72" s="2" t="s">
        <v>157</v>
      </c>
      <c r="AO72" s="2" t="s">
        <v>1365</v>
      </c>
      <c r="AP72" s="162">
        <v>0</v>
      </c>
      <c r="AQ72" s="151">
        <v>20390.669999999998</v>
      </c>
      <c r="AR72" s="175">
        <v>129.94</v>
      </c>
      <c r="AS72" s="158">
        <v>1</v>
      </c>
      <c r="AT72" s="151">
        <v>26.495999999999999</v>
      </c>
      <c r="AU72" s="151">
        <v>26.495999999999999</v>
      </c>
      <c r="AX72" s="4" t="s">
        <v>155</v>
      </c>
      <c r="AY72" s="2" t="s">
        <v>36</v>
      </c>
      <c r="AZ72" s="164">
        <v>5.3160217276373403E-4</v>
      </c>
      <c r="BA72" s="164">
        <v>1.09757918323936E-5</v>
      </c>
    </row>
    <row r="73" spans="1:53">
      <c r="A73" s="2">
        <v>424</v>
      </c>
      <c r="B73" s="2">
        <v>7228</v>
      </c>
      <c r="C73" s="2" t="s">
        <v>1349</v>
      </c>
      <c r="D73" s="2" t="s">
        <v>33</v>
      </c>
      <c r="E73" s="2" t="s">
        <v>1396</v>
      </c>
      <c r="F73" s="2" t="s">
        <v>1397</v>
      </c>
      <c r="G73" s="2" t="s">
        <v>1073</v>
      </c>
      <c r="I73" s="2" t="s">
        <v>30</v>
      </c>
      <c r="J73" s="2" t="s">
        <v>30</v>
      </c>
      <c r="K73" s="2" t="s">
        <v>487</v>
      </c>
      <c r="L73" s="2" t="s">
        <v>155</v>
      </c>
      <c r="M73" s="2" t="s">
        <v>375</v>
      </c>
      <c r="N73" s="2" t="s">
        <v>1349</v>
      </c>
      <c r="O73" s="2" t="s">
        <v>1398</v>
      </c>
      <c r="P73" s="2" t="s">
        <v>1340</v>
      </c>
      <c r="Q73" s="2" t="s">
        <v>101</v>
      </c>
      <c r="R73" s="2" t="s">
        <v>442</v>
      </c>
      <c r="S73" s="2" t="s">
        <v>34</v>
      </c>
      <c r="T73" s="151">
        <v>3.24</v>
      </c>
      <c r="U73" s="2" t="s">
        <v>1358</v>
      </c>
      <c r="V73" s="162">
        <v>5.5E-2</v>
      </c>
      <c r="W73" s="2" t="s">
        <v>790</v>
      </c>
      <c r="X73" s="2" t="s">
        <v>944</v>
      </c>
      <c r="Y73" s="151">
        <v>5.5</v>
      </c>
      <c r="Z73" s="164">
        <v>2.9000000000000001E-2</v>
      </c>
      <c r="AA73" s="2" t="s">
        <v>1355</v>
      </c>
      <c r="AB73" s="4" t="s">
        <v>447</v>
      </c>
      <c r="AC73" s="2" t="s">
        <v>519</v>
      </c>
      <c r="AD73" s="151">
        <v>3904</v>
      </c>
      <c r="AE73" s="164">
        <v>0.78</v>
      </c>
      <c r="AF73" s="2" t="s">
        <v>1365</v>
      </c>
      <c r="AG73" s="2" t="s">
        <v>155</v>
      </c>
      <c r="AI73" s="2" t="s">
        <v>1366</v>
      </c>
      <c r="AJ73" s="2" t="s">
        <v>375</v>
      </c>
      <c r="AK73" s="2" t="s">
        <v>927</v>
      </c>
      <c r="AL73" s="2" t="s">
        <v>1340</v>
      </c>
      <c r="AN73" s="2" t="s">
        <v>157</v>
      </c>
      <c r="AO73" s="2" t="s">
        <v>1365</v>
      </c>
      <c r="AP73" s="162">
        <v>0</v>
      </c>
      <c r="AQ73" s="151">
        <v>78716.05</v>
      </c>
      <c r="AR73" s="175">
        <v>127.47</v>
      </c>
      <c r="AS73" s="158">
        <v>1</v>
      </c>
      <c r="AT73" s="151">
        <v>100.339</v>
      </c>
      <c r="AU73" s="151">
        <v>100.339</v>
      </c>
      <c r="AX73" s="4" t="s">
        <v>155</v>
      </c>
      <c r="AY73" s="2" t="s">
        <v>36</v>
      </c>
      <c r="AZ73" s="164">
        <v>2.0131849148161598E-3</v>
      </c>
      <c r="BA73" s="164">
        <v>4.1565478241485102E-5</v>
      </c>
    </row>
    <row r="74" spans="1:53">
      <c r="A74" s="2">
        <v>424</v>
      </c>
      <c r="B74" s="2">
        <v>7228</v>
      </c>
      <c r="C74" s="2" t="s">
        <v>1349</v>
      </c>
      <c r="D74" s="2" t="s">
        <v>33</v>
      </c>
      <c r="E74" s="2" t="s">
        <v>1399</v>
      </c>
      <c r="F74" s="2" t="s">
        <v>1400</v>
      </c>
      <c r="G74" s="2" t="s">
        <v>1073</v>
      </c>
      <c r="I74" s="2" t="s">
        <v>30</v>
      </c>
      <c r="J74" s="2" t="s">
        <v>30</v>
      </c>
      <c r="K74" s="2" t="s">
        <v>487</v>
      </c>
      <c r="L74" s="2" t="s">
        <v>155</v>
      </c>
      <c r="M74" s="2" t="s">
        <v>375</v>
      </c>
      <c r="N74" s="151">
        <v>513326439</v>
      </c>
      <c r="O74" s="2" t="s">
        <v>1352</v>
      </c>
      <c r="P74" s="2" t="s">
        <v>1353</v>
      </c>
      <c r="Q74" s="2" t="s">
        <v>206</v>
      </c>
      <c r="R74" s="2" t="s">
        <v>442</v>
      </c>
      <c r="S74" s="2" t="s">
        <v>34</v>
      </c>
      <c r="T74" s="151">
        <v>3.24</v>
      </c>
      <c r="U74" s="2" t="s">
        <v>1358</v>
      </c>
      <c r="V74" s="162">
        <v>5.5E-2</v>
      </c>
      <c r="W74" s="2" t="s">
        <v>790</v>
      </c>
      <c r="X74" s="2" t="s">
        <v>1354</v>
      </c>
      <c r="Y74" s="151">
        <v>5.5</v>
      </c>
      <c r="Z74" s="164">
        <v>2.9000000000000001E-2</v>
      </c>
      <c r="AA74" s="2" t="s">
        <v>1364</v>
      </c>
      <c r="AB74" s="4" t="s">
        <v>447</v>
      </c>
      <c r="AE74" s="164">
        <v>0</v>
      </c>
      <c r="AG74" s="2" t="s">
        <v>155</v>
      </c>
      <c r="AJ74" s="2" t="s">
        <v>155</v>
      </c>
      <c r="AK74" s="2" t="s">
        <v>194</v>
      </c>
      <c r="AN74" s="2" t="s">
        <v>157</v>
      </c>
      <c r="AP74" s="162">
        <v>0</v>
      </c>
      <c r="AQ74" s="151">
        <v>95612.45</v>
      </c>
      <c r="AR74" s="175">
        <v>129.44999999999999</v>
      </c>
      <c r="AS74" s="158">
        <v>1</v>
      </c>
      <c r="AT74" s="151">
        <v>123.77</v>
      </c>
      <c r="AU74" s="151">
        <v>123.77</v>
      </c>
      <c r="AX74" s="4" t="s">
        <v>155</v>
      </c>
      <c r="AY74" s="2" t="s">
        <v>36</v>
      </c>
      <c r="AZ74" s="164">
        <v>2.4832982949845998E-3</v>
      </c>
      <c r="BA74" s="164">
        <v>5.12717339016648E-5</v>
      </c>
    </row>
    <row r="75" spans="1:53">
      <c r="A75" s="2">
        <v>424</v>
      </c>
      <c r="B75" s="2">
        <v>7228</v>
      </c>
      <c r="C75" s="2" t="s">
        <v>1349</v>
      </c>
      <c r="D75" s="2" t="s">
        <v>33</v>
      </c>
      <c r="E75" s="2" t="s">
        <v>1401</v>
      </c>
      <c r="F75" s="2" t="s">
        <v>1402</v>
      </c>
      <c r="G75" s="2" t="s">
        <v>1073</v>
      </c>
      <c r="I75" s="2" t="s">
        <v>30</v>
      </c>
      <c r="J75" s="2" t="s">
        <v>30</v>
      </c>
      <c r="K75" s="2" t="s">
        <v>487</v>
      </c>
      <c r="L75" s="2" t="s">
        <v>155</v>
      </c>
      <c r="M75" s="2" t="s">
        <v>375</v>
      </c>
      <c r="N75" s="151">
        <v>513326439</v>
      </c>
      <c r="O75" s="2" t="s">
        <v>1352</v>
      </c>
      <c r="P75" s="2" t="s">
        <v>1353</v>
      </c>
      <c r="Q75" s="2" t="s">
        <v>206</v>
      </c>
      <c r="R75" s="2" t="s">
        <v>442</v>
      </c>
      <c r="S75" s="2" t="s">
        <v>34</v>
      </c>
      <c r="T75" s="151">
        <v>3.24</v>
      </c>
      <c r="U75" s="2" t="s">
        <v>1358</v>
      </c>
      <c r="V75" s="162">
        <v>5.5888E-2</v>
      </c>
      <c r="W75" s="2" t="s">
        <v>790</v>
      </c>
      <c r="X75" s="2" t="s">
        <v>1354</v>
      </c>
      <c r="Y75" s="151">
        <v>5.5888</v>
      </c>
      <c r="Z75" s="164">
        <v>2.75E-2</v>
      </c>
      <c r="AA75" s="2" t="s">
        <v>1364</v>
      </c>
      <c r="AB75" s="4" t="s">
        <v>447</v>
      </c>
      <c r="AE75" s="164">
        <v>0</v>
      </c>
      <c r="AG75" s="2" t="s">
        <v>155</v>
      </c>
      <c r="AJ75" s="2" t="s">
        <v>155</v>
      </c>
      <c r="AK75" s="2" t="s">
        <v>194</v>
      </c>
      <c r="AN75" s="2" t="s">
        <v>157</v>
      </c>
      <c r="AP75" s="162">
        <v>0</v>
      </c>
      <c r="AQ75" s="151">
        <v>20016.45</v>
      </c>
      <c r="AR75" s="175">
        <v>131.38</v>
      </c>
      <c r="AS75" s="158">
        <v>1</v>
      </c>
      <c r="AT75" s="151">
        <v>26.297999999999998</v>
      </c>
      <c r="AU75" s="151">
        <v>26.297999999999998</v>
      </c>
      <c r="AX75" s="4" t="s">
        <v>155</v>
      </c>
      <c r="AY75" s="2" t="s">
        <v>36</v>
      </c>
      <c r="AZ75" s="164">
        <v>5.2762905436546195E-4</v>
      </c>
      <c r="BA75" s="164">
        <v>1.08937603383571E-5</v>
      </c>
    </row>
    <row r="76" spans="1:53">
      <c r="A76" s="2">
        <v>424</v>
      </c>
      <c r="B76" s="2">
        <v>7228</v>
      </c>
      <c r="C76" s="2" t="s">
        <v>1349</v>
      </c>
      <c r="D76" s="2" t="s">
        <v>33</v>
      </c>
      <c r="E76" s="2" t="s">
        <v>1403</v>
      </c>
      <c r="F76" s="2" t="s">
        <v>1404</v>
      </c>
      <c r="G76" s="2" t="s">
        <v>1073</v>
      </c>
      <c r="I76" s="2" t="s">
        <v>30</v>
      </c>
      <c r="J76" s="2" t="s">
        <v>30</v>
      </c>
      <c r="K76" s="2" t="s">
        <v>487</v>
      </c>
      <c r="L76" s="2" t="s">
        <v>155</v>
      </c>
      <c r="M76" s="2" t="s">
        <v>375</v>
      </c>
      <c r="N76" s="2" t="s">
        <v>1349</v>
      </c>
      <c r="O76" s="2" t="s">
        <v>1405</v>
      </c>
      <c r="P76" s="2" t="s">
        <v>1340</v>
      </c>
      <c r="Q76" s="2" t="s">
        <v>101</v>
      </c>
      <c r="R76" s="2" t="s">
        <v>442</v>
      </c>
      <c r="S76" s="2" t="s">
        <v>34</v>
      </c>
      <c r="T76" s="151">
        <v>3.08</v>
      </c>
      <c r="U76" s="2" t="s">
        <v>1358</v>
      </c>
      <c r="V76" s="162">
        <v>5.6193E-2</v>
      </c>
      <c r="W76" s="2" t="s">
        <v>790</v>
      </c>
      <c r="X76" s="2" t="s">
        <v>944</v>
      </c>
      <c r="Y76" s="151">
        <v>5.6193</v>
      </c>
      <c r="Z76" s="164">
        <v>2.8150000000000001E-2</v>
      </c>
      <c r="AA76" s="2" t="s">
        <v>1364</v>
      </c>
      <c r="AB76" s="4" t="s">
        <v>447</v>
      </c>
      <c r="AC76" s="2" t="s">
        <v>519</v>
      </c>
      <c r="AD76" s="151">
        <v>3026</v>
      </c>
      <c r="AE76" s="164">
        <v>0.78</v>
      </c>
      <c r="AF76" s="2" t="s">
        <v>1365</v>
      </c>
      <c r="AG76" s="2" t="s">
        <v>155</v>
      </c>
      <c r="AI76" s="2" t="s">
        <v>1366</v>
      </c>
      <c r="AJ76" s="2" t="s">
        <v>375</v>
      </c>
      <c r="AK76" s="2" t="s">
        <v>927</v>
      </c>
      <c r="AL76" s="2" t="s">
        <v>1340</v>
      </c>
      <c r="AN76" s="2" t="s">
        <v>157</v>
      </c>
      <c r="AO76" s="2" t="s">
        <v>1365</v>
      </c>
      <c r="AP76" s="162">
        <v>0</v>
      </c>
      <c r="AQ76" s="151">
        <v>28130.13</v>
      </c>
      <c r="AR76" s="175">
        <v>130.19</v>
      </c>
      <c r="AS76" s="158">
        <v>1</v>
      </c>
      <c r="AT76" s="151">
        <v>36.622999999999998</v>
      </c>
      <c r="AU76" s="151">
        <v>36.622999999999998</v>
      </c>
      <c r="AX76" s="4" t="s">
        <v>155</v>
      </c>
      <c r="AY76" s="2" t="s">
        <v>36</v>
      </c>
      <c r="AZ76" s="164">
        <v>7.3478749216643498E-4</v>
      </c>
      <c r="BA76" s="164">
        <v>1.5170883356509001E-5</v>
      </c>
    </row>
    <row r="77" spans="1:53">
      <c r="A77" s="2">
        <v>424</v>
      </c>
      <c r="B77" s="2">
        <v>7228</v>
      </c>
      <c r="C77" s="2" t="s">
        <v>1349</v>
      </c>
      <c r="D77" s="2" t="s">
        <v>33</v>
      </c>
      <c r="E77" s="2" t="s">
        <v>1406</v>
      </c>
      <c r="F77" s="2" t="s">
        <v>1407</v>
      </c>
      <c r="G77" s="2" t="s">
        <v>1073</v>
      </c>
      <c r="I77" s="2" t="s">
        <v>30</v>
      </c>
      <c r="J77" s="2" t="s">
        <v>30</v>
      </c>
      <c r="K77" s="2" t="s">
        <v>487</v>
      </c>
      <c r="L77" s="2" t="s">
        <v>155</v>
      </c>
      <c r="M77" s="2" t="s">
        <v>375</v>
      </c>
      <c r="N77" s="151">
        <v>513326439</v>
      </c>
      <c r="O77" s="2" t="s">
        <v>1352</v>
      </c>
      <c r="P77" s="2" t="s">
        <v>1353</v>
      </c>
      <c r="Q77" s="2" t="s">
        <v>206</v>
      </c>
      <c r="R77" s="2" t="s">
        <v>442</v>
      </c>
      <c r="S77" s="2" t="s">
        <v>34</v>
      </c>
      <c r="T77" s="151">
        <v>3.22</v>
      </c>
      <c r="U77" s="2" t="s">
        <v>194</v>
      </c>
      <c r="V77" s="162">
        <v>5.5E-2</v>
      </c>
      <c r="W77" s="2" t="s">
        <v>790</v>
      </c>
      <c r="X77" s="2" t="s">
        <v>1354</v>
      </c>
      <c r="Y77" s="151">
        <v>5.5</v>
      </c>
      <c r="Z77" s="164">
        <v>3.2800000000000003E-2</v>
      </c>
      <c r="AA77" s="2" t="s">
        <v>1355</v>
      </c>
      <c r="AB77" s="4" t="s">
        <v>447</v>
      </c>
      <c r="AE77" s="164">
        <v>0</v>
      </c>
      <c r="AG77" s="2" t="s">
        <v>155</v>
      </c>
      <c r="AJ77" s="2" t="s">
        <v>155</v>
      </c>
      <c r="AK77" s="2" t="s">
        <v>194</v>
      </c>
      <c r="AN77" s="2" t="s">
        <v>157</v>
      </c>
      <c r="AP77" s="162">
        <v>0</v>
      </c>
      <c r="AQ77" s="151">
        <v>35632.379999999997</v>
      </c>
      <c r="AR77" s="175">
        <v>124.07</v>
      </c>
      <c r="AS77" s="158">
        <v>1</v>
      </c>
      <c r="AT77" s="151">
        <v>44.209000000000003</v>
      </c>
      <c r="AU77" s="151">
        <v>44.209000000000003</v>
      </c>
      <c r="AX77" s="4" t="s">
        <v>155</v>
      </c>
      <c r="AY77" s="2" t="s">
        <v>36</v>
      </c>
      <c r="AZ77" s="164">
        <v>8.8700078098351699E-4</v>
      </c>
      <c r="BA77" s="164">
        <v>1.8313574372038001E-5</v>
      </c>
    </row>
    <row r="78" spans="1:53">
      <c r="A78" s="2">
        <v>424</v>
      </c>
      <c r="B78" s="2">
        <v>7228</v>
      </c>
      <c r="C78" s="2" t="s">
        <v>1349</v>
      </c>
      <c r="D78" s="2" t="s">
        <v>33</v>
      </c>
      <c r="E78" s="2" t="s">
        <v>1408</v>
      </c>
      <c r="F78" s="2" t="s">
        <v>1409</v>
      </c>
      <c r="G78" s="2" t="s">
        <v>1073</v>
      </c>
      <c r="I78" s="2" t="s">
        <v>30</v>
      </c>
      <c r="J78" s="2" t="s">
        <v>30</v>
      </c>
      <c r="K78" s="2" t="s">
        <v>487</v>
      </c>
      <c r="L78" s="2" t="s">
        <v>155</v>
      </c>
      <c r="M78" s="2" t="s">
        <v>375</v>
      </c>
      <c r="N78" s="151">
        <v>513326439</v>
      </c>
      <c r="O78" s="2" t="s">
        <v>1352</v>
      </c>
      <c r="P78" s="2" t="s">
        <v>1353</v>
      </c>
      <c r="Q78" s="2" t="s">
        <v>206</v>
      </c>
      <c r="R78" s="2" t="s">
        <v>442</v>
      </c>
      <c r="S78" s="2" t="s">
        <v>34</v>
      </c>
      <c r="T78" s="151">
        <v>3.24</v>
      </c>
      <c r="U78" s="2" t="s">
        <v>194</v>
      </c>
      <c r="V78" s="162">
        <v>5.5E-2</v>
      </c>
      <c r="W78" s="2" t="s">
        <v>790</v>
      </c>
      <c r="X78" s="2" t="s">
        <v>1354</v>
      </c>
      <c r="Y78" s="151">
        <v>5.5</v>
      </c>
      <c r="Z78" s="164">
        <v>2.7900000000000001E-2</v>
      </c>
      <c r="AA78" s="2" t="s">
        <v>1355</v>
      </c>
      <c r="AB78" s="4" t="s">
        <v>447</v>
      </c>
      <c r="AE78" s="164">
        <v>0</v>
      </c>
      <c r="AG78" s="2" t="s">
        <v>155</v>
      </c>
      <c r="AJ78" s="2" t="s">
        <v>155</v>
      </c>
      <c r="AK78" s="2" t="s">
        <v>194</v>
      </c>
      <c r="AN78" s="2" t="s">
        <v>157</v>
      </c>
      <c r="AP78" s="162">
        <v>0</v>
      </c>
      <c r="AQ78" s="151">
        <v>4427.5</v>
      </c>
      <c r="AR78" s="175">
        <v>125.63</v>
      </c>
      <c r="AS78" s="158">
        <v>1</v>
      </c>
      <c r="AT78" s="151">
        <v>5.5620000000000003</v>
      </c>
      <c r="AU78" s="151">
        <v>5.5620000000000003</v>
      </c>
      <c r="AX78" s="4" t="s">
        <v>155</v>
      </c>
      <c r="AY78" s="2" t="s">
        <v>36</v>
      </c>
      <c r="AZ78" s="164">
        <v>1.1160003181119801E-4</v>
      </c>
      <c r="BA78" s="164">
        <v>2.3041642423696498E-6</v>
      </c>
    </row>
    <row r="79" spans="1:53">
      <c r="A79" s="2">
        <v>424</v>
      </c>
      <c r="B79" s="2">
        <v>7228</v>
      </c>
      <c r="C79" s="2" t="s">
        <v>1349</v>
      </c>
      <c r="D79" s="2" t="s">
        <v>33</v>
      </c>
      <c r="E79" s="2" t="s">
        <v>1410</v>
      </c>
      <c r="F79" s="2" t="s">
        <v>1411</v>
      </c>
      <c r="G79" s="2" t="s">
        <v>1073</v>
      </c>
      <c r="I79" s="2" t="s">
        <v>30</v>
      </c>
      <c r="J79" s="2" t="s">
        <v>30</v>
      </c>
      <c r="K79" s="2" t="s">
        <v>487</v>
      </c>
      <c r="L79" s="2" t="s">
        <v>155</v>
      </c>
      <c r="M79" s="2" t="s">
        <v>375</v>
      </c>
      <c r="N79" s="151">
        <v>513326439</v>
      </c>
      <c r="O79" s="2" t="s">
        <v>1352</v>
      </c>
      <c r="P79" s="2" t="s">
        <v>1353</v>
      </c>
      <c r="Q79" s="2" t="s">
        <v>206</v>
      </c>
      <c r="R79" s="2" t="s">
        <v>442</v>
      </c>
      <c r="S79" s="2" t="s">
        <v>34</v>
      </c>
      <c r="T79" s="151">
        <v>3.24</v>
      </c>
      <c r="U79" s="2" t="s">
        <v>194</v>
      </c>
      <c r="V79" s="162">
        <v>5.5E-2</v>
      </c>
      <c r="W79" s="2" t="s">
        <v>790</v>
      </c>
      <c r="X79" s="2" t="s">
        <v>1354</v>
      </c>
      <c r="Y79" s="151">
        <v>5.5</v>
      </c>
      <c r="Z79" s="164">
        <v>2.9000000000000001E-2</v>
      </c>
      <c r="AA79" s="2" t="s">
        <v>1355</v>
      </c>
      <c r="AB79" s="4" t="s">
        <v>447</v>
      </c>
      <c r="AE79" s="164">
        <v>0</v>
      </c>
      <c r="AG79" s="2" t="s">
        <v>155</v>
      </c>
      <c r="AJ79" s="2" t="s">
        <v>155</v>
      </c>
      <c r="AK79" s="2" t="s">
        <v>194</v>
      </c>
      <c r="AN79" s="2" t="s">
        <v>157</v>
      </c>
      <c r="AP79" s="162">
        <v>0</v>
      </c>
      <c r="AQ79" s="151">
        <v>9832.5300000000007</v>
      </c>
      <c r="AR79" s="175">
        <v>125.56</v>
      </c>
      <c r="AS79" s="158">
        <v>1</v>
      </c>
      <c r="AT79" s="151">
        <v>12.346</v>
      </c>
      <c r="AU79" s="151">
        <v>12.346</v>
      </c>
      <c r="AX79" s="4" t="s">
        <v>155</v>
      </c>
      <c r="AY79" s="2" t="s">
        <v>36</v>
      </c>
      <c r="AZ79" s="164">
        <v>2.4770169358176599E-4</v>
      </c>
      <c r="BA79" s="164">
        <v>5.1142045021195398E-6</v>
      </c>
    </row>
    <row r="80" spans="1:53">
      <c r="A80" s="2">
        <v>424</v>
      </c>
      <c r="B80" s="2">
        <v>7228</v>
      </c>
      <c r="C80" s="2" t="s">
        <v>1349</v>
      </c>
      <c r="D80" s="2" t="s">
        <v>33</v>
      </c>
      <c r="E80" s="2" t="s">
        <v>1412</v>
      </c>
      <c r="F80" s="2" t="s">
        <v>1413</v>
      </c>
      <c r="G80" s="2" t="s">
        <v>1073</v>
      </c>
      <c r="I80" s="2" t="s">
        <v>30</v>
      </c>
      <c r="J80" s="2" t="s">
        <v>30</v>
      </c>
      <c r="K80" s="2" t="s">
        <v>487</v>
      </c>
      <c r="L80" s="2" t="s">
        <v>155</v>
      </c>
      <c r="M80" s="2" t="s">
        <v>375</v>
      </c>
      <c r="N80" s="2" t="s">
        <v>1349</v>
      </c>
      <c r="O80" s="2" t="s">
        <v>1414</v>
      </c>
      <c r="P80" s="2" t="s">
        <v>1340</v>
      </c>
      <c r="Q80" s="2" t="s">
        <v>101</v>
      </c>
      <c r="R80" s="2" t="s">
        <v>442</v>
      </c>
      <c r="S80" s="2" t="s">
        <v>34</v>
      </c>
      <c r="T80" s="151">
        <v>3.08</v>
      </c>
      <c r="U80" s="2" t="s">
        <v>194</v>
      </c>
      <c r="V80" s="162">
        <v>5.7230999999999997E-2</v>
      </c>
      <c r="W80" s="2" t="s">
        <v>790</v>
      </c>
      <c r="X80" s="2" t="s">
        <v>944</v>
      </c>
      <c r="Y80" s="151">
        <v>5.7230999999999996</v>
      </c>
      <c r="Z80" s="164">
        <v>2.811E-2</v>
      </c>
      <c r="AA80" s="2" t="s">
        <v>1364</v>
      </c>
      <c r="AB80" s="4" t="s">
        <v>447</v>
      </c>
      <c r="AC80" s="2" t="s">
        <v>519</v>
      </c>
      <c r="AD80" s="151">
        <v>4685</v>
      </c>
      <c r="AE80" s="164">
        <v>0.78</v>
      </c>
      <c r="AF80" s="2" t="s">
        <v>1365</v>
      </c>
      <c r="AG80" s="2" t="s">
        <v>155</v>
      </c>
      <c r="AI80" s="2" t="s">
        <v>1366</v>
      </c>
      <c r="AJ80" s="2" t="s">
        <v>375</v>
      </c>
      <c r="AK80" s="2" t="s">
        <v>927</v>
      </c>
      <c r="AL80" s="2" t="s">
        <v>1340</v>
      </c>
      <c r="AN80" s="2" t="s">
        <v>157</v>
      </c>
      <c r="AO80" s="2" t="s">
        <v>1365</v>
      </c>
      <c r="AP80" s="162">
        <v>0</v>
      </c>
      <c r="AQ80" s="151">
        <v>94458.01</v>
      </c>
      <c r="AR80" s="175">
        <v>130.76</v>
      </c>
      <c r="AS80" s="158">
        <v>1</v>
      </c>
      <c r="AT80" s="151">
        <v>123.51300000000001</v>
      </c>
      <c r="AU80" s="151">
        <v>123.51300000000001</v>
      </c>
      <c r="AX80" s="4" t="s">
        <v>155</v>
      </c>
      <c r="AY80" s="2" t="s">
        <v>36</v>
      </c>
      <c r="AZ80" s="164">
        <v>2.4781414534740202E-3</v>
      </c>
      <c r="BA80" s="164">
        <v>5.1165262517925803E-5</v>
      </c>
    </row>
    <row r="81" spans="1:53">
      <c r="A81" s="2">
        <v>424</v>
      </c>
      <c r="B81" s="2">
        <v>7228</v>
      </c>
      <c r="C81" s="2" t="s">
        <v>1349</v>
      </c>
      <c r="D81" s="2" t="s">
        <v>33</v>
      </c>
      <c r="E81" s="2" t="s">
        <v>1415</v>
      </c>
      <c r="F81" s="2" t="s">
        <v>1416</v>
      </c>
      <c r="G81" s="2" t="s">
        <v>1073</v>
      </c>
      <c r="I81" s="2" t="s">
        <v>30</v>
      </c>
      <c r="J81" s="2" t="s">
        <v>30</v>
      </c>
      <c r="K81" s="2" t="s">
        <v>487</v>
      </c>
      <c r="L81" s="2" t="s">
        <v>155</v>
      </c>
      <c r="M81" s="2" t="s">
        <v>375</v>
      </c>
      <c r="N81" s="151">
        <v>513326439</v>
      </c>
      <c r="O81" s="2" t="s">
        <v>1352</v>
      </c>
      <c r="P81" s="2" t="s">
        <v>1353</v>
      </c>
      <c r="Q81" s="2" t="s">
        <v>206</v>
      </c>
      <c r="R81" s="2" t="s">
        <v>442</v>
      </c>
      <c r="S81" s="2" t="s">
        <v>34</v>
      </c>
      <c r="T81" s="151">
        <v>3.22</v>
      </c>
      <c r="U81" s="2" t="s">
        <v>1358</v>
      </c>
      <c r="V81" s="162">
        <v>5.6619999999999997E-2</v>
      </c>
      <c r="W81" s="2" t="s">
        <v>790</v>
      </c>
      <c r="X81" s="2" t="s">
        <v>1354</v>
      </c>
      <c r="Y81" s="151">
        <v>5.6619999999999999</v>
      </c>
      <c r="Z81" s="164">
        <v>3.27E-2</v>
      </c>
      <c r="AA81" s="2" t="s">
        <v>1355</v>
      </c>
      <c r="AB81" s="4" t="s">
        <v>447</v>
      </c>
      <c r="AE81" s="164">
        <v>0</v>
      </c>
      <c r="AG81" s="2" t="s">
        <v>155</v>
      </c>
      <c r="AJ81" s="2" t="s">
        <v>155</v>
      </c>
      <c r="AK81" s="2" t="s">
        <v>194</v>
      </c>
      <c r="AN81" s="2" t="s">
        <v>157</v>
      </c>
      <c r="AP81" s="162">
        <v>0</v>
      </c>
      <c r="AQ81" s="151">
        <v>21240.560000000001</v>
      </c>
      <c r="AR81" s="175">
        <v>129.13</v>
      </c>
      <c r="AS81" s="158">
        <v>1</v>
      </c>
      <c r="AT81" s="151">
        <v>27.428000000000001</v>
      </c>
      <c r="AU81" s="151">
        <v>27.428000000000001</v>
      </c>
      <c r="AX81" s="4" t="s">
        <v>155</v>
      </c>
      <c r="AY81" s="2" t="s">
        <v>36</v>
      </c>
      <c r="AZ81" s="164">
        <v>5.5030758949827104E-4</v>
      </c>
      <c r="BA81" s="164">
        <v>1.1361995596665501E-5</v>
      </c>
    </row>
    <row r="82" spans="1:53">
      <c r="A82" s="2">
        <v>424</v>
      </c>
      <c r="B82" s="2">
        <v>7228</v>
      </c>
      <c r="C82" s="2" t="s">
        <v>1349</v>
      </c>
      <c r="D82" s="2" t="s">
        <v>33</v>
      </c>
      <c r="E82" s="2" t="s">
        <v>1417</v>
      </c>
      <c r="F82" s="2" t="s">
        <v>1418</v>
      </c>
      <c r="G82" s="2" t="s">
        <v>1073</v>
      </c>
      <c r="I82" s="2" t="s">
        <v>30</v>
      </c>
      <c r="J82" s="2" t="s">
        <v>30</v>
      </c>
      <c r="K82" s="2" t="s">
        <v>487</v>
      </c>
      <c r="L82" s="2" t="s">
        <v>155</v>
      </c>
      <c r="M82" s="2" t="s">
        <v>375</v>
      </c>
      <c r="N82" s="2" t="s">
        <v>1349</v>
      </c>
      <c r="O82" s="2" t="s">
        <v>1419</v>
      </c>
      <c r="P82" s="2" t="s">
        <v>1340</v>
      </c>
      <c r="Q82" s="2" t="s">
        <v>101</v>
      </c>
      <c r="R82" s="2" t="s">
        <v>442</v>
      </c>
      <c r="S82" s="2" t="s">
        <v>34</v>
      </c>
      <c r="T82" s="151">
        <v>3.24</v>
      </c>
      <c r="U82" s="2" t="s">
        <v>1358</v>
      </c>
      <c r="V82" s="162">
        <v>5.5E-2</v>
      </c>
      <c r="W82" s="2" t="s">
        <v>790</v>
      </c>
      <c r="X82" s="2" t="s">
        <v>944</v>
      </c>
      <c r="Y82" s="151">
        <v>5.5</v>
      </c>
      <c r="Z82" s="164">
        <v>2.9000000000000001E-2</v>
      </c>
      <c r="AA82" s="2" t="s">
        <v>1364</v>
      </c>
      <c r="AB82" s="4" t="s">
        <v>447</v>
      </c>
      <c r="AC82" s="2" t="s">
        <v>519</v>
      </c>
      <c r="AD82" s="151">
        <v>6161</v>
      </c>
      <c r="AE82" s="164">
        <v>0.78</v>
      </c>
      <c r="AF82" s="2" t="s">
        <v>1365</v>
      </c>
      <c r="AG82" s="2" t="s">
        <v>155</v>
      </c>
      <c r="AI82" s="2" t="s">
        <v>1366</v>
      </c>
      <c r="AJ82" s="2" t="s">
        <v>375</v>
      </c>
      <c r="AK82" s="2" t="s">
        <v>927</v>
      </c>
      <c r="AL82" s="2" t="s">
        <v>1340</v>
      </c>
      <c r="AN82" s="2" t="s">
        <v>157</v>
      </c>
      <c r="AO82" s="2" t="s">
        <v>1365</v>
      </c>
      <c r="AP82" s="162">
        <v>0</v>
      </c>
      <c r="AQ82" s="151">
        <v>124197.81</v>
      </c>
      <c r="AR82" s="175">
        <v>127.45</v>
      </c>
      <c r="AS82" s="158">
        <v>1</v>
      </c>
      <c r="AT82" s="151">
        <v>158.29</v>
      </c>
      <c r="AU82" s="151">
        <v>158.29</v>
      </c>
      <c r="AX82" s="4" t="s">
        <v>155</v>
      </c>
      <c r="AY82" s="2" t="s">
        <v>36</v>
      </c>
      <c r="AZ82" s="164">
        <v>3.1758952262865001E-3</v>
      </c>
      <c r="BA82" s="164">
        <v>6.5571524480404094E-5</v>
      </c>
    </row>
    <row r="83" spans="1:53">
      <c r="A83" s="2">
        <v>424</v>
      </c>
      <c r="B83" s="2">
        <v>7228</v>
      </c>
      <c r="C83" s="2" t="s">
        <v>1349</v>
      </c>
      <c r="D83" s="2" t="s">
        <v>33</v>
      </c>
      <c r="E83" s="2" t="s">
        <v>1420</v>
      </c>
      <c r="F83" s="2" t="s">
        <v>1421</v>
      </c>
      <c r="G83" s="2" t="s">
        <v>1073</v>
      </c>
      <c r="I83" s="2" t="s">
        <v>30</v>
      </c>
      <c r="J83" s="2" t="s">
        <v>30</v>
      </c>
      <c r="K83" s="2" t="s">
        <v>487</v>
      </c>
      <c r="L83" s="2" t="s">
        <v>155</v>
      </c>
      <c r="M83" s="2" t="s">
        <v>375</v>
      </c>
      <c r="N83" s="2" t="s">
        <v>1349</v>
      </c>
      <c r="O83" s="2" t="s">
        <v>1422</v>
      </c>
      <c r="P83" s="2" t="s">
        <v>1340</v>
      </c>
      <c r="Q83" s="2" t="s">
        <v>101</v>
      </c>
      <c r="R83" s="2" t="s">
        <v>442</v>
      </c>
      <c r="S83" s="2" t="s">
        <v>34</v>
      </c>
      <c r="T83" s="151">
        <v>3.24</v>
      </c>
      <c r="U83" s="2" t="s">
        <v>1358</v>
      </c>
      <c r="V83" s="162">
        <v>5.5309999999999998E-2</v>
      </c>
      <c r="W83" s="2" t="s">
        <v>790</v>
      </c>
      <c r="X83" s="2" t="s">
        <v>944</v>
      </c>
      <c r="Y83" s="151">
        <v>5.5309999999999997</v>
      </c>
      <c r="Z83" s="164">
        <v>2.9000000000000001E-2</v>
      </c>
      <c r="AA83" s="2" t="s">
        <v>1355</v>
      </c>
      <c r="AB83" s="4" t="s">
        <v>447</v>
      </c>
      <c r="AC83" s="2" t="s">
        <v>519</v>
      </c>
      <c r="AD83" s="151">
        <v>9674</v>
      </c>
      <c r="AE83" s="164">
        <v>0.78</v>
      </c>
      <c r="AF83" s="2" t="s">
        <v>1365</v>
      </c>
      <c r="AG83" s="2" t="s">
        <v>155</v>
      </c>
      <c r="AI83" s="2" t="s">
        <v>1366</v>
      </c>
      <c r="AJ83" s="2" t="s">
        <v>375</v>
      </c>
      <c r="AK83" s="2" t="s">
        <v>927</v>
      </c>
      <c r="AL83" s="2" t="s">
        <v>1340</v>
      </c>
      <c r="AN83" s="2" t="s">
        <v>157</v>
      </c>
      <c r="AO83" s="2" t="s">
        <v>1365</v>
      </c>
      <c r="AP83" s="162">
        <v>0</v>
      </c>
      <c r="AQ83" s="151">
        <v>89960.85</v>
      </c>
      <c r="AR83" s="175">
        <v>130.07</v>
      </c>
      <c r="AS83" s="158">
        <v>1</v>
      </c>
      <c r="AT83" s="151">
        <v>117.012</v>
      </c>
      <c r="AU83" s="151">
        <v>117.012</v>
      </c>
      <c r="AX83" s="4" t="s">
        <v>155</v>
      </c>
      <c r="AY83" s="2" t="s">
        <v>36</v>
      </c>
      <c r="AZ83" s="164">
        <v>2.34770259091627E-3</v>
      </c>
      <c r="BA83" s="164">
        <v>4.8472139961926901E-5</v>
      </c>
    </row>
    <row r="84" spans="1:53">
      <c r="A84" s="2">
        <v>424</v>
      </c>
      <c r="B84" s="2">
        <v>7228</v>
      </c>
      <c r="C84" s="2" t="s">
        <v>1349</v>
      </c>
      <c r="D84" s="2" t="s">
        <v>33</v>
      </c>
      <c r="E84" s="2" t="s">
        <v>1423</v>
      </c>
      <c r="F84" s="2" t="s">
        <v>1424</v>
      </c>
      <c r="G84" s="2" t="s">
        <v>1073</v>
      </c>
      <c r="I84" s="2" t="s">
        <v>30</v>
      </c>
      <c r="J84" s="2" t="s">
        <v>30</v>
      </c>
      <c r="K84" s="2" t="s">
        <v>487</v>
      </c>
      <c r="L84" s="2" t="s">
        <v>155</v>
      </c>
      <c r="M84" s="2" t="s">
        <v>375</v>
      </c>
      <c r="N84" s="151">
        <v>513326439</v>
      </c>
      <c r="O84" s="2" t="s">
        <v>1425</v>
      </c>
      <c r="P84" s="2" t="s">
        <v>1353</v>
      </c>
      <c r="Q84" s="2" t="s">
        <v>206</v>
      </c>
      <c r="R84" s="2" t="s">
        <v>442</v>
      </c>
      <c r="S84" s="2" t="s">
        <v>34</v>
      </c>
      <c r="T84" s="151">
        <v>3.24</v>
      </c>
      <c r="U84" s="2" t="s">
        <v>194</v>
      </c>
      <c r="V84" s="162">
        <v>5.5E-2</v>
      </c>
      <c r="W84" s="2" t="s">
        <v>790</v>
      </c>
      <c r="X84" s="2" t="s">
        <v>1354</v>
      </c>
      <c r="Y84" s="151">
        <v>5.5</v>
      </c>
      <c r="Z84" s="164">
        <v>2.75E-2</v>
      </c>
      <c r="AA84" s="2" t="s">
        <v>1364</v>
      </c>
      <c r="AB84" s="4" t="s">
        <v>447</v>
      </c>
      <c r="AE84" s="164">
        <v>0</v>
      </c>
      <c r="AG84" s="2" t="s">
        <v>155</v>
      </c>
      <c r="AJ84" s="2" t="s">
        <v>155</v>
      </c>
      <c r="AK84" s="2" t="s">
        <v>194</v>
      </c>
      <c r="AN84" s="2" t="s">
        <v>157</v>
      </c>
      <c r="AP84" s="162">
        <v>0</v>
      </c>
      <c r="AQ84" s="151">
        <v>21457.34</v>
      </c>
      <c r="AR84" s="175">
        <v>128.68</v>
      </c>
      <c r="AS84" s="158">
        <v>1</v>
      </c>
      <c r="AT84" s="151">
        <v>27.611000000000001</v>
      </c>
      <c r="AU84" s="151">
        <v>27.611000000000001</v>
      </c>
      <c r="AX84" s="4" t="s">
        <v>155</v>
      </c>
      <c r="AY84" s="2" t="s">
        <v>36</v>
      </c>
      <c r="AZ84" s="164">
        <v>5.5398668139529004E-4</v>
      </c>
      <c r="BA84" s="164">
        <v>1.14379564351699E-5</v>
      </c>
    </row>
    <row r="85" spans="1:53">
      <c r="A85" s="2">
        <v>424</v>
      </c>
      <c r="B85" s="2">
        <v>7228</v>
      </c>
      <c r="C85" s="2" t="s">
        <v>1349</v>
      </c>
      <c r="D85" s="2" t="s">
        <v>33</v>
      </c>
      <c r="E85" s="2" t="s">
        <v>1426</v>
      </c>
      <c r="F85" s="2" t="s">
        <v>1427</v>
      </c>
      <c r="G85" s="2" t="s">
        <v>1073</v>
      </c>
      <c r="I85" s="2" t="s">
        <v>30</v>
      </c>
      <c r="J85" s="2" t="s">
        <v>30</v>
      </c>
      <c r="K85" s="2" t="s">
        <v>487</v>
      </c>
      <c r="L85" s="2" t="s">
        <v>155</v>
      </c>
      <c r="M85" s="2" t="s">
        <v>375</v>
      </c>
      <c r="N85" s="2" t="s">
        <v>1349</v>
      </c>
      <c r="O85" s="2" t="s">
        <v>1428</v>
      </c>
      <c r="P85" s="2" t="s">
        <v>1340</v>
      </c>
      <c r="Q85" s="2" t="s">
        <v>206</v>
      </c>
      <c r="R85" s="2" t="s">
        <v>442</v>
      </c>
      <c r="S85" s="2" t="s">
        <v>34</v>
      </c>
      <c r="T85" s="151">
        <v>3.24</v>
      </c>
      <c r="U85" s="2" t="s">
        <v>1358</v>
      </c>
      <c r="V85" s="162">
        <v>5.5E-2</v>
      </c>
      <c r="W85" s="2" t="s">
        <v>790</v>
      </c>
      <c r="X85" s="2" t="s">
        <v>944</v>
      </c>
      <c r="Y85" s="151">
        <v>5.5</v>
      </c>
      <c r="Z85" s="164">
        <v>2.9000000000000001E-2</v>
      </c>
      <c r="AA85" s="2" t="s">
        <v>1355</v>
      </c>
      <c r="AB85" s="4" t="s">
        <v>447</v>
      </c>
      <c r="AC85" s="2" t="s">
        <v>519</v>
      </c>
      <c r="AD85" s="151">
        <v>2154</v>
      </c>
      <c r="AE85" s="164">
        <v>0.78</v>
      </c>
      <c r="AF85" s="2" t="s">
        <v>1365</v>
      </c>
      <c r="AG85" s="2" t="s">
        <v>155</v>
      </c>
      <c r="AI85" s="2" t="s">
        <v>1366</v>
      </c>
      <c r="AJ85" s="2" t="s">
        <v>375</v>
      </c>
      <c r="AK85" s="2" t="s">
        <v>927</v>
      </c>
      <c r="AL85" s="2" t="s">
        <v>1340</v>
      </c>
      <c r="AN85" s="2" t="s">
        <v>157</v>
      </c>
      <c r="AO85" s="2" t="s">
        <v>1365</v>
      </c>
      <c r="AP85" s="162">
        <v>0</v>
      </c>
      <c r="AQ85" s="151">
        <v>43438.74</v>
      </c>
      <c r="AR85" s="175">
        <v>127.82</v>
      </c>
      <c r="AS85" s="158">
        <v>1</v>
      </c>
      <c r="AT85" s="151">
        <v>55.523000000000003</v>
      </c>
      <c r="AU85" s="151">
        <v>55.523000000000003</v>
      </c>
      <c r="AX85" s="4" t="s">
        <v>155</v>
      </c>
      <c r="AY85" s="2" t="s">
        <v>36</v>
      </c>
      <c r="AZ85" s="164">
        <v>1.1140082867622499E-3</v>
      </c>
      <c r="BA85" s="164">
        <v>2.3000513695225598E-5</v>
      </c>
    </row>
    <row r="86" spans="1:53">
      <c r="A86" s="2">
        <v>424</v>
      </c>
      <c r="B86" s="2">
        <v>7228</v>
      </c>
      <c r="C86" s="2" t="s">
        <v>1349</v>
      </c>
      <c r="D86" s="2" t="s">
        <v>33</v>
      </c>
      <c r="E86" s="2" t="s">
        <v>1429</v>
      </c>
      <c r="F86" s="2" t="s">
        <v>1430</v>
      </c>
      <c r="G86" s="2" t="s">
        <v>1073</v>
      </c>
      <c r="I86" s="2" t="s">
        <v>30</v>
      </c>
      <c r="J86" s="2" t="s">
        <v>30</v>
      </c>
      <c r="K86" s="2" t="s">
        <v>487</v>
      </c>
      <c r="L86" s="2" t="s">
        <v>155</v>
      </c>
      <c r="M86" s="2" t="s">
        <v>375</v>
      </c>
      <c r="N86" s="2" t="s">
        <v>1349</v>
      </c>
      <c r="O86" s="2" t="s">
        <v>1431</v>
      </c>
      <c r="P86" s="2" t="s">
        <v>1340</v>
      </c>
      <c r="Q86" s="2" t="s">
        <v>206</v>
      </c>
      <c r="R86" s="2" t="s">
        <v>442</v>
      </c>
      <c r="S86" s="2" t="s">
        <v>34</v>
      </c>
      <c r="T86" s="151">
        <v>3.24</v>
      </c>
      <c r="U86" s="2" t="s">
        <v>1358</v>
      </c>
      <c r="V86" s="162">
        <v>5.5E-2</v>
      </c>
      <c r="W86" s="2" t="s">
        <v>790</v>
      </c>
      <c r="X86" s="2" t="s">
        <v>944</v>
      </c>
      <c r="Y86" s="151">
        <v>5.5</v>
      </c>
      <c r="Z86" s="164">
        <v>2.9000000000000001E-2</v>
      </c>
      <c r="AA86" s="2" t="s">
        <v>1355</v>
      </c>
      <c r="AB86" s="4" t="s">
        <v>447</v>
      </c>
      <c r="AC86" s="2" t="s">
        <v>519</v>
      </c>
      <c r="AD86" s="151">
        <v>3341</v>
      </c>
      <c r="AE86" s="164">
        <v>0.78</v>
      </c>
      <c r="AF86" s="2" t="s">
        <v>1365</v>
      </c>
      <c r="AG86" s="2" t="s">
        <v>155</v>
      </c>
      <c r="AI86" s="2" t="s">
        <v>1366</v>
      </c>
      <c r="AJ86" s="2" t="s">
        <v>375</v>
      </c>
      <c r="AK86" s="2" t="s">
        <v>927</v>
      </c>
      <c r="AL86" s="2" t="s">
        <v>1340</v>
      </c>
      <c r="AN86" s="2" t="s">
        <v>157</v>
      </c>
      <c r="AO86" s="2" t="s">
        <v>1365</v>
      </c>
      <c r="AP86" s="162">
        <v>0</v>
      </c>
      <c r="AQ86" s="151">
        <v>67355.61</v>
      </c>
      <c r="AR86" s="175">
        <v>128.06</v>
      </c>
      <c r="AS86" s="158">
        <v>1</v>
      </c>
      <c r="AT86" s="151">
        <v>86.256</v>
      </c>
      <c r="AU86" s="151">
        <v>86.256</v>
      </c>
      <c r="AX86" s="4" t="s">
        <v>155</v>
      </c>
      <c r="AY86" s="2" t="s">
        <v>36</v>
      </c>
      <c r="AZ86" s="164">
        <v>1.7306117972320601E-3</v>
      </c>
      <c r="BA86" s="164">
        <v>3.57312964511637E-5</v>
      </c>
    </row>
    <row r="87" spans="1:53">
      <c r="A87" s="2">
        <v>424</v>
      </c>
      <c r="B87" s="2">
        <v>7228</v>
      </c>
      <c r="C87" s="2" t="s">
        <v>1349</v>
      </c>
      <c r="D87" s="2" t="s">
        <v>33</v>
      </c>
      <c r="E87" s="2" t="s">
        <v>1432</v>
      </c>
      <c r="F87" s="2" t="s">
        <v>1433</v>
      </c>
      <c r="G87" s="2" t="s">
        <v>1073</v>
      </c>
      <c r="I87" s="2" t="s">
        <v>30</v>
      </c>
      <c r="J87" s="2" t="s">
        <v>30</v>
      </c>
      <c r="K87" s="2" t="s">
        <v>487</v>
      </c>
      <c r="L87" s="2" t="s">
        <v>155</v>
      </c>
      <c r="M87" s="2" t="s">
        <v>375</v>
      </c>
      <c r="N87" s="151">
        <v>513326439</v>
      </c>
      <c r="O87" s="2" t="s">
        <v>1425</v>
      </c>
      <c r="P87" s="2" t="s">
        <v>1353</v>
      </c>
      <c r="Q87" s="2" t="s">
        <v>206</v>
      </c>
      <c r="R87" s="2" t="s">
        <v>442</v>
      </c>
      <c r="S87" s="2" t="s">
        <v>34</v>
      </c>
      <c r="T87" s="151">
        <v>3.21</v>
      </c>
      <c r="U87" s="2" t="s">
        <v>194</v>
      </c>
      <c r="V87" s="162">
        <v>5.5E-2</v>
      </c>
      <c r="W87" s="2" t="s">
        <v>790</v>
      </c>
      <c r="X87" s="2" t="s">
        <v>1354</v>
      </c>
      <c r="Y87" s="151">
        <v>5.5</v>
      </c>
      <c r="Z87" s="164">
        <v>3.0949999999999998E-2</v>
      </c>
      <c r="AA87" s="2" t="s">
        <v>1364</v>
      </c>
      <c r="AB87" s="4" t="s">
        <v>447</v>
      </c>
      <c r="AE87" s="164">
        <v>0</v>
      </c>
      <c r="AG87" s="2" t="s">
        <v>155</v>
      </c>
      <c r="AJ87" s="2" t="s">
        <v>155</v>
      </c>
      <c r="AK87" s="2" t="s">
        <v>194</v>
      </c>
      <c r="AN87" s="2" t="s">
        <v>157</v>
      </c>
      <c r="AP87" s="162">
        <v>0</v>
      </c>
      <c r="AQ87" s="151">
        <v>17768.599999999999</v>
      </c>
      <c r="AR87" s="175">
        <v>127.76</v>
      </c>
      <c r="AS87" s="158">
        <v>1</v>
      </c>
      <c r="AT87" s="151">
        <v>22.701000000000001</v>
      </c>
      <c r="AU87" s="151">
        <v>22.701000000000001</v>
      </c>
      <c r="AX87" s="4" t="s">
        <v>155</v>
      </c>
      <c r="AY87" s="2" t="s">
        <v>36</v>
      </c>
      <c r="AZ87" s="164">
        <v>4.5547076107435E-4</v>
      </c>
      <c r="BA87" s="164">
        <v>9.4039349638169893E-6</v>
      </c>
    </row>
    <row r="88" spans="1:53">
      <c r="A88" s="2">
        <v>424</v>
      </c>
      <c r="B88" s="2">
        <v>7228</v>
      </c>
      <c r="C88" s="2" t="s">
        <v>1349</v>
      </c>
      <c r="D88" s="2" t="s">
        <v>33</v>
      </c>
      <c r="E88" s="2" t="s">
        <v>1434</v>
      </c>
      <c r="F88" s="2" t="s">
        <v>1435</v>
      </c>
      <c r="G88" s="2" t="s">
        <v>1073</v>
      </c>
      <c r="I88" s="2" t="s">
        <v>30</v>
      </c>
      <c r="J88" s="2" t="s">
        <v>30</v>
      </c>
      <c r="K88" s="2" t="s">
        <v>487</v>
      </c>
      <c r="L88" s="2" t="s">
        <v>155</v>
      </c>
      <c r="M88" s="2" t="s">
        <v>375</v>
      </c>
      <c r="N88" s="2" t="s">
        <v>1349</v>
      </c>
      <c r="O88" s="2" t="s">
        <v>1436</v>
      </c>
      <c r="P88" s="2" t="s">
        <v>1340</v>
      </c>
      <c r="Q88" s="2" t="s">
        <v>206</v>
      </c>
      <c r="R88" s="2" t="s">
        <v>442</v>
      </c>
      <c r="S88" s="2" t="s">
        <v>34</v>
      </c>
      <c r="T88" s="151">
        <v>3.24</v>
      </c>
      <c r="U88" s="2" t="s">
        <v>1358</v>
      </c>
      <c r="V88" s="162">
        <v>5.5E-2</v>
      </c>
      <c r="W88" s="2" t="s">
        <v>790</v>
      </c>
      <c r="X88" s="2" t="s">
        <v>944</v>
      </c>
      <c r="Y88" s="151">
        <v>5.5</v>
      </c>
      <c r="Z88" s="164">
        <v>2.76E-2</v>
      </c>
      <c r="AA88" s="2" t="s">
        <v>1355</v>
      </c>
      <c r="AB88" s="4" t="s">
        <v>447</v>
      </c>
      <c r="AC88" s="2" t="s">
        <v>519</v>
      </c>
      <c r="AD88" s="151">
        <v>774</v>
      </c>
      <c r="AE88" s="164">
        <v>0.78</v>
      </c>
      <c r="AF88" s="2" t="s">
        <v>1365</v>
      </c>
      <c r="AG88" s="2" t="s">
        <v>155</v>
      </c>
      <c r="AI88" s="2" t="s">
        <v>1366</v>
      </c>
      <c r="AJ88" s="2" t="s">
        <v>375</v>
      </c>
      <c r="AK88" s="2" t="s">
        <v>927</v>
      </c>
      <c r="AL88" s="2" t="s">
        <v>1340</v>
      </c>
      <c r="AN88" s="2" t="s">
        <v>157</v>
      </c>
      <c r="AO88" s="2" t="s">
        <v>1365</v>
      </c>
      <c r="AP88" s="162">
        <v>0</v>
      </c>
      <c r="AQ88" s="151">
        <v>15596.79</v>
      </c>
      <c r="AR88" s="175">
        <v>126.71</v>
      </c>
      <c r="AS88" s="158">
        <v>1</v>
      </c>
      <c r="AT88" s="151">
        <v>19.763000000000002</v>
      </c>
      <c r="AU88" s="151">
        <v>19.763000000000002</v>
      </c>
      <c r="AX88" s="4" t="s">
        <v>155</v>
      </c>
      <c r="AY88" s="2" t="s">
        <v>36</v>
      </c>
      <c r="AZ88" s="164">
        <v>3.9651398039627499E-4</v>
      </c>
      <c r="BA88" s="164">
        <v>8.1866762974980306E-6</v>
      </c>
    </row>
    <row r="89" spans="1:53">
      <c r="A89" s="2">
        <v>424</v>
      </c>
      <c r="B89" s="2">
        <v>7228</v>
      </c>
      <c r="C89" s="2" t="s">
        <v>1349</v>
      </c>
      <c r="D89" s="2" t="s">
        <v>33</v>
      </c>
      <c r="E89" s="2" t="s">
        <v>1437</v>
      </c>
      <c r="F89" s="2" t="s">
        <v>1438</v>
      </c>
      <c r="G89" s="2" t="s">
        <v>1073</v>
      </c>
      <c r="I89" s="2" t="s">
        <v>30</v>
      </c>
      <c r="J89" s="2" t="s">
        <v>30</v>
      </c>
      <c r="K89" s="2" t="s">
        <v>487</v>
      </c>
      <c r="L89" s="2" t="s">
        <v>155</v>
      </c>
      <c r="M89" s="2" t="s">
        <v>375</v>
      </c>
      <c r="N89" s="2" t="s">
        <v>1349</v>
      </c>
      <c r="O89" s="2" t="s">
        <v>1439</v>
      </c>
      <c r="P89" s="2" t="s">
        <v>1340</v>
      </c>
      <c r="Q89" s="2" t="s">
        <v>206</v>
      </c>
      <c r="R89" s="2" t="s">
        <v>442</v>
      </c>
      <c r="S89" s="2" t="s">
        <v>34</v>
      </c>
      <c r="T89" s="151">
        <v>3.24</v>
      </c>
      <c r="U89" s="2" t="s">
        <v>1358</v>
      </c>
      <c r="V89" s="162">
        <v>5.5E-2</v>
      </c>
      <c r="W89" s="2" t="s">
        <v>790</v>
      </c>
      <c r="X89" s="2" t="s">
        <v>944</v>
      </c>
      <c r="Y89" s="151">
        <v>5.5</v>
      </c>
      <c r="Z89" s="164">
        <v>2.7799999999999998E-2</v>
      </c>
      <c r="AA89" s="2" t="s">
        <v>1355</v>
      </c>
      <c r="AB89" s="4" t="s">
        <v>447</v>
      </c>
      <c r="AC89" s="2" t="s">
        <v>519</v>
      </c>
      <c r="AD89" s="151">
        <v>862</v>
      </c>
      <c r="AE89" s="164">
        <v>0.78</v>
      </c>
      <c r="AF89" s="2" t="s">
        <v>1365</v>
      </c>
      <c r="AG89" s="2" t="s">
        <v>155</v>
      </c>
      <c r="AI89" s="2" t="s">
        <v>1366</v>
      </c>
      <c r="AJ89" s="2" t="s">
        <v>375</v>
      </c>
      <c r="AK89" s="2" t="s">
        <v>927</v>
      </c>
      <c r="AL89" s="2" t="s">
        <v>1340</v>
      </c>
      <c r="AN89" s="2" t="s">
        <v>157</v>
      </c>
      <c r="AO89" s="2" t="s">
        <v>1365</v>
      </c>
      <c r="AP89" s="162">
        <v>0</v>
      </c>
      <c r="AQ89" s="151">
        <v>17386.150000000001</v>
      </c>
      <c r="AR89" s="175">
        <v>126.03</v>
      </c>
      <c r="AS89" s="158">
        <v>1</v>
      </c>
      <c r="AT89" s="151">
        <v>21.911999999999999</v>
      </c>
      <c r="AU89" s="151">
        <v>21.911999999999999</v>
      </c>
      <c r="AX89" s="4" t="s">
        <v>155</v>
      </c>
      <c r="AY89" s="2" t="s">
        <v>36</v>
      </c>
      <c r="AZ89" s="164">
        <v>4.39632456370921E-4</v>
      </c>
      <c r="BA89" s="164">
        <v>9.0769273925365705E-6</v>
      </c>
    </row>
    <row r="90" spans="1:53">
      <c r="A90" s="2">
        <v>424</v>
      </c>
      <c r="B90" s="2">
        <v>7228</v>
      </c>
      <c r="C90" s="2" t="s">
        <v>1349</v>
      </c>
      <c r="D90" s="2" t="s">
        <v>33</v>
      </c>
      <c r="E90" s="2" t="s">
        <v>1440</v>
      </c>
      <c r="F90" s="2" t="s">
        <v>1441</v>
      </c>
      <c r="G90" s="2" t="s">
        <v>1073</v>
      </c>
      <c r="I90" s="2" t="s">
        <v>30</v>
      </c>
      <c r="J90" s="2" t="s">
        <v>30</v>
      </c>
      <c r="K90" s="2" t="s">
        <v>487</v>
      </c>
      <c r="L90" s="2" t="s">
        <v>155</v>
      </c>
      <c r="M90" s="2" t="s">
        <v>375</v>
      </c>
      <c r="N90" s="2" t="s">
        <v>1349</v>
      </c>
      <c r="O90" s="2" t="s">
        <v>1442</v>
      </c>
      <c r="P90" s="2" t="s">
        <v>1340</v>
      </c>
      <c r="Q90" s="2" t="s">
        <v>206</v>
      </c>
      <c r="R90" s="2" t="s">
        <v>442</v>
      </c>
      <c r="S90" s="2" t="s">
        <v>34</v>
      </c>
      <c r="T90" s="151">
        <v>3.24</v>
      </c>
      <c r="U90" s="2" t="s">
        <v>1358</v>
      </c>
      <c r="V90" s="162">
        <v>5.5E-2</v>
      </c>
      <c r="W90" s="2" t="s">
        <v>790</v>
      </c>
      <c r="X90" s="2" t="s">
        <v>944</v>
      </c>
      <c r="Y90" s="151">
        <v>5.5</v>
      </c>
      <c r="Z90" s="164">
        <v>2.9000000000000001E-2</v>
      </c>
      <c r="AA90" s="2" t="s">
        <v>1355</v>
      </c>
      <c r="AB90" s="4" t="s">
        <v>447</v>
      </c>
      <c r="AC90" s="2" t="s">
        <v>519</v>
      </c>
      <c r="AD90" s="151">
        <v>2532</v>
      </c>
      <c r="AE90" s="164">
        <v>0.78</v>
      </c>
      <c r="AF90" s="2" t="s">
        <v>1365</v>
      </c>
      <c r="AG90" s="2" t="s">
        <v>155</v>
      </c>
      <c r="AI90" s="2" t="s">
        <v>1366</v>
      </c>
      <c r="AJ90" s="2" t="s">
        <v>375</v>
      </c>
      <c r="AK90" s="2" t="s">
        <v>927</v>
      </c>
      <c r="AL90" s="2" t="s">
        <v>1340</v>
      </c>
      <c r="AN90" s="2" t="s">
        <v>157</v>
      </c>
      <c r="AO90" s="2" t="s">
        <v>1365</v>
      </c>
      <c r="AP90" s="162">
        <v>0</v>
      </c>
      <c r="AQ90" s="151">
        <v>51048.99</v>
      </c>
      <c r="AR90" s="175">
        <v>125.67</v>
      </c>
      <c r="AS90" s="158">
        <v>1</v>
      </c>
      <c r="AT90" s="151">
        <v>64.153000000000006</v>
      </c>
      <c r="AU90" s="151">
        <v>64.153000000000006</v>
      </c>
      <c r="AX90" s="4" t="s">
        <v>155</v>
      </c>
      <c r="AY90" s="2" t="s">
        <v>36</v>
      </c>
      <c r="AZ90" s="164">
        <v>1.28715591819848E-3</v>
      </c>
      <c r="BA90" s="164">
        <v>2.6575428276623799E-5</v>
      </c>
    </row>
    <row r="91" spans="1:53">
      <c r="A91" s="2">
        <v>424</v>
      </c>
      <c r="B91" s="2">
        <v>7228</v>
      </c>
      <c r="C91" s="2" t="s">
        <v>1349</v>
      </c>
      <c r="D91" s="2" t="s">
        <v>33</v>
      </c>
      <c r="E91" s="2" t="s">
        <v>1443</v>
      </c>
      <c r="F91" s="2" t="s">
        <v>1444</v>
      </c>
      <c r="G91" s="2" t="s">
        <v>1073</v>
      </c>
      <c r="I91" s="2" t="s">
        <v>30</v>
      </c>
      <c r="J91" s="2" t="s">
        <v>30</v>
      </c>
      <c r="K91" s="2" t="s">
        <v>487</v>
      </c>
      <c r="L91" s="2" t="s">
        <v>155</v>
      </c>
      <c r="M91" s="2" t="s">
        <v>375</v>
      </c>
      <c r="N91" s="2" t="s">
        <v>1349</v>
      </c>
      <c r="O91" s="2" t="s">
        <v>1445</v>
      </c>
      <c r="P91" s="2" t="s">
        <v>1340</v>
      </c>
      <c r="Q91" s="2" t="s">
        <v>206</v>
      </c>
      <c r="R91" s="2" t="s">
        <v>442</v>
      </c>
      <c r="S91" s="2" t="s">
        <v>34</v>
      </c>
      <c r="T91" s="151">
        <v>3.24</v>
      </c>
      <c r="U91" s="2" t="s">
        <v>1358</v>
      </c>
      <c r="V91" s="162">
        <v>5.5E-2</v>
      </c>
      <c r="W91" s="2" t="s">
        <v>790</v>
      </c>
      <c r="X91" s="2" t="s">
        <v>944</v>
      </c>
      <c r="Y91" s="151">
        <v>5.5</v>
      </c>
      <c r="Z91" s="164">
        <v>2.9000000000000001E-2</v>
      </c>
      <c r="AA91" s="2" t="s">
        <v>1355</v>
      </c>
      <c r="AB91" s="4" t="s">
        <v>447</v>
      </c>
      <c r="AC91" s="2" t="s">
        <v>519</v>
      </c>
      <c r="AD91" s="151">
        <v>470</v>
      </c>
      <c r="AE91" s="164">
        <v>0.78</v>
      </c>
      <c r="AF91" s="2" t="s">
        <v>1365</v>
      </c>
      <c r="AG91" s="2" t="s">
        <v>155</v>
      </c>
      <c r="AI91" s="2" t="s">
        <v>1366</v>
      </c>
      <c r="AJ91" s="2" t="s">
        <v>375</v>
      </c>
      <c r="AK91" s="2" t="s">
        <v>927</v>
      </c>
      <c r="AL91" s="2" t="s">
        <v>1340</v>
      </c>
      <c r="AN91" s="2" t="s">
        <v>157</v>
      </c>
      <c r="AO91" s="2" t="s">
        <v>1365</v>
      </c>
      <c r="AP91" s="162">
        <v>0</v>
      </c>
      <c r="AQ91" s="151">
        <v>9475.86</v>
      </c>
      <c r="AR91" s="175">
        <v>126.3</v>
      </c>
      <c r="AS91" s="158">
        <v>1</v>
      </c>
      <c r="AT91" s="151">
        <v>11.968</v>
      </c>
      <c r="AU91" s="151">
        <v>11.968</v>
      </c>
      <c r="AX91" s="4" t="s">
        <v>155</v>
      </c>
      <c r="AY91" s="2" t="s">
        <v>36</v>
      </c>
      <c r="AZ91" s="164">
        <v>2.4012333968336899E-4</v>
      </c>
      <c r="BA91" s="164">
        <v>4.9577370550649499E-6</v>
      </c>
    </row>
    <row r="92" spans="1:53">
      <c r="A92" s="2">
        <v>424</v>
      </c>
      <c r="B92" s="2">
        <v>7228</v>
      </c>
      <c r="C92" s="2" t="s">
        <v>1349</v>
      </c>
      <c r="D92" s="2" t="s">
        <v>33</v>
      </c>
      <c r="E92" s="2" t="s">
        <v>1446</v>
      </c>
      <c r="F92" s="2" t="s">
        <v>1447</v>
      </c>
      <c r="G92" s="2" t="s">
        <v>1073</v>
      </c>
      <c r="I92" s="2" t="s">
        <v>30</v>
      </c>
      <c r="J92" s="2" t="s">
        <v>30</v>
      </c>
      <c r="K92" s="2" t="s">
        <v>487</v>
      </c>
      <c r="L92" s="2" t="s">
        <v>155</v>
      </c>
      <c r="M92" s="2" t="s">
        <v>375</v>
      </c>
      <c r="N92" s="2" t="s">
        <v>1349</v>
      </c>
      <c r="O92" s="2" t="s">
        <v>1448</v>
      </c>
      <c r="P92" s="2" t="s">
        <v>1340</v>
      </c>
      <c r="Q92" s="2" t="s">
        <v>206</v>
      </c>
      <c r="R92" s="2" t="s">
        <v>442</v>
      </c>
      <c r="S92" s="2" t="s">
        <v>34</v>
      </c>
      <c r="T92" s="151">
        <v>3.24</v>
      </c>
      <c r="U92" s="2" t="s">
        <v>1358</v>
      </c>
      <c r="V92" s="162">
        <v>5.5E-2</v>
      </c>
      <c r="W92" s="2" t="s">
        <v>790</v>
      </c>
      <c r="X92" s="2" t="s">
        <v>944</v>
      </c>
      <c r="Y92" s="151">
        <v>5.5</v>
      </c>
      <c r="Z92" s="164">
        <v>2.9000000000000001E-2</v>
      </c>
      <c r="AA92" s="2" t="s">
        <v>1449</v>
      </c>
      <c r="AB92" s="4" t="s">
        <v>447</v>
      </c>
      <c r="AC92" s="2" t="s">
        <v>519</v>
      </c>
      <c r="AD92" s="151">
        <v>938</v>
      </c>
      <c r="AE92" s="164">
        <v>0.78</v>
      </c>
      <c r="AF92" s="2" t="s">
        <v>1365</v>
      </c>
      <c r="AG92" s="2" t="s">
        <v>155</v>
      </c>
      <c r="AI92" s="2" t="s">
        <v>1366</v>
      </c>
      <c r="AJ92" s="2" t="s">
        <v>375</v>
      </c>
      <c r="AK92" s="2" t="s">
        <v>927</v>
      </c>
      <c r="AL92" s="2" t="s">
        <v>1340</v>
      </c>
      <c r="AN92" s="2" t="s">
        <v>157</v>
      </c>
      <c r="AO92" s="2" t="s">
        <v>1365</v>
      </c>
      <c r="AP92" s="162">
        <v>0</v>
      </c>
      <c r="AQ92" s="151">
        <v>18909.95</v>
      </c>
      <c r="AR92" s="175">
        <v>126.55</v>
      </c>
      <c r="AS92" s="158">
        <v>1</v>
      </c>
      <c r="AT92" s="151">
        <v>23.931000000000001</v>
      </c>
      <c r="AU92" s="151">
        <v>23.931000000000001</v>
      </c>
      <c r="AX92" s="4" t="s">
        <v>155</v>
      </c>
      <c r="AY92" s="2" t="s">
        <v>36</v>
      </c>
      <c r="AZ92" s="164">
        <v>4.80136717205106E-4</v>
      </c>
      <c r="BA92" s="164">
        <v>9.9132037623823703E-6</v>
      </c>
    </row>
    <row r="93" spans="1:53">
      <c r="A93" s="2">
        <v>424</v>
      </c>
      <c r="B93" s="2">
        <v>7228</v>
      </c>
      <c r="C93" s="2" t="s">
        <v>1349</v>
      </c>
      <c r="D93" s="2" t="s">
        <v>33</v>
      </c>
      <c r="E93" s="2" t="s">
        <v>1450</v>
      </c>
      <c r="F93" s="2" t="s">
        <v>1451</v>
      </c>
      <c r="G93" s="2" t="s">
        <v>1073</v>
      </c>
      <c r="I93" s="2" t="s">
        <v>30</v>
      </c>
      <c r="J93" s="2" t="s">
        <v>30</v>
      </c>
      <c r="K93" s="2" t="s">
        <v>487</v>
      </c>
      <c r="L93" s="2" t="s">
        <v>155</v>
      </c>
      <c r="M93" s="2" t="s">
        <v>375</v>
      </c>
      <c r="N93" s="2" t="s">
        <v>1349</v>
      </c>
      <c r="O93" s="2" t="s">
        <v>1452</v>
      </c>
      <c r="P93" s="2" t="s">
        <v>1340</v>
      </c>
      <c r="Q93" s="2" t="s">
        <v>206</v>
      </c>
      <c r="R93" s="2" t="s">
        <v>442</v>
      </c>
      <c r="S93" s="2" t="s">
        <v>34</v>
      </c>
      <c r="T93" s="151">
        <v>3.24</v>
      </c>
      <c r="U93" s="2" t="s">
        <v>1358</v>
      </c>
      <c r="V93" s="162">
        <v>5.5E-2</v>
      </c>
      <c r="W93" s="2" t="s">
        <v>790</v>
      </c>
      <c r="X93" s="2" t="s">
        <v>944</v>
      </c>
      <c r="Y93" s="151">
        <v>5.5</v>
      </c>
      <c r="Z93" s="164">
        <v>2.9000000000000001E-2</v>
      </c>
      <c r="AA93" s="2" t="s">
        <v>1355</v>
      </c>
      <c r="AB93" s="4" t="s">
        <v>447</v>
      </c>
      <c r="AC93" s="2" t="s">
        <v>519</v>
      </c>
      <c r="AD93" s="151">
        <v>588</v>
      </c>
      <c r="AE93" s="164">
        <v>0.78</v>
      </c>
      <c r="AF93" s="2" t="s">
        <v>1365</v>
      </c>
      <c r="AG93" s="2" t="s">
        <v>155</v>
      </c>
      <c r="AI93" s="2" t="s">
        <v>1366</v>
      </c>
      <c r="AJ93" s="2" t="s">
        <v>375</v>
      </c>
      <c r="AK93" s="2" t="s">
        <v>927</v>
      </c>
      <c r="AL93" s="2" t="s">
        <v>1340</v>
      </c>
      <c r="AN93" s="2" t="s">
        <v>157</v>
      </c>
      <c r="AO93" s="2" t="s">
        <v>1365</v>
      </c>
      <c r="AP93" s="162">
        <v>0</v>
      </c>
      <c r="AQ93" s="151">
        <v>11849.4</v>
      </c>
      <c r="AR93" s="175">
        <v>126.06</v>
      </c>
      <c r="AS93" s="158">
        <v>1</v>
      </c>
      <c r="AT93" s="151">
        <v>14.936999999999999</v>
      </c>
      <c r="AU93" s="151">
        <v>14.936999999999999</v>
      </c>
      <c r="AX93" s="4" t="s">
        <v>155</v>
      </c>
      <c r="AY93" s="2" t="s">
        <v>36</v>
      </c>
      <c r="AZ93" s="164">
        <v>2.9969952301367502E-4</v>
      </c>
      <c r="BA93" s="164">
        <v>6.1877842969759997E-6</v>
      </c>
    </row>
    <row r="94" spans="1:53">
      <c r="A94" s="2">
        <v>424</v>
      </c>
      <c r="B94" s="2">
        <v>7228</v>
      </c>
      <c r="C94" s="2" t="s">
        <v>1349</v>
      </c>
      <c r="D94" s="2" t="s">
        <v>33</v>
      </c>
      <c r="E94" s="2" t="s">
        <v>1453</v>
      </c>
      <c r="F94" s="2" t="s">
        <v>1454</v>
      </c>
      <c r="G94" s="2" t="s">
        <v>1073</v>
      </c>
      <c r="I94" s="2" t="s">
        <v>30</v>
      </c>
      <c r="J94" s="2" t="s">
        <v>30</v>
      </c>
      <c r="K94" s="2" t="s">
        <v>487</v>
      </c>
      <c r="L94" s="2" t="s">
        <v>155</v>
      </c>
      <c r="M94" s="2" t="s">
        <v>375</v>
      </c>
      <c r="N94" s="2" t="s">
        <v>1349</v>
      </c>
      <c r="O94" s="2" t="s">
        <v>1455</v>
      </c>
      <c r="P94" s="2" t="s">
        <v>1340</v>
      </c>
      <c r="Q94" s="2" t="s">
        <v>206</v>
      </c>
      <c r="R94" s="2" t="s">
        <v>442</v>
      </c>
      <c r="S94" s="2" t="s">
        <v>34</v>
      </c>
      <c r="T94" s="151">
        <v>3.24</v>
      </c>
      <c r="U94" s="2" t="s">
        <v>1358</v>
      </c>
      <c r="V94" s="162">
        <v>5.5E-2</v>
      </c>
      <c r="W94" s="2" t="s">
        <v>790</v>
      </c>
      <c r="X94" s="2" t="s">
        <v>944</v>
      </c>
      <c r="Y94" s="151">
        <v>5.5</v>
      </c>
      <c r="Z94" s="164">
        <v>2.9000000000000001E-2</v>
      </c>
      <c r="AA94" s="2" t="s">
        <v>1364</v>
      </c>
      <c r="AB94" s="4" t="s">
        <v>447</v>
      </c>
      <c r="AC94" s="2" t="s">
        <v>519</v>
      </c>
      <c r="AD94" s="151">
        <v>331</v>
      </c>
      <c r="AE94" s="164">
        <v>0.78</v>
      </c>
      <c r="AF94" s="2" t="s">
        <v>1365</v>
      </c>
      <c r="AG94" s="2" t="s">
        <v>155</v>
      </c>
      <c r="AI94" s="2" t="s">
        <v>1366</v>
      </c>
      <c r="AJ94" s="2" t="s">
        <v>375</v>
      </c>
      <c r="AK94" s="2" t="s">
        <v>927</v>
      </c>
      <c r="AL94" s="2" t="s">
        <v>1340</v>
      </c>
      <c r="AN94" s="2" t="s">
        <v>157</v>
      </c>
      <c r="AO94" s="2" t="s">
        <v>1365</v>
      </c>
      <c r="AP94" s="162">
        <v>0</v>
      </c>
      <c r="AQ94" s="151">
        <v>6672.56</v>
      </c>
      <c r="AR94" s="175">
        <v>125.93</v>
      </c>
      <c r="AS94" s="158">
        <v>1</v>
      </c>
      <c r="AT94" s="151">
        <v>8.4030000000000005</v>
      </c>
      <c r="AU94" s="151">
        <v>8.4030000000000005</v>
      </c>
      <c r="AX94" s="4" t="s">
        <v>155</v>
      </c>
      <c r="AY94" s="2" t="s">
        <v>36</v>
      </c>
      <c r="AZ94" s="164">
        <v>1.6859088086492301E-4</v>
      </c>
      <c r="BA94" s="164">
        <v>3.4808330515151399E-6</v>
      </c>
    </row>
    <row r="95" spans="1:53">
      <c r="A95" s="2">
        <v>424</v>
      </c>
      <c r="B95" s="2">
        <v>7228</v>
      </c>
      <c r="C95" s="2" t="s">
        <v>1349</v>
      </c>
      <c r="D95" s="2" t="s">
        <v>33</v>
      </c>
      <c r="E95" s="2" t="s">
        <v>1456</v>
      </c>
      <c r="F95" s="2" t="s">
        <v>1457</v>
      </c>
      <c r="G95" s="2" t="s">
        <v>1073</v>
      </c>
      <c r="I95" s="2" t="s">
        <v>30</v>
      </c>
      <c r="J95" s="2" t="s">
        <v>30</v>
      </c>
      <c r="K95" s="2" t="s">
        <v>487</v>
      </c>
      <c r="L95" s="2" t="s">
        <v>155</v>
      </c>
      <c r="M95" s="2" t="s">
        <v>375</v>
      </c>
      <c r="N95" s="2" t="s">
        <v>1349</v>
      </c>
      <c r="O95" s="2" t="s">
        <v>1458</v>
      </c>
      <c r="P95" s="2" t="s">
        <v>1340</v>
      </c>
      <c r="Q95" s="2" t="s">
        <v>206</v>
      </c>
      <c r="R95" s="2" t="s">
        <v>442</v>
      </c>
      <c r="S95" s="2" t="s">
        <v>34</v>
      </c>
      <c r="T95" s="151">
        <v>3.24</v>
      </c>
      <c r="U95" s="2" t="s">
        <v>1358</v>
      </c>
      <c r="V95" s="162">
        <v>5.5E-2</v>
      </c>
      <c r="W95" s="2" t="s">
        <v>790</v>
      </c>
      <c r="X95" s="2" t="s">
        <v>944</v>
      </c>
      <c r="Y95" s="151">
        <v>5.5</v>
      </c>
      <c r="Z95" s="164">
        <v>2.9000000000000001E-2</v>
      </c>
      <c r="AA95" s="2" t="s">
        <v>1364</v>
      </c>
      <c r="AB95" s="4" t="s">
        <v>447</v>
      </c>
      <c r="AC95" s="2" t="s">
        <v>519</v>
      </c>
      <c r="AD95" s="151">
        <v>987</v>
      </c>
      <c r="AE95" s="164">
        <v>0.78</v>
      </c>
      <c r="AF95" s="2" t="s">
        <v>1365</v>
      </c>
      <c r="AG95" s="2" t="s">
        <v>155</v>
      </c>
      <c r="AI95" s="2" t="s">
        <v>1366</v>
      </c>
      <c r="AJ95" s="2" t="s">
        <v>375</v>
      </c>
      <c r="AK95" s="2" t="s">
        <v>927</v>
      </c>
      <c r="AL95" s="2" t="s">
        <v>1340</v>
      </c>
      <c r="AN95" s="2" t="s">
        <v>157</v>
      </c>
      <c r="AO95" s="2" t="s">
        <v>1365</v>
      </c>
      <c r="AP95" s="162">
        <v>0</v>
      </c>
      <c r="AQ95" s="151">
        <v>19903.55</v>
      </c>
      <c r="AR95" s="175">
        <v>125.56</v>
      </c>
      <c r="AS95" s="158">
        <v>1</v>
      </c>
      <c r="AT95" s="151">
        <v>24.991</v>
      </c>
      <c r="AU95" s="151">
        <v>24.991</v>
      </c>
      <c r="AX95" s="4" t="s">
        <v>155</v>
      </c>
      <c r="AY95" s="2" t="s">
        <v>36</v>
      </c>
      <c r="AZ95" s="164">
        <v>5.0141144174382002E-4</v>
      </c>
      <c r="BA95" s="164">
        <v>1.03524550668202E-5</v>
      </c>
    </row>
    <row r="96" spans="1:53">
      <c r="A96" s="2">
        <v>424</v>
      </c>
      <c r="B96" s="2">
        <v>7228</v>
      </c>
      <c r="C96" s="2" t="s">
        <v>1349</v>
      </c>
      <c r="D96" s="2" t="s">
        <v>33</v>
      </c>
      <c r="E96" s="2" t="s">
        <v>1459</v>
      </c>
      <c r="F96" s="2" t="s">
        <v>1460</v>
      </c>
      <c r="G96" s="2" t="s">
        <v>1073</v>
      </c>
      <c r="I96" s="2" t="s">
        <v>30</v>
      </c>
      <c r="J96" s="2" t="s">
        <v>30</v>
      </c>
      <c r="K96" s="2" t="s">
        <v>487</v>
      </c>
      <c r="L96" s="2" t="s">
        <v>155</v>
      </c>
      <c r="M96" s="2" t="s">
        <v>375</v>
      </c>
      <c r="N96" s="151">
        <v>513326439</v>
      </c>
      <c r="O96" s="2" t="s">
        <v>1425</v>
      </c>
      <c r="P96" s="2" t="s">
        <v>1353</v>
      </c>
      <c r="Q96" s="2" t="s">
        <v>206</v>
      </c>
      <c r="R96" s="2" t="s">
        <v>442</v>
      </c>
      <c r="S96" s="2" t="s">
        <v>34</v>
      </c>
      <c r="T96" s="151">
        <v>3.23</v>
      </c>
      <c r="U96" s="2" t="s">
        <v>194</v>
      </c>
      <c r="V96" s="162">
        <v>5.5E-2</v>
      </c>
      <c r="W96" s="2" t="s">
        <v>790</v>
      </c>
      <c r="X96" s="2" t="s">
        <v>1354</v>
      </c>
      <c r="Y96" s="151">
        <v>5.5</v>
      </c>
      <c r="Z96" s="164">
        <v>3.4299999999999997E-2</v>
      </c>
      <c r="AA96" s="2" t="s">
        <v>1364</v>
      </c>
      <c r="AB96" s="4" t="s">
        <v>447</v>
      </c>
      <c r="AE96" s="164">
        <v>0</v>
      </c>
      <c r="AG96" s="2" t="s">
        <v>155</v>
      </c>
      <c r="AJ96" s="2" t="s">
        <v>155</v>
      </c>
      <c r="AK96" s="2" t="s">
        <v>194</v>
      </c>
      <c r="AN96" s="2" t="s">
        <v>157</v>
      </c>
      <c r="AP96" s="162">
        <v>0</v>
      </c>
      <c r="AQ96" s="151">
        <v>7748.26</v>
      </c>
      <c r="AR96" s="175">
        <v>125.56</v>
      </c>
      <c r="AS96" s="158">
        <v>1</v>
      </c>
      <c r="AT96" s="151">
        <v>9.7289999999999992</v>
      </c>
      <c r="AU96" s="151">
        <v>9.7289999999999992</v>
      </c>
      <c r="AX96" s="4" t="s">
        <v>155</v>
      </c>
      <c r="AY96" s="2" t="s">
        <v>36</v>
      </c>
      <c r="AZ96" s="164">
        <v>1.95194637017315E-4</v>
      </c>
      <c r="BA96" s="164">
        <v>4.0301108845427099E-6</v>
      </c>
    </row>
    <row r="97" spans="1:53">
      <c r="A97" s="2">
        <v>424</v>
      </c>
      <c r="B97" s="2">
        <v>7228</v>
      </c>
      <c r="C97" s="2" t="s">
        <v>1349</v>
      </c>
      <c r="D97" s="2" t="s">
        <v>33</v>
      </c>
      <c r="E97" s="2" t="s">
        <v>1461</v>
      </c>
      <c r="F97" s="2" t="s">
        <v>1462</v>
      </c>
      <c r="G97" s="2" t="s">
        <v>1073</v>
      </c>
      <c r="I97" s="2" t="s">
        <v>30</v>
      </c>
      <c r="J97" s="2" t="s">
        <v>30</v>
      </c>
      <c r="K97" s="2" t="s">
        <v>487</v>
      </c>
      <c r="L97" s="2" t="s">
        <v>155</v>
      </c>
      <c r="M97" s="2" t="s">
        <v>375</v>
      </c>
      <c r="N97" s="2" t="s">
        <v>1349</v>
      </c>
      <c r="O97" s="2" t="s">
        <v>1463</v>
      </c>
      <c r="P97" s="2" t="s">
        <v>1340</v>
      </c>
      <c r="Q97" s="2" t="s">
        <v>206</v>
      </c>
      <c r="R97" s="2" t="s">
        <v>442</v>
      </c>
      <c r="S97" s="2" t="s">
        <v>34</v>
      </c>
      <c r="T97" s="151">
        <v>3.24</v>
      </c>
      <c r="U97" s="2" t="s">
        <v>1358</v>
      </c>
      <c r="V97" s="162">
        <v>5.5E-2</v>
      </c>
      <c r="W97" s="2" t="s">
        <v>790</v>
      </c>
      <c r="X97" s="2" t="s">
        <v>944</v>
      </c>
      <c r="Y97" s="151">
        <v>5.5</v>
      </c>
      <c r="Z97" s="164">
        <v>2.9000000000000001E-2</v>
      </c>
      <c r="AA97" s="2" t="s">
        <v>1364</v>
      </c>
      <c r="AB97" s="4" t="s">
        <v>447</v>
      </c>
      <c r="AC97" s="2" t="s">
        <v>519</v>
      </c>
      <c r="AD97" s="151">
        <v>5567</v>
      </c>
      <c r="AE97" s="164">
        <v>0.78</v>
      </c>
      <c r="AF97" s="2" t="s">
        <v>1365</v>
      </c>
      <c r="AG97" s="2" t="s">
        <v>155</v>
      </c>
      <c r="AI97" s="2" t="s">
        <v>1366</v>
      </c>
      <c r="AJ97" s="2" t="s">
        <v>375</v>
      </c>
      <c r="AK97" s="2" t="s">
        <v>927</v>
      </c>
      <c r="AL97" s="2" t="s">
        <v>1340</v>
      </c>
      <c r="AN97" s="2" t="s">
        <v>157</v>
      </c>
      <c r="AO97" s="2" t="s">
        <v>1365</v>
      </c>
      <c r="AP97" s="162">
        <v>0</v>
      </c>
      <c r="AQ97" s="151">
        <v>52072.14</v>
      </c>
      <c r="AR97" s="175">
        <v>125.81</v>
      </c>
      <c r="AS97" s="158">
        <v>1</v>
      </c>
      <c r="AT97" s="151">
        <v>65.512</v>
      </c>
      <c r="AU97" s="151">
        <v>65.512</v>
      </c>
      <c r="AX97" s="4" t="s">
        <v>155</v>
      </c>
      <c r="AY97" s="2" t="s">
        <v>36</v>
      </c>
      <c r="AZ97" s="164">
        <v>1.31441642457432E-3</v>
      </c>
      <c r="BA97" s="164">
        <v>2.7138265786620001E-5</v>
      </c>
    </row>
    <row r="98" spans="1:53">
      <c r="A98" s="2">
        <v>424</v>
      </c>
      <c r="B98" s="2">
        <v>7228</v>
      </c>
      <c r="C98" s="2" t="s">
        <v>1349</v>
      </c>
      <c r="D98" s="2" t="s">
        <v>33</v>
      </c>
      <c r="E98" s="2" t="s">
        <v>1464</v>
      </c>
      <c r="F98" s="2" t="s">
        <v>1465</v>
      </c>
      <c r="G98" s="2" t="s">
        <v>1073</v>
      </c>
      <c r="I98" s="2" t="s">
        <v>30</v>
      </c>
      <c r="J98" s="2" t="s">
        <v>30</v>
      </c>
      <c r="K98" s="2" t="s">
        <v>487</v>
      </c>
      <c r="L98" s="2" t="s">
        <v>155</v>
      </c>
      <c r="M98" s="2" t="s">
        <v>375</v>
      </c>
      <c r="N98" s="2" t="s">
        <v>1349</v>
      </c>
      <c r="O98" s="2" t="s">
        <v>1466</v>
      </c>
      <c r="P98" s="2" t="s">
        <v>1340</v>
      </c>
      <c r="Q98" s="2" t="s">
        <v>206</v>
      </c>
      <c r="R98" s="2" t="s">
        <v>442</v>
      </c>
      <c r="S98" s="2" t="s">
        <v>34</v>
      </c>
      <c r="T98" s="151">
        <v>3.24</v>
      </c>
      <c r="U98" s="2" t="s">
        <v>1358</v>
      </c>
      <c r="V98" s="162">
        <v>5.5E-2</v>
      </c>
      <c r="W98" s="2" t="s">
        <v>790</v>
      </c>
      <c r="X98" s="2" t="s">
        <v>944</v>
      </c>
      <c r="Y98" s="151">
        <v>5.5</v>
      </c>
      <c r="Z98" s="164">
        <v>2.9000000000000001E-2</v>
      </c>
      <c r="AA98" s="2" t="s">
        <v>1364</v>
      </c>
      <c r="AB98" s="4" t="s">
        <v>447</v>
      </c>
      <c r="AC98" s="2" t="s">
        <v>519</v>
      </c>
      <c r="AD98" s="151">
        <v>5045</v>
      </c>
      <c r="AE98" s="164">
        <v>0.78</v>
      </c>
      <c r="AF98" s="2" t="s">
        <v>1365</v>
      </c>
      <c r="AG98" s="2" t="s">
        <v>155</v>
      </c>
      <c r="AI98" s="2" t="s">
        <v>1366</v>
      </c>
      <c r="AJ98" s="2" t="s">
        <v>375</v>
      </c>
      <c r="AK98" s="2" t="s">
        <v>927</v>
      </c>
      <c r="AL98" s="2" t="s">
        <v>1340</v>
      </c>
      <c r="AN98" s="2" t="s">
        <v>157</v>
      </c>
      <c r="AO98" s="2" t="s">
        <v>1365</v>
      </c>
      <c r="AP98" s="162">
        <v>0</v>
      </c>
      <c r="AQ98" s="151">
        <v>101717.81</v>
      </c>
      <c r="AR98" s="175">
        <v>126.93</v>
      </c>
      <c r="AS98" s="158">
        <v>1</v>
      </c>
      <c r="AT98" s="151">
        <v>129.11000000000001</v>
      </c>
      <c r="AU98" s="151">
        <v>129.11000000000001</v>
      </c>
      <c r="AX98" s="4" t="s">
        <v>155</v>
      </c>
      <c r="AY98" s="2" t="s">
        <v>36</v>
      </c>
      <c r="AZ98" s="164">
        <v>2.59044078982702E-3</v>
      </c>
      <c r="BA98" s="164">
        <v>5.3483865040407099E-5</v>
      </c>
    </row>
    <row r="99" spans="1:53">
      <c r="A99" s="2">
        <v>424</v>
      </c>
      <c r="B99" s="2">
        <v>7228</v>
      </c>
      <c r="C99" s="2" t="s">
        <v>1349</v>
      </c>
      <c r="D99" s="2" t="s">
        <v>33</v>
      </c>
      <c r="E99" s="2" t="s">
        <v>1467</v>
      </c>
      <c r="F99" s="2" t="s">
        <v>1468</v>
      </c>
      <c r="G99" s="2" t="s">
        <v>1073</v>
      </c>
      <c r="I99" s="2" t="s">
        <v>30</v>
      </c>
      <c r="J99" s="2" t="s">
        <v>30</v>
      </c>
      <c r="K99" s="2" t="s">
        <v>487</v>
      </c>
      <c r="L99" s="2" t="s">
        <v>155</v>
      </c>
      <c r="M99" s="2" t="s">
        <v>375</v>
      </c>
      <c r="N99" s="151">
        <v>513326439</v>
      </c>
      <c r="O99" s="2" t="s">
        <v>1425</v>
      </c>
      <c r="P99" s="2" t="s">
        <v>1353</v>
      </c>
      <c r="Q99" s="2" t="s">
        <v>206</v>
      </c>
      <c r="R99" s="2" t="s">
        <v>442</v>
      </c>
      <c r="S99" s="2" t="s">
        <v>34</v>
      </c>
      <c r="T99" s="151">
        <v>3.19</v>
      </c>
      <c r="U99" s="2" t="s">
        <v>194</v>
      </c>
      <c r="V99" s="162">
        <v>5.5500000000000001E-2</v>
      </c>
      <c r="W99" s="2" t="s">
        <v>790</v>
      </c>
      <c r="X99" s="2" t="s">
        <v>1354</v>
      </c>
      <c r="Y99" s="151">
        <v>5.55</v>
      </c>
      <c r="Z99" s="164">
        <v>3.091E-2</v>
      </c>
      <c r="AA99" s="2" t="s">
        <v>1364</v>
      </c>
      <c r="AB99" s="4" t="s">
        <v>447</v>
      </c>
      <c r="AE99" s="164">
        <v>0</v>
      </c>
      <c r="AG99" s="2" t="s">
        <v>155</v>
      </c>
      <c r="AJ99" s="2" t="s">
        <v>155</v>
      </c>
      <c r="AK99" s="2" t="s">
        <v>194</v>
      </c>
      <c r="AN99" s="2" t="s">
        <v>157</v>
      </c>
      <c r="AP99" s="162">
        <v>0</v>
      </c>
      <c r="AQ99" s="151">
        <v>75001.2</v>
      </c>
      <c r="AR99" s="175">
        <v>130.13</v>
      </c>
      <c r="AS99" s="158">
        <v>1</v>
      </c>
      <c r="AT99" s="151">
        <v>97.599000000000004</v>
      </c>
      <c r="AU99" s="151">
        <v>97.599000000000004</v>
      </c>
      <c r="AX99" s="4" t="s">
        <v>155</v>
      </c>
      <c r="AY99" s="2" t="s">
        <v>36</v>
      </c>
      <c r="AZ99" s="164">
        <v>1.9582044384211499E-3</v>
      </c>
      <c r="BA99" s="164">
        <v>4.0430316846978102E-5</v>
      </c>
    </row>
    <row r="100" spans="1:53">
      <c r="A100" s="2">
        <v>424</v>
      </c>
      <c r="B100" s="2">
        <v>7228</v>
      </c>
      <c r="C100" s="2" t="s">
        <v>1349</v>
      </c>
      <c r="D100" s="2" t="s">
        <v>33</v>
      </c>
      <c r="E100" s="2" t="s">
        <v>1469</v>
      </c>
      <c r="F100" s="2" t="s">
        <v>1470</v>
      </c>
      <c r="G100" s="2" t="s">
        <v>1073</v>
      </c>
      <c r="I100" s="2" t="s">
        <v>30</v>
      </c>
      <c r="J100" s="2" t="s">
        <v>30</v>
      </c>
      <c r="K100" s="2" t="s">
        <v>487</v>
      </c>
      <c r="L100" s="2" t="s">
        <v>155</v>
      </c>
      <c r="M100" s="2" t="s">
        <v>375</v>
      </c>
      <c r="N100" s="2" t="s">
        <v>1349</v>
      </c>
      <c r="O100" s="2" t="s">
        <v>1471</v>
      </c>
      <c r="P100" s="2" t="s">
        <v>1340</v>
      </c>
      <c r="Q100" s="2" t="s">
        <v>206</v>
      </c>
      <c r="R100" s="2" t="s">
        <v>442</v>
      </c>
      <c r="S100" s="2" t="s">
        <v>34</v>
      </c>
      <c r="T100" s="151">
        <v>3.24</v>
      </c>
      <c r="U100" s="2" t="s">
        <v>1358</v>
      </c>
      <c r="V100" s="162">
        <v>5.5E-2</v>
      </c>
      <c r="W100" s="2" t="s">
        <v>790</v>
      </c>
      <c r="X100" s="2" t="s">
        <v>944</v>
      </c>
      <c r="Y100" s="151">
        <v>5.5</v>
      </c>
      <c r="Z100" s="164">
        <v>2.9000000000000001E-2</v>
      </c>
      <c r="AA100" s="2" t="s">
        <v>1355</v>
      </c>
      <c r="AB100" s="4" t="s">
        <v>447</v>
      </c>
      <c r="AC100" s="2" t="s">
        <v>519</v>
      </c>
      <c r="AD100" s="151">
        <v>936</v>
      </c>
      <c r="AE100" s="164">
        <v>0.78</v>
      </c>
      <c r="AF100" s="2" t="s">
        <v>1365</v>
      </c>
      <c r="AG100" s="2" t="s">
        <v>155</v>
      </c>
      <c r="AI100" s="2" t="s">
        <v>1366</v>
      </c>
      <c r="AJ100" s="2" t="s">
        <v>375</v>
      </c>
      <c r="AK100" s="2" t="s">
        <v>927</v>
      </c>
      <c r="AL100" s="2" t="s">
        <v>1340</v>
      </c>
      <c r="AN100" s="2" t="s">
        <v>157</v>
      </c>
      <c r="AO100" s="2" t="s">
        <v>1365</v>
      </c>
      <c r="AP100" s="162">
        <v>0</v>
      </c>
      <c r="AQ100" s="151">
        <v>32916.42</v>
      </c>
      <c r="AR100" s="175">
        <v>128.31</v>
      </c>
      <c r="AS100" s="158">
        <v>1</v>
      </c>
      <c r="AT100" s="151">
        <v>42.234999999999999</v>
      </c>
      <c r="AU100" s="151">
        <v>42.234999999999999</v>
      </c>
      <c r="AX100" s="4" t="s">
        <v>155</v>
      </c>
      <c r="AY100" s="2" t="s">
        <v>36</v>
      </c>
      <c r="AZ100" s="164">
        <v>8.4739420332181805E-4</v>
      </c>
      <c r="BA100" s="164">
        <v>1.7495832131918301E-5</v>
      </c>
    </row>
    <row r="101" spans="1:53">
      <c r="A101" s="2">
        <v>424</v>
      </c>
      <c r="B101" s="2">
        <v>7228</v>
      </c>
      <c r="C101" s="2" t="s">
        <v>1349</v>
      </c>
      <c r="D101" s="2" t="s">
        <v>33</v>
      </c>
      <c r="E101" s="2" t="s">
        <v>1472</v>
      </c>
      <c r="F101" s="2" t="s">
        <v>1473</v>
      </c>
      <c r="G101" s="2" t="s">
        <v>1073</v>
      </c>
      <c r="I101" s="2" t="s">
        <v>30</v>
      </c>
      <c r="J101" s="2" t="s">
        <v>30</v>
      </c>
      <c r="K101" s="2" t="s">
        <v>487</v>
      </c>
      <c r="L101" s="2" t="s">
        <v>155</v>
      </c>
      <c r="M101" s="2" t="s">
        <v>375</v>
      </c>
      <c r="N101" s="2" t="s">
        <v>1349</v>
      </c>
      <c r="O101" s="2" t="s">
        <v>1474</v>
      </c>
      <c r="P101" s="2" t="s">
        <v>1340</v>
      </c>
      <c r="Q101" s="2" t="s">
        <v>206</v>
      </c>
      <c r="R101" s="2" t="s">
        <v>442</v>
      </c>
      <c r="S101" s="2" t="s">
        <v>34</v>
      </c>
      <c r="T101" s="151">
        <v>3.24</v>
      </c>
      <c r="U101" s="2" t="s">
        <v>1358</v>
      </c>
      <c r="V101" s="162">
        <v>5.5E-2</v>
      </c>
      <c r="W101" s="2" t="s">
        <v>790</v>
      </c>
      <c r="X101" s="2" t="s">
        <v>944</v>
      </c>
      <c r="Y101" s="151">
        <v>5.5</v>
      </c>
      <c r="Z101" s="164">
        <v>2.9100000000000001E-2</v>
      </c>
      <c r="AA101" s="2" t="s">
        <v>1355</v>
      </c>
      <c r="AB101" s="4" t="s">
        <v>447</v>
      </c>
      <c r="AC101" s="2" t="s">
        <v>519</v>
      </c>
      <c r="AD101" s="151">
        <v>1524</v>
      </c>
      <c r="AE101" s="164">
        <v>0.78</v>
      </c>
      <c r="AF101" s="2" t="s">
        <v>1365</v>
      </c>
      <c r="AG101" s="2" t="s">
        <v>155</v>
      </c>
      <c r="AI101" s="2" t="s">
        <v>1366</v>
      </c>
      <c r="AJ101" s="2" t="s">
        <v>375</v>
      </c>
      <c r="AK101" s="2" t="s">
        <v>927</v>
      </c>
      <c r="AL101" s="2" t="s">
        <v>1340</v>
      </c>
      <c r="AN101" s="2" t="s">
        <v>157</v>
      </c>
      <c r="AO101" s="2" t="s">
        <v>1365</v>
      </c>
      <c r="AP101" s="162">
        <v>0</v>
      </c>
      <c r="AQ101" s="151">
        <v>30728.02</v>
      </c>
      <c r="AR101" s="175">
        <v>128.63999999999999</v>
      </c>
      <c r="AS101" s="158">
        <v>1</v>
      </c>
      <c r="AT101" s="151">
        <v>39.529000000000003</v>
      </c>
      <c r="AU101" s="151">
        <v>39.529000000000003</v>
      </c>
      <c r="AX101" s="4" t="s">
        <v>155</v>
      </c>
      <c r="AY101" s="2" t="s">
        <v>36</v>
      </c>
      <c r="AZ101" s="164">
        <v>7.9309095518982197E-4</v>
      </c>
      <c r="BA101" s="164">
        <v>1.63746532168266E-5</v>
      </c>
    </row>
    <row r="102" spans="1:53">
      <c r="A102" s="2">
        <v>424</v>
      </c>
      <c r="B102" s="2">
        <v>7228</v>
      </c>
      <c r="C102" s="2" t="s">
        <v>1349</v>
      </c>
      <c r="D102" s="2" t="s">
        <v>33</v>
      </c>
      <c r="E102" s="2" t="s">
        <v>1475</v>
      </c>
      <c r="F102" s="2" t="s">
        <v>1476</v>
      </c>
      <c r="G102" s="2" t="s">
        <v>1073</v>
      </c>
      <c r="I102" s="2" t="s">
        <v>30</v>
      </c>
      <c r="J102" s="2" t="s">
        <v>30</v>
      </c>
      <c r="K102" s="2" t="s">
        <v>487</v>
      </c>
      <c r="L102" s="2" t="s">
        <v>155</v>
      </c>
      <c r="M102" s="2" t="s">
        <v>375</v>
      </c>
      <c r="N102" s="151">
        <v>513326439</v>
      </c>
      <c r="O102" s="2" t="s">
        <v>1425</v>
      </c>
      <c r="P102" s="2" t="s">
        <v>1353</v>
      </c>
      <c r="Q102" s="2" t="s">
        <v>206</v>
      </c>
      <c r="R102" s="2" t="s">
        <v>442</v>
      </c>
      <c r="S102" s="2" t="s">
        <v>34</v>
      </c>
      <c r="T102" s="151">
        <v>3.24</v>
      </c>
      <c r="U102" s="2" t="s">
        <v>194</v>
      </c>
      <c r="V102" s="162">
        <v>5.5E-2</v>
      </c>
      <c r="W102" s="2" t="s">
        <v>790</v>
      </c>
      <c r="X102" s="2" t="s">
        <v>1354</v>
      </c>
      <c r="Y102" s="151">
        <v>5.5</v>
      </c>
      <c r="Z102" s="164">
        <v>2.9000000000000001E-2</v>
      </c>
      <c r="AA102" s="2" t="s">
        <v>1364</v>
      </c>
      <c r="AB102" s="4" t="s">
        <v>447</v>
      </c>
      <c r="AE102" s="164">
        <v>0</v>
      </c>
      <c r="AG102" s="2" t="s">
        <v>155</v>
      </c>
      <c r="AJ102" s="2" t="s">
        <v>155</v>
      </c>
      <c r="AK102" s="2" t="s">
        <v>194</v>
      </c>
      <c r="AN102" s="2" t="s">
        <v>157</v>
      </c>
      <c r="AP102" s="162">
        <v>0</v>
      </c>
      <c r="AQ102" s="151">
        <v>39337.269999999997</v>
      </c>
      <c r="AR102" s="175">
        <v>127.23</v>
      </c>
      <c r="AS102" s="158">
        <v>1</v>
      </c>
      <c r="AT102" s="151">
        <v>50.048999999999999</v>
      </c>
      <c r="AU102" s="151">
        <v>50.048999999999999</v>
      </c>
      <c r="AX102" s="4" t="s">
        <v>155</v>
      </c>
      <c r="AY102" s="2" t="s">
        <v>36</v>
      </c>
      <c r="AZ102" s="164">
        <v>1.0041674337112601E-3</v>
      </c>
      <c r="BA102" s="164">
        <v>2.0732670560739399E-5</v>
      </c>
    </row>
    <row r="103" spans="1:53">
      <c r="A103" s="2">
        <v>424</v>
      </c>
      <c r="B103" s="2">
        <v>7228</v>
      </c>
      <c r="C103" s="2" t="s">
        <v>1477</v>
      </c>
      <c r="D103" s="2" t="s">
        <v>33</v>
      </c>
      <c r="E103" s="2" t="s">
        <v>1478</v>
      </c>
      <c r="F103" s="2" t="s">
        <v>1479</v>
      </c>
      <c r="G103" s="2" t="s">
        <v>1073</v>
      </c>
      <c r="I103" s="2" t="s">
        <v>30</v>
      </c>
      <c r="J103" s="2" t="s">
        <v>30</v>
      </c>
      <c r="K103" s="2" t="s">
        <v>519</v>
      </c>
      <c r="L103" s="2" t="s">
        <v>155</v>
      </c>
      <c r="M103" s="2" t="s">
        <v>375</v>
      </c>
      <c r="N103" s="151">
        <v>513184192</v>
      </c>
      <c r="O103" s="2" t="s">
        <v>1520</v>
      </c>
      <c r="P103" s="2" t="s">
        <v>1353</v>
      </c>
      <c r="Q103" s="2" t="s">
        <v>206</v>
      </c>
      <c r="R103" s="2" t="s">
        <v>442</v>
      </c>
      <c r="S103" s="2" t="s">
        <v>34</v>
      </c>
      <c r="T103" s="151">
        <v>1.93</v>
      </c>
      <c r="U103" s="2" t="s">
        <v>1358</v>
      </c>
      <c r="V103" s="162">
        <v>2.562E-2</v>
      </c>
      <c r="W103" s="2" t="s">
        <v>790</v>
      </c>
      <c r="X103" s="2" t="s">
        <v>944</v>
      </c>
      <c r="Y103" s="151">
        <v>2.5619999999999998</v>
      </c>
      <c r="Z103" s="164">
        <v>2.7099999999999999E-2</v>
      </c>
      <c r="AA103" s="2" t="s">
        <v>1481</v>
      </c>
      <c r="AB103" s="4" t="s">
        <v>447</v>
      </c>
      <c r="AE103" s="164">
        <v>0</v>
      </c>
      <c r="AG103" s="2" t="s">
        <v>155</v>
      </c>
      <c r="AI103" s="2" t="s">
        <v>1482</v>
      </c>
      <c r="AJ103" s="2" t="s">
        <v>375</v>
      </c>
      <c r="AK103" s="2" t="s">
        <v>927</v>
      </c>
      <c r="AL103" s="2" t="s">
        <v>1340</v>
      </c>
      <c r="AN103" s="2" t="s">
        <v>157</v>
      </c>
      <c r="AP103" s="162">
        <v>0</v>
      </c>
      <c r="AQ103" s="151">
        <v>1591538.46</v>
      </c>
      <c r="AR103" s="175">
        <v>115.53</v>
      </c>
      <c r="AS103" s="158">
        <v>1</v>
      </c>
      <c r="AT103" s="151">
        <v>1838.704</v>
      </c>
      <c r="AU103" s="151">
        <v>1838.704</v>
      </c>
      <c r="AX103" s="4" t="s">
        <v>155</v>
      </c>
      <c r="AY103" s="2" t="s">
        <v>36</v>
      </c>
      <c r="AZ103" s="164">
        <v>3.6891328931521701E-2</v>
      </c>
      <c r="BA103" s="164">
        <v>7.6168151207444605E-4</v>
      </c>
    </row>
    <row r="104" spans="1:53">
      <c r="A104" s="2">
        <v>424</v>
      </c>
      <c r="B104" s="2">
        <v>7228</v>
      </c>
      <c r="C104" s="2" t="s">
        <v>1492</v>
      </c>
      <c r="D104" s="2" t="s">
        <v>1342</v>
      </c>
      <c r="E104" s="2" t="s">
        <v>1493</v>
      </c>
      <c r="F104" s="2" t="s">
        <v>1494</v>
      </c>
      <c r="G104" s="2" t="s">
        <v>1073</v>
      </c>
      <c r="H104" s="2" t="s">
        <v>856</v>
      </c>
      <c r="I104" s="2" t="s">
        <v>30</v>
      </c>
      <c r="J104" s="2" t="s">
        <v>30</v>
      </c>
      <c r="K104" s="2" t="s">
        <v>497</v>
      </c>
      <c r="L104" s="2" t="s">
        <v>155</v>
      </c>
      <c r="M104" s="2" t="s">
        <v>375</v>
      </c>
      <c r="N104" s="2" t="s">
        <v>1333</v>
      </c>
      <c r="O104" s="2" t="s">
        <v>1336</v>
      </c>
      <c r="P104" s="2" t="s">
        <v>1340</v>
      </c>
      <c r="Q104" s="2" t="s">
        <v>206</v>
      </c>
      <c r="R104" s="2" t="s">
        <v>442</v>
      </c>
      <c r="S104" s="2" t="s">
        <v>34</v>
      </c>
      <c r="T104" s="151">
        <v>0.53</v>
      </c>
      <c r="U104" s="2" t="s">
        <v>1358</v>
      </c>
      <c r="V104" s="162">
        <v>4.2500000000000003E-2</v>
      </c>
      <c r="W104" s="2" t="s">
        <v>790</v>
      </c>
      <c r="X104" s="2" t="s">
        <v>939</v>
      </c>
      <c r="Y104" s="151">
        <v>4.25</v>
      </c>
      <c r="Z104" s="164">
        <v>7.6039999999999996E-2</v>
      </c>
      <c r="AA104" s="2" t="s">
        <v>1495</v>
      </c>
      <c r="AB104" s="4" t="s">
        <v>447</v>
      </c>
      <c r="AC104" s="2" t="s">
        <v>809</v>
      </c>
      <c r="AD104" s="151">
        <v>67322</v>
      </c>
      <c r="AE104" s="164">
        <v>0.72</v>
      </c>
      <c r="AF104" s="2" t="s">
        <v>1496</v>
      </c>
      <c r="AG104" s="2" t="s">
        <v>375</v>
      </c>
      <c r="AH104" s="2" t="s">
        <v>818</v>
      </c>
      <c r="AI104" s="2" t="s">
        <v>1339</v>
      </c>
      <c r="AJ104" s="2" t="s">
        <v>375</v>
      </c>
      <c r="AK104" s="2" t="s">
        <v>927</v>
      </c>
      <c r="AL104" s="2" t="s">
        <v>1340</v>
      </c>
      <c r="AN104" s="2" t="s">
        <v>157</v>
      </c>
      <c r="AO104" s="2" t="s">
        <v>1496</v>
      </c>
      <c r="AP104" s="162">
        <v>0</v>
      </c>
      <c r="AQ104" s="151">
        <v>4025000</v>
      </c>
      <c r="AR104" s="175">
        <v>106.54</v>
      </c>
      <c r="AS104" s="158">
        <v>1</v>
      </c>
      <c r="AT104" s="151">
        <v>4288.2349999999997</v>
      </c>
      <c r="AU104" s="151">
        <v>4288.2349999999997</v>
      </c>
      <c r="AX104" s="4" t="s">
        <v>375</v>
      </c>
      <c r="AY104" s="2" t="s">
        <v>36</v>
      </c>
      <c r="AZ104" s="164">
        <v>8.6038130651805794E-2</v>
      </c>
      <c r="BA104" s="164">
        <v>1.77639720088617E-3</v>
      </c>
    </row>
    <row r="105" spans="1:53">
      <c r="A105" s="2">
        <v>424</v>
      </c>
      <c r="B105" s="2">
        <v>7228</v>
      </c>
      <c r="C105" s="2" t="s">
        <v>1497</v>
      </c>
      <c r="D105" s="2" t="s">
        <v>1342</v>
      </c>
      <c r="E105" s="2" t="s">
        <v>1498</v>
      </c>
      <c r="F105" s="2" t="s">
        <v>1499</v>
      </c>
      <c r="G105" s="2" t="s">
        <v>1073</v>
      </c>
      <c r="I105" s="2" t="s">
        <v>30</v>
      </c>
      <c r="J105" s="2" t="s">
        <v>30</v>
      </c>
      <c r="K105" s="2" t="s">
        <v>474</v>
      </c>
      <c r="L105" s="2" t="s">
        <v>155</v>
      </c>
      <c r="M105" s="2" t="s">
        <v>375</v>
      </c>
      <c r="N105" s="151">
        <v>512065202</v>
      </c>
      <c r="O105" s="2" t="s">
        <v>1500</v>
      </c>
      <c r="P105" s="2" t="s">
        <v>1501</v>
      </c>
      <c r="Q105" s="2" t="s">
        <v>444</v>
      </c>
      <c r="R105" s="2" t="s">
        <v>442</v>
      </c>
      <c r="S105" s="2" t="s">
        <v>34</v>
      </c>
      <c r="T105" s="151">
        <v>3.08</v>
      </c>
      <c r="U105" s="2" t="s">
        <v>194</v>
      </c>
      <c r="V105" s="162">
        <v>7.2499999999999995E-2</v>
      </c>
      <c r="W105" s="2" t="s">
        <v>790</v>
      </c>
      <c r="X105" s="2" t="s">
        <v>944</v>
      </c>
      <c r="Y105" s="151">
        <v>7.25</v>
      </c>
      <c r="Z105" s="164">
        <v>0.11509999999999999</v>
      </c>
      <c r="AA105" s="2" t="s">
        <v>1502</v>
      </c>
      <c r="AB105" s="4" t="s">
        <v>447</v>
      </c>
      <c r="AE105" s="164">
        <v>0</v>
      </c>
      <c r="AG105" s="2" t="s">
        <v>375</v>
      </c>
      <c r="AI105" s="2" t="s">
        <v>1503</v>
      </c>
      <c r="AJ105" s="2" t="s">
        <v>375</v>
      </c>
      <c r="AK105" s="2" t="s">
        <v>927</v>
      </c>
      <c r="AL105" s="2" t="s">
        <v>1340</v>
      </c>
      <c r="AN105" s="2" t="s">
        <v>157</v>
      </c>
      <c r="AP105" s="162">
        <v>0</v>
      </c>
      <c r="AQ105" s="151">
        <v>1765488</v>
      </c>
      <c r="AR105" s="175">
        <v>108.18</v>
      </c>
      <c r="AS105" s="158">
        <v>1</v>
      </c>
      <c r="AT105" s="151">
        <v>1909.905</v>
      </c>
      <c r="AU105" s="151">
        <v>1909.905</v>
      </c>
      <c r="AX105" s="4" t="s">
        <v>375</v>
      </c>
      <c r="AY105" s="2" t="s">
        <v>36</v>
      </c>
      <c r="AZ105" s="164">
        <v>3.8319879601240503E-2</v>
      </c>
      <c r="BA105" s="164">
        <v>7.9117626506114902E-4</v>
      </c>
    </row>
    <row r="106" spans="1:53">
      <c r="A106" s="2">
        <v>424</v>
      </c>
      <c r="B106" s="2">
        <v>7228</v>
      </c>
      <c r="C106" s="2" t="s">
        <v>1504</v>
      </c>
      <c r="D106" s="2" t="s">
        <v>1342</v>
      </c>
      <c r="E106" s="2" t="s">
        <v>1505</v>
      </c>
      <c r="F106" s="2" t="s">
        <v>1506</v>
      </c>
      <c r="G106" s="2" t="s">
        <v>1073</v>
      </c>
      <c r="I106" s="2" t="s">
        <v>30</v>
      </c>
      <c r="J106" s="2" t="s">
        <v>30</v>
      </c>
      <c r="K106" s="2" t="s">
        <v>476</v>
      </c>
      <c r="L106" s="2" t="s">
        <v>155</v>
      </c>
      <c r="M106" s="2" t="s">
        <v>375</v>
      </c>
      <c r="O106" s="2" t="s">
        <v>1507</v>
      </c>
      <c r="P106" s="2" t="s">
        <v>1501</v>
      </c>
      <c r="Q106" s="2" t="s">
        <v>444</v>
      </c>
      <c r="R106" s="2" t="s">
        <v>442</v>
      </c>
      <c r="S106" s="2" t="s">
        <v>34</v>
      </c>
      <c r="T106" s="151">
        <v>0.84</v>
      </c>
      <c r="U106" s="2" t="s">
        <v>1358</v>
      </c>
      <c r="V106" s="162">
        <v>1.7999999999999999E-2</v>
      </c>
      <c r="W106" s="2" t="s">
        <v>790</v>
      </c>
      <c r="X106" s="2" t="s">
        <v>1354</v>
      </c>
      <c r="Y106" s="151">
        <v>1.8</v>
      </c>
      <c r="Z106" s="164">
        <v>5.1950000000000003E-2</v>
      </c>
      <c r="AA106" s="2" t="s">
        <v>1508</v>
      </c>
      <c r="AB106" s="4" t="s">
        <v>447</v>
      </c>
      <c r="AE106" s="164">
        <v>0</v>
      </c>
      <c r="AG106" s="2" t="s">
        <v>155</v>
      </c>
      <c r="AJ106" s="2" t="s">
        <v>155</v>
      </c>
      <c r="AK106" s="2" t="s">
        <v>194</v>
      </c>
      <c r="AN106" s="2" t="s">
        <v>157</v>
      </c>
      <c r="AP106" s="162">
        <v>0</v>
      </c>
      <c r="AQ106" s="151">
        <v>2250000</v>
      </c>
      <c r="AR106" s="175">
        <v>99.13</v>
      </c>
      <c r="AS106" s="158">
        <v>1</v>
      </c>
      <c r="AT106" s="151">
        <v>2230.4250000000002</v>
      </c>
      <c r="AU106" s="151">
        <v>2230.4250000000002</v>
      </c>
      <c r="AX106" s="4" t="s">
        <v>155</v>
      </c>
      <c r="AY106" s="2" t="s">
        <v>36</v>
      </c>
      <c r="AZ106" s="164">
        <v>4.4750718549485702E-2</v>
      </c>
      <c r="BA106" s="164">
        <v>9.2395139883577799E-4</v>
      </c>
    </row>
    <row r="107" spans="1:53">
      <c r="A107" s="2">
        <v>424</v>
      </c>
      <c r="B107" s="2">
        <v>7228</v>
      </c>
      <c r="C107" s="2" t="s">
        <v>1504</v>
      </c>
      <c r="D107" s="2" t="s">
        <v>1342</v>
      </c>
      <c r="E107" s="2" t="s">
        <v>1509</v>
      </c>
      <c r="F107" s="2" t="s">
        <v>1510</v>
      </c>
      <c r="G107" s="2" t="s">
        <v>1073</v>
      </c>
      <c r="I107" s="2" t="s">
        <v>30</v>
      </c>
      <c r="J107" s="2" t="s">
        <v>30</v>
      </c>
      <c r="K107" s="2" t="s">
        <v>476</v>
      </c>
      <c r="L107" s="2" t="s">
        <v>155</v>
      </c>
      <c r="M107" s="2" t="s">
        <v>375</v>
      </c>
      <c r="O107" s="2" t="s">
        <v>1507</v>
      </c>
      <c r="P107" s="2" t="s">
        <v>1501</v>
      </c>
      <c r="Q107" s="2" t="s">
        <v>444</v>
      </c>
      <c r="R107" s="2" t="s">
        <v>442</v>
      </c>
      <c r="S107" s="2" t="s">
        <v>34</v>
      </c>
      <c r="T107" s="151">
        <v>1.35</v>
      </c>
      <c r="U107" s="2" t="s">
        <v>1358</v>
      </c>
      <c r="V107" s="162">
        <v>2.8000000000000001E-2</v>
      </c>
      <c r="W107" s="2" t="s">
        <v>790</v>
      </c>
      <c r="X107" s="2" t="s">
        <v>1354</v>
      </c>
      <c r="Y107" s="151">
        <v>2.8</v>
      </c>
      <c r="Z107" s="164">
        <v>5.4260000000000003E-2</v>
      </c>
      <c r="AA107" s="2" t="s">
        <v>1511</v>
      </c>
      <c r="AB107" s="4" t="s">
        <v>447</v>
      </c>
      <c r="AE107" s="164">
        <v>0</v>
      </c>
      <c r="AG107" s="2" t="s">
        <v>155</v>
      </c>
      <c r="AJ107" s="2" t="s">
        <v>155</v>
      </c>
      <c r="AK107" s="2" t="s">
        <v>194</v>
      </c>
      <c r="AN107" s="2" t="s">
        <v>157</v>
      </c>
      <c r="AP107" s="162">
        <v>0</v>
      </c>
      <c r="AQ107" s="151">
        <v>2250000</v>
      </c>
      <c r="AR107" s="175">
        <v>97.47</v>
      </c>
      <c r="AS107" s="158">
        <v>1</v>
      </c>
      <c r="AT107" s="151">
        <v>2193.0749999999998</v>
      </c>
      <c r="AU107" s="151">
        <v>2193.0749999999998</v>
      </c>
      <c r="AX107" s="4" t="s">
        <v>155</v>
      </c>
      <c r="AY107" s="2" t="s">
        <v>36</v>
      </c>
      <c r="AZ107" s="164">
        <v>4.4001337002102001E-2</v>
      </c>
      <c r="BA107" s="164">
        <v>9.0847919746316205E-4</v>
      </c>
    </row>
    <row r="108" spans="1:53">
      <c r="A108" s="2">
        <v>424</v>
      </c>
      <c r="B108" s="2">
        <v>7228</v>
      </c>
      <c r="C108" s="2" t="s">
        <v>1512</v>
      </c>
      <c r="D108" s="2" t="s">
        <v>1342</v>
      </c>
      <c r="E108" s="2" t="s">
        <v>1513</v>
      </c>
      <c r="F108" s="2" t="s">
        <v>1514</v>
      </c>
      <c r="G108" s="2" t="s">
        <v>1073</v>
      </c>
      <c r="I108" s="2" t="s">
        <v>30</v>
      </c>
      <c r="J108" s="2" t="s">
        <v>30</v>
      </c>
      <c r="K108" s="2" t="s">
        <v>473</v>
      </c>
      <c r="L108" s="2" t="s">
        <v>155</v>
      </c>
      <c r="M108" s="2" t="s">
        <v>375</v>
      </c>
      <c r="N108" s="151">
        <v>513846667</v>
      </c>
      <c r="O108" s="2" t="s">
        <v>1345</v>
      </c>
      <c r="P108" s="2" t="s">
        <v>1346</v>
      </c>
      <c r="Q108" s="2" t="s">
        <v>101</v>
      </c>
      <c r="R108" s="2" t="s">
        <v>442</v>
      </c>
      <c r="S108" s="2" t="s">
        <v>34</v>
      </c>
      <c r="T108" s="151">
        <v>5</v>
      </c>
      <c r="U108" s="2" t="s">
        <v>194</v>
      </c>
      <c r="V108" s="162">
        <v>3.5499999999999997E-2</v>
      </c>
      <c r="W108" s="2" t="s">
        <v>790</v>
      </c>
      <c r="X108" s="2" t="s">
        <v>944</v>
      </c>
      <c r="Y108" s="151">
        <v>3.55</v>
      </c>
      <c r="Z108" s="164">
        <v>2.9479999999999999E-2</v>
      </c>
      <c r="AA108" s="2" t="s">
        <v>1347</v>
      </c>
      <c r="AB108" s="4" t="s">
        <v>447</v>
      </c>
      <c r="AE108" s="164">
        <v>0</v>
      </c>
      <c r="AG108" s="2" t="s">
        <v>155</v>
      </c>
      <c r="AI108" s="2" t="s">
        <v>1348</v>
      </c>
      <c r="AJ108" s="2" t="s">
        <v>375</v>
      </c>
      <c r="AK108" s="2" t="s">
        <v>927</v>
      </c>
      <c r="AL108" s="2" t="s">
        <v>1340</v>
      </c>
      <c r="AN108" s="2" t="s">
        <v>157</v>
      </c>
      <c r="AP108" s="162">
        <v>0</v>
      </c>
      <c r="AQ108" s="151">
        <v>3594194.85</v>
      </c>
      <c r="AR108" s="175">
        <v>110.31</v>
      </c>
      <c r="AS108" s="158">
        <v>1</v>
      </c>
      <c r="AT108" s="151">
        <v>3964.7559999999999</v>
      </c>
      <c r="AU108" s="151">
        <v>3964.7559999999999</v>
      </c>
      <c r="AX108" s="4" t="s">
        <v>155</v>
      </c>
      <c r="AY108" s="2" t="s">
        <v>36</v>
      </c>
      <c r="AZ108" s="164">
        <v>7.9547931468417293E-2</v>
      </c>
      <c r="BA108" s="164">
        <v>1.64239647847133E-3</v>
      </c>
    </row>
    <row r="109" spans="1:53">
      <c r="A109" s="2">
        <v>424</v>
      </c>
      <c r="B109" s="2">
        <v>7228</v>
      </c>
      <c r="C109" s="2" t="s">
        <v>1515</v>
      </c>
      <c r="D109" s="2" t="s">
        <v>1342</v>
      </c>
      <c r="E109" s="2" t="s">
        <v>1521</v>
      </c>
      <c r="F109" s="2" t="s">
        <v>1522</v>
      </c>
      <c r="G109" s="2" t="s">
        <v>1072</v>
      </c>
      <c r="I109" s="2" t="s">
        <v>30</v>
      </c>
      <c r="J109" s="2" t="s">
        <v>30</v>
      </c>
      <c r="K109" s="2" t="s">
        <v>512</v>
      </c>
      <c r="L109" s="2" t="s">
        <v>155</v>
      </c>
      <c r="M109" s="2" t="s">
        <v>155</v>
      </c>
      <c r="O109" s="2" t="s">
        <v>1518</v>
      </c>
      <c r="P109" s="2" t="s">
        <v>1519</v>
      </c>
      <c r="Q109" s="2" t="s">
        <v>33</v>
      </c>
      <c r="R109" s="2" t="s">
        <v>442</v>
      </c>
      <c r="S109" s="2" t="s">
        <v>34</v>
      </c>
      <c r="T109" s="151">
        <v>2.4340000000000002</v>
      </c>
      <c r="U109" s="2" t="s">
        <v>194</v>
      </c>
      <c r="V109" s="162">
        <v>5.5E-2</v>
      </c>
      <c r="W109" s="2" t="s">
        <v>790</v>
      </c>
      <c r="X109" s="2" t="s">
        <v>1354</v>
      </c>
      <c r="Z109" s="164">
        <v>5.1400000000000001E-2</v>
      </c>
      <c r="AB109" s="4" t="s">
        <v>447</v>
      </c>
      <c r="AE109" s="164">
        <v>0</v>
      </c>
      <c r="AG109" s="2" t="s">
        <v>155</v>
      </c>
      <c r="AJ109" s="2" t="s">
        <v>155</v>
      </c>
      <c r="AK109" s="2" t="s">
        <v>194</v>
      </c>
      <c r="AN109" s="2" t="s">
        <v>157</v>
      </c>
      <c r="AP109" s="162">
        <v>0</v>
      </c>
      <c r="AQ109" s="151">
        <v>28567856.239999998</v>
      </c>
      <c r="AR109" s="175">
        <v>101.312</v>
      </c>
      <c r="AS109" s="158">
        <v>1</v>
      </c>
      <c r="AT109" s="151">
        <v>28942.802</v>
      </c>
      <c r="AU109" s="151">
        <v>28942.802</v>
      </c>
      <c r="AX109" s="4" t="s">
        <v>155</v>
      </c>
      <c r="AY109" s="2" t="s">
        <v>36</v>
      </c>
      <c r="AZ109" s="164">
        <v>0.58070152360479099</v>
      </c>
      <c r="BA109" s="164">
        <v>1.19895278205959E-2</v>
      </c>
    </row>
    <row r="110" spans="1:53">
      <c r="A110" s="2">
        <v>424</v>
      </c>
      <c r="B110" s="2">
        <v>7229</v>
      </c>
      <c r="C110" s="2" t="s">
        <v>1333</v>
      </c>
      <c r="D110" s="2" t="s">
        <v>33</v>
      </c>
      <c r="E110" s="2" t="s">
        <v>1334</v>
      </c>
      <c r="F110" s="2" t="s">
        <v>1335</v>
      </c>
      <c r="G110" s="2" t="s">
        <v>1073</v>
      </c>
      <c r="I110" s="2" t="s">
        <v>30</v>
      </c>
      <c r="J110" s="2" t="s">
        <v>30</v>
      </c>
      <c r="K110" s="2" t="s">
        <v>482</v>
      </c>
      <c r="L110" s="2" t="s">
        <v>155</v>
      </c>
      <c r="M110" s="2" t="s">
        <v>375</v>
      </c>
      <c r="N110" s="151">
        <v>514984558</v>
      </c>
      <c r="O110" s="2" t="s">
        <v>1336</v>
      </c>
      <c r="P110" s="2" t="s">
        <v>1337</v>
      </c>
      <c r="Q110" s="2" t="s">
        <v>101</v>
      </c>
      <c r="R110" s="2" t="s">
        <v>442</v>
      </c>
      <c r="S110" s="2" t="s">
        <v>34</v>
      </c>
      <c r="T110" s="151">
        <v>1.47</v>
      </c>
      <c r="U110" s="2" t="s">
        <v>194</v>
      </c>
      <c r="V110" s="162">
        <v>5.5E-2</v>
      </c>
      <c r="W110" s="2" t="s">
        <v>790</v>
      </c>
      <c r="X110" s="2" t="s">
        <v>944</v>
      </c>
      <c r="Y110" s="151">
        <v>5.5</v>
      </c>
      <c r="Z110" s="164">
        <v>0.24424999999999999</v>
      </c>
      <c r="AA110" s="2" t="s">
        <v>1338</v>
      </c>
      <c r="AB110" s="4" t="s">
        <v>447</v>
      </c>
      <c r="AE110" s="164">
        <v>0</v>
      </c>
      <c r="AG110" s="2" t="s">
        <v>375</v>
      </c>
      <c r="AH110" s="2" t="s">
        <v>818</v>
      </c>
      <c r="AI110" s="2" t="s">
        <v>1339</v>
      </c>
      <c r="AJ110" s="2" t="s">
        <v>375</v>
      </c>
      <c r="AK110" s="2" t="s">
        <v>927</v>
      </c>
      <c r="AL110" s="2" t="s">
        <v>1340</v>
      </c>
      <c r="AN110" s="2" t="s">
        <v>157</v>
      </c>
      <c r="AP110" s="162">
        <v>0</v>
      </c>
      <c r="AQ110" s="151">
        <v>25330</v>
      </c>
      <c r="AR110" s="175">
        <v>82.26</v>
      </c>
      <c r="AS110" s="158">
        <v>1</v>
      </c>
      <c r="AT110" s="151">
        <v>20.835999999999999</v>
      </c>
      <c r="AU110" s="151">
        <v>20.835999999999999</v>
      </c>
      <c r="AX110" s="4" t="s">
        <v>375</v>
      </c>
      <c r="AY110" s="2" t="s">
        <v>36</v>
      </c>
      <c r="AZ110" s="164">
        <v>1.6536510189031298E-2</v>
      </c>
      <c r="BA110" s="164">
        <v>1.4304099342181401E-4</v>
      </c>
    </row>
    <row r="111" spans="1:53">
      <c r="A111" s="2">
        <v>424</v>
      </c>
      <c r="B111" s="2">
        <v>7229</v>
      </c>
      <c r="C111" s="2" t="s">
        <v>1341</v>
      </c>
      <c r="D111" s="2" t="s">
        <v>1342</v>
      </c>
      <c r="E111" s="2" t="s">
        <v>1343</v>
      </c>
      <c r="F111" s="2" t="s">
        <v>1344</v>
      </c>
      <c r="G111" s="2" t="s">
        <v>1073</v>
      </c>
      <c r="I111" s="2" t="s">
        <v>30</v>
      </c>
      <c r="J111" s="2" t="s">
        <v>30</v>
      </c>
      <c r="K111" s="2" t="s">
        <v>473</v>
      </c>
      <c r="L111" s="2" t="s">
        <v>155</v>
      </c>
      <c r="M111" s="2" t="s">
        <v>375</v>
      </c>
      <c r="N111" s="151">
        <v>513846667</v>
      </c>
      <c r="O111" s="2" t="s">
        <v>1345</v>
      </c>
      <c r="P111" s="2" t="s">
        <v>1346</v>
      </c>
      <c r="Q111" s="2" t="s">
        <v>101</v>
      </c>
      <c r="R111" s="2" t="s">
        <v>442</v>
      </c>
      <c r="S111" s="2" t="s">
        <v>34</v>
      </c>
      <c r="T111" s="151">
        <v>4.6500000000000004</v>
      </c>
      <c r="U111" s="2" t="s">
        <v>194</v>
      </c>
      <c r="V111" s="162">
        <v>3.5499999999999997E-2</v>
      </c>
      <c r="W111" s="2" t="s">
        <v>790</v>
      </c>
      <c r="X111" s="2" t="s">
        <v>944</v>
      </c>
      <c r="Y111" s="151">
        <v>3.55</v>
      </c>
      <c r="Z111" s="164">
        <v>5.8930000000000003E-2</v>
      </c>
      <c r="AA111" s="2" t="s">
        <v>1347</v>
      </c>
      <c r="AB111" s="4" t="s">
        <v>447</v>
      </c>
      <c r="AE111" s="164">
        <v>0</v>
      </c>
      <c r="AG111" s="2" t="s">
        <v>155</v>
      </c>
      <c r="AI111" s="2" t="s">
        <v>1348</v>
      </c>
      <c r="AJ111" s="2" t="s">
        <v>375</v>
      </c>
      <c r="AK111" s="2" t="s">
        <v>927</v>
      </c>
      <c r="AL111" s="2" t="s">
        <v>1340</v>
      </c>
      <c r="AN111" s="2" t="s">
        <v>157</v>
      </c>
      <c r="AP111" s="162">
        <v>0</v>
      </c>
      <c r="AQ111" s="151">
        <v>122413.71</v>
      </c>
      <c r="AR111" s="175">
        <v>110.14</v>
      </c>
      <c r="AS111" s="158">
        <v>1</v>
      </c>
      <c r="AT111" s="151">
        <v>134.82599999999999</v>
      </c>
      <c r="AU111" s="151">
        <v>134.82599999999999</v>
      </c>
      <c r="AX111" s="4" t="s">
        <v>155</v>
      </c>
      <c r="AY111" s="2" t="s">
        <v>36</v>
      </c>
      <c r="AZ111" s="164">
        <v>0.107002789665552</v>
      </c>
      <c r="BA111" s="164">
        <v>9.2557529718805204E-4</v>
      </c>
    </row>
    <row r="112" spans="1:53">
      <c r="A112" s="2">
        <v>424</v>
      </c>
      <c r="B112" s="2">
        <v>7229</v>
      </c>
      <c r="C112" s="2" t="s">
        <v>1349</v>
      </c>
      <c r="D112" s="2" t="s">
        <v>33</v>
      </c>
      <c r="E112" s="2" t="s">
        <v>1350</v>
      </c>
      <c r="F112" s="2" t="s">
        <v>1351</v>
      </c>
      <c r="G112" s="2" t="s">
        <v>1073</v>
      </c>
      <c r="I112" s="2" t="s">
        <v>30</v>
      </c>
      <c r="J112" s="2" t="s">
        <v>30</v>
      </c>
      <c r="K112" s="2" t="s">
        <v>487</v>
      </c>
      <c r="L112" s="2" t="s">
        <v>155</v>
      </c>
      <c r="M112" s="2" t="s">
        <v>375</v>
      </c>
      <c r="N112" s="151">
        <v>513326439</v>
      </c>
      <c r="O112" s="2" t="s">
        <v>1352</v>
      </c>
      <c r="P112" s="2" t="s">
        <v>1353</v>
      </c>
      <c r="Q112" s="2" t="s">
        <v>206</v>
      </c>
      <c r="R112" s="2" t="s">
        <v>442</v>
      </c>
      <c r="S112" s="2" t="s">
        <v>34</v>
      </c>
      <c r="T112" s="151">
        <v>3.22</v>
      </c>
      <c r="U112" s="2" t="s">
        <v>194</v>
      </c>
      <c r="V112" s="162">
        <v>5.5E-2</v>
      </c>
      <c r="W112" s="2" t="s">
        <v>790</v>
      </c>
      <c r="X112" s="2" t="s">
        <v>1354</v>
      </c>
      <c r="Y112" s="151">
        <v>5.5</v>
      </c>
      <c r="Z112" s="164">
        <v>3.2800000000000003E-2</v>
      </c>
      <c r="AA112" s="2" t="s">
        <v>1355</v>
      </c>
      <c r="AB112" s="4" t="s">
        <v>447</v>
      </c>
      <c r="AE112" s="164">
        <v>0</v>
      </c>
      <c r="AG112" s="2" t="s">
        <v>155</v>
      </c>
      <c r="AJ112" s="2" t="s">
        <v>155</v>
      </c>
      <c r="AK112" s="2" t="s">
        <v>194</v>
      </c>
      <c r="AN112" s="2" t="s">
        <v>157</v>
      </c>
      <c r="AP112" s="162">
        <v>0</v>
      </c>
      <c r="AQ112" s="151">
        <v>4291.01</v>
      </c>
      <c r="AR112" s="175">
        <v>124.32</v>
      </c>
      <c r="AS112" s="158">
        <v>1</v>
      </c>
      <c r="AT112" s="151">
        <v>5.335</v>
      </c>
      <c r="AU112" s="151">
        <v>5.335</v>
      </c>
      <c r="AX112" s="4" t="s">
        <v>155</v>
      </c>
      <c r="AY112" s="2" t="s">
        <v>36</v>
      </c>
      <c r="AZ112" s="164">
        <v>4.2337040482027999E-3</v>
      </c>
      <c r="BA112" s="164">
        <v>3.66215861742445E-5</v>
      </c>
    </row>
    <row r="113" spans="1:53">
      <c r="A113" s="2">
        <v>424</v>
      </c>
      <c r="B113" s="2">
        <v>7229</v>
      </c>
      <c r="C113" s="2" t="s">
        <v>1349</v>
      </c>
      <c r="D113" s="2" t="s">
        <v>33</v>
      </c>
      <c r="E113" s="2" t="s">
        <v>1356</v>
      </c>
      <c r="F113" s="2" t="s">
        <v>1357</v>
      </c>
      <c r="G113" s="2" t="s">
        <v>1073</v>
      </c>
      <c r="I113" s="2" t="s">
        <v>30</v>
      </c>
      <c r="J113" s="2" t="s">
        <v>30</v>
      </c>
      <c r="K113" s="2" t="s">
        <v>487</v>
      </c>
      <c r="L113" s="2" t="s">
        <v>155</v>
      </c>
      <c r="M113" s="2" t="s">
        <v>375</v>
      </c>
      <c r="N113" s="151">
        <v>513326439</v>
      </c>
      <c r="O113" s="2" t="s">
        <v>1352</v>
      </c>
      <c r="P113" s="2" t="s">
        <v>1353</v>
      </c>
      <c r="Q113" s="2" t="s">
        <v>206</v>
      </c>
      <c r="R113" s="2" t="s">
        <v>442</v>
      </c>
      <c r="S113" s="2" t="s">
        <v>34</v>
      </c>
      <c r="T113" s="151">
        <v>3.24</v>
      </c>
      <c r="U113" s="2" t="s">
        <v>1358</v>
      </c>
      <c r="V113" s="162">
        <v>5.5E-2</v>
      </c>
      <c r="W113" s="2" t="s">
        <v>790</v>
      </c>
      <c r="X113" s="2" t="s">
        <v>1354</v>
      </c>
      <c r="Y113" s="151">
        <v>5.5</v>
      </c>
      <c r="Z113" s="164">
        <v>2.9000000000000001E-2</v>
      </c>
      <c r="AA113" s="2" t="s">
        <v>1355</v>
      </c>
      <c r="AB113" s="4" t="s">
        <v>447</v>
      </c>
      <c r="AE113" s="164">
        <v>0</v>
      </c>
      <c r="AG113" s="2" t="s">
        <v>155</v>
      </c>
      <c r="AJ113" s="2" t="s">
        <v>155</v>
      </c>
      <c r="AK113" s="2" t="s">
        <v>194</v>
      </c>
      <c r="AN113" s="2" t="s">
        <v>157</v>
      </c>
      <c r="AP113" s="162">
        <v>0</v>
      </c>
      <c r="AQ113" s="151">
        <v>6181.26</v>
      </c>
      <c r="AR113" s="175">
        <v>128.31</v>
      </c>
      <c r="AS113" s="158">
        <v>1</v>
      </c>
      <c r="AT113" s="151">
        <v>7.931</v>
      </c>
      <c r="AU113" s="151">
        <v>7.931</v>
      </c>
      <c r="AX113" s="4" t="s">
        <v>155</v>
      </c>
      <c r="AY113" s="2" t="s">
        <v>36</v>
      </c>
      <c r="AZ113" s="164">
        <v>6.2944455980357304E-3</v>
      </c>
      <c r="BA113" s="164">
        <v>5.4447023047208899E-5</v>
      </c>
    </row>
    <row r="114" spans="1:53">
      <c r="A114" s="2">
        <v>424</v>
      </c>
      <c r="B114" s="2">
        <v>7229</v>
      </c>
      <c r="C114" s="2" t="s">
        <v>1349</v>
      </c>
      <c r="D114" s="2" t="s">
        <v>33</v>
      </c>
      <c r="E114" s="2" t="s">
        <v>1359</v>
      </c>
      <c r="F114" s="2" t="s">
        <v>1360</v>
      </c>
      <c r="G114" s="2" t="s">
        <v>1073</v>
      </c>
      <c r="I114" s="2" t="s">
        <v>30</v>
      </c>
      <c r="J114" s="2" t="s">
        <v>30</v>
      </c>
      <c r="K114" s="2" t="s">
        <v>487</v>
      </c>
      <c r="L114" s="2" t="s">
        <v>155</v>
      </c>
      <c r="M114" s="2" t="s">
        <v>375</v>
      </c>
      <c r="N114" s="151">
        <v>513326439</v>
      </c>
      <c r="O114" s="2" t="s">
        <v>1352</v>
      </c>
      <c r="P114" s="2" t="s">
        <v>1353</v>
      </c>
      <c r="Q114" s="2" t="s">
        <v>206</v>
      </c>
      <c r="R114" s="2" t="s">
        <v>442</v>
      </c>
      <c r="S114" s="2" t="s">
        <v>34</v>
      </c>
      <c r="T114" s="151">
        <v>3.22</v>
      </c>
      <c r="U114" s="2" t="s">
        <v>1358</v>
      </c>
      <c r="V114" s="162">
        <v>5.5E-2</v>
      </c>
      <c r="W114" s="2" t="s">
        <v>790</v>
      </c>
      <c r="X114" s="2" t="s">
        <v>1354</v>
      </c>
      <c r="Y114" s="151">
        <v>5.5</v>
      </c>
      <c r="Z114" s="164">
        <v>3.2800000000000003E-2</v>
      </c>
      <c r="AA114" s="2" t="s">
        <v>1355</v>
      </c>
      <c r="AB114" s="4" t="s">
        <v>447</v>
      </c>
      <c r="AE114" s="164">
        <v>0</v>
      </c>
      <c r="AG114" s="2" t="s">
        <v>155</v>
      </c>
      <c r="AJ114" s="2" t="s">
        <v>155</v>
      </c>
      <c r="AK114" s="2" t="s">
        <v>194</v>
      </c>
      <c r="AN114" s="2" t="s">
        <v>157</v>
      </c>
      <c r="AP114" s="162">
        <v>0</v>
      </c>
      <c r="AQ114" s="151">
        <v>681.05</v>
      </c>
      <c r="AR114" s="175">
        <v>128.31</v>
      </c>
      <c r="AS114" s="158">
        <v>1</v>
      </c>
      <c r="AT114" s="151">
        <v>0.874</v>
      </c>
      <c r="AU114" s="151">
        <v>0.874</v>
      </c>
      <c r="AX114" s="4" t="s">
        <v>155</v>
      </c>
      <c r="AY114" s="2" t="s">
        <v>36</v>
      </c>
      <c r="AZ114" s="164">
        <v>6.9352076672753399E-4</v>
      </c>
      <c r="BA114" s="164">
        <v>5.99896219319388E-6</v>
      </c>
    </row>
    <row r="115" spans="1:53">
      <c r="A115" s="2">
        <v>424</v>
      </c>
      <c r="B115" s="2">
        <v>7229</v>
      </c>
      <c r="C115" s="2" t="s">
        <v>1349</v>
      </c>
      <c r="D115" s="2" t="s">
        <v>33</v>
      </c>
      <c r="E115" s="2" t="s">
        <v>1361</v>
      </c>
      <c r="F115" s="2" t="s">
        <v>1362</v>
      </c>
      <c r="G115" s="2" t="s">
        <v>1073</v>
      </c>
      <c r="I115" s="2" t="s">
        <v>30</v>
      </c>
      <c r="J115" s="2" t="s">
        <v>30</v>
      </c>
      <c r="K115" s="2" t="s">
        <v>487</v>
      </c>
      <c r="L115" s="2" t="s">
        <v>155</v>
      </c>
      <c r="M115" s="2" t="s">
        <v>375</v>
      </c>
      <c r="N115" s="2" t="s">
        <v>1349</v>
      </c>
      <c r="O115" s="2" t="s">
        <v>1363</v>
      </c>
      <c r="P115" s="2" t="s">
        <v>1340</v>
      </c>
      <c r="Q115" s="2" t="s">
        <v>101</v>
      </c>
      <c r="R115" s="2" t="s">
        <v>442</v>
      </c>
      <c r="S115" s="2" t="s">
        <v>34</v>
      </c>
      <c r="T115" s="151">
        <v>3.09</v>
      </c>
      <c r="U115" s="2" t="s">
        <v>194</v>
      </c>
      <c r="V115" s="162">
        <v>5.5300000000000002E-2</v>
      </c>
      <c r="W115" s="2" t="s">
        <v>790</v>
      </c>
      <c r="X115" s="2" t="s">
        <v>944</v>
      </c>
      <c r="Y115" s="151">
        <v>5.53</v>
      </c>
      <c r="Z115" s="164">
        <v>2.818E-2</v>
      </c>
      <c r="AA115" s="2" t="s">
        <v>1364</v>
      </c>
      <c r="AB115" s="4" t="s">
        <v>447</v>
      </c>
      <c r="AC115" s="2" t="s">
        <v>519</v>
      </c>
      <c r="AD115" s="151">
        <v>4791</v>
      </c>
      <c r="AE115" s="164">
        <v>0.78</v>
      </c>
      <c r="AF115" s="2" t="s">
        <v>1365</v>
      </c>
      <c r="AG115" s="2" t="s">
        <v>155</v>
      </c>
      <c r="AI115" s="2" t="s">
        <v>1366</v>
      </c>
      <c r="AJ115" s="2" t="s">
        <v>375</v>
      </c>
      <c r="AK115" s="2" t="s">
        <v>927</v>
      </c>
      <c r="AL115" s="2" t="s">
        <v>1340</v>
      </c>
      <c r="AN115" s="2" t="s">
        <v>157</v>
      </c>
      <c r="AO115" s="2" t="s">
        <v>1365</v>
      </c>
      <c r="AP115" s="162">
        <v>0</v>
      </c>
      <c r="AQ115" s="151">
        <v>8511.41</v>
      </c>
      <c r="AR115" s="175">
        <v>129.91999999999999</v>
      </c>
      <c r="AS115" s="158">
        <v>1</v>
      </c>
      <c r="AT115" s="151">
        <v>11.058</v>
      </c>
      <c r="AU115" s="151">
        <v>11.058</v>
      </c>
      <c r="AX115" s="4" t="s">
        <v>155</v>
      </c>
      <c r="AY115" s="2" t="s">
        <v>36</v>
      </c>
      <c r="AZ115" s="164">
        <v>8.7760177103939404E-3</v>
      </c>
      <c r="BA115" s="164">
        <v>7.5912648874055697E-5</v>
      </c>
    </row>
    <row r="116" spans="1:53">
      <c r="A116" s="2">
        <v>424</v>
      </c>
      <c r="B116" s="2">
        <v>7229</v>
      </c>
      <c r="C116" s="2" t="s">
        <v>1349</v>
      </c>
      <c r="D116" s="2" t="s">
        <v>33</v>
      </c>
      <c r="E116" s="2" t="s">
        <v>1367</v>
      </c>
      <c r="F116" s="2" t="s">
        <v>1368</v>
      </c>
      <c r="G116" s="2" t="s">
        <v>1073</v>
      </c>
      <c r="I116" s="2" t="s">
        <v>30</v>
      </c>
      <c r="J116" s="2" t="s">
        <v>30</v>
      </c>
      <c r="K116" s="2" t="s">
        <v>487</v>
      </c>
      <c r="L116" s="2" t="s">
        <v>155</v>
      </c>
      <c r="M116" s="2" t="s">
        <v>375</v>
      </c>
      <c r="N116" s="2" t="s">
        <v>1349</v>
      </c>
      <c r="O116" s="2" t="s">
        <v>1369</v>
      </c>
      <c r="P116" s="2" t="s">
        <v>1340</v>
      </c>
      <c r="Q116" s="2" t="s">
        <v>101</v>
      </c>
      <c r="R116" s="2" t="s">
        <v>442</v>
      </c>
      <c r="S116" s="2" t="s">
        <v>34</v>
      </c>
      <c r="T116" s="151">
        <v>3.09</v>
      </c>
      <c r="U116" s="2" t="s">
        <v>194</v>
      </c>
      <c r="V116" s="162">
        <v>5.5301000000000003E-2</v>
      </c>
      <c r="W116" s="2" t="s">
        <v>790</v>
      </c>
      <c r="X116" s="2" t="s">
        <v>944</v>
      </c>
      <c r="Y116" s="151">
        <v>5.5301</v>
      </c>
      <c r="Z116" s="164">
        <v>2.818E-2</v>
      </c>
      <c r="AA116" s="2" t="s">
        <v>1364</v>
      </c>
      <c r="AB116" s="4" t="s">
        <v>447</v>
      </c>
      <c r="AC116" s="2" t="s">
        <v>519</v>
      </c>
      <c r="AD116" s="151">
        <v>4596</v>
      </c>
      <c r="AE116" s="164">
        <v>0.78</v>
      </c>
      <c r="AF116" s="2" t="s">
        <v>1365</v>
      </c>
      <c r="AG116" s="2" t="s">
        <v>155</v>
      </c>
      <c r="AI116" s="2" t="s">
        <v>1366</v>
      </c>
      <c r="AJ116" s="2" t="s">
        <v>375</v>
      </c>
      <c r="AK116" s="2" t="s">
        <v>927</v>
      </c>
      <c r="AL116" s="2" t="s">
        <v>1340</v>
      </c>
      <c r="AN116" s="2" t="s">
        <v>157</v>
      </c>
      <c r="AO116" s="2" t="s">
        <v>1365</v>
      </c>
      <c r="AP116" s="162">
        <v>0</v>
      </c>
      <c r="AQ116" s="151">
        <v>8165.95</v>
      </c>
      <c r="AR116" s="175">
        <v>129.91999999999999</v>
      </c>
      <c r="AS116" s="158">
        <v>1</v>
      </c>
      <c r="AT116" s="151">
        <v>10.609</v>
      </c>
      <c r="AU116" s="151">
        <v>10.609</v>
      </c>
      <c r="AX116" s="4" t="s">
        <v>155</v>
      </c>
      <c r="AY116" s="2" t="s">
        <v>36</v>
      </c>
      <c r="AZ116" s="164">
        <v>8.4198178471242002E-3</v>
      </c>
      <c r="BA116" s="164">
        <v>7.2831516173359705E-5</v>
      </c>
    </row>
    <row r="117" spans="1:53">
      <c r="A117" s="2">
        <v>424</v>
      </c>
      <c r="B117" s="2">
        <v>7229</v>
      </c>
      <c r="C117" s="2" t="s">
        <v>1349</v>
      </c>
      <c r="D117" s="2" t="s">
        <v>33</v>
      </c>
      <c r="E117" s="2" t="s">
        <v>1370</v>
      </c>
      <c r="F117" s="2" t="s">
        <v>1371</v>
      </c>
      <c r="G117" s="2" t="s">
        <v>1073</v>
      </c>
      <c r="I117" s="2" t="s">
        <v>30</v>
      </c>
      <c r="J117" s="2" t="s">
        <v>30</v>
      </c>
      <c r="K117" s="2" t="s">
        <v>487</v>
      </c>
      <c r="L117" s="2" t="s">
        <v>155</v>
      </c>
      <c r="M117" s="2" t="s">
        <v>375</v>
      </c>
      <c r="N117" s="2" t="s">
        <v>1349</v>
      </c>
      <c r="O117" s="2" t="s">
        <v>1372</v>
      </c>
      <c r="P117" s="2" t="s">
        <v>1340</v>
      </c>
      <c r="Q117" s="2" t="s">
        <v>101</v>
      </c>
      <c r="R117" s="2" t="s">
        <v>442</v>
      </c>
      <c r="S117" s="2" t="s">
        <v>34</v>
      </c>
      <c r="T117" s="151">
        <v>3.09</v>
      </c>
      <c r="U117" s="2" t="s">
        <v>194</v>
      </c>
      <c r="V117" s="162">
        <v>5.5300000000000002E-2</v>
      </c>
      <c r="W117" s="2" t="s">
        <v>790</v>
      </c>
      <c r="X117" s="2" t="s">
        <v>944</v>
      </c>
      <c r="Y117" s="151">
        <v>5.53</v>
      </c>
      <c r="Z117" s="164">
        <v>2.8139999999999998E-2</v>
      </c>
      <c r="AA117" s="2" t="s">
        <v>1364</v>
      </c>
      <c r="AB117" s="4" t="s">
        <v>447</v>
      </c>
      <c r="AC117" s="2" t="s">
        <v>519</v>
      </c>
      <c r="AD117" s="151">
        <v>4622</v>
      </c>
      <c r="AE117" s="164">
        <v>0.78</v>
      </c>
      <c r="AF117" s="2" t="s">
        <v>1365</v>
      </c>
      <c r="AG117" s="2" t="s">
        <v>155</v>
      </c>
      <c r="AI117" s="2" t="s">
        <v>1366</v>
      </c>
      <c r="AJ117" s="2" t="s">
        <v>375</v>
      </c>
      <c r="AK117" s="2" t="s">
        <v>927</v>
      </c>
      <c r="AL117" s="2" t="s">
        <v>1340</v>
      </c>
      <c r="AN117" s="2" t="s">
        <v>157</v>
      </c>
      <c r="AO117" s="2" t="s">
        <v>1365</v>
      </c>
      <c r="AP117" s="162">
        <v>0</v>
      </c>
      <c r="AQ117" s="151">
        <v>8212.5499999999993</v>
      </c>
      <c r="AR117" s="175">
        <v>128.31</v>
      </c>
      <c r="AS117" s="158">
        <v>1</v>
      </c>
      <c r="AT117" s="151">
        <v>10.538</v>
      </c>
      <c r="AU117" s="151">
        <v>10.538</v>
      </c>
      <c r="AX117" s="4" t="s">
        <v>155</v>
      </c>
      <c r="AY117" s="2" t="s">
        <v>36</v>
      </c>
      <c r="AZ117" s="164">
        <v>8.3629307287103796E-3</v>
      </c>
      <c r="BA117" s="164">
        <v>7.2339441978877406E-5</v>
      </c>
    </row>
    <row r="118" spans="1:53">
      <c r="A118" s="2">
        <v>424</v>
      </c>
      <c r="B118" s="2">
        <v>7229</v>
      </c>
      <c r="C118" s="2" t="s">
        <v>1349</v>
      </c>
      <c r="D118" s="2" t="s">
        <v>33</v>
      </c>
      <c r="E118" s="2" t="s">
        <v>1373</v>
      </c>
      <c r="F118" s="2" t="s">
        <v>1374</v>
      </c>
      <c r="G118" s="2" t="s">
        <v>1073</v>
      </c>
      <c r="I118" s="2" t="s">
        <v>30</v>
      </c>
      <c r="J118" s="2" t="s">
        <v>30</v>
      </c>
      <c r="K118" s="2" t="s">
        <v>487</v>
      </c>
      <c r="L118" s="2" t="s">
        <v>155</v>
      </c>
      <c r="M118" s="2" t="s">
        <v>375</v>
      </c>
      <c r="N118" s="2" t="s">
        <v>1349</v>
      </c>
      <c r="O118" s="2" t="s">
        <v>1375</v>
      </c>
      <c r="P118" s="2" t="s">
        <v>1340</v>
      </c>
      <c r="Q118" s="2" t="s">
        <v>101</v>
      </c>
      <c r="R118" s="2" t="s">
        <v>442</v>
      </c>
      <c r="S118" s="2" t="s">
        <v>34</v>
      </c>
      <c r="T118" s="151">
        <v>3.24</v>
      </c>
      <c r="U118" s="2" t="s">
        <v>194</v>
      </c>
      <c r="V118" s="162">
        <v>5.5E-2</v>
      </c>
      <c r="W118" s="2" t="s">
        <v>790</v>
      </c>
      <c r="X118" s="2" t="s">
        <v>1354</v>
      </c>
      <c r="Y118" s="151">
        <v>5.5</v>
      </c>
      <c r="Z118" s="164">
        <v>2.9000000000000001E-2</v>
      </c>
      <c r="AA118" s="2" t="s">
        <v>1364</v>
      </c>
      <c r="AB118" s="4" t="s">
        <v>447</v>
      </c>
      <c r="AC118" s="2" t="s">
        <v>519</v>
      </c>
      <c r="AD118" s="151">
        <v>3155</v>
      </c>
      <c r="AE118" s="164">
        <v>0.78</v>
      </c>
      <c r="AF118" s="2" t="s">
        <v>1365</v>
      </c>
      <c r="AG118" s="2" t="s">
        <v>155</v>
      </c>
      <c r="AI118" s="2" t="s">
        <v>1366</v>
      </c>
      <c r="AJ118" s="2" t="s">
        <v>375</v>
      </c>
      <c r="AK118" s="2" t="s">
        <v>194</v>
      </c>
      <c r="AN118" s="2" t="s">
        <v>157</v>
      </c>
      <c r="AO118" s="2" t="s">
        <v>1365</v>
      </c>
      <c r="AP118" s="162">
        <v>0</v>
      </c>
      <c r="AQ118" s="151">
        <v>2593.4299999999998</v>
      </c>
      <c r="AR118" s="175">
        <v>127.8</v>
      </c>
      <c r="AS118" s="158">
        <v>1</v>
      </c>
      <c r="AT118" s="151">
        <v>3.3140000000000001</v>
      </c>
      <c r="AU118" s="151">
        <v>3.3140000000000001</v>
      </c>
      <c r="AX118" s="4" t="s">
        <v>155</v>
      </c>
      <c r="AY118" s="2" t="s">
        <v>36</v>
      </c>
      <c r="AZ118" s="164">
        <v>2.6304215385250002E-3</v>
      </c>
      <c r="BA118" s="164">
        <v>2.2753174985996901E-5</v>
      </c>
    </row>
    <row r="119" spans="1:53">
      <c r="A119" s="2">
        <v>424</v>
      </c>
      <c r="B119" s="2">
        <v>7229</v>
      </c>
      <c r="C119" s="2" t="s">
        <v>1349</v>
      </c>
      <c r="D119" s="2" t="s">
        <v>33</v>
      </c>
      <c r="E119" s="2" t="s">
        <v>1376</v>
      </c>
      <c r="F119" s="2" t="s">
        <v>1377</v>
      </c>
      <c r="G119" s="2" t="s">
        <v>1073</v>
      </c>
      <c r="I119" s="2" t="s">
        <v>30</v>
      </c>
      <c r="J119" s="2" t="s">
        <v>30</v>
      </c>
      <c r="K119" s="2" t="s">
        <v>487</v>
      </c>
      <c r="L119" s="2" t="s">
        <v>155</v>
      </c>
      <c r="M119" s="2" t="s">
        <v>375</v>
      </c>
      <c r="N119" s="2" t="s">
        <v>1349</v>
      </c>
      <c r="O119" s="2" t="s">
        <v>1378</v>
      </c>
      <c r="P119" s="2" t="s">
        <v>1340</v>
      </c>
      <c r="Q119" s="2" t="s">
        <v>101</v>
      </c>
      <c r="R119" s="2" t="s">
        <v>442</v>
      </c>
      <c r="S119" s="2" t="s">
        <v>34</v>
      </c>
      <c r="T119" s="151">
        <v>3.08</v>
      </c>
      <c r="U119" s="2" t="s">
        <v>1358</v>
      </c>
      <c r="V119" s="162">
        <v>5.6132000000000001E-2</v>
      </c>
      <c r="W119" s="2" t="s">
        <v>790</v>
      </c>
      <c r="X119" s="2" t="s">
        <v>944</v>
      </c>
      <c r="Y119" s="151">
        <v>5.6132</v>
      </c>
      <c r="Z119" s="164">
        <v>2.7990000000000001E-2</v>
      </c>
      <c r="AA119" s="2" t="s">
        <v>1364</v>
      </c>
      <c r="AB119" s="4" t="s">
        <v>447</v>
      </c>
      <c r="AC119" s="2" t="s">
        <v>519</v>
      </c>
      <c r="AD119" s="151">
        <v>465</v>
      </c>
      <c r="AE119" s="164">
        <v>0.78</v>
      </c>
      <c r="AF119" s="2" t="s">
        <v>1365</v>
      </c>
      <c r="AG119" s="2" t="s">
        <v>155</v>
      </c>
      <c r="AI119" s="2" t="s">
        <v>1366</v>
      </c>
      <c r="AJ119" s="2" t="s">
        <v>375</v>
      </c>
      <c r="AK119" s="2" t="s">
        <v>927</v>
      </c>
      <c r="AL119" s="2" t="s">
        <v>1340</v>
      </c>
      <c r="AN119" s="2" t="s">
        <v>157</v>
      </c>
      <c r="AO119" s="2" t="s">
        <v>1365</v>
      </c>
      <c r="AP119" s="162">
        <v>0</v>
      </c>
      <c r="AQ119" s="151">
        <v>380.89</v>
      </c>
      <c r="AR119" s="175">
        <v>130.63</v>
      </c>
      <c r="AS119" s="158">
        <v>1</v>
      </c>
      <c r="AT119" s="151">
        <v>0.498</v>
      </c>
      <c r="AU119" s="151">
        <v>0.498</v>
      </c>
      <c r="AX119" s="4" t="s">
        <v>155</v>
      </c>
      <c r="AY119" s="2" t="s">
        <v>36</v>
      </c>
      <c r="AZ119" s="164">
        <v>3.9487756994376598E-4</v>
      </c>
      <c r="BA119" s="164">
        <v>3.4156952851039698E-6</v>
      </c>
    </row>
    <row r="120" spans="1:53">
      <c r="A120" s="2">
        <v>424</v>
      </c>
      <c r="B120" s="2">
        <v>7229</v>
      </c>
      <c r="C120" s="2" t="s">
        <v>1349</v>
      </c>
      <c r="D120" s="2" t="s">
        <v>33</v>
      </c>
      <c r="E120" s="2" t="s">
        <v>1379</v>
      </c>
      <c r="F120" s="2" t="s">
        <v>1380</v>
      </c>
      <c r="G120" s="2" t="s">
        <v>1073</v>
      </c>
      <c r="I120" s="2" t="s">
        <v>30</v>
      </c>
      <c r="J120" s="2" t="s">
        <v>30</v>
      </c>
      <c r="K120" s="2" t="s">
        <v>487</v>
      </c>
      <c r="L120" s="2" t="s">
        <v>155</v>
      </c>
      <c r="M120" s="2" t="s">
        <v>375</v>
      </c>
      <c r="N120" s="151">
        <v>513326439</v>
      </c>
      <c r="O120" s="2" t="s">
        <v>1352</v>
      </c>
      <c r="P120" s="2" t="s">
        <v>1353</v>
      </c>
      <c r="Q120" s="2" t="s">
        <v>206</v>
      </c>
      <c r="R120" s="2" t="s">
        <v>442</v>
      </c>
      <c r="S120" s="2" t="s">
        <v>34</v>
      </c>
      <c r="T120" s="151">
        <v>3.24</v>
      </c>
      <c r="U120" s="2" t="s">
        <v>1358</v>
      </c>
      <c r="V120" s="162">
        <v>5.6691999999999999E-2</v>
      </c>
      <c r="W120" s="2" t="s">
        <v>790</v>
      </c>
      <c r="X120" s="2" t="s">
        <v>1354</v>
      </c>
      <c r="Y120" s="151">
        <v>5.6692</v>
      </c>
      <c r="Z120" s="164">
        <v>2.7799999999999998E-2</v>
      </c>
      <c r="AA120" s="2" t="s">
        <v>1381</v>
      </c>
      <c r="AB120" s="4" t="s">
        <v>447</v>
      </c>
      <c r="AE120" s="164">
        <v>0</v>
      </c>
      <c r="AG120" s="2" t="s">
        <v>155</v>
      </c>
      <c r="AJ120" s="2" t="s">
        <v>155</v>
      </c>
      <c r="AK120" s="2" t="s">
        <v>194</v>
      </c>
      <c r="AN120" s="2" t="s">
        <v>157</v>
      </c>
      <c r="AP120" s="162">
        <v>0</v>
      </c>
      <c r="AQ120" s="151">
        <v>766.94</v>
      </c>
      <c r="AR120" s="175">
        <v>131.06</v>
      </c>
      <c r="AS120" s="158">
        <v>1</v>
      </c>
      <c r="AT120" s="151">
        <v>1.0049999999999999</v>
      </c>
      <c r="AU120" s="151">
        <v>1.0049999999999999</v>
      </c>
      <c r="AX120" s="4" t="s">
        <v>155</v>
      </c>
      <c r="AY120" s="2" t="s">
        <v>36</v>
      </c>
      <c r="AZ120" s="164">
        <v>7.9772191029812999E-4</v>
      </c>
      <c r="BA120" s="164">
        <v>6.9003032211160702E-6</v>
      </c>
    </row>
    <row r="121" spans="1:53">
      <c r="A121" s="2">
        <v>424</v>
      </c>
      <c r="B121" s="2">
        <v>7229</v>
      </c>
      <c r="C121" s="2" t="s">
        <v>1349</v>
      </c>
      <c r="D121" s="2" t="s">
        <v>33</v>
      </c>
      <c r="E121" s="2" t="s">
        <v>1382</v>
      </c>
      <c r="F121" s="2" t="s">
        <v>1383</v>
      </c>
      <c r="G121" s="2" t="s">
        <v>1073</v>
      </c>
      <c r="I121" s="2" t="s">
        <v>30</v>
      </c>
      <c r="J121" s="2" t="s">
        <v>30</v>
      </c>
      <c r="K121" s="2" t="s">
        <v>487</v>
      </c>
      <c r="L121" s="2" t="s">
        <v>155</v>
      </c>
      <c r="M121" s="2" t="s">
        <v>375</v>
      </c>
      <c r="N121" s="2" t="s">
        <v>1349</v>
      </c>
      <c r="O121" s="2" t="s">
        <v>1384</v>
      </c>
      <c r="P121" s="2" t="s">
        <v>1340</v>
      </c>
      <c r="Q121" s="2" t="s">
        <v>101</v>
      </c>
      <c r="R121" s="2" t="s">
        <v>442</v>
      </c>
      <c r="S121" s="2" t="s">
        <v>34</v>
      </c>
      <c r="T121" s="151">
        <v>3.09</v>
      </c>
      <c r="U121" s="2" t="s">
        <v>1358</v>
      </c>
      <c r="V121" s="162">
        <v>5.5E-2</v>
      </c>
      <c r="W121" s="2" t="s">
        <v>790</v>
      </c>
      <c r="X121" s="2" t="s">
        <v>944</v>
      </c>
      <c r="Y121" s="151">
        <v>5.5</v>
      </c>
      <c r="Z121" s="164">
        <v>2.7130000000000001E-2</v>
      </c>
      <c r="AA121" s="2" t="s">
        <v>1364</v>
      </c>
      <c r="AB121" s="4" t="s">
        <v>447</v>
      </c>
      <c r="AC121" s="2" t="s">
        <v>519</v>
      </c>
      <c r="AD121" s="151">
        <v>562</v>
      </c>
      <c r="AE121" s="164">
        <v>0.78</v>
      </c>
      <c r="AF121" s="2" t="s">
        <v>1365</v>
      </c>
      <c r="AG121" s="2" t="s">
        <v>155</v>
      </c>
      <c r="AI121" s="2" t="s">
        <v>1366</v>
      </c>
      <c r="AJ121" s="2" t="s">
        <v>375</v>
      </c>
      <c r="AK121" s="2" t="s">
        <v>927</v>
      </c>
      <c r="AL121" s="2" t="s">
        <v>1340</v>
      </c>
      <c r="AN121" s="2" t="s">
        <v>157</v>
      </c>
      <c r="AO121" s="2" t="s">
        <v>1365</v>
      </c>
      <c r="AP121" s="162">
        <v>0</v>
      </c>
      <c r="AQ121" s="151">
        <v>460.2</v>
      </c>
      <c r="AR121" s="175">
        <v>131.02000000000001</v>
      </c>
      <c r="AS121" s="158">
        <v>1</v>
      </c>
      <c r="AT121" s="151">
        <v>0.60299999999999998</v>
      </c>
      <c r="AU121" s="151">
        <v>0.60299999999999998</v>
      </c>
      <c r="AX121" s="4" t="s">
        <v>155</v>
      </c>
      <c r="AY121" s="2" t="s">
        <v>36</v>
      </c>
      <c r="AZ121" s="164">
        <v>4.7852449902846197E-4</v>
      </c>
      <c r="BA121" s="164">
        <v>4.1392421336340299E-6</v>
      </c>
    </row>
    <row r="122" spans="1:53">
      <c r="A122" s="2">
        <v>424</v>
      </c>
      <c r="B122" s="2">
        <v>7229</v>
      </c>
      <c r="C122" s="2" t="s">
        <v>1349</v>
      </c>
      <c r="D122" s="2" t="s">
        <v>33</v>
      </c>
      <c r="E122" s="2" t="s">
        <v>1385</v>
      </c>
      <c r="F122" s="2" t="s">
        <v>1386</v>
      </c>
      <c r="G122" s="2" t="s">
        <v>1073</v>
      </c>
      <c r="I122" s="2" t="s">
        <v>30</v>
      </c>
      <c r="J122" s="2" t="s">
        <v>30</v>
      </c>
      <c r="K122" s="2" t="s">
        <v>487</v>
      </c>
      <c r="L122" s="2" t="s">
        <v>155</v>
      </c>
      <c r="M122" s="2" t="s">
        <v>375</v>
      </c>
      <c r="N122" s="2" t="s">
        <v>1349</v>
      </c>
      <c r="O122" s="2" t="s">
        <v>1387</v>
      </c>
      <c r="P122" s="2" t="s">
        <v>1340</v>
      </c>
      <c r="Q122" s="2" t="s">
        <v>101</v>
      </c>
      <c r="R122" s="2" t="s">
        <v>442</v>
      </c>
      <c r="S122" s="2" t="s">
        <v>34</v>
      </c>
      <c r="T122" s="151">
        <v>3.09</v>
      </c>
      <c r="U122" s="2" t="s">
        <v>1358</v>
      </c>
      <c r="V122" s="162">
        <v>5.5E-2</v>
      </c>
      <c r="W122" s="2" t="s">
        <v>790</v>
      </c>
      <c r="X122" s="2" t="s">
        <v>944</v>
      </c>
      <c r="Y122" s="151">
        <v>5.5</v>
      </c>
      <c r="Z122" s="164">
        <v>2.8150000000000001E-2</v>
      </c>
      <c r="AA122" s="2" t="s">
        <v>1364</v>
      </c>
      <c r="AB122" s="4" t="s">
        <v>447</v>
      </c>
      <c r="AC122" s="2" t="s">
        <v>519</v>
      </c>
      <c r="AD122" s="151">
        <v>4665</v>
      </c>
      <c r="AE122" s="164">
        <v>0.78</v>
      </c>
      <c r="AF122" s="2" t="s">
        <v>1365</v>
      </c>
      <c r="AG122" s="2" t="s">
        <v>155</v>
      </c>
      <c r="AI122" s="2" t="s">
        <v>1366</v>
      </c>
      <c r="AJ122" s="2" t="s">
        <v>375</v>
      </c>
      <c r="AK122" s="2" t="s">
        <v>927</v>
      </c>
      <c r="AL122" s="2" t="s">
        <v>1340</v>
      </c>
      <c r="AN122" s="2" t="s">
        <v>157</v>
      </c>
      <c r="AO122" s="2" t="s">
        <v>1365</v>
      </c>
      <c r="AP122" s="162">
        <v>0</v>
      </c>
      <c r="AQ122" s="151">
        <v>8287.93</v>
      </c>
      <c r="AR122" s="175">
        <v>130.54</v>
      </c>
      <c r="AS122" s="158">
        <v>1</v>
      </c>
      <c r="AT122" s="151">
        <v>10.819000000000001</v>
      </c>
      <c r="AU122" s="151">
        <v>10.819000000000001</v>
      </c>
      <c r="AX122" s="4" t="s">
        <v>155</v>
      </c>
      <c r="AY122" s="2" t="s">
        <v>36</v>
      </c>
      <c r="AZ122" s="164">
        <v>8.5863710198865392E-3</v>
      </c>
      <c r="BA122" s="164">
        <v>7.4272202933573601E-5</v>
      </c>
    </row>
    <row r="123" spans="1:53">
      <c r="A123" s="2">
        <v>424</v>
      </c>
      <c r="B123" s="2">
        <v>7229</v>
      </c>
      <c r="C123" s="2" t="s">
        <v>1349</v>
      </c>
      <c r="D123" s="2" t="s">
        <v>33</v>
      </c>
      <c r="E123" s="2" t="s">
        <v>1388</v>
      </c>
      <c r="F123" s="2" t="s">
        <v>1389</v>
      </c>
      <c r="G123" s="2" t="s">
        <v>1073</v>
      </c>
      <c r="I123" s="2" t="s">
        <v>30</v>
      </c>
      <c r="J123" s="2" t="s">
        <v>30</v>
      </c>
      <c r="K123" s="2" t="s">
        <v>487</v>
      </c>
      <c r="L123" s="2" t="s">
        <v>155</v>
      </c>
      <c r="M123" s="2" t="s">
        <v>375</v>
      </c>
      <c r="N123" s="2" t="s">
        <v>1349</v>
      </c>
      <c r="O123" s="2" t="s">
        <v>1390</v>
      </c>
      <c r="P123" s="2" t="s">
        <v>1340</v>
      </c>
      <c r="Q123" s="2" t="s">
        <v>101</v>
      </c>
      <c r="R123" s="2" t="s">
        <v>442</v>
      </c>
      <c r="S123" s="2" t="s">
        <v>34</v>
      </c>
      <c r="T123" s="151">
        <v>3.24</v>
      </c>
      <c r="U123" s="2" t="s">
        <v>1358</v>
      </c>
      <c r="V123" s="162">
        <v>5.5E-2</v>
      </c>
      <c r="W123" s="2" t="s">
        <v>790</v>
      </c>
      <c r="X123" s="2" t="s">
        <v>944</v>
      </c>
      <c r="Y123" s="151">
        <v>5.5</v>
      </c>
      <c r="Z123" s="164">
        <v>2.75E-2</v>
      </c>
      <c r="AA123" s="2" t="s">
        <v>1355</v>
      </c>
      <c r="AB123" s="4" t="s">
        <v>447</v>
      </c>
      <c r="AC123" s="2" t="s">
        <v>519</v>
      </c>
      <c r="AD123" s="151">
        <v>534</v>
      </c>
      <c r="AE123" s="164">
        <v>0.78</v>
      </c>
      <c r="AF123" s="2" t="s">
        <v>1365</v>
      </c>
      <c r="AG123" s="2" t="s">
        <v>155</v>
      </c>
      <c r="AI123" s="2" t="s">
        <v>1366</v>
      </c>
      <c r="AJ123" s="2" t="s">
        <v>375</v>
      </c>
      <c r="AK123" s="2" t="s">
        <v>927</v>
      </c>
      <c r="AL123" s="2" t="s">
        <v>1340</v>
      </c>
      <c r="AN123" s="2" t="s">
        <v>157</v>
      </c>
      <c r="AO123" s="2" t="s">
        <v>1365</v>
      </c>
      <c r="AP123" s="162">
        <v>0</v>
      </c>
      <c r="AQ123" s="151">
        <v>948.81</v>
      </c>
      <c r="AR123" s="175">
        <v>127.89</v>
      </c>
      <c r="AS123" s="158">
        <v>1</v>
      </c>
      <c r="AT123" s="151">
        <v>1.2130000000000001</v>
      </c>
      <c r="AU123" s="151">
        <v>1.2130000000000001</v>
      </c>
      <c r="AX123" s="4" t="s">
        <v>155</v>
      </c>
      <c r="AY123" s="2" t="s">
        <v>36</v>
      </c>
      <c r="AZ123" s="164">
        <v>9.6302111283436197E-4</v>
      </c>
      <c r="BA123" s="164">
        <v>8.3301431252029395E-6</v>
      </c>
    </row>
    <row r="124" spans="1:53">
      <c r="A124" s="2">
        <v>424</v>
      </c>
      <c r="B124" s="2">
        <v>7229</v>
      </c>
      <c r="C124" s="2" t="s">
        <v>1349</v>
      </c>
      <c r="D124" s="2" t="s">
        <v>33</v>
      </c>
      <c r="E124" s="2" t="s">
        <v>1391</v>
      </c>
      <c r="F124" s="2" t="s">
        <v>1392</v>
      </c>
      <c r="G124" s="2" t="s">
        <v>1073</v>
      </c>
      <c r="I124" s="2" t="s">
        <v>30</v>
      </c>
      <c r="J124" s="2" t="s">
        <v>30</v>
      </c>
      <c r="K124" s="2" t="s">
        <v>487</v>
      </c>
      <c r="L124" s="2" t="s">
        <v>155</v>
      </c>
      <c r="M124" s="2" t="s">
        <v>375</v>
      </c>
      <c r="N124" s="151">
        <v>513326439</v>
      </c>
      <c r="O124" s="2" t="s">
        <v>1352</v>
      </c>
      <c r="P124" s="2" t="s">
        <v>1353</v>
      </c>
      <c r="Q124" s="2" t="s">
        <v>206</v>
      </c>
      <c r="R124" s="2" t="s">
        <v>442</v>
      </c>
      <c r="S124" s="2" t="s">
        <v>34</v>
      </c>
      <c r="T124" s="151">
        <v>3.24</v>
      </c>
      <c r="U124" s="2" t="s">
        <v>194</v>
      </c>
      <c r="V124" s="162">
        <v>5.5E-2</v>
      </c>
      <c r="W124" s="2" t="s">
        <v>790</v>
      </c>
      <c r="X124" s="2" t="s">
        <v>1354</v>
      </c>
      <c r="Y124" s="151">
        <v>5.5</v>
      </c>
      <c r="Z124" s="164">
        <v>2.75E-2</v>
      </c>
      <c r="AA124" s="2" t="s">
        <v>1355</v>
      </c>
      <c r="AB124" s="4" t="s">
        <v>447</v>
      </c>
      <c r="AE124" s="164">
        <v>0</v>
      </c>
      <c r="AG124" s="2" t="s">
        <v>155</v>
      </c>
      <c r="AJ124" s="2" t="s">
        <v>155</v>
      </c>
      <c r="AK124" s="2" t="s">
        <v>194</v>
      </c>
      <c r="AN124" s="2" t="s">
        <v>157</v>
      </c>
      <c r="AP124" s="162">
        <v>0</v>
      </c>
      <c r="AQ124" s="151">
        <v>785.89</v>
      </c>
      <c r="AR124" s="175">
        <v>127.84</v>
      </c>
      <c r="AS124" s="158">
        <v>1</v>
      </c>
      <c r="AT124" s="151">
        <v>1.0049999999999999</v>
      </c>
      <c r="AU124" s="151">
        <v>1.0049999999999999</v>
      </c>
      <c r="AX124" s="4" t="s">
        <v>155</v>
      </c>
      <c r="AY124" s="2" t="s">
        <v>36</v>
      </c>
      <c r="AZ124" s="164">
        <v>7.9734907082374903E-4</v>
      </c>
      <c r="BA124" s="164">
        <v>6.8970781555978401E-6</v>
      </c>
    </row>
    <row r="125" spans="1:53">
      <c r="A125" s="2">
        <v>424</v>
      </c>
      <c r="B125" s="2">
        <v>7229</v>
      </c>
      <c r="C125" s="2" t="s">
        <v>1349</v>
      </c>
      <c r="D125" s="2" t="s">
        <v>33</v>
      </c>
      <c r="E125" s="2" t="s">
        <v>1393</v>
      </c>
      <c r="F125" s="2" t="s">
        <v>1394</v>
      </c>
      <c r="G125" s="2" t="s">
        <v>1073</v>
      </c>
      <c r="I125" s="2" t="s">
        <v>30</v>
      </c>
      <c r="J125" s="2" t="s">
        <v>30</v>
      </c>
      <c r="K125" s="2" t="s">
        <v>487</v>
      </c>
      <c r="L125" s="2" t="s">
        <v>155</v>
      </c>
      <c r="M125" s="2" t="s">
        <v>375</v>
      </c>
      <c r="N125" s="2" t="s">
        <v>1349</v>
      </c>
      <c r="O125" s="2" t="s">
        <v>1395</v>
      </c>
      <c r="P125" s="2" t="s">
        <v>1340</v>
      </c>
      <c r="Q125" s="2" t="s">
        <v>101</v>
      </c>
      <c r="R125" s="2" t="s">
        <v>442</v>
      </c>
      <c r="S125" s="2" t="s">
        <v>34</v>
      </c>
      <c r="T125" s="151">
        <v>2.96</v>
      </c>
      <c r="U125" s="2" t="s">
        <v>1358</v>
      </c>
      <c r="V125" s="162">
        <v>5.5E-2</v>
      </c>
      <c r="W125" s="2" t="s">
        <v>790</v>
      </c>
      <c r="X125" s="2" t="s">
        <v>944</v>
      </c>
      <c r="Y125" s="151">
        <v>5.5</v>
      </c>
      <c r="Z125" s="164">
        <v>2.7869999999999999E-2</v>
      </c>
      <c r="AA125" s="2" t="s">
        <v>1364</v>
      </c>
      <c r="AB125" s="4" t="s">
        <v>447</v>
      </c>
      <c r="AC125" s="2" t="s">
        <v>519</v>
      </c>
      <c r="AD125" s="151">
        <v>2192</v>
      </c>
      <c r="AE125" s="164">
        <v>0.78</v>
      </c>
      <c r="AF125" s="2" t="s">
        <v>1365</v>
      </c>
      <c r="AG125" s="2" t="s">
        <v>155</v>
      </c>
      <c r="AI125" s="2" t="s">
        <v>1366</v>
      </c>
      <c r="AJ125" s="2" t="s">
        <v>375</v>
      </c>
      <c r="AK125" s="2" t="s">
        <v>927</v>
      </c>
      <c r="AL125" s="2" t="s">
        <v>1340</v>
      </c>
      <c r="AN125" s="2" t="s">
        <v>157</v>
      </c>
      <c r="AO125" s="2" t="s">
        <v>1365</v>
      </c>
      <c r="AP125" s="162">
        <v>0</v>
      </c>
      <c r="AQ125" s="151">
        <v>1796.88</v>
      </c>
      <c r="AR125" s="175">
        <v>129.94</v>
      </c>
      <c r="AS125" s="158">
        <v>1</v>
      </c>
      <c r="AT125" s="151">
        <v>2.335</v>
      </c>
      <c r="AU125" s="151">
        <v>2.335</v>
      </c>
      <c r="AX125" s="4" t="s">
        <v>155</v>
      </c>
      <c r="AY125" s="2" t="s">
        <v>36</v>
      </c>
      <c r="AZ125" s="164">
        <v>1.85302767305026E-3</v>
      </c>
      <c r="BA125" s="164">
        <v>1.6028709574226501E-5</v>
      </c>
    </row>
    <row r="126" spans="1:53">
      <c r="A126" s="2">
        <v>424</v>
      </c>
      <c r="B126" s="2">
        <v>7229</v>
      </c>
      <c r="C126" s="2" t="s">
        <v>1349</v>
      </c>
      <c r="D126" s="2" t="s">
        <v>33</v>
      </c>
      <c r="E126" s="2" t="s">
        <v>1396</v>
      </c>
      <c r="F126" s="2" t="s">
        <v>1397</v>
      </c>
      <c r="G126" s="2" t="s">
        <v>1073</v>
      </c>
      <c r="I126" s="2" t="s">
        <v>30</v>
      </c>
      <c r="J126" s="2" t="s">
        <v>30</v>
      </c>
      <c r="K126" s="2" t="s">
        <v>487</v>
      </c>
      <c r="L126" s="2" t="s">
        <v>155</v>
      </c>
      <c r="M126" s="2" t="s">
        <v>375</v>
      </c>
      <c r="N126" s="2" t="s">
        <v>1349</v>
      </c>
      <c r="O126" s="2" t="s">
        <v>1398</v>
      </c>
      <c r="P126" s="2" t="s">
        <v>1340</v>
      </c>
      <c r="Q126" s="2" t="s">
        <v>101</v>
      </c>
      <c r="R126" s="2" t="s">
        <v>442</v>
      </c>
      <c r="S126" s="2" t="s">
        <v>34</v>
      </c>
      <c r="T126" s="151">
        <v>3.24</v>
      </c>
      <c r="U126" s="2" t="s">
        <v>1358</v>
      </c>
      <c r="V126" s="162">
        <v>5.5E-2</v>
      </c>
      <c r="W126" s="2" t="s">
        <v>790</v>
      </c>
      <c r="X126" s="2" t="s">
        <v>944</v>
      </c>
      <c r="Y126" s="151">
        <v>5.5</v>
      </c>
      <c r="Z126" s="164">
        <v>2.9000000000000001E-2</v>
      </c>
      <c r="AA126" s="2" t="s">
        <v>1355</v>
      </c>
      <c r="AB126" s="4" t="s">
        <v>447</v>
      </c>
      <c r="AC126" s="2" t="s">
        <v>519</v>
      </c>
      <c r="AD126" s="151">
        <v>3904</v>
      </c>
      <c r="AE126" s="164">
        <v>0.78</v>
      </c>
      <c r="AF126" s="2" t="s">
        <v>1365</v>
      </c>
      <c r="AG126" s="2" t="s">
        <v>155</v>
      </c>
      <c r="AI126" s="2" t="s">
        <v>1366</v>
      </c>
      <c r="AJ126" s="2" t="s">
        <v>375</v>
      </c>
      <c r="AK126" s="2" t="s">
        <v>927</v>
      </c>
      <c r="AL126" s="2" t="s">
        <v>1340</v>
      </c>
      <c r="AN126" s="2" t="s">
        <v>157</v>
      </c>
      <c r="AO126" s="2" t="s">
        <v>1365</v>
      </c>
      <c r="AP126" s="162">
        <v>0</v>
      </c>
      <c r="AQ126" s="151">
        <v>6936.67</v>
      </c>
      <c r="AR126" s="175">
        <v>127.47</v>
      </c>
      <c r="AS126" s="158">
        <v>1</v>
      </c>
      <c r="AT126" s="151">
        <v>8.8420000000000005</v>
      </c>
      <c r="AU126" s="151">
        <v>8.8420000000000005</v>
      </c>
      <c r="AX126" s="4" t="s">
        <v>155</v>
      </c>
      <c r="AY126" s="2" t="s">
        <v>36</v>
      </c>
      <c r="AZ126" s="164">
        <v>7.0174445208138802E-3</v>
      </c>
      <c r="BA126" s="164">
        <v>6.0700971611621601E-5</v>
      </c>
    </row>
    <row r="127" spans="1:53">
      <c r="A127" s="2">
        <v>424</v>
      </c>
      <c r="B127" s="2">
        <v>7229</v>
      </c>
      <c r="C127" s="2" t="s">
        <v>1349</v>
      </c>
      <c r="D127" s="2" t="s">
        <v>33</v>
      </c>
      <c r="E127" s="2" t="s">
        <v>1399</v>
      </c>
      <c r="F127" s="2" t="s">
        <v>1400</v>
      </c>
      <c r="G127" s="2" t="s">
        <v>1073</v>
      </c>
      <c r="I127" s="2" t="s">
        <v>30</v>
      </c>
      <c r="J127" s="2" t="s">
        <v>30</v>
      </c>
      <c r="K127" s="2" t="s">
        <v>487</v>
      </c>
      <c r="L127" s="2" t="s">
        <v>155</v>
      </c>
      <c r="M127" s="2" t="s">
        <v>375</v>
      </c>
      <c r="N127" s="151">
        <v>513326439</v>
      </c>
      <c r="O127" s="2" t="s">
        <v>1352</v>
      </c>
      <c r="P127" s="2" t="s">
        <v>1353</v>
      </c>
      <c r="Q127" s="2" t="s">
        <v>206</v>
      </c>
      <c r="R127" s="2" t="s">
        <v>442</v>
      </c>
      <c r="S127" s="2" t="s">
        <v>34</v>
      </c>
      <c r="T127" s="151">
        <v>3.24</v>
      </c>
      <c r="U127" s="2" t="s">
        <v>1358</v>
      </c>
      <c r="V127" s="162">
        <v>5.5E-2</v>
      </c>
      <c r="W127" s="2" t="s">
        <v>790</v>
      </c>
      <c r="X127" s="2" t="s">
        <v>1354</v>
      </c>
      <c r="Y127" s="151">
        <v>5.5</v>
      </c>
      <c r="Z127" s="164">
        <v>2.9000000000000001E-2</v>
      </c>
      <c r="AA127" s="2" t="s">
        <v>1364</v>
      </c>
      <c r="AB127" s="4" t="s">
        <v>447</v>
      </c>
      <c r="AE127" s="164">
        <v>0</v>
      </c>
      <c r="AG127" s="2" t="s">
        <v>155</v>
      </c>
      <c r="AJ127" s="2" t="s">
        <v>155</v>
      </c>
      <c r="AK127" s="2" t="s">
        <v>194</v>
      </c>
      <c r="AN127" s="2" t="s">
        <v>157</v>
      </c>
      <c r="AP127" s="162">
        <v>0</v>
      </c>
      <c r="AQ127" s="151">
        <v>8425.61</v>
      </c>
      <c r="AR127" s="175">
        <v>129.44999999999999</v>
      </c>
      <c r="AS127" s="158">
        <v>1</v>
      </c>
      <c r="AT127" s="151">
        <v>10.907</v>
      </c>
      <c r="AU127" s="151">
        <v>10.907</v>
      </c>
      <c r="AX127" s="4" t="s">
        <v>155</v>
      </c>
      <c r="AY127" s="2" t="s">
        <v>36</v>
      </c>
      <c r="AZ127" s="164">
        <v>8.6561221334772592E-3</v>
      </c>
      <c r="BA127" s="164">
        <v>7.4875550826583907E-5</v>
      </c>
    </row>
    <row r="128" spans="1:53">
      <c r="A128" s="2">
        <v>424</v>
      </c>
      <c r="B128" s="2">
        <v>7229</v>
      </c>
      <c r="C128" s="2" t="s">
        <v>1349</v>
      </c>
      <c r="D128" s="2" t="s">
        <v>33</v>
      </c>
      <c r="E128" s="2" t="s">
        <v>1401</v>
      </c>
      <c r="F128" s="2" t="s">
        <v>1402</v>
      </c>
      <c r="G128" s="2" t="s">
        <v>1073</v>
      </c>
      <c r="I128" s="2" t="s">
        <v>30</v>
      </c>
      <c r="J128" s="2" t="s">
        <v>30</v>
      </c>
      <c r="K128" s="2" t="s">
        <v>487</v>
      </c>
      <c r="L128" s="2" t="s">
        <v>155</v>
      </c>
      <c r="M128" s="2" t="s">
        <v>375</v>
      </c>
      <c r="N128" s="151">
        <v>513326439</v>
      </c>
      <c r="O128" s="2" t="s">
        <v>1352</v>
      </c>
      <c r="P128" s="2" t="s">
        <v>1353</v>
      </c>
      <c r="Q128" s="2" t="s">
        <v>206</v>
      </c>
      <c r="R128" s="2" t="s">
        <v>442</v>
      </c>
      <c r="S128" s="2" t="s">
        <v>34</v>
      </c>
      <c r="T128" s="151">
        <v>3.24</v>
      </c>
      <c r="U128" s="2" t="s">
        <v>1358</v>
      </c>
      <c r="V128" s="162">
        <v>5.5888E-2</v>
      </c>
      <c r="W128" s="2" t="s">
        <v>790</v>
      </c>
      <c r="X128" s="2" t="s">
        <v>1354</v>
      </c>
      <c r="Y128" s="151">
        <v>5.5888</v>
      </c>
      <c r="Z128" s="164">
        <v>2.75E-2</v>
      </c>
      <c r="AA128" s="2" t="s">
        <v>1364</v>
      </c>
      <c r="AB128" s="4" t="s">
        <v>447</v>
      </c>
      <c r="AE128" s="164">
        <v>0</v>
      </c>
      <c r="AG128" s="2" t="s">
        <v>155</v>
      </c>
      <c r="AJ128" s="2" t="s">
        <v>155</v>
      </c>
      <c r="AK128" s="2" t="s">
        <v>194</v>
      </c>
      <c r="AN128" s="2" t="s">
        <v>157</v>
      </c>
      <c r="AP128" s="162">
        <v>0</v>
      </c>
      <c r="AQ128" s="151">
        <v>1763.9</v>
      </c>
      <c r="AR128" s="175">
        <v>131.38</v>
      </c>
      <c r="AS128" s="158">
        <v>1</v>
      </c>
      <c r="AT128" s="151">
        <v>2.3170000000000002</v>
      </c>
      <c r="AU128" s="151">
        <v>2.3170000000000002</v>
      </c>
      <c r="AX128" s="4" t="s">
        <v>155</v>
      </c>
      <c r="AY128" s="2" t="s">
        <v>36</v>
      </c>
      <c r="AZ128" s="164">
        <v>1.83917555342715E-3</v>
      </c>
      <c r="BA128" s="164">
        <v>1.5908888588466101E-5</v>
      </c>
    </row>
    <row r="129" spans="1:53">
      <c r="A129" s="2">
        <v>424</v>
      </c>
      <c r="B129" s="2">
        <v>7229</v>
      </c>
      <c r="C129" s="2" t="s">
        <v>1349</v>
      </c>
      <c r="D129" s="2" t="s">
        <v>33</v>
      </c>
      <c r="E129" s="2" t="s">
        <v>1403</v>
      </c>
      <c r="F129" s="2" t="s">
        <v>1404</v>
      </c>
      <c r="G129" s="2" t="s">
        <v>1073</v>
      </c>
      <c r="I129" s="2" t="s">
        <v>30</v>
      </c>
      <c r="J129" s="2" t="s">
        <v>30</v>
      </c>
      <c r="K129" s="2" t="s">
        <v>487</v>
      </c>
      <c r="L129" s="2" t="s">
        <v>155</v>
      </c>
      <c r="M129" s="2" t="s">
        <v>375</v>
      </c>
      <c r="N129" s="2" t="s">
        <v>1349</v>
      </c>
      <c r="O129" s="2" t="s">
        <v>1405</v>
      </c>
      <c r="P129" s="2" t="s">
        <v>1340</v>
      </c>
      <c r="Q129" s="2" t="s">
        <v>101</v>
      </c>
      <c r="R129" s="2" t="s">
        <v>442</v>
      </c>
      <c r="S129" s="2" t="s">
        <v>34</v>
      </c>
      <c r="T129" s="151">
        <v>3.08</v>
      </c>
      <c r="U129" s="2" t="s">
        <v>1358</v>
      </c>
      <c r="V129" s="162">
        <v>5.6193E-2</v>
      </c>
      <c r="W129" s="2" t="s">
        <v>790</v>
      </c>
      <c r="X129" s="2" t="s">
        <v>944</v>
      </c>
      <c r="Y129" s="151">
        <v>5.6193</v>
      </c>
      <c r="Z129" s="164">
        <v>2.8150000000000001E-2</v>
      </c>
      <c r="AA129" s="2" t="s">
        <v>1364</v>
      </c>
      <c r="AB129" s="4" t="s">
        <v>447</v>
      </c>
      <c r="AC129" s="2" t="s">
        <v>519</v>
      </c>
      <c r="AD129" s="151">
        <v>3026</v>
      </c>
      <c r="AE129" s="164">
        <v>0.78</v>
      </c>
      <c r="AF129" s="2" t="s">
        <v>1365</v>
      </c>
      <c r="AG129" s="2" t="s">
        <v>155</v>
      </c>
      <c r="AI129" s="2" t="s">
        <v>1366</v>
      </c>
      <c r="AJ129" s="2" t="s">
        <v>375</v>
      </c>
      <c r="AK129" s="2" t="s">
        <v>927</v>
      </c>
      <c r="AL129" s="2" t="s">
        <v>1340</v>
      </c>
      <c r="AN129" s="2" t="s">
        <v>157</v>
      </c>
      <c r="AO129" s="2" t="s">
        <v>1365</v>
      </c>
      <c r="AP129" s="162">
        <v>0</v>
      </c>
      <c r="AQ129" s="151">
        <v>2478.89</v>
      </c>
      <c r="AR129" s="175">
        <v>130.19</v>
      </c>
      <c r="AS129" s="158">
        <v>1</v>
      </c>
      <c r="AT129" s="151">
        <v>3.2269999999999999</v>
      </c>
      <c r="AU129" s="151">
        <v>3.2269999999999999</v>
      </c>
      <c r="AX129" s="4" t="s">
        <v>155</v>
      </c>
      <c r="AY129" s="2" t="s">
        <v>36</v>
      </c>
      <c r="AZ129" s="164">
        <v>2.5612669785692399E-3</v>
      </c>
      <c r="BA129" s="164">
        <v>2.2154987288432999E-5</v>
      </c>
    </row>
    <row r="130" spans="1:53">
      <c r="A130" s="2">
        <v>424</v>
      </c>
      <c r="B130" s="2">
        <v>7229</v>
      </c>
      <c r="C130" s="2" t="s">
        <v>1349</v>
      </c>
      <c r="D130" s="2" t="s">
        <v>33</v>
      </c>
      <c r="E130" s="2" t="s">
        <v>1406</v>
      </c>
      <c r="F130" s="2" t="s">
        <v>1407</v>
      </c>
      <c r="G130" s="2" t="s">
        <v>1073</v>
      </c>
      <c r="I130" s="2" t="s">
        <v>30</v>
      </c>
      <c r="J130" s="2" t="s">
        <v>30</v>
      </c>
      <c r="K130" s="2" t="s">
        <v>487</v>
      </c>
      <c r="L130" s="2" t="s">
        <v>155</v>
      </c>
      <c r="M130" s="2" t="s">
        <v>375</v>
      </c>
      <c r="N130" s="151">
        <v>513326439</v>
      </c>
      <c r="O130" s="2" t="s">
        <v>1352</v>
      </c>
      <c r="P130" s="2" t="s">
        <v>1353</v>
      </c>
      <c r="Q130" s="2" t="s">
        <v>206</v>
      </c>
      <c r="R130" s="2" t="s">
        <v>442</v>
      </c>
      <c r="S130" s="2" t="s">
        <v>34</v>
      </c>
      <c r="T130" s="151">
        <v>3.22</v>
      </c>
      <c r="U130" s="2" t="s">
        <v>194</v>
      </c>
      <c r="V130" s="162">
        <v>5.5E-2</v>
      </c>
      <c r="W130" s="2" t="s">
        <v>790</v>
      </c>
      <c r="X130" s="2" t="s">
        <v>1354</v>
      </c>
      <c r="Y130" s="151">
        <v>5.5</v>
      </c>
      <c r="Z130" s="164">
        <v>3.2800000000000003E-2</v>
      </c>
      <c r="AA130" s="2" t="s">
        <v>1355</v>
      </c>
      <c r="AB130" s="4" t="s">
        <v>447</v>
      </c>
      <c r="AE130" s="164">
        <v>0</v>
      </c>
      <c r="AG130" s="2" t="s">
        <v>155</v>
      </c>
      <c r="AJ130" s="2" t="s">
        <v>155</v>
      </c>
      <c r="AK130" s="2" t="s">
        <v>194</v>
      </c>
      <c r="AN130" s="2" t="s">
        <v>157</v>
      </c>
      <c r="AP130" s="162">
        <v>0</v>
      </c>
      <c r="AQ130" s="151">
        <v>3140.04</v>
      </c>
      <c r="AR130" s="175">
        <v>124.07</v>
      </c>
      <c r="AS130" s="158">
        <v>1</v>
      </c>
      <c r="AT130" s="151">
        <v>3.8959999999999999</v>
      </c>
      <c r="AU130" s="151">
        <v>3.8959999999999999</v>
      </c>
      <c r="AX130" s="4" t="s">
        <v>155</v>
      </c>
      <c r="AY130" s="2" t="s">
        <v>36</v>
      </c>
      <c r="AZ130" s="164">
        <v>3.0918750199931001E-3</v>
      </c>
      <c r="BA130" s="164">
        <v>2.6744752631619801E-5</v>
      </c>
    </row>
    <row r="131" spans="1:53">
      <c r="A131" s="2">
        <v>424</v>
      </c>
      <c r="B131" s="2">
        <v>7229</v>
      </c>
      <c r="C131" s="2" t="s">
        <v>1349</v>
      </c>
      <c r="D131" s="2" t="s">
        <v>33</v>
      </c>
      <c r="E131" s="2" t="s">
        <v>1408</v>
      </c>
      <c r="F131" s="2" t="s">
        <v>1409</v>
      </c>
      <c r="G131" s="2" t="s">
        <v>1073</v>
      </c>
      <c r="I131" s="2" t="s">
        <v>30</v>
      </c>
      <c r="J131" s="2" t="s">
        <v>30</v>
      </c>
      <c r="K131" s="2" t="s">
        <v>487</v>
      </c>
      <c r="L131" s="2" t="s">
        <v>155</v>
      </c>
      <c r="M131" s="2" t="s">
        <v>375</v>
      </c>
      <c r="N131" s="151">
        <v>513326439</v>
      </c>
      <c r="O131" s="2" t="s">
        <v>1352</v>
      </c>
      <c r="P131" s="2" t="s">
        <v>1353</v>
      </c>
      <c r="Q131" s="2" t="s">
        <v>206</v>
      </c>
      <c r="R131" s="2" t="s">
        <v>442</v>
      </c>
      <c r="S131" s="2" t="s">
        <v>34</v>
      </c>
      <c r="T131" s="151">
        <v>3.24</v>
      </c>
      <c r="U131" s="2" t="s">
        <v>194</v>
      </c>
      <c r="V131" s="162">
        <v>5.5E-2</v>
      </c>
      <c r="W131" s="2" t="s">
        <v>790</v>
      </c>
      <c r="X131" s="2" t="s">
        <v>1354</v>
      </c>
      <c r="Y131" s="151">
        <v>5.5</v>
      </c>
      <c r="Z131" s="164">
        <v>2.7900000000000001E-2</v>
      </c>
      <c r="AA131" s="2" t="s">
        <v>1355</v>
      </c>
      <c r="AB131" s="4" t="s">
        <v>447</v>
      </c>
      <c r="AE131" s="164">
        <v>0</v>
      </c>
      <c r="AG131" s="2" t="s">
        <v>155</v>
      </c>
      <c r="AJ131" s="2" t="s">
        <v>155</v>
      </c>
      <c r="AK131" s="2" t="s">
        <v>194</v>
      </c>
      <c r="AN131" s="2" t="s">
        <v>157</v>
      </c>
      <c r="AP131" s="162">
        <v>0</v>
      </c>
      <c r="AQ131" s="151">
        <v>390.15</v>
      </c>
      <c r="AR131" s="175">
        <v>125.63</v>
      </c>
      <c r="AS131" s="158">
        <v>1</v>
      </c>
      <c r="AT131" s="151">
        <v>0.49</v>
      </c>
      <c r="AU131" s="151">
        <v>0.49</v>
      </c>
      <c r="AX131" s="4" t="s">
        <v>155</v>
      </c>
      <c r="AY131" s="2" t="s">
        <v>36</v>
      </c>
      <c r="AZ131" s="164">
        <v>3.8899582382714902E-4</v>
      </c>
      <c r="BA131" s="164">
        <v>3.3648181170704201E-6</v>
      </c>
    </row>
    <row r="132" spans="1:53">
      <c r="A132" s="2">
        <v>424</v>
      </c>
      <c r="B132" s="2">
        <v>7229</v>
      </c>
      <c r="C132" s="2" t="s">
        <v>1349</v>
      </c>
      <c r="D132" s="2" t="s">
        <v>33</v>
      </c>
      <c r="E132" s="2" t="s">
        <v>1410</v>
      </c>
      <c r="F132" s="2" t="s">
        <v>1411</v>
      </c>
      <c r="G132" s="2" t="s">
        <v>1073</v>
      </c>
      <c r="I132" s="2" t="s">
        <v>30</v>
      </c>
      <c r="J132" s="2" t="s">
        <v>30</v>
      </c>
      <c r="K132" s="2" t="s">
        <v>487</v>
      </c>
      <c r="L132" s="2" t="s">
        <v>155</v>
      </c>
      <c r="M132" s="2" t="s">
        <v>375</v>
      </c>
      <c r="N132" s="151">
        <v>513326439</v>
      </c>
      <c r="O132" s="2" t="s">
        <v>1352</v>
      </c>
      <c r="P132" s="2" t="s">
        <v>1353</v>
      </c>
      <c r="Q132" s="2" t="s">
        <v>206</v>
      </c>
      <c r="R132" s="2" t="s">
        <v>442</v>
      </c>
      <c r="S132" s="2" t="s">
        <v>34</v>
      </c>
      <c r="T132" s="151">
        <v>3.24</v>
      </c>
      <c r="U132" s="2" t="s">
        <v>194</v>
      </c>
      <c r="V132" s="162">
        <v>5.5E-2</v>
      </c>
      <c r="W132" s="2" t="s">
        <v>790</v>
      </c>
      <c r="X132" s="2" t="s">
        <v>1354</v>
      </c>
      <c r="Y132" s="151">
        <v>5.5</v>
      </c>
      <c r="Z132" s="164">
        <v>2.9000000000000001E-2</v>
      </c>
      <c r="AA132" s="2" t="s">
        <v>1355</v>
      </c>
      <c r="AB132" s="4" t="s">
        <v>447</v>
      </c>
      <c r="AE132" s="164">
        <v>0</v>
      </c>
      <c r="AG132" s="2" t="s">
        <v>155</v>
      </c>
      <c r="AJ132" s="2" t="s">
        <v>155</v>
      </c>
      <c r="AK132" s="2" t="s">
        <v>194</v>
      </c>
      <c r="AN132" s="2" t="s">
        <v>157</v>
      </c>
      <c r="AP132" s="162">
        <v>0</v>
      </c>
      <c r="AQ132" s="151">
        <v>866.48</v>
      </c>
      <c r="AR132" s="175">
        <v>125.56</v>
      </c>
      <c r="AS132" s="158">
        <v>1</v>
      </c>
      <c r="AT132" s="151">
        <v>1.0880000000000001</v>
      </c>
      <c r="AU132" s="151">
        <v>1.0880000000000001</v>
      </c>
      <c r="AX132" s="4" t="s">
        <v>155</v>
      </c>
      <c r="AY132" s="2" t="s">
        <v>36</v>
      </c>
      <c r="AZ132" s="164">
        <v>8.6343533510791198E-4</v>
      </c>
      <c r="BA132" s="164">
        <v>7.4687250621509199E-6</v>
      </c>
    </row>
    <row r="133" spans="1:53">
      <c r="A133" s="2">
        <v>424</v>
      </c>
      <c r="B133" s="2">
        <v>7229</v>
      </c>
      <c r="C133" s="2" t="s">
        <v>1349</v>
      </c>
      <c r="D133" s="2" t="s">
        <v>33</v>
      </c>
      <c r="E133" s="2" t="s">
        <v>1412</v>
      </c>
      <c r="F133" s="2" t="s">
        <v>1413</v>
      </c>
      <c r="G133" s="2" t="s">
        <v>1073</v>
      </c>
      <c r="I133" s="2" t="s">
        <v>30</v>
      </c>
      <c r="J133" s="2" t="s">
        <v>30</v>
      </c>
      <c r="K133" s="2" t="s">
        <v>487</v>
      </c>
      <c r="L133" s="2" t="s">
        <v>155</v>
      </c>
      <c r="M133" s="2" t="s">
        <v>375</v>
      </c>
      <c r="N133" s="2" t="s">
        <v>1349</v>
      </c>
      <c r="O133" s="2" t="s">
        <v>1414</v>
      </c>
      <c r="P133" s="2" t="s">
        <v>1340</v>
      </c>
      <c r="Q133" s="2" t="s">
        <v>101</v>
      </c>
      <c r="R133" s="2" t="s">
        <v>442</v>
      </c>
      <c r="S133" s="2" t="s">
        <v>34</v>
      </c>
      <c r="T133" s="151">
        <v>3.08</v>
      </c>
      <c r="U133" s="2" t="s">
        <v>194</v>
      </c>
      <c r="V133" s="162">
        <v>5.7230999999999997E-2</v>
      </c>
      <c r="W133" s="2" t="s">
        <v>790</v>
      </c>
      <c r="X133" s="2" t="s">
        <v>944</v>
      </c>
      <c r="Y133" s="151">
        <v>5.7230999999999996</v>
      </c>
      <c r="Z133" s="164">
        <v>2.811E-2</v>
      </c>
      <c r="AA133" s="2" t="s">
        <v>1364</v>
      </c>
      <c r="AB133" s="4" t="s">
        <v>447</v>
      </c>
      <c r="AC133" s="2" t="s">
        <v>519</v>
      </c>
      <c r="AD133" s="151">
        <v>4685</v>
      </c>
      <c r="AE133" s="164">
        <v>0.78</v>
      </c>
      <c r="AF133" s="2" t="s">
        <v>1365</v>
      </c>
      <c r="AG133" s="2" t="s">
        <v>155</v>
      </c>
      <c r="AI133" s="2" t="s">
        <v>1366</v>
      </c>
      <c r="AJ133" s="2" t="s">
        <v>375</v>
      </c>
      <c r="AK133" s="2" t="s">
        <v>927</v>
      </c>
      <c r="AL133" s="2" t="s">
        <v>1340</v>
      </c>
      <c r="AN133" s="2" t="s">
        <v>157</v>
      </c>
      <c r="AO133" s="2" t="s">
        <v>1365</v>
      </c>
      <c r="AP133" s="162">
        <v>0</v>
      </c>
      <c r="AQ133" s="151">
        <v>8323.89</v>
      </c>
      <c r="AR133" s="175">
        <v>130.76</v>
      </c>
      <c r="AS133" s="158">
        <v>1</v>
      </c>
      <c r="AT133" s="151">
        <v>10.884</v>
      </c>
      <c r="AU133" s="151">
        <v>10.884</v>
      </c>
      <c r="AX133" s="4" t="s">
        <v>155</v>
      </c>
      <c r="AY133" s="2" t="s">
        <v>36</v>
      </c>
      <c r="AZ133" s="164">
        <v>8.63815936634953E-3</v>
      </c>
      <c r="BA133" s="164">
        <v>7.4720172695092794E-5</v>
      </c>
    </row>
    <row r="134" spans="1:53">
      <c r="A134" s="2">
        <v>424</v>
      </c>
      <c r="B134" s="2">
        <v>7229</v>
      </c>
      <c r="C134" s="2" t="s">
        <v>1349</v>
      </c>
      <c r="D134" s="2" t="s">
        <v>33</v>
      </c>
      <c r="E134" s="2" t="s">
        <v>1415</v>
      </c>
      <c r="F134" s="2" t="s">
        <v>1416</v>
      </c>
      <c r="G134" s="2" t="s">
        <v>1073</v>
      </c>
      <c r="I134" s="2" t="s">
        <v>30</v>
      </c>
      <c r="J134" s="2" t="s">
        <v>30</v>
      </c>
      <c r="K134" s="2" t="s">
        <v>487</v>
      </c>
      <c r="L134" s="2" t="s">
        <v>155</v>
      </c>
      <c r="M134" s="2" t="s">
        <v>375</v>
      </c>
      <c r="N134" s="151">
        <v>513326439</v>
      </c>
      <c r="O134" s="2" t="s">
        <v>1352</v>
      </c>
      <c r="P134" s="2" t="s">
        <v>1353</v>
      </c>
      <c r="Q134" s="2" t="s">
        <v>206</v>
      </c>
      <c r="R134" s="2" t="s">
        <v>442</v>
      </c>
      <c r="S134" s="2" t="s">
        <v>34</v>
      </c>
      <c r="T134" s="151">
        <v>3.22</v>
      </c>
      <c r="U134" s="2" t="s">
        <v>1358</v>
      </c>
      <c r="V134" s="162">
        <v>5.6619999999999997E-2</v>
      </c>
      <c r="W134" s="2" t="s">
        <v>790</v>
      </c>
      <c r="X134" s="2" t="s">
        <v>1354</v>
      </c>
      <c r="Y134" s="151">
        <v>5.6619999999999999</v>
      </c>
      <c r="Z134" s="164">
        <v>3.27E-2</v>
      </c>
      <c r="AA134" s="2" t="s">
        <v>1355</v>
      </c>
      <c r="AB134" s="4" t="s">
        <v>447</v>
      </c>
      <c r="AE134" s="164">
        <v>0</v>
      </c>
      <c r="AG134" s="2" t="s">
        <v>155</v>
      </c>
      <c r="AJ134" s="2" t="s">
        <v>155</v>
      </c>
      <c r="AK134" s="2" t="s">
        <v>194</v>
      </c>
      <c r="AN134" s="2" t="s">
        <v>157</v>
      </c>
      <c r="AP134" s="162">
        <v>0</v>
      </c>
      <c r="AQ134" s="151">
        <v>1871.77</v>
      </c>
      <c r="AR134" s="175">
        <v>129.13</v>
      </c>
      <c r="AS134" s="158">
        <v>1</v>
      </c>
      <c r="AT134" s="151">
        <v>2.4169999999999998</v>
      </c>
      <c r="AU134" s="151">
        <v>2.4169999999999998</v>
      </c>
      <c r="AX134" s="4" t="s">
        <v>155</v>
      </c>
      <c r="AY134" s="2" t="s">
        <v>36</v>
      </c>
      <c r="AZ134" s="164">
        <v>1.91822524008132E-3</v>
      </c>
      <c r="BA134" s="164">
        <v>1.6592669239851399E-5</v>
      </c>
    </row>
    <row r="135" spans="1:53">
      <c r="A135" s="2">
        <v>424</v>
      </c>
      <c r="B135" s="2">
        <v>7229</v>
      </c>
      <c r="C135" s="2" t="s">
        <v>1349</v>
      </c>
      <c r="D135" s="2" t="s">
        <v>33</v>
      </c>
      <c r="E135" s="2" t="s">
        <v>1417</v>
      </c>
      <c r="F135" s="2" t="s">
        <v>1418</v>
      </c>
      <c r="G135" s="2" t="s">
        <v>1073</v>
      </c>
      <c r="I135" s="2" t="s">
        <v>30</v>
      </c>
      <c r="J135" s="2" t="s">
        <v>30</v>
      </c>
      <c r="K135" s="2" t="s">
        <v>487</v>
      </c>
      <c r="L135" s="2" t="s">
        <v>155</v>
      </c>
      <c r="M135" s="2" t="s">
        <v>375</v>
      </c>
      <c r="N135" s="2" t="s">
        <v>1349</v>
      </c>
      <c r="O135" s="2" t="s">
        <v>1419</v>
      </c>
      <c r="P135" s="2" t="s">
        <v>1340</v>
      </c>
      <c r="Q135" s="2" t="s">
        <v>101</v>
      </c>
      <c r="R135" s="2" t="s">
        <v>442</v>
      </c>
      <c r="S135" s="2" t="s">
        <v>34</v>
      </c>
      <c r="T135" s="151">
        <v>3.24</v>
      </c>
      <c r="U135" s="2" t="s">
        <v>1358</v>
      </c>
      <c r="V135" s="162">
        <v>5.5E-2</v>
      </c>
      <c r="W135" s="2" t="s">
        <v>790</v>
      </c>
      <c r="X135" s="2" t="s">
        <v>944</v>
      </c>
      <c r="Y135" s="151">
        <v>5.5</v>
      </c>
      <c r="Z135" s="164">
        <v>2.9000000000000001E-2</v>
      </c>
      <c r="AA135" s="2" t="s">
        <v>1364</v>
      </c>
      <c r="AB135" s="4" t="s">
        <v>447</v>
      </c>
      <c r="AC135" s="2" t="s">
        <v>519</v>
      </c>
      <c r="AD135" s="151">
        <v>6161</v>
      </c>
      <c r="AE135" s="164">
        <v>0.78</v>
      </c>
      <c r="AF135" s="2" t="s">
        <v>1365</v>
      </c>
      <c r="AG135" s="2" t="s">
        <v>155</v>
      </c>
      <c r="AI135" s="2" t="s">
        <v>1366</v>
      </c>
      <c r="AJ135" s="2" t="s">
        <v>375</v>
      </c>
      <c r="AK135" s="2" t="s">
        <v>927</v>
      </c>
      <c r="AL135" s="2" t="s">
        <v>1340</v>
      </c>
      <c r="AN135" s="2" t="s">
        <v>157</v>
      </c>
      <c r="AO135" s="2" t="s">
        <v>1365</v>
      </c>
      <c r="AP135" s="162">
        <v>0</v>
      </c>
      <c r="AQ135" s="151">
        <v>10944.64</v>
      </c>
      <c r="AR135" s="175">
        <v>127.45</v>
      </c>
      <c r="AS135" s="158">
        <v>1</v>
      </c>
      <c r="AT135" s="151">
        <v>13.949</v>
      </c>
      <c r="AU135" s="151">
        <v>13.949</v>
      </c>
      <c r="AX135" s="4" t="s">
        <v>155</v>
      </c>
      <c r="AY135" s="2" t="s">
        <v>36</v>
      </c>
      <c r="AZ135" s="164">
        <v>1.10703483908131E-2</v>
      </c>
      <c r="BA135" s="164">
        <v>9.5758634273259295E-5</v>
      </c>
    </row>
    <row r="136" spans="1:53">
      <c r="A136" s="2">
        <v>424</v>
      </c>
      <c r="B136" s="2">
        <v>7229</v>
      </c>
      <c r="C136" s="2" t="s">
        <v>1349</v>
      </c>
      <c r="D136" s="2" t="s">
        <v>33</v>
      </c>
      <c r="E136" s="2" t="s">
        <v>1420</v>
      </c>
      <c r="F136" s="2" t="s">
        <v>1421</v>
      </c>
      <c r="G136" s="2" t="s">
        <v>1073</v>
      </c>
      <c r="I136" s="2" t="s">
        <v>30</v>
      </c>
      <c r="J136" s="2" t="s">
        <v>30</v>
      </c>
      <c r="K136" s="2" t="s">
        <v>487</v>
      </c>
      <c r="L136" s="2" t="s">
        <v>155</v>
      </c>
      <c r="M136" s="2" t="s">
        <v>375</v>
      </c>
      <c r="N136" s="2" t="s">
        <v>1349</v>
      </c>
      <c r="O136" s="2" t="s">
        <v>1422</v>
      </c>
      <c r="P136" s="2" t="s">
        <v>1340</v>
      </c>
      <c r="Q136" s="2" t="s">
        <v>101</v>
      </c>
      <c r="R136" s="2" t="s">
        <v>442</v>
      </c>
      <c r="S136" s="2" t="s">
        <v>34</v>
      </c>
      <c r="T136" s="151">
        <v>3.24</v>
      </c>
      <c r="U136" s="2" t="s">
        <v>1358</v>
      </c>
      <c r="V136" s="162">
        <v>5.5309999999999998E-2</v>
      </c>
      <c r="W136" s="2" t="s">
        <v>790</v>
      </c>
      <c r="X136" s="2" t="s">
        <v>944</v>
      </c>
      <c r="Y136" s="151">
        <v>5.5309999999999997</v>
      </c>
      <c r="Z136" s="164">
        <v>2.9000000000000001E-2</v>
      </c>
      <c r="AA136" s="2" t="s">
        <v>1355</v>
      </c>
      <c r="AB136" s="4" t="s">
        <v>447</v>
      </c>
      <c r="AC136" s="2" t="s">
        <v>519</v>
      </c>
      <c r="AD136" s="151">
        <v>9674</v>
      </c>
      <c r="AE136" s="164">
        <v>0.78</v>
      </c>
      <c r="AF136" s="2" t="s">
        <v>1365</v>
      </c>
      <c r="AG136" s="2" t="s">
        <v>155</v>
      </c>
      <c r="AI136" s="2" t="s">
        <v>1366</v>
      </c>
      <c r="AJ136" s="2" t="s">
        <v>375</v>
      </c>
      <c r="AK136" s="2" t="s">
        <v>927</v>
      </c>
      <c r="AL136" s="2" t="s">
        <v>1340</v>
      </c>
      <c r="AN136" s="2" t="s">
        <v>157</v>
      </c>
      <c r="AO136" s="2" t="s">
        <v>1365</v>
      </c>
      <c r="AP136" s="162">
        <v>0</v>
      </c>
      <c r="AQ136" s="151">
        <v>7927.58</v>
      </c>
      <c r="AR136" s="175">
        <v>130.07</v>
      </c>
      <c r="AS136" s="158">
        <v>1</v>
      </c>
      <c r="AT136" s="151">
        <v>10.311</v>
      </c>
      <c r="AU136" s="151">
        <v>10.311</v>
      </c>
      <c r="AX136" s="4" t="s">
        <v>155</v>
      </c>
      <c r="AY136" s="2" t="s">
        <v>36</v>
      </c>
      <c r="AZ136" s="164">
        <v>8.1834746497163897E-3</v>
      </c>
      <c r="BA136" s="164">
        <v>7.0787144939087599E-5</v>
      </c>
    </row>
    <row r="137" spans="1:53">
      <c r="A137" s="2">
        <v>424</v>
      </c>
      <c r="B137" s="2">
        <v>7229</v>
      </c>
      <c r="C137" s="2" t="s">
        <v>1349</v>
      </c>
      <c r="D137" s="2" t="s">
        <v>33</v>
      </c>
      <c r="E137" s="2" t="s">
        <v>1423</v>
      </c>
      <c r="F137" s="2" t="s">
        <v>1424</v>
      </c>
      <c r="G137" s="2" t="s">
        <v>1073</v>
      </c>
      <c r="I137" s="2" t="s">
        <v>30</v>
      </c>
      <c r="J137" s="2" t="s">
        <v>30</v>
      </c>
      <c r="K137" s="2" t="s">
        <v>487</v>
      </c>
      <c r="L137" s="2" t="s">
        <v>155</v>
      </c>
      <c r="M137" s="2" t="s">
        <v>375</v>
      </c>
      <c r="N137" s="151">
        <v>513326439</v>
      </c>
      <c r="O137" s="2" t="s">
        <v>1425</v>
      </c>
      <c r="P137" s="2" t="s">
        <v>1353</v>
      </c>
      <c r="Q137" s="2" t="s">
        <v>206</v>
      </c>
      <c r="R137" s="2" t="s">
        <v>442</v>
      </c>
      <c r="S137" s="2" t="s">
        <v>34</v>
      </c>
      <c r="T137" s="151">
        <v>3.24</v>
      </c>
      <c r="U137" s="2" t="s">
        <v>194</v>
      </c>
      <c r="V137" s="162">
        <v>5.5E-2</v>
      </c>
      <c r="W137" s="2" t="s">
        <v>790</v>
      </c>
      <c r="X137" s="2" t="s">
        <v>1354</v>
      </c>
      <c r="Y137" s="151">
        <v>5.5</v>
      </c>
      <c r="Z137" s="164">
        <v>2.75E-2</v>
      </c>
      <c r="AA137" s="2" t="s">
        <v>1364</v>
      </c>
      <c r="AB137" s="4" t="s">
        <v>447</v>
      </c>
      <c r="AE137" s="164">
        <v>0</v>
      </c>
      <c r="AG137" s="2" t="s">
        <v>155</v>
      </c>
      <c r="AJ137" s="2" t="s">
        <v>155</v>
      </c>
      <c r="AK137" s="2" t="s">
        <v>194</v>
      </c>
      <c r="AN137" s="2" t="s">
        <v>157</v>
      </c>
      <c r="AP137" s="162">
        <v>0</v>
      </c>
      <c r="AQ137" s="151">
        <v>1890.88</v>
      </c>
      <c r="AR137" s="175">
        <v>128.68</v>
      </c>
      <c r="AS137" s="158">
        <v>1</v>
      </c>
      <c r="AT137" s="151">
        <v>2.4329999999999998</v>
      </c>
      <c r="AU137" s="151">
        <v>2.4329999999999998</v>
      </c>
      <c r="AX137" s="4" t="s">
        <v>155</v>
      </c>
      <c r="AY137" s="2" t="s">
        <v>36</v>
      </c>
      <c r="AZ137" s="164">
        <v>1.9310565335916401E-3</v>
      </c>
      <c r="BA137" s="164">
        <v>1.67036600686068E-5</v>
      </c>
    </row>
    <row r="138" spans="1:53">
      <c r="A138" s="2">
        <v>424</v>
      </c>
      <c r="B138" s="2">
        <v>7229</v>
      </c>
      <c r="C138" s="2" t="s">
        <v>1349</v>
      </c>
      <c r="D138" s="2" t="s">
        <v>33</v>
      </c>
      <c r="E138" s="2" t="s">
        <v>1426</v>
      </c>
      <c r="F138" s="2" t="s">
        <v>1427</v>
      </c>
      <c r="G138" s="2" t="s">
        <v>1073</v>
      </c>
      <c r="I138" s="2" t="s">
        <v>30</v>
      </c>
      <c r="J138" s="2" t="s">
        <v>30</v>
      </c>
      <c r="K138" s="2" t="s">
        <v>487</v>
      </c>
      <c r="L138" s="2" t="s">
        <v>155</v>
      </c>
      <c r="M138" s="2" t="s">
        <v>375</v>
      </c>
      <c r="N138" s="2" t="s">
        <v>1349</v>
      </c>
      <c r="O138" s="2" t="s">
        <v>1428</v>
      </c>
      <c r="P138" s="2" t="s">
        <v>1340</v>
      </c>
      <c r="Q138" s="2" t="s">
        <v>206</v>
      </c>
      <c r="R138" s="2" t="s">
        <v>442</v>
      </c>
      <c r="S138" s="2" t="s">
        <v>34</v>
      </c>
      <c r="T138" s="151">
        <v>3.24</v>
      </c>
      <c r="U138" s="2" t="s">
        <v>1358</v>
      </c>
      <c r="V138" s="162">
        <v>5.5E-2</v>
      </c>
      <c r="W138" s="2" t="s">
        <v>790</v>
      </c>
      <c r="X138" s="2" t="s">
        <v>944</v>
      </c>
      <c r="Y138" s="151">
        <v>5.5</v>
      </c>
      <c r="Z138" s="164">
        <v>2.9000000000000001E-2</v>
      </c>
      <c r="AA138" s="2" t="s">
        <v>1355</v>
      </c>
      <c r="AB138" s="4" t="s">
        <v>447</v>
      </c>
      <c r="AC138" s="2" t="s">
        <v>519</v>
      </c>
      <c r="AD138" s="151">
        <v>2154</v>
      </c>
      <c r="AE138" s="164">
        <v>0.78</v>
      </c>
      <c r="AF138" s="2" t="s">
        <v>1365</v>
      </c>
      <c r="AG138" s="2" t="s">
        <v>155</v>
      </c>
      <c r="AI138" s="2" t="s">
        <v>1366</v>
      </c>
      <c r="AJ138" s="2" t="s">
        <v>375</v>
      </c>
      <c r="AK138" s="2" t="s">
        <v>927</v>
      </c>
      <c r="AL138" s="2" t="s">
        <v>1340</v>
      </c>
      <c r="AN138" s="2" t="s">
        <v>157</v>
      </c>
      <c r="AO138" s="2" t="s">
        <v>1365</v>
      </c>
      <c r="AP138" s="162">
        <v>0</v>
      </c>
      <c r="AQ138" s="151">
        <v>3827.92</v>
      </c>
      <c r="AR138" s="175">
        <v>127.82</v>
      </c>
      <c r="AS138" s="158">
        <v>1</v>
      </c>
      <c r="AT138" s="151">
        <v>4.8929999999999998</v>
      </c>
      <c r="AU138" s="151">
        <v>4.8929999999999998</v>
      </c>
      <c r="AX138" s="4" t="s">
        <v>155</v>
      </c>
      <c r="AY138" s="2" t="s">
        <v>36</v>
      </c>
      <c r="AZ138" s="164">
        <v>3.88312735098407E-3</v>
      </c>
      <c r="BA138" s="164">
        <v>3.3589093921195297E-5</v>
      </c>
    </row>
    <row r="139" spans="1:53">
      <c r="A139" s="2">
        <v>424</v>
      </c>
      <c r="B139" s="2">
        <v>7229</v>
      </c>
      <c r="C139" s="2" t="s">
        <v>1349</v>
      </c>
      <c r="D139" s="2" t="s">
        <v>33</v>
      </c>
      <c r="E139" s="2" t="s">
        <v>1429</v>
      </c>
      <c r="F139" s="2" t="s">
        <v>1430</v>
      </c>
      <c r="G139" s="2" t="s">
        <v>1073</v>
      </c>
      <c r="I139" s="2" t="s">
        <v>30</v>
      </c>
      <c r="J139" s="2" t="s">
        <v>30</v>
      </c>
      <c r="K139" s="2" t="s">
        <v>487</v>
      </c>
      <c r="L139" s="2" t="s">
        <v>155</v>
      </c>
      <c r="M139" s="2" t="s">
        <v>375</v>
      </c>
      <c r="N139" s="2" t="s">
        <v>1349</v>
      </c>
      <c r="O139" s="2" t="s">
        <v>1431</v>
      </c>
      <c r="P139" s="2" t="s">
        <v>1340</v>
      </c>
      <c r="Q139" s="2" t="s">
        <v>206</v>
      </c>
      <c r="R139" s="2" t="s">
        <v>442</v>
      </c>
      <c r="S139" s="2" t="s">
        <v>34</v>
      </c>
      <c r="T139" s="151">
        <v>3.24</v>
      </c>
      <c r="U139" s="2" t="s">
        <v>1358</v>
      </c>
      <c r="V139" s="162">
        <v>5.5E-2</v>
      </c>
      <c r="W139" s="2" t="s">
        <v>790</v>
      </c>
      <c r="X139" s="2" t="s">
        <v>944</v>
      </c>
      <c r="Y139" s="151">
        <v>5.5</v>
      </c>
      <c r="Z139" s="164">
        <v>2.9000000000000001E-2</v>
      </c>
      <c r="AA139" s="2" t="s">
        <v>1355</v>
      </c>
      <c r="AB139" s="4" t="s">
        <v>447</v>
      </c>
      <c r="AC139" s="2" t="s">
        <v>519</v>
      </c>
      <c r="AD139" s="151">
        <v>3341</v>
      </c>
      <c r="AE139" s="164">
        <v>0.78</v>
      </c>
      <c r="AF139" s="2" t="s">
        <v>1365</v>
      </c>
      <c r="AG139" s="2" t="s">
        <v>155</v>
      </c>
      <c r="AI139" s="2" t="s">
        <v>1366</v>
      </c>
      <c r="AJ139" s="2" t="s">
        <v>375</v>
      </c>
      <c r="AK139" s="2" t="s">
        <v>927</v>
      </c>
      <c r="AL139" s="2" t="s">
        <v>1340</v>
      </c>
      <c r="AN139" s="2" t="s">
        <v>157</v>
      </c>
      <c r="AO139" s="2" t="s">
        <v>1365</v>
      </c>
      <c r="AP139" s="162">
        <v>0</v>
      </c>
      <c r="AQ139" s="151">
        <v>5935.55</v>
      </c>
      <c r="AR139" s="175">
        <v>128.06</v>
      </c>
      <c r="AS139" s="158">
        <v>1</v>
      </c>
      <c r="AT139" s="151">
        <v>7.601</v>
      </c>
      <c r="AU139" s="151">
        <v>7.601</v>
      </c>
      <c r="AX139" s="4" t="s">
        <v>155</v>
      </c>
      <c r="AY139" s="2" t="s">
        <v>36</v>
      </c>
      <c r="AZ139" s="164">
        <v>6.0324597528542403E-3</v>
      </c>
      <c r="BA139" s="164">
        <v>5.2180842630129597E-5</v>
      </c>
    </row>
    <row r="140" spans="1:53">
      <c r="A140" s="2">
        <v>424</v>
      </c>
      <c r="B140" s="2">
        <v>7229</v>
      </c>
      <c r="C140" s="2" t="s">
        <v>1349</v>
      </c>
      <c r="D140" s="2" t="s">
        <v>33</v>
      </c>
      <c r="E140" s="2" t="s">
        <v>1432</v>
      </c>
      <c r="F140" s="2" t="s">
        <v>1433</v>
      </c>
      <c r="G140" s="2" t="s">
        <v>1073</v>
      </c>
      <c r="I140" s="2" t="s">
        <v>30</v>
      </c>
      <c r="J140" s="2" t="s">
        <v>30</v>
      </c>
      <c r="K140" s="2" t="s">
        <v>487</v>
      </c>
      <c r="L140" s="2" t="s">
        <v>155</v>
      </c>
      <c r="M140" s="2" t="s">
        <v>375</v>
      </c>
      <c r="N140" s="151">
        <v>513326439</v>
      </c>
      <c r="O140" s="2" t="s">
        <v>1425</v>
      </c>
      <c r="P140" s="2" t="s">
        <v>1353</v>
      </c>
      <c r="Q140" s="2" t="s">
        <v>206</v>
      </c>
      <c r="R140" s="2" t="s">
        <v>442</v>
      </c>
      <c r="S140" s="2" t="s">
        <v>34</v>
      </c>
      <c r="T140" s="151">
        <v>3.21</v>
      </c>
      <c r="U140" s="2" t="s">
        <v>194</v>
      </c>
      <c r="V140" s="162">
        <v>5.5E-2</v>
      </c>
      <c r="W140" s="2" t="s">
        <v>790</v>
      </c>
      <c r="X140" s="2" t="s">
        <v>1354</v>
      </c>
      <c r="Y140" s="151">
        <v>5.5</v>
      </c>
      <c r="Z140" s="164">
        <v>3.0949999999999998E-2</v>
      </c>
      <c r="AA140" s="2" t="s">
        <v>1364</v>
      </c>
      <c r="AB140" s="4" t="s">
        <v>447</v>
      </c>
      <c r="AE140" s="164">
        <v>0</v>
      </c>
      <c r="AG140" s="2" t="s">
        <v>155</v>
      </c>
      <c r="AJ140" s="2" t="s">
        <v>155</v>
      </c>
      <c r="AK140" s="2" t="s">
        <v>194</v>
      </c>
      <c r="AN140" s="2" t="s">
        <v>157</v>
      </c>
      <c r="AP140" s="162">
        <v>0</v>
      </c>
      <c r="AQ140" s="151">
        <v>1565.82</v>
      </c>
      <c r="AR140" s="175">
        <v>127.76</v>
      </c>
      <c r="AS140" s="158">
        <v>1</v>
      </c>
      <c r="AT140" s="151">
        <v>2</v>
      </c>
      <c r="AU140" s="151">
        <v>2</v>
      </c>
      <c r="AX140" s="4" t="s">
        <v>155</v>
      </c>
      <c r="AY140" s="2" t="s">
        <v>36</v>
      </c>
      <c r="AZ140" s="164">
        <v>1.58765708910986E-3</v>
      </c>
      <c r="BA140" s="164">
        <v>1.3733251129981201E-5</v>
      </c>
    </row>
    <row r="141" spans="1:53">
      <c r="A141" s="2">
        <v>424</v>
      </c>
      <c r="B141" s="2">
        <v>7229</v>
      </c>
      <c r="C141" s="2" t="s">
        <v>1349</v>
      </c>
      <c r="D141" s="2" t="s">
        <v>33</v>
      </c>
      <c r="E141" s="2" t="s">
        <v>1434</v>
      </c>
      <c r="F141" s="2" t="s">
        <v>1435</v>
      </c>
      <c r="G141" s="2" t="s">
        <v>1073</v>
      </c>
      <c r="I141" s="2" t="s">
        <v>30</v>
      </c>
      <c r="J141" s="2" t="s">
        <v>30</v>
      </c>
      <c r="K141" s="2" t="s">
        <v>487</v>
      </c>
      <c r="L141" s="2" t="s">
        <v>155</v>
      </c>
      <c r="M141" s="2" t="s">
        <v>375</v>
      </c>
      <c r="N141" s="2" t="s">
        <v>1349</v>
      </c>
      <c r="O141" s="2" t="s">
        <v>1436</v>
      </c>
      <c r="P141" s="2" t="s">
        <v>1340</v>
      </c>
      <c r="Q141" s="2" t="s">
        <v>206</v>
      </c>
      <c r="R141" s="2" t="s">
        <v>442</v>
      </c>
      <c r="S141" s="2" t="s">
        <v>34</v>
      </c>
      <c r="T141" s="151">
        <v>3.24</v>
      </c>
      <c r="U141" s="2" t="s">
        <v>1358</v>
      </c>
      <c r="V141" s="162">
        <v>5.5E-2</v>
      </c>
      <c r="W141" s="2" t="s">
        <v>790</v>
      </c>
      <c r="X141" s="2" t="s">
        <v>944</v>
      </c>
      <c r="Y141" s="151">
        <v>5.5</v>
      </c>
      <c r="Z141" s="164">
        <v>2.76E-2</v>
      </c>
      <c r="AA141" s="2" t="s">
        <v>1355</v>
      </c>
      <c r="AB141" s="4" t="s">
        <v>447</v>
      </c>
      <c r="AC141" s="2" t="s">
        <v>519</v>
      </c>
      <c r="AD141" s="151">
        <v>774</v>
      </c>
      <c r="AE141" s="164">
        <v>0.78</v>
      </c>
      <c r="AF141" s="2" t="s">
        <v>1365</v>
      </c>
      <c r="AG141" s="2" t="s">
        <v>155</v>
      </c>
      <c r="AI141" s="2" t="s">
        <v>1366</v>
      </c>
      <c r="AJ141" s="2" t="s">
        <v>375</v>
      </c>
      <c r="AK141" s="2" t="s">
        <v>927</v>
      </c>
      <c r="AL141" s="2" t="s">
        <v>1340</v>
      </c>
      <c r="AN141" s="2" t="s">
        <v>157</v>
      </c>
      <c r="AO141" s="2" t="s">
        <v>1365</v>
      </c>
      <c r="AP141" s="162">
        <v>0</v>
      </c>
      <c r="AQ141" s="151">
        <v>1374.42</v>
      </c>
      <c r="AR141" s="175">
        <v>126.71</v>
      </c>
      <c r="AS141" s="158">
        <v>1</v>
      </c>
      <c r="AT141" s="151">
        <v>1.742</v>
      </c>
      <c r="AU141" s="151">
        <v>1.742</v>
      </c>
      <c r="AX141" s="4" t="s">
        <v>155</v>
      </c>
      <c r="AY141" s="2" t="s">
        <v>36</v>
      </c>
      <c r="AZ141" s="164">
        <v>1.3821345549335699E-3</v>
      </c>
      <c r="BA141" s="164">
        <v>1.19554789686793E-5</v>
      </c>
    </row>
    <row r="142" spans="1:53">
      <c r="A142" s="2">
        <v>424</v>
      </c>
      <c r="B142" s="2">
        <v>7229</v>
      </c>
      <c r="C142" s="2" t="s">
        <v>1349</v>
      </c>
      <c r="D142" s="2" t="s">
        <v>33</v>
      </c>
      <c r="E142" s="2" t="s">
        <v>1437</v>
      </c>
      <c r="F142" s="2" t="s">
        <v>1438</v>
      </c>
      <c r="G142" s="2" t="s">
        <v>1073</v>
      </c>
      <c r="I142" s="2" t="s">
        <v>30</v>
      </c>
      <c r="J142" s="2" t="s">
        <v>30</v>
      </c>
      <c r="K142" s="2" t="s">
        <v>487</v>
      </c>
      <c r="L142" s="2" t="s">
        <v>155</v>
      </c>
      <c r="M142" s="2" t="s">
        <v>375</v>
      </c>
      <c r="N142" s="2" t="s">
        <v>1349</v>
      </c>
      <c r="O142" s="2" t="s">
        <v>1439</v>
      </c>
      <c r="P142" s="2" t="s">
        <v>1340</v>
      </c>
      <c r="Q142" s="2" t="s">
        <v>206</v>
      </c>
      <c r="R142" s="2" t="s">
        <v>442</v>
      </c>
      <c r="S142" s="2" t="s">
        <v>34</v>
      </c>
      <c r="T142" s="151">
        <v>3.24</v>
      </c>
      <c r="U142" s="2" t="s">
        <v>1358</v>
      </c>
      <c r="V142" s="162">
        <v>5.5E-2</v>
      </c>
      <c r="W142" s="2" t="s">
        <v>790</v>
      </c>
      <c r="X142" s="2" t="s">
        <v>944</v>
      </c>
      <c r="Y142" s="151">
        <v>5.5</v>
      </c>
      <c r="Z142" s="164">
        <v>2.7799999999999998E-2</v>
      </c>
      <c r="AA142" s="2" t="s">
        <v>1355</v>
      </c>
      <c r="AB142" s="4" t="s">
        <v>447</v>
      </c>
      <c r="AC142" s="2" t="s">
        <v>519</v>
      </c>
      <c r="AD142" s="151">
        <v>862</v>
      </c>
      <c r="AE142" s="164">
        <v>0.78</v>
      </c>
      <c r="AF142" s="2" t="s">
        <v>1365</v>
      </c>
      <c r="AG142" s="2" t="s">
        <v>155</v>
      </c>
      <c r="AI142" s="2" t="s">
        <v>1366</v>
      </c>
      <c r="AJ142" s="2" t="s">
        <v>375</v>
      </c>
      <c r="AK142" s="2" t="s">
        <v>927</v>
      </c>
      <c r="AL142" s="2" t="s">
        <v>1340</v>
      </c>
      <c r="AN142" s="2" t="s">
        <v>157</v>
      </c>
      <c r="AO142" s="2" t="s">
        <v>1365</v>
      </c>
      <c r="AP142" s="162">
        <v>0</v>
      </c>
      <c r="AQ142" s="151">
        <v>1532.12</v>
      </c>
      <c r="AR142" s="175">
        <v>126.03</v>
      </c>
      <c r="AS142" s="158">
        <v>1</v>
      </c>
      <c r="AT142" s="151">
        <v>1.931</v>
      </c>
      <c r="AU142" s="151">
        <v>1.931</v>
      </c>
      <c r="AX142" s="4" t="s">
        <v>155</v>
      </c>
      <c r="AY142" s="2" t="s">
        <v>36</v>
      </c>
      <c r="AZ142" s="164">
        <v>1.53245131412588E-3</v>
      </c>
      <c r="BA142" s="164">
        <v>1.32557205744975E-5</v>
      </c>
    </row>
    <row r="143" spans="1:53">
      <c r="A143" s="2">
        <v>424</v>
      </c>
      <c r="B143" s="2">
        <v>7229</v>
      </c>
      <c r="C143" s="2" t="s">
        <v>1349</v>
      </c>
      <c r="D143" s="2" t="s">
        <v>33</v>
      </c>
      <c r="E143" s="2" t="s">
        <v>1440</v>
      </c>
      <c r="F143" s="2" t="s">
        <v>1441</v>
      </c>
      <c r="G143" s="2" t="s">
        <v>1073</v>
      </c>
      <c r="I143" s="2" t="s">
        <v>30</v>
      </c>
      <c r="J143" s="2" t="s">
        <v>30</v>
      </c>
      <c r="K143" s="2" t="s">
        <v>487</v>
      </c>
      <c r="L143" s="2" t="s">
        <v>155</v>
      </c>
      <c r="M143" s="2" t="s">
        <v>375</v>
      </c>
      <c r="N143" s="2" t="s">
        <v>1349</v>
      </c>
      <c r="O143" s="2" t="s">
        <v>1442</v>
      </c>
      <c r="P143" s="2" t="s">
        <v>1340</v>
      </c>
      <c r="Q143" s="2" t="s">
        <v>206</v>
      </c>
      <c r="R143" s="2" t="s">
        <v>442</v>
      </c>
      <c r="S143" s="2" t="s">
        <v>34</v>
      </c>
      <c r="T143" s="151">
        <v>3.24</v>
      </c>
      <c r="U143" s="2" t="s">
        <v>1358</v>
      </c>
      <c r="V143" s="162">
        <v>5.5E-2</v>
      </c>
      <c r="W143" s="2" t="s">
        <v>790</v>
      </c>
      <c r="X143" s="2" t="s">
        <v>944</v>
      </c>
      <c r="Y143" s="151">
        <v>5.5</v>
      </c>
      <c r="Z143" s="164">
        <v>2.9000000000000001E-2</v>
      </c>
      <c r="AA143" s="2" t="s">
        <v>1355</v>
      </c>
      <c r="AB143" s="4" t="s">
        <v>447</v>
      </c>
      <c r="AC143" s="2" t="s">
        <v>519</v>
      </c>
      <c r="AD143" s="151">
        <v>2532</v>
      </c>
      <c r="AE143" s="164">
        <v>0.78</v>
      </c>
      <c r="AF143" s="2" t="s">
        <v>1365</v>
      </c>
      <c r="AG143" s="2" t="s">
        <v>155</v>
      </c>
      <c r="AI143" s="2" t="s">
        <v>1366</v>
      </c>
      <c r="AJ143" s="2" t="s">
        <v>375</v>
      </c>
      <c r="AK143" s="2" t="s">
        <v>927</v>
      </c>
      <c r="AL143" s="2" t="s">
        <v>1340</v>
      </c>
      <c r="AN143" s="2" t="s">
        <v>157</v>
      </c>
      <c r="AO143" s="2" t="s">
        <v>1365</v>
      </c>
      <c r="AP143" s="162">
        <v>0</v>
      </c>
      <c r="AQ143" s="151">
        <v>4498.57</v>
      </c>
      <c r="AR143" s="175">
        <v>125.67</v>
      </c>
      <c r="AS143" s="158">
        <v>1</v>
      </c>
      <c r="AT143" s="151">
        <v>5.6529999999999996</v>
      </c>
      <c r="AU143" s="151">
        <v>5.6529999999999996</v>
      </c>
      <c r="AX143" s="4" t="s">
        <v>155</v>
      </c>
      <c r="AY143" s="2" t="s">
        <v>36</v>
      </c>
      <c r="AZ143" s="164">
        <v>4.4866900193513398E-3</v>
      </c>
      <c r="BA143" s="164">
        <v>3.8809917582818999E-5</v>
      </c>
    </row>
    <row r="144" spans="1:53">
      <c r="A144" s="2">
        <v>424</v>
      </c>
      <c r="B144" s="2">
        <v>7229</v>
      </c>
      <c r="C144" s="2" t="s">
        <v>1349</v>
      </c>
      <c r="D144" s="2" t="s">
        <v>33</v>
      </c>
      <c r="E144" s="2" t="s">
        <v>1443</v>
      </c>
      <c r="F144" s="2" t="s">
        <v>1444</v>
      </c>
      <c r="G144" s="2" t="s">
        <v>1073</v>
      </c>
      <c r="I144" s="2" t="s">
        <v>30</v>
      </c>
      <c r="J144" s="2" t="s">
        <v>30</v>
      </c>
      <c r="K144" s="2" t="s">
        <v>487</v>
      </c>
      <c r="L144" s="2" t="s">
        <v>155</v>
      </c>
      <c r="M144" s="2" t="s">
        <v>375</v>
      </c>
      <c r="N144" s="2" t="s">
        <v>1349</v>
      </c>
      <c r="O144" s="2" t="s">
        <v>1445</v>
      </c>
      <c r="P144" s="2" t="s">
        <v>1340</v>
      </c>
      <c r="Q144" s="2" t="s">
        <v>206</v>
      </c>
      <c r="R144" s="2" t="s">
        <v>442</v>
      </c>
      <c r="S144" s="2" t="s">
        <v>34</v>
      </c>
      <c r="T144" s="151">
        <v>3.24</v>
      </c>
      <c r="U144" s="2" t="s">
        <v>1358</v>
      </c>
      <c r="V144" s="162">
        <v>5.5E-2</v>
      </c>
      <c r="W144" s="2" t="s">
        <v>790</v>
      </c>
      <c r="X144" s="2" t="s">
        <v>944</v>
      </c>
      <c r="Y144" s="151">
        <v>5.5</v>
      </c>
      <c r="Z144" s="164">
        <v>2.9000000000000001E-2</v>
      </c>
      <c r="AA144" s="2" t="s">
        <v>1355</v>
      </c>
      <c r="AB144" s="4" t="s">
        <v>447</v>
      </c>
      <c r="AC144" s="2" t="s">
        <v>519</v>
      </c>
      <c r="AD144" s="151">
        <v>470</v>
      </c>
      <c r="AE144" s="164">
        <v>0.78</v>
      </c>
      <c r="AF144" s="2" t="s">
        <v>1365</v>
      </c>
      <c r="AG144" s="2" t="s">
        <v>155</v>
      </c>
      <c r="AI144" s="2" t="s">
        <v>1366</v>
      </c>
      <c r="AJ144" s="2" t="s">
        <v>375</v>
      </c>
      <c r="AK144" s="2" t="s">
        <v>927</v>
      </c>
      <c r="AL144" s="2" t="s">
        <v>1340</v>
      </c>
      <c r="AN144" s="2" t="s">
        <v>157</v>
      </c>
      <c r="AO144" s="2" t="s">
        <v>1365</v>
      </c>
      <c r="AP144" s="162">
        <v>0</v>
      </c>
      <c r="AQ144" s="151">
        <v>835.04</v>
      </c>
      <c r="AR144" s="175">
        <v>126.3</v>
      </c>
      <c r="AS144" s="158">
        <v>1</v>
      </c>
      <c r="AT144" s="151">
        <v>1.0549999999999999</v>
      </c>
      <c r="AU144" s="151">
        <v>1.0549999999999999</v>
      </c>
      <c r="AX144" s="4" t="s">
        <v>155</v>
      </c>
      <c r="AY144" s="2" t="s">
        <v>36</v>
      </c>
      <c r="AZ144" s="164">
        <v>8.3700990602136502E-4</v>
      </c>
      <c r="BA144" s="164">
        <v>7.2401448124532201E-6</v>
      </c>
    </row>
    <row r="145" spans="1:53">
      <c r="A145" s="2">
        <v>424</v>
      </c>
      <c r="B145" s="2">
        <v>7229</v>
      </c>
      <c r="C145" s="2" t="s">
        <v>1349</v>
      </c>
      <c r="D145" s="2" t="s">
        <v>33</v>
      </c>
      <c r="E145" s="2" t="s">
        <v>1446</v>
      </c>
      <c r="F145" s="2" t="s">
        <v>1447</v>
      </c>
      <c r="G145" s="2" t="s">
        <v>1073</v>
      </c>
      <c r="I145" s="2" t="s">
        <v>30</v>
      </c>
      <c r="J145" s="2" t="s">
        <v>30</v>
      </c>
      <c r="K145" s="2" t="s">
        <v>487</v>
      </c>
      <c r="L145" s="2" t="s">
        <v>155</v>
      </c>
      <c r="M145" s="2" t="s">
        <v>375</v>
      </c>
      <c r="N145" s="2" t="s">
        <v>1349</v>
      </c>
      <c r="O145" s="2" t="s">
        <v>1448</v>
      </c>
      <c r="P145" s="2" t="s">
        <v>1340</v>
      </c>
      <c r="Q145" s="2" t="s">
        <v>206</v>
      </c>
      <c r="R145" s="2" t="s">
        <v>442</v>
      </c>
      <c r="S145" s="2" t="s">
        <v>34</v>
      </c>
      <c r="T145" s="151">
        <v>3.24</v>
      </c>
      <c r="U145" s="2" t="s">
        <v>1358</v>
      </c>
      <c r="V145" s="162">
        <v>5.5E-2</v>
      </c>
      <c r="W145" s="2" t="s">
        <v>790</v>
      </c>
      <c r="X145" s="2" t="s">
        <v>944</v>
      </c>
      <c r="Y145" s="151">
        <v>5.5</v>
      </c>
      <c r="Z145" s="164">
        <v>2.9000000000000001E-2</v>
      </c>
      <c r="AA145" s="2" t="s">
        <v>1449</v>
      </c>
      <c r="AB145" s="4" t="s">
        <v>447</v>
      </c>
      <c r="AC145" s="2" t="s">
        <v>519</v>
      </c>
      <c r="AD145" s="151">
        <v>938</v>
      </c>
      <c r="AE145" s="164">
        <v>0.78</v>
      </c>
      <c r="AF145" s="2" t="s">
        <v>1365</v>
      </c>
      <c r="AG145" s="2" t="s">
        <v>155</v>
      </c>
      <c r="AI145" s="2" t="s">
        <v>1366</v>
      </c>
      <c r="AJ145" s="2" t="s">
        <v>375</v>
      </c>
      <c r="AK145" s="2" t="s">
        <v>927</v>
      </c>
      <c r="AL145" s="2" t="s">
        <v>1340</v>
      </c>
      <c r="AN145" s="2" t="s">
        <v>157</v>
      </c>
      <c r="AO145" s="2" t="s">
        <v>1365</v>
      </c>
      <c r="AP145" s="162">
        <v>0</v>
      </c>
      <c r="AQ145" s="151">
        <v>1666.4</v>
      </c>
      <c r="AR145" s="175">
        <v>126.55</v>
      </c>
      <c r="AS145" s="158">
        <v>1</v>
      </c>
      <c r="AT145" s="151">
        <v>2.109</v>
      </c>
      <c r="AU145" s="151">
        <v>2.109</v>
      </c>
      <c r="AX145" s="4" t="s">
        <v>155</v>
      </c>
      <c r="AY145" s="2" t="s">
        <v>36</v>
      </c>
      <c r="AZ145" s="164">
        <v>1.6736374076979301E-3</v>
      </c>
      <c r="BA145" s="164">
        <v>1.4476981823154801E-5</v>
      </c>
    </row>
    <row r="146" spans="1:53">
      <c r="A146" s="2">
        <v>424</v>
      </c>
      <c r="B146" s="2">
        <v>7229</v>
      </c>
      <c r="C146" s="2" t="s">
        <v>1349</v>
      </c>
      <c r="D146" s="2" t="s">
        <v>33</v>
      </c>
      <c r="E146" s="2" t="s">
        <v>1450</v>
      </c>
      <c r="F146" s="2" t="s">
        <v>1451</v>
      </c>
      <c r="G146" s="2" t="s">
        <v>1073</v>
      </c>
      <c r="I146" s="2" t="s">
        <v>30</v>
      </c>
      <c r="J146" s="2" t="s">
        <v>30</v>
      </c>
      <c r="K146" s="2" t="s">
        <v>487</v>
      </c>
      <c r="L146" s="2" t="s">
        <v>155</v>
      </c>
      <c r="M146" s="2" t="s">
        <v>375</v>
      </c>
      <c r="N146" s="2" t="s">
        <v>1349</v>
      </c>
      <c r="O146" s="2" t="s">
        <v>1452</v>
      </c>
      <c r="P146" s="2" t="s">
        <v>1340</v>
      </c>
      <c r="Q146" s="2" t="s">
        <v>206</v>
      </c>
      <c r="R146" s="2" t="s">
        <v>442</v>
      </c>
      <c r="S146" s="2" t="s">
        <v>34</v>
      </c>
      <c r="T146" s="151">
        <v>3.24</v>
      </c>
      <c r="U146" s="2" t="s">
        <v>1358</v>
      </c>
      <c r="V146" s="162">
        <v>5.5E-2</v>
      </c>
      <c r="W146" s="2" t="s">
        <v>790</v>
      </c>
      <c r="X146" s="2" t="s">
        <v>944</v>
      </c>
      <c r="Y146" s="151">
        <v>5.5</v>
      </c>
      <c r="Z146" s="164">
        <v>2.9000000000000001E-2</v>
      </c>
      <c r="AA146" s="2" t="s">
        <v>1355</v>
      </c>
      <c r="AB146" s="4" t="s">
        <v>447</v>
      </c>
      <c r="AC146" s="2" t="s">
        <v>519</v>
      </c>
      <c r="AD146" s="151">
        <v>588</v>
      </c>
      <c r="AE146" s="164">
        <v>0.78</v>
      </c>
      <c r="AF146" s="2" t="s">
        <v>1365</v>
      </c>
      <c r="AG146" s="2" t="s">
        <v>155</v>
      </c>
      <c r="AI146" s="2" t="s">
        <v>1366</v>
      </c>
      <c r="AJ146" s="2" t="s">
        <v>375</v>
      </c>
      <c r="AK146" s="2" t="s">
        <v>927</v>
      </c>
      <c r="AL146" s="2" t="s">
        <v>1340</v>
      </c>
      <c r="AN146" s="2" t="s">
        <v>157</v>
      </c>
      <c r="AO146" s="2" t="s">
        <v>1365</v>
      </c>
      <c r="AP146" s="162">
        <v>0</v>
      </c>
      <c r="AQ146" s="151">
        <v>1044.2</v>
      </c>
      <c r="AR146" s="175">
        <v>126.06</v>
      </c>
      <c r="AS146" s="158">
        <v>1</v>
      </c>
      <c r="AT146" s="151">
        <v>1.3160000000000001</v>
      </c>
      <c r="AU146" s="151">
        <v>1.3160000000000001</v>
      </c>
      <c r="AX146" s="4" t="s">
        <v>155</v>
      </c>
      <c r="AY146" s="2" t="s">
        <v>36</v>
      </c>
      <c r="AZ146" s="164">
        <v>1.04467441721576E-3</v>
      </c>
      <c r="BA146" s="164">
        <v>9.0364450983142792E-6</v>
      </c>
    </row>
    <row r="147" spans="1:53">
      <c r="A147" s="2">
        <v>424</v>
      </c>
      <c r="B147" s="2">
        <v>7229</v>
      </c>
      <c r="C147" s="2" t="s">
        <v>1349</v>
      </c>
      <c r="D147" s="2" t="s">
        <v>33</v>
      </c>
      <c r="E147" s="2" t="s">
        <v>1453</v>
      </c>
      <c r="F147" s="2" t="s">
        <v>1454</v>
      </c>
      <c r="G147" s="2" t="s">
        <v>1073</v>
      </c>
      <c r="I147" s="2" t="s">
        <v>30</v>
      </c>
      <c r="J147" s="2" t="s">
        <v>30</v>
      </c>
      <c r="K147" s="2" t="s">
        <v>487</v>
      </c>
      <c r="L147" s="2" t="s">
        <v>155</v>
      </c>
      <c r="M147" s="2" t="s">
        <v>375</v>
      </c>
      <c r="N147" s="2" t="s">
        <v>1349</v>
      </c>
      <c r="O147" s="2" t="s">
        <v>1455</v>
      </c>
      <c r="P147" s="2" t="s">
        <v>1340</v>
      </c>
      <c r="Q147" s="2" t="s">
        <v>206</v>
      </c>
      <c r="R147" s="2" t="s">
        <v>442</v>
      </c>
      <c r="S147" s="2" t="s">
        <v>34</v>
      </c>
      <c r="T147" s="151">
        <v>3.24</v>
      </c>
      <c r="U147" s="2" t="s">
        <v>1358</v>
      </c>
      <c r="V147" s="162">
        <v>5.5E-2</v>
      </c>
      <c r="W147" s="2" t="s">
        <v>790</v>
      </c>
      <c r="X147" s="2" t="s">
        <v>944</v>
      </c>
      <c r="Y147" s="151">
        <v>5.5</v>
      </c>
      <c r="Z147" s="164">
        <v>2.9000000000000001E-2</v>
      </c>
      <c r="AA147" s="2" t="s">
        <v>1364</v>
      </c>
      <c r="AB147" s="4" t="s">
        <v>447</v>
      </c>
      <c r="AC147" s="2" t="s">
        <v>519</v>
      </c>
      <c r="AD147" s="151">
        <v>331</v>
      </c>
      <c r="AE147" s="164">
        <v>0.78</v>
      </c>
      <c r="AF147" s="2" t="s">
        <v>1365</v>
      </c>
      <c r="AG147" s="2" t="s">
        <v>155</v>
      </c>
      <c r="AI147" s="2" t="s">
        <v>1366</v>
      </c>
      <c r="AJ147" s="2" t="s">
        <v>375</v>
      </c>
      <c r="AK147" s="2" t="s">
        <v>927</v>
      </c>
      <c r="AL147" s="2" t="s">
        <v>1340</v>
      </c>
      <c r="AN147" s="2" t="s">
        <v>157</v>
      </c>
      <c r="AO147" s="2" t="s">
        <v>1365</v>
      </c>
      <c r="AP147" s="162">
        <v>0</v>
      </c>
      <c r="AQ147" s="151">
        <v>588</v>
      </c>
      <c r="AR147" s="175">
        <v>125.93</v>
      </c>
      <c r="AS147" s="158">
        <v>1</v>
      </c>
      <c r="AT147" s="151">
        <v>0.74</v>
      </c>
      <c r="AU147" s="151">
        <v>0.74</v>
      </c>
      <c r="AX147" s="4" t="s">
        <v>155</v>
      </c>
      <c r="AY147" s="2" t="s">
        <v>36</v>
      </c>
      <c r="AZ147" s="164">
        <v>5.8766049590845595E-4</v>
      </c>
      <c r="BA147" s="164">
        <v>5.0832696964839602E-6</v>
      </c>
    </row>
    <row r="148" spans="1:53">
      <c r="A148" s="2">
        <v>424</v>
      </c>
      <c r="B148" s="2">
        <v>7229</v>
      </c>
      <c r="C148" s="2" t="s">
        <v>1349</v>
      </c>
      <c r="D148" s="2" t="s">
        <v>33</v>
      </c>
      <c r="E148" s="2" t="s">
        <v>1456</v>
      </c>
      <c r="F148" s="2" t="s">
        <v>1457</v>
      </c>
      <c r="G148" s="2" t="s">
        <v>1073</v>
      </c>
      <c r="I148" s="2" t="s">
        <v>30</v>
      </c>
      <c r="J148" s="2" t="s">
        <v>30</v>
      </c>
      <c r="K148" s="2" t="s">
        <v>487</v>
      </c>
      <c r="L148" s="2" t="s">
        <v>155</v>
      </c>
      <c r="M148" s="2" t="s">
        <v>375</v>
      </c>
      <c r="N148" s="2" t="s">
        <v>1349</v>
      </c>
      <c r="O148" s="2" t="s">
        <v>1458</v>
      </c>
      <c r="P148" s="2" t="s">
        <v>1340</v>
      </c>
      <c r="Q148" s="2" t="s">
        <v>206</v>
      </c>
      <c r="R148" s="2" t="s">
        <v>442</v>
      </c>
      <c r="S148" s="2" t="s">
        <v>34</v>
      </c>
      <c r="T148" s="151">
        <v>3.24</v>
      </c>
      <c r="U148" s="2" t="s">
        <v>1358</v>
      </c>
      <c r="V148" s="162">
        <v>5.5E-2</v>
      </c>
      <c r="W148" s="2" t="s">
        <v>790</v>
      </c>
      <c r="X148" s="2" t="s">
        <v>944</v>
      </c>
      <c r="Y148" s="151">
        <v>5.5</v>
      </c>
      <c r="Z148" s="164">
        <v>2.9000000000000001E-2</v>
      </c>
      <c r="AA148" s="2" t="s">
        <v>1364</v>
      </c>
      <c r="AB148" s="4" t="s">
        <v>447</v>
      </c>
      <c r="AC148" s="2" t="s">
        <v>519</v>
      </c>
      <c r="AD148" s="151">
        <v>987</v>
      </c>
      <c r="AE148" s="164">
        <v>0.78</v>
      </c>
      <c r="AF148" s="2" t="s">
        <v>1365</v>
      </c>
      <c r="AG148" s="2" t="s">
        <v>155</v>
      </c>
      <c r="AI148" s="2" t="s">
        <v>1366</v>
      </c>
      <c r="AJ148" s="2" t="s">
        <v>375</v>
      </c>
      <c r="AK148" s="2" t="s">
        <v>927</v>
      </c>
      <c r="AL148" s="2" t="s">
        <v>1340</v>
      </c>
      <c r="AN148" s="2" t="s">
        <v>157</v>
      </c>
      <c r="AO148" s="2" t="s">
        <v>1365</v>
      </c>
      <c r="AP148" s="162">
        <v>0</v>
      </c>
      <c r="AQ148" s="151">
        <v>1753.96</v>
      </c>
      <c r="AR148" s="175">
        <v>125.56</v>
      </c>
      <c r="AS148" s="158">
        <v>1</v>
      </c>
      <c r="AT148" s="151">
        <v>2.202</v>
      </c>
      <c r="AU148" s="151">
        <v>2.202</v>
      </c>
      <c r="AX148" s="4" t="s">
        <v>155</v>
      </c>
      <c r="AY148" s="2" t="s">
        <v>36</v>
      </c>
      <c r="AZ148" s="164">
        <v>1.74779687975011E-3</v>
      </c>
      <c r="BA148" s="164">
        <v>1.51184620649181E-5</v>
      </c>
    </row>
    <row r="149" spans="1:53">
      <c r="A149" s="2">
        <v>424</v>
      </c>
      <c r="B149" s="2">
        <v>7229</v>
      </c>
      <c r="C149" s="2" t="s">
        <v>1349</v>
      </c>
      <c r="D149" s="2" t="s">
        <v>33</v>
      </c>
      <c r="E149" s="2" t="s">
        <v>1459</v>
      </c>
      <c r="F149" s="2" t="s">
        <v>1460</v>
      </c>
      <c r="G149" s="2" t="s">
        <v>1073</v>
      </c>
      <c r="I149" s="2" t="s">
        <v>30</v>
      </c>
      <c r="J149" s="2" t="s">
        <v>30</v>
      </c>
      <c r="K149" s="2" t="s">
        <v>487</v>
      </c>
      <c r="L149" s="2" t="s">
        <v>155</v>
      </c>
      <c r="M149" s="2" t="s">
        <v>375</v>
      </c>
      <c r="N149" s="151">
        <v>513326439</v>
      </c>
      <c r="O149" s="2" t="s">
        <v>1425</v>
      </c>
      <c r="P149" s="2" t="s">
        <v>1353</v>
      </c>
      <c r="Q149" s="2" t="s">
        <v>206</v>
      </c>
      <c r="R149" s="2" t="s">
        <v>442</v>
      </c>
      <c r="S149" s="2" t="s">
        <v>34</v>
      </c>
      <c r="T149" s="151">
        <v>3.23</v>
      </c>
      <c r="U149" s="2" t="s">
        <v>194</v>
      </c>
      <c r="V149" s="162">
        <v>5.5E-2</v>
      </c>
      <c r="W149" s="2" t="s">
        <v>790</v>
      </c>
      <c r="X149" s="2" t="s">
        <v>1354</v>
      </c>
      <c r="Y149" s="151">
        <v>5.5</v>
      </c>
      <c r="Z149" s="164">
        <v>3.4299999999999997E-2</v>
      </c>
      <c r="AA149" s="2" t="s">
        <v>1364</v>
      </c>
      <c r="AB149" s="4" t="s">
        <v>447</v>
      </c>
      <c r="AE149" s="164">
        <v>0</v>
      </c>
      <c r="AG149" s="2" t="s">
        <v>155</v>
      </c>
      <c r="AJ149" s="2" t="s">
        <v>155</v>
      </c>
      <c r="AK149" s="2" t="s">
        <v>194</v>
      </c>
      <c r="AN149" s="2" t="s">
        <v>157</v>
      </c>
      <c r="AP149" s="162">
        <v>0</v>
      </c>
      <c r="AQ149" s="151">
        <v>682.79</v>
      </c>
      <c r="AR149" s="175">
        <v>125.56</v>
      </c>
      <c r="AS149" s="158">
        <v>1</v>
      </c>
      <c r="AT149" s="151">
        <v>0.85699999999999998</v>
      </c>
      <c r="AU149" s="151">
        <v>0.85699999999999998</v>
      </c>
      <c r="AX149" s="4" t="s">
        <v>155</v>
      </c>
      <c r="AY149" s="2" t="s">
        <v>36</v>
      </c>
      <c r="AZ149" s="164">
        <v>6.8039079085302696E-4</v>
      </c>
      <c r="BA149" s="164">
        <v>5.8853877587319096E-6</v>
      </c>
    </row>
    <row r="150" spans="1:53">
      <c r="A150" s="2">
        <v>424</v>
      </c>
      <c r="B150" s="2">
        <v>7229</v>
      </c>
      <c r="C150" s="2" t="s">
        <v>1349</v>
      </c>
      <c r="D150" s="2" t="s">
        <v>33</v>
      </c>
      <c r="E150" s="2" t="s">
        <v>1461</v>
      </c>
      <c r="F150" s="2" t="s">
        <v>1462</v>
      </c>
      <c r="G150" s="2" t="s">
        <v>1073</v>
      </c>
      <c r="I150" s="2" t="s">
        <v>30</v>
      </c>
      <c r="J150" s="2" t="s">
        <v>30</v>
      </c>
      <c r="K150" s="2" t="s">
        <v>487</v>
      </c>
      <c r="L150" s="2" t="s">
        <v>155</v>
      </c>
      <c r="M150" s="2" t="s">
        <v>375</v>
      </c>
      <c r="N150" s="2" t="s">
        <v>1349</v>
      </c>
      <c r="O150" s="2" t="s">
        <v>1463</v>
      </c>
      <c r="P150" s="2" t="s">
        <v>1340</v>
      </c>
      <c r="Q150" s="2" t="s">
        <v>206</v>
      </c>
      <c r="R150" s="2" t="s">
        <v>442</v>
      </c>
      <c r="S150" s="2" t="s">
        <v>34</v>
      </c>
      <c r="T150" s="151">
        <v>3.24</v>
      </c>
      <c r="U150" s="2" t="s">
        <v>1358</v>
      </c>
      <c r="V150" s="162">
        <v>5.5E-2</v>
      </c>
      <c r="W150" s="2" t="s">
        <v>790</v>
      </c>
      <c r="X150" s="2" t="s">
        <v>944</v>
      </c>
      <c r="Y150" s="151">
        <v>5.5</v>
      </c>
      <c r="Z150" s="164">
        <v>2.9000000000000001E-2</v>
      </c>
      <c r="AA150" s="2" t="s">
        <v>1364</v>
      </c>
      <c r="AB150" s="4" t="s">
        <v>447</v>
      </c>
      <c r="AC150" s="2" t="s">
        <v>519</v>
      </c>
      <c r="AD150" s="151">
        <v>5567</v>
      </c>
      <c r="AE150" s="164">
        <v>0.78</v>
      </c>
      <c r="AF150" s="2" t="s">
        <v>1365</v>
      </c>
      <c r="AG150" s="2" t="s">
        <v>155</v>
      </c>
      <c r="AI150" s="2" t="s">
        <v>1366</v>
      </c>
      <c r="AJ150" s="2" t="s">
        <v>375</v>
      </c>
      <c r="AK150" s="2" t="s">
        <v>927</v>
      </c>
      <c r="AL150" s="2" t="s">
        <v>1340</v>
      </c>
      <c r="AN150" s="2" t="s">
        <v>157</v>
      </c>
      <c r="AO150" s="2" t="s">
        <v>1365</v>
      </c>
      <c r="AP150" s="162">
        <v>0</v>
      </c>
      <c r="AQ150" s="151">
        <v>4588.7299999999996</v>
      </c>
      <c r="AR150" s="175">
        <v>125.81</v>
      </c>
      <c r="AS150" s="158">
        <v>1</v>
      </c>
      <c r="AT150" s="151">
        <v>5.7729999999999997</v>
      </c>
      <c r="AU150" s="151">
        <v>5.7729999999999997</v>
      </c>
      <c r="AX150" s="4" t="s">
        <v>155</v>
      </c>
      <c r="AY150" s="2" t="s">
        <v>36</v>
      </c>
      <c r="AZ150" s="164">
        <v>4.5817103991897196E-3</v>
      </c>
      <c r="BA150" s="164">
        <v>3.9631844904365601E-5</v>
      </c>
    </row>
    <row r="151" spans="1:53">
      <c r="A151" s="2">
        <v>424</v>
      </c>
      <c r="B151" s="2">
        <v>7229</v>
      </c>
      <c r="C151" s="2" t="s">
        <v>1349</v>
      </c>
      <c r="D151" s="2" t="s">
        <v>33</v>
      </c>
      <c r="E151" s="2" t="s">
        <v>1464</v>
      </c>
      <c r="F151" s="2" t="s">
        <v>1465</v>
      </c>
      <c r="G151" s="2" t="s">
        <v>1073</v>
      </c>
      <c r="I151" s="2" t="s">
        <v>30</v>
      </c>
      <c r="J151" s="2" t="s">
        <v>30</v>
      </c>
      <c r="K151" s="2" t="s">
        <v>487</v>
      </c>
      <c r="L151" s="2" t="s">
        <v>155</v>
      </c>
      <c r="M151" s="2" t="s">
        <v>375</v>
      </c>
      <c r="N151" s="2" t="s">
        <v>1349</v>
      </c>
      <c r="O151" s="2" t="s">
        <v>1466</v>
      </c>
      <c r="P151" s="2" t="s">
        <v>1340</v>
      </c>
      <c r="Q151" s="2" t="s">
        <v>206</v>
      </c>
      <c r="R151" s="2" t="s">
        <v>442</v>
      </c>
      <c r="S151" s="2" t="s">
        <v>34</v>
      </c>
      <c r="T151" s="151">
        <v>3.24</v>
      </c>
      <c r="U151" s="2" t="s">
        <v>1358</v>
      </c>
      <c r="V151" s="162">
        <v>5.5E-2</v>
      </c>
      <c r="W151" s="2" t="s">
        <v>790</v>
      </c>
      <c r="X151" s="2" t="s">
        <v>944</v>
      </c>
      <c r="Y151" s="151">
        <v>5.5</v>
      </c>
      <c r="Z151" s="164">
        <v>2.9000000000000001E-2</v>
      </c>
      <c r="AA151" s="2" t="s">
        <v>1364</v>
      </c>
      <c r="AB151" s="4" t="s">
        <v>447</v>
      </c>
      <c r="AC151" s="2" t="s">
        <v>519</v>
      </c>
      <c r="AD151" s="151">
        <v>5045</v>
      </c>
      <c r="AE151" s="164">
        <v>0.78</v>
      </c>
      <c r="AF151" s="2" t="s">
        <v>1365</v>
      </c>
      <c r="AG151" s="2" t="s">
        <v>155</v>
      </c>
      <c r="AI151" s="2" t="s">
        <v>1366</v>
      </c>
      <c r="AJ151" s="2" t="s">
        <v>375</v>
      </c>
      <c r="AK151" s="2" t="s">
        <v>927</v>
      </c>
      <c r="AL151" s="2" t="s">
        <v>1340</v>
      </c>
      <c r="AN151" s="2" t="s">
        <v>157</v>
      </c>
      <c r="AO151" s="2" t="s">
        <v>1365</v>
      </c>
      <c r="AP151" s="162">
        <v>0</v>
      </c>
      <c r="AQ151" s="151">
        <v>8963.6299999999992</v>
      </c>
      <c r="AR151" s="175">
        <v>126.93</v>
      </c>
      <c r="AS151" s="158">
        <v>1</v>
      </c>
      <c r="AT151" s="151">
        <v>11.378</v>
      </c>
      <c r="AU151" s="151">
        <v>11.378</v>
      </c>
      <c r="AX151" s="4" t="s">
        <v>155</v>
      </c>
      <c r="AY151" s="2" t="s">
        <v>36</v>
      </c>
      <c r="AZ151" s="164">
        <v>9.0295928750207706E-3</v>
      </c>
      <c r="BA151" s="164">
        <v>7.8106076812641006E-5</v>
      </c>
    </row>
    <row r="152" spans="1:53">
      <c r="A152" s="2">
        <v>424</v>
      </c>
      <c r="B152" s="2">
        <v>7229</v>
      </c>
      <c r="C152" s="2" t="s">
        <v>1349</v>
      </c>
      <c r="D152" s="2" t="s">
        <v>33</v>
      </c>
      <c r="E152" s="2" t="s">
        <v>1467</v>
      </c>
      <c r="F152" s="2" t="s">
        <v>1468</v>
      </c>
      <c r="G152" s="2" t="s">
        <v>1073</v>
      </c>
      <c r="I152" s="2" t="s">
        <v>30</v>
      </c>
      <c r="J152" s="2" t="s">
        <v>30</v>
      </c>
      <c r="K152" s="2" t="s">
        <v>487</v>
      </c>
      <c r="L152" s="2" t="s">
        <v>155</v>
      </c>
      <c r="M152" s="2" t="s">
        <v>375</v>
      </c>
      <c r="N152" s="151">
        <v>513326439</v>
      </c>
      <c r="O152" s="2" t="s">
        <v>1425</v>
      </c>
      <c r="P152" s="2" t="s">
        <v>1353</v>
      </c>
      <c r="Q152" s="2" t="s">
        <v>206</v>
      </c>
      <c r="R152" s="2" t="s">
        <v>442</v>
      </c>
      <c r="S152" s="2" t="s">
        <v>34</v>
      </c>
      <c r="T152" s="151">
        <v>3.19</v>
      </c>
      <c r="U152" s="2" t="s">
        <v>194</v>
      </c>
      <c r="V152" s="162">
        <v>5.5500000000000001E-2</v>
      </c>
      <c r="W152" s="2" t="s">
        <v>790</v>
      </c>
      <c r="X152" s="2" t="s">
        <v>1354</v>
      </c>
      <c r="Y152" s="151">
        <v>5.55</v>
      </c>
      <c r="Z152" s="164">
        <v>3.091E-2</v>
      </c>
      <c r="AA152" s="2" t="s">
        <v>1364</v>
      </c>
      <c r="AB152" s="4" t="s">
        <v>447</v>
      </c>
      <c r="AE152" s="164">
        <v>0</v>
      </c>
      <c r="AG152" s="2" t="s">
        <v>155</v>
      </c>
      <c r="AJ152" s="2" t="s">
        <v>155</v>
      </c>
      <c r="AK152" s="2" t="s">
        <v>194</v>
      </c>
      <c r="AN152" s="2" t="s">
        <v>157</v>
      </c>
      <c r="AP152" s="162">
        <v>0</v>
      </c>
      <c r="AQ152" s="151">
        <v>6609.3</v>
      </c>
      <c r="AR152" s="175">
        <v>130.13</v>
      </c>
      <c r="AS152" s="158">
        <v>1</v>
      </c>
      <c r="AT152" s="151">
        <v>8.6010000000000009</v>
      </c>
      <c r="AU152" s="151">
        <v>8.6010000000000009</v>
      </c>
      <c r="AX152" s="4" t="s">
        <v>155</v>
      </c>
      <c r="AY152" s="2" t="s">
        <v>36</v>
      </c>
      <c r="AZ152" s="164">
        <v>6.8257890575213996E-3</v>
      </c>
      <c r="BA152" s="164">
        <v>5.9043149764648102E-5</v>
      </c>
    </row>
    <row r="153" spans="1:53">
      <c r="A153" s="2">
        <v>424</v>
      </c>
      <c r="B153" s="2">
        <v>7229</v>
      </c>
      <c r="C153" s="2" t="s">
        <v>1349</v>
      </c>
      <c r="D153" s="2" t="s">
        <v>33</v>
      </c>
      <c r="E153" s="2" t="s">
        <v>1469</v>
      </c>
      <c r="F153" s="2" t="s">
        <v>1470</v>
      </c>
      <c r="G153" s="2" t="s">
        <v>1073</v>
      </c>
      <c r="I153" s="2" t="s">
        <v>30</v>
      </c>
      <c r="J153" s="2" t="s">
        <v>30</v>
      </c>
      <c r="K153" s="2" t="s">
        <v>487</v>
      </c>
      <c r="L153" s="2" t="s">
        <v>155</v>
      </c>
      <c r="M153" s="2" t="s">
        <v>375</v>
      </c>
      <c r="N153" s="2" t="s">
        <v>1349</v>
      </c>
      <c r="O153" s="2" t="s">
        <v>1471</v>
      </c>
      <c r="P153" s="2" t="s">
        <v>1340</v>
      </c>
      <c r="Q153" s="2" t="s">
        <v>206</v>
      </c>
      <c r="R153" s="2" t="s">
        <v>442</v>
      </c>
      <c r="S153" s="2" t="s">
        <v>34</v>
      </c>
      <c r="T153" s="151">
        <v>3.24</v>
      </c>
      <c r="U153" s="2" t="s">
        <v>1358</v>
      </c>
      <c r="V153" s="162">
        <v>5.5E-2</v>
      </c>
      <c r="W153" s="2" t="s">
        <v>790</v>
      </c>
      <c r="X153" s="2" t="s">
        <v>944</v>
      </c>
      <c r="Y153" s="151">
        <v>5.5</v>
      </c>
      <c r="Z153" s="164">
        <v>2.9000000000000001E-2</v>
      </c>
      <c r="AA153" s="2" t="s">
        <v>1355</v>
      </c>
      <c r="AB153" s="4" t="s">
        <v>447</v>
      </c>
      <c r="AC153" s="2" t="s">
        <v>519</v>
      </c>
      <c r="AD153" s="151">
        <v>936</v>
      </c>
      <c r="AE153" s="164">
        <v>0.78</v>
      </c>
      <c r="AF153" s="2" t="s">
        <v>1365</v>
      </c>
      <c r="AG153" s="2" t="s">
        <v>155</v>
      </c>
      <c r="AI153" s="2" t="s">
        <v>1366</v>
      </c>
      <c r="AJ153" s="2" t="s">
        <v>375</v>
      </c>
      <c r="AK153" s="2" t="s">
        <v>927</v>
      </c>
      <c r="AL153" s="2" t="s">
        <v>1340</v>
      </c>
      <c r="AN153" s="2" t="s">
        <v>157</v>
      </c>
      <c r="AO153" s="2" t="s">
        <v>1365</v>
      </c>
      <c r="AP153" s="162">
        <v>0</v>
      </c>
      <c r="AQ153" s="151">
        <v>2900.68</v>
      </c>
      <c r="AR153" s="175">
        <v>128.31</v>
      </c>
      <c r="AS153" s="158">
        <v>1</v>
      </c>
      <c r="AT153" s="151">
        <v>3.722</v>
      </c>
      <c r="AU153" s="151">
        <v>3.722</v>
      </c>
      <c r="AX153" s="4" t="s">
        <v>155</v>
      </c>
      <c r="AY153" s="2" t="s">
        <v>36</v>
      </c>
      <c r="AZ153" s="164">
        <v>2.9537946077839001E-3</v>
      </c>
      <c r="BA153" s="164">
        <v>2.55503555606103E-5</v>
      </c>
    </row>
    <row r="154" spans="1:53">
      <c r="A154" s="2">
        <v>424</v>
      </c>
      <c r="B154" s="2">
        <v>7229</v>
      </c>
      <c r="C154" s="2" t="s">
        <v>1349</v>
      </c>
      <c r="D154" s="2" t="s">
        <v>33</v>
      </c>
      <c r="E154" s="2" t="s">
        <v>1472</v>
      </c>
      <c r="F154" s="2" t="s">
        <v>1473</v>
      </c>
      <c r="G154" s="2" t="s">
        <v>1073</v>
      </c>
      <c r="I154" s="2" t="s">
        <v>30</v>
      </c>
      <c r="J154" s="2" t="s">
        <v>30</v>
      </c>
      <c r="K154" s="2" t="s">
        <v>487</v>
      </c>
      <c r="L154" s="2" t="s">
        <v>155</v>
      </c>
      <c r="M154" s="2" t="s">
        <v>375</v>
      </c>
      <c r="N154" s="2" t="s">
        <v>1349</v>
      </c>
      <c r="O154" s="2" t="s">
        <v>1474</v>
      </c>
      <c r="P154" s="2" t="s">
        <v>1340</v>
      </c>
      <c r="Q154" s="2" t="s">
        <v>206</v>
      </c>
      <c r="R154" s="2" t="s">
        <v>442</v>
      </c>
      <c r="S154" s="2" t="s">
        <v>34</v>
      </c>
      <c r="T154" s="151">
        <v>3.24</v>
      </c>
      <c r="U154" s="2" t="s">
        <v>1358</v>
      </c>
      <c r="V154" s="162">
        <v>5.5E-2</v>
      </c>
      <c r="W154" s="2" t="s">
        <v>790</v>
      </c>
      <c r="X154" s="2" t="s">
        <v>944</v>
      </c>
      <c r="Y154" s="151">
        <v>5.5</v>
      </c>
      <c r="Z154" s="164">
        <v>2.9100000000000001E-2</v>
      </c>
      <c r="AA154" s="2" t="s">
        <v>1355</v>
      </c>
      <c r="AB154" s="4" t="s">
        <v>447</v>
      </c>
      <c r="AC154" s="2" t="s">
        <v>519</v>
      </c>
      <c r="AD154" s="151">
        <v>1524</v>
      </c>
      <c r="AE154" s="164">
        <v>0.78</v>
      </c>
      <c r="AF154" s="2" t="s">
        <v>1365</v>
      </c>
      <c r="AG154" s="2" t="s">
        <v>155</v>
      </c>
      <c r="AI154" s="2" t="s">
        <v>1366</v>
      </c>
      <c r="AJ154" s="2" t="s">
        <v>375</v>
      </c>
      <c r="AK154" s="2" t="s">
        <v>927</v>
      </c>
      <c r="AL154" s="2" t="s">
        <v>1340</v>
      </c>
      <c r="AN154" s="2" t="s">
        <v>157</v>
      </c>
      <c r="AO154" s="2" t="s">
        <v>1365</v>
      </c>
      <c r="AP154" s="162">
        <v>0</v>
      </c>
      <c r="AQ154" s="151">
        <v>2707.84</v>
      </c>
      <c r="AR154" s="175">
        <v>128.63999999999999</v>
      </c>
      <c r="AS154" s="158">
        <v>1</v>
      </c>
      <c r="AT154" s="151">
        <v>3.4830000000000001</v>
      </c>
      <c r="AU154" s="151">
        <v>3.4830000000000001</v>
      </c>
      <c r="AX154" s="4" t="s">
        <v>155</v>
      </c>
      <c r="AY154" s="2" t="s">
        <v>36</v>
      </c>
      <c r="AZ154" s="164">
        <v>2.7645153044890299E-3</v>
      </c>
      <c r="BA154" s="164">
        <v>2.3913087523521901E-5</v>
      </c>
    </row>
    <row r="155" spans="1:53">
      <c r="A155" s="2">
        <v>424</v>
      </c>
      <c r="B155" s="2">
        <v>7229</v>
      </c>
      <c r="C155" s="2" t="s">
        <v>1349</v>
      </c>
      <c r="D155" s="2" t="s">
        <v>33</v>
      </c>
      <c r="E155" s="2" t="s">
        <v>1475</v>
      </c>
      <c r="F155" s="2" t="s">
        <v>1476</v>
      </c>
      <c r="G155" s="2" t="s">
        <v>1073</v>
      </c>
      <c r="I155" s="2" t="s">
        <v>30</v>
      </c>
      <c r="J155" s="2" t="s">
        <v>30</v>
      </c>
      <c r="K155" s="2" t="s">
        <v>487</v>
      </c>
      <c r="L155" s="2" t="s">
        <v>155</v>
      </c>
      <c r="M155" s="2" t="s">
        <v>375</v>
      </c>
      <c r="N155" s="151">
        <v>513326439</v>
      </c>
      <c r="O155" s="2" t="s">
        <v>1425</v>
      </c>
      <c r="P155" s="2" t="s">
        <v>1353</v>
      </c>
      <c r="Q155" s="2" t="s">
        <v>206</v>
      </c>
      <c r="R155" s="2" t="s">
        <v>442</v>
      </c>
      <c r="S155" s="2" t="s">
        <v>34</v>
      </c>
      <c r="T155" s="151">
        <v>3.24</v>
      </c>
      <c r="U155" s="2" t="s">
        <v>194</v>
      </c>
      <c r="V155" s="162">
        <v>5.5E-2</v>
      </c>
      <c r="W155" s="2" t="s">
        <v>790</v>
      </c>
      <c r="X155" s="2" t="s">
        <v>1354</v>
      </c>
      <c r="Y155" s="151">
        <v>5.5</v>
      </c>
      <c r="Z155" s="164">
        <v>2.9000000000000001E-2</v>
      </c>
      <c r="AA155" s="2" t="s">
        <v>1364</v>
      </c>
      <c r="AB155" s="4" t="s">
        <v>447</v>
      </c>
      <c r="AE155" s="164">
        <v>0</v>
      </c>
      <c r="AG155" s="2" t="s">
        <v>155</v>
      </c>
      <c r="AJ155" s="2" t="s">
        <v>155</v>
      </c>
      <c r="AK155" s="2" t="s">
        <v>194</v>
      </c>
      <c r="AN155" s="2" t="s">
        <v>157</v>
      </c>
      <c r="AP155" s="162">
        <v>0</v>
      </c>
      <c r="AQ155" s="151">
        <v>3466.49</v>
      </c>
      <c r="AR155" s="175">
        <v>127.23</v>
      </c>
      <c r="AS155" s="158">
        <v>1</v>
      </c>
      <c r="AT155" s="151">
        <v>4.41</v>
      </c>
      <c r="AU155" s="151">
        <v>4.41</v>
      </c>
      <c r="AX155" s="4" t="s">
        <v>155</v>
      </c>
      <c r="AY155" s="2" t="s">
        <v>36</v>
      </c>
      <c r="AZ155" s="164">
        <v>3.50025308232063E-3</v>
      </c>
      <c r="BA155" s="164">
        <v>3.0277227323030301E-5</v>
      </c>
    </row>
    <row r="156" spans="1:53">
      <c r="A156" s="2">
        <v>424</v>
      </c>
      <c r="B156" s="2">
        <v>7229</v>
      </c>
      <c r="C156" s="2" t="s">
        <v>1477</v>
      </c>
      <c r="D156" s="2" t="s">
        <v>33</v>
      </c>
      <c r="E156" s="2" t="s">
        <v>1478</v>
      </c>
      <c r="F156" s="2" t="s">
        <v>1479</v>
      </c>
      <c r="G156" s="2" t="s">
        <v>1073</v>
      </c>
      <c r="I156" s="2" t="s">
        <v>30</v>
      </c>
      <c r="J156" s="2" t="s">
        <v>30</v>
      </c>
      <c r="K156" s="2" t="s">
        <v>519</v>
      </c>
      <c r="L156" s="2" t="s">
        <v>155</v>
      </c>
      <c r="M156" s="2" t="s">
        <v>375</v>
      </c>
      <c r="N156" s="151">
        <v>513184192</v>
      </c>
      <c r="O156" s="2" t="s">
        <v>1480</v>
      </c>
      <c r="P156" s="2" t="s">
        <v>1353</v>
      </c>
      <c r="Q156" s="2" t="s">
        <v>206</v>
      </c>
      <c r="R156" s="2" t="s">
        <v>442</v>
      </c>
      <c r="S156" s="2" t="s">
        <v>34</v>
      </c>
      <c r="T156" s="151">
        <v>1.93</v>
      </c>
      <c r="U156" s="2" t="s">
        <v>1358</v>
      </c>
      <c r="V156" s="162">
        <v>2.562E-2</v>
      </c>
      <c r="W156" s="2" t="s">
        <v>790</v>
      </c>
      <c r="X156" s="2" t="s">
        <v>944</v>
      </c>
      <c r="Y156" s="151">
        <v>2.5619999999999998</v>
      </c>
      <c r="Z156" s="164">
        <v>2.7099999999999999E-2</v>
      </c>
      <c r="AA156" s="2" t="s">
        <v>1481</v>
      </c>
      <c r="AB156" s="4" t="s">
        <v>447</v>
      </c>
      <c r="AE156" s="164">
        <v>0</v>
      </c>
      <c r="AG156" s="2" t="s">
        <v>155</v>
      </c>
      <c r="AI156" s="2" t="s">
        <v>1482</v>
      </c>
      <c r="AJ156" s="2" t="s">
        <v>375</v>
      </c>
      <c r="AK156" s="2" t="s">
        <v>927</v>
      </c>
      <c r="AL156" s="2" t="s">
        <v>1340</v>
      </c>
      <c r="AN156" s="2" t="s">
        <v>157</v>
      </c>
      <c r="AP156" s="162">
        <v>0</v>
      </c>
      <c r="AQ156" s="151">
        <v>159154.12</v>
      </c>
      <c r="AR156" s="175">
        <v>115.53</v>
      </c>
      <c r="AS156" s="158">
        <v>1</v>
      </c>
      <c r="AT156" s="151">
        <v>183.87100000000001</v>
      </c>
      <c r="AU156" s="151">
        <v>183.87100000000001</v>
      </c>
      <c r="AX156" s="4" t="s">
        <v>155</v>
      </c>
      <c r="AY156" s="2" t="s">
        <v>36</v>
      </c>
      <c r="AZ156" s="164">
        <v>0.145925982756301</v>
      </c>
      <c r="BA156" s="164">
        <v>1.2622613417769999E-3</v>
      </c>
    </row>
    <row r="157" spans="1:53">
      <c r="A157" s="2">
        <v>424</v>
      </c>
      <c r="B157" s="2">
        <v>7229</v>
      </c>
      <c r="C157" s="2" t="s">
        <v>1492</v>
      </c>
      <c r="D157" s="2" t="s">
        <v>1342</v>
      </c>
      <c r="E157" s="2" t="s">
        <v>1493</v>
      </c>
      <c r="F157" s="2" t="s">
        <v>1494</v>
      </c>
      <c r="G157" s="2" t="s">
        <v>1073</v>
      </c>
      <c r="H157" s="2" t="s">
        <v>856</v>
      </c>
      <c r="I157" s="2" t="s">
        <v>30</v>
      </c>
      <c r="J157" s="2" t="s">
        <v>30</v>
      </c>
      <c r="K157" s="2" t="s">
        <v>497</v>
      </c>
      <c r="L157" s="2" t="s">
        <v>155</v>
      </c>
      <c r="M157" s="2" t="s">
        <v>375</v>
      </c>
      <c r="N157" s="2" t="s">
        <v>1333</v>
      </c>
      <c r="O157" s="2" t="s">
        <v>1336</v>
      </c>
      <c r="P157" s="2" t="s">
        <v>1340</v>
      </c>
      <c r="Q157" s="2" t="s">
        <v>206</v>
      </c>
      <c r="R157" s="2" t="s">
        <v>442</v>
      </c>
      <c r="S157" s="2" t="s">
        <v>34</v>
      </c>
      <c r="T157" s="151">
        <v>0.53</v>
      </c>
      <c r="U157" s="2" t="s">
        <v>1358</v>
      </c>
      <c r="V157" s="162">
        <v>4.2500000000000003E-2</v>
      </c>
      <c r="W157" s="2" t="s">
        <v>790</v>
      </c>
      <c r="X157" s="2" t="s">
        <v>939</v>
      </c>
      <c r="Y157" s="151">
        <v>4.25</v>
      </c>
      <c r="Z157" s="164">
        <v>7.6039999999999996E-2</v>
      </c>
      <c r="AA157" s="2" t="s">
        <v>1495</v>
      </c>
      <c r="AB157" s="4" t="s">
        <v>447</v>
      </c>
      <c r="AC157" s="2" t="s">
        <v>809</v>
      </c>
      <c r="AD157" s="151">
        <v>67322</v>
      </c>
      <c r="AE157" s="164">
        <v>0.72</v>
      </c>
      <c r="AF157" s="2" t="s">
        <v>1496</v>
      </c>
      <c r="AG157" s="2" t="s">
        <v>375</v>
      </c>
      <c r="AH157" s="2" t="s">
        <v>818</v>
      </c>
      <c r="AI157" s="2" t="s">
        <v>1339</v>
      </c>
      <c r="AJ157" s="2" t="s">
        <v>375</v>
      </c>
      <c r="AK157" s="2" t="s">
        <v>927</v>
      </c>
      <c r="AL157" s="2" t="s">
        <v>1340</v>
      </c>
      <c r="AN157" s="2" t="s">
        <v>157</v>
      </c>
      <c r="AO157" s="2" t="s">
        <v>1496</v>
      </c>
      <c r="AP157" s="162">
        <v>0</v>
      </c>
      <c r="AQ157" s="151">
        <v>325000</v>
      </c>
      <c r="AR157" s="175">
        <v>106.54</v>
      </c>
      <c r="AS157" s="158">
        <v>1</v>
      </c>
      <c r="AT157" s="151">
        <v>346.255</v>
      </c>
      <c r="AU157" s="151">
        <v>346.255</v>
      </c>
      <c r="AX157" s="4" t="s">
        <v>375</v>
      </c>
      <c r="AY157" s="2" t="s">
        <v>36</v>
      </c>
      <c r="AZ157" s="164">
        <v>0.274799552568053</v>
      </c>
      <c r="BA157" s="164">
        <v>2.3770191256724201E-3</v>
      </c>
    </row>
    <row r="158" spans="1:53">
      <c r="A158" s="2">
        <v>424</v>
      </c>
      <c r="B158" s="2">
        <v>7229</v>
      </c>
      <c r="C158" s="2" t="s">
        <v>1497</v>
      </c>
      <c r="D158" s="2" t="s">
        <v>1342</v>
      </c>
      <c r="E158" s="2" t="s">
        <v>1498</v>
      </c>
      <c r="F158" s="2" t="s">
        <v>1499</v>
      </c>
      <c r="G158" s="2" t="s">
        <v>1073</v>
      </c>
      <c r="I158" s="2" t="s">
        <v>30</v>
      </c>
      <c r="J158" s="2" t="s">
        <v>30</v>
      </c>
      <c r="K158" s="2" t="s">
        <v>474</v>
      </c>
      <c r="L158" s="2" t="s">
        <v>155</v>
      </c>
      <c r="M158" s="2" t="s">
        <v>375</v>
      </c>
      <c r="N158" s="151">
        <v>512065202</v>
      </c>
      <c r="O158" s="2" t="s">
        <v>1500</v>
      </c>
      <c r="P158" s="2" t="s">
        <v>1501</v>
      </c>
      <c r="Q158" s="2" t="s">
        <v>444</v>
      </c>
      <c r="R158" s="2" t="s">
        <v>442</v>
      </c>
      <c r="S158" s="2" t="s">
        <v>34</v>
      </c>
      <c r="T158" s="151">
        <v>3.08</v>
      </c>
      <c r="U158" s="2" t="s">
        <v>194</v>
      </c>
      <c r="V158" s="162">
        <v>7.2499999999999995E-2</v>
      </c>
      <c r="W158" s="2" t="s">
        <v>790</v>
      </c>
      <c r="X158" s="2" t="s">
        <v>944</v>
      </c>
      <c r="Y158" s="151">
        <v>7.25</v>
      </c>
      <c r="Z158" s="164">
        <v>0.11509999999999999</v>
      </c>
      <c r="AA158" s="2" t="s">
        <v>1502</v>
      </c>
      <c r="AB158" s="4" t="s">
        <v>447</v>
      </c>
      <c r="AE158" s="164">
        <v>0</v>
      </c>
      <c r="AG158" s="2" t="s">
        <v>375</v>
      </c>
      <c r="AI158" s="2" t="s">
        <v>1503</v>
      </c>
      <c r="AJ158" s="2" t="s">
        <v>375</v>
      </c>
      <c r="AK158" s="2" t="s">
        <v>927</v>
      </c>
      <c r="AL158" s="2" t="s">
        <v>1340</v>
      </c>
      <c r="AN158" s="2" t="s">
        <v>157</v>
      </c>
      <c r="AP158" s="162">
        <v>0</v>
      </c>
      <c r="AQ158" s="151">
        <v>73904</v>
      </c>
      <c r="AR158" s="175">
        <v>108.18</v>
      </c>
      <c r="AS158" s="158">
        <v>1</v>
      </c>
      <c r="AT158" s="151">
        <v>79.948999999999998</v>
      </c>
      <c r="AU158" s="151">
        <v>79.948999999999998</v>
      </c>
      <c r="AX158" s="4" t="s">
        <v>375</v>
      </c>
      <c r="AY158" s="2" t="s">
        <v>36</v>
      </c>
      <c r="AZ158" s="164">
        <v>6.3450476783491805E-2</v>
      </c>
      <c r="BA158" s="164">
        <v>5.4884731593601399E-4</v>
      </c>
    </row>
    <row r="159" spans="1:53">
      <c r="A159" s="2">
        <v>424</v>
      </c>
      <c r="B159" s="2">
        <v>7229</v>
      </c>
      <c r="C159" s="2" t="s">
        <v>1512</v>
      </c>
      <c r="D159" s="2" t="s">
        <v>1342</v>
      </c>
      <c r="E159" s="2" t="s">
        <v>1513</v>
      </c>
      <c r="F159" s="2" t="s">
        <v>1514</v>
      </c>
      <c r="G159" s="2" t="s">
        <v>1073</v>
      </c>
      <c r="I159" s="2" t="s">
        <v>30</v>
      </c>
      <c r="J159" s="2" t="s">
        <v>30</v>
      </c>
      <c r="K159" s="2" t="s">
        <v>473</v>
      </c>
      <c r="L159" s="2" t="s">
        <v>155</v>
      </c>
      <c r="M159" s="2" t="s">
        <v>375</v>
      </c>
      <c r="N159" s="151">
        <v>513846667</v>
      </c>
      <c r="O159" s="2" t="s">
        <v>1345</v>
      </c>
      <c r="P159" s="2" t="s">
        <v>1346</v>
      </c>
      <c r="Q159" s="2" t="s">
        <v>101</v>
      </c>
      <c r="R159" s="2" t="s">
        <v>442</v>
      </c>
      <c r="S159" s="2" t="s">
        <v>34</v>
      </c>
      <c r="T159" s="151">
        <v>5</v>
      </c>
      <c r="U159" s="2" t="s">
        <v>194</v>
      </c>
      <c r="V159" s="162">
        <v>3.5499999999999997E-2</v>
      </c>
      <c r="W159" s="2" t="s">
        <v>790</v>
      </c>
      <c r="X159" s="2" t="s">
        <v>944</v>
      </c>
      <c r="Y159" s="151">
        <v>3.55</v>
      </c>
      <c r="Z159" s="164">
        <v>2.9479999999999999E-2</v>
      </c>
      <c r="AA159" s="2" t="s">
        <v>1347</v>
      </c>
      <c r="AB159" s="4" t="s">
        <v>447</v>
      </c>
      <c r="AE159" s="164">
        <v>0</v>
      </c>
      <c r="AG159" s="2" t="s">
        <v>155</v>
      </c>
      <c r="AI159" s="2" t="s">
        <v>1348</v>
      </c>
      <c r="AJ159" s="2" t="s">
        <v>375</v>
      </c>
      <c r="AK159" s="2" t="s">
        <v>927</v>
      </c>
      <c r="AL159" s="2" t="s">
        <v>1340</v>
      </c>
      <c r="AN159" s="2" t="s">
        <v>157</v>
      </c>
      <c r="AP159" s="162">
        <v>0</v>
      </c>
      <c r="AQ159" s="151">
        <v>260106.43</v>
      </c>
      <c r="AR159" s="175">
        <v>110.31</v>
      </c>
      <c r="AS159" s="158">
        <v>1</v>
      </c>
      <c r="AT159" s="151">
        <v>286.923</v>
      </c>
      <c r="AU159" s="151">
        <v>286.923</v>
      </c>
      <c r="AX159" s="4" t="s">
        <v>155</v>
      </c>
      <c r="AY159" s="2" t="s">
        <v>36</v>
      </c>
      <c r="AZ159" s="164">
        <v>0.227712012093087</v>
      </c>
      <c r="BA159" s="164">
        <v>1.9697113871994798E-3</v>
      </c>
    </row>
    <row r="160" spans="1:53">
      <c r="A160" s="2">
        <v>969</v>
      </c>
      <c r="B160" s="2">
        <v>969</v>
      </c>
      <c r="C160" s="2" t="s">
        <v>1333</v>
      </c>
      <c r="D160" s="2" t="s">
        <v>33</v>
      </c>
      <c r="E160" s="2" t="s">
        <v>1334</v>
      </c>
      <c r="F160" s="2" t="s">
        <v>1335</v>
      </c>
      <c r="G160" s="2" t="s">
        <v>1073</v>
      </c>
      <c r="I160" s="2" t="s">
        <v>30</v>
      </c>
      <c r="J160" s="2" t="s">
        <v>30</v>
      </c>
      <c r="K160" s="2" t="s">
        <v>482</v>
      </c>
      <c r="L160" s="2" t="s">
        <v>155</v>
      </c>
      <c r="M160" s="2" t="s">
        <v>375</v>
      </c>
      <c r="N160" s="151">
        <v>514984558</v>
      </c>
      <c r="O160" s="2" t="s">
        <v>1336</v>
      </c>
      <c r="P160" s="2" t="s">
        <v>1337</v>
      </c>
      <c r="Q160" s="2" t="s">
        <v>101</v>
      </c>
      <c r="R160" s="2" t="s">
        <v>442</v>
      </c>
      <c r="S160" s="2" t="s">
        <v>34</v>
      </c>
      <c r="T160" s="151">
        <v>1.47</v>
      </c>
      <c r="U160" s="2" t="s">
        <v>194</v>
      </c>
      <c r="V160" s="162">
        <v>5.5E-2</v>
      </c>
      <c r="W160" s="2" t="s">
        <v>790</v>
      </c>
      <c r="X160" s="2" t="s">
        <v>944</v>
      </c>
      <c r="Y160" s="151">
        <v>5.5</v>
      </c>
      <c r="Z160" s="164">
        <v>0.24424999999999999</v>
      </c>
      <c r="AA160" s="2" t="s">
        <v>1338</v>
      </c>
      <c r="AB160" s="4" t="s">
        <v>447</v>
      </c>
      <c r="AE160" s="164">
        <v>0</v>
      </c>
      <c r="AG160" s="2" t="s">
        <v>375</v>
      </c>
      <c r="AH160" s="2" t="s">
        <v>818</v>
      </c>
      <c r="AI160" s="2" t="s">
        <v>1339</v>
      </c>
      <c r="AJ160" s="2" t="s">
        <v>375</v>
      </c>
      <c r="AK160" s="2" t="s">
        <v>927</v>
      </c>
      <c r="AL160" s="2" t="s">
        <v>1340</v>
      </c>
      <c r="AN160" s="2" t="s">
        <v>157</v>
      </c>
      <c r="AP160" s="162">
        <v>0</v>
      </c>
      <c r="AQ160" s="151">
        <v>12665</v>
      </c>
      <c r="AR160" s="175">
        <v>82.26</v>
      </c>
      <c r="AS160" s="158">
        <v>1</v>
      </c>
      <c r="AT160" s="151">
        <v>10.417999999999999</v>
      </c>
      <c r="AU160" s="151">
        <v>10.417999999999999</v>
      </c>
      <c r="AX160" s="4" t="s">
        <v>375</v>
      </c>
      <c r="AY160" s="2" t="s">
        <v>36</v>
      </c>
      <c r="AZ160" s="164">
        <v>1.1429202595803999E-2</v>
      </c>
      <c r="BA160" s="164">
        <v>1.3770297625073199E-4</v>
      </c>
    </row>
    <row r="161" spans="1:53">
      <c r="A161" s="2">
        <v>969</v>
      </c>
      <c r="B161" s="2">
        <v>969</v>
      </c>
      <c r="C161" s="2" t="s">
        <v>1341</v>
      </c>
      <c r="D161" s="2" t="s">
        <v>1342</v>
      </c>
      <c r="E161" s="2" t="s">
        <v>1343</v>
      </c>
      <c r="F161" s="2" t="s">
        <v>1344</v>
      </c>
      <c r="G161" s="2" t="s">
        <v>1073</v>
      </c>
      <c r="I161" s="2" t="s">
        <v>30</v>
      </c>
      <c r="J161" s="2" t="s">
        <v>30</v>
      </c>
      <c r="K161" s="2" t="s">
        <v>473</v>
      </c>
      <c r="L161" s="2" t="s">
        <v>155</v>
      </c>
      <c r="M161" s="2" t="s">
        <v>375</v>
      </c>
      <c r="N161" s="151">
        <v>513846667</v>
      </c>
      <c r="O161" s="2" t="s">
        <v>1345</v>
      </c>
      <c r="P161" s="2" t="s">
        <v>1346</v>
      </c>
      <c r="Q161" s="2" t="s">
        <v>101</v>
      </c>
      <c r="R161" s="2" t="s">
        <v>442</v>
      </c>
      <c r="S161" s="2" t="s">
        <v>34</v>
      </c>
      <c r="T161" s="151">
        <v>4.6500000000000004</v>
      </c>
      <c r="U161" s="2" t="s">
        <v>194</v>
      </c>
      <c r="V161" s="162">
        <v>3.5499999999999997E-2</v>
      </c>
      <c r="W161" s="2" t="s">
        <v>790</v>
      </c>
      <c r="X161" s="2" t="s">
        <v>944</v>
      </c>
      <c r="Y161" s="151">
        <v>3.55</v>
      </c>
      <c r="Z161" s="164">
        <v>5.8930000000000003E-2</v>
      </c>
      <c r="AA161" s="2" t="s">
        <v>1347</v>
      </c>
      <c r="AB161" s="4" t="s">
        <v>447</v>
      </c>
      <c r="AE161" s="164">
        <v>0</v>
      </c>
      <c r="AG161" s="2" t="s">
        <v>155</v>
      </c>
      <c r="AI161" s="2" t="s">
        <v>1348</v>
      </c>
      <c r="AJ161" s="2" t="s">
        <v>375</v>
      </c>
      <c r="AK161" s="2" t="s">
        <v>927</v>
      </c>
      <c r="AL161" s="2" t="s">
        <v>1340</v>
      </c>
      <c r="AN161" s="2" t="s">
        <v>157</v>
      </c>
      <c r="AP161" s="162">
        <v>0</v>
      </c>
      <c r="AQ161" s="151">
        <v>77899.509999999995</v>
      </c>
      <c r="AR161" s="175">
        <v>110.14</v>
      </c>
      <c r="AS161" s="158">
        <v>1</v>
      </c>
      <c r="AT161" s="151">
        <v>85.799000000000007</v>
      </c>
      <c r="AU161" s="151">
        <v>85.799000000000007</v>
      </c>
      <c r="AX161" s="4" t="s">
        <v>155</v>
      </c>
      <c r="AY161" s="2" t="s">
        <v>36</v>
      </c>
      <c r="AZ161" s="164">
        <v>9.4124315283232299E-2</v>
      </c>
      <c r="BA161" s="164">
        <v>1.1340422259048699E-3</v>
      </c>
    </row>
    <row r="162" spans="1:53">
      <c r="A162" s="2">
        <v>969</v>
      </c>
      <c r="B162" s="2">
        <v>969</v>
      </c>
      <c r="C162" s="2" t="s">
        <v>1349</v>
      </c>
      <c r="D162" s="2" t="s">
        <v>33</v>
      </c>
      <c r="E162" s="2" t="s">
        <v>1350</v>
      </c>
      <c r="F162" s="2" t="s">
        <v>1351</v>
      </c>
      <c r="G162" s="2" t="s">
        <v>1073</v>
      </c>
      <c r="I162" s="2" t="s">
        <v>30</v>
      </c>
      <c r="J162" s="2" t="s">
        <v>30</v>
      </c>
      <c r="K162" s="2" t="s">
        <v>487</v>
      </c>
      <c r="L162" s="2" t="s">
        <v>155</v>
      </c>
      <c r="M162" s="2" t="s">
        <v>375</v>
      </c>
      <c r="N162" s="151">
        <v>513326439</v>
      </c>
      <c r="O162" s="2" t="s">
        <v>1352</v>
      </c>
      <c r="P162" s="2" t="s">
        <v>1353</v>
      </c>
      <c r="Q162" s="2" t="s">
        <v>206</v>
      </c>
      <c r="R162" s="2" t="s">
        <v>442</v>
      </c>
      <c r="S162" s="2" t="s">
        <v>34</v>
      </c>
      <c r="T162" s="151">
        <v>3.22</v>
      </c>
      <c r="U162" s="2" t="s">
        <v>194</v>
      </c>
      <c r="V162" s="162">
        <v>5.5E-2</v>
      </c>
      <c r="W162" s="2" t="s">
        <v>790</v>
      </c>
      <c r="X162" s="2" t="s">
        <v>1354</v>
      </c>
      <c r="Y162" s="151">
        <v>5.5</v>
      </c>
      <c r="Z162" s="164">
        <v>3.2800000000000003E-2</v>
      </c>
      <c r="AA162" s="2" t="s">
        <v>1355</v>
      </c>
      <c r="AB162" s="4" t="s">
        <v>447</v>
      </c>
      <c r="AE162" s="164">
        <v>0</v>
      </c>
      <c r="AG162" s="2" t="s">
        <v>155</v>
      </c>
      <c r="AJ162" s="2" t="s">
        <v>155</v>
      </c>
      <c r="AK162" s="2" t="s">
        <v>194</v>
      </c>
      <c r="AN162" s="2" t="s">
        <v>157</v>
      </c>
      <c r="AP162" s="162">
        <v>0</v>
      </c>
      <c r="AQ162" s="151">
        <v>2985.06</v>
      </c>
      <c r="AR162" s="175">
        <v>124.32</v>
      </c>
      <c r="AS162" s="158">
        <v>1</v>
      </c>
      <c r="AT162" s="151">
        <v>3.7109999999999999</v>
      </c>
      <c r="AU162" s="151">
        <v>3.7109999999999999</v>
      </c>
      <c r="AX162" s="4" t="s">
        <v>155</v>
      </c>
      <c r="AY162" s="2" t="s">
        <v>36</v>
      </c>
      <c r="AZ162" s="164">
        <v>4.0711405708575002E-3</v>
      </c>
      <c r="BA162" s="164">
        <v>4.9050506248615998E-5</v>
      </c>
    </row>
    <row r="163" spans="1:53">
      <c r="A163" s="2">
        <v>969</v>
      </c>
      <c r="B163" s="2">
        <v>969</v>
      </c>
      <c r="C163" s="2" t="s">
        <v>1349</v>
      </c>
      <c r="D163" s="2" t="s">
        <v>33</v>
      </c>
      <c r="E163" s="2" t="s">
        <v>1356</v>
      </c>
      <c r="F163" s="2" t="s">
        <v>1357</v>
      </c>
      <c r="G163" s="2" t="s">
        <v>1073</v>
      </c>
      <c r="I163" s="2" t="s">
        <v>30</v>
      </c>
      <c r="J163" s="2" t="s">
        <v>30</v>
      </c>
      <c r="K163" s="2" t="s">
        <v>487</v>
      </c>
      <c r="L163" s="2" t="s">
        <v>155</v>
      </c>
      <c r="M163" s="2" t="s">
        <v>375</v>
      </c>
      <c r="N163" s="151">
        <v>513326439</v>
      </c>
      <c r="O163" s="2" t="s">
        <v>1352</v>
      </c>
      <c r="P163" s="2" t="s">
        <v>1353</v>
      </c>
      <c r="Q163" s="2" t="s">
        <v>206</v>
      </c>
      <c r="R163" s="2" t="s">
        <v>442</v>
      </c>
      <c r="S163" s="2" t="s">
        <v>34</v>
      </c>
      <c r="T163" s="151">
        <v>3.24</v>
      </c>
      <c r="U163" s="2" t="s">
        <v>1358</v>
      </c>
      <c r="V163" s="162">
        <v>5.5E-2</v>
      </c>
      <c r="W163" s="2" t="s">
        <v>790</v>
      </c>
      <c r="X163" s="2" t="s">
        <v>1354</v>
      </c>
      <c r="Y163" s="151">
        <v>5.5</v>
      </c>
      <c r="Z163" s="164">
        <v>2.9000000000000001E-2</v>
      </c>
      <c r="AA163" s="2" t="s">
        <v>1355</v>
      </c>
      <c r="AB163" s="4" t="s">
        <v>447</v>
      </c>
      <c r="AE163" s="164">
        <v>0</v>
      </c>
      <c r="AG163" s="2" t="s">
        <v>155</v>
      </c>
      <c r="AJ163" s="2" t="s">
        <v>155</v>
      </c>
      <c r="AK163" s="2" t="s">
        <v>194</v>
      </c>
      <c r="AN163" s="2" t="s">
        <v>157</v>
      </c>
      <c r="AP163" s="162">
        <v>0</v>
      </c>
      <c r="AQ163" s="151">
        <v>4300.01</v>
      </c>
      <c r="AR163" s="175">
        <v>128.31</v>
      </c>
      <c r="AS163" s="158">
        <v>1</v>
      </c>
      <c r="AT163" s="151">
        <v>5.5170000000000003</v>
      </c>
      <c r="AU163" s="151">
        <v>5.5170000000000003</v>
      </c>
      <c r="AX163" s="4" t="s">
        <v>155</v>
      </c>
      <c r="AY163" s="2" t="s">
        <v>36</v>
      </c>
      <c r="AZ163" s="164">
        <v>6.0527397704548402E-3</v>
      </c>
      <c r="BA163" s="164">
        <v>7.2925497109378303E-5</v>
      </c>
    </row>
    <row r="164" spans="1:53">
      <c r="A164" s="2">
        <v>969</v>
      </c>
      <c r="B164" s="2">
        <v>969</v>
      </c>
      <c r="C164" s="2" t="s">
        <v>1349</v>
      </c>
      <c r="D164" s="2" t="s">
        <v>33</v>
      </c>
      <c r="E164" s="2" t="s">
        <v>1359</v>
      </c>
      <c r="F164" s="2" t="s">
        <v>1360</v>
      </c>
      <c r="G164" s="2" t="s">
        <v>1073</v>
      </c>
      <c r="I164" s="2" t="s">
        <v>30</v>
      </c>
      <c r="J164" s="2" t="s">
        <v>30</v>
      </c>
      <c r="K164" s="2" t="s">
        <v>487</v>
      </c>
      <c r="L164" s="2" t="s">
        <v>155</v>
      </c>
      <c r="M164" s="2" t="s">
        <v>375</v>
      </c>
      <c r="N164" s="151">
        <v>513326439</v>
      </c>
      <c r="O164" s="2" t="s">
        <v>1352</v>
      </c>
      <c r="P164" s="2" t="s">
        <v>1353</v>
      </c>
      <c r="Q164" s="2" t="s">
        <v>206</v>
      </c>
      <c r="R164" s="2" t="s">
        <v>442</v>
      </c>
      <c r="S164" s="2" t="s">
        <v>34</v>
      </c>
      <c r="T164" s="151">
        <v>3.22</v>
      </c>
      <c r="U164" s="2" t="s">
        <v>1358</v>
      </c>
      <c r="V164" s="162">
        <v>5.5E-2</v>
      </c>
      <c r="W164" s="2" t="s">
        <v>790</v>
      </c>
      <c r="X164" s="2" t="s">
        <v>1354</v>
      </c>
      <c r="Y164" s="151">
        <v>5.5</v>
      </c>
      <c r="Z164" s="164">
        <v>3.2800000000000003E-2</v>
      </c>
      <c r="AA164" s="2" t="s">
        <v>1355</v>
      </c>
      <c r="AB164" s="4" t="s">
        <v>447</v>
      </c>
      <c r="AE164" s="164">
        <v>0</v>
      </c>
      <c r="AG164" s="2" t="s">
        <v>155</v>
      </c>
      <c r="AJ164" s="2" t="s">
        <v>155</v>
      </c>
      <c r="AK164" s="2" t="s">
        <v>194</v>
      </c>
      <c r="AN164" s="2" t="s">
        <v>157</v>
      </c>
      <c r="AP164" s="162">
        <v>0</v>
      </c>
      <c r="AQ164" s="151">
        <v>473.78</v>
      </c>
      <c r="AR164" s="175">
        <v>128.31</v>
      </c>
      <c r="AS164" s="158">
        <v>1</v>
      </c>
      <c r="AT164" s="151">
        <v>0.60799999999999998</v>
      </c>
      <c r="AU164" s="151">
        <v>0.60799999999999998</v>
      </c>
      <c r="AX164" s="4" t="s">
        <v>155</v>
      </c>
      <c r="AY164" s="2" t="s">
        <v>36</v>
      </c>
      <c r="AZ164" s="164">
        <v>6.6689776266708601E-4</v>
      </c>
      <c r="BA164" s="164">
        <v>8.0350143419390304E-6</v>
      </c>
    </row>
    <row r="165" spans="1:53">
      <c r="A165" s="2">
        <v>969</v>
      </c>
      <c r="B165" s="2">
        <v>969</v>
      </c>
      <c r="C165" s="2" t="s">
        <v>1349</v>
      </c>
      <c r="D165" s="2" t="s">
        <v>33</v>
      </c>
      <c r="E165" s="2" t="s">
        <v>1361</v>
      </c>
      <c r="F165" s="2" t="s">
        <v>1362</v>
      </c>
      <c r="G165" s="2" t="s">
        <v>1073</v>
      </c>
      <c r="I165" s="2" t="s">
        <v>30</v>
      </c>
      <c r="J165" s="2" t="s">
        <v>30</v>
      </c>
      <c r="K165" s="2" t="s">
        <v>487</v>
      </c>
      <c r="L165" s="2" t="s">
        <v>155</v>
      </c>
      <c r="M165" s="2" t="s">
        <v>375</v>
      </c>
      <c r="N165" s="2" t="s">
        <v>1349</v>
      </c>
      <c r="O165" s="2" t="s">
        <v>1363</v>
      </c>
      <c r="P165" s="2" t="s">
        <v>1340</v>
      </c>
      <c r="Q165" s="2" t="s">
        <v>101</v>
      </c>
      <c r="R165" s="2" t="s">
        <v>442</v>
      </c>
      <c r="S165" s="2" t="s">
        <v>34</v>
      </c>
      <c r="T165" s="151">
        <v>3.09</v>
      </c>
      <c r="U165" s="2" t="s">
        <v>194</v>
      </c>
      <c r="V165" s="162">
        <v>5.5300000000000002E-2</v>
      </c>
      <c r="W165" s="2" t="s">
        <v>790</v>
      </c>
      <c r="X165" s="2" t="s">
        <v>944</v>
      </c>
      <c r="Y165" s="151">
        <v>5.53</v>
      </c>
      <c r="Z165" s="164">
        <v>2.818E-2</v>
      </c>
      <c r="AA165" s="2" t="s">
        <v>1364</v>
      </c>
      <c r="AB165" s="4" t="s">
        <v>447</v>
      </c>
      <c r="AC165" s="2" t="s">
        <v>519</v>
      </c>
      <c r="AD165" s="151">
        <v>4791</v>
      </c>
      <c r="AE165" s="164">
        <v>0.78</v>
      </c>
      <c r="AF165" s="2" t="s">
        <v>1365</v>
      </c>
      <c r="AG165" s="2" t="s">
        <v>155</v>
      </c>
      <c r="AI165" s="2" t="s">
        <v>1366</v>
      </c>
      <c r="AJ165" s="2" t="s">
        <v>375</v>
      </c>
      <c r="AK165" s="2" t="s">
        <v>927</v>
      </c>
      <c r="AL165" s="2" t="s">
        <v>1340</v>
      </c>
      <c r="AN165" s="2" t="s">
        <v>157</v>
      </c>
      <c r="AO165" s="2" t="s">
        <v>1365</v>
      </c>
      <c r="AP165" s="162">
        <v>0</v>
      </c>
      <c r="AQ165" s="151">
        <v>5921</v>
      </c>
      <c r="AR165" s="175">
        <v>129.91999999999999</v>
      </c>
      <c r="AS165" s="158">
        <v>1</v>
      </c>
      <c r="AT165" s="151">
        <v>7.6929999999999996</v>
      </c>
      <c r="AU165" s="151">
        <v>7.6929999999999996</v>
      </c>
      <c r="AX165" s="4" t="s">
        <v>155</v>
      </c>
      <c r="AY165" s="2" t="s">
        <v>36</v>
      </c>
      <c r="AZ165" s="164">
        <v>8.4390411550587501E-3</v>
      </c>
      <c r="BA165" s="164">
        <v>1.01676479528033E-4</v>
      </c>
    </row>
    <row r="166" spans="1:53">
      <c r="A166" s="2">
        <v>969</v>
      </c>
      <c r="B166" s="2">
        <v>969</v>
      </c>
      <c r="C166" s="2" t="s">
        <v>1349</v>
      </c>
      <c r="D166" s="2" t="s">
        <v>33</v>
      </c>
      <c r="E166" s="2" t="s">
        <v>1367</v>
      </c>
      <c r="F166" s="2" t="s">
        <v>1368</v>
      </c>
      <c r="G166" s="2" t="s">
        <v>1073</v>
      </c>
      <c r="I166" s="2" t="s">
        <v>30</v>
      </c>
      <c r="J166" s="2" t="s">
        <v>30</v>
      </c>
      <c r="K166" s="2" t="s">
        <v>487</v>
      </c>
      <c r="L166" s="2" t="s">
        <v>155</v>
      </c>
      <c r="M166" s="2" t="s">
        <v>375</v>
      </c>
      <c r="N166" s="2" t="s">
        <v>1349</v>
      </c>
      <c r="O166" s="2" t="s">
        <v>1369</v>
      </c>
      <c r="P166" s="2" t="s">
        <v>1340</v>
      </c>
      <c r="Q166" s="2" t="s">
        <v>101</v>
      </c>
      <c r="R166" s="2" t="s">
        <v>442</v>
      </c>
      <c r="S166" s="2" t="s">
        <v>34</v>
      </c>
      <c r="T166" s="151">
        <v>3.09</v>
      </c>
      <c r="U166" s="2" t="s">
        <v>194</v>
      </c>
      <c r="V166" s="162">
        <v>5.5301000000000003E-2</v>
      </c>
      <c r="W166" s="2" t="s">
        <v>790</v>
      </c>
      <c r="X166" s="2" t="s">
        <v>944</v>
      </c>
      <c r="Y166" s="151">
        <v>5.5301</v>
      </c>
      <c r="Z166" s="164">
        <v>2.818E-2</v>
      </c>
      <c r="AA166" s="2" t="s">
        <v>1364</v>
      </c>
      <c r="AB166" s="4" t="s">
        <v>447</v>
      </c>
      <c r="AC166" s="2" t="s">
        <v>519</v>
      </c>
      <c r="AD166" s="151">
        <v>4596</v>
      </c>
      <c r="AE166" s="164">
        <v>0.78</v>
      </c>
      <c r="AF166" s="2" t="s">
        <v>1365</v>
      </c>
      <c r="AG166" s="2" t="s">
        <v>155</v>
      </c>
      <c r="AI166" s="2" t="s">
        <v>1366</v>
      </c>
      <c r="AJ166" s="2" t="s">
        <v>375</v>
      </c>
      <c r="AK166" s="2" t="s">
        <v>927</v>
      </c>
      <c r="AL166" s="2" t="s">
        <v>1340</v>
      </c>
      <c r="AN166" s="2" t="s">
        <v>157</v>
      </c>
      <c r="AO166" s="2" t="s">
        <v>1365</v>
      </c>
      <c r="AP166" s="162">
        <v>0</v>
      </c>
      <c r="AQ166" s="151">
        <v>5680.66</v>
      </c>
      <c r="AR166" s="175">
        <v>129.91999999999999</v>
      </c>
      <c r="AS166" s="158">
        <v>1</v>
      </c>
      <c r="AT166" s="151">
        <v>7.38</v>
      </c>
      <c r="AU166" s="151">
        <v>7.38</v>
      </c>
      <c r="AX166" s="4" t="s">
        <v>155</v>
      </c>
      <c r="AY166" s="2" t="s">
        <v>36</v>
      </c>
      <c r="AZ166" s="164">
        <v>8.0964910535207008E-3</v>
      </c>
      <c r="BA166" s="164">
        <v>9.7549317715878194E-5</v>
      </c>
    </row>
    <row r="167" spans="1:53">
      <c r="A167" s="2">
        <v>969</v>
      </c>
      <c r="B167" s="2">
        <v>969</v>
      </c>
      <c r="C167" s="2" t="s">
        <v>1349</v>
      </c>
      <c r="D167" s="2" t="s">
        <v>33</v>
      </c>
      <c r="E167" s="2" t="s">
        <v>1370</v>
      </c>
      <c r="F167" s="2" t="s">
        <v>1371</v>
      </c>
      <c r="G167" s="2" t="s">
        <v>1073</v>
      </c>
      <c r="I167" s="2" t="s">
        <v>30</v>
      </c>
      <c r="J167" s="2" t="s">
        <v>30</v>
      </c>
      <c r="K167" s="2" t="s">
        <v>487</v>
      </c>
      <c r="L167" s="2" t="s">
        <v>155</v>
      </c>
      <c r="M167" s="2" t="s">
        <v>375</v>
      </c>
      <c r="N167" s="2" t="s">
        <v>1349</v>
      </c>
      <c r="O167" s="2" t="s">
        <v>1372</v>
      </c>
      <c r="P167" s="2" t="s">
        <v>1340</v>
      </c>
      <c r="Q167" s="2" t="s">
        <v>101</v>
      </c>
      <c r="R167" s="2" t="s">
        <v>442</v>
      </c>
      <c r="S167" s="2" t="s">
        <v>34</v>
      </c>
      <c r="T167" s="151">
        <v>3.09</v>
      </c>
      <c r="U167" s="2" t="s">
        <v>194</v>
      </c>
      <c r="V167" s="162">
        <v>5.5300000000000002E-2</v>
      </c>
      <c r="W167" s="2" t="s">
        <v>790</v>
      </c>
      <c r="X167" s="2" t="s">
        <v>944</v>
      </c>
      <c r="Y167" s="151">
        <v>5.53</v>
      </c>
      <c r="Z167" s="164">
        <v>2.8139999999999998E-2</v>
      </c>
      <c r="AA167" s="2" t="s">
        <v>1364</v>
      </c>
      <c r="AB167" s="4" t="s">
        <v>447</v>
      </c>
      <c r="AC167" s="2" t="s">
        <v>519</v>
      </c>
      <c r="AD167" s="151">
        <v>4622</v>
      </c>
      <c r="AE167" s="164">
        <v>0.78</v>
      </c>
      <c r="AF167" s="2" t="s">
        <v>1365</v>
      </c>
      <c r="AG167" s="2" t="s">
        <v>155</v>
      </c>
      <c r="AI167" s="2" t="s">
        <v>1366</v>
      </c>
      <c r="AJ167" s="2" t="s">
        <v>375</v>
      </c>
      <c r="AK167" s="2" t="s">
        <v>927</v>
      </c>
      <c r="AL167" s="2" t="s">
        <v>1340</v>
      </c>
      <c r="AN167" s="2" t="s">
        <v>157</v>
      </c>
      <c r="AO167" s="2" t="s">
        <v>1365</v>
      </c>
      <c r="AP167" s="162">
        <v>0</v>
      </c>
      <c r="AQ167" s="151">
        <v>5713.08</v>
      </c>
      <c r="AR167" s="175">
        <v>128.31</v>
      </c>
      <c r="AS167" s="158">
        <v>1</v>
      </c>
      <c r="AT167" s="151">
        <v>7.33</v>
      </c>
      <c r="AU167" s="151">
        <v>7.33</v>
      </c>
      <c r="AX167" s="4" t="s">
        <v>155</v>
      </c>
      <c r="AY167" s="2" t="s">
        <v>36</v>
      </c>
      <c r="AZ167" s="164">
        <v>8.0417921185741807E-3</v>
      </c>
      <c r="BA167" s="164">
        <v>9.6890286075066606E-5</v>
      </c>
    </row>
    <row r="168" spans="1:53">
      <c r="A168" s="2">
        <v>969</v>
      </c>
      <c r="B168" s="2">
        <v>969</v>
      </c>
      <c r="C168" s="2" t="s">
        <v>1349</v>
      </c>
      <c r="D168" s="2" t="s">
        <v>33</v>
      </c>
      <c r="E168" s="2" t="s">
        <v>1373</v>
      </c>
      <c r="F168" s="2" t="s">
        <v>1374</v>
      </c>
      <c r="G168" s="2" t="s">
        <v>1073</v>
      </c>
      <c r="I168" s="2" t="s">
        <v>30</v>
      </c>
      <c r="J168" s="2" t="s">
        <v>30</v>
      </c>
      <c r="K168" s="2" t="s">
        <v>487</v>
      </c>
      <c r="L168" s="2" t="s">
        <v>155</v>
      </c>
      <c r="M168" s="2" t="s">
        <v>375</v>
      </c>
      <c r="N168" s="2" t="s">
        <v>1349</v>
      </c>
      <c r="O168" s="2" t="s">
        <v>1375</v>
      </c>
      <c r="P168" s="2" t="s">
        <v>1340</v>
      </c>
      <c r="Q168" s="2" t="s">
        <v>101</v>
      </c>
      <c r="R168" s="2" t="s">
        <v>442</v>
      </c>
      <c r="S168" s="2" t="s">
        <v>34</v>
      </c>
      <c r="T168" s="151">
        <v>3.24</v>
      </c>
      <c r="U168" s="2" t="s">
        <v>194</v>
      </c>
      <c r="V168" s="162">
        <v>5.5E-2</v>
      </c>
      <c r="W168" s="2" t="s">
        <v>790</v>
      </c>
      <c r="X168" s="2" t="s">
        <v>1354</v>
      </c>
      <c r="Y168" s="151">
        <v>5.5</v>
      </c>
      <c r="Z168" s="164">
        <v>2.9000000000000001E-2</v>
      </c>
      <c r="AA168" s="2" t="s">
        <v>1364</v>
      </c>
      <c r="AB168" s="4" t="s">
        <v>447</v>
      </c>
      <c r="AC168" s="2" t="s">
        <v>519</v>
      </c>
      <c r="AD168" s="151">
        <v>3155</v>
      </c>
      <c r="AE168" s="164">
        <v>0.78</v>
      </c>
      <c r="AF168" s="2" t="s">
        <v>1365</v>
      </c>
      <c r="AG168" s="2" t="s">
        <v>155</v>
      </c>
      <c r="AI168" s="2" t="s">
        <v>1366</v>
      </c>
      <c r="AJ168" s="2" t="s">
        <v>375</v>
      </c>
      <c r="AK168" s="2" t="s">
        <v>194</v>
      </c>
      <c r="AN168" s="2" t="s">
        <v>157</v>
      </c>
      <c r="AO168" s="2" t="s">
        <v>1365</v>
      </c>
      <c r="AP168" s="162">
        <v>0</v>
      </c>
      <c r="AQ168" s="151">
        <v>1804.13</v>
      </c>
      <c r="AR168" s="175">
        <v>127.8</v>
      </c>
      <c r="AS168" s="158">
        <v>1</v>
      </c>
      <c r="AT168" s="151">
        <v>2.306</v>
      </c>
      <c r="AU168" s="151">
        <v>2.306</v>
      </c>
      <c r="AX168" s="4" t="s">
        <v>155</v>
      </c>
      <c r="AY168" s="2" t="s">
        <v>36</v>
      </c>
      <c r="AZ168" s="164">
        <v>2.52941863562191E-3</v>
      </c>
      <c r="BA168" s="164">
        <v>3.0475308438147499E-5</v>
      </c>
    </row>
    <row r="169" spans="1:53">
      <c r="A169" s="2">
        <v>969</v>
      </c>
      <c r="B169" s="2">
        <v>969</v>
      </c>
      <c r="C169" s="2" t="s">
        <v>1349</v>
      </c>
      <c r="D169" s="2" t="s">
        <v>33</v>
      </c>
      <c r="E169" s="2" t="s">
        <v>1376</v>
      </c>
      <c r="F169" s="2" t="s">
        <v>1377</v>
      </c>
      <c r="G169" s="2" t="s">
        <v>1073</v>
      </c>
      <c r="I169" s="2" t="s">
        <v>30</v>
      </c>
      <c r="J169" s="2" t="s">
        <v>30</v>
      </c>
      <c r="K169" s="2" t="s">
        <v>487</v>
      </c>
      <c r="L169" s="2" t="s">
        <v>155</v>
      </c>
      <c r="M169" s="2" t="s">
        <v>375</v>
      </c>
      <c r="N169" s="2" t="s">
        <v>1349</v>
      </c>
      <c r="O169" s="2" t="s">
        <v>1378</v>
      </c>
      <c r="P169" s="2" t="s">
        <v>1340</v>
      </c>
      <c r="Q169" s="2" t="s">
        <v>101</v>
      </c>
      <c r="R169" s="2" t="s">
        <v>442</v>
      </c>
      <c r="S169" s="2" t="s">
        <v>34</v>
      </c>
      <c r="T169" s="151">
        <v>3.08</v>
      </c>
      <c r="U169" s="2" t="s">
        <v>1358</v>
      </c>
      <c r="V169" s="162">
        <v>5.6132000000000001E-2</v>
      </c>
      <c r="W169" s="2" t="s">
        <v>790</v>
      </c>
      <c r="X169" s="2" t="s">
        <v>944</v>
      </c>
      <c r="Y169" s="151">
        <v>5.6132</v>
      </c>
      <c r="Z169" s="164">
        <v>2.7990000000000001E-2</v>
      </c>
      <c r="AA169" s="2" t="s">
        <v>1364</v>
      </c>
      <c r="AB169" s="4" t="s">
        <v>447</v>
      </c>
      <c r="AC169" s="2" t="s">
        <v>519</v>
      </c>
      <c r="AD169" s="151">
        <v>465</v>
      </c>
      <c r="AE169" s="164">
        <v>0.78</v>
      </c>
      <c r="AF169" s="2" t="s">
        <v>1365</v>
      </c>
      <c r="AG169" s="2" t="s">
        <v>155</v>
      </c>
      <c r="AI169" s="2" t="s">
        <v>1366</v>
      </c>
      <c r="AJ169" s="2" t="s">
        <v>375</v>
      </c>
      <c r="AK169" s="2" t="s">
        <v>927</v>
      </c>
      <c r="AL169" s="2" t="s">
        <v>1340</v>
      </c>
      <c r="AN169" s="2" t="s">
        <v>157</v>
      </c>
      <c r="AO169" s="2" t="s">
        <v>1365</v>
      </c>
      <c r="AP169" s="162">
        <v>0</v>
      </c>
      <c r="AQ169" s="151">
        <v>264.95999999999998</v>
      </c>
      <c r="AR169" s="175">
        <v>130.63</v>
      </c>
      <c r="AS169" s="158">
        <v>1</v>
      </c>
      <c r="AT169" s="151">
        <v>0.34599999999999997</v>
      </c>
      <c r="AU169" s="151">
        <v>0.34599999999999997</v>
      </c>
      <c r="AX169" s="4" t="s">
        <v>155</v>
      </c>
      <c r="AY169" s="2" t="s">
        <v>36</v>
      </c>
      <c r="AZ169" s="164">
        <v>3.7970408879418503E-4</v>
      </c>
      <c r="BA169" s="164">
        <v>4.5748058697224698E-6</v>
      </c>
    </row>
    <row r="170" spans="1:53">
      <c r="A170" s="2">
        <v>969</v>
      </c>
      <c r="B170" s="2">
        <v>969</v>
      </c>
      <c r="C170" s="2" t="s">
        <v>1349</v>
      </c>
      <c r="D170" s="2" t="s">
        <v>33</v>
      </c>
      <c r="E170" s="2" t="s">
        <v>1379</v>
      </c>
      <c r="F170" s="2" t="s">
        <v>1380</v>
      </c>
      <c r="G170" s="2" t="s">
        <v>1073</v>
      </c>
      <c r="I170" s="2" t="s">
        <v>30</v>
      </c>
      <c r="J170" s="2" t="s">
        <v>30</v>
      </c>
      <c r="K170" s="2" t="s">
        <v>487</v>
      </c>
      <c r="L170" s="2" t="s">
        <v>155</v>
      </c>
      <c r="M170" s="2" t="s">
        <v>375</v>
      </c>
      <c r="N170" s="151">
        <v>513326439</v>
      </c>
      <c r="O170" s="2" t="s">
        <v>1352</v>
      </c>
      <c r="P170" s="2" t="s">
        <v>1353</v>
      </c>
      <c r="Q170" s="2" t="s">
        <v>206</v>
      </c>
      <c r="R170" s="2" t="s">
        <v>442</v>
      </c>
      <c r="S170" s="2" t="s">
        <v>34</v>
      </c>
      <c r="T170" s="151">
        <v>3.24</v>
      </c>
      <c r="U170" s="2" t="s">
        <v>1358</v>
      </c>
      <c r="V170" s="162">
        <v>5.6691999999999999E-2</v>
      </c>
      <c r="W170" s="2" t="s">
        <v>790</v>
      </c>
      <c r="X170" s="2" t="s">
        <v>1354</v>
      </c>
      <c r="Y170" s="151">
        <v>5.6692</v>
      </c>
      <c r="Z170" s="164">
        <v>2.7799999999999998E-2</v>
      </c>
      <c r="AA170" s="2" t="s">
        <v>1381</v>
      </c>
      <c r="AB170" s="4" t="s">
        <v>447</v>
      </c>
      <c r="AE170" s="164">
        <v>0</v>
      </c>
      <c r="AG170" s="2" t="s">
        <v>155</v>
      </c>
      <c r="AJ170" s="2" t="s">
        <v>155</v>
      </c>
      <c r="AK170" s="2" t="s">
        <v>194</v>
      </c>
      <c r="AN170" s="2" t="s">
        <v>157</v>
      </c>
      <c r="AP170" s="162">
        <v>0</v>
      </c>
      <c r="AQ170" s="151">
        <v>533.52</v>
      </c>
      <c r="AR170" s="175">
        <v>131.06</v>
      </c>
      <c r="AS170" s="158">
        <v>1</v>
      </c>
      <c r="AT170" s="151">
        <v>0.69899999999999995</v>
      </c>
      <c r="AU170" s="151">
        <v>0.69899999999999995</v>
      </c>
      <c r="AX170" s="4" t="s">
        <v>155</v>
      </c>
      <c r="AY170" s="2" t="s">
        <v>36</v>
      </c>
      <c r="AZ170" s="164">
        <v>7.6708395699286896E-4</v>
      </c>
      <c r="BA170" s="164">
        <v>9.2420921780567904E-6</v>
      </c>
    </row>
    <row r="171" spans="1:53">
      <c r="A171" s="2">
        <v>969</v>
      </c>
      <c r="B171" s="2">
        <v>969</v>
      </c>
      <c r="C171" s="2" t="s">
        <v>1349</v>
      </c>
      <c r="D171" s="2" t="s">
        <v>33</v>
      </c>
      <c r="E171" s="2" t="s">
        <v>1382</v>
      </c>
      <c r="F171" s="2" t="s">
        <v>1383</v>
      </c>
      <c r="G171" s="2" t="s">
        <v>1073</v>
      </c>
      <c r="I171" s="2" t="s">
        <v>30</v>
      </c>
      <c r="J171" s="2" t="s">
        <v>30</v>
      </c>
      <c r="K171" s="2" t="s">
        <v>487</v>
      </c>
      <c r="L171" s="2" t="s">
        <v>155</v>
      </c>
      <c r="M171" s="2" t="s">
        <v>375</v>
      </c>
      <c r="N171" s="2" t="s">
        <v>1349</v>
      </c>
      <c r="O171" s="2" t="s">
        <v>1384</v>
      </c>
      <c r="P171" s="2" t="s">
        <v>1340</v>
      </c>
      <c r="Q171" s="2" t="s">
        <v>101</v>
      </c>
      <c r="R171" s="2" t="s">
        <v>442</v>
      </c>
      <c r="S171" s="2" t="s">
        <v>34</v>
      </c>
      <c r="T171" s="151">
        <v>3.09</v>
      </c>
      <c r="U171" s="2" t="s">
        <v>1358</v>
      </c>
      <c r="V171" s="162">
        <v>5.5E-2</v>
      </c>
      <c r="W171" s="2" t="s">
        <v>790</v>
      </c>
      <c r="X171" s="2" t="s">
        <v>944</v>
      </c>
      <c r="Y171" s="151">
        <v>5.5</v>
      </c>
      <c r="Z171" s="164">
        <v>2.7130000000000001E-2</v>
      </c>
      <c r="AA171" s="2" t="s">
        <v>1364</v>
      </c>
      <c r="AB171" s="4" t="s">
        <v>447</v>
      </c>
      <c r="AC171" s="2" t="s">
        <v>519</v>
      </c>
      <c r="AD171" s="151">
        <v>562</v>
      </c>
      <c r="AE171" s="164">
        <v>0.78</v>
      </c>
      <c r="AF171" s="2" t="s">
        <v>1365</v>
      </c>
      <c r="AG171" s="2" t="s">
        <v>155</v>
      </c>
      <c r="AI171" s="2" t="s">
        <v>1366</v>
      </c>
      <c r="AJ171" s="2" t="s">
        <v>375</v>
      </c>
      <c r="AK171" s="2" t="s">
        <v>927</v>
      </c>
      <c r="AL171" s="2" t="s">
        <v>1340</v>
      </c>
      <c r="AN171" s="2" t="s">
        <v>157</v>
      </c>
      <c r="AO171" s="2" t="s">
        <v>1365</v>
      </c>
      <c r="AP171" s="162">
        <v>0</v>
      </c>
      <c r="AQ171" s="151">
        <v>320.14</v>
      </c>
      <c r="AR171" s="175">
        <v>131.02000000000001</v>
      </c>
      <c r="AS171" s="158">
        <v>1</v>
      </c>
      <c r="AT171" s="151">
        <v>0.41899999999999998</v>
      </c>
      <c r="AU171" s="151">
        <v>0.41899999999999998</v>
      </c>
      <c r="AX171" s="4" t="s">
        <v>155</v>
      </c>
      <c r="AY171" s="2" t="s">
        <v>36</v>
      </c>
      <c r="AZ171" s="164">
        <v>4.60150149598452E-4</v>
      </c>
      <c r="BA171" s="164">
        <v>5.5440477663060301E-6</v>
      </c>
    </row>
    <row r="172" spans="1:53">
      <c r="A172" s="2">
        <v>969</v>
      </c>
      <c r="B172" s="2">
        <v>969</v>
      </c>
      <c r="C172" s="2" t="s">
        <v>1349</v>
      </c>
      <c r="D172" s="2" t="s">
        <v>33</v>
      </c>
      <c r="E172" s="2" t="s">
        <v>1385</v>
      </c>
      <c r="F172" s="2" t="s">
        <v>1386</v>
      </c>
      <c r="G172" s="2" t="s">
        <v>1073</v>
      </c>
      <c r="I172" s="2" t="s">
        <v>30</v>
      </c>
      <c r="J172" s="2" t="s">
        <v>30</v>
      </c>
      <c r="K172" s="2" t="s">
        <v>487</v>
      </c>
      <c r="L172" s="2" t="s">
        <v>155</v>
      </c>
      <c r="M172" s="2" t="s">
        <v>375</v>
      </c>
      <c r="N172" s="2" t="s">
        <v>1349</v>
      </c>
      <c r="O172" s="2" t="s">
        <v>1387</v>
      </c>
      <c r="P172" s="2" t="s">
        <v>1340</v>
      </c>
      <c r="Q172" s="2" t="s">
        <v>101</v>
      </c>
      <c r="R172" s="2" t="s">
        <v>442</v>
      </c>
      <c r="S172" s="2" t="s">
        <v>34</v>
      </c>
      <c r="T172" s="151">
        <v>3.09</v>
      </c>
      <c r="U172" s="2" t="s">
        <v>1358</v>
      </c>
      <c r="V172" s="162">
        <v>5.5E-2</v>
      </c>
      <c r="W172" s="2" t="s">
        <v>790</v>
      </c>
      <c r="X172" s="2" t="s">
        <v>944</v>
      </c>
      <c r="Y172" s="151">
        <v>5.5</v>
      </c>
      <c r="Z172" s="164">
        <v>2.8150000000000001E-2</v>
      </c>
      <c r="AA172" s="2" t="s">
        <v>1364</v>
      </c>
      <c r="AB172" s="4" t="s">
        <v>447</v>
      </c>
      <c r="AC172" s="2" t="s">
        <v>519</v>
      </c>
      <c r="AD172" s="151">
        <v>4665</v>
      </c>
      <c r="AE172" s="164">
        <v>0.78</v>
      </c>
      <c r="AF172" s="2" t="s">
        <v>1365</v>
      </c>
      <c r="AG172" s="2" t="s">
        <v>155</v>
      </c>
      <c r="AI172" s="2" t="s">
        <v>1366</v>
      </c>
      <c r="AJ172" s="2" t="s">
        <v>375</v>
      </c>
      <c r="AK172" s="2" t="s">
        <v>927</v>
      </c>
      <c r="AL172" s="2" t="s">
        <v>1340</v>
      </c>
      <c r="AN172" s="2" t="s">
        <v>157</v>
      </c>
      <c r="AO172" s="2" t="s">
        <v>1365</v>
      </c>
      <c r="AP172" s="162">
        <v>0</v>
      </c>
      <c r="AQ172" s="151">
        <v>5765.5</v>
      </c>
      <c r="AR172" s="175">
        <v>130.54</v>
      </c>
      <c r="AS172" s="158">
        <v>1</v>
      </c>
      <c r="AT172" s="151">
        <v>7.5259999999999998</v>
      </c>
      <c r="AU172" s="151">
        <v>7.5259999999999998</v>
      </c>
      <c r="AX172" s="4" t="s">
        <v>155</v>
      </c>
      <c r="AY172" s="2" t="s">
        <v>36</v>
      </c>
      <c r="AZ172" s="164">
        <v>8.25662607347156E-3</v>
      </c>
      <c r="BA172" s="164">
        <v>9.9478679687053695E-5</v>
      </c>
    </row>
    <row r="173" spans="1:53">
      <c r="A173" s="2">
        <v>969</v>
      </c>
      <c r="B173" s="2">
        <v>969</v>
      </c>
      <c r="C173" s="2" t="s">
        <v>1349</v>
      </c>
      <c r="D173" s="2" t="s">
        <v>33</v>
      </c>
      <c r="E173" s="2" t="s">
        <v>1388</v>
      </c>
      <c r="F173" s="2" t="s">
        <v>1389</v>
      </c>
      <c r="G173" s="2" t="s">
        <v>1073</v>
      </c>
      <c r="I173" s="2" t="s">
        <v>30</v>
      </c>
      <c r="J173" s="2" t="s">
        <v>30</v>
      </c>
      <c r="K173" s="2" t="s">
        <v>487</v>
      </c>
      <c r="L173" s="2" t="s">
        <v>155</v>
      </c>
      <c r="M173" s="2" t="s">
        <v>375</v>
      </c>
      <c r="N173" s="2" t="s">
        <v>1349</v>
      </c>
      <c r="O173" s="2" t="s">
        <v>1390</v>
      </c>
      <c r="P173" s="2" t="s">
        <v>1340</v>
      </c>
      <c r="Q173" s="2" t="s">
        <v>101</v>
      </c>
      <c r="R173" s="2" t="s">
        <v>442</v>
      </c>
      <c r="S173" s="2" t="s">
        <v>34</v>
      </c>
      <c r="T173" s="151">
        <v>3.24</v>
      </c>
      <c r="U173" s="2" t="s">
        <v>1358</v>
      </c>
      <c r="V173" s="162">
        <v>5.5E-2</v>
      </c>
      <c r="W173" s="2" t="s">
        <v>790</v>
      </c>
      <c r="X173" s="2" t="s">
        <v>944</v>
      </c>
      <c r="Y173" s="151">
        <v>5.5</v>
      </c>
      <c r="Z173" s="164">
        <v>2.75E-2</v>
      </c>
      <c r="AA173" s="2" t="s">
        <v>1355</v>
      </c>
      <c r="AB173" s="4" t="s">
        <v>447</v>
      </c>
      <c r="AC173" s="2" t="s">
        <v>519</v>
      </c>
      <c r="AD173" s="151">
        <v>534</v>
      </c>
      <c r="AE173" s="164">
        <v>0.78</v>
      </c>
      <c r="AF173" s="2" t="s">
        <v>1365</v>
      </c>
      <c r="AG173" s="2" t="s">
        <v>155</v>
      </c>
      <c r="AI173" s="2" t="s">
        <v>1366</v>
      </c>
      <c r="AJ173" s="2" t="s">
        <v>375</v>
      </c>
      <c r="AK173" s="2" t="s">
        <v>927</v>
      </c>
      <c r="AL173" s="2" t="s">
        <v>1340</v>
      </c>
      <c r="AN173" s="2" t="s">
        <v>157</v>
      </c>
      <c r="AO173" s="2" t="s">
        <v>1365</v>
      </c>
      <c r="AP173" s="162">
        <v>0</v>
      </c>
      <c r="AQ173" s="151">
        <v>660.03</v>
      </c>
      <c r="AR173" s="175">
        <v>127.89</v>
      </c>
      <c r="AS173" s="158">
        <v>1</v>
      </c>
      <c r="AT173" s="151">
        <v>0.84399999999999997</v>
      </c>
      <c r="AU173" s="151">
        <v>0.84399999999999997</v>
      </c>
      <c r="AX173" s="4" t="s">
        <v>155</v>
      </c>
      <c r="AY173" s="2" t="s">
        <v>36</v>
      </c>
      <c r="AZ173" s="164">
        <v>9.2602411178201996E-4</v>
      </c>
      <c r="BA173" s="164">
        <v>1.1157058001503901E-5</v>
      </c>
    </row>
    <row r="174" spans="1:53">
      <c r="A174" s="2">
        <v>969</v>
      </c>
      <c r="B174" s="2">
        <v>969</v>
      </c>
      <c r="C174" s="2" t="s">
        <v>1349</v>
      </c>
      <c r="D174" s="2" t="s">
        <v>33</v>
      </c>
      <c r="E174" s="2" t="s">
        <v>1391</v>
      </c>
      <c r="F174" s="2" t="s">
        <v>1392</v>
      </c>
      <c r="G174" s="2" t="s">
        <v>1073</v>
      </c>
      <c r="I174" s="2" t="s">
        <v>30</v>
      </c>
      <c r="J174" s="2" t="s">
        <v>30</v>
      </c>
      <c r="K174" s="2" t="s">
        <v>487</v>
      </c>
      <c r="L174" s="2" t="s">
        <v>155</v>
      </c>
      <c r="M174" s="2" t="s">
        <v>375</v>
      </c>
      <c r="N174" s="151">
        <v>513326439</v>
      </c>
      <c r="O174" s="2" t="s">
        <v>1352</v>
      </c>
      <c r="P174" s="2" t="s">
        <v>1353</v>
      </c>
      <c r="Q174" s="2" t="s">
        <v>206</v>
      </c>
      <c r="R174" s="2" t="s">
        <v>442</v>
      </c>
      <c r="S174" s="2" t="s">
        <v>34</v>
      </c>
      <c r="T174" s="151">
        <v>3.24</v>
      </c>
      <c r="U174" s="2" t="s">
        <v>194</v>
      </c>
      <c r="V174" s="162">
        <v>5.5E-2</v>
      </c>
      <c r="W174" s="2" t="s">
        <v>790</v>
      </c>
      <c r="X174" s="2" t="s">
        <v>1354</v>
      </c>
      <c r="Y174" s="151">
        <v>5.5</v>
      </c>
      <c r="Z174" s="164">
        <v>2.75E-2</v>
      </c>
      <c r="AA174" s="2" t="s">
        <v>1355</v>
      </c>
      <c r="AB174" s="4" t="s">
        <v>447</v>
      </c>
      <c r="AE174" s="164">
        <v>0</v>
      </c>
      <c r="AG174" s="2" t="s">
        <v>155</v>
      </c>
      <c r="AJ174" s="2" t="s">
        <v>155</v>
      </c>
      <c r="AK174" s="2" t="s">
        <v>194</v>
      </c>
      <c r="AN174" s="2" t="s">
        <v>157</v>
      </c>
      <c r="AP174" s="162">
        <v>0</v>
      </c>
      <c r="AQ174" s="151">
        <v>546.70000000000005</v>
      </c>
      <c r="AR174" s="175">
        <v>127.84</v>
      </c>
      <c r="AS174" s="158">
        <v>1</v>
      </c>
      <c r="AT174" s="151">
        <v>0.69899999999999995</v>
      </c>
      <c r="AU174" s="151">
        <v>0.69899999999999995</v>
      </c>
      <c r="AX174" s="4" t="s">
        <v>155</v>
      </c>
      <c r="AY174" s="2" t="s">
        <v>36</v>
      </c>
      <c r="AZ174" s="164">
        <v>7.6672189904702297E-4</v>
      </c>
      <c r="BA174" s="164">
        <v>9.2377299790056905E-6</v>
      </c>
    </row>
    <row r="175" spans="1:53">
      <c r="A175" s="2">
        <v>969</v>
      </c>
      <c r="B175" s="2">
        <v>969</v>
      </c>
      <c r="C175" s="2" t="s">
        <v>1349</v>
      </c>
      <c r="D175" s="2" t="s">
        <v>33</v>
      </c>
      <c r="E175" s="2" t="s">
        <v>1393</v>
      </c>
      <c r="F175" s="2" t="s">
        <v>1394</v>
      </c>
      <c r="G175" s="2" t="s">
        <v>1073</v>
      </c>
      <c r="I175" s="2" t="s">
        <v>30</v>
      </c>
      <c r="J175" s="2" t="s">
        <v>30</v>
      </c>
      <c r="K175" s="2" t="s">
        <v>487</v>
      </c>
      <c r="L175" s="2" t="s">
        <v>155</v>
      </c>
      <c r="M175" s="2" t="s">
        <v>375</v>
      </c>
      <c r="N175" s="2" t="s">
        <v>1349</v>
      </c>
      <c r="O175" s="2" t="s">
        <v>1395</v>
      </c>
      <c r="P175" s="2" t="s">
        <v>1340</v>
      </c>
      <c r="Q175" s="2" t="s">
        <v>101</v>
      </c>
      <c r="R175" s="2" t="s">
        <v>442</v>
      </c>
      <c r="S175" s="2" t="s">
        <v>34</v>
      </c>
      <c r="T175" s="151">
        <v>2.96</v>
      </c>
      <c r="U175" s="2" t="s">
        <v>1358</v>
      </c>
      <c r="V175" s="162">
        <v>5.5E-2</v>
      </c>
      <c r="W175" s="2" t="s">
        <v>790</v>
      </c>
      <c r="X175" s="2" t="s">
        <v>944</v>
      </c>
      <c r="Y175" s="151">
        <v>5.5</v>
      </c>
      <c r="Z175" s="164">
        <v>2.7869999999999999E-2</v>
      </c>
      <c r="AA175" s="2" t="s">
        <v>1364</v>
      </c>
      <c r="AB175" s="4" t="s">
        <v>447</v>
      </c>
      <c r="AC175" s="2" t="s">
        <v>519</v>
      </c>
      <c r="AD175" s="151">
        <v>2192</v>
      </c>
      <c r="AE175" s="164">
        <v>0.78</v>
      </c>
      <c r="AF175" s="2" t="s">
        <v>1365</v>
      </c>
      <c r="AG175" s="2" t="s">
        <v>155</v>
      </c>
      <c r="AI175" s="2" t="s">
        <v>1366</v>
      </c>
      <c r="AJ175" s="2" t="s">
        <v>375</v>
      </c>
      <c r="AK175" s="2" t="s">
        <v>927</v>
      </c>
      <c r="AL175" s="2" t="s">
        <v>1340</v>
      </c>
      <c r="AN175" s="2" t="s">
        <v>157</v>
      </c>
      <c r="AO175" s="2" t="s">
        <v>1365</v>
      </c>
      <c r="AP175" s="162">
        <v>0</v>
      </c>
      <c r="AQ175" s="151">
        <v>1250.01</v>
      </c>
      <c r="AR175" s="175">
        <v>129.94</v>
      </c>
      <c r="AS175" s="158">
        <v>1</v>
      </c>
      <c r="AT175" s="151">
        <v>1.6240000000000001</v>
      </c>
      <c r="AU175" s="151">
        <v>1.6240000000000001</v>
      </c>
      <c r="AX175" s="4" t="s">
        <v>155</v>
      </c>
      <c r="AY175" s="2" t="s">
        <v>36</v>
      </c>
      <c r="AZ175" s="164">
        <v>1.7818797059743301E-3</v>
      </c>
      <c r="BA175" s="164">
        <v>2.1468701493096899E-5</v>
      </c>
    </row>
    <row r="176" spans="1:53">
      <c r="A176" s="2">
        <v>969</v>
      </c>
      <c r="B176" s="2">
        <v>969</v>
      </c>
      <c r="C176" s="2" t="s">
        <v>1349</v>
      </c>
      <c r="D176" s="2" t="s">
        <v>33</v>
      </c>
      <c r="E176" s="2" t="s">
        <v>1396</v>
      </c>
      <c r="F176" s="2" t="s">
        <v>1397</v>
      </c>
      <c r="G176" s="2" t="s">
        <v>1073</v>
      </c>
      <c r="I176" s="2" t="s">
        <v>30</v>
      </c>
      <c r="J176" s="2" t="s">
        <v>30</v>
      </c>
      <c r="K176" s="2" t="s">
        <v>487</v>
      </c>
      <c r="L176" s="2" t="s">
        <v>155</v>
      </c>
      <c r="M176" s="2" t="s">
        <v>375</v>
      </c>
      <c r="N176" s="2" t="s">
        <v>1349</v>
      </c>
      <c r="O176" s="2" t="s">
        <v>1398</v>
      </c>
      <c r="P176" s="2" t="s">
        <v>1340</v>
      </c>
      <c r="Q176" s="2" t="s">
        <v>101</v>
      </c>
      <c r="R176" s="2" t="s">
        <v>442</v>
      </c>
      <c r="S176" s="2" t="s">
        <v>34</v>
      </c>
      <c r="T176" s="151">
        <v>3.24</v>
      </c>
      <c r="U176" s="2" t="s">
        <v>1358</v>
      </c>
      <c r="V176" s="162">
        <v>5.5E-2</v>
      </c>
      <c r="W176" s="2" t="s">
        <v>790</v>
      </c>
      <c r="X176" s="2" t="s">
        <v>944</v>
      </c>
      <c r="Y176" s="151">
        <v>5.5</v>
      </c>
      <c r="Z176" s="164">
        <v>2.9000000000000001E-2</v>
      </c>
      <c r="AA176" s="2" t="s">
        <v>1355</v>
      </c>
      <c r="AB176" s="4" t="s">
        <v>447</v>
      </c>
      <c r="AC176" s="2" t="s">
        <v>519</v>
      </c>
      <c r="AD176" s="151">
        <v>3904</v>
      </c>
      <c r="AE176" s="164">
        <v>0.78</v>
      </c>
      <c r="AF176" s="2" t="s">
        <v>1365</v>
      </c>
      <c r="AG176" s="2" t="s">
        <v>155</v>
      </c>
      <c r="AI176" s="2" t="s">
        <v>1366</v>
      </c>
      <c r="AJ176" s="2" t="s">
        <v>375</v>
      </c>
      <c r="AK176" s="2" t="s">
        <v>927</v>
      </c>
      <c r="AL176" s="2" t="s">
        <v>1340</v>
      </c>
      <c r="AN176" s="2" t="s">
        <v>157</v>
      </c>
      <c r="AO176" s="2" t="s">
        <v>1365</v>
      </c>
      <c r="AP176" s="162">
        <v>0</v>
      </c>
      <c r="AQ176" s="151">
        <v>4825.49</v>
      </c>
      <c r="AR176" s="175">
        <v>127.47</v>
      </c>
      <c r="AS176" s="158">
        <v>1</v>
      </c>
      <c r="AT176" s="151">
        <v>6.1509999999999998</v>
      </c>
      <c r="AU176" s="151">
        <v>6.1509999999999998</v>
      </c>
      <c r="AX176" s="4" t="s">
        <v>155</v>
      </c>
      <c r="AY176" s="2" t="s">
        <v>36</v>
      </c>
      <c r="AZ176" s="164">
        <v>6.7479435000452996E-3</v>
      </c>
      <c r="BA176" s="164">
        <v>8.1301551507115597E-5</v>
      </c>
    </row>
    <row r="177" spans="1:53">
      <c r="A177" s="2">
        <v>969</v>
      </c>
      <c r="B177" s="2">
        <v>969</v>
      </c>
      <c r="C177" s="2" t="s">
        <v>1349</v>
      </c>
      <c r="D177" s="2" t="s">
        <v>33</v>
      </c>
      <c r="E177" s="2" t="s">
        <v>1399</v>
      </c>
      <c r="F177" s="2" t="s">
        <v>1400</v>
      </c>
      <c r="G177" s="2" t="s">
        <v>1073</v>
      </c>
      <c r="I177" s="2" t="s">
        <v>30</v>
      </c>
      <c r="J177" s="2" t="s">
        <v>30</v>
      </c>
      <c r="K177" s="2" t="s">
        <v>487</v>
      </c>
      <c r="L177" s="2" t="s">
        <v>155</v>
      </c>
      <c r="M177" s="2" t="s">
        <v>375</v>
      </c>
      <c r="N177" s="151">
        <v>513326439</v>
      </c>
      <c r="O177" s="2" t="s">
        <v>1352</v>
      </c>
      <c r="P177" s="2" t="s">
        <v>1353</v>
      </c>
      <c r="Q177" s="2" t="s">
        <v>206</v>
      </c>
      <c r="R177" s="2" t="s">
        <v>442</v>
      </c>
      <c r="S177" s="2" t="s">
        <v>34</v>
      </c>
      <c r="T177" s="151">
        <v>3.24</v>
      </c>
      <c r="U177" s="2" t="s">
        <v>1358</v>
      </c>
      <c r="V177" s="162">
        <v>5.5E-2</v>
      </c>
      <c r="W177" s="2" t="s">
        <v>790</v>
      </c>
      <c r="X177" s="2" t="s">
        <v>1354</v>
      </c>
      <c r="Y177" s="151">
        <v>5.5</v>
      </c>
      <c r="Z177" s="164">
        <v>2.9000000000000001E-2</v>
      </c>
      <c r="AA177" s="2" t="s">
        <v>1364</v>
      </c>
      <c r="AB177" s="4" t="s">
        <v>447</v>
      </c>
      <c r="AE177" s="164">
        <v>0</v>
      </c>
      <c r="AG177" s="2" t="s">
        <v>155</v>
      </c>
      <c r="AJ177" s="2" t="s">
        <v>155</v>
      </c>
      <c r="AK177" s="2" t="s">
        <v>194</v>
      </c>
      <c r="AN177" s="2" t="s">
        <v>157</v>
      </c>
      <c r="AP177" s="162">
        <v>0</v>
      </c>
      <c r="AQ177" s="151">
        <v>5861.3</v>
      </c>
      <c r="AR177" s="175">
        <v>129.44999999999999</v>
      </c>
      <c r="AS177" s="158">
        <v>1</v>
      </c>
      <c r="AT177" s="151">
        <v>7.5869999999999997</v>
      </c>
      <c r="AU177" s="151">
        <v>7.5869999999999997</v>
      </c>
      <c r="AX177" s="4" t="s">
        <v>155</v>
      </c>
      <c r="AY177" s="2" t="s">
        <v>36</v>
      </c>
      <c r="AZ177" s="164">
        <v>8.3237310111690492E-3</v>
      </c>
      <c r="BA177" s="164">
        <v>1.0028718312940699E-4</v>
      </c>
    </row>
    <row r="178" spans="1:53">
      <c r="A178" s="2">
        <v>969</v>
      </c>
      <c r="B178" s="2">
        <v>969</v>
      </c>
      <c r="C178" s="2" t="s">
        <v>1349</v>
      </c>
      <c r="D178" s="2" t="s">
        <v>33</v>
      </c>
      <c r="E178" s="2" t="s">
        <v>1401</v>
      </c>
      <c r="F178" s="2" t="s">
        <v>1402</v>
      </c>
      <c r="G178" s="2" t="s">
        <v>1073</v>
      </c>
      <c r="I178" s="2" t="s">
        <v>30</v>
      </c>
      <c r="J178" s="2" t="s">
        <v>30</v>
      </c>
      <c r="K178" s="2" t="s">
        <v>487</v>
      </c>
      <c r="L178" s="2" t="s">
        <v>155</v>
      </c>
      <c r="M178" s="2" t="s">
        <v>375</v>
      </c>
      <c r="N178" s="151">
        <v>513326439</v>
      </c>
      <c r="O178" s="2" t="s">
        <v>1352</v>
      </c>
      <c r="P178" s="2" t="s">
        <v>1353</v>
      </c>
      <c r="Q178" s="2" t="s">
        <v>206</v>
      </c>
      <c r="R178" s="2" t="s">
        <v>442</v>
      </c>
      <c r="S178" s="2" t="s">
        <v>34</v>
      </c>
      <c r="T178" s="151">
        <v>3.24</v>
      </c>
      <c r="U178" s="2" t="s">
        <v>1358</v>
      </c>
      <c r="V178" s="162">
        <v>5.5888E-2</v>
      </c>
      <c r="W178" s="2" t="s">
        <v>790</v>
      </c>
      <c r="X178" s="2" t="s">
        <v>1354</v>
      </c>
      <c r="Y178" s="151">
        <v>5.5888</v>
      </c>
      <c r="Z178" s="164">
        <v>2.75E-2</v>
      </c>
      <c r="AA178" s="2" t="s">
        <v>1364</v>
      </c>
      <c r="AB178" s="4" t="s">
        <v>447</v>
      </c>
      <c r="AE178" s="164">
        <v>0</v>
      </c>
      <c r="AG178" s="2" t="s">
        <v>155</v>
      </c>
      <c r="AJ178" s="2" t="s">
        <v>155</v>
      </c>
      <c r="AK178" s="2" t="s">
        <v>194</v>
      </c>
      <c r="AN178" s="2" t="s">
        <v>157</v>
      </c>
      <c r="AP178" s="162">
        <v>0</v>
      </c>
      <c r="AQ178" s="151">
        <v>1227.07</v>
      </c>
      <c r="AR178" s="175">
        <v>131.38</v>
      </c>
      <c r="AS178" s="158">
        <v>1</v>
      </c>
      <c r="AT178" s="151">
        <v>1.6120000000000001</v>
      </c>
      <c r="AU178" s="151">
        <v>1.6120000000000001</v>
      </c>
      <c r="AX178" s="4" t="s">
        <v>155</v>
      </c>
      <c r="AY178" s="2" t="s">
        <v>36</v>
      </c>
      <c r="AZ178" s="164">
        <v>1.7685633781410099E-3</v>
      </c>
      <c r="BA178" s="164">
        <v>2.1308261780876602E-5</v>
      </c>
    </row>
    <row r="179" spans="1:53">
      <c r="A179" s="2">
        <v>969</v>
      </c>
      <c r="B179" s="2">
        <v>969</v>
      </c>
      <c r="C179" s="2" t="s">
        <v>1349</v>
      </c>
      <c r="D179" s="2" t="s">
        <v>33</v>
      </c>
      <c r="E179" s="2" t="s">
        <v>1403</v>
      </c>
      <c r="F179" s="2" t="s">
        <v>1404</v>
      </c>
      <c r="G179" s="2" t="s">
        <v>1073</v>
      </c>
      <c r="I179" s="2" t="s">
        <v>30</v>
      </c>
      <c r="J179" s="2" t="s">
        <v>30</v>
      </c>
      <c r="K179" s="2" t="s">
        <v>487</v>
      </c>
      <c r="L179" s="2" t="s">
        <v>155</v>
      </c>
      <c r="M179" s="2" t="s">
        <v>375</v>
      </c>
      <c r="N179" s="2" t="s">
        <v>1349</v>
      </c>
      <c r="O179" s="2" t="s">
        <v>1405</v>
      </c>
      <c r="P179" s="2" t="s">
        <v>1340</v>
      </c>
      <c r="Q179" s="2" t="s">
        <v>101</v>
      </c>
      <c r="R179" s="2" t="s">
        <v>442</v>
      </c>
      <c r="S179" s="2" t="s">
        <v>34</v>
      </c>
      <c r="T179" s="151">
        <v>3.08</v>
      </c>
      <c r="U179" s="2" t="s">
        <v>1358</v>
      </c>
      <c r="V179" s="162">
        <v>5.6193E-2</v>
      </c>
      <c r="W179" s="2" t="s">
        <v>790</v>
      </c>
      <c r="X179" s="2" t="s">
        <v>944</v>
      </c>
      <c r="Y179" s="151">
        <v>5.6193</v>
      </c>
      <c r="Z179" s="164">
        <v>2.8150000000000001E-2</v>
      </c>
      <c r="AA179" s="2" t="s">
        <v>1364</v>
      </c>
      <c r="AB179" s="4" t="s">
        <v>447</v>
      </c>
      <c r="AC179" s="2" t="s">
        <v>519</v>
      </c>
      <c r="AD179" s="151">
        <v>3026</v>
      </c>
      <c r="AE179" s="164">
        <v>0.78</v>
      </c>
      <c r="AF179" s="2" t="s">
        <v>1365</v>
      </c>
      <c r="AG179" s="2" t="s">
        <v>155</v>
      </c>
      <c r="AI179" s="2" t="s">
        <v>1366</v>
      </c>
      <c r="AJ179" s="2" t="s">
        <v>375</v>
      </c>
      <c r="AK179" s="2" t="s">
        <v>927</v>
      </c>
      <c r="AL179" s="2" t="s">
        <v>1340</v>
      </c>
      <c r="AN179" s="2" t="s">
        <v>157</v>
      </c>
      <c r="AO179" s="2" t="s">
        <v>1365</v>
      </c>
      <c r="AP179" s="162">
        <v>0</v>
      </c>
      <c r="AQ179" s="151">
        <v>1724.45</v>
      </c>
      <c r="AR179" s="175">
        <v>130.19</v>
      </c>
      <c r="AS179" s="158">
        <v>1</v>
      </c>
      <c r="AT179" s="151">
        <v>2.2450000000000001</v>
      </c>
      <c r="AU179" s="151">
        <v>2.2450000000000001</v>
      </c>
      <c r="AX179" s="4" t="s">
        <v>155</v>
      </c>
      <c r="AY179" s="2" t="s">
        <v>36</v>
      </c>
      <c r="AZ179" s="164">
        <v>2.4629197735263398E-3</v>
      </c>
      <c r="BA179" s="164">
        <v>2.9674107203757899E-5</v>
      </c>
    </row>
    <row r="180" spans="1:53">
      <c r="A180" s="2">
        <v>969</v>
      </c>
      <c r="B180" s="2">
        <v>969</v>
      </c>
      <c r="C180" s="2" t="s">
        <v>1349</v>
      </c>
      <c r="D180" s="2" t="s">
        <v>33</v>
      </c>
      <c r="E180" s="2" t="s">
        <v>1406</v>
      </c>
      <c r="F180" s="2" t="s">
        <v>1407</v>
      </c>
      <c r="G180" s="2" t="s">
        <v>1073</v>
      </c>
      <c r="I180" s="2" t="s">
        <v>30</v>
      </c>
      <c r="J180" s="2" t="s">
        <v>30</v>
      </c>
      <c r="K180" s="2" t="s">
        <v>487</v>
      </c>
      <c r="L180" s="2" t="s">
        <v>155</v>
      </c>
      <c r="M180" s="2" t="s">
        <v>375</v>
      </c>
      <c r="N180" s="151">
        <v>513326439</v>
      </c>
      <c r="O180" s="2" t="s">
        <v>1352</v>
      </c>
      <c r="P180" s="2" t="s">
        <v>1353</v>
      </c>
      <c r="Q180" s="2" t="s">
        <v>206</v>
      </c>
      <c r="R180" s="2" t="s">
        <v>442</v>
      </c>
      <c r="S180" s="2" t="s">
        <v>34</v>
      </c>
      <c r="T180" s="151">
        <v>3.22</v>
      </c>
      <c r="U180" s="2" t="s">
        <v>194</v>
      </c>
      <c r="V180" s="162">
        <v>5.5E-2</v>
      </c>
      <c r="W180" s="2" t="s">
        <v>790</v>
      </c>
      <c r="X180" s="2" t="s">
        <v>1354</v>
      </c>
      <c r="Y180" s="151">
        <v>5.5</v>
      </c>
      <c r="Z180" s="164">
        <v>3.2800000000000003E-2</v>
      </c>
      <c r="AA180" s="2" t="s">
        <v>1355</v>
      </c>
      <c r="AB180" s="4" t="s">
        <v>447</v>
      </c>
      <c r="AE180" s="164">
        <v>0</v>
      </c>
      <c r="AG180" s="2" t="s">
        <v>155</v>
      </c>
      <c r="AJ180" s="2" t="s">
        <v>155</v>
      </c>
      <c r="AK180" s="2" t="s">
        <v>194</v>
      </c>
      <c r="AN180" s="2" t="s">
        <v>157</v>
      </c>
      <c r="AP180" s="162">
        <v>0</v>
      </c>
      <c r="AQ180" s="151">
        <v>2184.37</v>
      </c>
      <c r="AR180" s="175">
        <v>124.07</v>
      </c>
      <c r="AS180" s="158">
        <v>1</v>
      </c>
      <c r="AT180" s="151">
        <v>2.71</v>
      </c>
      <c r="AU180" s="151">
        <v>2.71</v>
      </c>
      <c r="AX180" s="4" t="s">
        <v>155</v>
      </c>
      <c r="AY180" s="2" t="s">
        <v>36</v>
      </c>
      <c r="AZ180" s="164">
        <v>2.9731376556510298E-3</v>
      </c>
      <c r="BA180" s="164">
        <v>3.5821388286228902E-5</v>
      </c>
    </row>
    <row r="181" spans="1:53">
      <c r="A181" s="2">
        <v>969</v>
      </c>
      <c r="B181" s="2">
        <v>969</v>
      </c>
      <c r="C181" s="2" t="s">
        <v>1349</v>
      </c>
      <c r="D181" s="2" t="s">
        <v>33</v>
      </c>
      <c r="E181" s="2" t="s">
        <v>1408</v>
      </c>
      <c r="F181" s="2" t="s">
        <v>1409</v>
      </c>
      <c r="G181" s="2" t="s">
        <v>1073</v>
      </c>
      <c r="I181" s="2" t="s">
        <v>30</v>
      </c>
      <c r="J181" s="2" t="s">
        <v>30</v>
      </c>
      <c r="K181" s="2" t="s">
        <v>487</v>
      </c>
      <c r="L181" s="2" t="s">
        <v>155</v>
      </c>
      <c r="M181" s="2" t="s">
        <v>375</v>
      </c>
      <c r="N181" s="151">
        <v>513326439</v>
      </c>
      <c r="O181" s="2" t="s">
        <v>1352</v>
      </c>
      <c r="P181" s="2" t="s">
        <v>1353</v>
      </c>
      <c r="Q181" s="2" t="s">
        <v>206</v>
      </c>
      <c r="R181" s="2" t="s">
        <v>442</v>
      </c>
      <c r="S181" s="2" t="s">
        <v>34</v>
      </c>
      <c r="T181" s="151">
        <v>3.24</v>
      </c>
      <c r="U181" s="2" t="s">
        <v>194</v>
      </c>
      <c r="V181" s="162">
        <v>5.5E-2</v>
      </c>
      <c r="W181" s="2" t="s">
        <v>790</v>
      </c>
      <c r="X181" s="2" t="s">
        <v>1354</v>
      </c>
      <c r="Y181" s="151">
        <v>5.5</v>
      </c>
      <c r="Z181" s="164">
        <v>2.7900000000000001E-2</v>
      </c>
      <c r="AA181" s="2" t="s">
        <v>1355</v>
      </c>
      <c r="AB181" s="4" t="s">
        <v>447</v>
      </c>
      <c r="AE181" s="164">
        <v>0</v>
      </c>
      <c r="AG181" s="2" t="s">
        <v>155</v>
      </c>
      <c r="AJ181" s="2" t="s">
        <v>155</v>
      </c>
      <c r="AK181" s="2" t="s">
        <v>194</v>
      </c>
      <c r="AN181" s="2" t="s">
        <v>157</v>
      </c>
      <c r="AP181" s="162">
        <v>0</v>
      </c>
      <c r="AQ181" s="151">
        <v>271.42</v>
      </c>
      <c r="AR181" s="175">
        <v>125.63</v>
      </c>
      <c r="AS181" s="158">
        <v>1</v>
      </c>
      <c r="AT181" s="151">
        <v>0.34100000000000003</v>
      </c>
      <c r="AU181" s="151">
        <v>0.34100000000000003</v>
      </c>
      <c r="AX181" s="4" t="s">
        <v>155</v>
      </c>
      <c r="AY181" s="2" t="s">
        <v>36</v>
      </c>
      <c r="AZ181" s="164">
        <v>3.7407375379762701E-4</v>
      </c>
      <c r="BA181" s="164">
        <v>4.5069696510698001E-6</v>
      </c>
    </row>
    <row r="182" spans="1:53">
      <c r="A182" s="2">
        <v>969</v>
      </c>
      <c r="B182" s="2">
        <v>969</v>
      </c>
      <c r="C182" s="2" t="s">
        <v>1349</v>
      </c>
      <c r="D182" s="2" t="s">
        <v>33</v>
      </c>
      <c r="E182" s="2" t="s">
        <v>1410</v>
      </c>
      <c r="F182" s="2" t="s">
        <v>1411</v>
      </c>
      <c r="G182" s="2" t="s">
        <v>1073</v>
      </c>
      <c r="I182" s="2" t="s">
        <v>30</v>
      </c>
      <c r="J182" s="2" t="s">
        <v>30</v>
      </c>
      <c r="K182" s="2" t="s">
        <v>487</v>
      </c>
      <c r="L182" s="2" t="s">
        <v>155</v>
      </c>
      <c r="M182" s="2" t="s">
        <v>375</v>
      </c>
      <c r="N182" s="151">
        <v>513326439</v>
      </c>
      <c r="O182" s="2" t="s">
        <v>1352</v>
      </c>
      <c r="P182" s="2" t="s">
        <v>1353</v>
      </c>
      <c r="Q182" s="2" t="s">
        <v>206</v>
      </c>
      <c r="R182" s="2" t="s">
        <v>442</v>
      </c>
      <c r="S182" s="2" t="s">
        <v>34</v>
      </c>
      <c r="T182" s="151">
        <v>3.24</v>
      </c>
      <c r="U182" s="2" t="s">
        <v>194</v>
      </c>
      <c r="V182" s="162">
        <v>5.5E-2</v>
      </c>
      <c r="W182" s="2" t="s">
        <v>790</v>
      </c>
      <c r="X182" s="2" t="s">
        <v>1354</v>
      </c>
      <c r="Y182" s="151">
        <v>5.5</v>
      </c>
      <c r="Z182" s="164">
        <v>2.9000000000000001E-2</v>
      </c>
      <c r="AA182" s="2" t="s">
        <v>1355</v>
      </c>
      <c r="AB182" s="4" t="s">
        <v>447</v>
      </c>
      <c r="AE182" s="164">
        <v>0</v>
      </c>
      <c r="AG182" s="2" t="s">
        <v>155</v>
      </c>
      <c r="AJ182" s="2" t="s">
        <v>155</v>
      </c>
      <c r="AK182" s="2" t="s">
        <v>194</v>
      </c>
      <c r="AN182" s="2" t="s">
        <v>157</v>
      </c>
      <c r="AP182" s="162">
        <v>0</v>
      </c>
      <c r="AQ182" s="151">
        <v>602.75</v>
      </c>
      <c r="AR182" s="175">
        <v>125.56</v>
      </c>
      <c r="AS182" s="158">
        <v>1</v>
      </c>
      <c r="AT182" s="151">
        <v>0.75700000000000001</v>
      </c>
      <c r="AU182" s="151">
        <v>0.75700000000000001</v>
      </c>
      <c r="AX182" s="4" t="s">
        <v>155</v>
      </c>
      <c r="AY182" s="2" t="s">
        <v>36</v>
      </c>
      <c r="AZ182" s="164">
        <v>8.3025319958104004E-4</v>
      </c>
      <c r="BA182" s="164">
        <v>1.00031770078147E-5</v>
      </c>
    </row>
    <row r="183" spans="1:53">
      <c r="A183" s="2">
        <v>969</v>
      </c>
      <c r="B183" s="2">
        <v>969</v>
      </c>
      <c r="C183" s="2" t="s">
        <v>1349</v>
      </c>
      <c r="D183" s="2" t="s">
        <v>33</v>
      </c>
      <c r="E183" s="2" t="s">
        <v>1412</v>
      </c>
      <c r="F183" s="2" t="s">
        <v>1413</v>
      </c>
      <c r="G183" s="2" t="s">
        <v>1073</v>
      </c>
      <c r="I183" s="2" t="s">
        <v>30</v>
      </c>
      <c r="J183" s="2" t="s">
        <v>30</v>
      </c>
      <c r="K183" s="2" t="s">
        <v>487</v>
      </c>
      <c r="L183" s="2" t="s">
        <v>155</v>
      </c>
      <c r="M183" s="2" t="s">
        <v>375</v>
      </c>
      <c r="N183" s="2" t="s">
        <v>1349</v>
      </c>
      <c r="O183" s="2" t="s">
        <v>1414</v>
      </c>
      <c r="P183" s="2" t="s">
        <v>1340</v>
      </c>
      <c r="Q183" s="2" t="s">
        <v>101</v>
      </c>
      <c r="R183" s="2" t="s">
        <v>442</v>
      </c>
      <c r="S183" s="2" t="s">
        <v>34</v>
      </c>
      <c r="T183" s="151">
        <v>3.08</v>
      </c>
      <c r="U183" s="2" t="s">
        <v>194</v>
      </c>
      <c r="V183" s="162">
        <v>5.7230999999999997E-2</v>
      </c>
      <c r="W183" s="2" t="s">
        <v>790</v>
      </c>
      <c r="X183" s="2" t="s">
        <v>944</v>
      </c>
      <c r="Y183" s="151">
        <v>5.7230999999999996</v>
      </c>
      <c r="Z183" s="164">
        <v>2.811E-2</v>
      </c>
      <c r="AA183" s="2" t="s">
        <v>1364</v>
      </c>
      <c r="AB183" s="4" t="s">
        <v>447</v>
      </c>
      <c r="AC183" s="2" t="s">
        <v>519</v>
      </c>
      <c r="AD183" s="151">
        <v>4685</v>
      </c>
      <c r="AE183" s="164">
        <v>0.78</v>
      </c>
      <c r="AF183" s="2" t="s">
        <v>1365</v>
      </c>
      <c r="AG183" s="2" t="s">
        <v>155</v>
      </c>
      <c r="AI183" s="2" t="s">
        <v>1366</v>
      </c>
      <c r="AJ183" s="2" t="s">
        <v>375</v>
      </c>
      <c r="AK183" s="2" t="s">
        <v>927</v>
      </c>
      <c r="AL183" s="2" t="s">
        <v>1340</v>
      </c>
      <c r="AN183" s="2" t="s">
        <v>157</v>
      </c>
      <c r="AO183" s="2" t="s">
        <v>1365</v>
      </c>
      <c r="AP183" s="162">
        <v>0</v>
      </c>
      <c r="AQ183" s="151">
        <v>5790.53</v>
      </c>
      <c r="AR183" s="175">
        <v>130.76</v>
      </c>
      <c r="AS183" s="158">
        <v>1</v>
      </c>
      <c r="AT183" s="151">
        <v>7.5720000000000001</v>
      </c>
      <c r="AU183" s="151">
        <v>7.5720000000000001</v>
      </c>
      <c r="AX183" s="4" t="s">
        <v>155</v>
      </c>
      <c r="AY183" s="2" t="s">
        <v>36</v>
      </c>
      <c r="AZ183" s="164">
        <v>8.3064462613616306E-3</v>
      </c>
      <c r="BA183" s="164">
        <v>1.00078930500033E-4</v>
      </c>
    </row>
    <row r="184" spans="1:53">
      <c r="A184" s="2">
        <v>969</v>
      </c>
      <c r="B184" s="2">
        <v>969</v>
      </c>
      <c r="C184" s="2" t="s">
        <v>1349</v>
      </c>
      <c r="D184" s="2" t="s">
        <v>33</v>
      </c>
      <c r="E184" s="2" t="s">
        <v>1415</v>
      </c>
      <c r="F184" s="2" t="s">
        <v>1416</v>
      </c>
      <c r="G184" s="2" t="s">
        <v>1073</v>
      </c>
      <c r="I184" s="2" t="s">
        <v>30</v>
      </c>
      <c r="J184" s="2" t="s">
        <v>30</v>
      </c>
      <c r="K184" s="2" t="s">
        <v>487</v>
      </c>
      <c r="L184" s="2" t="s">
        <v>155</v>
      </c>
      <c r="M184" s="2" t="s">
        <v>375</v>
      </c>
      <c r="N184" s="151">
        <v>513326439</v>
      </c>
      <c r="O184" s="2" t="s">
        <v>1352</v>
      </c>
      <c r="P184" s="2" t="s">
        <v>1353</v>
      </c>
      <c r="Q184" s="2" t="s">
        <v>206</v>
      </c>
      <c r="R184" s="2" t="s">
        <v>442</v>
      </c>
      <c r="S184" s="2" t="s">
        <v>34</v>
      </c>
      <c r="T184" s="151">
        <v>3.22</v>
      </c>
      <c r="U184" s="2" t="s">
        <v>1358</v>
      </c>
      <c r="V184" s="162">
        <v>5.6619999999999997E-2</v>
      </c>
      <c r="W184" s="2" t="s">
        <v>790</v>
      </c>
      <c r="X184" s="2" t="s">
        <v>1354</v>
      </c>
      <c r="Y184" s="151">
        <v>5.6619999999999999</v>
      </c>
      <c r="Z184" s="164">
        <v>3.27E-2</v>
      </c>
      <c r="AA184" s="2" t="s">
        <v>1355</v>
      </c>
      <c r="AB184" s="4" t="s">
        <v>447</v>
      </c>
      <c r="AE184" s="164">
        <v>0</v>
      </c>
      <c r="AG184" s="2" t="s">
        <v>155</v>
      </c>
      <c r="AJ184" s="2" t="s">
        <v>155</v>
      </c>
      <c r="AK184" s="2" t="s">
        <v>194</v>
      </c>
      <c r="AN184" s="2" t="s">
        <v>157</v>
      </c>
      <c r="AP184" s="162">
        <v>0</v>
      </c>
      <c r="AQ184" s="151">
        <v>1302.0999999999999</v>
      </c>
      <c r="AR184" s="175">
        <v>129.13</v>
      </c>
      <c r="AS184" s="158">
        <v>1</v>
      </c>
      <c r="AT184" s="151">
        <v>1.681</v>
      </c>
      <c r="AU184" s="151">
        <v>1.681</v>
      </c>
      <c r="AX184" s="4" t="s">
        <v>155</v>
      </c>
      <c r="AY184" s="2" t="s">
        <v>36</v>
      </c>
      <c r="AZ184" s="164">
        <v>1.84456312268672E-3</v>
      </c>
      <c r="BA184" s="164">
        <v>2.2223932925080701E-5</v>
      </c>
    </row>
    <row r="185" spans="1:53">
      <c r="A185" s="2">
        <v>969</v>
      </c>
      <c r="B185" s="2">
        <v>969</v>
      </c>
      <c r="C185" s="2" t="s">
        <v>1349</v>
      </c>
      <c r="D185" s="2" t="s">
        <v>33</v>
      </c>
      <c r="E185" s="2" t="s">
        <v>1417</v>
      </c>
      <c r="F185" s="2" t="s">
        <v>1418</v>
      </c>
      <c r="G185" s="2" t="s">
        <v>1073</v>
      </c>
      <c r="I185" s="2" t="s">
        <v>30</v>
      </c>
      <c r="J185" s="2" t="s">
        <v>30</v>
      </c>
      <c r="K185" s="2" t="s">
        <v>487</v>
      </c>
      <c r="L185" s="2" t="s">
        <v>155</v>
      </c>
      <c r="M185" s="2" t="s">
        <v>375</v>
      </c>
      <c r="N185" s="2" t="s">
        <v>1349</v>
      </c>
      <c r="O185" s="2" t="s">
        <v>1419</v>
      </c>
      <c r="P185" s="2" t="s">
        <v>1340</v>
      </c>
      <c r="Q185" s="2" t="s">
        <v>101</v>
      </c>
      <c r="R185" s="2" t="s">
        <v>442</v>
      </c>
      <c r="S185" s="2" t="s">
        <v>34</v>
      </c>
      <c r="T185" s="151">
        <v>3.24</v>
      </c>
      <c r="U185" s="2" t="s">
        <v>1358</v>
      </c>
      <c r="V185" s="162">
        <v>5.5E-2</v>
      </c>
      <c r="W185" s="2" t="s">
        <v>790</v>
      </c>
      <c r="X185" s="2" t="s">
        <v>944</v>
      </c>
      <c r="Y185" s="151">
        <v>5.5</v>
      </c>
      <c r="Z185" s="164">
        <v>2.9000000000000001E-2</v>
      </c>
      <c r="AA185" s="2" t="s">
        <v>1364</v>
      </c>
      <c r="AB185" s="4" t="s">
        <v>447</v>
      </c>
      <c r="AC185" s="2" t="s">
        <v>519</v>
      </c>
      <c r="AD185" s="151">
        <v>6161</v>
      </c>
      <c r="AE185" s="164">
        <v>0.78</v>
      </c>
      <c r="AF185" s="2" t="s">
        <v>1365</v>
      </c>
      <c r="AG185" s="2" t="s">
        <v>155</v>
      </c>
      <c r="AI185" s="2" t="s">
        <v>1366</v>
      </c>
      <c r="AJ185" s="2" t="s">
        <v>375</v>
      </c>
      <c r="AK185" s="2" t="s">
        <v>927</v>
      </c>
      <c r="AL185" s="2" t="s">
        <v>1340</v>
      </c>
      <c r="AN185" s="2" t="s">
        <v>157</v>
      </c>
      <c r="AO185" s="2" t="s">
        <v>1365</v>
      </c>
      <c r="AP185" s="162">
        <v>0</v>
      </c>
      <c r="AQ185" s="151">
        <v>7613.63</v>
      </c>
      <c r="AR185" s="175">
        <v>127.45</v>
      </c>
      <c r="AS185" s="158">
        <v>1</v>
      </c>
      <c r="AT185" s="151">
        <v>9.7040000000000006</v>
      </c>
      <c r="AU185" s="151">
        <v>9.7040000000000006</v>
      </c>
      <c r="AX185" s="4" t="s">
        <v>155</v>
      </c>
      <c r="AY185" s="2" t="s">
        <v>36</v>
      </c>
      <c r="AZ185" s="164">
        <v>1.0645195439020601E-2</v>
      </c>
      <c r="BA185" s="164">
        <v>1.2825698752264801E-4</v>
      </c>
    </row>
    <row r="186" spans="1:53">
      <c r="A186" s="2">
        <v>969</v>
      </c>
      <c r="B186" s="2">
        <v>969</v>
      </c>
      <c r="C186" s="2" t="s">
        <v>1349</v>
      </c>
      <c r="D186" s="2" t="s">
        <v>33</v>
      </c>
      <c r="E186" s="2" t="s">
        <v>1420</v>
      </c>
      <c r="F186" s="2" t="s">
        <v>1421</v>
      </c>
      <c r="G186" s="2" t="s">
        <v>1073</v>
      </c>
      <c r="I186" s="2" t="s">
        <v>30</v>
      </c>
      <c r="J186" s="2" t="s">
        <v>30</v>
      </c>
      <c r="K186" s="2" t="s">
        <v>487</v>
      </c>
      <c r="L186" s="2" t="s">
        <v>155</v>
      </c>
      <c r="M186" s="2" t="s">
        <v>375</v>
      </c>
      <c r="N186" s="2" t="s">
        <v>1349</v>
      </c>
      <c r="O186" s="2" t="s">
        <v>1422</v>
      </c>
      <c r="P186" s="2" t="s">
        <v>1340</v>
      </c>
      <c r="Q186" s="2" t="s">
        <v>101</v>
      </c>
      <c r="R186" s="2" t="s">
        <v>442</v>
      </c>
      <c r="S186" s="2" t="s">
        <v>34</v>
      </c>
      <c r="T186" s="151">
        <v>3.24</v>
      </c>
      <c r="U186" s="2" t="s">
        <v>1358</v>
      </c>
      <c r="V186" s="162">
        <v>5.5309999999999998E-2</v>
      </c>
      <c r="W186" s="2" t="s">
        <v>790</v>
      </c>
      <c r="X186" s="2" t="s">
        <v>944</v>
      </c>
      <c r="Y186" s="151">
        <v>5.5309999999999997</v>
      </c>
      <c r="Z186" s="164">
        <v>2.9000000000000001E-2</v>
      </c>
      <c r="AA186" s="2" t="s">
        <v>1355</v>
      </c>
      <c r="AB186" s="4" t="s">
        <v>447</v>
      </c>
      <c r="AC186" s="2" t="s">
        <v>519</v>
      </c>
      <c r="AD186" s="151">
        <v>9674</v>
      </c>
      <c r="AE186" s="164">
        <v>0.78</v>
      </c>
      <c r="AF186" s="2" t="s">
        <v>1365</v>
      </c>
      <c r="AG186" s="2" t="s">
        <v>155</v>
      </c>
      <c r="AI186" s="2" t="s">
        <v>1366</v>
      </c>
      <c r="AJ186" s="2" t="s">
        <v>375</v>
      </c>
      <c r="AK186" s="2" t="s">
        <v>927</v>
      </c>
      <c r="AL186" s="2" t="s">
        <v>1340</v>
      </c>
      <c r="AN186" s="2" t="s">
        <v>157</v>
      </c>
      <c r="AO186" s="2" t="s">
        <v>1365</v>
      </c>
      <c r="AP186" s="162">
        <v>0</v>
      </c>
      <c r="AQ186" s="151">
        <v>5514.84</v>
      </c>
      <c r="AR186" s="175">
        <v>130.07</v>
      </c>
      <c r="AS186" s="158">
        <v>1</v>
      </c>
      <c r="AT186" s="151">
        <v>7.173</v>
      </c>
      <c r="AU186" s="151">
        <v>7.173</v>
      </c>
      <c r="AX186" s="4" t="s">
        <v>155</v>
      </c>
      <c r="AY186" s="2" t="s">
        <v>36</v>
      </c>
      <c r="AZ186" s="164">
        <v>7.8692272835457402E-3</v>
      </c>
      <c r="BA186" s="164">
        <v>9.4811165403222298E-5</v>
      </c>
    </row>
    <row r="187" spans="1:53">
      <c r="A187" s="2">
        <v>969</v>
      </c>
      <c r="B187" s="2">
        <v>969</v>
      </c>
      <c r="C187" s="2" t="s">
        <v>1349</v>
      </c>
      <c r="D187" s="2" t="s">
        <v>33</v>
      </c>
      <c r="E187" s="2" t="s">
        <v>1423</v>
      </c>
      <c r="F187" s="2" t="s">
        <v>1424</v>
      </c>
      <c r="G187" s="2" t="s">
        <v>1073</v>
      </c>
      <c r="I187" s="2" t="s">
        <v>30</v>
      </c>
      <c r="J187" s="2" t="s">
        <v>30</v>
      </c>
      <c r="K187" s="2" t="s">
        <v>487</v>
      </c>
      <c r="L187" s="2" t="s">
        <v>155</v>
      </c>
      <c r="M187" s="2" t="s">
        <v>375</v>
      </c>
      <c r="N187" s="151">
        <v>513326439</v>
      </c>
      <c r="O187" s="2" t="s">
        <v>1425</v>
      </c>
      <c r="P187" s="2" t="s">
        <v>1353</v>
      </c>
      <c r="Q187" s="2" t="s">
        <v>206</v>
      </c>
      <c r="R187" s="2" t="s">
        <v>442</v>
      </c>
      <c r="S187" s="2" t="s">
        <v>34</v>
      </c>
      <c r="T187" s="151">
        <v>3.24</v>
      </c>
      <c r="U187" s="2" t="s">
        <v>194</v>
      </c>
      <c r="V187" s="162">
        <v>5.5E-2</v>
      </c>
      <c r="W187" s="2" t="s">
        <v>790</v>
      </c>
      <c r="X187" s="2" t="s">
        <v>1354</v>
      </c>
      <c r="Y187" s="151">
        <v>5.5</v>
      </c>
      <c r="Z187" s="164">
        <v>2.75E-2</v>
      </c>
      <c r="AA187" s="2" t="s">
        <v>1364</v>
      </c>
      <c r="AB187" s="4" t="s">
        <v>447</v>
      </c>
      <c r="AE187" s="164">
        <v>0</v>
      </c>
      <c r="AG187" s="2" t="s">
        <v>155</v>
      </c>
      <c r="AJ187" s="2" t="s">
        <v>155</v>
      </c>
      <c r="AK187" s="2" t="s">
        <v>194</v>
      </c>
      <c r="AN187" s="2" t="s">
        <v>157</v>
      </c>
      <c r="AP187" s="162">
        <v>0</v>
      </c>
      <c r="AQ187" s="151">
        <v>1315.41</v>
      </c>
      <c r="AR187" s="175">
        <v>128.68</v>
      </c>
      <c r="AS187" s="158">
        <v>1</v>
      </c>
      <c r="AT187" s="151">
        <v>1.6930000000000001</v>
      </c>
      <c r="AU187" s="151">
        <v>1.6930000000000001</v>
      </c>
      <c r="AX187" s="4" t="s">
        <v>155</v>
      </c>
      <c r="AY187" s="2" t="s">
        <v>36</v>
      </c>
      <c r="AZ187" s="164">
        <v>1.85692440135537E-3</v>
      </c>
      <c r="BA187" s="164">
        <v>2.2372865875447801E-5</v>
      </c>
    </row>
    <row r="188" spans="1:53">
      <c r="A188" s="2">
        <v>969</v>
      </c>
      <c r="B188" s="2">
        <v>969</v>
      </c>
      <c r="C188" s="2" t="s">
        <v>1349</v>
      </c>
      <c r="D188" s="2" t="s">
        <v>33</v>
      </c>
      <c r="E188" s="2" t="s">
        <v>1426</v>
      </c>
      <c r="F188" s="2" t="s">
        <v>1427</v>
      </c>
      <c r="G188" s="2" t="s">
        <v>1073</v>
      </c>
      <c r="I188" s="2" t="s">
        <v>30</v>
      </c>
      <c r="J188" s="2" t="s">
        <v>30</v>
      </c>
      <c r="K188" s="2" t="s">
        <v>487</v>
      </c>
      <c r="L188" s="2" t="s">
        <v>155</v>
      </c>
      <c r="M188" s="2" t="s">
        <v>375</v>
      </c>
      <c r="N188" s="2" t="s">
        <v>1349</v>
      </c>
      <c r="O188" s="2" t="s">
        <v>1428</v>
      </c>
      <c r="P188" s="2" t="s">
        <v>1340</v>
      </c>
      <c r="Q188" s="2" t="s">
        <v>206</v>
      </c>
      <c r="R188" s="2" t="s">
        <v>442</v>
      </c>
      <c r="S188" s="2" t="s">
        <v>34</v>
      </c>
      <c r="T188" s="151">
        <v>3.24</v>
      </c>
      <c r="U188" s="2" t="s">
        <v>1358</v>
      </c>
      <c r="V188" s="162">
        <v>5.5E-2</v>
      </c>
      <c r="W188" s="2" t="s">
        <v>790</v>
      </c>
      <c r="X188" s="2" t="s">
        <v>944</v>
      </c>
      <c r="Y188" s="151">
        <v>5.5</v>
      </c>
      <c r="Z188" s="164">
        <v>2.9000000000000001E-2</v>
      </c>
      <c r="AA188" s="2" t="s">
        <v>1355</v>
      </c>
      <c r="AB188" s="4" t="s">
        <v>447</v>
      </c>
      <c r="AC188" s="2" t="s">
        <v>519</v>
      </c>
      <c r="AD188" s="151">
        <v>2154</v>
      </c>
      <c r="AE188" s="164">
        <v>0.78</v>
      </c>
      <c r="AF188" s="2" t="s">
        <v>1365</v>
      </c>
      <c r="AG188" s="2" t="s">
        <v>155</v>
      </c>
      <c r="AI188" s="2" t="s">
        <v>1366</v>
      </c>
      <c r="AJ188" s="2" t="s">
        <v>375</v>
      </c>
      <c r="AK188" s="2" t="s">
        <v>927</v>
      </c>
      <c r="AL188" s="2" t="s">
        <v>1340</v>
      </c>
      <c r="AN188" s="2" t="s">
        <v>157</v>
      </c>
      <c r="AO188" s="2" t="s">
        <v>1365</v>
      </c>
      <c r="AP188" s="162">
        <v>0</v>
      </c>
      <c r="AQ188" s="151">
        <v>2662.91</v>
      </c>
      <c r="AR188" s="175">
        <v>127.82</v>
      </c>
      <c r="AS188" s="158">
        <v>1</v>
      </c>
      <c r="AT188" s="151">
        <v>3.4039999999999999</v>
      </c>
      <c r="AU188" s="151">
        <v>3.4039999999999999</v>
      </c>
      <c r="AX188" s="4" t="s">
        <v>155</v>
      </c>
      <c r="AY188" s="2" t="s">
        <v>36</v>
      </c>
      <c r="AZ188" s="164">
        <v>3.7340259658172701E-3</v>
      </c>
      <c r="BA188" s="164">
        <v>4.4988833173656901E-5</v>
      </c>
    </row>
    <row r="189" spans="1:53">
      <c r="A189" s="2">
        <v>969</v>
      </c>
      <c r="B189" s="2">
        <v>969</v>
      </c>
      <c r="C189" s="2" t="s">
        <v>1349</v>
      </c>
      <c r="D189" s="2" t="s">
        <v>33</v>
      </c>
      <c r="E189" s="2" t="s">
        <v>1429</v>
      </c>
      <c r="F189" s="2" t="s">
        <v>1430</v>
      </c>
      <c r="G189" s="2" t="s">
        <v>1073</v>
      </c>
      <c r="I189" s="2" t="s">
        <v>30</v>
      </c>
      <c r="J189" s="2" t="s">
        <v>30</v>
      </c>
      <c r="K189" s="2" t="s">
        <v>487</v>
      </c>
      <c r="L189" s="2" t="s">
        <v>155</v>
      </c>
      <c r="M189" s="2" t="s">
        <v>375</v>
      </c>
      <c r="N189" s="2" t="s">
        <v>1349</v>
      </c>
      <c r="O189" s="2" t="s">
        <v>1431</v>
      </c>
      <c r="P189" s="2" t="s">
        <v>1340</v>
      </c>
      <c r="Q189" s="2" t="s">
        <v>206</v>
      </c>
      <c r="R189" s="2" t="s">
        <v>442</v>
      </c>
      <c r="S189" s="2" t="s">
        <v>34</v>
      </c>
      <c r="T189" s="151">
        <v>3.24</v>
      </c>
      <c r="U189" s="2" t="s">
        <v>1358</v>
      </c>
      <c r="V189" s="162">
        <v>5.5E-2</v>
      </c>
      <c r="W189" s="2" t="s">
        <v>790</v>
      </c>
      <c r="X189" s="2" t="s">
        <v>944</v>
      </c>
      <c r="Y189" s="151">
        <v>5.5</v>
      </c>
      <c r="Z189" s="164">
        <v>2.9000000000000001E-2</v>
      </c>
      <c r="AA189" s="2" t="s">
        <v>1355</v>
      </c>
      <c r="AB189" s="4" t="s">
        <v>447</v>
      </c>
      <c r="AC189" s="2" t="s">
        <v>519</v>
      </c>
      <c r="AD189" s="151">
        <v>3341</v>
      </c>
      <c r="AE189" s="164">
        <v>0.78</v>
      </c>
      <c r="AF189" s="2" t="s">
        <v>1365</v>
      </c>
      <c r="AG189" s="2" t="s">
        <v>155</v>
      </c>
      <c r="AI189" s="2" t="s">
        <v>1366</v>
      </c>
      <c r="AJ189" s="2" t="s">
        <v>375</v>
      </c>
      <c r="AK189" s="2" t="s">
        <v>927</v>
      </c>
      <c r="AL189" s="2" t="s">
        <v>1340</v>
      </c>
      <c r="AN189" s="2" t="s">
        <v>157</v>
      </c>
      <c r="AO189" s="2" t="s">
        <v>1365</v>
      </c>
      <c r="AP189" s="162">
        <v>0</v>
      </c>
      <c r="AQ189" s="151">
        <v>4129.08</v>
      </c>
      <c r="AR189" s="175">
        <v>128.06</v>
      </c>
      <c r="AS189" s="158">
        <v>1</v>
      </c>
      <c r="AT189" s="151">
        <v>5.2880000000000003</v>
      </c>
      <c r="AU189" s="151">
        <v>5.2880000000000003</v>
      </c>
      <c r="AX189" s="4" t="s">
        <v>155</v>
      </c>
      <c r="AY189" s="2" t="s">
        <v>36</v>
      </c>
      <c r="AZ189" s="164">
        <v>5.8008124824856701E-3</v>
      </c>
      <c r="BA189" s="164">
        <v>6.9890190222363601E-5</v>
      </c>
    </row>
    <row r="190" spans="1:53">
      <c r="A190" s="2">
        <v>969</v>
      </c>
      <c r="B190" s="2">
        <v>969</v>
      </c>
      <c r="C190" s="2" t="s">
        <v>1349</v>
      </c>
      <c r="D190" s="2" t="s">
        <v>33</v>
      </c>
      <c r="E190" s="2" t="s">
        <v>1432</v>
      </c>
      <c r="F190" s="2" t="s">
        <v>1433</v>
      </c>
      <c r="G190" s="2" t="s">
        <v>1073</v>
      </c>
      <c r="I190" s="2" t="s">
        <v>30</v>
      </c>
      <c r="J190" s="2" t="s">
        <v>30</v>
      </c>
      <c r="K190" s="2" t="s">
        <v>487</v>
      </c>
      <c r="L190" s="2" t="s">
        <v>155</v>
      </c>
      <c r="M190" s="2" t="s">
        <v>375</v>
      </c>
      <c r="N190" s="151">
        <v>513326439</v>
      </c>
      <c r="O190" s="2" t="s">
        <v>1425</v>
      </c>
      <c r="P190" s="2" t="s">
        <v>1353</v>
      </c>
      <c r="Q190" s="2" t="s">
        <v>206</v>
      </c>
      <c r="R190" s="2" t="s">
        <v>442</v>
      </c>
      <c r="S190" s="2" t="s">
        <v>34</v>
      </c>
      <c r="T190" s="151">
        <v>3.21</v>
      </c>
      <c r="U190" s="2" t="s">
        <v>194</v>
      </c>
      <c r="V190" s="162">
        <v>5.5E-2</v>
      </c>
      <c r="W190" s="2" t="s">
        <v>790</v>
      </c>
      <c r="X190" s="2" t="s">
        <v>1354</v>
      </c>
      <c r="Y190" s="151">
        <v>5.5</v>
      </c>
      <c r="Z190" s="164">
        <v>3.0949999999999998E-2</v>
      </c>
      <c r="AA190" s="2" t="s">
        <v>1364</v>
      </c>
      <c r="AB190" s="4" t="s">
        <v>447</v>
      </c>
      <c r="AE190" s="164">
        <v>0</v>
      </c>
      <c r="AG190" s="2" t="s">
        <v>155</v>
      </c>
      <c r="AJ190" s="2" t="s">
        <v>155</v>
      </c>
      <c r="AK190" s="2" t="s">
        <v>194</v>
      </c>
      <c r="AN190" s="2" t="s">
        <v>157</v>
      </c>
      <c r="AP190" s="162">
        <v>0</v>
      </c>
      <c r="AQ190" s="151">
        <v>1089.27</v>
      </c>
      <c r="AR190" s="175">
        <v>127.76</v>
      </c>
      <c r="AS190" s="158">
        <v>1</v>
      </c>
      <c r="AT190" s="151">
        <v>1.3919999999999999</v>
      </c>
      <c r="AU190" s="151">
        <v>1.3919999999999999</v>
      </c>
      <c r="AX190" s="4" t="s">
        <v>155</v>
      </c>
      <c r="AY190" s="2" t="s">
        <v>36</v>
      </c>
      <c r="AZ190" s="164">
        <v>1.52669568356892E-3</v>
      </c>
      <c r="BA190" s="164">
        <v>1.83941563459351E-5</v>
      </c>
    </row>
    <row r="191" spans="1:53">
      <c r="A191" s="2">
        <v>969</v>
      </c>
      <c r="B191" s="2">
        <v>969</v>
      </c>
      <c r="C191" s="2" t="s">
        <v>1349</v>
      </c>
      <c r="D191" s="2" t="s">
        <v>33</v>
      </c>
      <c r="E191" s="2" t="s">
        <v>1434</v>
      </c>
      <c r="F191" s="2" t="s">
        <v>1435</v>
      </c>
      <c r="G191" s="2" t="s">
        <v>1073</v>
      </c>
      <c r="I191" s="2" t="s">
        <v>30</v>
      </c>
      <c r="J191" s="2" t="s">
        <v>30</v>
      </c>
      <c r="K191" s="2" t="s">
        <v>487</v>
      </c>
      <c r="L191" s="2" t="s">
        <v>155</v>
      </c>
      <c r="M191" s="2" t="s">
        <v>375</v>
      </c>
      <c r="N191" s="2" t="s">
        <v>1349</v>
      </c>
      <c r="O191" s="2" t="s">
        <v>1436</v>
      </c>
      <c r="P191" s="2" t="s">
        <v>1340</v>
      </c>
      <c r="Q191" s="2" t="s">
        <v>206</v>
      </c>
      <c r="R191" s="2" t="s">
        <v>442</v>
      </c>
      <c r="S191" s="2" t="s">
        <v>34</v>
      </c>
      <c r="T191" s="151">
        <v>3.24</v>
      </c>
      <c r="U191" s="2" t="s">
        <v>1358</v>
      </c>
      <c r="V191" s="162">
        <v>5.5E-2</v>
      </c>
      <c r="W191" s="2" t="s">
        <v>790</v>
      </c>
      <c r="X191" s="2" t="s">
        <v>944</v>
      </c>
      <c r="Y191" s="151">
        <v>5.5</v>
      </c>
      <c r="Z191" s="164">
        <v>2.76E-2</v>
      </c>
      <c r="AA191" s="2" t="s">
        <v>1355</v>
      </c>
      <c r="AB191" s="4" t="s">
        <v>447</v>
      </c>
      <c r="AC191" s="2" t="s">
        <v>519</v>
      </c>
      <c r="AD191" s="151">
        <v>774</v>
      </c>
      <c r="AE191" s="164">
        <v>0.78</v>
      </c>
      <c r="AF191" s="2" t="s">
        <v>1365</v>
      </c>
      <c r="AG191" s="2" t="s">
        <v>155</v>
      </c>
      <c r="AI191" s="2" t="s">
        <v>1366</v>
      </c>
      <c r="AJ191" s="2" t="s">
        <v>375</v>
      </c>
      <c r="AK191" s="2" t="s">
        <v>927</v>
      </c>
      <c r="AL191" s="2" t="s">
        <v>1340</v>
      </c>
      <c r="AN191" s="2" t="s">
        <v>157</v>
      </c>
      <c r="AO191" s="2" t="s">
        <v>1365</v>
      </c>
      <c r="AP191" s="162">
        <v>0</v>
      </c>
      <c r="AQ191" s="151">
        <v>956.12</v>
      </c>
      <c r="AR191" s="175">
        <v>126.71</v>
      </c>
      <c r="AS191" s="158">
        <v>1</v>
      </c>
      <c r="AT191" s="151">
        <v>1.2110000000000001</v>
      </c>
      <c r="AU191" s="151">
        <v>1.2110000000000001</v>
      </c>
      <c r="AX191" s="4" t="s">
        <v>155</v>
      </c>
      <c r="AY191" s="2" t="s">
        <v>36</v>
      </c>
      <c r="AZ191" s="164">
        <v>1.3290622588017699E-3</v>
      </c>
      <c r="BA191" s="164">
        <v>1.6013000655593802E-5</v>
      </c>
    </row>
    <row r="192" spans="1:53">
      <c r="A192" s="2">
        <v>969</v>
      </c>
      <c r="B192" s="2">
        <v>969</v>
      </c>
      <c r="C192" s="2" t="s">
        <v>1349</v>
      </c>
      <c r="D192" s="2" t="s">
        <v>33</v>
      </c>
      <c r="E192" s="2" t="s">
        <v>1437</v>
      </c>
      <c r="F192" s="2" t="s">
        <v>1438</v>
      </c>
      <c r="G192" s="2" t="s">
        <v>1073</v>
      </c>
      <c r="I192" s="2" t="s">
        <v>30</v>
      </c>
      <c r="J192" s="2" t="s">
        <v>30</v>
      </c>
      <c r="K192" s="2" t="s">
        <v>487</v>
      </c>
      <c r="L192" s="2" t="s">
        <v>155</v>
      </c>
      <c r="M192" s="2" t="s">
        <v>375</v>
      </c>
      <c r="N192" s="2" t="s">
        <v>1349</v>
      </c>
      <c r="O192" s="2" t="s">
        <v>1439</v>
      </c>
      <c r="P192" s="2" t="s">
        <v>1340</v>
      </c>
      <c r="Q192" s="2" t="s">
        <v>206</v>
      </c>
      <c r="R192" s="2" t="s">
        <v>442</v>
      </c>
      <c r="S192" s="2" t="s">
        <v>34</v>
      </c>
      <c r="T192" s="151">
        <v>3.24</v>
      </c>
      <c r="U192" s="2" t="s">
        <v>1358</v>
      </c>
      <c r="V192" s="162">
        <v>5.5E-2</v>
      </c>
      <c r="W192" s="2" t="s">
        <v>790</v>
      </c>
      <c r="X192" s="2" t="s">
        <v>944</v>
      </c>
      <c r="Y192" s="151">
        <v>5.5</v>
      </c>
      <c r="Z192" s="164">
        <v>2.7799999999999998E-2</v>
      </c>
      <c r="AA192" s="2" t="s">
        <v>1355</v>
      </c>
      <c r="AB192" s="4" t="s">
        <v>447</v>
      </c>
      <c r="AC192" s="2" t="s">
        <v>519</v>
      </c>
      <c r="AD192" s="151">
        <v>862</v>
      </c>
      <c r="AE192" s="164">
        <v>0.78</v>
      </c>
      <c r="AF192" s="2" t="s">
        <v>1365</v>
      </c>
      <c r="AG192" s="2" t="s">
        <v>155</v>
      </c>
      <c r="AI192" s="2" t="s">
        <v>1366</v>
      </c>
      <c r="AJ192" s="2" t="s">
        <v>375</v>
      </c>
      <c r="AK192" s="2" t="s">
        <v>927</v>
      </c>
      <c r="AL192" s="2" t="s">
        <v>1340</v>
      </c>
      <c r="AN192" s="2" t="s">
        <v>157</v>
      </c>
      <c r="AO192" s="2" t="s">
        <v>1365</v>
      </c>
      <c r="AP192" s="162">
        <v>0</v>
      </c>
      <c r="AQ192" s="151">
        <v>1065.82</v>
      </c>
      <c r="AR192" s="175">
        <v>126.03</v>
      </c>
      <c r="AS192" s="158">
        <v>1</v>
      </c>
      <c r="AT192" s="151">
        <v>1.343</v>
      </c>
      <c r="AU192" s="151">
        <v>1.343</v>
      </c>
      <c r="AX192" s="4" t="s">
        <v>155</v>
      </c>
      <c r="AY192" s="2" t="s">
        <v>36</v>
      </c>
      <c r="AZ192" s="164">
        <v>1.47360074896075E-3</v>
      </c>
      <c r="BA192" s="164">
        <v>1.7754450254622401E-5</v>
      </c>
    </row>
    <row r="193" spans="1:53">
      <c r="A193" s="2">
        <v>969</v>
      </c>
      <c r="B193" s="2">
        <v>969</v>
      </c>
      <c r="C193" s="2" t="s">
        <v>1349</v>
      </c>
      <c r="D193" s="2" t="s">
        <v>33</v>
      </c>
      <c r="E193" s="2" t="s">
        <v>1440</v>
      </c>
      <c r="F193" s="2" t="s">
        <v>1441</v>
      </c>
      <c r="G193" s="2" t="s">
        <v>1073</v>
      </c>
      <c r="I193" s="2" t="s">
        <v>30</v>
      </c>
      <c r="J193" s="2" t="s">
        <v>30</v>
      </c>
      <c r="K193" s="2" t="s">
        <v>487</v>
      </c>
      <c r="L193" s="2" t="s">
        <v>155</v>
      </c>
      <c r="M193" s="2" t="s">
        <v>375</v>
      </c>
      <c r="N193" s="2" t="s">
        <v>1349</v>
      </c>
      <c r="O193" s="2" t="s">
        <v>1442</v>
      </c>
      <c r="P193" s="2" t="s">
        <v>1340</v>
      </c>
      <c r="Q193" s="2" t="s">
        <v>206</v>
      </c>
      <c r="R193" s="2" t="s">
        <v>442</v>
      </c>
      <c r="S193" s="2" t="s">
        <v>34</v>
      </c>
      <c r="T193" s="151">
        <v>3.24</v>
      </c>
      <c r="U193" s="2" t="s">
        <v>1358</v>
      </c>
      <c r="V193" s="162">
        <v>5.5E-2</v>
      </c>
      <c r="W193" s="2" t="s">
        <v>790</v>
      </c>
      <c r="X193" s="2" t="s">
        <v>944</v>
      </c>
      <c r="Y193" s="151">
        <v>5.5</v>
      </c>
      <c r="Z193" s="164">
        <v>2.9000000000000001E-2</v>
      </c>
      <c r="AA193" s="2" t="s">
        <v>1355</v>
      </c>
      <c r="AB193" s="4" t="s">
        <v>447</v>
      </c>
      <c r="AC193" s="2" t="s">
        <v>519</v>
      </c>
      <c r="AD193" s="151">
        <v>2532</v>
      </c>
      <c r="AE193" s="164">
        <v>0.78</v>
      </c>
      <c r="AF193" s="2" t="s">
        <v>1365</v>
      </c>
      <c r="AG193" s="2" t="s">
        <v>155</v>
      </c>
      <c r="AI193" s="2" t="s">
        <v>1366</v>
      </c>
      <c r="AJ193" s="2" t="s">
        <v>375</v>
      </c>
      <c r="AK193" s="2" t="s">
        <v>927</v>
      </c>
      <c r="AL193" s="2" t="s">
        <v>1340</v>
      </c>
      <c r="AN193" s="2" t="s">
        <v>157</v>
      </c>
      <c r="AO193" s="2" t="s">
        <v>1365</v>
      </c>
      <c r="AP193" s="162">
        <v>0</v>
      </c>
      <c r="AQ193" s="151">
        <v>3129.44</v>
      </c>
      <c r="AR193" s="175">
        <v>125.67</v>
      </c>
      <c r="AS193" s="158">
        <v>1</v>
      </c>
      <c r="AT193" s="151">
        <v>3.9329999999999998</v>
      </c>
      <c r="AU193" s="151">
        <v>3.9329999999999998</v>
      </c>
      <c r="AX193" s="4" t="s">
        <v>155</v>
      </c>
      <c r="AY193" s="2" t="s">
        <v>36</v>
      </c>
      <c r="AZ193" s="164">
        <v>4.3143986986209203E-3</v>
      </c>
      <c r="BA193" s="164">
        <v>5.1981364102382599E-5</v>
      </c>
    </row>
    <row r="194" spans="1:53">
      <c r="A194" s="2">
        <v>969</v>
      </c>
      <c r="B194" s="2">
        <v>969</v>
      </c>
      <c r="C194" s="2" t="s">
        <v>1349</v>
      </c>
      <c r="D194" s="2" t="s">
        <v>33</v>
      </c>
      <c r="E194" s="2" t="s">
        <v>1443</v>
      </c>
      <c r="F194" s="2" t="s">
        <v>1444</v>
      </c>
      <c r="G194" s="2" t="s">
        <v>1073</v>
      </c>
      <c r="I194" s="2" t="s">
        <v>30</v>
      </c>
      <c r="J194" s="2" t="s">
        <v>30</v>
      </c>
      <c r="K194" s="2" t="s">
        <v>487</v>
      </c>
      <c r="L194" s="2" t="s">
        <v>155</v>
      </c>
      <c r="M194" s="2" t="s">
        <v>375</v>
      </c>
      <c r="N194" s="2" t="s">
        <v>1349</v>
      </c>
      <c r="O194" s="2" t="s">
        <v>1445</v>
      </c>
      <c r="P194" s="2" t="s">
        <v>1340</v>
      </c>
      <c r="Q194" s="2" t="s">
        <v>206</v>
      </c>
      <c r="R194" s="2" t="s">
        <v>442</v>
      </c>
      <c r="S194" s="2" t="s">
        <v>34</v>
      </c>
      <c r="T194" s="151">
        <v>3.24</v>
      </c>
      <c r="U194" s="2" t="s">
        <v>1358</v>
      </c>
      <c r="V194" s="162">
        <v>5.5E-2</v>
      </c>
      <c r="W194" s="2" t="s">
        <v>790</v>
      </c>
      <c r="X194" s="2" t="s">
        <v>944</v>
      </c>
      <c r="Y194" s="151">
        <v>5.5</v>
      </c>
      <c r="Z194" s="164">
        <v>2.9000000000000001E-2</v>
      </c>
      <c r="AA194" s="2" t="s">
        <v>1355</v>
      </c>
      <c r="AB194" s="4" t="s">
        <v>447</v>
      </c>
      <c r="AC194" s="2" t="s">
        <v>519</v>
      </c>
      <c r="AD194" s="151">
        <v>470</v>
      </c>
      <c r="AE194" s="164">
        <v>0.78</v>
      </c>
      <c r="AF194" s="2" t="s">
        <v>1365</v>
      </c>
      <c r="AG194" s="2" t="s">
        <v>155</v>
      </c>
      <c r="AI194" s="2" t="s">
        <v>1366</v>
      </c>
      <c r="AJ194" s="2" t="s">
        <v>375</v>
      </c>
      <c r="AK194" s="2" t="s">
        <v>927</v>
      </c>
      <c r="AL194" s="2" t="s">
        <v>1340</v>
      </c>
      <c r="AN194" s="2" t="s">
        <v>157</v>
      </c>
      <c r="AO194" s="2" t="s">
        <v>1365</v>
      </c>
      <c r="AP194" s="162">
        <v>0</v>
      </c>
      <c r="AQ194" s="151">
        <v>580.9</v>
      </c>
      <c r="AR194" s="175">
        <v>126.3</v>
      </c>
      <c r="AS194" s="158">
        <v>1</v>
      </c>
      <c r="AT194" s="151">
        <v>0.73399999999999999</v>
      </c>
      <c r="AU194" s="151">
        <v>0.73399999999999999</v>
      </c>
      <c r="AX194" s="4" t="s">
        <v>155</v>
      </c>
      <c r="AY194" s="2" t="s">
        <v>36</v>
      </c>
      <c r="AZ194" s="164">
        <v>8.0487188793037102E-4</v>
      </c>
      <c r="BA194" s="164">
        <v>9.6973742078251192E-6</v>
      </c>
    </row>
    <row r="195" spans="1:53">
      <c r="A195" s="2">
        <v>969</v>
      </c>
      <c r="B195" s="2">
        <v>969</v>
      </c>
      <c r="C195" s="2" t="s">
        <v>1349</v>
      </c>
      <c r="D195" s="2" t="s">
        <v>33</v>
      </c>
      <c r="E195" s="2" t="s">
        <v>1446</v>
      </c>
      <c r="F195" s="2" t="s">
        <v>1447</v>
      </c>
      <c r="G195" s="2" t="s">
        <v>1073</v>
      </c>
      <c r="I195" s="2" t="s">
        <v>30</v>
      </c>
      <c r="J195" s="2" t="s">
        <v>30</v>
      </c>
      <c r="K195" s="2" t="s">
        <v>487</v>
      </c>
      <c r="L195" s="2" t="s">
        <v>155</v>
      </c>
      <c r="M195" s="2" t="s">
        <v>375</v>
      </c>
      <c r="N195" s="2" t="s">
        <v>1349</v>
      </c>
      <c r="O195" s="2" t="s">
        <v>1448</v>
      </c>
      <c r="P195" s="2" t="s">
        <v>1340</v>
      </c>
      <c r="Q195" s="2" t="s">
        <v>206</v>
      </c>
      <c r="R195" s="2" t="s">
        <v>442</v>
      </c>
      <c r="S195" s="2" t="s">
        <v>34</v>
      </c>
      <c r="T195" s="151">
        <v>3.24</v>
      </c>
      <c r="U195" s="2" t="s">
        <v>1358</v>
      </c>
      <c r="V195" s="162">
        <v>5.5E-2</v>
      </c>
      <c r="W195" s="2" t="s">
        <v>790</v>
      </c>
      <c r="X195" s="2" t="s">
        <v>944</v>
      </c>
      <c r="Y195" s="151">
        <v>5.5</v>
      </c>
      <c r="Z195" s="164">
        <v>2.9000000000000001E-2</v>
      </c>
      <c r="AA195" s="2" t="s">
        <v>1449</v>
      </c>
      <c r="AB195" s="4" t="s">
        <v>447</v>
      </c>
      <c r="AC195" s="2" t="s">
        <v>519</v>
      </c>
      <c r="AD195" s="151">
        <v>938</v>
      </c>
      <c r="AE195" s="164">
        <v>0.78</v>
      </c>
      <c r="AF195" s="2" t="s">
        <v>1365</v>
      </c>
      <c r="AG195" s="2" t="s">
        <v>155</v>
      </c>
      <c r="AI195" s="2" t="s">
        <v>1366</v>
      </c>
      <c r="AJ195" s="2" t="s">
        <v>375</v>
      </c>
      <c r="AK195" s="2" t="s">
        <v>927</v>
      </c>
      <c r="AL195" s="2" t="s">
        <v>1340</v>
      </c>
      <c r="AN195" s="2" t="s">
        <v>157</v>
      </c>
      <c r="AO195" s="2" t="s">
        <v>1365</v>
      </c>
      <c r="AP195" s="162">
        <v>0</v>
      </c>
      <c r="AQ195" s="151">
        <v>1159.22</v>
      </c>
      <c r="AR195" s="175">
        <v>126.55</v>
      </c>
      <c r="AS195" s="158">
        <v>1</v>
      </c>
      <c r="AT195" s="151">
        <v>1.4670000000000001</v>
      </c>
      <c r="AU195" s="151">
        <v>1.4670000000000001</v>
      </c>
      <c r="AX195" s="4" t="s">
        <v>155</v>
      </c>
      <c r="AY195" s="2" t="s">
        <v>36</v>
      </c>
      <c r="AZ195" s="164">
        <v>1.60934830430375E-3</v>
      </c>
      <c r="BA195" s="164">
        <v>1.9389983637883402E-5</v>
      </c>
    </row>
    <row r="196" spans="1:53">
      <c r="A196" s="2">
        <v>969</v>
      </c>
      <c r="B196" s="2">
        <v>969</v>
      </c>
      <c r="C196" s="2" t="s">
        <v>1349</v>
      </c>
      <c r="D196" s="2" t="s">
        <v>33</v>
      </c>
      <c r="E196" s="2" t="s">
        <v>1450</v>
      </c>
      <c r="F196" s="2" t="s">
        <v>1451</v>
      </c>
      <c r="G196" s="2" t="s">
        <v>1073</v>
      </c>
      <c r="I196" s="2" t="s">
        <v>30</v>
      </c>
      <c r="J196" s="2" t="s">
        <v>30</v>
      </c>
      <c r="K196" s="2" t="s">
        <v>487</v>
      </c>
      <c r="L196" s="2" t="s">
        <v>155</v>
      </c>
      <c r="M196" s="2" t="s">
        <v>375</v>
      </c>
      <c r="N196" s="2" t="s">
        <v>1349</v>
      </c>
      <c r="O196" s="2" t="s">
        <v>1452</v>
      </c>
      <c r="P196" s="2" t="s">
        <v>1340</v>
      </c>
      <c r="Q196" s="2" t="s">
        <v>206</v>
      </c>
      <c r="R196" s="2" t="s">
        <v>442</v>
      </c>
      <c r="S196" s="2" t="s">
        <v>34</v>
      </c>
      <c r="T196" s="151">
        <v>3.24</v>
      </c>
      <c r="U196" s="2" t="s">
        <v>1358</v>
      </c>
      <c r="V196" s="162">
        <v>5.5E-2</v>
      </c>
      <c r="W196" s="2" t="s">
        <v>790</v>
      </c>
      <c r="X196" s="2" t="s">
        <v>944</v>
      </c>
      <c r="Y196" s="151">
        <v>5.5</v>
      </c>
      <c r="Z196" s="164">
        <v>2.9000000000000001E-2</v>
      </c>
      <c r="AA196" s="2" t="s">
        <v>1355</v>
      </c>
      <c r="AB196" s="4" t="s">
        <v>447</v>
      </c>
      <c r="AC196" s="2" t="s">
        <v>519</v>
      </c>
      <c r="AD196" s="151">
        <v>588</v>
      </c>
      <c r="AE196" s="164">
        <v>0.78</v>
      </c>
      <c r="AF196" s="2" t="s">
        <v>1365</v>
      </c>
      <c r="AG196" s="2" t="s">
        <v>155</v>
      </c>
      <c r="AI196" s="2" t="s">
        <v>1366</v>
      </c>
      <c r="AJ196" s="2" t="s">
        <v>375</v>
      </c>
      <c r="AK196" s="2" t="s">
        <v>927</v>
      </c>
      <c r="AL196" s="2" t="s">
        <v>1340</v>
      </c>
      <c r="AN196" s="2" t="s">
        <v>157</v>
      </c>
      <c r="AO196" s="2" t="s">
        <v>1365</v>
      </c>
      <c r="AP196" s="162">
        <v>0</v>
      </c>
      <c r="AQ196" s="151">
        <v>726.4</v>
      </c>
      <c r="AR196" s="175">
        <v>126.06</v>
      </c>
      <c r="AS196" s="158">
        <v>1</v>
      </c>
      <c r="AT196" s="151">
        <v>0.91600000000000004</v>
      </c>
      <c r="AU196" s="151">
        <v>0.91600000000000004</v>
      </c>
      <c r="AX196" s="4" t="s">
        <v>155</v>
      </c>
      <c r="AY196" s="2" t="s">
        <v>36</v>
      </c>
      <c r="AZ196" s="164">
        <v>1.0045583551969699E-3</v>
      </c>
      <c r="BA196" s="164">
        <v>1.21032656625535E-5</v>
      </c>
    </row>
    <row r="197" spans="1:53">
      <c r="A197" s="2">
        <v>969</v>
      </c>
      <c r="B197" s="2">
        <v>969</v>
      </c>
      <c r="C197" s="2" t="s">
        <v>1349</v>
      </c>
      <c r="D197" s="2" t="s">
        <v>33</v>
      </c>
      <c r="E197" s="2" t="s">
        <v>1453</v>
      </c>
      <c r="F197" s="2" t="s">
        <v>1454</v>
      </c>
      <c r="G197" s="2" t="s">
        <v>1073</v>
      </c>
      <c r="I197" s="2" t="s">
        <v>30</v>
      </c>
      <c r="J197" s="2" t="s">
        <v>30</v>
      </c>
      <c r="K197" s="2" t="s">
        <v>487</v>
      </c>
      <c r="L197" s="2" t="s">
        <v>155</v>
      </c>
      <c r="M197" s="2" t="s">
        <v>375</v>
      </c>
      <c r="N197" s="2" t="s">
        <v>1349</v>
      </c>
      <c r="O197" s="2" t="s">
        <v>1455</v>
      </c>
      <c r="P197" s="2" t="s">
        <v>1340</v>
      </c>
      <c r="Q197" s="2" t="s">
        <v>206</v>
      </c>
      <c r="R197" s="2" t="s">
        <v>442</v>
      </c>
      <c r="S197" s="2" t="s">
        <v>34</v>
      </c>
      <c r="T197" s="151">
        <v>3.24</v>
      </c>
      <c r="U197" s="2" t="s">
        <v>1358</v>
      </c>
      <c r="V197" s="162">
        <v>5.5E-2</v>
      </c>
      <c r="W197" s="2" t="s">
        <v>790</v>
      </c>
      <c r="X197" s="2" t="s">
        <v>944</v>
      </c>
      <c r="Y197" s="151">
        <v>5.5</v>
      </c>
      <c r="Z197" s="164">
        <v>2.9000000000000001E-2</v>
      </c>
      <c r="AA197" s="2" t="s">
        <v>1364</v>
      </c>
      <c r="AB197" s="4" t="s">
        <v>447</v>
      </c>
      <c r="AC197" s="2" t="s">
        <v>519</v>
      </c>
      <c r="AD197" s="151">
        <v>331</v>
      </c>
      <c r="AE197" s="164">
        <v>0.78</v>
      </c>
      <c r="AF197" s="2" t="s">
        <v>1365</v>
      </c>
      <c r="AG197" s="2" t="s">
        <v>155</v>
      </c>
      <c r="AI197" s="2" t="s">
        <v>1366</v>
      </c>
      <c r="AJ197" s="2" t="s">
        <v>375</v>
      </c>
      <c r="AK197" s="2" t="s">
        <v>927</v>
      </c>
      <c r="AL197" s="2" t="s">
        <v>1340</v>
      </c>
      <c r="AN197" s="2" t="s">
        <v>157</v>
      </c>
      <c r="AO197" s="2" t="s">
        <v>1365</v>
      </c>
      <c r="AP197" s="162">
        <v>0</v>
      </c>
      <c r="AQ197" s="151">
        <v>409.05</v>
      </c>
      <c r="AR197" s="175">
        <v>125.93</v>
      </c>
      <c r="AS197" s="158">
        <v>1</v>
      </c>
      <c r="AT197" s="151">
        <v>0.51500000000000001</v>
      </c>
      <c r="AU197" s="151">
        <v>0.51500000000000001</v>
      </c>
      <c r="AX197" s="4" t="s">
        <v>155</v>
      </c>
      <c r="AY197" s="2" t="s">
        <v>36</v>
      </c>
      <c r="AZ197" s="164">
        <v>5.6510302516482602E-4</v>
      </c>
      <c r="BA197" s="164">
        <v>6.8085562226412397E-6</v>
      </c>
    </row>
    <row r="198" spans="1:53">
      <c r="A198" s="2">
        <v>969</v>
      </c>
      <c r="B198" s="2">
        <v>969</v>
      </c>
      <c r="C198" s="2" t="s">
        <v>1349</v>
      </c>
      <c r="D198" s="2" t="s">
        <v>33</v>
      </c>
      <c r="E198" s="2" t="s">
        <v>1456</v>
      </c>
      <c r="F198" s="2" t="s">
        <v>1457</v>
      </c>
      <c r="G198" s="2" t="s">
        <v>1073</v>
      </c>
      <c r="I198" s="2" t="s">
        <v>30</v>
      </c>
      <c r="J198" s="2" t="s">
        <v>30</v>
      </c>
      <c r="K198" s="2" t="s">
        <v>487</v>
      </c>
      <c r="L198" s="2" t="s">
        <v>155</v>
      </c>
      <c r="M198" s="2" t="s">
        <v>375</v>
      </c>
      <c r="N198" s="2" t="s">
        <v>1349</v>
      </c>
      <c r="O198" s="2" t="s">
        <v>1458</v>
      </c>
      <c r="P198" s="2" t="s">
        <v>1340</v>
      </c>
      <c r="Q198" s="2" t="s">
        <v>206</v>
      </c>
      <c r="R198" s="2" t="s">
        <v>442</v>
      </c>
      <c r="S198" s="2" t="s">
        <v>34</v>
      </c>
      <c r="T198" s="151">
        <v>3.24</v>
      </c>
      <c r="U198" s="2" t="s">
        <v>1358</v>
      </c>
      <c r="V198" s="162">
        <v>5.5E-2</v>
      </c>
      <c r="W198" s="2" t="s">
        <v>790</v>
      </c>
      <c r="X198" s="2" t="s">
        <v>944</v>
      </c>
      <c r="Y198" s="151">
        <v>5.5</v>
      </c>
      <c r="Z198" s="164">
        <v>2.9000000000000001E-2</v>
      </c>
      <c r="AA198" s="2" t="s">
        <v>1364</v>
      </c>
      <c r="AB198" s="4" t="s">
        <v>447</v>
      </c>
      <c r="AC198" s="2" t="s">
        <v>519</v>
      </c>
      <c r="AD198" s="151">
        <v>987</v>
      </c>
      <c r="AE198" s="164">
        <v>0.78</v>
      </c>
      <c r="AF198" s="2" t="s">
        <v>1365</v>
      </c>
      <c r="AG198" s="2" t="s">
        <v>155</v>
      </c>
      <c r="AI198" s="2" t="s">
        <v>1366</v>
      </c>
      <c r="AJ198" s="2" t="s">
        <v>375</v>
      </c>
      <c r="AK198" s="2" t="s">
        <v>927</v>
      </c>
      <c r="AL198" s="2" t="s">
        <v>1340</v>
      </c>
      <c r="AN198" s="2" t="s">
        <v>157</v>
      </c>
      <c r="AO198" s="2" t="s">
        <v>1365</v>
      </c>
      <c r="AP198" s="162">
        <v>0</v>
      </c>
      <c r="AQ198" s="151">
        <v>1220.1300000000001</v>
      </c>
      <c r="AR198" s="175">
        <v>125.56</v>
      </c>
      <c r="AS198" s="158">
        <v>1</v>
      </c>
      <c r="AT198" s="151">
        <v>1.532</v>
      </c>
      <c r="AU198" s="151">
        <v>1.532</v>
      </c>
      <c r="AX198" s="4" t="s">
        <v>155</v>
      </c>
      <c r="AY198" s="2" t="s">
        <v>36</v>
      </c>
      <c r="AZ198" s="164">
        <v>1.6806583764492999E-3</v>
      </c>
      <c r="BA198" s="164">
        <v>2.02491519909496E-5</v>
      </c>
    </row>
    <row r="199" spans="1:53">
      <c r="A199" s="2">
        <v>969</v>
      </c>
      <c r="B199" s="2">
        <v>969</v>
      </c>
      <c r="C199" s="2" t="s">
        <v>1349</v>
      </c>
      <c r="D199" s="2" t="s">
        <v>33</v>
      </c>
      <c r="E199" s="2" t="s">
        <v>1459</v>
      </c>
      <c r="F199" s="2" t="s">
        <v>1460</v>
      </c>
      <c r="G199" s="2" t="s">
        <v>1073</v>
      </c>
      <c r="I199" s="2" t="s">
        <v>30</v>
      </c>
      <c r="J199" s="2" t="s">
        <v>30</v>
      </c>
      <c r="K199" s="2" t="s">
        <v>487</v>
      </c>
      <c r="L199" s="2" t="s">
        <v>155</v>
      </c>
      <c r="M199" s="2" t="s">
        <v>375</v>
      </c>
      <c r="N199" s="151">
        <v>513326439</v>
      </c>
      <c r="O199" s="2" t="s">
        <v>1425</v>
      </c>
      <c r="P199" s="2" t="s">
        <v>1353</v>
      </c>
      <c r="Q199" s="2" t="s">
        <v>206</v>
      </c>
      <c r="R199" s="2" t="s">
        <v>442</v>
      </c>
      <c r="S199" s="2" t="s">
        <v>34</v>
      </c>
      <c r="T199" s="151">
        <v>3.23</v>
      </c>
      <c r="U199" s="2" t="s">
        <v>194</v>
      </c>
      <c r="V199" s="162">
        <v>5.5E-2</v>
      </c>
      <c r="W199" s="2" t="s">
        <v>790</v>
      </c>
      <c r="X199" s="2" t="s">
        <v>1354</v>
      </c>
      <c r="Y199" s="151">
        <v>5.5</v>
      </c>
      <c r="Z199" s="164">
        <v>3.4299999999999997E-2</v>
      </c>
      <c r="AA199" s="2" t="s">
        <v>1364</v>
      </c>
      <c r="AB199" s="4" t="s">
        <v>447</v>
      </c>
      <c r="AE199" s="164">
        <v>0</v>
      </c>
      <c r="AG199" s="2" t="s">
        <v>155</v>
      </c>
      <c r="AJ199" s="2" t="s">
        <v>155</v>
      </c>
      <c r="AK199" s="2" t="s">
        <v>194</v>
      </c>
      <c r="AN199" s="2" t="s">
        <v>157</v>
      </c>
      <c r="AP199" s="162">
        <v>0</v>
      </c>
      <c r="AQ199" s="151">
        <v>474.99</v>
      </c>
      <c r="AR199" s="175">
        <v>125.56</v>
      </c>
      <c r="AS199" s="158">
        <v>1</v>
      </c>
      <c r="AT199" s="151">
        <v>0.59599999999999997</v>
      </c>
      <c r="AU199" s="151">
        <v>0.59599999999999997</v>
      </c>
      <c r="AX199" s="4" t="s">
        <v>155</v>
      </c>
      <c r="AY199" s="2" t="s">
        <v>36</v>
      </c>
      <c r="AZ199" s="164">
        <v>6.5427120243716002E-4</v>
      </c>
      <c r="BA199" s="164">
        <v>7.8828851877924198E-6</v>
      </c>
    </row>
    <row r="200" spans="1:53">
      <c r="A200" s="2">
        <v>969</v>
      </c>
      <c r="B200" s="2">
        <v>969</v>
      </c>
      <c r="C200" s="2" t="s">
        <v>1349</v>
      </c>
      <c r="D200" s="2" t="s">
        <v>33</v>
      </c>
      <c r="E200" s="2" t="s">
        <v>1461</v>
      </c>
      <c r="F200" s="2" t="s">
        <v>1462</v>
      </c>
      <c r="G200" s="2" t="s">
        <v>1073</v>
      </c>
      <c r="I200" s="2" t="s">
        <v>30</v>
      </c>
      <c r="J200" s="2" t="s">
        <v>30</v>
      </c>
      <c r="K200" s="2" t="s">
        <v>487</v>
      </c>
      <c r="L200" s="2" t="s">
        <v>155</v>
      </c>
      <c r="M200" s="2" t="s">
        <v>375</v>
      </c>
      <c r="N200" s="2" t="s">
        <v>1349</v>
      </c>
      <c r="O200" s="2" t="s">
        <v>1463</v>
      </c>
      <c r="P200" s="2" t="s">
        <v>1340</v>
      </c>
      <c r="Q200" s="2" t="s">
        <v>206</v>
      </c>
      <c r="R200" s="2" t="s">
        <v>442</v>
      </c>
      <c r="S200" s="2" t="s">
        <v>34</v>
      </c>
      <c r="T200" s="151">
        <v>3.24</v>
      </c>
      <c r="U200" s="2" t="s">
        <v>1358</v>
      </c>
      <c r="V200" s="162">
        <v>5.5E-2</v>
      </c>
      <c r="W200" s="2" t="s">
        <v>790</v>
      </c>
      <c r="X200" s="2" t="s">
        <v>944</v>
      </c>
      <c r="Y200" s="151">
        <v>5.5</v>
      </c>
      <c r="Z200" s="164">
        <v>2.9000000000000001E-2</v>
      </c>
      <c r="AA200" s="2" t="s">
        <v>1364</v>
      </c>
      <c r="AB200" s="4" t="s">
        <v>447</v>
      </c>
      <c r="AC200" s="2" t="s">
        <v>519</v>
      </c>
      <c r="AD200" s="151">
        <v>5567</v>
      </c>
      <c r="AE200" s="164">
        <v>0.78</v>
      </c>
      <c r="AF200" s="2" t="s">
        <v>1365</v>
      </c>
      <c r="AG200" s="2" t="s">
        <v>155</v>
      </c>
      <c r="AI200" s="2" t="s">
        <v>1366</v>
      </c>
      <c r="AJ200" s="2" t="s">
        <v>375</v>
      </c>
      <c r="AK200" s="2" t="s">
        <v>927</v>
      </c>
      <c r="AL200" s="2" t="s">
        <v>1340</v>
      </c>
      <c r="AN200" s="2" t="s">
        <v>157</v>
      </c>
      <c r="AO200" s="2" t="s">
        <v>1365</v>
      </c>
      <c r="AP200" s="162">
        <v>0</v>
      </c>
      <c r="AQ200" s="151">
        <v>3192.15</v>
      </c>
      <c r="AR200" s="175">
        <v>125.81</v>
      </c>
      <c r="AS200" s="158">
        <v>1</v>
      </c>
      <c r="AT200" s="151">
        <v>4.016</v>
      </c>
      <c r="AU200" s="151">
        <v>4.016</v>
      </c>
      <c r="AX200" s="4" t="s">
        <v>155</v>
      </c>
      <c r="AY200" s="2" t="s">
        <v>36</v>
      </c>
      <c r="AZ200" s="164">
        <v>4.4057564426910802E-3</v>
      </c>
      <c r="BA200" s="164">
        <v>5.3082073723772297E-5</v>
      </c>
    </row>
    <row r="201" spans="1:53">
      <c r="A201" s="2">
        <v>969</v>
      </c>
      <c r="B201" s="2">
        <v>969</v>
      </c>
      <c r="C201" s="2" t="s">
        <v>1349</v>
      </c>
      <c r="D201" s="2" t="s">
        <v>33</v>
      </c>
      <c r="E201" s="2" t="s">
        <v>1464</v>
      </c>
      <c r="F201" s="2" t="s">
        <v>1465</v>
      </c>
      <c r="G201" s="2" t="s">
        <v>1073</v>
      </c>
      <c r="I201" s="2" t="s">
        <v>30</v>
      </c>
      <c r="J201" s="2" t="s">
        <v>30</v>
      </c>
      <c r="K201" s="2" t="s">
        <v>487</v>
      </c>
      <c r="L201" s="2" t="s">
        <v>155</v>
      </c>
      <c r="M201" s="2" t="s">
        <v>375</v>
      </c>
      <c r="N201" s="2" t="s">
        <v>1349</v>
      </c>
      <c r="O201" s="2" t="s">
        <v>1466</v>
      </c>
      <c r="P201" s="2" t="s">
        <v>1340</v>
      </c>
      <c r="Q201" s="2" t="s">
        <v>206</v>
      </c>
      <c r="R201" s="2" t="s">
        <v>442</v>
      </c>
      <c r="S201" s="2" t="s">
        <v>34</v>
      </c>
      <c r="T201" s="151">
        <v>3.24</v>
      </c>
      <c r="U201" s="2" t="s">
        <v>1358</v>
      </c>
      <c r="V201" s="162">
        <v>5.5E-2</v>
      </c>
      <c r="W201" s="2" t="s">
        <v>790</v>
      </c>
      <c r="X201" s="2" t="s">
        <v>944</v>
      </c>
      <c r="Y201" s="151">
        <v>5.5</v>
      </c>
      <c r="Z201" s="164">
        <v>2.9000000000000001E-2</v>
      </c>
      <c r="AA201" s="2" t="s">
        <v>1364</v>
      </c>
      <c r="AB201" s="4" t="s">
        <v>447</v>
      </c>
      <c r="AC201" s="2" t="s">
        <v>519</v>
      </c>
      <c r="AD201" s="151">
        <v>5045</v>
      </c>
      <c r="AE201" s="164">
        <v>0.78</v>
      </c>
      <c r="AF201" s="2" t="s">
        <v>1365</v>
      </c>
      <c r="AG201" s="2" t="s">
        <v>155</v>
      </c>
      <c r="AI201" s="2" t="s">
        <v>1366</v>
      </c>
      <c r="AJ201" s="2" t="s">
        <v>375</v>
      </c>
      <c r="AK201" s="2" t="s">
        <v>927</v>
      </c>
      <c r="AL201" s="2" t="s">
        <v>1340</v>
      </c>
      <c r="AN201" s="2" t="s">
        <v>157</v>
      </c>
      <c r="AO201" s="2" t="s">
        <v>1365</v>
      </c>
      <c r="AP201" s="162">
        <v>0</v>
      </c>
      <c r="AQ201" s="151">
        <v>6235.57</v>
      </c>
      <c r="AR201" s="175">
        <v>126.93</v>
      </c>
      <c r="AS201" s="158">
        <v>1</v>
      </c>
      <c r="AT201" s="151">
        <v>7.915</v>
      </c>
      <c r="AU201" s="151">
        <v>7.915</v>
      </c>
      <c r="AX201" s="4" t="s">
        <v>155</v>
      </c>
      <c r="AY201" s="2" t="s">
        <v>36</v>
      </c>
      <c r="AZ201" s="164">
        <v>8.6828534465428191E-3</v>
      </c>
      <c r="BA201" s="164">
        <v>1.04614014137507E-4</v>
      </c>
    </row>
    <row r="202" spans="1:53">
      <c r="A202" s="2">
        <v>969</v>
      </c>
      <c r="B202" s="2">
        <v>969</v>
      </c>
      <c r="C202" s="2" t="s">
        <v>1349</v>
      </c>
      <c r="D202" s="2" t="s">
        <v>33</v>
      </c>
      <c r="E202" s="2" t="s">
        <v>1467</v>
      </c>
      <c r="F202" s="2" t="s">
        <v>1468</v>
      </c>
      <c r="G202" s="2" t="s">
        <v>1073</v>
      </c>
      <c r="I202" s="2" t="s">
        <v>30</v>
      </c>
      <c r="J202" s="2" t="s">
        <v>30</v>
      </c>
      <c r="K202" s="2" t="s">
        <v>487</v>
      </c>
      <c r="L202" s="2" t="s">
        <v>155</v>
      </c>
      <c r="M202" s="2" t="s">
        <v>375</v>
      </c>
      <c r="N202" s="151">
        <v>513326439</v>
      </c>
      <c r="O202" s="2" t="s">
        <v>1425</v>
      </c>
      <c r="P202" s="2" t="s">
        <v>1353</v>
      </c>
      <c r="Q202" s="2" t="s">
        <v>206</v>
      </c>
      <c r="R202" s="2" t="s">
        <v>442</v>
      </c>
      <c r="S202" s="2" t="s">
        <v>34</v>
      </c>
      <c r="T202" s="151">
        <v>3.19</v>
      </c>
      <c r="U202" s="2" t="s">
        <v>194</v>
      </c>
      <c r="V202" s="162">
        <v>5.5500000000000001E-2</v>
      </c>
      <c r="W202" s="2" t="s">
        <v>790</v>
      </c>
      <c r="X202" s="2" t="s">
        <v>1354</v>
      </c>
      <c r="Y202" s="151">
        <v>5.55</v>
      </c>
      <c r="Z202" s="164">
        <v>3.091E-2</v>
      </c>
      <c r="AA202" s="2" t="s">
        <v>1364</v>
      </c>
      <c r="AB202" s="4" t="s">
        <v>447</v>
      </c>
      <c r="AE202" s="164">
        <v>0</v>
      </c>
      <c r="AG202" s="2" t="s">
        <v>155</v>
      </c>
      <c r="AJ202" s="2" t="s">
        <v>155</v>
      </c>
      <c r="AK202" s="2" t="s">
        <v>194</v>
      </c>
      <c r="AN202" s="2" t="s">
        <v>157</v>
      </c>
      <c r="AP202" s="162">
        <v>0</v>
      </c>
      <c r="AQ202" s="151">
        <v>4597.7700000000004</v>
      </c>
      <c r="AR202" s="175">
        <v>130.13</v>
      </c>
      <c r="AS202" s="158">
        <v>1</v>
      </c>
      <c r="AT202" s="151">
        <v>5.9829999999999997</v>
      </c>
      <c r="AU202" s="151">
        <v>5.9829999999999997</v>
      </c>
      <c r="AX202" s="4" t="s">
        <v>155</v>
      </c>
      <c r="AY202" s="2" t="s">
        <v>36</v>
      </c>
      <c r="AZ202" s="164">
        <v>6.5636694838295002E-3</v>
      </c>
      <c r="BA202" s="164">
        <v>7.90813545803494E-5</v>
      </c>
    </row>
    <row r="203" spans="1:53">
      <c r="A203" s="2">
        <v>969</v>
      </c>
      <c r="B203" s="2">
        <v>969</v>
      </c>
      <c r="C203" s="2" t="s">
        <v>1349</v>
      </c>
      <c r="D203" s="2" t="s">
        <v>33</v>
      </c>
      <c r="E203" s="2" t="s">
        <v>1469</v>
      </c>
      <c r="F203" s="2" t="s">
        <v>1470</v>
      </c>
      <c r="G203" s="2" t="s">
        <v>1073</v>
      </c>
      <c r="I203" s="2" t="s">
        <v>30</v>
      </c>
      <c r="J203" s="2" t="s">
        <v>30</v>
      </c>
      <c r="K203" s="2" t="s">
        <v>487</v>
      </c>
      <c r="L203" s="2" t="s">
        <v>155</v>
      </c>
      <c r="M203" s="2" t="s">
        <v>375</v>
      </c>
      <c r="N203" s="2" t="s">
        <v>1349</v>
      </c>
      <c r="O203" s="2" t="s">
        <v>1471</v>
      </c>
      <c r="P203" s="2" t="s">
        <v>1340</v>
      </c>
      <c r="Q203" s="2" t="s">
        <v>206</v>
      </c>
      <c r="R203" s="2" t="s">
        <v>442</v>
      </c>
      <c r="S203" s="2" t="s">
        <v>34</v>
      </c>
      <c r="T203" s="151">
        <v>3.24</v>
      </c>
      <c r="U203" s="2" t="s">
        <v>1358</v>
      </c>
      <c r="V203" s="162">
        <v>5.5E-2</v>
      </c>
      <c r="W203" s="2" t="s">
        <v>790</v>
      </c>
      <c r="X203" s="2" t="s">
        <v>944</v>
      </c>
      <c r="Y203" s="151">
        <v>5.5</v>
      </c>
      <c r="Z203" s="164">
        <v>2.9000000000000001E-2</v>
      </c>
      <c r="AA203" s="2" t="s">
        <v>1355</v>
      </c>
      <c r="AB203" s="4" t="s">
        <v>447</v>
      </c>
      <c r="AC203" s="2" t="s">
        <v>519</v>
      </c>
      <c r="AD203" s="151">
        <v>936</v>
      </c>
      <c r="AE203" s="164">
        <v>0.78</v>
      </c>
      <c r="AF203" s="2" t="s">
        <v>1365</v>
      </c>
      <c r="AG203" s="2" t="s">
        <v>155</v>
      </c>
      <c r="AI203" s="2" t="s">
        <v>1366</v>
      </c>
      <c r="AJ203" s="2" t="s">
        <v>375</v>
      </c>
      <c r="AK203" s="2" t="s">
        <v>927</v>
      </c>
      <c r="AL203" s="2" t="s">
        <v>1340</v>
      </c>
      <c r="AN203" s="2" t="s">
        <v>157</v>
      </c>
      <c r="AO203" s="2" t="s">
        <v>1365</v>
      </c>
      <c r="AP203" s="162">
        <v>0</v>
      </c>
      <c r="AQ203" s="151">
        <v>2017.87</v>
      </c>
      <c r="AR203" s="175">
        <v>128.31</v>
      </c>
      <c r="AS203" s="158">
        <v>1</v>
      </c>
      <c r="AT203" s="151">
        <v>2.589</v>
      </c>
      <c r="AU203" s="151">
        <v>2.589</v>
      </c>
      <c r="AX203" s="4" t="s">
        <v>155</v>
      </c>
      <c r="AY203" s="2" t="s">
        <v>36</v>
      </c>
      <c r="AZ203" s="164">
        <v>2.8403752550826E-3</v>
      </c>
      <c r="BA203" s="164">
        <v>3.4221821077648902E-5</v>
      </c>
    </row>
    <row r="204" spans="1:53">
      <c r="A204" s="2">
        <v>969</v>
      </c>
      <c r="B204" s="2">
        <v>969</v>
      </c>
      <c r="C204" s="2" t="s">
        <v>1349</v>
      </c>
      <c r="D204" s="2" t="s">
        <v>33</v>
      </c>
      <c r="E204" s="2" t="s">
        <v>1472</v>
      </c>
      <c r="F204" s="2" t="s">
        <v>1473</v>
      </c>
      <c r="G204" s="2" t="s">
        <v>1073</v>
      </c>
      <c r="I204" s="2" t="s">
        <v>30</v>
      </c>
      <c r="J204" s="2" t="s">
        <v>30</v>
      </c>
      <c r="K204" s="2" t="s">
        <v>487</v>
      </c>
      <c r="L204" s="2" t="s">
        <v>155</v>
      </c>
      <c r="M204" s="2" t="s">
        <v>375</v>
      </c>
      <c r="N204" s="2" t="s">
        <v>1349</v>
      </c>
      <c r="O204" s="2" t="s">
        <v>1474</v>
      </c>
      <c r="P204" s="2" t="s">
        <v>1340</v>
      </c>
      <c r="Q204" s="2" t="s">
        <v>206</v>
      </c>
      <c r="R204" s="2" t="s">
        <v>442</v>
      </c>
      <c r="S204" s="2" t="s">
        <v>34</v>
      </c>
      <c r="T204" s="151">
        <v>3.24</v>
      </c>
      <c r="U204" s="2" t="s">
        <v>1358</v>
      </c>
      <c r="V204" s="162">
        <v>5.5E-2</v>
      </c>
      <c r="W204" s="2" t="s">
        <v>790</v>
      </c>
      <c r="X204" s="2" t="s">
        <v>944</v>
      </c>
      <c r="Y204" s="151">
        <v>5.5</v>
      </c>
      <c r="Z204" s="164">
        <v>2.9100000000000001E-2</v>
      </c>
      <c r="AA204" s="2" t="s">
        <v>1355</v>
      </c>
      <c r="AB204" s="4" t="s">
        <v>447</v>
      </c>
      <c r="AC204" s="2" t="s">
        <v>519</v>
      </c>
      <c r="AD204" s="151">
        <v>1524</v>
      </c>
      <c r="AE204" s="164">
        <v>0.78</v>
      </c>
      <c r="AF204" s="2" t="s">
        <v>1365</v>
      </c>
      <c r="AG204" s="2" t="s">
        <v>155</v>
      </c>
      <c r="AI204" s="2" t="s">
        <v>1366</v>
      </c>
      <c r="AJ204" s="2" t="s">
        <v>375</v>
      </c>
      <c r="AK204" s="2" t="s">
        <v>927</v>
      </c>
      <c r="AL204" s="2" t="s">
        <v>1340</v>
      </c>
      <c r="AN204" s="2" t="s">
        <v>157</v>
      </c>
      <c r="AO204" s="2" t="s">
        <v>1365</v>
      </c>
      <c r="AP204" s="162">
        <v>0</v>
      </c>
      <c r="AQ204" s="151">
        <v>1883.72</v>
      </c>
      <c r="AR204" s="175">
        <v>128.63999999999999</v>
      </c>
      <c r="AS204" s="158">
        <v>1</v>
      </c>
      <c r="AT204" s="151">
        <v>2.423</v>
      </c>
      <c r="AU204" s="151">
        <v>2.423</v>
      </c>
      <c r="AX204" s="4" t="s">
        <v>155</v>
      </c>
      <c r="AY204" s="2" t="s">
        <v>36</v>
      </c>
      <c r="AZ204" s="164">
        <v>2.6583637861781599E-3</v>
      </c>
      <c r="BA204" s="164">
        <v>3.20288841015287E-5</v>
      </c>
    </row>
    <row r="205" spans="1:53">
      <c r="A205" s="2">
        <v>969</v>
      </c>
      <c r="B205" s="2">
        <v>969</v>
      </c>
      <c r="C205" s="2" t="s">
        <v>1349</v>
      </c>
      <c r="D205" s="2" t="s">
        <v>33</v>
      </c>
      <c r="E205" s="2" t="s">
        <v>1475</v>
      </c>
      <c r="F205" s="2" t="s">
        <v>1476</v>
      </c>
      <c r="G205" s="2" t="s">
        <v>1073</v>
      </c>
      <c r="I205" s="2" t="s">
        <v>30</v>
      </c>
      <c r="J205" s="2" t="s">
        <v>30</v>
      </c>
      <c r="K205" s="2" t="s">
        <v>487</v>
      </c>
      <c r="L205" s="2" t="s">
        <v>155</v>
      </c>
      <c r="M205" s="2" t="s">
        <v>375</v>
      </c>
      <c r="N205" s="151">
        <v>513326439</v>
      </c>
      <c r="O205" s="2" t="s">
        <v>1425</v>
      </c>
      <c r="P205" s="2" t="s">
        <v>1353</v>
      </c>
      <c r="Q205" s="2" t="s">
        <v>206</v>
      </c>
      <c r="R205" s="2" t="s">
        <v>442</v>
      </c>
      <c r="S205" s="2" t="s">
        <v>34</v>
      </c>
      <c r="T205" s="151">
        <v>3.24</v>
      </c>
      <c r="U205" s="2" t="s">
        <v>194</v>
      </c>
      <c r="V205" s="162">
        <v>5.5E-2</v>
      </c>
      <c r="W205" s="2" t="s">
        <v>790</v>
      </c>
      <c r="X205" s="2" t="s">
        <v>1354</v>
      </c>
      <c r="Y205" s="151">
        <v>5.5</v>
      </c>
      <c r="Z205" s="164">
        <v>2.9000000000000001E-2</v>
      </c>
      <c r="AA205" s="2" t="s">
        <v>1364</v>
      </c>
      <c r="AB205" s="4" t="s">
        <v>447</v>
      </c>
      <c r="AE205" s="164">
        <v>0</v>
      </c>
      <c r="AG205" s="2" t="s">
        <v>155</v>
      </c>
      <c r="AJ205" s="2" t="s">
        <v>155</v>
      </c>
      <c r="AK205" s="2" t="s">
        <v>194</v>
      </c>
      <c r="AN205" s="2" t="s">
        <v>157</v>
      </c>
      <c r="AP205" s="162">
        <v>0</v>
      </c>
      <c r="AQ205" s="151">
        <v>2411.48</v>
      </c>
      <c r="AR205" s="175">
        <v>127.23</v>
      </c>
      <c r="AS205" s="158">
        <v>1</v>
      </c>
      <c r="AT205" s="151">
        <v>3.0680000000000001</v>
      </c>
      <c r="AU205" s="151">
        <v>3.0680000000000001</v>
      </c>
      <c r="AX205" s="4" t="s">
        <v>155</v>
      </c>
      <c r="AY205" s="2" t="s">
        <v>36</v>
      </c>
      <c r="AZ205" s="164">
        <v>3.3658536099725501E-3</v>
      </c>
      <c r="BA205" s="164">
        <v>4.0552965601261601E-5</v>
      </c>
    </row>
    <row r="206" spans="1:53">
      <c r="A206" s="2">
        <v>969</v>
      </c>
      <c r="B206" s="2">
        <v>969</v>
      </c>
      <c r="C206" s="2" t="s">
        <v>1477</v>
      </c>
      <c r="D206" s="2" t="s">
        <v>33</v>
      </c>
      <c r="E206" s="2" t="s">
        <v>1478</v>
      </c>
      <c r="F206" s="2" t="s">
        <v>1479</v>
      </c>
      <c r="G206" s="2" t="s">
        <v>1073</v>
      </c>
      <c r="I206" s="2" t="s">
        <v>30</v>
      </c>
      <c r="J206" s="2" t="s">
        <v>30</v>
      </c>
      <c r="K206" s="2" t="s">
        <v>519</v>
      </c>
      <c r="L206" s="2" t="s">
        <v>155</v>
      </c>
      <c r="M206" s="2" t="s">
        <v>375</v>
      </c>
      <c r="N206" s="151">
        <v>513184192</v>
      </c>
      <c r="O206" s="2" t="s">
        <v>1480</v>
      </c>
      <c r="P206" s="2" t="s">
        <v>1353</v>
      </c>
      <c r="Q206" s="2" t="s">
        <v>206</v>
      </c>
      <c r="R206" s="2" t="s">
        <v>442</v>
      </c>
      <c r="S206" s="2" t="s">
        <v>34</v>
      </c>
      <c r="T206" s="151">
        <v>1.93</v>
      </c>
      <c r="U206" s="2" t="s">
        <v>1358</v>
      </c>
      <c r="V206" s="162">
        <v>2.562E-2</v>
      </c>
      <c r="W206" s="2" t="s">
        <v>790</v>
      </c>
      <c r="X206" s="2" t="s">
        <v>944</v>
      </c>
      <c r="Y206" s="151">
        <v>2.5619999999999998</v>
      </c>
      <c r="Z206" s="164">
        <v>2.7099999999999999E-2</v>
      </c>
      <c r="AA206" s="2" t="s">
        <v>1481</v>
      </c>
      <c r="AB206" s="4" t="s">
        <v>447</v>
      </c>
      <c r="AE206" s="164">
        <v>0</v>
      </c>
      <c r="AG206" s="2" t="s">
        <v>155</v>
      </c>
      <c r="AI206" s="2" t="s">
        <v>1482</v>
      </c>
      <c r="AJ206" s="2" t="s">
        <v>375</v>
      </c>
      <c r="AK206" s="2" t="s">
        <v>927</v>
      </c>
      <c r="AL206" s="2" t="s">
        <v>1340</v>
      </c>
      <c r="AN206" s="2" t="s">
        <v>157</v>
      </c>
      <c r="AP206" s="162">
        <v>0</v>
      </c>
      <c r="AQ206" s="151">
        <v>159154.12</v>
      </c>
      <c r="AR206" s="175">
        <v>115.53</v>
      </c>
      <c r="AS206" s="158">
        <v>1</v>
      </c>
      <c r="AT206" s="151">
        <v>183.87100000000001</v>
      </c>
      <c r="AU206" s="151">
        <v>183.87100000000001</v>
      </c>
      <c r="AX206" s="4" t="s">
        <v>155</v>
      </c>
      <c r="AY206" s="2" t="s">
        <v>36</v>
      </c>
      <c r="AZ206" s="164">
        <v>0.20171337263406799</v>
      </c>
      <c r="BA206" s="164">
        <v>2.43031230993156E-3</v>
      </c>
    </row>
    <row r="207" spans="1:53">
      <c r="A207" s="2">
        <v>969</v>
      </c>
      <c r="B207" s="2">
        <v>969</v>
      </c>
      <c r="C207" s="2" t="s">
        <v>1492</v>
      </c>
      <c r="D207" s="2" t="s">
        <v>1342</v>
      </c>
      <c r="E207" s="2" t="s">
        <v>1493</v>
      </c>
      <c r="F207" s="2" t="s">
        <v>1494</v>
      </c>
      <c r="G207" s="2" t="s">
        <v>1073</v>
      </c>
      <c r="H207" s="2" t="s">
        <v>856</v>
      </c>
      <c r="I207" s="2" t="s">
        <v>30</v>
      </c>
      <c r="J207" s="2" t="s">
        <v>30</v>
      </c>
      <c r="K207" s="2" t="s">
        <v>497</v>
      </c>
      <c r="L207" s="2" t="s">
        <v>155</v>
      </c>
      <c r="M207" s="2" t="s">
        <v>375</v>
      </c>
      <c r="N207" s="2" t="s">
        <v>1333</v>
      </c>
      <c r="O207" s="2" t="s">
        <v>1336</v>
      </c>
      <c r="P207" s="2" t="s">
        <v>1340</v>
      </c>
      <c r="Q207" s="2" t="s">
        <v>206</v>
      </c>
      <c r="R207" s="2" t="s">
        <v>442</v>
      </c>
      <c r="S207" s="2" t="s">
        <v>34</v>
      </c>
      <c r="T207" s="151">
        <v>0.53</v>
      </c>
      <c r="U207" s="2" t="s">
        <v>1358</v>
      </c>
      <c r="V207" s="162">
        <v>4.2500000000000003E-2</v>
      </c>
      <c r="W207" s="2" t="s">
        <v>790</v>
      </c>
      <c r="X207" s="2" t="s">
        <v>939</v>
      </c>
      <c r="Y207" s="151">
        <v>4.25</v>
      </c>
      <c r="Z207" s="164">
        <v>7.6039999999999996E-2</v>
      </c>
      <c r="AA207" s="2" t="s">
        <v>1495</v>
      </c>
      <c r="AB207" s="4" t="s">
        <v>447</v>
      </c>
      <c r="AC207" s="2" t="s">
        <v>809</v>
      </c>
      <c r="AD207" s="151">
        <v>67322</v>
      </c>
      <c r="AE207" s="164">
        <v>0.72</v>
      </c>
      <c r="AF207" s="2" t="s">
        <v>1496</v>
      </c>
      <c r="AG207" s="2" t="s">
        <v>375</v>
      </c>
      <c r="AH207" s="2" t="s">
        <v>818</v>
      </c>
      <c r="AI207" s="2" t="s">
        <v>1339</v>
      </c>
      <c r="AJ207" s="2" t="s">
        <v>375</v>
      </c>
      <c r="AK207" s="2" t="s">
        <v>927</v>
      </c>
      <c r="AL207" s="2" t="s">
        <v>1340</v>
      </c>
      <c r="AN207" s="2" t="s">
        <v>157</v>
      </c>
      <c r="AO207" s="2" t="s">
        <v>1496</v>
      </c>
      <c r="AP207" s="162">
        <v>0</v>
      </c>
      <c r="AQ207" s="151">
        <v>140000</v>
      </c>
      <c r="AR207" s="175">
        <v>106.54</v>
      </c>
      <c r="AS207" s="158">
        <v>1</v>
      </c>
      <c r="AT207" s="151">
        <v>149.15600000000001</v>
      </c>
      <c r="AU207" s="151">
        <v>149.15600000000001</v>
      </c>
      <c r="AX207" s="4" t="s">
        <v>375</v>
      </c>
      <c r="AY207" s="2" t="s">
        <v>36</v>
      </c>
      <c r="AZ207" s="164">
        <v>0.163629935796165</v>
      </c>
      <c r="BA207" s="164">
        <v>1.9714699231178599E-3</v>
      </c>
    </row>
    <row r="208" spans="1:53">
      <c r="A208" s="2">
        <v>969</v>
      </c>
      <c r="B208" s="2">
        <v>969</v>
      </c>
      <c r="C208" s="2" t="s">
        <v>1497</v>
      </c>
      <c r="D208" s="2" t="s">
        <v>1342</v>
      </c>
      <c r="E208" s="2" t="s">
        <v>1498</v>
      </c>
      <c r="F208" s="2" t="s">
        <v>1499</v>
      </c>
      <c r="G208" s="2" t="s">
        <v>1073</v>
      </c>
      <c r="I208" s="2" t="s">
        <v>30</v>
      </c>
      <c r="J208" s="2" t="s">
        <v>30</v>
      </c>
      <c r="K208" s="2" t="s">
        <v>474</v>
      </c>
      <c r="L208" s="2" t="s">
        <v>155</v>
      </c>
      <c r="M208" s="2" t="s">
        <v>375</v>
      </c>
      <c r="N208" s="151">
        <v>512065202</v>
      </c>
      <c r="O208" s="2" t="s">
        <v>1500</v>
      </c>
      <c r="P208" s="2" t="s">
        <v>1501</v>
      </c>
      <c r="Q208" s="2" t="s">
        <v>444</v>
      </c>
      <c r="R208" s="2" t="s">
        <v>442</v>
      </c>
      <c r="S208" s="2" t="s">
        <v>34</v>
      </c>
      <c r="T208" s="151">
        <v>3.08</v>
      </c>
      <c r="U208" s="2" t="s">
        <v>194</v>
      </c>
      <c r="V208" s="162">
        <v>7.2499999999999995E-2</v>
      </c>
      <c r="W208" s="2" t="s">
        <v>790</v>
      </c>
      <c r="X208" s="2" t="s">
        <v>944</v>
      </c>
      <c r="Y208" s="151">
        <v>7.25</v>
      </c>
      <c r="Z208" s="164">
        <v>0.11509999999999999</v>
      </c>
      <c r="AA208" s="2" t="s">
        <v>1502</v>
      </c>
      <c r="AB208" s="4" t="s">
        <v>447</v>
      </c>
      <c r="AE208" s="164">
        <v>0</v>
      </c>
      <c r="AG208" s="2" t="s">
        <v>375</v>
      </c>
      <c r="AI208" s="2" t="s">
        <v>1503</v>
      </c>
      <c r="AJ208" s="2" t="s">
        <v>375</v>
      </c>
      <c r="AK208" s="2" t="s">
        <v>927</v>
      </c>
      <c r="AL208" s="2" t="s">
        <v>1340</v>
      </c>
      <c r="AN208" s="2" t="s">
        <v>157</v>
      </c>
      <c r="AP208" s="162">
        <v>0</v>
      </c>
      <c r="AQ208" s="151">
        <v>143704</v>
      </c>
      <c r="AR208" s="175">
        <v>108.18</v>
      </c>
      <c r="AS208" s="158">
        <v>1</v>
      </c>
      <c r="AT208" s="151">
        <v>155.459</v>
      </c>
      <c r="AU208" s="151">
        <v>155.459</v>
      </c>
      <c r="AX208" s="4" t="s">
        <v>375</v>
      </c>
      <c r="AY208" s="2" t="s">
        <v>36</v>
      </c>
      <c r="AZ208" s="164">
        <v>0.17054455800955301</v>
      </c>
      <c r="BA208" s="164">
        <v>2.0547796772718801E-3</v>
      </c>
    </row>
    <row r="209" spans="1:53">
      <c r="A209" s="2">
        <v>969</v>
      </c>
      <c r="B209" s="2">
        <v>969</v>
      </c>
      <c r="C209" s="2" t="s">
        <v>1512</v>
      </c>
      <c r="D209" s="2" t="s">
        <v>1342</v>
      </c>
      <c r="E209" s="2" t="s">
        <v>1513</v>
      </c>
      <c r="F209" s="2" t="s">
        <v>1514</v>
      </c>
      <c r="G209" s="2" t="s">
        <v>1073</v>
      </c>
      <c r="I209" s="2" t="s">
        <v>30</v>
      </c>
      <c r="J209" s="2" t="s">
        <v>30</v>
      </c>
      <c r="K209" s="2" t="s">
        <v>473</v>
      </c>
      <c r="L209" s="2" t="s">
        <v>155</v>
      </c>
      <c r="M209" s="2" t="s">
        <v>375</v>
      </c>
      <c r="N209" s="151">
        <v>513846667</v>
      </c>
      <c r="O209" s="2" t="s">
        <v>1345</v>
      </c>
      <c r="P209" s="2" t="s">
        <v>1346</v>
      </c>
      <c r="Q209" s="2" t="s">
        <v>101</v>
      </c>
      <c r="R209" s="2" t="s">
        <v>442</v>
      </c>
      <c r="S209" s="2" t="s">
        <v>34</v>
      </c>
      <c r="T209" s="151">
        <v>5</v>
      </c>
      <c r="U209" s="2" t="s">
        <v>194</v>
      </c>
      <c r="V209" s="162">
        <v>3.5499999999999997E-2</v>
      </c>
      <c r="W209" s="2" t="s">
        <v>790</v>
      </c>
      <c r="X209" s="2" t="s">
        <v>944</v>
      </c>
      <c r="Y209" s="151">
        <v>3.55</v>
      </c>
      <c r="Z209" s="164">
        <v>2.9479999999999999E-2</v>
      </c>
      <c r="AA209" s="2" t="s">
        <v>1347</v>
      </c>
      <c r="AB209" s="4" t="s">
        <v>447</v>
      </c>
      <c r="AE209" s="164">
        <v>0</v>
      </c>
      <c r="AG209" s="2" t="s">
        <v>155</v>
      </c>
      <c r="AI209" s="2" t="s">
        <v>1348</v>
      </c>
      <c r="AJ209" s="2" t="s">
        <v>375</v>
      </c>
      <c r="AK209" s="2" t="s">
        <v>927</v>
      </c>
      <c r="AL209" s="2" t="s">
        <v>1340</v>
      </c>
      <c r="AN209" s="2" t="s">
        <v>157</v>
      </c>
      <c r="AP209" s="162">
        <v>0</v>
      </c>
      <c r="AQ209" s="151">
        <v>165522.21</v>
      </c>
      <c r="AR209" s="175">
        <v>110.31</v>
      </c>
      <c r="AS209" s="158">
        <v>1</v>
      </c>
      <c r="AT209" s="151">
        <v>182.58799999999999</v>
      </c>
      <c r="AU209" s="151">
        <v>182.58799999999999</v>
      </c>
      <c r="AX209" s="4" t="s">
        <v>155</v>
      </c>
      <c r="AY209" s="2" t="s">
        <v>36</v>
      </c>
      <c r="AZ209" s="164">
        <v>0.200305646834846</v>
      </c>
      <c r="BA209" s="164">
        <v>2.4133515437999701E-3</v>
      </c>
    </row>
    <row r="210" spans="1:53">
      <c r="AE210" s="148"/>
    </row>
    <row r="211" spans="1:53">
      <c r="AE211" s="148"/>
    </row>
    <row r="212" spans="1:53">
      <c r="AE212" s="148"/>
    </row>
    <row r="213" spans="1:53">
      <c r="AE213" s="148"/>
    </row>
    <row r="214" spans="1:53">
      <c r="AE214" s="148"/>
    </row>
    <row r="215" spans="1:53">
      <c r="AE215" s="148"/>
    </row>
    <row r="216" spans="1:53">
      <c r="AE216" s="148"/>
    </row>
    <row r="217" spans="1:53">
      <c r="AE217" s="148"/>
    </row>
    <row r="218" spans="1:53">
      <c r="AE218" s="148"/>
    </row>
    <row r="219" spans="1:53">
      <c r="AE219" s="148"/>
    </row>
    <row r="220" spans="1:53">
      <c r="AE220" s="148"/>
    </row>
    <row r="221" spans="1:53">
      <c r="AE221" s="148"/>
    </row>
    <row r="222" spans="1:53">
      <c r="AE222" s="148"/>
    </row>
    <row r="223" spans="1:53">
      <c r="AE223" s="148"/>
    </row>
    <row r="224" spans="1:53">
      <c r="AE224" s="148"/>
    </row>
    <row r="225" spans="31:31">
      <c r="AE225" s="148"/>
    </row>
    <row r="226" spans="31:31">
      <c r="AE226" s="148"/>
    </row>
    <row r="227" spans="31:31">
      <c r="AE227" s="148"/>
    </row>
    <row r="228" spans="31:31">
      <c r="AE228" s="148"/>
    </row>
    <row r="229" spans="31:31">
      <c r="AE229" s="148"/>
    </row>
    <row r="230" spans="31:31">
      <c r="AE230" s="148"/>
    </row>
    <row r="231" spans="31:31">
      <c r="AE231" s="148"/>
    </row>
    <row r="232" spans="31:31">
      <c r="AE232" s="148"/>
    </row>
    <row r="233" spans="31:31">
      <c r="AE233" s="148"/>
    </row>
    <row r="234" spans="31:31">
      <c r="AE234" s="148"/>
    </row>
    <row r="235" spans="31:31">
      <c r="AE235" s="148"/>
    </row>
    <row r="236" spans="31:31">
      <c r="AE236" s="148"/>
    </row>
    <row r="237" spans="31:31">
      <c r="AE237" s="148"/>
    </row>
    <row r="238" spans="31:31">
      <c r="AE238" s="148"/>
    </row>
    <row r="239" spans="31:31">
      <c r="AE239" s="148"/>
    </row>
    <row r="240" spans="31:31">
      <c r="AE240" s="148"/>
    </row>
    <row r="241" spans="31:31">
      <c r="AE241" s="148"/>
    </row>
    <row r="242" spans="31:31">
      <c r="AE242" s="148"/>
    </row>
    <row r="243" spans="31:31">
      <c r="AE243" s="148"/>
    </row>
    <row r="244" spans="31:31">
      <c r="AE244" s="148"/>
    </row>
    <row r="245" spans="31:31">
      <c r="AE245" s="148"/>
    </row>
    <row r="246" spans="31:31">
      <c r="AE246" s="148"/>
    </row>
    <row r="247" spans="31:31">
      <c r="AE247" s="148"/>
    </row>
    <row r="248" spans="31:31">
      <c r="AE248" s="148"/>
    </row>
    <row r="249" spans="31:31">
      <c r="AE249" s="148"/>
    </row>
    <row r="250" spans="31:31">
      <c r="AE250" s="148"/>
    </row>
    <row r="251" spans="31:31">
      <c r="AE251" s="148"/>
    </row>
    <row r="252" spans="31:31">
      <c r="AE252" s="148"/>
    </row>
    <row r="253" spans="31:31">
      <c r="AE253" s="148"/>
    </row>
    <row r="254" spans="31:31">
      <c r="AE254" s="148"/>
    </row>
    <row r="255" spans="31:31">
      <c r="AE255" s="148"/>
    </row>
    <row r="256" spans="31:31">
      <c r="AE256" s="148"/>
    </row>
    <row r="257" spans="31:31">
      <c r="AE257" s="148"/>
    </row>
    <row r="258" spans="31:31">
      <c r="AE258" s="148"/>
    </row>
    <row r="259" spans="31:31">
      <c r="AE259" s="148"/>
    </row>
    <row r="260" spans="31:31">
      <c r="AE260" s="148"/>
    </row>
    <row r="261" spans="31:31">
      <c r="AE261" s="148"/>
    </row>
    <row r="262" spans="31:31">
      <c r="AE262" s="148"/>
    </row>
    <row r="263" spans="31:31">
      <c r="AE263" s="148"/>
    </row>
    <row r="264" spans="31:31">
      <c r="AE264" s="148"/>
    </row>
    <row r="265" spans="31:31">
      <c r="AE265" s="148"/>
    </row>
    <row r="266" spans="31:31">
      <c r="AE266" s="148"/>
    </row>
    <row r="267" spans="31:31">
      <c r="AE267" s="148"/>
    </row>
    <row r="268" spans="31:31">
      <c r="AE268" s="148"/>
    </row>
    <row r="269" spans="31:31">
      <c r="AE269" s="148"/>
    </row>
    <row r="270" spans="31:31">
      <c r="AE270" s="148"/>
    </row>
    <row r="271" spans="31:31">
      <c r="AE271" s="148"/>
    </row>
    <row r="272" spans="31:31">
      <c r="AE272" s="148"/>
    </row>
    <row r="273" spans="31:31">
      <c r="AE273" s="148"/>
    </row>
    <row r="274" spans="31:31">
      <c r="AE274" s="148"/>
    </row>
    <row r="275" spans="31:31">
      <c r="AE275" s="148"/>
    </row>
    <row r="276" spans="31:31">
      <c r="AE276" s="148"/>
    </row>
    <row r="277" spans="31:31">
      <c r="AE277" s="148"/>
    </row>
    <row r="278" spans="31:31">
      <c r="AE278" s="148"/>
    </row>
    <row r="279" spans="31:31">
      <c r="AE279" s="148"/>
    </row>
    <row r="280" spans="31:31">
      <c r="AE280" s="148"/>
    </row>
    <row r="281" spans="31:31">
      <c r="AE281" s="148"/>
    </row>
    <row r="282" spans="31:31">
      <c r="AE282" s="148"/>
    </row>
    <row r="283" spans="31:31">
      <c r="AE283" s="148"/>
    </row>
    <row r="284" spans="31:31">
      <c r="AE284" s="148"/>
    </row>
    <row r="285" spans="31:31">
      <c r="AE285" s="148"/>
    </row>
    <row r="286" spans="31:31">
      <c r="AE286" s="148"/>
    </row>
    <row r="287" spans="31:31">
      <c r="AE287" s="148"/>
    </row>
    <row r="288" spans="31:31">
      <c r="AE288" s="148"/>
    </row>
    <row r="289" spans="31:31">
      <c r="AE289" s="148"/>
    </row>
    <row r="290" spans="31:31">
      <c r="AE290" s="148"/>
    </row>
    <row r="291" spans="31:31">
      <c r="AE291" s="148"/>
    </row>
    <row r="292" spans="31:31">
      <c r="AE292" s="148"/>
    </row>
    <row r="293" spans="31:31">
      <c r="AE293" s="148"/>
    </row>
    <row r="294" spans="31:31">
      <c r="AE294" s="148"/>
    </row>
    <row r="295" spans="31:31">
      <c r="AE295" s="148"/>
    </row>
    <row r="296" spans="31:31">
      <c r="AE296" s="148"/>
    </row>
    <row r="297" spans="31:31">
      <c r="AE297" s="148"/>
    </row>
    <row r="298" spans="31:31">
      <c r="AE298" s="148"/>
    </row>
    <row r="299" spans="31:31">
      <c r="AE299" s="148"/>
    </row>
    <row r="300" spans="31:31">
      <c r="AE300" s="148"/>
    </row>
    <row r="301" spans="31:31">
      <c r="AE301" s="148"/>
    </row>
    <row r="302" spans="31:31">
      <c r="AE302" s="148"/>
    </row>
    <row r="303" spans="31:31">
      <c r="AE303" s="148"/>
    </row>
    <row r="304" spans="31:31">
      <c r="AE304" s="148"/>
    </row>
    <row r="305" spans="31:31">
      <c r="AE305" s="148"/>
    </row>
    <row r="306" spans="31:31">
      <c r="AE306" s="148"/>
    </row>
    <row r="307" spans="31:31">
      <c r="AE307" s="148"/>
    </row>
    <row r="308" spans="31:31">
      <c r="AE308" s="148"/>
    </row>
    <row r="309" spans="31:31">
      <c r="AE309" s="148"/>
    </row>
    <row r="310" spans="31:31">
      <c r="AE310" s="148"/>
    </row>
    <row r="311" spans="31:31">
      <c r="AE311" s="148"/>
    </row>
    <row r="312" spans="31:31">
      <c r="AE312" s="148"/>
    </row>
    <row r="313" spans="31:31">
      <c r="AE313" s="148"/>
    </row>
    <row r="314" spans="31:31">
      <c r="AE314" s="148"/>
    </row>
    <row r="315" spans="31:31">
      <c r="AE315" s="148"/>
    </row>
    <row r="316" spans="31:31">
      <c r="AE316" s="148"/>
    </row>
    <row r="317" spans="31:31">
      <c r="AE317" s="148"/>
    </row>
    <row r="318" spans="31:31">
      <c r="AE318" s="148"/>
    </row>
    <row r="319" spans="31:31">
      <c r="AE319" s="148"/>
    </row>
    <row r="320" spans="31:31">
      <c r="AE320" s="148"/>
    </row>
    <row r="321" spans="31:31">
      <c r="AE321" s="148"/>
    </row>
    <row r="322" spans="31:31">
      <c r="AE322" s="148"/>
    </row>
    <row r="323" spans="31:31">
      <c r="AE323" s="148"/>
    </row>
    <row r="324" spans="31:31">
      <c r="AE324" s="148"/>
    </row>
    <row r="325" spans="31:31">
      <c r="AE325" s="148"/>
    </row>
    <row r="326" spans="31:31">
      <c r="AE326" s="148"/>
    </row>
    <row r="327" spans="31:31">
      <c r="AE327" s="148"/>
    </row>
    <row r="328" spans="31:31">
      <c r="AE328" s="148"/>
    </row>
    <row r="329" spans="31:31">
      <c r="AE329" s="148"/>
    </row>
    <row r="330" spans="31:31">
      <c r="AE330" s="148"/>
    </row>
    <row r="331" spans="31:31">
      <c r="AE331" s="148"/>
    </row>
    <row r="332" spans="31:31">
      <c r="AE332" s="148"/>
    </row>
    <row r="333" spans="31:31">
      <c r="AE333" s="148"/>
    </row>
    <row r="334" spans="31:31">
      <c r="AE334" s="148"/>
    </row>
    <row r="335" spans="31:31">
      <c r="AE335" s="148"/>
    </row>
    <row r="336" spans="31:31">
      <c r="AE336" s="148"/>
    </row>
    <row r="337" spans="31:31">
      <c r="AE337" s="148"/>
    </row>
    <row r="338" spans="31:31">
      <c r="AE338" s="148"/>
    </row>
    <row r="339" spans="31:31">
      <c r="AE339" s="148"/>
    </row>
    <row r="340" spans="31:31">
      <c r="AE340" s="148"/>
    </row>
    <row r="341" spans="31:31">
      <c r="AE341" s="148"/>
    </row>
    <row r="342" spans="31:31">
      <c r="AE342" s="148"/>
    </row>
    <row r="343" spans="31:31">
      <c r="AE343" s="148"/>
    </row>
    <row r="344" spans="31:31">
      <c r="AE344" s="148"/>
    </row>
    <row r="345" spans="31:31">
      <c r="AE345" s="148"/>
    </row>
    <row r="346" spans="31:31">
      <c r="AE346" s="148"/>
    </row>
    <row r="347" spans="31:31">
      <c r="AE347" s="148"/>
    </row>
    <row r="348" spans="31:31">
      <c r="AE348" s="148"/>
    </row>
    <row r="349" spans="31:31">
      <c r="AE349" s="148"/>
    </row>
    <row r="350" spans="31:31">
      <c r="AE350" s="148"/>
    </row>
    <row r="351" spans="31:31">
      <c r="AE351" s="148"/>
    </row>
    <row r="352" spans="31:31">
      <c r="AE352" s="148"/>
    </row>
    <row r="353" spans="31:31">
      <c r="AE353" s="148"/>
    </row>
    <row r="354" spans="31:31">
      <c r="AE354" s="148"/>
    </row>
    <row r="355" spans="31:31">
      <c r="AE355" s="148"/>
    </row>
    <row r="356" spans="31:31">
      <c r="AE356" s="148"/>
    </row>
    <row r="357" spans="31:31">
      <c r="AE357" s="148"/>
    </row>
    <row r="358" spans="31:31">
      <c r="AE358" s="148"/>
    </row>
    <row r="359" spans="31:31">
      <c r="AE359" s="148"/>
    </row>
    <row r="360" spans="31:31">
      <c r="AE360" s="148"/>
    </row>
    <row r="361" spans="31:31">
      <c r="AE361" s="148"/>
    </row>
    <row r="362" spans="31:31">
      <c r="AE362" s="148"/>
    </row>
    <row r="363" spans="31:31">
      <c r="AE363" s="148"/>
    </row>
    <row r="364" spans="31:31">
      <c r="AE364" s="148"/>
    </row>
    <row r="365" spans="31:31">
      <c r="AE365" s="148"/>
    </row>
    <row r="366" spans="31:31">
      <c r="AE366" s="148"/>
    </row>
    <row r="367" spans="31:31">
      <c r="AE367" s="148"/>
    </row>
    <row r="368" spans="31:31">
      <c r="AE368" s="148"/>
    </row>
    <row r="369" spans="31:31">
      <c r="AE369" s="148"/>
    </row>
    <row r="370" spans="31:31">
      <c r="AE370" s="148"/>
    </row>
    <row r="371" spans="31:31">
      <c r="AE371" s="148"/>
    </row>
    <row r="372" spans="31:31">
      <c r="AE372" s="148"/>
    </row>
    <row r="373" spans="31:31">
      <c r="AE373" s="148"/>
    </row>
    <row r="374" spans="31:31">
      <c r="AE374" s="148"/>
    </row>
    <row r="375" spans="31:31">
      <c r="AE375" s="148"/>
    </row>
    <row r="376" spans="31:31">
      <c r="AE376" s="148"/>
    </row>
    <row r="377" spans="31:31">
      <c r="AE377" s="148"/>
    </row>
    <row r="378" spans="31:31">
      <c r="AE378" s="148"/>
    </row>
    <row r="379" spans="31:31">
      <c r="AE379" s="148"/>
    </row>
    <row r="380" spans="31:31">
      <c r="AE380" s="148"/>
    </row>
    <row r="381" spans="31:31">
      <c r="AE381" s="148"/>
    </row>
    <row r="382" spans="31:31">
      <c r="AE382" s="148"/>
    </row>
    <row r="383" spans="31:31">
      <c r="AE383" s="148"/>
    </row>
    <row r="384" spans="31:31">
      <c r="AE384" s="148"/>
    </row>
    <row r="385" spans="31:31">
      <c r="AE385" s="148"/>
    </row>
    <row r="386" spans="31:31">
      <c r="AE386" s="148"/>
    </row>
    <row r="387" spans="31:31">
      <c r="AE387" s="148"/>
    </row>
    <row r="388" spans="31:31">
      <c r="AE388" s="148"/>
    </row>
    <row r="389" spans="31:31">
      <c r="AE389" s="148"/>
    </row>
    <row r="390" spans="31:31">
      <c r="AE390" s="148"/>
    </row>
    <row r="391" spans="31:31">
      <c r="AE391" s="148"/>
    </row>
    <row r="392" spans="31:31">
      <c r="AE392" s="148"/>
    </row>
    <row r="393" spans="31:31">
      <c r="AE393" s="148"/>
    </row>
    <row r="394" spans="31:31">
      <c r="AE394" s="148"/>
    </row>
    <row r="395" spans="31:31">
      <c r="AE395" s="148"/>
    </row>
    <row r="396" spans="31:31">
      <c r="AE396" s="148"/>
    </row>
    <row r="397" spans="31:31">
      <c r="AE397" s="148"/>
    </row>
    <row r="398" spans="31:31">
      <c r="AE398" s="148"/>
    </row>
    <row r="399" spans="31:31">
      <c r="AE399" s="148"/>
    </row>
    <row r="400" spans="31:31">
      <c r="AE400" s="148"/>
    </row>
    <row r="401" spans="31:31">
      <c r="AE401" s="148"/>
    </row>
    <row r="402" spans="31:31">
      <c r="AE402" s="148"/>
    </row>
    <row r="403" spans="31:31">
      <c r="AE403" s="148"/>
    </row>
    <row r="404" spans="31:31">
      <c r="AE404" s="148"/>
    </row>
    <row r="405" spans="31:31">
      <c r="AE405" s="148"/>
    </row>
    <row r="406" spans="31:31">
      <c r="AE406" s="148"/>
    </row>
    <row r="407" spans="31:31">
      <c r="AE407" s="148"/>
    </row>
    <row r="408" spans="31:31">
      <c r="AE408" s="148"/>
    </row>
    <row r="409" spans="31:31">
      <c r="AE409" s="148"/>
    </row>
    <row r="410" spans="31:31">
      <c r="AE410" s="148"/>
    </row>
    <row r="411" spans="31:31">
      <c r="AE411" s="148"/>
    </row>
    <row r="412" spans="31:31">
      <c r="AE412" s="148"/>
    </row>
    <row r="413" spans="31:31">
      <c r="AE413" s="148"/>
    </row>
    <row r="414" spans="31:31">
      <c r="AE414" s="148"/>
    </row>
    <row r="415" spans="31:31">
      <c r="AE415" s="148"/>
    </row>
    <row r="416" spans="31:31">
      <c r="AE416" s="148"/>
    </row>
    <row r="417" spans="31:31">
      <c r="AE417" s="148"/>
    </row>
    <row r="418" spans="31:31">
      <c r="AE418" s="148"/>
    </row>
    <row r="419" spans="31:31">
      <c r="AE419" s="148"/>
    </row>
    <row r="420" spans="31:31">
      <c r="AE420" s="148"/>
    </row>
    <row r="421" spans="31:31">
      <c r="AE421" s="148"/>
    </row>
    <row r="422" spans="31:31">
      <c r="AE422" s="148"/>
    </row>
    <row r="423" spans="31:31">
      <c r="AE423" s="148"/>
    </row>
    <row r="424" spans="31:31">
      <c r="AE424" s="148"/>
    </row>
    <row r="425" spans="31:31">
      <c r="AE425" s="148"/>
    </row>
    <row r="426" spans="31:31">
      <c r="AE426" s="148"/>
    </row>
    <row r="427" spans="31:31">
      <c r="AE427" s="148"/>
    </row>
    <row r="428" spans="31:31">
      <c r="AE428" s="148"/>
    </row>
    <row r="429" spans="31:31">
      <c r="AE429" s="148"/>
    </row>
    <row r="430" spans="31:31">
      <c r="AE430" s="148"/>
    </row>
    <row r="431" spans="31:31">
      <c r="AE431" s="148"/>
    </row>
    <row r="432" spans="31:31">
      <c r="AE432" s="148"/>
    </row>
    <row r="433" spans="31:31">
      <c r="AE433" s="148"/>
    </row>
    <row r="434" spans="31:31">
      <c r="AE434" s="148"/>
    </row>
    <row r="435" spans="31:31">
      <c r="AE435" s="148"/>
    </row>
    <row r="436" spans="31:31">
      <c r="AE436" s="148"/>
    </row>
    <row r="437" spans="31:31">
      <c r="AE437" s="148"/>
    </row>
    <row r="438" spans="31:31">
      <c r="AE438" s="148"/>
    </row>
    <row r="439" spans="31:31">
      <c r="AE439" s="148"/>
    </row>
    <row r="440" spans="31:31">
      <c r="AE440" s="148"/>
    </row>
    <row r="441" spans="31:31">
      <c r="AE441" s="148"/>
    </row>
    <row r="442" spans="31:31">
      <c r="AE442" s="148"/>
    </row>
    <row r="443" spans="31:31">
      <c r="AE443" s="148"/>
    </row>
    <row r="444" spans="31:31">
      <c r="AE444" s="148"/>
    </row>
    <row r="445" spans="31:31">
      <c r="AE445" s="148"/>
    </row>
    <row r="446" spans="31:31">
      <c r="AE446" s="148"/>
    </row>
    <row r="447" spans="31:31">
      <c r="AE447" s="148"/>
    </row>
    <row r="448" spans="31:31">
      <c r="AE448" s="148"/>
    </row>
    <row r="449" spans="31:31">
      <c r="AE449" s="148"/>
    </row>
    <row r="450" spans="31:31">
      <c r="AE450" s="148"/>
    </row>
    <row r="451" spans="31:31">
      <c r="AE451" s="148"/>
    </row>
    <row r="452" spans="31:31">
      <c r="AE452" s="148"/>
    </row>
    <row r="453" spans="31:31">
      <c r="AE453" s="148"/>
    </row>
    <row r="454" spans="31:31">
      <c r="AE454" s="148"/>
    </row>
    <row r="455" spans="31:31">
      <c r="AE455" s="148"/>
    </row>
    <row r="456" spans="31:31">
      <c r="AE456" s="148"/>
    </row>
    <row r="457" spans="31:31">
      <c r="AE457" s="148"/>
    </row>
    <row r="458" spans="31:31">
      <c r="AE458" s="148"/>
    </row>
    <row r="459" spans="31:31">
      <c r="AE459" s="148"/>
    </row>
    <row r="460" spans="31:31">
      <c r="AE460" s="148"/>
    </row>
    <row r="461" spans="31:31">
      <c r="AE461" s="148"/>
    </row>
    <row r="462" spans="31:31">
      <c r="AE462" s="148"/>
    </row>
    <row r="463" spans="31:31">
      <c r="AE463" s="148"/>
    </row>
    <row r="464" spans="31:31">
      <c r="AE464" s="148"/>
    </row>
    <row r="465" spans="31:31">
      <c r="AE465" s="148"/>
    </row>
    <row r="466" spans="31:31">
      <c r="AE466" s="148"/>
    </row>
    <row r="467" spans="31:31">
      <c r="AE467" s="148"/>
    </row>
    <row r="468" spans="31:31">
      <c r="AE468" s="148"/>
    </row>
    <row r="469" spans="31:31">
      <c r="AE469" s="148"/>
    </row>
    <row r="470" spans="31:31">
      <c r="AE470" s="148"/>
    </row>
    <row r="471" spans="31:31">
      <c r="AE471" s="148"/>
    </row>
    <row r="472" spans="31:31">
      <c r="AE472" s="148"/>
    </row>
    <row r="473" spans="31:31">
      <c r="AE473" s="148"/>
    </row>
    <row r="474" spans="31:31">
      <c r="AE474" s="148"/>
    </row>
    <row r="475" spans="31:31">
      <c r="AE475" s="148"/>
    </row>
    <row r="476" spans="31:31">
      <c r="AE476" s="148"/>
    </row>
    <row r="477" spans="31:31">
      <c r="AE477" s="148"/>
    </row>
    <row r="478" spans="31:31">
      <c r="AE478" s="148"/>
    </row>
    <row r="479" spans="31:31">
      <c r="AE479" s="148"/>
    </row>
    <row r="480" spans="31:31">
      <c r="AE480" s="148"/>
    </row>
    <row r="481" spans="31:31">
      <c r="AE481" s="148"/>
    </row>
    <row r="482" spans="31:31">
      <c r="AE482" s="148"/>
    </row>
    <row r="483" spans="31:31">
      <c r="AE483" s="148"/>
    </row>
    <row r="484" spans="31:31">
      <c r="AE484" s="148"/>
    </row>
    <row r="485" spans="31:31">
      <c r="AE485" s="148"/>
    </row>
    <row r="486" spans="31:31">
      <c r="AE486" s="148"/>
    </row>
    <row r="487" spans="31:31">
      <c r="AE487" s="148"/>
    </row>
    <row r="488" spans="31:31">
      <c r="AE488" s="148"/>
    </row>
    <row r="489" spans="31:31">
      <c r="AE489" s="148"/>
    </row>
    <row r="490" spans="31:31">
      <c r="AE490" s="148"/>
    </row>
    <row r="491" spans="31:31">
      <c r="AE491" s="148"/>
    </row>
    <row r="492" spans="31:31">
      <c r="AE492" s="148"/>
    </row>
    <row r="493" spans="31:31">
      <c r="AE493" s="148"/>
    </row>
    <row r="494" spans="31:31">
      <c r="AE494" s="148"/>
    </row>
    <row r="495" spans="31:31">
      <c r="AE495" s="148"/>
    </row>
    <row r="496" spans="31:31">
      <c r="AE496" s="148"/>
    </row>
    <row r="497" spans="31:31">
      <c r="AE497" s="148"/>
    </row>
    <row r="498" spans="31:31">
      <c r="AE498" s="148"/>
    </row>
    <row r="499" spans="31:31">
      <c r="AE499" s="148"/>
    </row>
    <row r="500" spans="31:31">
      <c r="AE500" s="148"/>
    </row>
    <row r="501" spans="31:31">
      <c r="AE501" s="148"/>
    </row>
    <row r="502" spans="31:31">
      <c r="AE502" s="148"/>
    </row>
    <row r="503" spans="31:31">
      <c r="AE503" s="148"/>
    </row>
    <row r="504" spans="31:31">
      <c r="AE504" s="148"/>
    </row>
    <row r="505" spans="31:31">
      <c r="AE505" s="148"/>
    </row>
    <row r="506" spans="31:31">
      <c r="AE506" s="148"/>
    </row>
    <row r="507" spans="31:31">
      <c r="AE507" s="148"/>
    </row>
    <row r="508" spans="31:31">
      <c r="AE508" s="148"/>
    </row>
    <row r="509" spans="31:31">
      <c r="AE509" s="148"/>
    </row>
    <row r="510" spans="31:31">
      <c r="AE510" s="148"/>
    </row>
    <row r="511" spans="31:31">
      <c r="AE511" s="148"/>
    </row>
    <row r="512" spans="31:31">
      <c r="AE512" s="148"/>
    </row>
    <row r="513" spans="31:31">
      <c r="AE513" s="148"/>
    </row>
    <row r="514" spans="31:31">
      <c r="AE514" s="148"/>
    </row>
    <row r="515" spans="31:31">
      <c r="AE515" s="148"/>
    </row>
    <row r="516" spans="31:31">
      <c r="AE516" s="148"/>
    </row>
    <row r="517" spans="31:31">
      <c r="AE517" s="148"/>
    </row>
    <row r="518" spans="31:31">
      <c r="AE518" s="148"/>
    </row>
    <row r="519" spans="31:31">
      <c r="AE519" s="148"/>
    </row>
    <row r="520" spans="31:31">
      <c r="AE520" s="148"/>
    </row>
    <row r="521" spans="31:31">
      <c r="AE521" s="148"/>
    </row>
    <row r="522" spans="31:31">
      <c r="AE522" s="148"/>
    </row>
    <row r="523" spans="31:31">
      <c r="AE523" s="148"/>
    </row>
    <row r="524" spans="31:31">
      <c r="AE524" s="148"/>
    </row>
    <row r="525" spans="31:31">
      <c r="AE525" s="148"/>
    </row>
    <row r="526" spans="31:31">
      <c r="AE526" s="148"/>
    </row>
    <row r="527" spans="31:31">
      <c r="AE527" s="148"/>
    </row>
    <row r="528" spans="31:31">
      <c r="AE528" s="148"/>
    </row>
    <row r="529" spans="31:31">
      <c r="AE529" s="148"/>
    </row>
    <row r="530" spans="31:31">
      <c r="AE530" s="148"/>
    </row>
    <row r="531" spans="31:31">
      <c r="AE531" s="148"/>
    </row>
    <row r="532" spans="31:31">
      <c r="AE532" s="148"/>
    </row>
    <row r="533" spans="31:31">
      <c r="AE533" s="148"/>
    </row>
    <row r="534" spans="31:31">
      <c r="AE534" s="148"/>
    </row>
    <row r="535" spans="31:31">
      <c r="AE535" s="148"/>
    </row>
    <row r="536" spans="31:31">
      <c r="AE536" s="148"/>
    </row>
    <row r="537" spans="31:31">
      <c r="AE537" s="148"/>
    </row>
    <row r="538" spans="31:31">
      <c r="AE538" s="148"/>
    </row>
    <row r="539" spans="31:31">
      <c r="AE539" s="148"/>
    </row>
    <row r="540" spans="31:31">
      <c r="AE540" s="148"/>
    </row>
    <row r="541" spans="31:31">
      <c r="AE541" s="148"/>
    </row>
    <row r="542" spans="31:31">
      <c r="AE542" s="148"/>
    </row>
    <row r="543" spans="31:31">
      <c r="AE543" s="148"/>
    </row>
    <row r="544" spans="31:31">
      <c r="AE544" s="148"/>
    </row>
    <row r="545" spans="31:31">
      <c r="AE545" s="148"/>
    </row>
    <row r="546" spans="31:31">
      <c r="AE546" s="148"/>
    </row>
    <row r="547" spans="31:31">
      <c r="AE547" s="148"/>
    </row>
    <row r="548" spans="31:31">
      <c r="AE548" s="148"/>
    </row>
    <row r="549" spans="31:31">
      <c r="AE549" s="148"/>
    </row>
    <row r="550" spans="31:31">
      <c r="AE550" s="148"/>
    </row>
    <row r="551" spans="31:31">
      <c r="AE551" s="148"/>
    </row>
    <row r="552" spans="31:31">
      <c r="AE552" s="148"/>
    </row>
    <row r="553" spans="31:31">
      <c r="AE553" s="148"/>
    </row>
    <row r="554" spans="31:31">
      <c r="AE554" s="148"/>
    </row>
    <row r="555" spans="31:31">
      <c r="AE555" s="148"/>
    </row>
    <row r="556" spans="31:31">
      <c r="AE556" s="148"/>
    </row>
    <row r="557" spans="31:31">
      <c r="AE557" s="148"/>
    </row>
    <row r="558" spans="31:31">
      <c r="AE558" s="148"/>
    </row>
    <row r="559" spans="31:31">
      <c r="AE559" s="148"/>
    </row>
    <row r="560" spans="31:31">
      <c r="AE560" s="148"/>
    </row>
    <row r="561" spans="31:31">
      <c r="AE561" s="148"/>
    </row>
    <row r="562" spans="31:31">
      <c r="AE562" s="148"/>
    </row>
    <row r="563" spans="31:31">
      <c r="AE563" s="148"/>
    </row>
    <row r="564" spans="31:31">
      <c r="AE564" s="148"/>
    </row>
    <row r="565" spans="31:31">
      <c r="AE565" s="148"/>
    </row>
    <row r="566" spans="31:31">
      <c r="AE566" s="148"/>
    </row>
    <row r="567" spans="31:31">
      <c r="AE567" s="148"/>
    </row>
    <row r="568" spans="31:31">
      <c r="AE568" s="148"/>
    </row>
    <row r="569" spans="31:31">
      <c r="AE569" s="148"/>
    </row>
    <row r="570" spans="31:31">
      <c r="AE570" s="148"/>
    </row>
    <row r="571" spans="31:31">
      <c r="AE571" s="148"/>
    </row>
    <row r="572" spans="31:31">
      <c r="AE572" s="148"/>
    </row>
    <row r="573" spans="31:31">
      <c r="AE573" s="148"/>
    </row>
    <row r="574" spans="31:31">
      <c r="AE574" s="148"/>
    </row>
    <row r="575" spans="31:31">
      <c r="AE575" s="148"/>
    </row>
    <row r="576" spans="31:31">
      <c r="AE576" s="148"/>
    </row>
    <row r="577" spans="31:31">
      <c r="AE577" s="148"/>
    </row>
    <row r="578" spans="31:31">
      <c r="AE578" s="148"/>
    </row>
    <row r="579" spans="31:31">
      <c r="AE579" s="148"/>
    </row>
    <row r="580" spans="31:31">
      <c r="AE580" s="148"/>
    </row>
    <row r="581" spans="31:31">
      <c r="AE581" s="148"/>
    </row>
    <row r="582" spans="31:31">
      <c r="AE582" s="148"/>
    </row>
    <row r="583" spans="31:31">
      <c r="AE583" s="148"/>
    </row>
    <row r="584" spans="31:31">
      <c r="AE584" s="148"/>
    </row>
    <row r="585" spans="31:31">
      <c r="AE585" s="148"/>
    </row>
    <row r="586" spans="31:31">
      <c r="AE586" s="148"/>
    </row>
    <row r="587" spans="31:31">
      <c r="AE587" s="148"/>
    </row>
    <row r="588" spans="31:31">
      <c r="AE588" s="148"/>
    </row>
    <row r="589" spans="31:31">
      <c r="AE589" s="148"/>
    </row>
    <row r="590" spans="31:31">
      <c r="AE590" s="148"/>
    </row>
    <row r="591" spans="31:31">
      <c r="AE591" s="148"/>
    </row>
    <row r="592" spans="31:31">
      <c r="AE592" s="148"/>
    </row>
    <row r="593" spans="31:31">
      <c r="AE593" s="148"/>
    </row>
    <row r="594" spans="31:31">
      <c r="AE594" s="148"/>
    </row>
    <row r="595" spans="31:31">
      <c r="AE595" s="148"/>
    </row>
    <row r="596" spans="31:31">
      <c r="AE596" s="148"/>
    </row>
    <row r="597" spans="31:31">
      <c r="AE597" s="148"/>
    </row>
    <row r="598" spans="31:31">
      <c r="AE598" s="148"/>
    </row>
    <row r="599" spans="31:31">
      <c r="AE599" s="148"/>
    </row>
    <row r="600" spans="31:31">
      <c r="AE600" s="148"/>
    </row>
    <row r="601" spans="31:31">
      <c r="AE601" s="148"/>
    </row>
    <row r="602" spans="31:31">
      <c r="AE602" s="148"/>
    </row>
    <row r="603" spans="31:31">
      <c r="AE603" s="148"/>
    </row>
    <row r="604" spans="31:31">
      <c r="AE604" s="148"/>
    </row>
    <row r="605" spans="31:31">
      <c r="AE605" s="148"/>
    </row>
    <row r="606" spans="31:31">
      <c r="AE606" s="148"/>
    </row>
    <row r="607" spans="31:31">
      <c r="AE607" s="148"/>
    </row>
    <row r="608" spans="31:31">
      <c r="AE608" s="148"/>
    </row>
    <row r="609" spans="31:31">
      <c r="AE609" s="148"/>
    </row>
    <row r="610" spans="31:31">
      <c r="AE610" s="148"/>
    </row>
    <row r="611" spans="31:31">
      <c r="AE611" s="148"/>
    </row>
    <row r="612" spans="31:31">
      <c r="AE612" s="148"/>
    </row>
    <row r="613" spans="31:31">
      <c r="AE613" s="148"/>
    </row>
    <row r="614" spans="31:31">
      <c r="AE614" s="148"/>
    </row>
    <row r="615" spans="31:31">
      <c r="AE615" s="148"/>
    </row>
    <row r="616" spans="31:31">
      <c r="AE616" s="148"/>
    </row>
    <row r="617" spans="31:31">
      <c r="AE617" s="148"/>
    </row>
    <row r="618" spans="31:31">
      <c r="AE618" s="148"/>
    </row>
    <row r="619" spans="31:31">
      <c r="AE619" s="148"/>
    </row>
    <row r="620" spans="31:31">
      <c r="AE620" s="148"/>
    </row>
    <row r="621" spans="31:31">
      <c r="AE621" s="148"/>
    </row>
    <row r="622" spans="31:31">
      <c r="AE622" s="148"/>
    </row>
    <row r="623" spans="31:31">
      <c r="AE623" s="148"/>
    </row>
    <row r="624" spans="31:31">
      <c r="AE624" s="148"/>
    </row>
    <row r="625" spans="31:31">
      <c r="AE625" s="148"/>
    </row>
    <row r="626" spans="31:31">
      <c r="AE626" s="148"/>
    </row>
    <row r="627" spans="31:31">
      <c r="AE627" s="148"/>
    </row>
    <row r="628" spans="31:31">
      <c r="AE628" s="148"/>
    </row>
    <row r="629" spans="31:31">
      <c r="AE629" s="148"/>
    </row>
    <row r="630" spans="31:31">
      <c r="AE630" s="148"/>
    </row>
    <row r="631" spans="31:31">
      <c r="AE631" s="148"/>
    </row>
    <row r="632" spans="31:31">
      <c r="AE632" s="148"/>
    </row>
    <row r="633" spans="31:31">
      <c r="AE633" s="148"/>
    </row>
    <row r="634" spans="31:31">
      <c r="AE634" s="148"/>
    </row>
    <row r="635" spans="31:31">
      <c r="AE635" s="148"/>
    </row>
    <row r="636" spans="31:31">
      <c r="AE636" s="148"/>
    </row>
    <row r="637" spans="31:31">
      <c r="AE637" s="148"/>
    </row>
    <row r="638" spans="31:31">
      <c r="AE638" s="148"/>
    </row>
    <row r="639" spans="31:31">
      <c r="AE639" s="148"/>
    </row>
    <row r="640" spans="31:31">
      <c r="AE640" s="148"/>
    </row>
    <row r="641" spans="31:31">
      <c r="AE641" s="148"/>
    </row>
    <row r="642" spans="31:31">
      <c r="AE642" s="148"/>
    </row>
    <row r="643" spans="31:31">
      <c r="AE643" s="148"/>
    </row>
    <row r="644" spans="31:31">
      <c r="AE644" s="148"/>
    </row>
    <row r="645" spans="31:31">
      <c r="AE645" s="148"/>
    </row>
    <row r="646" spans="31:31">
      <c r="AE646" s="148"/>
    </row>
    <row r="647" spans="31:31">
      <c r="AE647" s="148"/>
    </row>
    <row r="648" spans="31:31">
      <c r="AE648" s="148"/>
    </row>
    <row r="649" spans="31:31">
      <c r="AE649" s="148"/>
    </row>
    <row r="650" spans="31:31">
      <c r="AE650" s="148"/>
    </row>
    <row r="651" spans="31:31">
      <c r="AE651" s="148"/>
    </row>
    <row r="652" spans="31:31">
      <c r="AE652" s="148"/>
    </row>
    <row r="653" spans="31:31">
      <c r="AE653" s="148"/>
    </row>
    <row r="654" spans="31:31">
      <c r="AE654" s="148"/>
    </row>
    <row r="655" spans="31:31">
      <c r="AE655" s="148"/>
    </row>
    <row r="656" spans="31:31">
      <c r="AE656" s="148"/>
    </row>
    <row r="657" spans="31:31">
      <c r="AE657" s="148"/>
    </row>
    <row r="658" spans="31:31">
      <c r="AE658" s="148"/>
    </row>
    <row r="659" spans="31:31">
      <c r="AE659" s="148"/>
    </row>
    <row r="660" spans="31:31">
      <c r="AE660" s="148"/>
    </row>
    <row r="661" spans="31:31">
      <c r="AE661" s="148"/>
    </row>
    <row r="662" spans="31:31">
      <c r="AE662" s="148"/>
    </row>
    <row r="663" spans="31:31">
      <c r="AE663" s="148"/>
    </row>
    <row r="664" spans="31:31">
      <c r="AE664" s="148"/>
    </row>
    <row r="665" spans="31:31">
      <c r="AE665" s="148"/>
    </row>
    <row r="666" spans="31:31">
      <c r="AE666" s="148"/>
    </row>
    <row r="667" spans="31:31">
      <c r="AE667" s="148"/>
    </row>
    <row r="668" spans="31:31">
      <c r="AE668" s="148"/>
    </row>
    <row r="669" spans="31:31">
      <c r="AE669" s="148"/>
    </row>
    <row r="670" spans="31:31">
      <c r="AE670" s="148"/>
    </row>
    <row r="671" spans="31:31">
      <c r="AE671" s="148"/>
    </row>
    <row r="672" spans="31:31">
      <c r="AE672" s="148"/>
    </row>
    <row r="673" spans="31:31">
      <c r="AE673" s="148"/>
    </row>
    <row r="674" spans="31:31">
      <c r="AE674" s="148"/>
    </row>
    <row r="675" spans="31:31">
      <c r="AE675" s="148"/>
    </row>
    <row r="676" spans="31:31">
      <c r="AE676" s="148"/>
    </row>
    <row r="677" spans="31:31">
      <c r="AE677" s="148"/>
    </row>
    <row r="678" spans="31:31">
      <c r="AE678" s="148"/>
    </row>
    <row r="679" spans="31:31">
      <c r="AE679" s="148"/>
    </row>
    <row r="680" spans="31:31">
      <c r="AE680" s="148"/>
    </row>
    <row r="681" spans="31:31">
      <c r="AE681" s="148"/>
    </row>
    <row r="682" spans="31:31">
      <c r="AE682" s="148"/>
    </row>
    <row r="683" spans="31:31">
      <c r="AE683" s="148"/>
    </row>
    <row r="684" spans="31:31">
      <c r="AE684" s="148"/>
    </row>
    <row r="685" spans="31:31">
      <c r="AE685" s="148"/>
    </row>
    <row r="686" spans="31:31">
      <c r="AE686" s="148"/>
    </row>
    <row r="687" spans="31:31">
      <c r="AE687" s="148"/>
    </row>
    <row r="688" spans="31:31">
      <c r="AE688" s="148"/>
    </row>
    <row r="689" spans="31:31">
      <c r="AE689" s="148"/>
    </row>
    <row r="690" spans="31:31">
      <c r="AE690" s="148"/>
    </row>
    <row r="691" spans="31:31">
      <c r="AE691" s="148"/>
    </row>
    <row r="692" spans="31:31">
      <c r="AE692" s="148"/>
    </row>
    <row r="693" spans="31:31">
      <c r="AE693" s="148"/>
    </row>
    <row r="694" spans="31:31">
      <c r="AE694" s="148"/>
    </row>
    <row r="695" spans="31:31">
      <c r="AE695" s="148"/>
    </row>
    <row r="696" spans="31:31">
      <c r="AE696" s="148"/>
    </row>
    <row r="697" spans="31:31">
      <c r="AE697" s="148"/>
    </row>
    <row r="698" spans="31:31">
      <c r="AE698" s="148"/>
    </row>
    <row r="699" spans="31:31">
      <c r="AE699" s="148"/>
    </row>
    <row r="700" spans="31:31">
      <c r="AE700" s="148"/>
    </row>
    <row r="701" spans="31:31">
      <c r="AE701" s="148"/>
    </row>
    <row r="702" spans="31:31">
      <c r="AE702" s="148"/>
    </row>
    <row r="703" spans="31:31">
      <c r="AE703" s="148"/>
    </row>
    <row r="704" spans="31:31">
      <c r="AE704" s="148"/>
    </row>
    <row r="705" spans="31:31">
      <c r="AE705" s="148"/>
    </row>
    <row r="706" spans="31:31">
      <c r="AE706" s="148"/>
    </row>
    <row r="707" spans="31:31">
      <c r="AE707" s="148"/>
    </row>
    <row r="708" spans="31:31">
      <c r="AE708" s="148"/>
    </row>
    <row r="709" spans="31:31">
      <c r="AE709" s="148"/>
    </row>
    <row r="710" spans="31:31">
      <c r="AE710" s="148"/>
    </row>
    <row r="711" spans="31:31">
      <c r="AE711" s="148"/>
    </row>
    <row r="712" spans="31:31">
      <c r="AE712" s="148"/>
    </row>
    <row r="713" spans="31:31">
      <c r="AE713" s="148"/>
    </row>
    <row r="714" spans="31:31">
      <c r="AE714" s="148"/>
    </row>
    <row r="715" spans="31:31">
      <c r="AE715" s="148"/>
    </row>
    <row r="716" spans="31:31">
      <c r="AE716" s="148"/>
    </row>
    <row r="717" spans="31:31">
      <c r="AE717" s="148"/>
    </row>
    <row r="718" spans="31:31">
      <c r="AE718" s="148"/>
    </row>
    <row r="719" spans="31:31">
      <c r="AE719" s="148"/>
    </row>
    <row r="720" spans="31:31">
      <c r="AE720" s="148"/>
    </row>
    <row r="721" spans="31:31">
      <c r="AE721" s="148"/>
    </row>
    <row r="722" spans="31:31">
      <c r="AE722" s="148"/>
    </row>
    <row r="723" spans="31:31">
      <c r="AE723" s="148"/>
    </row>
    <row r="724" spans="31:31">
      <c r="AE724" s="148"/>
    </row>
    <row r="725" spans="31:31">
      <c r="AE725" s="148"/>
    </row>
    <row r="726" spans="31:31">
      <c r="AE726" s="148"/>
    </row>
    <row r="727" spans="31:31">
      <c r="AE727" s="148"/>
    </row>
    <row r="728" spans="31:31">
      <c r="AE728" s="148"/>
    </row>
    <row r="729" spans="31:31">
      <c r="AE729" s="148"/>
    </row>
    <row r="730" spans="31:31">
      <c r="AE730" s="148"/>
    </row>
    <row r="731" spans="31:31">
      <c r="AE731" s="148"/>
    </row>
    <row r="732" spans="31:31">
      <c r="AE732" s="148"/>
    </row>
    <row r="733" spans="31:31">
      <c r="AE733" s="148"/>
    </row>
    <row r="734" spans="31:31">
      <c r="AE734" s="148"/>
    </row>
    <row r="735" spans="31:31">
      <c r="AE735" s="148"/>
    </row>
    <row r="736" spans="31:31">
      <c r="AE736" s="148"/>
    </row>
    <row r="737" spans="31:31">
      <c r="AE737" s="148"/>
    </row>
    <row r="738" spans="31:31">
      <c r="AE738" s="148"/>
    </row>
    <row r="739" spans="31:31">
      <c r="AE739" s="148"/>
    </row>
    <row r="740" spans="31:31">
      <c r="AE740" s="148"/>
    </row>
    <row r="741" spans="31:31">
      <c r="AE741" s="148"/>
    </row>
    <row r="742" spans="31:31">
      <c r="AE742" s="148"/>
    </row>
    <row r="743" spans="31:31">
      <c r="AE743" s="148"/>
    </row>
    <row r="744" spans="31:31">
      <c r="AE744" s="148"/>
    </row>
    <row r="745" spans="31:31">
      <c r="AE745" s="148"/>
    </row>
    <row r="746" spans="31:31">
      <c r="AE746" s="148"/>
    </row>
    <row r="747" spans="31:31">
      <c r="AE747" s="148"/>
    </row>
    <row r="748" spans="31:31">
      <c r="AE748" s="148"/>
    </row>
    <row r="749" spans="31:31">
      <c r="AE749" s="148"/>
    </row>
    <row r="750" spans="31:31">
      <c r="AE750" s="148"/>
    </row>
    <row r="751" spans="31:31">
      <c r="AE751" s="148"/>
    </row>
    <row r="752" spans="31:31">
      <c r="AE752" s="148"/>
    </row>
    <row r="753" spans="31:31">
      <c r="AE753" s="148"/>
    </row>
    <row r="754" spans="31:31">
      <c r="AE754" s="148"/>
    </row>
    <row r="755" spans="31:31">
      <c r="AE755" s="148"/>
    </row>
    <row r="756" spans="31:31">
      <c r="AE756" s="148"/>
    </row>
    <row r="757" spans="31:31">
      <c r="AE757" s="148"/>
    </row>
    <row r="758" spans="31:31">
      <c r="AE758" s="148"/>
    </row>
    <row r="759" spans="31:31">
      <c r="AE759" s="148"/>
    </row>
    <row r="760" spans="31:31">
      <c r="AE760" s="148"/>
    </row>
    <row r="761" spans="31:31">
      <c r="AE761" s="148"/>
    </row>
    <row r="762" spans="31:31">
      <c r="AE762" s="148"/>
    </row>
    <row r="763" spans="31:31">
      <c r="AE763" s="148"/>
    </row>
    <row r="764" spans="31:31">
      <c r="AE764" s="148"/>
    </row>
    <row r="765" spans="31:31">
      <c r="AE765" s="148"/>
    </row>
    <row r="766" spans="31:31">
      <c r="AE766" s="148"/>
    </row>
    <row r="767" spans="31:31">
      <c r="AE767" s="148"/>
    </row>
    <row r="768" spans="31:31">
      <c r="AE768" s="148"/>
    </row>
    <row r="769" spans="31:31">
      <c r="AE769" s="148"/>
    </row>
    <row r="770" spans="31:31">
      <c r="AE770" s="148"/>
    </row>
    <row r="771" spans="31:31">
      <c r="AE771" s="148"/>
    </row>
    <row r="772" spans="31:31">
      <c r="AE772" s="148"/>
    </row>
    <row r="773" spans="31:31">
      <c r="AE773" s="148"/>
    </row>
    <row r="774" spans="31:31">
      <c r="AE774" s="148"/>
    </row>
    <row r="775" spans="31:31">
      <c r="AE775" s="148"/>
    </row>
    <row r="776" spans="31:31">
      <c r="AE776" s="148"/>
    </row>
    <row r="777" spans="31:31">
      <c r="AE777" s="148"/>
    </row>
    <row r="778" spans="31:31">
      <c r="AE778" s="148"/>
    </row>
    <row r="779" spans="31:31">
      <c r="AE779" s="148"/>
    </row>
    <row r="780" spans="31:31">
      <c r="AE780" s="148"/>
    </row>
    <row r="781" spans="31:31">
      <c r="AE781" s="148"/>
    </row>
    <row r="782" spans="31:31">
      <c r="AE782" s="148"/>
    </row>
    <row r="783" spans="31:31">
      <c r="AE783" s="148"/>
    </row>
    <row r="784" spans="31:31">
      <c r="AE784" s="148"/>
    </row>
    <row r="785" spans="31:31">
      <c r="AE785" s="148"/>
    </row>
    <row r="786" spans="31:31">
      <c r="AE786" s="148"/>
    </row>
    <row r="787" spans="31:31">
      <c r="AE787" s="148"/>
    </row>
    <row r="788" spans="31:31">
      <c r="AE788" s="148"/>
    </row>
    <row r="789" spans="31:31">
      <c r="AE789" s="148"/>
    </row>
    <row r="790" spans="31:31">
      <c r="AE790" s="148"/>
    </row>
    <row r="791" spans="31:31">
      <c r="AE791" s="148"/>
    </row>
    <row r="792" spans="31:31">
      <c r="AE792" s="148"/>
    </row>
    <row r="793" spans="31:31">
      <c r="AE793" s="148"/>
    </row>
    <row r="794" spans="31:31">
      <c r="AE794" s="148"/>
    </row>
    <row r="795" spans="31:31">
      <c r="AE795" s="148"/>
    </row>
    <row r="796" spans="31:31">
      <c r="AE796" s="148"/>
    </row>
    <row r="797" spans="31:31">
      <c r="AE797" s="148"/>
    </row>
    <row r="798" spans="31:31">
      <c r="AE798" s="148"/>
    </row>
    <row r="799" spans="31:31">
      <c r="AE799" s="148"/>
    </row>
    <row r="800" spans="31:31">
      <c r="AE800" s="148"/>
    </row>
    <row r="801" spans="31:31">
      <c r="AE801" s="148"/>
    </row>
    <row r="802" spans="31:31">
      <c r="AE802" s="148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1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6" width="11.625" style="2" customWidth="1"/>
    <col min="17" max="17" width="13.375" style="2" customWidth="1"/>
    <col min="18" max="19" width="11.625" style="2" customWidth="1"/>
    <col min="20" max="20" width="11.625" style="144" customWidth="1"/>
    <col min="21" max="30" width="11.625" style="2" customWidth="1"/>
    <col min="31" max="31" width="9" style="2" customWidth="1"/>
    <col min="32" max="16384" width="9" style="2"/>
  </cols>
  <sheetData>
    <row r="1" spans="1:30" ht="66.75" customHeight="1">
      <c r="A1" s="19" t="s">
        <v>0</v>
      </c>
      <c r="B1" s="19" t="s">
        <v>1</v>
      </c>
      <c r="C1" s="19" t="s">
        <v>2</v>
      </c>
      <c r="D1" s="19" t="s">
        <v>173</v>
      </c>
      <c r="E1" s="19" t="s">
        <v>174</v>
      </c>
      <c r="F1" s="19" t="s">
        <v>3</v>
      </c>
      <c r="G1" s="19" t="s">
        <v>4</v>
      </c>
      <c r="H1" s="19" t="s">
        <v>175</v>
      </c>
      <c r="I1" s="19" t="s">
        <v>5</v>
      </c>
      <c r="J1" s="19" t="s">
        <v>6</v>
      </c>
      <c r="K1" s="19" t="s">
        <v>7</v>
      </c>
      <c r="L1" s="19" t="s">
        <v>141</v>
      </c>
      <c r="M1" s="19" t="s">
        <v>210</v>
      </c>
      <c r="N1" s="19" t="s">
        <v>184</v>
      </c>
      <c r="O1" s="19" t="s">
        <v>9</v>
      </c>
      <c r="P1" s="19" t="s">
        <v>10</v>
      </c>
      <c r="Q1" s="19" t="s">
        <v>211</v>
      </c>
      <c r="R1" s="19" t="s">
        <v>11</v>
      </c>
      <c r="S1" s="19" t="s">
        <v>12</v>
      </c>
      <c r="T1" s="142" t="s">
        <v>14</v>
      </c>
      <c r="U1" s="19" t="s">
        <v>15</v>
      </c>
      <c r="V1" s="19" t="s">
        <v>177</v>
      </c>
      <c r="W1" s="19" t="s">
        <v>178</v>
      </c>
      <c r="X1" s="19" t="s">
        <v>150</v>
      </c>
      <c r="Y1" s="19" t="s">
        <v>17</v>
      </c>
      <c r="Z1" s="19" t="s">
        <v>18</v>
      </c>
      <c r="AA1" s="19" t="s">
        <v>19</v>
      </c>
      <c r="AB1" s="19" t="s">
        <v>20</v>
      </c>
      <c r="AC1" s="19" t="s">
        <v>24</v>
      </c>
      <c r="AD1" s="19" t="s">
        <v>25</v>
      </c>
    </row>
    <row r="2" spans="1:30">
      <c r="A2" s="20"/>
      <c r="B2" s="20"/>
      <c r="C2" s="20"/>
      <c r="D2" s="20"/>
      <c r="E2" s="18"/>
      <c r="F2" s="20"/>
      <c r="G2" s="20"/>
      <c r="H2" s="20"/>
      <c r="I2" s="20"/>
      <c r="J2" s="18"/>
      <c r="K2" s="18"/>
      <c r="L2" s="20"/>
      <c r="M2" s="20"/>
      <c r="N2" s="20"/>
      <c r="O2" s="20"/>
      <c r="P2" s="20"/>
      <c r="Q2" s="20"/>
      <c r="R2" s="18"/>
      <c r="S2" s="20"/>
      <c r="T2" s="147"/>
      <c r="U2" s="20"/>
      <c r="V2" s="20"/>
      <c r="W2" s="20"/>
      <c r="Y2" s="20"/>
      <c r="Z2" s="20"/>
      <c r="AA2" s="20"/>
      <c r="AB2" s="20"/>
      <c r="AC2" s="20"/>
      <c r="AD2" s="20"/>
    </row>
    <row r="3" spans="1:30">
      <c r="A3" s="20"/>
      <c r="B3" s="20"/>
      <c r="C3" s="20"/>
      <c r="D3" s="20"/>
      <c r="E3" s="18"/>
      <c r="F3" s="20"/>
      <c r="G3" s="20"/>
      <c r="H3" s="20"/>
      <c r="I3" s="20"/>
      <c r="J3" s="18"/>
      <c r="K3" s="18"/>
      <c r="L3" s="20"/>
      <c r="M3" s="20"/>
      <c r="N3" s="20"/>
      <c r="O3" s="20"/>
      <c r="P3" s="20"/>
      <c r="Q3" s="20"/>
      <c r="R3" s="18"/>
      <c r="S3" s="20"/>
      <c r="T3" s="147"/>
      <c r="U3" s="20"/>
      <c r="V3" s="20"/>
      <c r="W3" s="20"/>
      <c r="Y3" s="20"/>
      <c r="Z3" s="20"/>
      <c r="AA3" s="20"/>
      <c r="AB3" s="20"/>
      <c r="AC3" s="20"/>
      <c r="AD3" s="20"/>
    </row>
    <row r="4" spans="1:30">
      <c r="A4" s="20"/>
      <c r="B4" s="20"/>
      <c r="C4" s="20"/>
      <c r="D4" s="20"/>
      <c r="E4" s="18"/>
      <c r="F4" s="20"/>
      <c r="G4" s="20"/>
      <c r="H4" s="20"/>
      <c r="I4" s="20"/>
      <c r="J4" s="18"/>
      <c r="K4" s="18"/>
      <c r="L4" s="20"/>
      <c r="M4" s="20"/>
      <c r="N4" s="20"/>
      <c r="O4" s="20"/>
      <c r="P4" s="20"/>
      <c r="Q4" s="20"/>
      <c r="R4" s="18"/>
      <c r="S4" s="20"/>
      <c r="T4" s="147"/>
      <c r="U4" s="20"/>
      <c r="V4" s="20"/>
      <c r="W4" s="20"/>
      <c r="Y4" s="20"/>
      <c r="Z4" s="20"/>
      <c r="AA4" s="20"/>
      <c r="AB4" s="20"/>
      <c r="AC4" s="20"/>
      <c r="AD4" s="20"/>
    </row>
    <row r="5" spans="1:30">
      <c r="A5" s="20"/>
      <c r="B5" s="20"/>
      <c r="C5" s="20"/>
      <c r="D5" s="20"/>
      <c r="E5" s="18"/>
      <c r="F5" s="20"/>
      <c r="G5" s="20"/>
      <c r="H5" s="20"/>
      <c r="I5" s="20"/>
      <c r="J5" s="18"/>
      <c r="K5" s="18"/>
      <c r="L5" s="20"/>
      <c r="M5" s="20"/>
      <c r="N5" s="20"/>
      <c r="O5" s="20"/>
      <c r="P5" s="20"/>
      <c r="Q5" s="20"/>
      <c r="R5" s="18"/>
      <c r="S5" s="20"/>
      <c r="T5" s="147"/>
      <c r="U5" s="20"/>
      <c r="V5" s="20"/>
      <c r="W5" s="20"/>
      <c r="Y5" s="20"/>
      <c r="Z5" s="20"/>
      <c r="AA5" s="20"/>
      <c r="AB5" s="20"/>
      <c r="AC5" s="20"/>
      <c r="AD5" s="20"/>
    </row>
    <row r="6" spans="1:30">
      <c r="A6" s="20"/>
      <c r="B6" s="20"/>
      <c r="C6" s="20"/>
      <c r="D6" s="20"/>
      <c r="E6" s="18"/>
      <c r="F6" s="20"/>
      <c r="G6" s="20"/>
      <c r="H6" s="20"/>
      <c r="I6" s="20"/>
      <c r="J6" s="18"/>
      <c r="K6" s="18"/>
      <c r="L6" s="20"/>
      <c r="M6" s="20"/>
      <c r="N6" s="20"/>
      <c r="O6" s="20"/>
      <c r="P6" s="20"/>
      <c r="Q6" s="20"/>
      <c r="R6" s="18"/>
      <c r="S6" s="20"/>
      <c r="T6" s="147"/>
      <c r="U6" s="20"/>
      <c r="V6" s="20"/>
      <c r="W6" s="20"/>
      <c r="Y6" s="20"/>
      <c r="Z6" s="20"/>
      <c r="AA6" s="20"/>
      <c r="AB6" s="20"/>
      <c r="AC6" s="20"/>
      <c r="AD6" s="20"/>
    </row>
    <row r="7" spans="1:30">
      <c r="A7" s="20"/>
      <c r="B7" s="20"/>
      <c r="C7" s="20"/>
      <c r="D7" s="20"/>
      <c r="E7" s="18"/>
      <c r="F7" s="20"/>
      <c r="G7" s="20"/>
      <c r="H7" s="20"/>
      <c r="I7" s="20"/>
      <c r="J7" s="18"/>
      <c r="K7" s="18"/>
      <c r="L7" s="20"/>
      <c r="M7" s="20"/>
      <c r="N7" s="20"/>
      <c r="O7" s="20"/>
      <c r="P7" s="20"/>
      <c r="Q7" s="20"/>
      <c r="R7" s="18"/>
      <c r="S7" s="20"/>
      <c r="T7" s="147"/>
      <c r="U7" s="20"/>
      <c r="V7" s="20"/>
      <c r="W7" s="20"/>
      <c r="Y7" s="20"/>
      <c r="Z7" s="20"/>
      <c r="AA7" s="20"/>
      <c r="AB7" s="20"/>
      <c r="AC7" s="20"/>
      <c r="AD7" s="20"/>
    </row>
    <row r="8" spans="1:30">
      <c r="A8" s="20"/>
      <c r="B8" s="20"/>
      <c r="C8" s="20"/>
      <c r="D8" s="20"/>
      <c r="E8" s="18"/>
      <c r="F8" s="20"/>
      <c r="G8" s="20"/>
      <c r="H8" s="20"/>
      <c r="I8" s="20"/>
      <c r="J8" s="18"/>
      <c r="K8" s="18"/>
      <c r="L8" s="20"/>
      <c r="M8" s="20"/>
      <c r="N8" s="20"/>
      <c r="O8" s="20"/>
      <c r="P8" s="20"/>
      <c r="Q8" s="20"/>
      <c r="R8" s="18"/>
      <c r="S8" s="20"/>
      <c r="T8" s="147"/>
      <c r="U8" s="20"/>
      <c r="V8" s="20"/>
      <c r="W8" s="20"/>
      <c r="Y8" s="20"/>
      <c r="Z8" s="20"/>
      <c r="AA8" s="20"/>
      <c r="AB8" s="20"/>
      <c r="AC8" s="20"/>
      <c r="AD8" s="20"/>
    </row>
    <row r="9" spans="1:30">
      <c r="A9" s="20"/>
      <c r="B9" s="20"/>
      <c r="C9" s="20"/>
      <c r="D9" s="20"/>
      <c r="E9" s="18"/>
      <c r="F9" s="20"/>
      <c r="G9" s="20"/>
      <c r="H9" s="20"/>
      <c r="I9" s="20"/>
      <c r="J9" s="18"/>
      <c r="K9" s="18"/>
      <c r="L9" s="20"/>
      <c r="M9" s="20"/>
      <c r="N9" s="20"/>
      <c r="O9" s="20"/>
      <c r="P9" s="20"/>
      <c r="Q9" s="20"/>
      <c r="R9" s="18"/>
      <c r="S9" s="20"/>
      <c r="T9" s="147"/>
      <c r="U9" s="20"/>
      <c r="V9" s="20"/>
      <c r="W9" s="20"/>
      <c r="Y9" s="20"/>
      <c r="Z9" s="20"/>
      <c r="AA9" s="20"/>
      <c r="AB9" s="20"/>
      <c r="AC9" s="20"/>
      <c r="AD9" s="20"/>
    </row>
    <row r="10" spans="1:30">
      <c r="A10" s="20"/>
      <c r="B10" s="20"/>
      <c r="C10" s="20"/>
      <c r="D10" s="20"/>
      <c r="E10" s="18"/>
      <c r="F10" s="20"/>
      <c r="G10" s="20"/>
      <c r="H10" s="20"/>
      <c r="I10" s="20"/>
      <c r="J10" s="18"/>
      <c r="K10" s="18"/>
      <c r="L10" s="20"/>
      <c r="M10" s="20"/>
      <c r="N10" s="20"/>
      <c r="O10" s="20"/>
      <c r="P10" s="20"/>
      <c r="Q10" s="20"/>
      <c r="R10" s="18"/>
      <c r="S10" s="20"/>
      <c r="T10" s="147"/>
      <c r="U10" s="20"/>
      <c r="V10" s="20"/>
      <c r="W10" s="20"/>
      <c r="Y10" s="20"/>
      <c r="Z10" s="20"/>
      <c r="AA10" s="20"/>
      <c r="AB10" s="20"/>
      <c r="AC10" s="20"/>
      <c r="AD10" s="20"/>
    </row>
    <row r="11" spans="1:30">
      <c r="A11" s="20"/>
      <c r="B11" s="20"/>
      <c r="C11" s="20"/>
      <c r="D11" s="20"/>
      <c r="E11" s="18"/>
      <c r="F11" s="20"/>
      <c r="G11" s="20"/>
      <c r="H11" s="20"/>
      <c r="I11" s="20"/>
      <c r="J11" s="18"/>
      <c r="K11" s="18"/>
      <c r="L11" s="20"/>
      <c r="M11" s="20"/>
      <c r="N11" s="20"/>
      <c r="O11" s="20"/>
      <c r="P11" s="20"/>
      <c r="Q11" s="20"/>
      <c r="R11" s="18"/>
      <c r="S11" s="20"/>
      <c r="T11" s="147"/>
      <c r="U11" s="20"/>
      <c r="V11" s="20"/>
      <c r="W11" s="20"/>
      <c r="Y11" s="20"/>
      <c r="Z11" s="20"/>
      <c r="AA11" s="20"/>
      <c r="AB11" s="20"/>
      <c r="AC11" s="20"/>
      <c r="AD11" s="20"/>
    </row>
    <row r="12" spans="1:30">
      <c r="A12" s="20"/>
      <c r="B12" s="20"/>
      <c r="C12" s="20"/>
      <c r="D12" s="20"/>
      <c r="E12" s="18"/>
      <c r="F12" s="20"/>
      <c r="G12" s="20"/>
      <c r="H12" s="20"/>
      <c r="I12" s="20"/>
      <c r="J12" s="18"/>
      <c r="K12" s="18"/>
      <c r="L12" s="20"/>
      <c r="M12" s="20"/>
      <c r="N12" s="20"/>
      <c r="O12" s="20"/>
      <c r="P12" s="20"/>
      <c r="Q12" s="20"/>
      <c r="R12" s="18"/>
      <c r="S12" s="20"/>
      <c r="T12" s="147"/>
      <c r="U12" s="20"/>
      <c r="V12" s="20"/>
      <c r="W12" s="20"/>
      <c r="Y12" s="20"/>
      <c r="Z12" s="20"/>
      <c r="AA12" s="20"/>
      <c r="AB12" s="20"/>
      <c r="AC12" s="20"/>
      <c r="AD12" s="20"/>
    </row>
    <row r="13" spans="1:30">
      <c r="A13" s="20"/>
      <c r="B13" s="20"/>
      <c r="C13" s="20"/>
      <c r="D13" s="20"/>
      <c r="E13" s="18"/>
      <c r="F13" s="20"/>
      <c r="G13" s="20"/>
      <c r="H13" s="20"/>
      <c r="I13" s="20"/>
      <c r="J13" s="18"/>
      <c r="K13" s="18"/>
      <c r="L13" s="20"/>
      <c r="M13" s="20"/>
      <c r="N13" s="20"/>
      <c r="O13" s="20"/>
      <c r="P13" s="20"/>
      <c r="Q13" s="20"/>
      <c r="R13" s="18"/>
      <c r="S13" s="20"/>
      <c r="T13" s="147"/>
      <c r="U13" s="20"/>
      <c r="V13" s="20"/>
      <c r="W13" s="20"/>
      <c r="Y13" s="20"/>
      <c r="Z13" s="20"/>
      <c r="AA13" s="20"/>
      <c r="AB13" s="20"/>
      <c r="AC13" s="20"/>
      <c r="AD13" s="20"/>
    </row>
    <row r="14" spans="1:30">
      <c r="A14" s="20"/>
      <c r="B14" s="20"/>
      <c r="C14" s="20"/>
      <c r="D14" s="20"/>
      <c r="E14" s="18"/>
      <c r="F14" s="20"/>
      <c r="G14" s="20"/>
      <c r="H14" s="20"/>
      <c r="I14" s="20"/>
      <c r="J14" s="18"/>
      <c r="K14" s="18"/>
      <c r="L14" s="20"/>
      <c r="M14" s="20"/>
      <c r="N14" s="20"/>
      <c r="O14" s="20"/>
      <c r="P14" s="20"/>
      <c r="Q14" s="20"/>
      <c r="R14" s="18"/>
      <c r="S14" s="20"/>
      <c r="T14" s="147"/>
      <c r="U14" s="20"/>
      <c r="V14" s="20"/>
      <c r="W14" s="20"/>
      <c r="Y14" s="20"/>
      <c r="Z14" s="20"/>
      <c r="AA14" s="20"/>
      <c r="AB14" s="20"/>
      <c r="AC14" s="20"/>
      <c r="AD14" s="20"/>
    </row>
    <row r="15" spans="1:30">
      <c r="A15" s="20"/>
      <c r="B15" s="20"/>
      <c r="C15" s="20"/>
      <c r="D15" s="20"/>
      <c r="E15" s="18"/>
      <c r="F15" s="20"/>
      <c r="G15" s="20"/>
      <c r="H15" s="20"/>
      <c r="I15" s="20"/>
      <c r="J15" s="18"/>
      <c r="K15" s="18"/>
      <c r="L15" s="20"/>
      <c r="M15" s="20"/>
      <c r="N15" s="20"/>
      <c r="O15" s="20"/>
      <c r="P15" s="20"/>
      <c r="Q15" s="20"/>
      <c r="R15" s="18"/>
      <c r="S15" s="20"/>
      <c r="T15" s="147"/>
      <c r="U15" s="20"/>
      <c r="V15" s="20"/>
      <c r="W15" s="20"/>
      <c r="Y15" s="20"/>
      <c r="Z15" s="20"/>
      <c r="AA15" s="20"/>
      <c r="AB15" s="20"/>
      <c r="AC15" s="20"/>
      <c r="AD15" s="20"/>
    </row>
    <row r="16" spans="1:30">
      <c r="A16" s="20"/>
      <c r="B16" s="20"/>
      <c r="C16" s="20"/>
      <c r="D16" s="20"/>
      <c r="E16" s="18"/>
      <c r="F16" s="20"/>
      <c r="G16" s="20"/>
      <c r="H16" s="20"/>
      <c r="I16" s="20"/>
      <c r="J16" s="18"/>
      <c r="K16" s="18"/>
      <c r="L16" s="20"/>
      <c r="M16" s="20"/>
      <c r="N16" s="20"/>
      <c r="O16" s="20"/>
      <c r="P16" s="20"/>
      <c r="Q16" s="20"/>
      <c r="R16" s="18"/>
      <c r="S16" s="20"/>
      <c r="T16" s="147"/>
      <c r="U16" s="20"/>
      <c r="V16" s="20"/>
      <c r="W16" s="20"/>
      <c r="Y16" s="20"/>
      <c r="Z16" s="20"/>
      <c r="AA16" s="20"/>
      <c r="AB16" s="20"/>
      <c r="AC16" s="20"/>
      <c r="AD16" s="20"/>
    </row>
    <row r="17" spans="1:30">
      <c r="A17" s="20"/>
      <c r="B17" s="20"/>
      <c r="C17" s="20"/>
      <c r="D17" s="20"/>
      <c r="E17" s="18"/>
      <c r="F17" s="20"/>
      <c r="G17" s="20"/>
      <c r="H17" s="20"/>
      <c r="I17" s="20"/>
      <c r="J17" s="18"/>
      <c r="K17" s="18"/>
      <c r="L17" s="20"/>
      <c r="M17" s="20"/>
      <c r="N17" s="20"/>
      <c r="O17" s="20"/>
      <c r="P17" s="20"/>
      <c r="Q17" s="20"/>
      <c r="R17" s="18"/>
      <c r="S17" s="20"/>
      <c r="T17" s="147"/>
      <c r="U17" s="20"/>
      <c r="V17" s="20"/>
      <c r="W17" s="20"/>
      <c r="Y17" s="20"/>
      <c r="Z17" s="20"/>
      <c r="AA17" s="20"/>
      <c r="AB17" s="20"/>
      <c r="AC17" s="20"/>
      <c r="AD17" s="20"/>
    </row>
    <row r="18" spans="1:30">
      <c r="A18" s="20"/>
      <c r="B18" s="20"/>
      <c r="C18" s="20"/>
      <c r="D18" s="20"/>
      <c r="E18" s="18"/>
      <c r="F18" s="20"/>
      <c r="G18" s="20"/>
      <c r="H18" s="20"/>
      <c r="I18" s="20"/>
      <c r="J18" s="18"/>
      <c r="K18" s="18"/>
      <c r="L18" s="20"/>
      <c r="M18" s="20"/>
      <c r="N18" s="20"/>
      <c r="O18" s="20"/>
      <c r="P18" s="20"/>
      <c r="Q18" s="20"/>
      <c r="R18" s="18"/>
      <c r="S18" s="20"/>
      <c r="T18" s="147"/>
      <c r="U18" s="20"/>
      <c r="V18" s="20"/>
      <c r="W18" s="20"/>
      <c r="Y18" s="20"/>
      <c r="Z18" s="20"/>
      <c r="AA18" s="20"/>
      <c r="AB18" s="20"/>
      <c r="AC18" s="20"/>
      <c r="AD18" s="20"/>
    </row>
    <row r="19" spans="1:30">
      <c r="A19" s="20"/>
      <c r="B19" s="20"/>
      <c r="C19" s="20"/>
      <c r="D19" s="20"/>
      <c r="E19" s="18"/>
      <c r="F19" s="20"/>
      <c r="G19" s="20"/>
      <c r="H19" s="20"/>
      <c r="I19" s="20"/>
      <c r="J19" s="18"/>
      <c r="K19" s="18"/>
      <c r="L19" s="20"/>
      <c r="M19" s="20"/>
      <c r="N19" s="20"/>
      <c r="O19" s="20"/>
      <c r="P19" s="20"/>
      <c r="Q19" s="20"/>
      <c r="R19" s="18"/>
      <c r="S19" s="20"/>
      <c r="T19" s="147"/>
      <c r="U19" s="20"/>
      <c r="V19" s="20"/>
      <c r="W19" s="20"/>
      <c r="Y19" s="20"/>
      <c r="Z19" s="20"/>
      <c r="AA19" s="20"/>
      <c r="AB19" s="20"/>
      <c r="AC19" s="20"/>
      <c r="AD19" s="20"/>
    </row>
    <row r="20" spans="1:30">
      <c r="E20" s="18"/>
      <c r="H20" s="20"/>
      <c r="I20" s="20"/>
      <c r="J20" s="18"/>
      <c r="K20" s="18"/>
      <c r="L20" s="20"/>
      <c r="M20" s="20"/>
      <c r="P20" s="20"/>
      <c r="Q20" s="20"/>
      <c r="V20" s="20"/>
      <c r="W20" s="20"/>
    </row>
    <row r="21" spans="1:30">
      <c r="T21" s="14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0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4" width="11.625" style="2" customWidth="1"/>
    <col min="15" max="15" width="11.625" style="144" customWidth="1"/>
    <col min="16" max="22" width="11.625" style="2" customWidth="1"/>
    <col min="23" max="23" width="9" style="2" customWidth="1"/>
    <col min="24" max="16384" width="9" style="2"/>
  </cols>
  <sheetData>
    <row r="1" spans="1:22" ht="66.75" customHeight="1">
      <c r="A1" s="19" t="s">
        <v>0</v>
      </c>
      <c r="B1" s="19" t="s">
        <v>1</v>
      </c>
      <c r="C1" s="19" t="s">
        <v>195</v>
      </c>
      <c r="D1" s="19" t="s">
        <v>196</v>
      </c>
      <c r="E1" s="19" t="s">
        <v>197</v>
      </c>
      <c r="F1" s="19" t="s">
        <v>5</v>
      </c>
      <c r="G1" s="19" t="s">
        <v>198</v>
      </c>
      <c r="H1" s="19" t="s">
        <v>6</v>
      </c>
      <c r="I1" s="19" t="s">
        <v>7</v>
      </c>
      <c r="J1" s="19" t="s">
        <v>141</v>
      </c>
      <c r="K1" s="19" t="s">
        <v>199</v>
      </c>
      <c r="L1" s="19" t="s">
        <v>10</v>
      </c>
      <c r="M1" s="19" t="s">
        <v>11</v>
      </c>
      <c r="N1" s="19" t="s">
        <v>12</v>
      </c>
      <c r="O1" s="159" t="s">
        <v>14</v>
      </c>
      <c r="P1" s="163" t="s">
        <v>15</v>
      </c>
      <c r="Q1" s="19" t="s">
        <v>151</v>
      </c>
      <c r="R1" s="157" t="s">
        <v>18</v>
      </c>
      <c r="S1" s="168" t="s">
        <v>200</v>
      </c>
      <c r="T1" s="19" t="s">
        <v>20</v>
      </c>
      <c r="U1" s="163" t="s">
        <v>24</v>
      </c>
      <c r="V1" s="163" t="s">
        <v>25</v>
      </c>
    </row>
    <row r="2" spans="1:22">
      <c r="A2" s="20">
        <v>1182</v>
      </c>
      <c r="B2" s="20">
        <v>1182</v>
      </c>
      <c r="C2" s="20" t="s">
        <v>201</v>
      </c>
      <c r="D2" s="2" t="s">
        <v>202</v>
      </c>
      <c r="E2" s="18" t="s">
        <v>203</v>
      </c>
      <c r="F2" s="20" t="s">
        <v>204</v>
      </c>
      <c r="G2" s="20" t="s">
        <v>205</v>
      </c>
      <c r="H2" s="18" t="s">
        <v>30</v>
      </c>
      <c r="I2" s="18"/>
      <c r="J2" s="20" t="s">
        <v>155</v>
      </c>
      <c r="K2" s="20" t="s">
        <v>100</v>
      </c>
      <c r="L2" s="2" t="s">
        <v>206</v>
      </c>
      <c r="M2" s="18" t="s">
        <v>102</v>
      </c>
      <c r="N2" s="153">
        <v>0.51</v>
      </c>
      <c r="O2" s="171">
        <v>5.6000000000000001E-2</v>
      </c>
      <c r="P2" s="172">
        <v>5.1459999999999999E-2</v>
      </c>
      <c r="Q2" s="151">
        <v>1110</v>
      </c>
      <c r="R2" s="173">
        <v>3.71</v>
      </c>
      <c r="S2" s="174">
        <v>103.23699999999999</v>
      </c>
      <c r="T2" s="153">
        <v>4251.4110000000001</v>
      </c>
      <c r="U2" s="172">
        <v>0.340334844702535</v>
      </c>
      <c r="V2" s="172">
        <v>1.03206710035841E-2</v>
      </c>
    </row>
    <row r="3" spans="1:22">
      <c r="A3" s="20">
        <v>1182</v>
      </c>
      <c r="B3" s="20">
        <v>1182</v>
      </c>
      <c r="C3" s="20" t="s">
        <v>201</v>
      </c>
      <c r="D3" s="2" t="s">
        <v>202</v>
      </c>
      <c r="E3" s="18" t="s">
        <v>203</v>
      </c>
      <c r="F3" s="20" t="s">
        <v>204</v>
      </c>
      <c r="G3" s="20" t="s">
        <v>207</v>
      </c>
      <c r="H3" s="18" t="s">
        <v>30</v>
      </c>
      <c r="I3" s="18"/>
      <c r="J3" s="20" t="s">
        <v>155</v>
      </c>
      <c r="K3" s="20" t="s">
        <v>100</v>
      </c>
      <c r="L3" s="2" t="s">
        <v>206</v>
      </c>
      <c r="M3" s="18" t="s">
        <v>102</v>
      </c>
      <c r="N3" s="153">
        <v>0.92</v>
      </c>
      <c r="O3" s="171">
        <v>5.7500000000000002E-2</v>
      </c>
      <c r="P3" s="172">
        <v>5.6930000000000001E-2</v>
      </c>
      <c r="Q3" s="151">
        <v>2200</v>
      </c>
      <c r="R3" s="173">
        <v>3.71</v>
      </c>
      <c r="S3" s="175">
        <v>100.961</v>
      </c>
      <c r="T3" s="153">
        <v>8240.4369999999999</v>
      </c>
      <c r="U3" s="172">
        <v>0.65966515529746494</v>
      </c>
      <c r="V3" s="172">
        <v>2.00043784711612E-2</v>
      </c>
    </row>
    <row r="4" spans="1:22">
      <c r="A4" s="20">
        <v>1182</v>
      </c>
      <c r="B4" s="20">
        <v>14769</v>
      </c>
      <c r="C4" s="20" t="s">
        <v>201</v>
      </c>
      <c r="D4" s="2" t="s">
        <v>202</v>
      </c>
      <c r="E4" s="18" t="s">
        <v>203</v>
      </c>
      <c r="F4" s="20" t="s">
        <v>204</v>
      </c>
      <c r="G4" s="20"/>
      <c r="H4" s="18" t="s">
        <v>30</v>
      </c>
      <c r="I4" s="18"/>
      <c r="J4" s="20" t="s">
        <v>155</v>
      </c>
      <c r="K4" s="20" t="s">
        <v>100</v>
      </c>
      <c r="L4" s="2" t="s">
        <v>206</v>
      </c>
      <c r="M4" s="18" t="s">
        <v>102</v>
      </c>
      <c r="N4" s="153">
        <v>0</v>
      </c>
      <c r="O4" s="171">
        <v>0</v>
      </c>
      <c r="P4" s="172">
        <v>0</v>
      </c>
      <c r="Q4" s="151">
        <v>70</v>
      </c>
      <c r="R4" s="173">
        <v>3.71</v>
      </c>
      <c r="S4" s="175">
        <v>103.23699999999999</v>
      </c>
      <c r="T4" s="153">
        <v>268.10700000000003</v>
      </c>
      <c r="U4" s="172">
        <v>0.64150785452229697</v>
      </c>
      <c r="V4" s="172">
        <v>1.56197599640943E-2</v>
      </c>
    </row>
    <row r="5" spans="1:22">
      <c r="A5" s="20">
        <v>1182</v>
      </c>
      <c r="B5" s="20">
        <v>14769</v>
      </c>
      <c r="C5" s="20" t="s">
        <v>201</v>
      </c>
      <c r="D5" s="2" t="s">
        <v>202</v>
      </c>
      <c r="E5" s="18" t="s">
        <v>203</v>
      </c>
      <c r="F5" s="20" t="s">
        <v>204</v>
      </c>
      <c r="G5" s="20" t="s">
        <v>207</v>
      </c>
      <c r="H5" s="18" t="s">
        <v>30</v>
      </c>
      <c r="I5" s="18"/>
      <c r="J5" s="20" t="s">
        <v>155</v>
      </c>
      <c r="K5" s="20" t="s">
        <v>100</v>
      </c>
      <c r="L5" s="2" t="s">
        <v>206</v>
      </c>
      <c r="M5" s="18" t="s">
        <v>102</v>
      </c>
      <c r="N5" s="153">
        <v>0.92</v>
      </c>
      <c r="O5" s="171">
        <v>5.7500000000000002E-2</v>
      </c>
      <c r="P5" s="172">
        <v>5.6930000000000001E-2</v>
      </c>
      <c r="Q5" s="151">
        <v>40</v>
      </c>
      <c r="R5" s="173">
        <v>3.71</v>
      </c>
      <c r="S5" s="175">
        <v>100.961</v>
      </c>
      <c r="T5" s="153">
        <v>149.82599999999999</v>
      </c>
      <c r="U5" s="172">
        <v>0.35849214547770297</v>
      </c>
      <c r="V5" s="172">
        <v>8.7287493393898401E-3</v>
      </c>
    </row>
    <row r="6" spans="1:22">
      <c r="A6" s="20">
        <v>12904</v>
      </c>
      <c r="B6" s="20">
        <v>12905</v>
      </c>
      <c r="C6" s="20" t="s">
        <v>201</v>
      </c>
      <c r="D6" s="2" t="s">
        <v>202</v>
      </c>
      <c r="E6" s="18" t="s">
        <v>203</v>
      </c>
      <c r="F6" s="20" t="s">
        <v>204</v>
      </c>
      <c r="G6" s="20" t="s">
        <v>205</v>
      </c>
      <c r="H6" s="18" t="s">
        <v>30</v>
      </c>
      <c r="I6" s="18"/>
      <c r="J6" s="20" t="s">
        <v>155</v>
      </c>
      <c r="K6" s="20" t="s">
        <v>100</v>
      </c>
      <c r="L6" s="2" t="s">
        <v>206</v>
      </c>
      <c r="M6" s="18" t="s">
        <v>102</v>
      </c>
      <c r="N6" s="153">
        <v>0.51</v>
      </c>
      <c r="O6" s="171">
        <v>5.6000000000000001E-2</v>
      </c>
      <c r="P6" s="172">
        <v>5.1459999999999999E-2</v>
      </c>
      <c r="Q6" s="151">
        <v>150</v>
      </c>
      <c r="R6" s="173">
        <v>3.71</v>
      </c>
      <c r="S6" s="175">
        <v>103.23699999999999</v>
      </c>
      <c r="T6" s="153">
        <v>574.51199999999994</v>
      </c>
      <c r="U6" s="172">
        <v>0.54125374186026898</v>
      </c>
      <c r="V6" s="172">
        <v>1.69749399094287E-2</v>
      </c>
    </row>
    <row r="7" spans="1:22">
      <c r="A7" s="20">
        <v>12904</v>
      </c>
      <c r="B7" s="20">
        <v>12905</v>
      </c>
      <c r="C7" s="20" t="s">
        <v>201</v>
      </c>
      <c r="D7" s="2" t="s">
        <v>202</v>
      </c>
      <c r="E7" s="18" t="s">
        <v>203</v>
      </c>
      <c r="F7" s="20" t="s">
        <v>204</v>
      </c>
      <c r="G7" s="20" t="s">
        <v>207</v>
      </c>
      <c r="H7" s="18" t="s">
        <v>30</v>
      </c>
      <c r="I7" s="18"/>
      <c r="J7" s="20" t="s">
        <v>155</v>
      </c>
      <c r="K7" s="20" t="s">
        <v>100</v>
      </c>
      <c r="L7" s="2" t="s">
        <v>206</v>
      </c>
      <c r="M7" s="18" t="s">
        <v>102</v>
      </c>
      <c r="N7" s="153">
        <v>0.92</v>
      </c>
      <c r="O7" s="171">
        <v>5.7500000000000002E-2</v>
      </c>
      <c r="P7" s="172">
        <v>5.6930000000000001E-2</v>
      </c>
      <c r="Q7" s="151">
        <v>130</v>
      </c>
      <c r="R7" s="173">
        <v>3.71</v>
      </c>
      <c r="S7" s="174">
        <v>100.961</v>
      </c>
      <c r="T7" s="153">
        <v>486.935</v>
      </c>
      <c r="U7" s="172">
        <v>0.45874625813973102</v>
      </c>
      <c r="V7" s="172">
        <v>1.43873188549846E-2</v>
      </c>
    </row>
    <row r="8" spans="1:22">
      <c r="A8" s="20">
        <v>12904</v>
      </c>
      <c r="B8" s="20">
        <v>13680</v>
      </c>
      <c r="C8" s="20" t="s">
        <v>201</v>
      </c>
      <c r="D8" s="2" t="s">
        <v>202</v>
      </c>
      <c r="E8" s="18" t="s">
        <v>203</v>
      </c>
      <c r="F8" s="20" t="s">
        <v>204</v>
      </c>
      <c r="G8" s="20" t="s">
        <v>205</v>
      </c>
      <c r="H8" s="18" t="s">
        <v>30</v>
      </c>
      <c r="I8" s="18"/>
      <c r="J8" s="20" t="s">
        <v>155</v>
      </c>
      <c r="K8" s="20" t="s">
        <v>100</v>
      </c>
      <c r="L8" s="2" t="s">
        <v>206</v>
      </c>
      <c r="M8" s="18" t="s">
        <v>102</v>
      </c>
      <c r="N8" s="153">
        <v>0.51</v>
      </c>
      <c r="O8" s="171">
        <v>0</v>
      </c>
      <c r="P8" s="172">
        <v>5.1499999999999997E-2</v>
      </c>
      <c r="Q8" s="151">
        <v>60</v>
      </c>
      <c r="R8" s="173">
        <v>3.71</v>
      </c>
      <c r="S8" s="174">
        <v>103.239</v>
      </c>
      <c r="T8" s="153">
        <v>229.81</v>
      </c>
      <c r="U8" s="172">
        <v>0.234753253817059</v>
      </c>
      <c r="V8" s="172">
        <v>6.2651580169287499E-3</v>
      </c>
    </row>
    <row r="9" spans="1:22">
      <c r="A9" s="20">
        <v>12904</v>
      </c>
      <c r="B9" s="20">
        <v>13680</v>
      </c>
      <c r="C9" s="20" t="s">
        <v>201</v>
      </c>
      <c r="D9" s="2" t="s">
        <v>202</v>
      </c>
      <c r="E9" s="18" t="s">
        <v>203</v>
      </c>
      <c r="F9" s="20" t="s">
        <v>204</v>
      </c>
      <c r="G9" s="20" t="s">
        <v>207</v>
      </c>
      <c r="H9" s="18" t="s">
        <v>30</v>
      </c>
      <c r="I9" s="18"/>
      <c r="J9" s="20" t="s">
        <v>155</v>
      </c>
      <c r="K9" s="20" t="s">
        <v>100</v>
      </c>
      <c r="L9" s="2" t="s">
        <v>206</v>
      </c>
      <c r="M9" s="18" t="s">
        <v>102</v>
      </c>
      <c r="N9" s="153">
        <v>0.92</v>
      </c>
      <c r="O9" s="171">
        <v>5.7500000000000002E-2</v>
      </c>
      <c r="P9" s="172">
        <v>5.6930000000000001E-2</v>
      </c>
      <c r="Q9" s="151">
        <v>200</v>
      </c>
      <c r="R9" s="173">
        <v>3.71</v>
      </c>
      <c r="S9" s="174">
        <v>100.961</v>
      </c>
      <c r="T9" s="153">
        <v>749.13099999999997</v>
      </c>
      <c r="U9" s="172">
        <v>0.76524674618294097</v>
      </c>
      <c r="V9" s="172">
        <v>2.0423111112712999E-2</v>
      </c>
    </row>
    <row r="10" spans="1:22">
      <c r="A10" s="20">
        <v>424</v>
      </c>
      <c r="B10" s="20">
        <v>7228</v>
      </c>
      <c r="C10" s="20" t="s">
        <v>201</v>
      </c>
      <c r="D10" s="2" t="s">
        <v>202</v>
      </c>
      <c r="E10" s="18" t="s">
        <v>203</v>
      </c>
      <c r="F10" s="20" t="s">
        <v>208</v>
      </c>
      <c r="G10" s="20" t="s">
        <v>209</v>
      </c>
      <c r="H10" s="18" t="s">
        <v>30</v>
      </c>
      <c r="I10" s="18" t="s">
        <v>30</v>
      </c>
      <c r="J10" s="20" t="s">
        <v>155</v>
      </c>
      <c r="K10" s="20" t="s">
        <v>100</v>
      </c>
      <c r="L10" s="2" t="s">
        <v>206</v>
      </c>
      <c r="M10" s="18" t="s">
        <v>34</v>
      </c>
      <c r="N10" s="153">
        <v>4.57</v>
      </c>
      <c r="O10" s="171">
        <v>5.2999999999999999E-2</v>
      </c>
      <c r="P10" s="172">
        <v>2.1059999999999999E-2</v>
      </c>
      <c r="Q10" s="151">
        <v>275</v>
      </c>
      <c r="R10" s="173">
        <v>1</v>
      </c>
      <c r="S10" s="174">
        <v>169.44</v>
      </c>
      <c r="T10" s="153">
        <v>465.96</v>
      </c>
      <c r="U10" s="172">
        <v>5.7750874416208102E-3</v>
      </c>
      <c r="V10" s="172">
        <v>1.93023472273709E-4</v>
      </c>
    </row>
    <row r="11" spans="1:22">
      <c r="A11" s="20">
        <v>424</v>
      </c>
      <c r="B11" s="20">
        <v>7228</v>
      </c>
      <c r="C11" s="20" t="s">
        <v>201</v>
      </c>
      <c r="D11" s="2" t="s">
        <v>202</v>
      </c>
      <c r="E11" s="18" t="s">
        <v>203</v>
      </c>
      <c r="F11" s="20" t="s">
        <v>204</v>
      </c>
      <c r="G11" s="20" t="s">
        <v>205</v>
      </c>
      <c r="H11" s="18" t="s">
        <v>30</v>
      </c>
      <c r="I11" s="18"/>
      <c r="J11" s="20" t="s">
        <v>155</v>
      </c>
      <c r="K11" s="20" t="s">
        <v>100</v>
      </c>
      <c r="L11" s="2" t="s">
        <v>206</v>
      </c>
      <c r="M11" s="18" t="s">
        <v>102</v>
      </c>
      <c r="N11" s="153">
        <v>0.51</v>
      </c>
      <c r="O11" s="171">
        <v>5.6000000000000001E-2</v>
      </c>
      <c r="P11" s="172">
        <v>5.1459999999999999E-2</v>
      </c>
      <c r="Q11" s="151">
        <v>9600</v>
      </c>
      <c r="R11" s="173">
        <v>3.71</v>
      </c>
      <c r="S11" s="174">
        <v>103.23699999999999</v>
      </c>
      <c r="T11" s="153">
        <v>36768.997000000003</v>
      </c>
      <c r="U11" s="172">
        <v>0.45571332130972497</v>
      </c>
      <c r="V11" s="172">
        <v>1.5231521345744301E-2</v>
      </c>
    </row>
    <row r="12" spans="1:22">
      <c r="A12" s="20">
        <v>424</v>
      </c>
      <c r="B12" s="20">
        <v>7228</v>
      </c>
      <c r="C12" s="20" t="s">
        <v>201</v>
      </c>
      <c r="D12" s="2" t="s">
        <v>202</v>
      </c>
      <c r="E12" s="18" t="s">
        <v>203</v>
      </c>
      <c r="F12" s="20" t="s">
        <v>204</v>
      </c>
      <c r="G12" s="20" t="s">
        <v>207</v>
      </c>
      <c r="H12" s="18" t="s">
        <v>30</v>
      </c>
      <c r="I12" s="18"/>
      <c r="J12" s="20" t="s">
        <v>155</v>
      </c>
      <c r="K12" s="20" t="s">
        <v>100</v>
      </c>
      <c r="L12" s="2" t="s">
        <v>206</v>
      </c>
      <c r="M12" s="18" t="s">
        <v>102</v>
      </c>
      <c r="N12" s="153">
        <v>0.92</v>
      </c>
      <c r="O12" s="171">
        <v>5.7500000000000002E-2</v>
      </c>
      <c r="P12" s="172">
        <v>5.6930000000000001E-2</v>
      </c>
      <c r="Q12" s="151">
        <v>11600</v>
      </c>
      <c r="R12" s="173">
        <v>3.71</v>
      </c>
      <c r="S12" s="174">
        <v>100.961</v>
      </c>
      <c r="T12" s="153">
        <v>43449.533000000003</v>
      </c>
      <c r="U12" s="172">
        <v>0.538511591248654</v>
      </c>
      <c r="V12" s="172">
        <v>1.7998926986511999E-2</v>
      </c>
    </row>
    <row r="13" spans="1:22">
      <c r="A13" s="20">
        <v>424</v>
      </c>
      <c r="B13" s="20">
        <v>7229</v>
      </c>
      <c r="C13" s="20" t="s">
        <v>201</v>
      </c>
      <c r="D13" s="2" t="s">
        <v>202</v>
      </c>
      <c r="E13" s="18" t="s">
        <v>203</v>
      </c>
      <c r="F13" s="20" t="s">
        <v>204</v>
      </c>
      <c r="G13" s="20" t="s">
        <v>205</v>
      </c>
      <c r="H13" s="18" t="s">
        <v>30</v>
      </c>
      <c r="I13" s="18"/>
      <c r="J13" s="20" t="s">
        <v>155</v>
      </c>
      <c r="K13" s="20" t="s">
        <v>100</v>
      </c>
      <c r="L13" s="2" t="s">
        <v>206</v>
      </c>
      <c r="M13" s="18" t="s">
        <v>102</v>
      </c>
      <c r="N13" s="153">
        <v>0.51</v>
      </c>
      <c r="O13" s="171">
        <v>5.6000000000000001E-2</v>
      </c>
      <c r="P13" s="172">
        <v>5.1459999999999999E-2</v>
      </c>
      <c r="Q13" s="151">
        <v>300</v>
      </c>
      <c r="R13" s="173">
        <v>3.71</v>
      </c>
      <c r="S13" s="174">
        <v>103.23699999999999</v>
      </c>
      <c r="T13" s="153">
        <v>1149.0319999999999</v>
      </c>
      <c r="U13" s="172">
        <v>0.24409049608000799</v>
      </c>
      <c r="V13" s="172">
        <v>7.8880352999628599E-3</v>
      </c>
    </row>
    <row r="14" spans="1:22">
      <c r="A14" s="20">
        <v>424</v>
      </c>
      <c r="B14" s="20">
        <v>7229</v>
      </c>
      <c r="C14" s="20" t="s">
        <v>201</v>
      </c>
      <c r="D14" s="2" t="s">
        <v>202</v>
      </c>
      <c r="E14" s="18" t="s">
        <v>203</v>
      </c>
      <c r="F14" s="20" t="s">
        <v>204</v>
      </c>
      <c r="G14" s="20" t="s">
        <v>207</v>
      </c>
      <c r="H14" s="18" t="s">
        <v>30</v>
      </c>
      <c r="I14" s="18"/>
      <c r="J14" s="20" t="s">
        <v>155</v>
      </c>
      <c r="K14" s="20" t="s">
        <v>100</v>
      </c>
      <c r="L14" s="2" t="s">
        <v>206</v>
      </c>
      <c r="M14" s="18" t="s">
        <v>102</v>
      </c>
      <c r="N14" s="153">
        <v>0.92</v>
      </c>
      <c r="O14" s="171">
        <v>5.7500000000000002E-2</v>
      </c>
      <c r="P14" s="172">
        <v>5.6930000000000001E-2</v>
      </c>
      <c r="Q14" s="151">
        <v>950</v>
      </c>
      <c r="R14" s="173">
        <v>3.71</v>
      </c>
      <c r="S14" s="174">
        <v>100.961</v>
      </c>
      <c r="T14" s="153">
        <v>3558.37</v>
      </c>
      <c r="U14" s="172">
        <v>0.75590950391999301</v>
      </c>
      <c r="V14" s="172">
        <v>2.44279926758963E-2</v>
      </c>
    </row>
    <row r="15" spans="1:22">
      <c r="A15" s="20">
        <v>969</v>
      </c>
      <c r="B15" s="20">
        <v>969</v>
      </c>
      <c r="C15" s="20" t="s">
        <v>201</v>
      </c>
      <c r="D15" s="2" t="s">
        <v>202</v>
      </c>
      <c r="E15" s="18" t="s">
        <v>203</v>
      </c>
      <c r="F15" s="20" t="s">
        <v>204</v>
      </c>
      <c r="G15" s="20" t="s">
        <v>205</v>
      </c>
      <c r="H15" s="18" t="s">
        <v>30</v>
      </c>
      <c r="I15" s="18"/>
      <c r="J15" s="20" t="s">
        <v>155</v>
      </c>
      <c r="K15" s="20" t="s">
        <v>100</v>
      </c>
      <c r="L15" s="2" t="s">
        <v>206</v>
      </c>
      <c r="M15" s="18" t="s">
        <v>102</v>
      </c>
      <c r="N15" s="153">
        <v>0.51</v>
      </c>
      <c r="O15" s="171">
        <v>5.6000000000000001E-2</v>
      </c>
      <c r="P15" s="172">
        <v>5.1459999999999999E-2</v>
      </c>
      <c r="Q15" s="151">
        <v>170</v>
      </c>
      <c r="R15" s="173">
        <v>3.71</v>
      </c>
      <c r="S15" s="174">
        <v>103.23699999999999</v>
      </c>
      <c r="T15" s="153">
        <v>651.11599999999999</v>
      </c>
      <c r="U15" s="172">
        <v>0.31387202731439101</v>
      </c>
      <c r="V15" s="172">
        <v>8.6061246972066498E-3</v>
      </c>
    </row>
    <row r="16" spans="1:22">
      <c r="A16" s="20">
        <v>969</v>
      </c>
      <c r="B16" s="20">
        <v>969</v>
      </c>
      <c r="C16" s="20" t="s">
        <v>201</v>
      </c>
      <c r="D16" s="2" t="s">
        <v>202</v>
      </c>
      <c r="E16" s="18" t="s">
        <v>203</v>
      </c>
      <c r="F16" s="20" t="s">
        <v>204</v>
      </c>
      <c r="G16" s="20" t="s">
        <v>207</v>
      </c>
      <c r="H16" s="18" t="s">
        <v>30</v>
      </c>
      <c r="I16" s="18"/>
      <c r="J16" s="20" t="s">
        <v>155</v>
      </c>
      <c r="K16" s="20" t="s">
        <v>100</v>
      </c>
      <c r="L16" s="2" t="s">
        <v>206</v>
      </c>
      <c r="M16" s="18" t="s">
        <v>102</v>
      </c>
      <c r="N16" s="153">
        <v>0.92</v>
      </c>
      <c r="O16" s="171">
        <v>5.7500000000000002E-2</v>
      </c>
      <c r="P16" s="172">
        <v>5.6930000000000001E-2</v>
      </c>
      <c r="Q16" s="151">
        <v>380</v>
      </c>
      <c r="R16" s="173">
        <v>3.71</v>
      </c>
      <c r="S16" s="174">
        <v>100.961</v>
      </c>
      <c r="T16" s="153">
        <v>1423.347</v>
      </c>
      <c r="U16" s="172">
        <v>0.68612797268560799</v>
      </c>
      <c r="V16" s="172">
        <v>1.8813090614345399E-2</v>
      </c>
    </row>
    <row r="17" spans="1:22">
      <c r="A17" s="20"/>
      <c r="B17" s="20"/>
      <c r="C17" s="20"/>
      <c r="E17" s="18"/>
      <c r="F17" s="20"/>
      <c r="G17" s="20"/>
      <c r="H17" s="18"/>
      <c r="I17" s="18"/>
      <c r="J17" s="20"/>
      <c r="K17" s="20"/>
      <c r="M17" s="18"/>
      <c r="N17" s="20"/>
      <c r="O17" s="147"/>
      <c r="P17" s="20"/>
      <c r="R17" s="20"/>
      <c r="S17" s="20"/>
      <c r="T17" s="20"/>
      <c r="U17" s="20"/>
      <c r="V17" s="20"/>
    </row>
    <row r="18" spans="1:22">
      <c r="A18" s="20"/>
      <c r="B18" s="20"/>
      <c r="C18" s="20"/>
      <c r="E18" s="18"/>
      <c r="F18" s="20"/>
      <c r="G18" s="20"/>
      <c r="H18" s="18"/>
      <c r="I18" s="18"/>
      <c r="J18" s="20"/>
      <c r="K18" s="20"/>
      <c r="M18" s="18"/>
      <c r="N18" s="20"/>
      <c r="O18" s="147"/>
      <c r="P18" s="20"/>
      <c r="R18" s="20"/>
      <c r="S18" s="20"/>
      <c r="T18" s="20"/>
      <c r="U18" s="20"/>
      <c r="V18" s="20"/>
    </row>
    <row r="19" spans="1:22">
      <c r="A19" s="20"/>
      <c r="B19" s="20"/>
      <c r="C19" s="20"/>
      <c r="E19" s="18"/>
      <c r="F19" s="20"/>
      <c r="G19" s="20"/>
      <c r="H19" s="18"/>
      <c r="I19" s="18"/>
      <c r="J19" s="20"/>
      <c r="K19" s="20"/>
      <c r="M19" s="18"/>
      <c r="N19" s="20"/>
      <c r="O19" s="147"/>
      <c r="P19" s="20"/>
      <c r="R19" s="20"/>
      <c r="S19" s="20"/>
      <c r="T19" s="20"/>
      <c r="U19" s="20"/>
      <c r="V19" s="20"/>
    </row>
    <row r="20" spans="1:22">
      <c r="E20" s="18"/>
      <c r="F20" s="20"/>
      <c r="H20" s="18"/>
      <c r="I20" s="18"/>
      <c r="J20" s="2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61"/>
  <sheetViews>
    <sheetView rightToLeft="1" zoomScale="70" zoomScaleNormal="70" workbookViewId="0">
      <selection activeCell="F17" sqref="F17"/>
    </sheetView>
  </sheetViews>
  <sheetFormatPr defaultColWidth="9" defaultRowHeight="14.25"/>
  <cols>
    <col min="1" max="24" width="11.625" style="2" customWidth="1"/>
    <col min="25" max="25" width="9" style="2" customWidth="1"/>
    <col min="26" max="16384" width="9" style="2"/>
  </cols>
  <sheetData>
    <row r="1" spans="1:24" ht="66.75" customHeight="1">
      <c r="A1" s="19" t="s">
        <v>0</v>
      </c>
      <c r="B1" s="19" t="s">
        <v>1</v>
      </c>
      <c r="C1" s="19" t="s">
        <v>182</v>
      </c>
      <c r="D1" s="19" t="s">
        <v>5</v>
      </c>
      <c r="E1" s="19" t="s">
        <v>183</v>
      </c>
      <c r="F1" s="19" t="s">
        <v>141</v>
      </c>
      <c r="G1" s="19" t="s">
        <v>184</v>
      </c>
      <c r="H1" s="19" t="s">
        <v>185</v>
      </c>
      <c r="I1" s="19" t="s">
        <v>186</v>
      </c>
      <c r="J1" s="19" t="s">
        <v>187</v>
      </c>
      <c r="K1" s="180" t="s">
        <v>188</v>
      </c>
      <c r="L1" s="19" t="s">
        <v>189</v>
      </c>
      <c r="M1" s="19" t="s">
        <v>177</v>
      </c>
      <c r="N1" s="19" t="s">
        <v>190</v>
      </c>
      <c r="O1" s="19" t="s">
        <v>178</v>
      </c>
      <c r="P1" s="19" t="s">
        <v>150</v>
      </c>
      <c r="Q1" s="19" t="s">
        <v>11</v>
      </c>
      <c r="R1" s="19" t="s">
        <v>191</v>
      </c>
      <c r="S1" s="19" t="s">
        <v>20</v>
      </c>
      <c r="T1" s="19" t="s">
        <v>21</v>
      </c>
      <c r="U1" s="19" t="s">
        <v>192</v>
      </c>
      <c r="V1" s="19" t="s">
        <v>22</v>
      </c>
      <c r="W1" s="163" t="s">
        <v>24</v>
      </c>
      <c r="X1" s="163" t="s">
        <v>25</v>
      </c>
    </row>
    <row r="2" spans="1:24" s="191" customFormat="1">
      <c r="A2" s="197">
        <v>424</v>
      </c>
      <c r="B2" s="197">
        <v>7228</v>
      </c>
      <c r="C2" s="201" t="s">
        <v>3301</v>
      </c>
      <c r="D2" s="197" t="s">
        <v>193</v>
      </c>
      <c r="E2" s="202" t="s">
        <v>30</v>
      </c>
      <c r="F2" s="197" t="s">
        <v>155</v>
      </c>
      <c r="G2" s="203">
        <v>30317</v>
      </c>
      <c r="H2" s="197" t="s">
        <v>895</v>
      </c>
      <c r="I2" s="197" t="s">
        <v>908</v>
      </c>
      <c r="J2" s="201" t="s">
        <v>3301</v>
      </c>
      <c r="K2" s="204">
        <v>3.0927835051546282E-2</v>
      </c>
      <c r="L2" s="197" t="s">
        <v>918</v>
      </c>
      <c r="M2" s="197" t="s">
        <v>928</v>
      </c>
      <c r="N2" s="202" t="s">
        <v>3302</v>
      </c>
      <c r="O2" s="197" t="s">
        <v>930</v>
      </c>
      <c r="P2" s="205">
        <v>45505</v>
      </c>
      <c r="Q2" s="194" t="s">
        <v>34</v>
      </c>
      <c r="R2" s="206">
        <v>2375788</v>
      </c>
      <c r="S2" s="207">
        <v>2375.788</v>
      </c>
      <c r="T2" s="197"/>
      <c r="U2" s="197"/>
      <c r="V2" s="197" t="s">
        <v>36</v>
      </c>
      <c r="W2" s="208">
        <v>6.3354486082048351E-3</v>
      </c>
      <c r="X2" s="208">
        <v>9.8478159902605825E-4</v>
      </c>
    </row>
    <row r="3" spans="1:24" s="191" customFormat="1">
      <c r="A3" s="197">
        <v>424</v>
      </c>
      <c r="B3" s="197">
        <v>7228</v>
      </c>
      <c r="C3" s="201" t="s">
        <v>3303</v>
      </c>
      <c r="D3" s="197" t="s">
        <v>193</v>
      </c>
      <c r="E3" s="202" t="s">
        <v>30</v>
      </c>
      <c r="F3" s="197" t="s">
        <v>155</v>
      </c>
      <c r="G3" s="203">
        <v>30317</v>
      </c>
      <c r="H3" s="197" t="s">
        <v>897</v>
      </c>
      <c r="I3" s="197" t="s">
        <v>908</v>
      </c>
      <c r="J3" s="201" t="s">
        <v>3303</v>
      </c>
      <c r="K3" s="204">
        <v>3.0927835051546282E-2</v>
      </c>
      <c r="L3" s="197" t="s">
        <v>918</v>
      </c>
      <c r="M3" s="197" t="s">
        <v>928</v>
      </c>
      <c r="N3" s="202" t="s">
        <v>3302</v>
      </c>
      <c r="O3" s="197" t="s">
        <v>930</v>
      </c>
      <c r="P3" s="205">
        <v>45505</v>
      </c>
      <c r="Q3" s="194" t="s">
        <v>34</v>
      </c>
      <c r="R3" s="206">
        <v>2179230</v>
      </c>
      <c r="S3" s="207">
        <v>2179.23</v>
      </c>
      <c r="V3" s="197" t="s">
        <v>36</v>
      </c>
      <c r="W3" s="208">
        <v>5.8112927881015571E-3</v>
      </c>
      <c r="X3" s="208">
        <v>9.0330686241598876E-4</v>
      </c>
    </row>
    <row r="4" spans="1:24" s="191" customFormat="1">
      <c r="A4" s="197">
        <v>424</v>
      </c>
      <c r="B4" s="197">
        <v>7228</v>
      </c>
      <c r="C4" s="201" t="s">
        <v>3304</v>
      </c>
      <c r="D4" s="197" t="s">
        <v>193</v>
      </c>
      <c r="E4" s="202" t="s">
        <v>30</v>
      </c>
      <c r="F4" s="197" t="s">
        <v>155</v>
      </c>
      <c r="G4" s="203">
        <v>30317</v>
      </c>
      <c r="H4" s="197" t="s">
        <v>895</v>
      </c>
      <c r="I4" s="197" t="s">
        <v>908</v>
      </c>
      <c r="J4" s="201" t="s">
        <v>3304</v>
      </c>
      <c r="K4" s="204">
        <v>0</v>
      </c>
      <c r="L4" s="197" t="s">
        <v>918</v>
      </c>
      <c r="M4" s="197" t="s">
        <v>928</v>
      </c>
      <c r="N4" s="202" t="s">
        <v>3302</v>
      </c>
      <c r="O4" s="197" t="s">
        <v>930</v>
      </c>
      <c r="P4" s="205">
        <v>45323</v>
      </c>
      <c r="Q4" s="194" t="s">
        <v>34</v>
      </c>
      <c r="R4" s="206">
        <v>27977467.5</v>
      </c>
      <c r="S4" s="207">
        <v>27977.467499999999</v>
      </c>
      <c r="V4" s="197" t="s">
        <v>36</v>
      </c>
      <c r="W4" s="208">
        <v>7.4606744176656761E-2</v>
      </c>
      <c r="X4" s="208">
        <v>1.159686604248762E-2</v>
      </c>
    </row>
    <row r="5" spans="1:24" s="191" customFormat="1">
      <c r="A5" s="197">
        <v>424</v>
      </c>
      <c r="B5" s="197">
        <v>7228</v>
      </c>
      <c r="C5" s="201" t="s">
        <v>3305</v>
      </c>
      <c r="D5" s="197" t="s">
        <v>193</v>
      </c>
      <c r="E5" s="202" t="s">
        <v>30</v>
      </c>
      <c r="F5" s="197" t="s">
        <v>155</v>
      </c>
      <c r="G5" s="203">
        <v>30317</v>
      </c>
      <c r="H5" s="197" t="s">
        <v>895</v>
      </c>
      <c r="I5" s="197" t="s">
        <v>908</v>
      </c>
      <c r="J5" s="201" t="s">
        <v>3305</v>
      </c>
      <c r="K5" s="204">
        <v>5.0591308744627694E-2</v>
      </c>
      <c r="L5" s="197" t="s">
        <v>918</v>
      </c>
      <c r="M5" s="197" t="s">
        <v>928</v>
      </c>
      <c r="N5" s="202" t="s">
        <v>3302</v>
      </c>
      <c r="O5" s="197" t="s">
        <v>930</v>
      </c>
      <c r="P5" s="205">
        <v>45505</v>
      </c>
      <c r="Q5" s="194" t="s">
        <v>34</v>
      </c>
      <c r="R5" s="206">
        <v>31962040</v>
      </c>
      <c r="S5" s="207">
        <v>31962.04</v>
      </c>
      <c r="V5" s="197" t="s">
        <v>36</v>
      </c>
      <c r="W5" s="208">
        <v>8.5232294225489502E-2</v>
      </c>
      <c r="X5" s="208">
        <v>1.3248500648767834E-2</v>
      </c>
    </row>
    <row r="6" spans="1:24" s="191" customFormat="1">
      <c r="A6" s="197">
        <v>424</v>
      </c>
      <c r="B6" s="197">
        <v>7228</v>
      </c>
      <c r="C6" s="201" t="s">
        <v>3306</v>
      </c>
      <c r="D6" s="197" t="s">
        <v>193</v>
      </c>
      <c r="E6" s="202" t="s">
        <v>30</v>
      </c>
      <c r="F6" s="197" t="s">
        <v>155</v>
      </c>
      <c r="G6" s="203">
        <v>30317</v>
      </c>
      <c r="H6" s="197" t="s">
        <v>895</v>
      </c>
      <c r="I6" s="197" t="s">
        <v>908</v>
      </c>
      <c r="J6" s="201" t="s">
        <v>3306</v>
      </c>
      <c r="K6" s="204">
        <v>4.9901966985010482E-2</v>
      </c>
      <c r="L6" s="197" t="s">
        <v>918</v>
      </c>
      <c r="M6" s="197" t="s">
        <v>928</v>
      </c>
      <c r="N6" s="202" t="s">
        <v>3302</v>
      </c>
      <c r="O6" s="197" t="s">
        <v>930</v>
      </c>
      <c r="P6" s="205">
        <v>45505</v>
      </c>
      <c r="Q6" s="194" t="s">
        <v>34</v>
      </c>
      <c r="R6" s="206">
        <v>28372720</v>
      </c>
      <c r="S6" s="207">
        <v>28372.720000000001</v>
      </c>
      <c r="T6" s="197"/>
      <c r="U6" s="197"/>
      <c r="V6" s="197" t="s">
        <v>36</v>
      </c>
      <c r="W6" s="208">
        <v>7.5660753162734004E-2</v>
      </c>
      <c r="X6" s="208">
        <v>1.1760701110670912E-2</v>
      </c>
    </row>
    <row r="7" spans="1:24" s="191" customFormat="1">
      <c r="A7" s="197">
        <v>424</v>
      </c>
      <c r="B7" s="197">
        <v>7228</v>
      </c>
      <c r="C7" s="201" t="s">
        <v>3307</v>
      </c>
      <c r="D7" s="197" t="s">
        <v>193</v>
      </c>
      <c r="E7" s="202" t="s">
        <v>30</v>
      </c>
      <c r="F7" s="197" t="s">
        <v>155</v>
      </c>
      <c r="G7" s="203">
        <v>30317</v>
      </c>
      <c r="H7" s="197" t="s">
        <v>895</v>
      </c>
      <c r="I7" s="197" t="s">
        <v>908</v>
      </c>
      <c r="J7" s="201" t="s">
        <v>3307</v>
      </c>
      <c r="K7" s="204">
        <v>0</v>
      </c>
      <c r="L7" s="197" t="s">
        <v>918</v>
      </c>
      <c r="M7" s="197" t="s">
        <v>928</v>
      </c>
      <c r="N7" s="202" t="s">
        <v>3302</v>
      </c>
      <c r="O7" s="197" t="s">
        <v>930</v>
      </c>
      <c r="P7" s="205">
        <v>45413</v>
      </c>
      <c r="Q7" s="194" t="s">
        <v>34</v>
      </c>
      <c r="R7" s="206">
        <v>8759650</v>
      </c>
      <c r="S7" s="207">
        <v>8759.65</v>
      </c>
      <c r="T7" s="197"/>
      <c r="U7" s="197"/>
      <c r="V7" s="197" t="s">
        <v>36</v>
      </c>
      <c r="W7" s="208">
        <v>2.3359118069819985E-2</v>
      </c>
      <c r="X7" s="208">
        <v>3.6309393489270137E-3</v>
      </c>
    </row>
    <row r="8" spans="1:24" s="191" customFormat="1">
      <c r="A8" s="197">
        <v>424</v>
      </c>
      <c r="B8" s="197">
        <v>7228</v>
      </c>
      <c r="C8" s="209" t="s">
        <v>3308</v>
      </c>
      <c r="D8" s="197" t="s">
        <v>193</v>
      </c>
      <c r="E8" s="202" t="s">
        <v>30</v>
      </c>
      <c r="F8" s="197" t="s">
        <v>155</v>
      </c>
      <c r="G8" s="203">
        <v>30317</v>
      </c>
      <c r="H8" s="197" t="s">
        <v>895</v>
      </c>
      <c r="I8" s="197" t="s">
        <v>908</v>
      </c>
      <c r="J8" s="209" t="s">
        <v>3308</v>
      </c>
      <c r="K8" s="204">
        <v>0</v>
      </c>
      <c r="L8" s="197" t="s">
        <v>918</v>
      </c>
      <c r="M8" s="197" t="s">
        <v>928</v>
      </c>
      <c r="N8" s="202" t="s">
        <v>3302</v>
      </c>
      <c r="O8" s="197" t="s">
        <v>930</v>
      </c>
      <c r="P8" s="205">
        <v>45231</v>
      </c>
      <c r="Q8" s="194" t="s">
        <v>34</v>
      </c>
      <c r="R8" s="206">
        <v>12844766.189999999</v>
      </c>
      <c r="S8" s="207">
        <v>12844.76619</v>
      </c>
      <c r="T8" s="197"/>
      <c r="U8" s="197"/>
      <c r="V8" s="197" t="s">
        <v>36</v>
      </c>
      <c r="W8" s="208">
        <v>3.4252785215327299E-2</v>
      </c>
      <c r="X8" s="208">
        <v>5.324250054173205E-3</v>
      </c>
    </row>
    <row r="9" spans="1:24" s="191" customFormat="1">
      <c r="A9" s="197">
        <v>424</v>
      </c>
      <c r="B9" s="197">
        <v>7228</v>
      </c>
      <c r="C9" s="209" t="s">
        <v>3309</v>
      </c>
      <c r="D9" s="197" t="s">
        <v>193</v>
      </c>
      <c r="E9" s="202" t="s">
        <v>30</v>
      </c>
      <c r="F9" s="197" t="s">
        <v>155</v>
      </c>
      <c r="G9" s="203">
        <v>30317</v>
      </c>
      <c r="H9" s="197" t="s">
        <v>895</v>
      </c>
      <c r="I9" s="197" t="s">
        <v>908</v>
      </c>
      <c r="J9" s="209" t="s">
        <v>3309</v>
      </c>
      <c r="K9" s="204">
        <v>0</v>
      </c>
      <c r="L9" s="197" t="s">
        <v>918</v>
      </c>
      <c r="M9" s="197" t="s">
        <v>928</v>
      </c>
      <c r="N9" s="202" t="s">
        <v>3302</v>
      </c>
      <c r="O9" s="197" t="s">
        <v>930</v>
      </c>
      <c r="P9" s="205">
        <v>45231</v>
      </c>
      <c r="Q9" s="194" t="s">
        <v>34</v>
      </c>
      <c r="R9" s="206">
        <v>35645366</v>
      </c>
      <c r="S9" s="207">
        <v>35645.366000000002</v>
      </c>
      <c r="T9" s="197"/>
      <c r="U9" s="197"/>
      <c r="V9" s="197" t="s">
        <v>36</v>
      </c>
      <c r="W9" s="208">
        <v>9.5054518506555274E-2</v>
      </c>
      <c r="X9" s="208">
        <v>1.4775266365243487E-2</v>
      </c>
    </row>
    <row r="10" spans="1:24" s="191" customFormat="1">
      <c r="A10" s="197">
        <v>424</v>
      </c>
      <c r="B10" s="197">
        <v>7228</v>
      </c>
      <c r="C10" s="201" t="s">
        <v>3310</v>
      </c>
      <c r="D10" s="197" t="s">
        <v>193</v>
      </c>
      <c r="E10" s="202" t="s">
        <v>30</v>
      </c>
      <c r="F10" s="197" t="s">
        <v>155</v>
      </c>
      <c r="G10" s="203">
        <v>30317</v>
      </c>
      <c r="H10" s="197" t="s">
        <v>895</v>
      </c>
      <c r="I10" s="197" t="s">
        <v>908</v>
      </c>
      <c r="J10" s="201" t="s">
        <v>3310</v>
      </c>
      <c r="K10" s="204">
        <v>0</v>
      </c>
      <c r="L10" s="197" t="s">
        <v>918</v>
      </c>
      <c r="M10" s="197" t="s">
        <v>928</v>
      </c>
      <c r="N10" s="202" t="s">
        <v>3302</v>
      </c>
      <c r="O10" s="197" t="s">
        <v>930</v>
      </c>
      <c r="P10" s="205">
        <v>45413</v>
      </c>
      <c r="Q10" s="194" t="s">
        <v>34</v>
      </c>
      <c r="R10" s="206">
        <v>10468850</v>
      </c>
      <c r="S10" s="207">
        <v>10468.85</v>
      </c>
      <c r="T10" s="197"/>
      <c r="U10" s="197"/>
      <c r="V10" s="197" t="s">
        <v>36</v>
      </c>
      <c r="W10" s="208">
        <v>2.7916994766370225E-2</v>
      </c>
      <c r="X10" s="208">
        <v>4.3394153194493577E-3</v>
      </c>
    </row>
    <row r="11" spans="1:24" s="191" customFormat="1">
      <c r="A11" s="197">
        <v>424</v>
      </c>
      <c r="B11" s="197">
        <v>7228</v>
      </c>
      <c r="C11" s="201" t="s">
        <v>3311</v>
      </c>
      <c r="D11" s="197" t="s">
        <v>193</v>
      </c>
      <c r="E11" s="202" t="s">
        <v>30</v>
      </c>
      <c r="F11" s="197" t="s">
        <v>155</v>
      </c>
      <c r="G11" s="203">
        <v>30317</v>
      </c>
      <c r="H11" s="197" t="s">
        <v>895</v>
      </c>
      <c r="I11" s="197" t="s">
        <v>908</v>
      </c>
      <c r="J11" s="201" t="s">
        <v>3311</v>
      </c>
      <c r="K11" s="204">
        <v>0</v>
      </c>
      <c r="L11" s="197" t="s">
        <v>918</v>
      </c>
      <c r="M11" s="197" t="s">
        <v>928</v>
      </c>
      <c r="N11" s="202" t="s">
        <v>3302</v>
      </c>
      <c r="O11" s="197" t="s">
        <v>930</v>
      </c>
      <c r="P11" s="205">
        <v>45323</v>
      </c>
      <c r="Q11" s="194" t="s">
        <v>34</v>
      </c>
      <c r="R11" s="206">
        <v>11146554.6368</v>
      </c>
      <c r="S11" s="207">
        <v>11146.5546368</v>
      </c>
      <c r="T11" s="197"/>
      <c r="U11" s="197"/>
      <c r="V11" s="197" t="s">
        <v>36</v>
      </c>
      <c r="W11" s="208">
        <v>2.9724211108059184E-2</v>
      </c>
      <c r="X11" s="208">
        <v>4.6203288756653492E-3</v>
      </c>
    </row>
    <row r="12" spans="1:24" s="191" customFormat="1">
      <c r="A12" s="197">
        <v>424</v>
      </c>
      <c r="B12" s="197">
        <v>7228</v>
      </c>
      <c r="C12" s="209" t="s">
        <v>3312</v>
      </c>
      <c r="D12" s="197" t="s">
        <v>193</v>
      </c>
      <c r="E12" s="202" t="s">
        <v>30</v>
      </c>
      <c r="F12" s="197" t="s">
        <v>155</v>
      </c>
      <c r="G12" s="203">
        <v>30317</v>
      </c>
      <c r="H12" s="197" t="s">
        <v>895</v>
      </c>
      <c r="I12" s="197" t="s">
        <v>908</v>
      </c>
      <c r="J12" s="209" t="s">
        <v>3312</v>
      </c>
      <c r="K12" s="204">
        <v>0</v>
      </c>
      <c r="L12" s="197" t="s">
        <v>918</v>
      </c>
      <c r="M12" s="197" t="s">
        <v>928</v>
      </c>
      <c r="N12" s="202" t="s">
        <v>3302</v>
      </c>
      <c r="O12" s="197" t="s">
        <v>930</v>
      </c>
      <c r="P12" s="205">
        <v>45413</v>
      </c>
      <c r="Q12" s="194" t="s">
        <v>34</v>
      </c>
      <c r="R12" s="206">
        <v>29270050</v>
      </c>
      <c r="S12" s="207">
        <v>29270.05</v>
      </c>
      <c r="T12" s="197"/>
      <c r="U12" s="197"/>
      <c r="V12" s="197" t="s">
        <v>36</v>
      </c>
      <c r="W12" s="208">
        <v>7.8053638428422875E-2</v>
      </c>
      <c r="X12" s="208">
        <v>1.2132650995195143E-2</v>
      </c>
    </row>
    <row r="13" spans="1:24" s="191" customFormat="1">
      <c r="A13" s="197">
        <v>424</v>
      </c>
      <c r="B13" s="197">
        <v>7228</v>
      </c>
      <c r="C13" s="201" t="s">
        <v>3313</v>
      </c>
      <c r="D13" s="197" t="s">
        <v>193</v>
      </c>
      <c r="E13" s="202" t="s">
        <v>30</v>
      </c>
      <c r="F13" s="197" t="s">
        <v>155</v>
      </c>
      <c r="G13" s="203">
        <v>30317</v>
      </c>
      <c r="H13" s="197" t="s">
        <v>895</v>
      </c>
      <c r="I13" s="197" t="s">
        <v>908</v>
      </c>
      <c r="J13" s="201" t="s">
        <v>3313</v>
      </c>
      <c r="K13" s="204">
        <v>0</v>
      </c>
      <c r="L13" s="197" t="s">
        <v>918</v>
      </c>
      <c r="M13" s="197" t="s">
        <v>928</v>
      </c>
      <c r="N13" s="202" t="s">
        <v>3302</v>
      </c>
      <c r="O13" s="197" t="s">
        <v>930</v>
      </c>
      <c r="P13" s="205">
        <v>45413</v>
      </c>
      <c r="Q13" s="194" t="s">
        <v>34</v>
      </c>
      <c r="R13" s="206">
        <v>21023160</v>
      </c>
      <c r="S13" s="207">
        <v>21023.16</v>
      </c>
      <c r="T13" s="197"/>
      <c r="U13" s="197"/>
      <c r="V13" s="197" t="s">
        <v>36</v>
      </c>
      <c r="W13" s="208">
        <v>5.6061883367567962E-2</v>
      </c>
      <c r="X13" s="208">
        <v>8.7142544374248319E-3</v>
      </c>
    </row>
    <row r="14" spans="1:24" s="191" customFormat="1">
      <c r="A14" s="197">
        <v>424</v>
      </c>
      <c r="B14" s="197">
        <v>7228</v>
      </c>
      <c r="C14" s="209" t="s">
        <v>3314</v>
      </c>
      <c r="D14" s="197" t="s">
        <v>193</v>
      </c>
      <c r="E14" s="202" t="s">
        <v>30</v>
      </c>
      <c r="F14" s="197" t="s">
        <v>155</v>
      </c>
      <c r="G14" s="203">
        <v>30317</v>
      </c>
      <c r="H14" s="197" t="s">
        <v>895</v>
      </c>
      <c r="I14" s="197" t="s">
        <v>908</v>
      </c>
      <c r="J14" s="209" t="s">
        <v>3314</v>
      </c>
      <c r="K14" s="204">
        <v>2.9841784453670472E-2</v>
      </c>
      <c r="L14" s="197" t="s">
        <v>918</v>
      </c>
      <c r="M14" s="197" t="s">
        <v>928</v>
      </c>
      <c r="N14" s="202" t="s">
        <v>3302</v>
      </c>
      <c r="O14" s="197" t="s">
        <v>930</v>
      </c>
      <c r="P14" s="205">
        <v>45323</v>
      </c>
      <c r="Q14" s="194" t="s">
        <v>34</v>
      </c>
      <c r="R14" s="206">
        <v>56600290.462999992</v>
      </c>
      <c r="S14" s="207">
        <v>56600.29046299999</v>
      </c>
      <c r="T14" s="197"/>
      <c r="U14" s="197"/>
      <c r="V14" s="197" t="s">
        <v>36</v>
      </c>
      <c r="W14" s="208">
        <v>0.1509344400417052</v>
      </c>
      <c r="X14" s="208">
        <v>2.3461236670735137E-2</v>
      </c>
    </row>
    <row r="15" spans="1:24" s="191" customFormat="1">
      <c r="A15" s="197">
        <v>424</v>
      </c>
      <c r="B15" s="197">
        <v>7228</v>
      </c>
      <c r="C15" s="201" t="s">
        <v>3315</v>
      </c>
      <c r="D15" s="197" t="s">
        <v>193</v>
      </c>
      <c r="E15" s="202" t="s">
        <v>30</v>
      </c>
      <c r="F15" s="197" t="s">
        <v>155</v>
      </c>
      <c r="G15" s="203">
        <v>30317</v>
      </c>
      <c r="H15" s="197" t="s">
        <v>895</v>
      </c>
      <c r="I15" s="197" t="s">
        <v>908</v>
      </c>
      <c r="J15" s="201" t="s">
        <v>3315</v>
      </c>
      <c r="K15" s="204">
        <v>0.15618074959051942</v>
      </c>
      <c r="L15" s="197" t="s">
        <v>918</v>
      </c>
      <c r="M15" s="197" t="s">
        <v>928</v>
      </c>
      <c r="N15" s="202" t="s">
        <v>3302</v>
      </c>
      <c r="O15" s="197" t="s">
        <v>930</v>
      </c>
      <c r="P15" s="205">
        <v>45505</v>
      </c>
      <c r="Q15" s="194" t="s">
        <v>34</v>
      </c>
      <c r="R15" s="206">
        <v>30765600</v>
      </c>
      <c r="S15" s="207">
        <v>30765.599999999999</v>
      </c>
      <c r="T15" s="197"/>
      <c r="U15" s="197"/>
      <c r="V15" s="197" t="s">
        <v>36</v>
      </c>
      <c r="W15" s="208">
        <v>8.2041780537904341E-2</v>
      </c>
      <c r="X15" s="208">
        <v>1.2752567469402194E-2</v>
      </c>
    </row>
    <row r="16" spans="1:24" s="191" customFormat="1">
      <c r="A16" s="197">
        <v>424</v>
      </c>
      <c r="B16" s="197">
        <v>7228</v>
      </c>
      <c r="C16" s="209" t="s">
        <v>3316</v>
      </c>
      <c r="D16" s="197" t="s">
        <v>193</v>
      </c>
      <c r="E16" s="202" t="s">
        <v>30</v>
      </c>
      <c r="F16" s="197" t="s">
        <v>155</v>
      </c>
      <c r="G16" s="203">
        <v>30317</v>
      </c>
      <c r="H16" s="197" t="s">
        <v>895</v>
      </c>
      <c r="I16" s="197" t="s">
        <v>908</v>
      </c>
      <c r="J16" s="209" t="s">
        <v>3316</v>
      </c>
      <c r="K16" s="204">
        <v>4.1372761801410807E-2</v>
      </c>
      <c r="L16" s="197" t="s">
        <v>918</v>
      </c>
      <c r="M16" s="197" t="s">
        <v>928</v>
      </c>
      <c r="N16" s="202" t="s">
        <v>3302</v>
      </c>
      <c r="O16" s="197" t="s">
        <v>930</v>
      </c>
      <c r="P16" s="205">
        <v>45505</v>
      </c>
      <c r="Q16" s="194" t="s">
        <v>34</v>
      </c>
      <c r="R16" s="206">
        <v>65607641.999999993</v>
      </c>
      <c r="S16" s="207">
        <v>65607.641999999993</v>
      </c>
      <c r="T16" s="197"/>
      <c r="U16" s="197"/>
      <c r="V16" s="197" t="s">
        <v>36</v>
      </c>
      <c r="W16" s="208">
        <v>0.17495409699708098</v>
      </c>
      <c r="X16" s="208">
        <v>2.7194850128500175E-2</v>
      </c>
    </row>
    <row r="17" spans="1:24" s="191" customFormat="1">
      <c r="A17" s="197">
        <v>424</v>
      </c>
      <c r="B17" s="197">
        <v>7229</v>
      </c>
      <c r="C17" s="201" t="s">
        <v>3301</v>
      </c>
      <c r="D17" s="197" t="s">
        <v>193</v>
      </c>
      <c r="E17" s="202" t="s">
        <v>30</v>
      </c>
      <c r="F17" s="197" t="s">
        <v>155</v>
      </c>
      <c r="G17" s="203">
        <v>30317</v>
      </c>
      <c r="H17" s="197" t="s">
        <v>895</v>
      </c>
      <c r="I17" s="197" t="s">
        <v>908</v>
      </c>
      <c r="J17" s="201" t="s">
        <v>3301</v>
      </c>
      <c r="K17" s="204">
        <v>3.0927835051546282E-2</v>
      </c>
      <c r="L17" s="197" t="s">
        <v>918</v>
      </c>
      <c r="M17" s="197" t="s">
        <v>928</v>
      </c>
      <c r="N17" s="202" t="s">
        <v>3302</v>
      </c>
      <c r="O17" s="197" t="s">
        <v>930</v>
      </c>
      <c r="P17" s="205">
        <v>45505</v>
      </c>
      <c r="Q17" s="194" t="s">
        <v>34</v>
      </c>
      <c r="R17" s="206">
        <v>155680</v>
      </c>
      <c r="S17" s="207">
        <v>155.68</v>
      </c>
      <c r="T17" s="197"/>
      <c r="U17" s="197"/>
      <c r="V17" s="197" t="s">
        <v>36</v>
      </c>
      <c r="W17" s="208">
        <v>6.3354486082048351E-3</v>
      </c>
      <c r="X17" s="208">
        <v>1.0691864514523566E-3</v>
      </c>
    </row>
    <row r="18" spans="1:24" s="191" customFormat="1">
      <c r="A18" s="197">
        <v>424</v>
      </c>
      <c r="B18" s="197">
        <v>7229</v>
      </c>
      <c r="C18" s="201" t="s">
        <v>3303</v>
      </c>
      <c r="D18" s="197" t="s">
        <v>193</v>
      </c>
      <c r="E18" s="202" t="s">
        <v>30</v>
      </c>
      <c r="F18" s="197" t="s">
        <v>155</v>
      </c>
      <c r="G18" s="203">
        <v>30317</v>
      </c>
      <c r="H18" s="197" t="s">
        <v>897</v>
      </c>
      <c r="I18" s="197" t="s">
        <v>908</v>
      </c>
      <c r="J18" s="201" t="s">
        <v>3303</v>
      </c>
      <c r="K18" s="204">
        <v>3.0927835051546282E-2</v>
      </c>
      <c r="L18" s="197" t="s">
        <v>918</v>
      </c>
      <c r="M18" s="197" t="s">
        <v>928</v>
      </c>
      <c r="N18" s="202" t="s">
        <v>3302</v>
      </c>
      <c r="O18" s="197" t="s">
        <v>930</v>
      </c>
      <c r="P18" s="205">
        <v>45505</v>
      </c>
      <c r="Q18" s="194" t="s">
        <v>34</v>
      </c>
      <c r="R18" s="206">
        <v>142800</v>
      </c>
      <c r="S18" s="207">
        <v>142.80000000000001</v>
      </c>
      <c r="T18" s="197"/>
      <c r="U18" s="197"/>
      <c r="V18" s="197" t="s">
        <v>36</v>
      </c>
      <c r="W18" s="208">
        <v>5.8112927881015571E-3</v>
      </c>
      <c r="X18" s="208">
        <v>9.8072857956960752E-4</v>
      </c>
    </row>
    <row r="19" spans="1:24" s="191" customFormat="1">
      <c r="A19" s="197">
        <v>424</v>
      </c>
      <c r="B19" s="197">
        <v>7229</v>
      </c>
      <c r="C19" s="201" t="s">
        <v>3304</v>
      </c>
      <c r="D19" s="197" t="s">
        <v>193</v>
      </c>
      <c r="E19" s="202" t="s">
        <v>30</v>
      </c>
      <c r="F19" s="197" t="s">
        <v>155</v>
      </c>
      <c r="G19" s="203">
        <v>30317</v>
      </c>
      <c r="H19" s="197" t="s">
        <v>895</v>
      </c>
      <c r="I19" s="197" t="s">
        <v>908</v>
      </c>
      <c r="J19" s="201" t="s">
        <v>3304</v>
      </c>
      <c r="K19" s="204">
        <v>0</v>
      </c>
      <c r="L19" s="197" t="s">
        <v>918</v>
      </c>
      <c r="M19" s="197" t="s">
        <v>928</v>
      </c>
      <c r="N19" s="202" t="s">
        <v>3302</v>
      </c>
      <c r="O19" s="197" t="s">
        <v>930</v>
      </c>
      <c r="P19" s="205">
        <v>45323</v>
      </c>
      <c r="Q19" s="194" t="s">
        <v>34</v>
      </c>
      <c r="R19" s="206">
        <v>1833300</v>
      </c>
      <c r="S19" s="207">
        <v>1833.3</v>
      </c>
      <c r="T19" s="197"/>
      <c r="U19" s="197"/>
      <c r="V19" s="197" t="s">
        <v>36</v>
      </c>
      <c r="W19" s="208">
        <v>7.4606744176656747E-2</v>
      </c>
      <c r="X19" s="208">
        <v>1.2590824264180404E-2</v>
      </c>
    </row>
    <row r="20" spans="1:24" s="191" customFormat="1">
      <c r="A20" s="197">
        <v>424</v>
      </c>
      <c r="B20" s="197">
        <v>7229</v>
      </c>
      <c r="C20" s="201" t="s">
        <v>3305</v>
      </c>
      <c r="D20" s="197" t="s">
        <v>193</v>
      </c>
      <c r="E20" s="202" t="s">
        <v>30</v>
      </c>
      <c r="F20" s="197" t="s">
        <v>155</v>
      </c>
      <c r="G20" s="203">
        <v>30317</v>
      </c>
      <c r="H20" s="197" t="s">
        <v>895</v>
      </c>
      <c r="I20" s="197" t="s">
        <v>908</v>
      </c>
      <c r="J20" s="201" t="s">
        <v>3305</v>
      </c>
      <c r="K20" s="204">
        <v>5.0591308744627694E-2</v>
      </c>
      <c r="L20" s="197" t="s">
        <v>918</v>
      </c>
      <c r="M20" s="197" t="s">
        <v>928</v>
      </c>
      <c r="N20" s="202" t="s">
        <v>3302</v>
      </c>
      <c r="O20" s="197" t="s">
        <v>930</v>
      </c>
      <c r="P20" s="205">
        <v>45505</v>
      </c>
      <c r="Q20" s="194" t="s">
        <v>34</v>
      </c>
      <c r="R20" s="206">
        <v>2094400</v>
      </c>
      <c r="S20" s="207">
        <v>2094.4</v>
      </c>
      <c r="V20" s="197" t="s">
        <v>36</v>
      </c>
      <c r="W20" s="208">
        <v>8.5232294225489502E-2</v>
      </c>
      <c r="X20" s="208">
        <v>1.4384019167020911E-2</v>
      </c>
    </row>
    <row r="21" spans="1:24" s="191" customFormat="1">
      <c r="A21" s="197">
        <v>424</v>
      </c>
      <c r="B21" s="197">
        <v>7229</v>
      </c>
      <c r="C21" s="201" t="s">
        <v>3306</v>
      </c>
      <c r="D21" s="197" t="s">
        <v>193</v>
      </c>
      <c r="E21" s="202" t="s">
        <v>30</v>
      </c>
      <c r="F21" s="197" t="s">
        <v>155</v>
      </c>
      <c r="G21" s="203">
        <v>30317</v>
      </c>
      <c r="H21" s="197" t="s">
        <v>895</v>
      </c>
      <c r="I21" s="197" t="s">
        <v>908</v>
      </c>
      <c r="J21" s="201" t="s">
        <v>3306</v>
      </c>
      <c r="K21" s="204">
        <v>4.9901966985010482E-2</v>
      </c>
      <c r="L21" s="197" t="s">
        <v>918</v>
      </c>
      <c r="M21" s="197" t="s">
        <v>928</v>
      </c>
      <c r="N21" s="202" t="s">
        <v>3302</v>
      </c>
      <c r="O21" s="197" t="s">
        <v>930</v>
      </c>
      <c r="P21" s="205">
        <v>45505</v>
      </c>
      <c r="Q21" s="194" t="s">
        <v>34</v>
      </c>
      <c r="R21" s="206">
        <v>1859200</v>
      </c>
      <c r="S21" s="207">
        <v>1859.2</v>
      </c>
      <c r="V21" s="197" t="s">
        <v>36</v>
      </c>
      <c r="W21" s="208">
        <v>7.566075316273399E-2</v>
      </c>
      <c r="X21" s="208">
        <v>1.2768701506553322E-2</v>
      </c>
    </row>
    <row r="22" spans="1:24" s="191" customFormat="1">
      <c r="A22" s="197">
        <v>424</v>
      </c>
      <c r="B22" s="197">
        <v>7229</v>
      </c>
      <c r="C22" s="201" t="s">
        <v>3307</v>
      </c>
      <c r="D22" s="197" t="s">
        <v>193</v>
      </c>
      <c r="E22" s="202" t="s">
        <v>30</v>
      </c>
      <c r="F22" s="197" t="s">
        <v>155</v>
      </c>
      <c r="G22" s="203">
        <v>30317</v>
      </c>
      <c r="H22" s="197" t="s">
        <v>895</v>
      </c>
      <c r="I22" s="197" t="s">
        <v>908</v>
      </c>
      <c r="J22" s="201" t="s">
        <v>3307</v>
      </c>
      <c r="K22" s="204">
        <v>0</v>
      </c>
      <c r="L22" s="197" t="s">
        <v>918</v>
      </c>
      <c r="M22" s="197" t="s">
        <v>928</v>
      </c>
      <c r="N22" s="202" t="s">
        <v>3302</v>
      </c>
      <c r="O22" s="197" t="s">
        <v>930</v>
      </c>
      <c r="P22" s="205">
        <v>45413</v>
      </c>
      <c r="Q22" s="194" t="s">
        <v>34</v>
      </c>
      <c r="R22" s="206">
        <v>574000</v>
      </c>
      <c r="S22" s="207">
        <v>574</v>
      </c>
      <c r="V22" s="197" t="s">
        <v>36</v>
      </c>
      <c r="W22" s="208">
        <v>2.3359118069819985E-2</v>
      </c>
      <c r="X22" s="208">
        <v>3.9421442904268543E-3</v>
      </c>
    </row>
    <row r="23" spans="1:24" s="191" customFormat="1">
      <c r="A23" s="197">
        <v>424</v>
      </c>
      <c r="B23" s="197">
        <v>7229</v>
      </c>
      <c r="C23" s="209" t="s">
        <v>3308</v>
      </c>
      <c r="D23" s="197" t="s">
        <v>193</v>
      </c>
      <c r="E23" s="202" t="s">
        <v>30</v>
      </c>
      <c r="F23" s="197" t="s">
        <v>155</v>
      </c>
      <c r="G23" s="203">
        <v>30317</v>
      </c>
      <c r="H23" s="197" t="s">
        <v>895</v>
      </c>
      <c r="I23" s="197" t="s">
        <v>908</v>
      </c>
      <c r="J23" s="209" t="s">
        <v>3308</v>
      </c>
      <c r="K23" s="204">
        <v>0</v>
      </c>
      <c r="L23" s="197" t="s">
        <v>918</v>
      </c>
      <c r="M23" s="197" t="s">
        <v>928</v>
      </c>
      <c r="N23" s="202" t="s">
        <v>3302</v>
      </c>
      <c r="O23" s="197" t="s">
        <v>930</v>
      </c>
      <c r="P23" s="205">
        <v>45231</v>
      </c>
      <c r="Q23" s="194" t="s">
        <v>34</v>
      </c>
      <c r="R23" s="206">
        <v>841688.4</v>
      </c>
      <c r="S23" s="207">
        <v>841.6884</v>
      </c>
      <c r="V23" s="197" t="s">
        <v>36</v>
      </c>
      <c r="W23" s="208">
        <v>3.4252785215327299E-2</v>
      </c>
      <c r="X23" s="208">
        <v>5.7805873177326026E-3</v>
      </c>
    </row>
    <row r="24" spans="1:24" s="191" customFormat="1">
      <c r="A24" s="197">
        <v>424</v>
      </c>
      <c r="B24" s="197">
        <v>7229</v>
      </c>
      <c r="C24" s="209" t="s">
        <v>3309</v>
      </c>
      <c r="D24" s="197" t="s">
        <v>193</v>
      </c>
      <c r="E24" s="202" t="s">
        <v>30</v>
      </c>
      <c r="F24" s="197" t="s">
        <v>155</v>
      </c>
      <c r="G24" s="203">
        <v>30317</v>
      </c>
      <c r="H24" s="197" t="s">
        <v>895</v>
      </c>
      <c r="I24" s="197" t="s">
        <v>908</v>
      </c>
      <c r="J24" s="209" t="s">
        <v>3309</v>
      </c>
      <c r="K24" s="204">
        <v>0</v>
      </c>
      <c r="L24" s="197" t="s">
        <v>918</v>
      </c>
      <c r="M24" s="197" t="s">
        <v>928</v>
      </c>
      <c r="N24" s="202" t="s">
        <v>3302</v>
      </c>
      <c r="O24" s="197" t="s">
        <v>930</v>
      </c>
      <c r="P24" s="205">
        <v>45231</v>
      </c>
      <c r="Q24" s="194" t="s">
        <v>34</v>
      </c>
      <c r="R24" s="206">
        <v>2335760</v>
      </c>
      <c r="S24" s="207">
        <v>2335.7600000000002</v>
      </c>
      <c r="V24" s="197" t="s">
        <v>36</v>
      </c>
      <c r="W24" s="208">
        <v>9.5054518506555274E-2</v>
      </c>
      <c r="X24" s="208">
        <v>1.6041642766215031E-2</v>
      </c>
    </row>
    <row r="25" spans="1:24" s="191" customFormat="1">
      <c r="A25" s="197">
        <v>424</v>
      </c>
      <c r="B25" s="197">
        <v>7229</v>
      </c>
      <c r="C25" s="201" t="s">
        <v>3310</v>
      </c>
      <c r="D25" s="197" t="s">
        <v>193</v>
      </c>
      <c r="E25" s="202" t="s">
        <v>30</v>
      </c>
      <c r="F25" s="197" t="s">
        <v>155</v>
      </c>
      <c r="G25" s="203">
        <v>30317</v>
      </c>
      <c r="H25" s="197" t="s">
        <v>895</v>
      </c>
      <c r="I25" s="197" t="s">
        <v>908</v>
      </c>
      <c r="J25" s="201" t="s">
        <v>3310</v>
      </c>
      <c r="K25" s="204">
        <v>0</v>
      </c>
      <c r="L25" s="197" t="s">
        <v>918</v>
      </c>
      <c r="M25" s="197" t="s">
        <v>928</v>
      </c>
      <c r="N25" s="202" t="s">
        <v>3302</v>
      </c>
      <c r="O25" s="197" t="s">
        <v>930</v>
      </c>
      <c r="P25" s="205">
        <v>45413</v>
      </c>
      <c r="Q25" s="194" t="s">
        <v>34</v>
      </c>
      <c r="R25" s="206">
        <v>686000</v>
      </c>
      <c r="S25" s="207">
        <v>686</v>
      </c>
      <c r="V25" s="197" t="s">
        <v>36</v>
      </c>
      <c r="W25" s="208">
        <v>2.7916994766370225E-2</v>
      </c>
      <c r="X25" s="208">
        <v>4.7113431763638009E-3</v>
      </c>
    </row>
    <row r="26" spans="1:24" s="191" customFormat="1">
      <c r="A26" s="197">
        <v>424</v>
      </c>
      <c r="B26" s="197">
        <v>7229</v>
      </c>
      <c r="C26" s="201" t="s">
        <v>3311</v>
      </c>
      <c r="D26" s="197" t="s">
        <v>193</v>
      </c>
      <c r="E26" s="202" t="s">
        <v>30</v>
      </c>
      <c r="F26" s="197" t="s">
        <v>155</v>
      </c>
      <c r="G26" s="203">
        <v>30317</v>
      </c>
      <c r="H26" s="197" t="s">
        <v>895</v>
      </c>
      <c r="I26" s="197" t="s">
        <v>908</v>
      </c>
      <c r="J26" s="201" t="s">
        <v>3311</v>
      </c>
      <c r="K26" s="204">
        <v>0</v>
      </c>
      <c r="L26" s="197" t="s">
        <v>918</v>
      </c>
      <c r="M26" s="197" t="s">
        <v>928</v>
      </c>
      <c r="N26" s="202" t="s">
        <v>3302</v>
      </c>
      <c r="O26" s="197" t="s">
        <v>930</v>
      </c>
      <c r="P26" s="205">
        <v>45323</v>
      </c>
      <c r="Q26" s="194" t="s">
        <v>34</v>
      </c>
      <c r="R26" s="206">
        <v>730408.44800000009</v>
      </c>
      <c r="S26" s="207">
        <v>730.40844800000013</v>
      </c>
      <c r="V26" s="197" t="s">
        <v>36</v>
      </c>
      <c r="W26" s="208">
        <v>2.9724211108059184E-2</v>
      </c>
      <c r="X26" s="208">
        <v>5.0163336114333454E-3</v>
      </c>
    </row>
    <row r="27" spans="1:24" s="191" customFormat="1">
      <c r="A27" s="197">
        <v>424</v>
      </c>
      <c r="B27" s="197">
        <v>7229</v>
      </c>
      <c r="C27" s="209" t="s">
        <v>3312</v>
      </c>
      <c r="D27" s="197" t="s">
        <v>193</v>
      </c>
      <c r="E27" s="202" t="s">
        <v>30</v>
      </c>
      <c r="F27" s="197" t="s">
        <v>155</v>
      </c>
      <c r="G27" s="203">
        <v>30317</v>
      </c>
      <c r="H27" s="197" t="s">
        <v>895</v>
      </c>
      <c r="I27" s="197" t="s">
        <v>908</v>
      </c>
      <c r="J27" s="209" t="s">
        <v>3312</v>
      </c>
      <c r="K27" s="204">
        <v>0</v>
      </c>
      <c r="L27" s="197" t="s">
        <v>918</v>
      </c>
      <c r="M27" s="197" t="s">
        <v>928</v>
      </c>
      <c r="N27" s="202" t="s">
        <v>3302</v>
      </c>
      <c r="O27" s="197" t="s">
        <v>930</v>
      </c>
      <c r="P27" s="205">
        <v>45413</v>
      </c>
      <c r="Q27" s="194" t="s">
        <v>34</v>
      </c>
      <c r="R27" s="206">
        <v>1918000</v>
      </c>
      <c r="S27" s="207">
        <v>1918</v>
      </c>
      <c r="V27" s="197" t="s">
        <v>36</v>
      </c>
      <c r="W27" s="208">
        <v>7.8053638428422875E-2</v>
      </c>
      <c r="X27" s="208">
        <v>1.3172530921670219E-2</v>
      </c>
    </row>
    <row r="28" spans="1:24" s="191" customFormat="1">
      <c r="A28" s="197">
        <v>424</v>
      </c>
      <c r="B28" s="197">
        <v>7229</v>
      </c>
      <c r="C28" s="201" t="s">
        <v>3313</v>
      </c>
      <c r="D28" s="197" t="s">
        <v>193</v>
      </c>
      <c r="E28" s="202" t="s">
        <v>30</v>
      </c>
      <c r="F28" s="197" t="s">
        <v>155</v>
      </c>
      <c r="G28" s="203">
        <v>30317</v>
      </c>
      <c r="H28" s="197" t="s">
        <v>895</v>
      </c>
      <c r="I28" s="197" t="s">
        <v>908</v>
      </c>
      <c r="J28" s="201" t="s">
        <v>3313</v>
      </c>
      <c r="K28" s="204">
        <v>0</v>
      </c>
      <c r="L28" s="197" t="s">
        <v>918</v>
      </c>
      <c r="M28" s="197" t="s">
        <v>928</v>
      </c>
      <c r="N28" s="202" t="s">
        <v>3302</v>
      </c>
      <c r="O28" s="197" t="s">
        <v>930</v>
      </c>
      <c r="P28" s="205">
        <v>45413</v>
      </c>
      <c r="Q28" s="194" t="s">
        <v>34</v>
      </c>
      <c r="R28" s="206">
        <v>1377600</v>
      </c>
      <c r="S28" s="207">
        <v>1377.6</v>
      </c>
      <c r="V28" s="197" t="s">
        <v>36</v>
      </c>
      <c r="W28" s="208">
        <v>5.6061883367567962E-2</v>
      </c>
      <c r="X28" s="208">
        <v>9.4611462970244503E-3</v>
      </c>
    </row>
    <row r="29" spans="1:24" s="191" customFormat="1">
      <c r="A29" s="197">
        <v>424</v>
      </c>
      <c r="B29" s="197">
        <v>7229</v>
      </c>
      <c r="C29" s="209" t="s">
        <v>3314</v>
      </c>
      <c r="D29" s="197" t="s">
        <v>193</v>
      </c>
      <c r="E29" s="202" t="s">
        <v>30</v>
      </c>
      <c r="F29" s="197" t="s">
        <v>155</v>
      </c>
      <c r="G29" s="203">
        <v>30317</v>
      </c>
      <c r="H29" s="197" t="s">
        <v>895</v>
      </c>
      <c r="I29" s="197" t="s">
        <v>908</v>
      </c>
      <c r="J29" s="209" t="s">
        <v>3314</v>
      </c>
      <c r="K29" s="204">
        <v>2.9841784453670472E-2</v>
      </c>
      <c r="L29" s="197" t="s">
        <v>918</v>
      </c>
      <c r="M29" s="197" t="s">
        <v>928</v>
      </c>
      <c r="N29" s="202" t="s">
        <v>3302</v>
      </c>
      <c r="O29" s="197" t="s">
        <v>930</v>
      </c>
      <c r="P29" s="205">
        <v>45323</v>
      </c>
      <c r="Q29" s="194" t="s">
        <v>34</v>
      </c>
      <c r="R29" s="206">
        <v>3708888.68</v>
      </c>
      <c r="S29" s="207">
        <v>3708.88868</v>
      </c>
      <c r="V29" s="197" t="s">
        <v>36</v>
      </c>
      <c r="W29" s="208">
        <v>0.1509344400417052</v>
      </c>
      <c r="X29" s="208">
        <v>2.5472080720715665E-2</v>
      </c>
    </row>
    <row r="30" spans="1:24" s="191" customFormat="1">
      <c r="A30" s="197">
        <v>424</v>
      </c>
      <c r="B30" s="197">
        <v>7229</v>
      </c>
      <c r="C30" s="201" t="s">
        <v>3315</v>
      </c>
      <c r="D30" s="197" t="s">
        <v>193</v>
      </c>
      <c r="E30" s="202" t="s">
        <v>30</v>
      </c>
      <c r="F30" s="197" t="s">
        <v>155</v>
      </c>
      <c r="G30" s="203">
        <v>30317</v>
      </c>
      <c r="H30" s="197" t="s">
        <v>895</v>
      </c>
      <c r="I30" s="197" t="s">
        <v>908</v>
      </c>
      <c r="J30" s="201" t="s">
        <v>3315</v>
      </c>
      <c r="K30" s="204">
        <v>0.15618074959051942</v>
      </c>
      <c r="L30" s="197" t="s">
        <v>918</v>
      </c>
      <c r="M30" s="197" t="s">
        <v>928</v>
      </c>
      <c r="N30" s="202" t="s">
        <v>3302</v>
      </c>
      <c r="O30" s="197" t="s">
        <v>930</v>
      </c>
      <c r="P30" s="205">
        <v>45505</v>
      </c>
      <c r="Q30" s="194" t="s">
        <v>34</v>
      </c>
      <c r="R30" s="206">
        <v>2016000</v>
      </c>
      <c r="S30" s="207">
        <v>2016</v>
      </c>
      <c r="V30" s="197" t="s">
        <v>36</v>
      </c>
      <c r="W30" s="208">
        <v>8.2041780537904327E-2</v>
      </c>
      <c r="X30" s="208">
        <v>1.3845579946865048E-2</v>
      </c>
    </row>
    <row r="31" spans="1:24" s="191" customFormat="1">
      <c r="A31" s="197">
        <v>424</v>
      </c>
      <c r="B31" s="197">
        <v>7229</v>
      </c>
      <c r="C31" s="209" t="s">
        <v>3316</v>
      </c>
      <c r="D31" s="197" t="s">
        <v>193</v>
      </c>
      <c r="E31" s="202" t="s">
        <v>30</v>
      </c>
      <c r="F31" s="197" t="s">
        <v>155</v>
      </c>
      <c r="G31" s="203">
        <v>30317</v>
      </c>
      <c r="H31" s="197" t="s">
        <v>895</v>
      </c>
      <c r="I31" s="197" t="s">
        <v>908</v>
      </c>
      <c r="J31" s="209" t="s">
        <v>3316</v>
      </c>
      <c r="K31" s="204">
        <v>4.1372761801410807E-2</v>
      </c>
      <c r="L31" s="197" t="s">
        <v>918</v>
      </c>
      <c r="M31" s="197" t="s">
        <v>928</v>
      </c>
      <c r="N31" s="202" t="s">
        <v>3302</v>
      </c>
      <c r="O31" s="197" t="s">
        <v>930</v>
      </c>
      <c r="P31" s="205">
        <v>45505</v>
      </c>
      <c r="Q31" s="194" t="s">
        <v>34</v>
      </c>
      <c r="R31" s="206">
        <v>4299120</v>
      </c>
      <c r="S31" s="207">
        <v>4299.12</v>
      </c>
      <c r="V31" s="197" t="s">
        <v>36</v>
      </c>
      <c r="W31" s="208">
        <v>0.17495409699708098</v>
      </c>
      <c r="X31" s="208">
        <v>2.9525699236689715E-2</v>
      </c>
    </row>
    <row r="32" spans="1:24" s="191" customFormat="1">
      <c r="A32" s="197">
        <v>1182</v>
      </c>
      <c r="B32" s="197">
        <v>1182</v>
      </c>
      <c r="C32" s="201" t="s">
        <v>3301</v>
      </c>
      <c r="D32" s="197" t="s">
        <v>193</v>
      </c>
      <c r="E32" s="202" t="s">
        <v>30</v>
      </c>
      <c r="F32" s="197" t="s">
        <v>155</v>
      </c>
      <c r="G32" s="203">
        <v>30317</v>
      </c>
      <c r="H32" s="197" t="s">
        <v>895</v>
      </c>
      <c r="I32" s="197" t="s">
        <v>908</v>
      </c>
      <c r="J32" s="201" t="s">
        <v>3301</v>
      </c>
      <c r="K32" s="204">
        <v>3.0927835051546282E-2</v>
      </c>
      <c r="L32" s="197" t="s">
        <v>918</v>
      </c>
      <c r="M32" s="197" t="s">
        <v>928</v>
      </c>
      <c r="N32" s="202" t="s">
        <v>3302</v>
      </c>
      <c r="O32" s="197" t="s">
        <v>930</v>
      </c>
      <c r="P32" s="205">
        <v>45505</v>
      </c>
      <c r="Q32" s="194" t="s">
        <v>34</v>
      </c>
      <c r="R32" s="206">
        <v>236577.99999999997</v>
      </c>
      <c r="S32" s="207">
        <v>236.57799999999997</v>
      </c>
      <c r="V32" s="197" t="s">
        <v>36</v>
      </c>
      <c r="W32" s="208">
        <v>6.3354486082048351E-3</v>
      </c>
      <c r="X32" s="208">
        <v>5.7463674209298331E-4</v>
      </c>
    </row>
    <row r="33" spans="1:24" s="191" customFormat="1">
      <c r="A33" s="197">
        <v>1182</v>
      </c>
      <c r="B33" s="197">
        <v>1182</v>
      </c>
      <c r="C33" s="201" t="s">
        <v>3303</v>
      </c>
      <c r="D33" s="197" t="s">
        <v>193</v>
      </c>
      <c r="E33" s="202" t="s">
        <v>30</v>
      </c>
      <c r="F33" s="197" t="s">
        <v>155</v>
      </c>
      <c r="G33" s="203">
        <v>30317</v>
      </c>
      <c r="H33" s="197" t="s">
        <v>897</v>
      </c>
      <c r="I33" s="197" t="s">
        <v>908</v>
      </c>
      <c r="J33" s="201" t="s">
        <v>3303</v>
      </c>
      <c r="K33" s="204">
        <v>3.0927835051546282E-2</v>
      </c>
      <c r="L33" s="197" t="s">
        <v>918</v>
      </c>
      <c r="M33" s="197" t="s">
        <v>928</v>
      </c>
      <c r="N33" s="202" t="s">
        <v>3302</v>
      </c>
      <c r="O33" s="197" t="s">
        <v>930</v>
      </c>
      <c r="P33" s="205">
        <v>45505</v>
      </c>
      <c r="Q33" s="194" t="s">
        <v>34</v>
      </c>
      <c r="R33" s="206">
        <v>217004.99999999997</v>
      </c>
      <c r="S33" s="207">
        <v>217.00499999999997</v>
      </c>
      <c r="V33" s="197" t="s">
        <v>36</v>
      </c>
      <c r="W33" s="208">
        <v>5.8112927881015571E-3</v>
      </c>
      <c r="X33" s="208">
        <v>5.2709485335867168E-4</v>
      </c>
    </row>
    <row r="34" spans="1:24" s="191" customFormat="1">
      <c r="A34" s="197">
        <v>1182</v>
      </c>
      <c r="B34" s="197">
        <v>1182</v>
      </c>
      <c r="C34" s="201" t="s">
        <v>3304</v>
      </c>
      <c r="D34" s="197" t="s">
        <v>193</v>
      </c>
      <c r="E34" s="202" t="s">
        <v>30</v>
      </c>
      <c r="F34" s="197" t="s">
        <v>155</v>
      </c>
      <c r="G34" s="203">
        <v>30317</v>
      </c>
      <c r="H34" s="197" t="s">
        <v>895</v>
      </c>
      <c r="I34" s="197" t="s">
        <v>908</v>
      </c>
      <c r="J34" s="201" t="s">
        <v>3304</v>
      </c>
      <c r="K34" s="204">
        <v>0</v>
      </c>
      <c r="L34" s="197" t="s">
        <v>918</v>
      </c>
      <c r="M34" s="197" t="s">
        <v>928</v>
      </c>
      <c r="N34" s="202" t="s">
        <v>3302</v>
      </c>
      <c r="O34" s="197" t="s">
        <v>930</v>
      </c>
      <c r="P34" s="205">
        <v>45323</v>
      </c>
      <c r="Q34" s="194" t="s">
        <v>34</v>
      </c>
      <c r="R34" s="206">
        <v>2785961.2499999995</v>
      </c>
      <c r="S34" s="207">
        <v>2785.9612499999994</v>
      </c>
      <c r="V34" s="197" t="s">
        <v>36</v>
      </c>
      <c r="W34" s="208">
        <v>7.4606744176656747E-2</v>
      </c>
      <c r="X34" s="208">
        <v>6.7669677497370646E-3</v>
      </c>
    </row>
    <row r="35" spans="1:24" s="191" customFormat="1">
      <c r="A35" s="197">
        <v>1182</v>
      </c>
      <c r="B35" s="197">
        <v>1182</v>
      </c>
      <c r="C35" s="201" t="s">
        <v>3305</v>
      </c>
      <c r="D35" s="197" t="s">
        <v>193</v>
      </c>
      <c r="E35" s="202" t="s">
        <v>30</v>
      </c>
      <c r="F35" s="197" t="s">
        <v>155</v>
      </c>
      <c r="G35" s="203">
        <v>30317</v>
      </c>
      <c r="H35" s="197" t="s">
        <v>895</v>
      </c>
      <c r="I35" s="197" t="s">
        <v>908</v>
      </c>
      <c r="J35" s="201" t="s">
        <v>3305</v>
      </c>
      <c r="K35" s="204">
        <v>5.0591308744627694E-2</v>
      </c>
      <c r="L35" s="197" t="s">
        <v>918</v>
      </c>
      <c r="M35" s="197" t="s">
        <v>928</v>
      </c>
      <c r="N35" s="202" t="s">
        <v>3302</v>
      </c>
      <c r="O35" s="197" t="s">
        <v>930</v>
      </c>
      <c r="P35" s="205">
        <v>45505</v>
      </c>
      <c r="Q35" s="194" t="s">
        <v>34</v>
      </c>
      <c r="R35" s="206">
        <v>3182739.9999999995</v>
      </c>
      <c r="S35" s="207">
        <v>3182.7399999999993</v>
      </c>
      <c r="V35" s="197" t="s">
        <v>36</v>
      </c>
      <c r="W35" s="208">
        <v>8.5232294225489502E-2</v>
      </c>
      <c r="X35" s="208">
        <v>7.7307245159271851E-3</v>
      </c>
    </row>
    <row r="36" spans="1:24" s="191" customFormat="1">
      <c r="A36" s="197">
        <v>1182</v>
      </c>
      <c r="B36" s="197">
        <v>1182</v>
      </c>
      <c r="C36" s="201" t="s">
        <v>3306</v>
      </c>
      <c r="D36" s="197" t="s">
        <v>193</v>
      </c>
      <c r="E36" s="202" t="s">
        <v>30</v>
      </c>
      <c r="F36" s="197" t="s">
        <v>155</v>
      </c>
      <c r="G36" s="203">
        <v>30317</v>
      </c>
      <c r="H36" s="197" t="s">
        <v>895</v>
      </c>
      <c r="I36" s="197" t="s">
        <v>908</v>
      </c>
      <c r="J36" s="201" t="s">
        <v>3306</v>
      </c>
      <c r="K36" s="204">
        <v>4.9901966985010482E-2</v>
      </c>
      <c r="L36" s="197" t="s">
        <v>918</v>
      </c>
      <c r="M36" s="197" t="s">
        <v>928</v>
      </c>
      <c r="N36" s="202" t="s">
        <v>3302</v>
      </c>
      <c r="O36" s="197" t="s">
        <v>930</v>
      </c>
      <c r="P36" s="205">
        <v>45505</v>
      </c>
      <c r="Q36" s="194" t="s">
        <v>34</v>
      </c>
      <c r="R36" s="206">
        <v>2825319.9999999995</v>
      </c>
      <c r="S36" s="207">
        <v>2825.3199999999997</v>
      </c>
      <c r="V36" s="197" t="s">
        <v>36</v>
      </c>
      <c r="W36" s="208">
        <v>7.5660753162734004E-2</v>
      </c>
      <c r="X36" s="208">
        <v>6.8625682868658439E-3</v>
      </c>
    </row>
    <row r="37" spans="1:24" s="191" customFormat="1">
      <c r="A37" s="197">
        <v>1182</v>
      </c>
      <c r="B37" s="197">
        <v>1182</v>
      </c>
      <c r="C37" s="201" t="s">
        <v>3307</v>
      </c>
      <c r="D37" s="197" t="s">
        <v>193</v>
      </c>
      <c r="E37" s="202" t="s">
        <v>30</v>
      </c>
      <c r="F37" s="197" t="s">
        <v>155</v>
      </c>
      <c r="G37" s="203">
        <v>30317</v>
      </c>
      <c r="H37" s="197" t="s">
        <v>895</v>
      </c>
      <c r="I37" s="197" t="s">
        <v>908</v>
      </c>
      <c r="J37" s="201" t="s">
        <v>3307</v>
      </c>
      <c r="K37" s="204">
        <v>0</v>
      </c>
      <c r="L37" s="197" t="s">
        <v>918</v>
      </c>
      <c r="M37" s="197" t="s">
        <v>928</v>
      </c>
      <c r="N37" s="202" t="s">
        <v>3302</v>
      </c>
      <c r="O37" s="197" t="s">
        <v>930</v>
      </c>
      <c r="P37" s="205">
        <v>45413</v>
      </c>
      <c r="Q37" s="194" t="s">
        <v>34</v>
      </c>
      <c r="R37" s="206">
        <v>872274.99999999988</v>
      </c>
      <c r="S37" s="207">
        <v>872.27499999999986</v>
      </c>
      <c r="V37" s="197" t="s">
        <v>36</v>
      </c>
      <c r="W37" s="208">
        <v>2.3359118069819985E-2</v>
      </c>
      <c r="X37" s="208">
        <v>2.118714606637798E-3</v>
      </c>
    </row>
    <row r="38" spans="1:24" s="191" customFormat="1">
      <c r="A38" s="197">
        <v>1182</v>
      </c>
      <c r="B38" s="197">
        <v>1182</v>
      </c>
      <c r="C38" s="209" t="s">
        <v>3308</v>
      </c>
      <c r="D38" s="197" t="s">
        <v>193</v>
      </c>
      <c r="E38" s="202" t="s">
        <v>30</v>
      </c>
      <c r="F38" s="197" t="s">
        <v>155</v>
      </c>
      <c r="G38" s="203">
        <v>30317</v>
      </c>
      <c r="H38" s="197" t="s">
        <v>895</v>
      </c>
      <c r="I38" s="197" t="s">
        <v>908</v>
      </c>
      <c r="J38" s="209" t="s">
        <v>3308</v>
      </c>
      <c r="K38" s="204">
        <v>0</v>
      </c>
      <c r="L38" s="197" t="s">
        <v>918</v>
      </c>
      <c r="M38" s="197" t="s">
        <v>928</v>
      </c>
      <c r="N38" s="202" t="s">
        <v>3302</v>
      </c>
      <c r="O38" s="197" t="s">
        <v>930</v>
      </c>
      <c r="P38" s="205">
        <v>45231</v>
      </c>
      <c r="Q38" s="194" t="s">
        <v>34</v>
      </c>
      <c r="R38" s="206">
        <v>1279065.7649999999</v>
      </c>
      <c r="S38" s="207">
        <v>1279.0657649999998</v>
      </c>
      <c r="V38" s="197" t="s">
        <v>36</v>
      </c>
      <c r="W38" s="208">
        <v>3.4252785215327305E-2</v>
      </c>
      <c r="X38" s="208">
        <v>3.1067900824348392E-3</v>
      </c>
    </row>
    <row r="39" spans="1:24" s="191" customFormat="1">
      <c r="A39" s="197">
        <v>1182</v>
      </c>
      <c r="B39" s="197">
        <v>1182</v>
      </c>
      <c r="C39" s="209" t="s">
        <v>3309</v>
      </c>
      <c r="D39" s="197" t="s">
        <v>193</v>
      </c>
      <c r="E39" s="202" t="s">
        <v>30</v>
      </c>
      <c r="F39" s="197" t="s">
        <v>155</v>
      </c>
      <c r="G39" s="203">
        <v>30317</v>
      </c>
      <c r="H39" s="197" t="s">
        <v>895</v>
      </c>
      <c r="I39" s="197" t="s">
        <v>908</v>
      </c>
      <c r="J39" s="209" t="s">
        <v>3309</v>
      </c>
      <c r="K39" s="204">
        <v>0</v>
      </c>
      <c r="L39" s="197" t="s">
        <v>918</v>
      </c>
      <c r="M39" s="197" t="s">
        <v>928</v>
      </c>
      <c r="N39" s="202" t="s">
        <v>3302</v>
      </c>
      <c r="O39" s="197" t="s">
        <v>930</v>
      </c>
      <c r="P39" s="205">
        <v>45231</v>
      </c>
      <c r="Q39" s="194" t="s">
        <v>34</v>
      </c>
      <c r="R39" s="206">
        <v>3549520.9999999995</v>
      </c>
      <c r="S39" s="207">
        <v>3549.5209999999997</v>
      </c>
      <c r="V39" s="197" t="s">
        <v>36</v>
      </c>
      <c r="W39" s="208">
        <v>9.5054518506555274E-2</v>
      </c>
      <c r="X39" s="208">
        <v>8.6216181700353722E-3</v>
      </c>
    </row>
    <row r="40" spans="1:24" s="191" customFormat="1">
      <c r="A40" s="197">
        <v>1182</v>
      </c>
      <c r="B40" s="197">
        <v>1182</v>
      </c>
      <c r="C40" s="201" t="s">
        <v>3310</v>
      </c>
      <c r="D40" s="197" t="s">
        <v>193</v>
      </c>
      <c r="E40" s="202" t="s">
        <v>30</v>
      </c>
      <c r="F40" s="197" t="s">
        <v>155</v>
      </c>
      <c r="G40" s="203">
        <v>30317</v>
      </c>
      <c r="H40" s="197" t="s">
        <v>895</v>
      </c>
      <c r="I40" s="197" t="s">
        <v>908</v>
      </c>
      <c r="J40" s="201" t="s">
        <v>3310</v>
      </c>
      <c r="K40" s="204">
        <v>0</v>
      </c>
      <c r="L40" s="197" t="s">
        <v>918</v>
      </c>
      <c r="M40" s="197" t="s">
        <v>928</v>
      </c>
      <c r="N40" s="202" t="s">
        <v>3302</v>
      </c>
      <c r="O40" s="197" t="s">
        <v>930</v>
      </c>
      <c r="P40" s="205">
        <v>45413</v>
      </c>
      <c r="Q40" s="194" t="s">
        <v>34</v>
      </c>
      <c r="R40" s="206">
        <v>1042474.9999999999</v>
      </c>
      <c r="S40" s="207">
        <v>1042.4749999999999</v>
      </c>
      <c r="V40" s="197" t="s">
        <v>36</v>
      </c>
      <c r="W40" s="208">
        <v>2.7916994766370225E-2</v>
      </c>
      <c r="X40" s="208">
        <v>2.5321223347622465E-3</v>
      </c>
    </row>
    <row r="41" spans="1:24" s="191" customFormat="1">
      <c r="A41" s="197">
        <v>1182</v>
      </c>
      <c r="B41" s="197">
        <v>1182</v>
      </c>
      <c r="C41" s="201" t="s">
        <v>3311</v>
      </c>
      <c r="D41" s="197" t="s">
        <v>193</v>
      </c>
      <c r="E41" s="202" t="s">
        <v>30</v>
      </c>
      <c r="F41" s="197" t="s">
        <v>155</v>
      </c>
      <c r="G41" s="203">
        <v>30317</v>
      </c>
      <c r="H41" s="197" t="s">
        <v>895</v>
      </c>
      <c r="I41" s="197" t="s">
        <v>908</v>
      </c>
      <c r="J41" s="201" t="s">
        <v>3311</v>
      </c>
      <c r="K41" s="204">
        <v>0</v>
      </c>
      <c r="L41" s="197" t="s">
        <v>918</v>
      </c>
      <c r="M41" s="197" t="s">
        <v>928</v>
      </c>
      <c r="N41" s="202" t="s">
        <v>3302</v>
      </c>
      <c r="O41" s="197" t="s">
        <v>930</v>
      </c>
      <c r="P41" s="205">
        <v>45323</v>
      </c>
      <c r="Q41" s="194" t="s">
        <v>34</v>
      </c>
      <c r="R41" s="206">
        <v>1109959.9807999998</v>
      </c>
      <c r="S41" s="207">
        <v>1109.9599807999998</v>
      </c>
      <c r="V41" s="197" t="s">
        <v>36</v>
      </c>
      <c r="W41" s="208">
        <v>2.972421110805918E-2</v>
      </c>
      <c r="X41" s="208">
        <v>2.6960401525945028E-3</v>
      </c>
    </row>
    <row r="42" spans="1:24" s="191" customFormat="1">
      <c r="A42" s="197">
        <v>1182</v>
      </c>
      <c r="B42" s="197">
        <v>1182</v>
      </c>
      <c r="C42" s="209" t="s">
        <v>3312</v>
      </c>
      <c r="D42" s="197" t="s">
        <v>193</v>
      </c>
      <c r="E42" s="202" t="s">
        <v>30</v>
      </c>
      <c r="F42" s="197" t="s">
        <v>155</v>
      </c>
      <c r="G42" s="203">
        <v>30317</v>
      </c>
      <c r="H42" s="197" t="s">
        <v>895</v>
      </c>
      <c r="I42" s="197" t="s">
        <v>908</v>
      </c>
      <c r="J42" s="209" t="s">
        <v>3312</v>
      </c>
      <c r="K42" s="204">
        <v>0</v>
      </c>
      <c r="L42" s="197" t="s">
        <v>918</v>
      </c>
      <c r="M42" s="197" t="s">
        <v>928</v>
      </c>
      <c r="N42" s="202" t="s">
        <v>3302</v>
      </c>
      <c r="O42" s="197" t="s">
        <v>930</v>
      </c>
      <c r="P42" s="205">
        <v>45413</v>
      </c>
      <c r="Q42" s="194" t="s">
        <v>34</v>
      </c>
      <c r="R42" s="206">
        <v>2914674.9999999995</v>
      </c>
      <c r="S42" s="207">
        <v>2914.6749999999997</v>
      </c>
      <c r="V42" s="197" t="s">
        <v>36</v>
      </c>
      <c r="W42" s="208">
        <v>7.8053638428422875E-2</v>
      </c>
      <c r="X42" s="208">
        <v>7.0796073441311792E-3</v>
      </c>
    </row>
    <row r="43" spans="1:24" s="191" customFormat="1">
      <c r="A43" s="197">
        <v>1182</v>
      </c>
      <c r="B43" s="197">
        <v>1182</v>
      </c>
      <c r="C43" s="201" t="s">
        <v>3313</v>
      </c>
      <c r="D43" s="197" t="s">
        <v>193</v>
      </c>
      <c r="E43" s="202" t="s">
        <v>30</v>
      </c>
      <c r="F43" s="197" t="s">
        <v>155</v>
      </c>
      <c r="G43" s="203">
        <v>30317</v>
      </c>
      <c r="H43" s="197" t="s">
        <v>895</v>
      </c>
      <c r="I43" s="197" t="s">
        <v>908</v>
      </c>
      <c r="J43" s="201" t="s">
        <v>3313</v>
      </c>
      <c r="K43" s="204">
        <v>0</v>
      </c>
      <c r="L43" s="197" t="s">
        <v>918</v>
      </c>
      <c r="M43" s="197" t="s">
        <v>928</v>
      </c>
      <c r="N43" s="202" t="s">
        <v>3302</v>
      </c>
      <c r="O43" s="197" t="s">
        <v>930</v>
      </c>
      <c r="P43" s="205">
        <v>45413</v>
      </c>
      <c r="Q43" s="194" t="s">
        <v>34</v>
      </c>
      <c r="R43" s="206">
        <v>2093459.9999999998</v>
      </c>
      <c r="S43" s="207">
        <v>2093.4599999999996</v>
      </c>
      <c r="V43" s="197" t="s">
        <v>36</v>
      </c>
      <c r="W43" s="208">
        <v>5.6061883367567962E-2</v>
      </c>
      <c r="X43" s="208">
        <v>5.0849150559307155E-3</v>
      </c>
    </row>
    <row r="44" spans="1:24" s="191" customFormat="1">
      <c r="A44" s="197">
        <v>1182</v>
      </c>
      <c r="B44" s="197">
        <v>1182</v>
      </c>
      <c r="C44" s="209" t="s">
        <v>3314</v>
      </c>
      <c r="D44" s="197" t="s">
        <v>193</v>
      </c>
      <c r="E44" s="202" t="s">
        <v>30</v>
      </c>
      <c r="F44" s="197" t="s">
        <v>155</v>
      </c>
      <c r="G44" s="203">
        <v>30317</v>
      </c>
      <c r="H44" s="197" t="s">
        <v>895</v>
      </c>
      <c r="I44" s="197" t="s">
        <v>908</v>
      </c>
      <c r="J44" s="209" t="s">
        <v>3314</v>
      </c>
      <c r="K44" s="204">
        <v>2.9841784453670472E-2</v>
      </c>
      <c r="L44" s="197" t="s">
        <v>918</v>
      </c>
      <c r="M44" s="197" t="s">
        <v>928</v>
      </c>
      <c r="N44" s="202" t="s">
        <v>3302</v>
      </c>
      <c r="O44" s="197" t="s">
        <v>930</v>
      </c>
      <c r="P44" s="205">
        <v>45323</v>
      </c>
      <c r="Q44" s="194" t="s">
        <v>34</v>
      </c>
      <c r="R44" s="206">
        <v>5636186.1904999996</v>
      </c>
      <c r="S44" s="207">
        <v>5636.1861904999996</v>
      </c>
      <c r="V44" s="197" t="s">
        <v>36</v>
      </c>
      <c r="W44" s="208">
        <v>0.15093444004170523</v>
      </c>
      <c r="X44" s="208">
        <v>1.3690028955940041E-2</v>
      </c>
    </row>
    <row r="45" spans="1:24" s="191" customFormat="1">
      <c r="A45" s="197">
        <v>1182</v>
      </c>
      <c r="B45" s="197">
        <v>1182</v>
      </c>
      <c r="C45" s="201" t="s">
        <v>3315</v>
      </c>
      <c r="D45" s="197" t="s">
        <v>193</v>
      </c>
      <c r="E45" s="202" t="s">
        <v>30</v>
      </c>
      <c r="F45" s="197" t="s">
        <v>155</v>
      </c>
      <c r="G45" s="203">
        <v>30317</v>
      </c>
      <c r="H45" s="197" t="s">
        <v>895</v>
      </c>
      <c r="I45" s="197" t="s">
        <v>908</v>
      </c>
      <c r="J45" s="201" t="s">
        <v>3315</v>
      </c>
      <c r="K45" s="204">
        <v>0.15618074959051942</v>
      </c>
      <c r="L45" s="197" t="s">
        <v>918</v>
      </c>
      <c r="M45" s="197" t="s">
        <v>928</v>
      </c>
      <c r="N45" s="202" t="s">
        <v>3302</v>
      </c>
      <c r="O45" s="197" t="s">
        <v>930</v>
      </c>
      <c r="P45" s="205">
        <v>45505</v>
      </c>
      <c r="Q45" s="194" t="s">
        <v>34</v>
      </c>
      <c r="R45" s="206">
        <v>3063599.9999999995</v>
      </c>
      <c r="S45" s="207">
        <v>3063.5999999999995</v>
      </c>
      <c r="V45" s="197" t="s">
        <v>36</v>
      </c>
      <c r="W45" s="208">
        <v>8.2041780537904341E-2</v>
      </c>
      <c r="X45" s="208">
        <v>7.4413391062400714E-3</v>
      </c>
    </row>
    <row r="46" spans="1:24" s="191" customFormat="1">
      <c r="A46" s="197">
        <v>1182</v>
      </c>
      <c r="B46" s="197">
        <v>1182</v>
      </c>
      <c r="C46" s="209" t="s">
        <v>3316</v>
      </c>
      <c r="D46" s="197" t="s">
        <v>193</v>
      </c>
      <c r="E46" s="202" t="s">
        <v>30</v>
      </c>
      <c r="F46" s="197" t="s">
        <v>155</v>
      </c>
      <c r="G46" s="203">
        <v>30317</v>
      </c>
      <c r="H46" s="197" t="s">
        <v>895</v>
      </c>
      <c r="I46" s="197" t="s">
        <v>908</v>
      </c>
      <c r="J46" s="209" t="s">
        <v>3316</v>
      </c>
      <c r="K46" s="204">
        <v>4.1372761801410807E-2</v>
      </c>
      <c r="L46" s="197" t="s">
        <v>918</v>
      </c>
      <c r="M46" s="197" t="s">
        <v>928</v>
      </c>
      <c r="N46" s="202" t="s">
        <v>3302</v>
      </c>
      <c r="O46" s="197" t="s">
        <v>930</v>
      </c>
      <c r="P46" s="205">
        <v>45505</v>
      </c>
      <c r="Q46" s="194" t="s">
        <v>34</v>
      </c>
      <c r="R46" s="206">
        <v>6533126.9999999991</v>
      </c>
      <c r="S46" s="207">
        <v>6533.1269999999995</v>
      </c>
      <c r="V46" s="197" t="s">
        <v>36</v>
      </c>
      <c r="W46" s="208">
        <v>0.174954096997081</v>
      </c>
      <c r="X46" s="208">
        <v>1.5868655644056952E-2</v>
      </c>
    </row>
    <row r="47" spans="1:24" s="191" customFormat="1">
      <c r="A47" s="197">
        <v>12904</v>
      </c>
      <c r="B47" s="197">
        <v>12905</v>
      </c>
      <c r="C47" s="201" t="s">
        <v>3301</v>
      </c>
      <c r="D47" s="197" t="s">
        <v>193</v>
      </c>
      <c r="E47" s="202" t="s">
        <v>30</v>
      </c>
      <c r="F47" s="197" t="s">
        <v>155</v>
      </c>
      <c r="G47" s="203">
        <v>30317</v>
      </c>
      <c r="H47" s="197" t="s">
        <v>895</v>
      </c>
      <c r="I47" s="197" t="s">
        <v>908</v>
      </c>
      <c r="J47" s="201" t="s">
        <v>3301</v>
      </c>
      <c r="K47" s="204">
        <v>3.0927835051546282E-2</v>
      </c>
      <c r="L47" s="197" t="s">
        <v>918</v>
      </c>
      <c r="M47" s="197" t="s">
        <v>928</v>
      </c>
      <c r="N47" s="202" t="s">
        <v>3302</v>
      </c>
      <c r="O47" s="197" t="s">
        <v>930</v>
      </c>
      <c r="P47" s="205">
        <v>45505</v>
      </c>
      <c r="Q47" s="194" t="s">
        <v>34</v>
      </c>
      <c r="R47" s="206">
        <v>11954</v>
      </c>
      <c r="S47" s="207">
        <v>11.954000000000001</v>
      </c>
      <c r="V47" s="197" t="s">
        <v>36</v>
      </c>
      <c r="W47" s="208">
        <v>6.3354486082048351E-3</v>
      </c>
      <c r="X47" s="208">
        <v>3.5335079635297694E-4</v>
      </c>
    </row>
    <row r="48" spans="1:24" s="191" customFormat="1">
      <c r="A48" s="197">
        <v>12904</v>
      </c>
      <c r="B48" s="197">
        <v>12905</v>
      </c>
      <c r="C48" s="201" t="s">
        <v>3303</v>
      </c>
      <c r="D48" s="197" t="s">
        <v>193</v>
      </c>
      <c r="E48" s="202" t="s">
        <v>30</v>
      </c>
      <c r="F48" s="197" t="s">
        <v>155</v>
      </c>
      <c r="G48" s="203">
        <v>30317</v>
      </c>
      <c r="H48" s="197" t="s">
        <v>897</v>
      </c>
      <c r="I48" s="197" t="s">
        <v>908</v>
      </c>
      <c r="J48" s="201" t="s">
        <v>3303</v>
      </c>
      <c r="K48" s="204">
        <v>3.0927835051546282E-2</v>
      </c>
      <c r="L48" s="197" t="s">
        <v>918</v>
      </c>
      <c r="M48" s="197" t="s">
        <v>928</v>
      </c>
      <c r="N48" s="202" t="s">
        <v>3302</v>
      </c>
      <c r="O48" s="197" t="s">
        <v>930</v>
      </c>
      <c r="P48" s="205">
        <v>45505</v>
      </c>
      <c r="Q48" s="194" t="s">
        <v>34</v>
      </c>
      <c r="R48" s="206">
        <v>10965</v>
      </c>
      <c r="S48" s="207">
        <v>10.965</v>
      </c>
      <c r="V48" s="197" t="s">
        <v>36</v>
      </c>
      <c r="W48" s="208">
        <v>5.8112927881015571E-3</v>
      </c>
      <c r="X48" s="208">
        <v>3.2411673766190335E-4</v>
      </c>
    </row>
    <row r="49" spans="1:24" s="191" customFormat="1">
      <c r="A49" s="197">
        <v>12904</v>
      </c>
      <c r="B49" s="197">
        <v>12905</v>
      </c>
      <c r="C49" s="201" t="s">
        <v>3304</v>
      </c>
      <c r="D49" s="197" t="s">
        <v>193</v>
      </c>
      <c r="E49" s="202" t="s">
        <v>30</v>
      </c>
      <c r="F49" s="197" t="s">
        <v>155</v>
      </c>
      <c r="G49" s="203">
        <v>30317</v>
      </c>
      <c r="H49" s="197" t="s">
        <v>895</v>
      </c>
      <c r="I49" s="197" t="s">
        <v>908</v>
      </c>
      <c r="J49" s="201" t="s">
        <v>3304</v>
      </c>
      <c r="K49" s="204">
        <v>0</v>
      </c>
      <c r="L49" s="197" t="s">
        <v>918</v>
      </c>
      <c r="M49" s="197" t="s">
        <v>928</v>
      </c>
      <c r="N49" s="202" t="s">
        <v>3302</v>
      </c>
      <c r="O49" s="197" t="s">
        <v>930</v>
      </c>
      <c r="P49" s="205">
        <v>45323</v>
      </c>
      <c r="Q49" s="194" t="s">
        <v>34</v>
      </c>
      <c r="R49" s="206">
        <v>140771.25</v>
      </c>
      <c r="S49" s="207">
        <v>140.77125000000001</v>
      </c>
      <c r="V49" s="197" t="s">
        <v>36</v>
      </c>
      <c r="W49" s="208">
        <v>7.4606744176656761E-2</v>
      </c>
      <c r="X49" s="208">
        <v>4.1610869408653176E-3</v>
      </c>
    </row>
    <row r="50" spans="1:24" s="191" customFormat="1">
      <c r="A50" s="197">
        <v>12904</v>
      </c>
      <c r="B50" s="197">
        <v>12905</v>
      </c>
      <c r="C50" s="201" t="s">
        <v>3305</v>
      </c>
      <c r="D50" s="197" t="s">
        <v>193</v>
      </c>
      <c r="E50" s="202" t="s">
        <v>30</v>
      </c>
      <c r="F50" s="197" t="s">
        <v>155</v>
      </c>
      <c r="G50" s="203">
        <v>30317</v>
      </c>
      <c r="H50" s="197" t="s">
        <v>895</v>
      </c>
      <c r="I50" s="197" t="s">
        <v>908</v>
      </c>
      <c r="J50" s="201" t="s">
        <v>3305</v>
      </c>
      <c r="K50" s="204">
        <v>5.0591308744627694E-2</v>
      </c>
      <c r="L50" s="197" t="s">
        <v>918</v>
      </c>
      <c r="M50" s="197" t="s">
        <v>928</v>
      </c>
      <c r="N50" s="202" t="s">
        <v>3302</v>
      </c>
      <c r="O50" s="197" t="s">
        <v>930</v>
      </c>
      <c r="P50" s="205">
        <v>45505</v>
      </c>
      <c r="Q50" s="194" t="s">
        <v>34</v>
      </c>
      <c r="R50" s="206">
        <v>160820</v>
      </c>
      <c r="S50" s="207">
        <v>160.82</v>
      </c>
      <c r="V50" s="197" t="s">
        <v>36</v>
      </c>
      <c r="W50" s="208">
        <v>8.5232294225489502E-2</v>
      </c>
      <c r="X50" s="208">
        <v>4.7537121523745819E-3</v>
      </c>
    </row>
    <row r="51" spans="1:24" s="191" customFormat="1">
      <c r="A51" s="197">
        <v>12904</v>
      </c>
      <c r="B51" s="197">
        <v>12905</v>
      </c>
      <c r="C51" s="201" t="s">
        <v>3306</v>
      </c>
      <c r="D51" s="197" t="s">
        <v>193</v>
      </c>
      <c r="E51" s="202" t="s">
        <v>30</v>
      </c>
      <c r="F51" s="197" t="s">
        <v>155</v>
      </c>
      <c r="G51" s="203">
        <v>30317</v>
      </c>
      <c r="H51" s="197" t="s">
        <v>895</v>
      </c>
      <c r="I51" s="197" t="s">
        <v>908</v>
      </c>
      <c r="J51" s="201" t="s">
        <v>3306</v>
      </c>
      <c r="K51" s="204">
        <v>4.9901966985010482E-2</v>
      </c>
      <c r="L51" s="197" t="s">
        <v>918</v>
      </c>
      <c r="M51" s="197" t="s">
        <v>928</v>
      </c>
      <c r="N51" s="202" t="s">
        <v>3302</v>
      </c>
      <c r="O51" s="197" t="s">
        <v>930</v>
      </c>
      <c r="P51" s="205">
        <v>45505</v>
      </c>
      <c r="Q51" s="194" t="s">
        <v>34</v>
      </c>
      <c r="R51" s="206">
        <v>142760</v>
      </c>
      <c r="S51" s="207">
        <v>142.76</v>
      </c>
      <c r="V51" s="197" t="s">
        <v>36</v>
      </c>
      <c r="W51" s="208">
        <v>7.5660753162734004E-2</v>
      </c>
      <c r="X51" s="208">
        <v>4.219872819754977E-3</v>
      </c>
    </row>
    <row r="52" spans="1:24" s="191" customFormat="1">
      <c r="A52" s="197">
        <v>12904</v>
      </c>
      <c r="B52" s="197">
        <v>12905</v>
      </c>
      <c r="C52" s="201" t="s">
        <v>3307</v>
      </c>
      <c r="D52" s="197" t="s">
        <v>193</v>
      </c>
      <c r="E52" s="202" t="s">
        <v>30</v>
      </c>
      <c r="F52" s="197" t="s">
        <v>155</v>
      </c>
      <c r="G52" s="203">
        <v>30317</v>
      </c>
      <c r="H52" s="197" t="s">
        <v>895</v>
      </c>
      <c r="I52" s="197" t="s">
        <v>908</v>
      </c>
      <c r="J52" s="201" t="s">
        <v>3307</v>
      </c>
      <c r="K52" s="204">
        <v>0</v>
      </c>
      <c r="L52" s="197" t="s">
        <v>918</v>
      </c>
      <c r="M52" s="197" t="s">
        <v>928</v>
      </c>
      <c r="N52" s="202" t="s">
        <v>3302</v>
      </c>
      <c r="O52" s="197" t="s">
        <v>930</v>
      </c>
      <c r="P52" s="205">
        <v>45413</v>
      </c>
      <c r="Q52" s="194" t="s">
        <v>34</v>
      </c>
      <c r="R52" s="206">
        <v>44075</v>
      </c>
      <c r="S52" s="207">
        <v>44.075000000000003</v>
      </c>
      <c r="V52" s="197" t="s">
        <v>36</v>
      </c>
      <c r="W52" s="208">
        <v>2.3359118069819985E-2</v>
      </c>
      <c r="X52" s="208">
        <v>1.3028221807978467E-3</v>
      </c>
    </row>
    <row r="53" spans="1:24" s="191" customFormat="1">
      <c r="A53" s="197">
        <v>12904</v>
      </c>
      <c r="B53" s="197">
        <v>12905</v>
      </c>
      <c r="C53" s="209" t="s">
        <v>3308</v>
      </c>
      <c r="D53" s="197" t="s">
        <v>193</v>
      </c>
      <c r="E53" s="202" t="s">
        <v>30</v>
      </c>
      <c r="F53" s="197" t="s">
        <v>155</v>
      </c>
      <c r="G53" s="203">
        <v>30317</v>
      </c>
      <c r="H53" s="197" t="s">
        <v>895</v>
      </c>
      <c r="I53" s="197" t="s">
        <v>908</v>
      </c>
      <c r="J53" s="209" t="s">
        <v>3308</v>
      </c>
      <c r="K53" s="204">
        <v>0</v>
      </c>
      <c r="L53" s="197" t="s">
        <v>918</v>
      </c>
      <c r="M53" s="197" t="s">
        <v>928</v>
      </c>
      <c r="N53" s="202" t="s">
        <v>3302</v>
      </c>
      <c r="O53" s="197" t="s">
        <v>930</v>
      </c>
      <c r="P53" s="205">
        <v>45231</v>
      </c>
      <c r="Q53" s="194" t="s">
        <v>34</v>
      </c>
      <c r="R53" s="206">
        <v>64629.644999999997</v>
      </c>
      <c r="S53" s="207">
        <v>64.629644999999996</v>
      </c>
      <c r="V53" s="197" t="s">
        <v>36</v>
      </c>
      <c r="W53" s="208">
        <v>3.4252785215327299E-2</v>
      </c>
      <c r="X53" s="208">
        <v>1.9104012488506102E-3</v>
      </c>
    </row>
    <row r="54" spans="1:24" s="191" customFormat="1">
      <c r="A54" s="197">
        <v>12904</v>
      </c>
      <c r="B54" s="197">
        <v>12905</v>
      </c>
      <c r="C54" s="209" t="s">
        <v>3309</v>
      </c>
      <c r="D54" s="197" t="s">
        <v>193</v>
      </c>
      <c r="E54" s="202" t="s">
        <v>30</v>
      </c>
      <c r="F54" s="197" t="s">
        <v>155</v>
      </c>
      <c r="G54" s="203">
        <v>30317</v>
      </c>
      <c r="H54" s="197" t="s">
        <v>895</v>
      </c>
      <c r="I54" s="197" t="s">
        <v>908</v>
      </c>
      <c r="J54" s="209" t="s">
        <v>3309</v>
      </c>
      <c r="K54" s="204">
        <v>0</v>
      </c>
      <c r="L54" s="197" t="s">
        <v>918</v>
      </c>
      <c r="M54" s="197" t="s">
        <v>928</v>
      </c>
      <c r="N54" s="202" t="s">
        <v>3302</v>
      </c>
      <c r="O54" s="197" t="s">
        <v>930</v>
      </c>
      <c r="P54" s="205">
        <v>45231</v>
      </c>
      <c r="Q54" s="194" t="s">
        <v>34</v>
      </c>
      <c r="R54" s="206">
        <v>179353</v>
      </c>
      <c r="S54" s="207">
        <v>179.35300000000001</v>
      </c>
      <c r="V54" s="197" t="s">
        <v>36</v>
      </c>
      <c r="W54" s="208">
        <v>9.5054518506555274E-2</v>
      </c>
      <c r="X54" s="208">
        <v>5.3015329913247006E-3</v>
      </c>
    </row>
    <row r="55" spans="1:24" s="191" customFormat="1">
      <c r="A55" s="197">
        <v>12904</v>
      </c>
      <c r="B55" s="197">
        <v>12905</v>
      </c>
      <c r="C55" s="201" t="s">
        <v>3310</v>
      </c>
      <c r="D55" s="197" t="s">
        <v>193</v>
      </c>
      <c r="E55" s="202" t="s">
        <v>30</v>
      </c>
      <c r="F55" s="197" t="s">
        <v>155</v>
      </c>
      <c r="G55" s="203">
        <v>30317</v>
      </c>
      <c r="H55" s="197" t="s">
        <v>895</v>
      </c>
      <c r="I55" s="197" t="s">
        <v>908</v>
      </c>
      <c r="J55" s="201" t="s">
        <v>3310</v>
      </c>
      <c r="K55" s="204">
        <v>0</v>
      </c>
      <c r="L55" s="197" t="s">
        <v>918</v>
      </c>
      <c r="M55" s="197" t="s">
        <v>928</v>
      </c>
      <c r="N55" s="202" t="s">
        <v>3302</v>
      </c>
      <c r="O55" s="197" t="s">
        <v>930</v>
      </c>
      <c r="P55" s="205">
        <v>45413</v>
      </c>
      <c r="Q55" s="194" t="s">
        <v>34</v>
      </c>
      <c r="R55" s="206">
        <v>52675</v>
      </c>
      <c r="S55" s="207">
        <v>52.674999999999997</v>
      </c>
      <c r="V55" s="197" t="s">
        <v>36</v>
      </c>
      <c r="W55" s="208">
        <v>2.7916994766370225E-2</v>
      </c>
      <c r="X55" s="208">
        <v>1.5570313868071826E-3</v>
      </c>
    </row>
    <row r="56" spans="1:24" s="191" customFormat="1">
      <c r="A56" s="197">
        <v>12904</v>
      </c>
      <c r="B56" s="197">
        <v>12905</v>
      </c>
      <c r="C56" s="201" t="s">
        <v>3311</v>
      </c>
      <c r="D56" s="197" t="s">
        <v>193</v>
      </c>
      <c r="E56" s="202" t="s">
        <v>30</v>
      </c>
      <c r="F56" s="197" t="s">
        <v>155</v>
      </c>
      <c r="G56" s="203">
        <v>30317</v>
      </c>
      <c r="H56" s="197" t="s">
        <v>895</v>
      </c>
      <c r="I56" s="197" t="s">
        <v>908</v>
      </c>
      <c r="J56" s="201" t="s">
        <v>3311</v>
      </c>
      <c r="K56" s="204">
        <v>0</v>
      </c>
      <c r="L56" s="197" t="s">
        <v>918</v>
      </c>
      <c r="M56" s="197" t="s">
        <v>928</v>
      </c>
      <c r="N56" s="202" t="s">
        <v>3302</v>
      </c>
      <c r="O56" s="197" t="s">
        <v>930</v>
      </c>
      <c r="P56" s="205">
        <v>45323</v>
      </c>
      <c r="Q56" s="194" t="s">
        <v>34</v>
      </c>
      <c r="R56" s="206">
        <v>56084.934399999998</v>
      </c>
      <c r="S56" s="207">
        <v>56.084934400000002</v>
      </c>
      <c r="V56" s="197" t="s">
        <v>36</v>
      </c>
      <c r="W56" s="208">
        <v>2.972421110805918E-2</v>
      </c>
      <c r="X56" s="208">
        <v>1.6578263538267082E-3</v>
      </c>
    </row>
    <row r="57" spans="1:24" s="191" customFormat="1">
      <c r="A57" s="197">
        <v>12904</v>
      </c>
      <c r="B57" s="197">
        <v>12905</v>
      </c>
      <c r="C57" s="209" t="s">
        <v>3312</v>
      </c>
      <c r="D57" s="197" t="s">
        <v>193</v>
      </c>
      <c r="E57" s="202" t="s">
        <v>30</v>
      </c>
      <c r="F57" s="197" t="s">
        <v>155</v>
      </c>
      <c r="G57" s="203">
        <v>30317</v>
      </c>
      <c r="H57" s="197" t="s">
        <v>895</v>
      </c>
      <c r="I57" s="197" t="s">
        <v>908</v>
      </c>
      <c r="J57" s="209" t="s">
        <v>3312</v>
      </c>
      <c r="K57" s="204">
        <v>0</v>
      </c>
      <c r="L57" s="197" t="s">
        <v>918</v>
      </c>
      <c r="M57" s="197" t="s">
        <v>928</v>
      </c>
      <c r="N57" s="202" t="s">
        <v>3302</v>
      </c>
      <c r="O57" s="197" t="s">
        <v>930</v>
      </c>
      <c r="P57" s="205">
        <v>45413</v>
      </c>
      <c r="Q57" s="194" t="s">
        <v>34</v>
      </c>
      <c r="R57" s="206">
        <v>147275</v>
      </c>
      <c r="S57" s="207">
        <v>147.27500000000001</v>
      </c>
      <c r="V57" s="197" t="s">
        <v>36</v>
      </c>
      <c r="W57" s="208">
        <v>7.8053638428422875E-2</v>
      </c>
      <c r="X57" s="208">
        <v>4.3533326529098778E-3</v>
      </c>
    </row>
    <row r="58" spans="1:24" s="191" customFormat="1">
      <c r="A58" s="197">
        <v>12904</v>
      </c>
      <c r="B58" s="197">
        <v>12905</v>
      </c>
      <c r="C58" s="201" t="s">
        <v>3313</v>
      </c>
      <c r="D58" s="197" t="s">
        <v>193</v>
      </c>
      <c r="E58" s="202" t="s">
        <v>30</v>
      </c>
      <c r="F58" s="197" t="s">
        <v>155</v>
      </c>
      <c r="G58" s="203">
        <v>30317</v>
      </c>
      <c r="H58" s="197" t="s">
        <v>895</v>
      </c>
      <c r="I58" s="197" t="s">
        <v>908</v>
      </c>
      <c r="J58" s="201" t="s">
        <v>3313</v>
      </c>
      <c r="K58" s="204">
        <v>0</v>
      </c>
      <c r="L58" s="197" t="s">
        <v>918</v>
      </c>
      <c r="M58" s="197" t="s">
        <v>928</v>
      </c>
      <c r="N58" s="202" t="s">
        <v>3302</v>
      </c>
      <c r="O58" s="197" t="s">
        <v>930</v>
      </c>
      <c r="P58" s="205">
        <v>45413</v>
      </c>
      <c r="Q58" s="194" t="s">
        <v>34</v>
      </c>
      <c r="R58" s="206">
        <v>105780</v>
      </c>
      <c r="S58" s="207">
        <v>105.78</v>
      </c>
      <c r="V58" s="197" t="s">
        <v>36</v>
      </c>
      <c r="W58" s="208">
        <v>5.6061883367567962E-2</v>
      </c>
      <c r="X58" s="208">
        <v>3.1267732339148322E-3</v>
      </c>
    </row>
    <row r="59" spans="1:24" s="191" customFormat="1">
      <c r="A59" s="197">
        <v>12904</v>
      </c>
      <c r="B59" s="197">
        <v>12905</v>
      </c>
      <c r="C59" s="209" t="s">
        <v>3314</v>
      </c>
      <c r="D59" s="197" t="s">
        <v>193</v>
      </c>
      <c r="E59" s="202" t="s">
        <v>30</v>
      </c>
      <c r="F59" s="197" t="s">
        <v>155</v>
      </c>
      <c r="G59" s="203">
        <v>30317</v>
      </c>
      <c r="H59" s="197" t="s">
        <v>895</v>
      </c>
      <c r="I59" s="197" t="s">
        <v>908</v>
      </c>
      <c r="J59" s="209" t="s">
        <v>3314</v>
      </c>
      <c r="K59" s="204">
        <v>2.9841784453670472E-2</v>
      </c>
      <c r="L59" s="197" t="s">
        <v>918</v>
      </c>
      <c r="M59" s="197" t="s">
        <v>928</v>
      </c>
      <c r="N59" s="202" t="s">
        <v>3302</v>
      </c>
      <c r="O59" s="197" t="s">
        <v>930</v>
      </c>
      <c r="P59" s="205">
        <v>45323</v>
      </c>
      <c r="Q59" s="194" t="s">
        <v>34</v>
      </c>
      <c r="R59" s="206">
        <v>284789.66649999999</v>
      </c>
      <c r="S59" s="207">
        <v>284.78966650000001</v>
      </c>
      <c r="V59" s="197" t="s">
        <v>36</v>
      </c>
      <c r="W59" s="208">
        <v>0.1509344400417052</v>
      </c>
      <c r="X59" s="208">
        <v>8.4181575582126245E-3</v>
      </c>
    </row>
    <row r="60" spans="1:24" s="191" customFormat="1">
      <c r="A60" s="197">
        <v>12904</v>
      </c>
      <c r="B60" s="197">
        <v>12905</v>
      </c>
      <c r="C60" s="201" t="s">
        <v>3315</v>
      </c>
      <c r="D60" s="197" t="s">
        <v>193</v>
      </c>
      <c r="E60" s="202" t="s">
        <v>30</v>
      </c>
      <c r="F60" s="197" t="s">
        <v>155</v>
      </c>
      <c r="G60" s="203">
        <v>30317</v>
      </c>
      <c r="H60" s="197" t="s">
        <v>895</v>
      </c>
      <c r="I60" s="197" t="s">
        <v>908</v>
      </c>
      <c r="J60" s="201" t="s">
        <v>3315</v>
      </c>
      <c r="K60" s="204">
        <v>0.15618074959051942</v>
      </c>
      <c r="L60" s="197" t="s">
        <v>918</v>
      </c>
      <c r="M60" s="197" t="s">
        <v>928</v>
      </c>
      <c r="N60" s="202" t="s">
        <v>3302</v>
      </c>
      <c r="O60" s="197" t="s">
        <v>930</v>
      </c>
      <c r="P60" s="205">
        <v>45505</v>
      </c>
      <c r="Q60" s="194" t="s">
        <v>34</v>
      </c>
      <c r="R60" s="206">
        <v>154800</v>
      </c>
      <c r="S60" s="207">
        <v>154.80000000000001</v>
      </c>
      <c r="V60" s="197" t="s">
        <v>36</v>
      </c>
      <c r="W60" s="208">
        <v>8.2041780537904341E-2</v>
      </c>
      <c r="X60" s="208">
        <v>4.5757657081680466E-3</v>
      </c>
    </row>
    <row r="61" spans="1:24" s="191" customFormat="1">
      <c r="A61" s="197">
        <v>12904</v>
      </c>
      <c r="B61" s="197">
        <v>12905</v>
      </c>
      <c r="C61" s="209" t="s">
        <v>3316</v>
      </c>
      <c r="D61" s="197" t="s">
        <v>193</v>
      </c>
      <c r="E61" s="202" t="s">
        <v>30</v>
      </c>
      <c r="F61" s="197" t="s">
        <v>155</v>
      </c>
      <c r="G61" s="203">
        <v>30317</v>
      </c>
      <c r="H61" s="197" t="s">
        <v>895</v>
      </c>
      <c r="I61" s="197" t="s">
        <v>908</v>
      </c>
      <c r="J61" s="209" t="s">
        <v>3316</v>
      </c>
      <c r="K61" s="204">
        <v>4.1372761801410807E-2</v>
      </c>
      <c r="L61" s="197" t="s">
        <v>918</v>
      </c>
      <c r="M61" s="197" t="s">
        <v>928</v>
      </c>
      <c r="N61" s="202" t="s">
        <v>3302</v>
      </c>
      <c r="O61" s="197" t="s">
        <v>930</v>
      </c>
      <c r="P61" s="205">
        <v>45505</v>
      </c>
      <c r="Q61" s="194" t="s">
        <v>34</v>
      </c>
      <c r="R61" s="206">
        <v>330111</v>
      </c>
      <c r="S61" s="207">
        <v>330.11099999999999</v>
      </c>
      <c r="V61" s="197" t="s">
        <v>36</v>
      </c>
      <c r="W61" s="208">
        <v>0.174954096997081</v>
      </c>
      <c r="X61" s="208">
        <v>9.7578203726683601E-3</v>
      </c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 xr:uid="{1C555AB3-C7B7-4012-B8E0-886695FA829A}">
      <formula1>Holding_interest</formula1>
    </dataValidation>
    <dataValidation type="list" allowBlank="1" showInputMessage="1" showErrorMessage="1" sqref="V2:V20" xr:uid="{4A3CEE02-8157-4071-8178-D4CF2E977851}">
      <formula1>In_the_books</formula1>
    </dataValidation>
    <dataValidation type="list" allowBlank="1" showInputMessage="1" showErrorMessage="1" sqref="L2:L20" xr:uid="{F2FF04FC-458A-43A5-AA4D-598440B9878C}">
      <formula1>Valuation_Method</formula1>
    </dataValidation>
    <dataValidation type="list" allowBlank="1" showInputMessage="1" showErrorMessage="1" sqref="O2:O20" xr:uid="{52D28237-A122-455D-9F1F-DB064FAB7DAF}">
      <formula1>Dependence_Independence</formula1>
    </dataValidation>
    <dataValidation type="list" allowBlank="1" showInputMessage="1" showErrorMessage="1" sqref="E2:E21" xr:uid="{7D9AF62C-2D52-48EE-9B76-FC4B8812B9BA}">
      <formula1>Country_list</formula1>
    </dataValidation>
    <dataValidation type="list" allowBlank="1" showInputMessage="1" showErrorMessage="1" sqref="I2:I20" xr:uid="{6D76914D-935C-421D-B003-1746334DC0B4}">
      <formula1>real_estate_lifestage</formula1>
    </dataValidation>
    <dataValidation type="list" allowBlank="1" showInputMessage="1" showErrorMessage="1" sqref="M2:M20" xr:uid="{C0591834-32A5-475B-A7BC-D1D7BB9DB674}">
      <formula1>Valuation_Realestate</formula1>
    </dataValidation>
    <dataValidation type="list" allowBlank="1" showInputMessage="1" showErrorMessage="1" sqref="H2:H20" xr:uid="{431C61A3-A2E5-4634-B066-24C9B52FEC6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9F26BD0-2E86-4981-82FB-36379B490D87}">
          <x14:formula1>
            <xm:f>'[HU_510960586_gm_0324_638645143651801648.xlsx]אפשרויות בחירה'!#REF!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3" width="11.625" style="2" customWidth="1"/>
    <col min="24" max="24" width="9" style="2" customWidth="1"/>
    <col min="25" max="16384" width="9" style="2"/>
  </cols>
  <sheetData>
    <row r="1" spans="1:23" ht="66.75" customHeight="1">
      <c r="A1" s="19" t="s">
        <v>0</v>
      </c>
      <c r="B1" s="19" t="s">
        <v>1</v>
      </c>
      <c r="C1" s="19" t="s">
        <v>2</v>
      </c>
      <c r="D1" s="19" t="s">
        <v>173</v>
      </c>
      <c r="E1" s="19" t="s">
        <v>174</v>
      </c>
      <c r="F1" s="19" t="s">
        <v>3</v>
      </c>
      <c r="G1" s="19" t="s">
        <v>4</v>
      </c>
      <c r="H1" s="19" t="s">
        <v>175</v>
      </c>
      <c r="I1" s="19" t="s">
        <v>5</v>
      </c>
      <c r="J1" s="19" t="s">
        <v>6</v>
      </c>
      <c r="K1" s="19" t="s">
        <v>7</v>
      </c>
      <c r="L1" s="19" t="s">
        <v>176</v>
      </c>
      <c r="M1" s="19" t="s">
        <v>141</v>
      </c>
      <c r="N1" s="19" t="s">
        <v>11</v>
      </c>
      <c r="O1" s="19" t="s">
        <v>177</v>
      </c>
      <c r="P1" s="19" t="s">
        <v>178</v>
      </c>
      <c r="Q1" s="19" t="s">
        <v>150</v>
      </c>
      <c r="R1" s="19" t="s">
        <v>179</v>
      </c>
      <c r="S1" s="19" t="s">
        <v>180</v>
      </c>
      <c r="T1" s="19" t="s">
        <v>181</v>
      </c>
      <c r="U1" s="19" t="s">
        <v>20</v>
      </c>
      <c r="V1" s="19" t="s">
        <v>24</v>
      </c>
      <c r="W1" s="19" t="s">
        <v>25</v>
      </c>
    </row>
    <row r="2" spans="1:23">
      <c r="A2" s="20"/>
      <c r="B2" s="20"/>
      <c r="C2" s="20"/>
      <c r="D2" s="20"/>
      <c r="E2" s="18"/>
      <c r="F2" s="20"/>
      <c r="G2" s="20"/>
      <c r="H2" s="20"/>
      <c r="I2" s="20"/>
      <c r="J2" s="18"/>
      <c r="K2" s="18"/>
      <c r="L2" s="20"/>
      <c r="M2" s="20"/>
      <c r="N2" s="18"/>
      <c r="O2" s="20"/>
      <c r="P2" s="20"/>
      <c r="Q2" s="20"/>
      <c r="R2" s="20"/>
      <c r="S2" s="20"/>
      <c r="T2" s="20"/>
      <c r="U2" s="20"/>
      <c r="V2" s="20"/>
      <c r="W2" s="20"/>
    </row>
    <row r="3" spans="1:23">
      <c r="A3" s="20"/>
      <c r="B3" s="20"/>
      <c r="C3" s="20"/>
      <c r="D3" s="20"/>
      <c r="E3" s="18"/>
      <c r="F3" s="20"/>
      <c r="G3" s="20"/>
      <c r="H3" s="20"/>
      <c r="I3" s="20"/>
      <c r="J3" s="18"/>
      <c r="K3" s="18"/>
      <c r="L3" s="20"/>
      <c r="M3" s="20"/>
      <c r="N3" s="18"/>
      <c r="O3" s="20"/>
      <c r="P3" s="20"/>
      <c r="Q3" s="20"/>
      <c r="R3" s="20"/>
      <c r="S3" s="20"/>
      <c r="T3" s="20"/>
      <c r="U3" s="20"/>
      <c r="V3" s="20"/>
      <c r="W3" s="20"/>
    </row>
    <row r="4" spans="1:23">
      <c r="A4" s="20"/>
      <c r="B4" s="20"/>
      <c r="C4" s="20"/>
      <c r="D4" s="20"/>
      <c r="E4" s="18"/>
      <c r="F4" s="20"/>
      <c r="G4" s="20"/>
      <c r="H4" s="20"/>
      <c r="I4" s="20"/>
      <c r="J4" s="18"/>
      <c r="K4" s="18"/>
      <c r="L4" s="20"/>
      <c r="M4" s="20"/>
      <c r="N4" s="18"/>
      <c r="O4" s="20"/>
      <c r="P4" s="20"/>
      <c r="Q4" s="20"/>
      <c r="R4" s="20"/>
      <c r="S4" s="20"/>
      <c r="T4" s="20"/>
      <c r="U4" s="20"/>
      <c r="V4" s="20"/>
      <c r="W4" s="20"/>
    </row>
    <row r="5" spans="1:23">
      <c r="A5" s="20"/>
      <c r="B5" s="20"/>
      <c r="C5" s="20"/>
      <c r="D5" s="20"/>
      <c r="E5" s="18"/>
      <c r="F5" s="20"/>
      <c r="G5" s="20"/>
      <c r="H5" s="20"/>
      <c r="I5" s="20"/>
      <c r="J5" s="18"/>
      <c r="K5" s="18"/>
      <c r="L5" s="20"/>
      <c r="M5" s="20"/>
      <c r="N5" s="18"/>
      <c r="O5" s="20"/>
      <c r="P5" s="20"/>
      <c r="Q5" s="20"/>
      <c r="R5" s="20"/>
      <c r="S5" s="20"/>
      <c r="T5" s="20"/>
      <c r="U5" s="20"/>
      <c r="V5" s="20"/>
      <c r="W5" s="20"/>
    </row>
    <row r="6" spans="1:23">
      <c r="A6" s="20"/>
      <c r="B6" s="20"/>
      <c r="C6" s="20"/>
      <c r="D6" s="20"/>
      <c r="E6" s="18"/>
      <c r="F6" s="20"/>
      <c r="G6" s="20"/>
      <c r="H6" s="20"/>
      <c r="I6" s="20"/>
      <c r="J6" s="18"/>
      <c r="K6" s="18"/>
      <c r="L6" s="20"/>
      <c r="M6" s="20"/>
      <c r="N6" s="18"/>
      <c r="O6" s="20"/>
      <c r="P6" s="20"/>
      <c r="Q6" s="20"/>
      <c r="R6" s="20"/>
      <c r="S6" s="20"/>
      <c r="T6" s="20"/>
      <c r="U6" s="20"/>
      <c r="V6" s="20"/>
      <c r="W6" s="20"/>
    </row>
    <row r="7" spans="1:23">
      <c r="A7" s="20"/>
      <c r="B7" s="20"/>
      <c r="C7" s="20"/>
      <c r="D7" s="20"/>
      <c r="E7" s="18"/>
      <c r="F7" s="20"/>
      <c r="G7" s="20"/>
      <c r="H7" s="20"/>
      <c r="I7" s="20"/>
      <c r="J7" s="18"/>
      <c r="K7" s="18"/>
      <c r="L7" s="20"/>
      <c r="M7" s="20"/>
      <c r="N7" s="18"/>
      <c r="O7" s="20"/>
      <c r="P7" s="20"/>
      <c r="Q7" s="20"/>
      <c r="R7" s="20"/>
      <c r="S7" s="20"/>
      <c r="T7" s="20"/>
      <c r="U7" s="20"/>
      <c r="V7" s="20"/>
      <c r="W7" s="20"/>
    </row>
    <row r="8" spans="1:23">
      <c r="A8" s="20"/>
      <c r="B8" s="20"/>
      <c r="C8" s="20"/>
      <c r="D8" s="20"/>
      <c r="E8" s="18"/>
      <c r="F8" s="20"/>
      <c r="G8" s="20"/>
      <c r="H8" s="20"/>
      <c r="I8" s="20"/>
      <c r="J8" s="18"/>
      <c r="K8" s="18"/>
      <c r="L8" s="20"/>
      <c r="M8" s="20"/>
      <c r="N8" s="18"/>
      <c r="O8" s="20"/>
      <c r="P8" s="20"/>
      <c r="Q8" s="20"/>
      <c r="R8" s="20"/>
      <c r="S8" s="20"/>
      <c r="T8" s="20"/>
      <c r="U8" s="20"/>
      <c r="V8" s="20"/>
      <c r="W8" s="20"/>
    </row>
    <row r="9" spans="1:23">
      <c r="A9" s="20"/>
      <c r="B9" s="20"/>
      <c r="C9" s="20"/>
      <c r="D9" s="20"/>
      <c r="E9" s="18"/>
      <c r="F9" s="20"/>
      <c r="G9" s="20"/>
      <c r="H9" s="20"/>
      <c r="I9" s="20"/>
      <c r="J9" s="18"/>
      <c r="K9" s="18"/>
      <c r="L9" s="20"/>
      <c r="M9" s="20"/>
      <c r="N9" s="18"/>
      <c r="O9" s="20"/>
      <c r="P9" s="20"/>
      <c r="Q9" s="20"/>
      <c r="R9" s="20"/>
      <c r="S9" s="20"/>
      <c r="T9" s="20"/>
      <c r="U9" s="20"/>
      <c r="V9" s="20"/>
      <c r="W9" s="20"/>
    </row>
    <row r="10" spans="1:23">
      <c r="A10" s="20"/>
      <c r="B10" s="20"/>
      <c r="C10" s="20"/>
      <c r="D10" s="20"/>
      <c r="E10" s="18"/>
      <c r="F10" s="20"/>
      <c r="G10" s="20"/>
      <c r="H10" s="20"/>
      <c r="I10" s="20"/>
      <c r="J10" s="18"/>
      <c r="K10" s="18"/>
      <c r="L10" s="20"/>
      <c r="M10" s="20"/>
      <c r="N10" s="18"/>
      <c r="O10" s="20"/>
      <c r="P10" s="20"/>
      <c r="Q10" s="20"/>
      <c r="R10" s="20"/>
      <c r="S10" s="20"/>
      <c r="T10" s="20"/>
      <c r="U10" s="20"/>
      <c r="V10" s="20"/>
      <c r="W10" s="20"/>
    </row>
    <row r="11" spans="1:23">
      <c r="A11" s="20"/>
      <c r="B11" s="20"/>
      <c r="C11" s="20"/>
      <c r="D11" s="20"/>
      <c r="E11" s="18"/>
      <c r="F11" s="20"/>
      <c r="G11" s="20"/>
      <c r="H11" s="20"/>
      <c r="I11" s="20"/>
      <c r="J11" s="18"/>
      <c r="K11" s="18"/>
      <c r="L11" s="20"/>
      <c r="M11" s="20"/>
      <c r="N11" s="18"/>
      <c r="O11" s="20"/>
      <c r="P11" s="20"/>
      <c r="Q11" s="20"/>
      <c r="R11" s="20"/>
      <c r="S11" s="20"/>
      <c r="T11" s="20"/>
      <c r="U11" s="20"/>
      <c r="V11" s="20"/>
      <c r="W11" s="20"/>
    </row>
    <row r="12" spans="1:23">
      <c r="A12" s="20"/>
      <c r="B12" s="20"/>
      <c r="C12" s="20"/>
      <c r="D12" s="20"/>
      <c r="E12" s="18"/>
      <c r="F12" s="20"/>
      <c r="G12" s="20"/>
      <c r="H12" s="20"/>
      <c r="I12" s="20"/>
      <c r="J12" s="18"/>
      <c r="K12" s="18"/>
      <c r="L12" s="20"/>
      <c r="M12" s="20"/>
      <c r="N12" s="18"/>
      <c r="O12" s="20"/>
      <c r="P12" s="20"/>
      <c r="Q12" s="20"/>
      <c r="R12" s="20"/>
      <c r="S12" s="20"/>
      <c r="T12" s="20"/>
      <c r="U12" s="20"/>
      <c r="V12" s="20"/>
      <c r="W12" s="20"/>
    </row>
    <row r="13" spans="1:23">
      <c r="A13" s="20"/>
      <c r="B13" s="20"/>
      <c r="C13" s="20"/>
      <c r="D13" s="20"/>
      <c r="E13" s="18"/>
      <c r="F13" s="20"/>
      <c r="G13" s="20"/>
      <c r="H13" s="20"/>
      <c r="I13" s="20"/>
      <c r="J13" s="18"/>
      <c r="K13" s="18"/>
      <c r="L13" s="20"/>
      <c r="M13" s="20"/>
      <c r="N13" s="18"/>
      <c r="O13" s="20"/>
      <c r="P13" s="20"/>
      <c r="Q13" s="20"/>
      <c r="R13" s="20"/>
      <c r="S13" s="20"/>
      <c r="T13" s="20"/>
      <c r="U13" s="20"/>
      <c r="V13" s="20"/>
      <c r="W13" s="20"/>
    </row>
    <row r="14" spans="1:23">
      <c r="A14" s="20"/>
      <c r="B14" s="20"/>
      <c r="C14" s="20"/>
      <c r="D14" s="20"/>
      <c r="E14" s="18"/>
      <c r="F14" s="20"/>
      <c r="G14" s="20"/>
      <c r="H14" s="20"/>
      <c r="I14" s="20"/>
      <c r="J14" s="18"/>
      <c r="K14" s="18"/>
      <c r="L14" s="20"/>
      <c r="M14" s="20"/>
      <c r="N14" s="18"/>
      <c r="O14" s="20"/>
      <c r="P14" s="20"/>
      <c r="Q14" s="20"/>
      <c r="R14" s="20"/>
      <c r="S14" s="20"/>
      <c r="T14" s="20"/>
      <c r="U14" s="20"/>
      <c r="V14" s="20"/>
      <c r="W14" s="20"/>
    </row>
    <row r="15" spans="1:23">
      <c r="A15" s="20"/>
      <c r="B15" s="20"/>
      <c r="C15" s="20"/>
      <c r="D15" s="20"/>
      <c r="E15" s="18"/>
      <c r="F15" s="20"/>
      <c r="G15" s="20"/>
      <c r="H15" s="20"/>
      <c r="I15" s="20"/>
      <c r="J15" s="18"/>
      <c r="K15" s="18"/>
      <c r="L15" s="20"/>
      <c r="M15" s="20"/>
      <c r="N15" s="18"/>
      <c r="O15" s="20"/>
      <c r="P15" s="20"/>
      <c r="Q15" s="20"/>
      <c r="R15" s="20"/>
      <c r="S15" s="20"/>
      <c r="T15" s="20"/>
      <c r="U15" s="20"/>
      <c r="V15" s="20"/>
      <c r="W15" s="20"/>
    </row>
    <row r="16" spans="1:23" ht="15">
      <c r="A16" s="29"/>
      <c r="B16" s="20"/>
      <c r="C16" s="20"/>
      <c r="D16" s="20"/>
      <c r="E16" s="18"/>
      <c r="F16" s="20"/>
      <c r="G16" s="20"/>
      <c r="H16" s="20"/>
      <c r="I16" s="20"/>
      <c r="J16" s="18"/>
      <c r="K16" s="18"/>
      <c r="L16" s="20"/>
      <c r="M16" s="20"/>
      <c r="N16" s="18"/>
      <c r="O16" s="20"/>
      <c r="P16" s="20"/>
      <c r="Q16" s="20"/>
      <c r="R16" s="20"/>
      <c r="S16" s="20"/>
      <c r="T16" s="20"/>
      <c r="U16" s="20"/>
      <c r="V16" s="20"/>
      <c r="W16" s="20"/>
    </row>
    <row r="17" spans="1:23">
      <c r="A17" s="20"/>
      <c r="B17" s="20"/>
      <c r="C17" s="20"/>
      <c r="D17" s="20"/>
      <c r="E17" s="18"/>
      <c r="F17" s="20"/>
      <c r="G17" s="20"/>
      <c r="H17" s="20"/>
      <c r="I17" s="20"/>
      <c r="J17" s="18"/>
      <c r="K17" s="18"/>
      <c r="L17" s="20"/>
      <c r="M17" s="20"/>
      <c r="N17" s="18"/>
      <c r="O17" s="20"/>
      <c r="P17" s="20"/>
      <c r="Q17" s="20"/>
      <c r="R17" s="20"/>
      <c r="S17" s="20"/>
      <c r="T17" s="20"/>
      <c r="U17" s="20"/>
      <c r="V17" s="20"/>
      <c r="W17" s="20"/>
    </row>
    <row r="18" spans="1:23">
      <c r="A18" s="20"/>
      <c r="B18" s="20"/>
      <c r="C18" s="20"/>
      <c r="D18" s="20"/>
      <c r="E18" s="18"/>
      <c r="F18" s="20"/>
      <c r="G18" s="20"/>
      <c r="H18" s="20"/>
      <c r="I18" s="20"/>
      <c r="J18" s="18"/>
      <c r="K18" s="18"/>
      <c r="L18" s="20"/>
      <c r="M18" s="20"/>
      <c r="N18" s="18"/>
      <c r="O18" s="20"/>
      <c r="P18" s="20"/>
      <c r="Q18" s="20"/>
      <c r="R18" s="20"/>
      <c r="S18" s="20"/>
      <c r="T18" s="20"/>
      <c r="U18" s="20"/>
      <c r="V18" s="20"/>
      <c r="W18" s="20"/>
    </row>
    <row r="19" spans="1:23">
      <c r="A19" s="26"/>
      <c r="B19" s="20"/>
      <c r="C19" s="20"/>
      <c r="D19" s="20"/>
      <c r="E19" s="18"/>
      <c r="F19" s="20"/>
      <c r="G19" s="20"/>
      <c r="H19" s="20"/>
      <c r="J19" s="18"/>
      <c r="K19" s="18"/>
      <c r="L19" s="20"/>
      <c r="M19" s="20"/>
      <c r="N19" s="18"/>
      <c r="O19" s="20"/>
      <c r="P19" s="20"/>
      <c r="Q19" s="20"/>
      <c r="R19" s="20"/>
      <c r="S19" s="20"/>
      <c r="T19" s="20"/>
      <c r="U19" s="20"/>
      <c r="V19" s="20"/>
      <c r="W19" s="20"/>
    </row>
    <row r="20" spans="1:23">
      <c r="A20" s="11"/>
      <c r="E20" s="18"/>
      <c r="H20" s="20"/>
      <c r="I20" s="20"/>
      <c r="J20" s="18"/>
      <c r="K20" s="18"/>
      <c r="L20" s="20"/>
      <c r="M20" s="20"/>
      <c r="O20" s="20"/>
      <c r="P20" s="20"/>
    </row>
    <row r="22" spans="1:23">
      <c r="A22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I20" xr:uid="{00000000-0002-0000-1B00-000008000000}">
      <formula1>$C$862:$C$864</formula1>
    </dataValidation>
    <dataValidation type="list" allowBlank="1" showInputMessage="1" showErrorMessage="1" sqref="L2:L20" xr:uid="{00000000-0002-0000-1B00-000009000000}">
      <formula1>Industry_Sector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5"/>
  <sheetViews>
    <sheetView rightToLeft="1" zoomScale="70" zoomScaleNormal="70" workbookViewId="0"/>
  </sheetViews>
  <sheetFormatPr defaultColWidth="9" defaultRowHeight="14.25"/>
  <cols>
    <col min="1" max="18" width="11.625" style="2" customWidth="1"/>
    <col min="19" max="19" width="9" style="2" customWidth="1"/>
    <col min="20" max="16384" width="9" style="2"/>
  </cols>
  <sheetData>
    <row r="1" spans="1:18" ht="66.75" customHeight="1">
      <c r="A1" s="19" t="s">
        <v>0</v>
      </c>
      <c r="B1" s="19" t="s">
        <v>1</v>
      </c>
      <c r="C1" s="19" t="s">
        <v>147</v>
      </c>
      <c r="D1" s="19" t="s">
        <v>148</v>
      </c>
      <c r="E1" s="19" t="s">
        <v>5</v>
      </c>
      <c r="F1" s="19" t="s">
        <v>6</v>
      </c>
      <c r="G1" s="19" t="s">
        <v>7</v>
      </c>
      <c r="H1" s="19" t="s">
        <v>141</v>
      </c>
      <c r="I1" s="19" t="s">
        <v>149</v>
      </c>
      <c r="J1" s="19" t="s">
        <v>11</v>
      </c>
      <c r="K1" s="19" t="s">
        <v>150</v>
      </c>
      <c r="L1" s="19" t="s">
        <v>151</v>
      </c>
      <c r="M1" s="157" t="s">
        <v>18</v>
      </c>
      <c r="N1" s="19" t="s">
        <v>20</v>
      </c>
      <c r="O1" s="19" t="s">
        <v>21</v>
      </c>
      <c r="P1" s="19" t="s">
        <v>22</v>
      </c>
      <c r="Q1" s="163" t="s">
        <v>24</v>
      </c>
      <c r="R1" s="163" t="s">
        <v>25</v>
      </c>
    </row>
    <row r="2" spans="1:18">
      <c r="A2" s="20">
        <v>1182</v>
      </c>
      <c r="B2" s="20">
        <v>1182</v>
      </c>
      <c r="C2" s="26" t="s">
        <v>152</v>
      </c>
      <c r="D2" s="26" t="s">
        <v>153</v>
      </c>
      <c r="E2" s="26" t="s">
        <v>154</v>
      </c>
      <c r="F2" s="18" t="s">
        <v>30</v>
      </c>
      <c r="G2" s="18" t="s">
        <v>30</v>
      </c>
      <c r="H2" s="20" t="s">
        <v>155</v>
      </c>
      <c r="I2" s="20" t="s">
        <v>156</v>
      </c>
      <c r="J2" s="18" t="s">
        <v>34</v>
      </c>
      <c r="K2" s="20" t="s">
        <v>157</v>
      </c>
      <c r="L2" s="151">
        <v>-29.343</v>
      </c>
      <c r="M2" s="173">
        <v>1</v>
      </c>
      <c r="N2" s="153">
        <v>-29.343</v>
      </c>
      <c r="O2" s="20"/>
      <c r="P2" s="18" t="s">
        <v>36</v>
      </c>
      <c r="Q2" s="172">
        <v>0.52244115433016203</v>
      </c>
      <c r="R2" s="172">
        <v>-7.1233175033915002E-5</v>
      </c>
    </row>
    <row r="3" spans="1:18">
      <c r="A3" s="20">
        <v>1182</v>
      </c>
      <c r="B3" s="20">
        <v>1182</v>
      </c>
      <c r="C3" s="26" t="s">
        <v>158</v>
      </c>
      <c r="D3" s="20" t="s">
        <v>159</v>
      </c>
      <c r="E3" s="26" t="s">
        <v>160</v>
      </c>
      <c r="F3" s="18" t="s">
        <v>30</v>
      </c>
      <c r="G3" s="18" t="s">
        <v>30</v>
      </c>
      <c r="H3" s="20" t="s">
        <v>155</v>
      </c>
      <c r="I3" s="20" t="s">
        <v>156</v>
      </c>
      <c r="J3" s="18" t="s">
        <v>34</v>
      </c>
      <c r="K3" s="20" t="s">
        <v>157</v>
      </c>
      <c r="L3" s="151">
        <v>-26.83</v>
      </c>
      <c r="M3" s="173">
        <v>1</v>
      </c>
      <c r="N3" s="153">
        <v>-26.83</v>
      </c>
      <c r="O3" s="20"/>
      <c r="P3" s="18" t="s">
        <v>36</v>
      </c>
      <c r="Q3" s="172">
        <v>0.47770128171071402</v>
      </c>
      <c r="R3" s="172">
        <v>-6.5133036959259805E-5</v>
      </c>
    </row>
    <row r="4" spans="1:18">
      <c r="A4" s="20">
        <v>1182</v>
      </c>
      <c r="B4" s="20">
        <v>1182</v>
      </c>
      <c r="C4" s="26" t="s">
        <v>161</v>
      </c>
      <c r="D4" s="20" t="s">
        <v>162</v>
      </c>
      <c r="E4" s="26" t="s">
        <v>154</v>
      </c>
      <c r="F4" s="18" t="s">
        <v>30</v>
      </c>
      <c r="G4" s="18" t="s">
        <v>30</v>
      </c>
      <c r="H4" s="20" t="s">
        <v>155</v>
      </c>
      <c r="I4" s="20" t="s">
        <v>156</v>
      </c>
      <c r="J4" s="18" t="s">
        <v>34</v>
      </c>
      <c r="K4" s="20" t="s">
        <v>157</v>
      </c>
      <c r="L4" s="151">
        <v>8.0000000000000002E-3</v>
      </c>
      <c r="M4" s="173">
        <v>1</v>
      </c>
      <c r="N4" s="153">
        <v>8.0000000000000002E-3</v>
      </c>
      <c r="O4" s="20"/>
      <c r="P4" s="18" t="s">
        <v>36</v>
      </c>
      <c r="Q4" s="172">
        <v>-1.4243604087629499E-4</v>
      </c>
      <c r="R4" s="172">
        <v>1.9420697138393899E-8</v>
      </c>
    </row>
    <row r="5" spans="1:18">
      <c r="A5" s="20">
        <v>1182</v>
      </c>
      <c r="B5" s="20">
        <v>14769</v>
      </c>
      <c r="C5" s="26" t="s">
        <v>152</v>
      </c>
      <c r="D5" s="20" t="s">
        <v>153</v>
      </c>
      <c r="E5" s="26" t="s">
        <v>154</v>
      </c>
      <c r="F5" s="18" t="s">
        <v>30</v>
      </c>
      <c r="G5" s="18" t="s">
        <v>30</v>
      </c>
      <c r="H5" s="20" t="s">
        <v>155</v>
      </c>
      <c r="I5" s="20" t="s">
        <v>156</v>
      </c>
      <c r="J5" s="18" t="s">
        <v>34</v>
      </c>
      <c r="K5" s="20" t="s">
        <v>157</v>
      </c>
      <c r="L5" s="151">
        <v>-5.4320000000000004</v>
      </c>
      <c r="M5" s="173">
        <v>1</v>
      </c>
      <c r="N5" s="153">
        <v>-5.4320000000000004</v>
      </c>
      <c r="O5" s="20"/>
      <c r="P5" s="18" t="s">
        <v>36</v>
      </c>
      <c r="Q5" s="172">
        <v>1.00075904964037</v>
      </c>
      <c r="R5" s="172">
        <v>-3.1646255596068102E-4</v>
      </c>
    </row>
    <row r="6" spans="1:18">
      <c r="A6" s="20">
        <v>1182</v>
      </c>
      <c r="B6" s="20">
        <v>14769</v>
      </c>
      <c r="C6" s="26" t="s">
        <v>161</v>
      </c>
      <c r="D6" s="20" t="s">
        <v>162</v>
      </c>
      <c r="E6" s="26" t="s">
        <v>154</v>
      </c>
      <c r="F6" s="18" t="s">
        <v>30</v>
      </c>
      <c r="G6" s="18" t="s">
        <v>30</v>
      </c>
      <c r="H6" s="20" t="s">
        <v>155</v>
      </c>
      <c r="I6" s="20" t="s">
        <v>156</v>
      </c>
      <c r="J6" s="18" t="s">
        <v>34</v>
      </c>
      <c r="K6" s="20" t="s">
        <v>157</v>
      </c>
      <c r="L6" s="151">
        <v>4.0000000000000001E-3</v>
      </c>
      <c r="M6" s="173">
        <v>1</v>
      </c>
      <c r="N6" s="153">
        <v>4.0000000000000001E-3</v>
      </c>
      <c r="O6" s="20"/>
      <c r="P6" s="18" t="s">
        <v>36</v>
      </c>
      <c r="Q6" s="172">
        <v>-7.5904964037259797E-4</v>
      </c>
      <c r="R6" s="172">
        <v>2.4002859567412202E-7</v>
      </c>
    </row>
    <row r="7" spans="1:18">
      <c r="A7" s="20">
        <v>12904</v>
      </c>
      <c r="B7" s="20">
        <v>12905</v>
      </c>
      <c r="C7" s="26" t="s">
        <v>152</v>
      </c>
      <c r="D7" s="20" t="s">
        <v>153</v>
      </c>
      <c r="E7" s="26" t="s">
        <v>154</v>
      </c>
      <c r="F7" s="18" t="s">
        <v>30</v>
      </c>
      <c r="G7" s="18" t="s">
        <v>30</v>
      </c>
      <c r="H7" s="20" t="s">
        <v>155</v>
      </c>
      <c r="I7" s="20" t="s">
        <v>156</v>
      </c>
      <c r="J7" s="18" t="s">
        <v>34</v>
      </c>
      <c r="K7" s="20" t="s">
        <v>157</v>
      </c>
      <c r="L7" s="151">
        <v>-4.5</v>
      </c>
      <c r="M7" s="173">
        <v>1</v>
      </c>
      <c r="N7" s="153">
        <v>-4.5</v>
      </c>
      <c r="O7" s="20"/>
      <c r="P7" s="18" t="s">
        <v>36</v>
      </c>
      <c r="Q7" s="172">
        <v>1.00252875202189</v>
      </c>
      <c r="R7" s="172">
        <v>-1.3295216644459699E-4</v>
      </c>
    </row>
    <row r="8" spans="1:18">
      <c r="A8" s="20">
        <v>12904</v>
      </c>
      <c r="B8" s="20">
        <v>12905</v>
      </c>
      <c r="C8" s="26" t="s">
        <v>158</v>
      </c>
      <c r="D8" s="20" t="s">
        <v>159</v>
      </c>
      <c r="E8" s="26" t="s">
        <v>160</v>
      </c>
      <c r="F8" s="18" t="s">
        <v>30</v>
      </c>
      <c r="G8" s="18" t="s">
        <v>30</v>
      </c>
      <c r="H8" s="20" t="s">
        <v>155</v>
      </c>
      <c r="I8" s="20" t="s">
        <v>156</v>
      </c>
      <c r="J8" s="18" t="s">
        <v>34</v>
      </c>
      <c r="K8" s="20" t="s">
        <v>157</v>
      </c>
      <c r="L8" s="151">
        <v>0</v>
      </c>
      <c r="M8" s="173">
        <v>1</v>
      </c>
      <c r="N8" s="153">
        <v>0</v>
      </c>
      <c r="O8" s="20"/>
      <c r="P8" s="18" t="s">
        <v>36</v>
      </c>
      <c r="Q8" s="172">
        <v>-2.2279753496807298E-6</v>
      </c>
      <c r="R8" s="172">
        <v>2.9546698678497798E-10</v>
      </c>
    </row>
    <row r="9" spans="1:18">
      <c r="A9" s="20">
        <v>12904</v>
      </c>
      <c r="B9" s="20">
        <v>12905</v>
      </c>
      <c r="C9" s="26" t="s">
        <v>161</v>
      </c>
      <c r="D9" s="20" t="s">
        <v>162</v>
      </c>
      <c r="E9" s="26" t="s">
        <v>154</v>
      </c>
      <c r="F9" s="18" t="s">
        <v>30</v>
      </c>
      <c r="G9" s="18" t="s">
        <v>30</v>
      </c>
      <c r="H9" s="20" t="s">
        <v>155</v>
      </c>
      <c r="I9" s="20" t="s">
        <v>156</v>
      </c>
      <c r="J9" s="18" t="s">
        <v>34</v>
      </c>
      <c r="K9" s="20" t="s">
        <v>157</v>
      </c>
      <c r="L9" s="151">
        <v>1.0999999999999999E-2</v>
      </c>
      <c r="M9" s="173">
        <v>1</v>
      </c>
      <c r="N9" s="153">
        <v>1.0999999999999999E-2</v>
      </c>
      <c r="O9" s="20"/>
      <c r="P9" s="18" t="s">
        <v>36</v>
      </c>
      <c r="Q9" s="172">
        <v>-2.5265240465379502E-3</v>
      </c>
      <c r="R9" s="172">
        <v>3.3505956301416502E-7</v>
      </c>
    </row>
    <row r="10" spans="1:18">
      <c r="A10" s="20">
        <v>12904</v>
      </c>
      <c r="B10" s="20">
        <v>13680</v>
      </c>
      <c r="C10" s="26" t="s">
        <v>152</v>
      </c>
      <c r="D10" s="20" t="s">
        <v>153</v>
      </c>
      <c r="E10" s="26" t="s">
        <v>154</v>
      </c>
      <c r="F10" s="18" t="s">
        <v>30</v>
      </c>
      <c r="G10" s="18" t="s">
        <v>30</v>
      </c>
      <c r="H10" s="20" t="s">
        <v>155</v>
      </c>
      <c r="I10" s="20" t="s">
        <v>156</v>
      </c>
      <c r="J10" s="18" t="s">
        <v>34</v>
      </c>
      <c r="K10" s="20" t="s">
        <v>157</v>
      </c>
      <c r="L10" s="151">
        <v>-6.5949999999999998</v>
      </c>
      <c r="M10" s="173">
        <v>1</v>
      </c>
      <c r="N10" s="153">
        <v>-6.5949999999999998</v>
      </c>
      <c r="O10" s="20"/>
      <c r="P10" s="18" t="s">
        <v>36</v>
      </c>
      <c r="Q10" s="172">
        <v>0.82698748468657801</v>
      </c>
      <c r="R10" s="172">
        <v>-1.7980227554018801E-4</v>
      </c>
    </row>
    <row r="11" spans="1:18">
      <c r="A11" s="20">
        <v>12904</v>
      </c>
      <c r="B11" s="20">
        <v>13680</v>
      </c>
      <c r="C11" s="26" t="s">
        <v>158</v>
      </c>
      <c r="D11" s="20" t="s">
        <v>159</v>
      </c>
      <c r="E11" s="26" t="s">
        <v>160</v>
      </c>
      <c r="F11" s="18" t="s">
        <v>30</v>
      </c>
      <c r="G11" s="18" t="s">
        <v>30</v>
      </c>
      <c r="H11" s="20" t="s">
        <v>155</v>
      </c>
      <c r="I11" s="20" t="s">
        <v>156</v>
      </c>
      <c r="J11" s="18" t="s">
        <v>34</v>
      </c>
      <c r="K11" s="20" t="s">
        <v>157</v>
      </c>
      <c r="L11" s="151">
        <v>-1.401</v>
      </c>
      <c r="M11" s="173">
        <v>1</v>
      </c>
      <c r="N11" s="153">
        <v>-1.401</v>
      </c>
      <c r="O11" s="20"/>
      <c r="P11" s="18" t="s">
        <v>36</v>
      </c>
      <c r="Q11" s="172">
        <v>0.1756933829716</v>
      </c>
      <c r="R11" s="172">
        <v>-3.8198969924701803E-5</v>
      </c>
    </row>
    <row r="12" spans="1:18">
      <c r="A12" s="20">
        <v>12904</v>
      </c>
      <c r="B12" s="20">
        <v>13680</v>
      </c>
      <c r="C12" s="26" t="s">
        <v>161</v>
      </c>
      <c r="D12" s="20" t="s">
        <v>162</v>
      </c>
      <c r="E12" s="26" t="s">
        <v>154</v>
      </c>
      <c r="F12" s="18" t="s">
        <v>30</v>
      </c>
      <c r="G12" s="18" t="s">
        <v>30</v>
      </c>
      <c r="H12" s="20" t="s">
        <v>155</v>
      </c>
      <c r="I12" s="20" t="s">
        <v>156</v>
      </c>
      <c r="J12" s="18" t="s">
        <v>34</v>
      </c>
      <c r="K12" s="20" t="s">
        <v>157</v>
      </c>
      <c r="L12" s="151">
        <v>2.1000000000000001E-2</v>
      </c>
      <c r="M12" s="173">
        <v>1</v>
      </c>
      <c r="N12" s="153">
        <v>2.1000000000000001E-2</v>
      </c>
      <c r="O12" s="20"/>
      <c r="P12" s="18" t="s">
        <v>36</v>
      </c>
      <c r="Q12" s="172">
        <v>-2.6808676581780901E-3</v>
      </c>
      <c r="R12" s="172">
        <v>5.8286989136867004E-7</v>
      </c>
    </row>
    <row r="13" spans="1:18">
      <c r="A13" s="20">
        <v>424</v>
      </c>
      <c r="B13" s="20">
        <v>7228</v>
      </c>
      <c r="C13" s="26" t="s">
        <v>152</v>
      </c>
      <c r="D13" s="20" t="s">
        <v>153</v>
      </c>
      <c r="E13" s="26" t="s">
        <v>154</v>
      </c>
      <c r="F13" s="18" t="s">
        <v>30</v>
      </c>
      <c r="G13" s="18" t="s">
        <v>30</v>
      </c>
      <c r="H13" s="20" t="s">
        <v>155</v>
      </c>
      <c r="I13" s="20" t="s">
        <v>156</v>
      </c>
      <c r="J13" s="18" t="s">
        <v>34</v>
      </c>
      <c r="K13" s="20" t="s">
        <v>157</v>
      </c>
      <c r="L13" s="151">
        <v>1509.922</v>
      </c>
      <c r="M13" s="173">
        <v>1</v>
      </c>
      <c r="N13" s="153">
        <v>1509.922</v>
      </c>
      <c r="O13" s="20"/>
      <c r="P13" s="18" t="s">
        <v>36</v>
      </c>
      <c r="Q13" s="172">
        <v>0.95060384386214103</v>
      </c>
      <c r="R13" s="172">
        <v>6.2548371143385695E-4</v>
      </c>
    </row>
    <row r="14" spans="1:18">
      <c r="A14" s="20">
        <v>424</v>
      </c>
      <c r="B14" s="20">
        <v>7228</v>
      </c>
      <c r="C14" s="26" t="s">
        <v>163</v>
      </c>
      <c r="D14" s="20" t="s">
        <v>164</v>
      </c>
      <c r="E14" s="26" t="s">
        <v>165</v>
      </c>
      <c r="F14" s="18"/>
      <c r="G14" s="18" t="s">
        <v>30</v>
      </c>
      <c r="H14" s="20" t="s">
        <v>155</v>
      </c>
      <c r="I14" s="20" t="s">
        <v>166</v>
      </c>
      <c r="J14" s="18" t="s">
        <v>34</v>
      </c>
      <c r="K14" s="20" t="s">
        <v>157</v>
      </c>
      <c r="L14" s="151">
        <v>1.3959999999999999</v>
      </c>
      <c r="M14" s="173">
        <v>1</v>
      </c>
      <c r="N14" s="153">
        <v>0</v>
      </c>
      <c r="O14" s="20"/>
      <c r="P14" s="18" t="s">
        <v>36</v>
      </c>
      <c r="Q14" s="172">
        <v>8.7876850094931703E-10</v>
      </c>
      <c r="R14" s="172">
        <v>5.7821708487080104E-13</v>
      </c>
    </row>
    <row r="15" spans="1:18">
      <c r="A15" s="20">
        <v>424</v>
      </c>
      <c r="B15" s="20">
        <v>7228</v>
      </c>
      <c r="C15" s="26" t="s">
        <v>158</v>
      </c>
      <c r="D15" s="20" t="s">
        <v>159</v>
      </c>
      <c r="E15" s="26" t="s">
        <v>160</v>
      </c>
      <c r="F15" s="18" t="s">
        <v>30</v>
      </c>
      <c r="G15" s="18" t="s">
        <v>30</v>
      </c>
      <c r="H15" s="20" t="s">
        <v>155</v>
      </c>
      <c r="I15" s="20" t="s">
        <v>156</v>
      </c>
      <c r="J15" s="18" t="s">
        <v>34</v>
      </c>
      <c r="K15" s="20" t="s">
        <v>157</v>
      </c>
      <c r="L15" s="151">
        <v>-148.70400000000001</v>
      </c>
      <c r="M15" s="173">
        <v>1</v>
      </c>
      <c r="N15" s="153">
        <v>-148.70400000000001</v>
      </c>
      <c r="O15" s="20"/>
      <c r="P15" s="18" t="s">
        <v>36</v>
      </c>
      <c r="Q15" s="172">
        <v>-9.3619505483494805E-2</v>
      </c>
      <c r="R15" s="172">
        <v>-6.1600293466634396E-5</v>
      </c>
    </row>
    <row r="16" spans="1:18">
      <c r="A16" s="20">
        <v>424</v>
      </c>
      <c r="B16" s="20">
        <v>7228</v>
      </c>
      <c r="C16" s="26" t="s">
        <v>161</v>
      </c>
      <c r="D16" s="20" t="s">
        <v>162</v>
      </c>
      <c r="E16" s="26" t="s">
        <v>154</v>
      </c>
      <c r="F16" s="18" t="s">
        <v>30</v>
      </c>
      <c r="G16" s="18" t="s">
        <v>30</v>
      </c>
      <c r="H16" s="20" t="s">
        <v>155</v>
      </c>
      <c r="I16" s="20" t="s">
        <v>156</v>
      </c>
      <c r="J16" s="18" t="s">
        <v>34</v>
      </c>
      <c r="K16" s="20" t="s">
        <v>157</v>
      </c>
      <c r="L16" s="151">
        <v>227.16300000000001</v>
      </c>
      <c r="M16" s="173">
        <v>1</v>
      </c>
      <c r="N16" s="153">
        <v>227.16300000000001</v>
      </c>
      <c r="O16" s="20"/>
      <c r="P16" s="18" t="s">
        <v>36</v>
      </c>
      <c r="Q16" s="172">
        <v>0.14301566074258501</v>
      </c>
      <c r="R16" s="172">
        <v>9.4102256004984397E-5</v>
      </c>
    </row>
    <row r="17" spans="1:18">
      <c r="A17" s="20">
        <v>424</v>
      </c>
      <c r="B17" s="20">
        <v>7228</v>
      </c>
      <c r="C17" s="26" t="s">
        <v>167</v>
      </c>
      <c r="D17" s="20" t="s">
        <v>168</v>
      </c>
      <c r="E17" s="26" t="s">
        <v>165</v>
      </c>
      <c r="F17" s="18"/>
      <c r="G17" s="18"/>
      <c r="H17" s="20" t="s">
        <v>155</v>
      </c>
      <c r="I17" s="20" t="s">
        <v>169</v>
      </c>
      <c r="J17" s="18" t="s">
        <v>34</v>
      </c>
      <c r="K17" s="20" t="s">
        <v>157</v>
      </c>
      <c r="L17" s="151">
        <v>286.06700000000001</v>
      </c>
      <c r="M17" s="173">
        <v>1</v>
      </c>
      <c r="N17" s="153">
        <v>286.06700000000001</v>
      </c>
      <c r="O17" s="20"/>
      <c r="P17" s="18" t="s">
        <v>36</v>
      </c>
      <c r="Q17" s="172">
        <v>0.180099632302925</v>
      </c>
      <c r="R17" s="172">
        <v>1.18502978047123E-4</v>
      </c>
    </row>
    <row r="18" spans="1:18">
      <c r="A18" s="20">
        <v>424</v>
      </c>
      <c r="B18" s="20">
        <v>7228</v>
      </c>
      <c r="C18" s="26" t="s">
        <v>170</v>
      </c>
      <c r="D18" s="20" t="s">
        <v>171</v>
      </c>
      <c r="E18" s="26" t="s">
        <v>165</v>
      </c>
      <c r="F18" s="18"/>
      <c r="G18" s="18"/>
      <c r="H18" s="20" t="s">
        <v>155</v>
      </c>
      <c r="I18" s="20" t="s">
        <v>172</v>
      </c>
      <c r="J18" s="18" t="s">
        <v>34</v>
      </c>
      <c r="K18" s="20" t="s">
        <v>157</v>
      </c>
      <c r="L18" s="151">
        <v>-286.06700000000001</v>
      </c>
      <c r="M18" s="173">
        <v>1</v>
      </c>
      <c r="N18" s="153">
        <v>-286.06700000000001</v>
      </c>
      <c r="O18" s="20"/>
      <c r="P18" s="18" t="s">
        <v>36</v>
      </c>
      <c r="Q18" s="172">
        <v>-0.180099632302925</v>
      </c>
      <c r="R18" s="172">
        <v>-1.18502978047123E-4</v>
      </c>
    </row>
    <row r="19" spans="1:18">
      <c r="A19" s="20">
        <v>424</v>
      </c>
      <c r="B19" s="20">
        <v>7229</v>
      </c>
      <c r="C19" s="26" t="s">
        <v>152</v>
      </c>
      <c r="D19" s="20" t="s">
        <v>153</v>
      </c>
      <c r="E19" s="26" t="s">
        <v>154</v>
      </c>
      <c r="F19" s="18" t="s">
        <v>30</v>
      </c>
      <c r="G19" s="18" t="s">
        <v>30</v>
      </c>
      <c r="H19" s="20" t="s">
        <v>155</v>
      </c>
      <c r="I19" s="20" t="s">
        <v>156</v>
      </c>
      <c r="J19" s="18" t="s">
        <v>34</v>
      </c>
      <c r="K19" s="20" t="s">
        <v>157</v>
      </c>
      <c r="L19" s="151">
        <v>-1.8680000000000001</v>
      </c>
      <c r="M19" s="173">
        <v>1</v>
      </c>
      <c r="N19" s="153">
        <v>-1.8680000000000001</v>
      </c>
      <c r="O19" s="20"/>
      <c r="P19" s="18" t="s">
        <v>36</v>
      </c>
      <c r="Q19" s="172">
        <v>0.99933126113450199</v>
      </c>
      <c r="R19" s="172">
        <v>-1.2823292387427E-5</v>
      </c>
    </row>
    <row r="20" spans="1:18">
      <c r="A20" s="2">
        <v>424</v>
      </c>
      <c r="B20" s="2">
        <v>7229</v>
      </c>
      <c r="C20" s="2" t="s">
        <v>158</v>
      </c>
      <c r="D20" s="2" t="s">
        <v>159</v>
      </c>
      <c r="E20" s="26" t="s">
        <v>160</v>
      </c>
      <c r="F20" s="18" t="s">
        <v>30</v>
      </c>
      <c r="G20" s="18" t="s">
        <v>30</v>
      </c>
      <c r="H20" s="20" t="s">
        <v>155</v>
      </c>
      <c r="I20" s="2" t="s">
        <v>156</v>
      </c>
      <c r="J20" s="2" t="s">
        <v>34</v>
      </c>
      <c r="K20" s="2" t="s">
        <v>157</v>
      </c>
      <c r="L20" s="151">
        <v>-1E-3</v>
      </c>
      <c r="M20" s="158">
        <v>1</v>
      </c>
      <c r="N20" s="151">
        <v>-1E-3</v>
      </c>
      <c r="P20" s="18" t="s">
        <v>36</v>
      </c>
      <c r="Q20" s="164">
        <v>5.1894135962636198E-4</v>
      </c>
      <c r="R20" s="164">
        <v>-6.6589899117767105E-9</v>
      </c>
    </row>
    <row r="21" spans="1:18">
      <c r="A21" s="2">
        <v>424</v>
      </c>
      <c r="B21" s="2">
        <v>7229</v>
      </c>
      <c r="C21" s="2" t="s">
        <v>161</v>
      </c>
      <c r="D21" s="2" t="s">
        <v>162</v>
      </c>
      <c r="E21" s="2" t="s">
        <v>154</v>
      </c>
      <c r="F21" s="2" t="s">
        <v>30</v>
      </c>
      <c r="G21" s="2" t="s">
        <v>30</v>
      </c>
      <c r="H21" s="2" t="s">
        <v>155</v>
      </c>
      <c r="I21" s="2" t="s">
        <v>156</v>
      </c>
      <c r="J21" s="2" t="s">
        <v>34</v>
      </c>
      <c r="K21" s="2" t="s">
        <v>157</v>
      </c>
      <c r="L21" s="151">
        <v>0</v>
      </c>
      <c r="M21" s="158">
        <v>1</v>
      </c>
      <c r="N21" s="151">
        <v>0</v>
      </c>
      <c r="P21" s="2" t="s">
        <v>36</v>
      </c>
      <c r="Q21" s="164">
        <v>1.49797505871527E-4</v>
      </c>
      <c r="R21" s="164">
        <v>-1.9221826549458503E-9</v>
      </c>
    </row>
    <row r="22" spans="1:18">
      <c r="A22" s="2">
        <v>424</v>
      </c>
      <c r="B22" s="2">
        <v>9817</v>
      </c>
      <c r="C22" s="2" t="s">
        <v>152</v>
      </c>
      <c r="D22" s="2" t="s">
        <v>153</v>
      </c>
      <c r="E22" s="2" t="s">
        <v>154</v>
      </c>
      <c r="F22" s="2" t="s">
        <v>30</v>
      </c>
      <c r="G22" s="2" t="s">
        <v>30</v>
      </c>
      <c r="H22" s="2" t="s">
        <v>155</v>
      </c>
      <c r="I22" s="2" t="s">
        <v>156</v>
      </c>
      <c r="J22" s="2" t="s">
        <v>34</v>
      </c>
      <c r="K22" s="2" t="s">
        <v>157</v>
      </c>
      <c r="L22" s="151">
        <v>-6.8000000000000005E-2</v>
      </c>
      <c r="M22" s="158">
        <v>1</v>
      </c>
      <c r="N22" s="151">
        <v>-6.8000000000000005E-2</v>
      </c>
      <c r="P22" s="2" t="s">
        <v>36</v>
      </c>
      <c r="Q22" s="164">
        <v>1</v>
      </c>
      <c r="R22" s="164">
        <v>-4.4570722041003202E-5</v>
      </c>
    </row>
    <row r="23" spans="1:18">
      <c r="A23" s="2">
        <v>969</v>
      </c>
      <c r="B23" s="2">
        <v>969</v>
      </c>
      <c r="C23" s="2" t="s">
        <v>152</v>
      </c>
      <c r="D23" s="2" t="s">
        <v>153</v>
      </c>
      <c r="E23" s="2" t="s">
        <v>154</v>
      </c>
      <c r="F23" s="2" t="s">
        <v>30</v>
      </c>
      <c r="G23" s="2" t="s">
        <v>30</v>
      </c>
      <c r="H23" s="2" t="s">
        <v>155</v>
      </c>
      <c r="I23" s="2" t="s">
        <v>156</v>
      </c>
      <c r="J23" s="2" t="s">
        <v>34</v>
      </c>
      <c r="K23" s="2" t="s">
        <v>157</v>
      </c>
      <c r="L23" s="151">
        <v>-1.968</v>
      </c>
      <c r="M23" s="158">
        <v>1</v>
      </c>
      <c r="N23" s="151">
        <v>-1.968</v>
      </c>
      <c r="P23" s="2" t="s">
        <v>36</v>
      </c>
      <c r="Q23" s="164">
        <v>3.072169865504E-2</v>
      </c>
      <c r="R23" s="164">
        <v>-2.6017862207769799E-5</v>
      </c>
    </row>
    <row r="24" spans="1:18">
      <c r="A24" s="2">
        <v>969</v>
      </c>
      <c r="B24" s="2">
        <v>969</v>
      </c>
      <c r="C24" s="2" t="s">
        <v>158</v>
      </c>
      <c r="D24" s="2" t="s">
        <v>159</v>
      </c>
      <c r="E24" s="2" t="s">
        <v>160</v>
      </c>
      <c r="F24" s="2" t="s">
        <v>30</v>
      </c>
      <c r="G24" s="2" t="s">
        <v>30</v>
      </c>
      <c r="H24" s="2" t="s">
        <v>155</v>
      </c>
      <c r="I24" s="2" t="s">
        <v>156</v>
      </c>
      <c r="J24" s="2" t="s">
        <v>34</v>
      </c>
      <c r="K24" s="2" t="s">
        <v>157</v>
      </c>
      <c r="L24" s="151">
        <v>-62.100999999999999</v>
      </c>
      <c r="M24" s="158">
        <v>1</v>
      </c>
      <c r="N24" s="151">
        <v>-62.100999999999999</v>
      </c>
      <c r="P24" s="2" t="s">
        <v>36</v>
      </c>
      <c r="Q24" s="164">
        <v>0.96921946246547697</v>
      </c>
      <c r="R24" s="164">
        <v>-8.2082109803451801E-4</v>
      </c>
    </row>
    <row r="25" spans="1:18">
      <c r="A25" s="2">
        <v>969</v>
      </c>
      <c r="B25" s="2">
        <v>969</v>
      </c>
      <c r="C25" s="2" t="s">
        <v>161</v>
      </c>
      <c r="D25" s="2" t="s">
        <v>162</v>
      </c>
      <c r="E25" s="2" t="s">
        <v>154</v>
      </c>
      <c r="F25" s="2" t="s">
        <v>30</v>
      </c>
      <c r="G25" s="2" t="s">
        <v>30</v>
      </c>
      <c r="H25" s="2" t="s">
        <v>155</v>
      </c>
      <c r="I25" s="2" t="s">
        <v>156</v>
      </c>
      <c r="J25" s="2" t="s">
        <v>34</v>
      </c>
      <c r="K25" s="2" t="s">
        <v>157</v>
      </c>
      <c r="L25" s="151">
        <v>-4.0000000000000001E-3</v>
      </c>
      <c r="M25" s="158">
        <v>1</v>
      </c>
      <c r="N25" s="151">
        <v>-4.0000000000000001E-3</v>
      </c>
      <c r="P25" s="2" t="s">
        <v>36</v>
      </c>
      <c r="Q25" s="164">
        <v>5.8838879482992003E-5</v>
      </c>
      <c r="R25" s="164">
        <v>-4.9829987463825299E-8</v>
      </c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V22"/>
  <sheetViews>
    <sheetView rightToLeft="1" zoomScale="70" zoomScaleNormal="70" workbookViewId="0">
      <selection activeCell="A2" sqref="A2"/>
    </sheetView>
  </sheetViews>
  <sheetFormatPr defaultColWidth="11.625" defaultRowHeight="14.1" customHeight="1"/>
  <cols>
    <col min="1" max="15" width="11.625" style="2" customWidth="1"/>
    <col min="16" max="16" width="11.625" style="144" customWidth="1"/>
    <col min="17" max="20" width="11.625" style="2" customWidth="1"/>
    <col min="21" max="16384" width="11.625" style="2"/>
  </cols>
  <sheetData>
    <row r="1" spans="1:22" ht="66.75" customHeight="1">
      <c r="A1" s="19" t="s">
        <v>0</v>
      </c>
      <c r="B1" s="19" t="s">
        <v>1</v>
      </c>
      <c r="C1" s="19" t="s">
        <v>136</v>
      </c>
      <c r="D1" s="19" t="s">
        <v>137</v>
      </c>
      <c r="E1" s="19" t="s">
        <v>138</v>
      </c>
      <c r="F1" s="19" t="s">
        <v>139</v>
      </c>
      <c r="G1" s="19" t="s">
        <v>140</v>
      </c>
      <c r="H1" s="19" t="s">
        <v>6</v>
      </c>
      <c r="I1" s="19" t="s">
        <v>7</v>
      </c>
      <c r="J1" s="19" t="s">
        <v>141</v>
      </c>
      <c r="K1" s="19" t="s">
        <v>9</v>
      </c>
      <c r="L1" s="19" t="s">
        <v>10</v>
      </c>
      <c r="M1" s="19" t="s">
        <v>142</v>
      </c>
      <c r="N1" s="19" t="s">
        <v>11</v>
      </c>
      <c r="O1" s="19" t="s">
        <v>18</v>
      </c>
      <c r="P1" s="142" t="s">
        <v>14</v>
      </c>
      <c r="Q1" s="19" t="s">
        <v>143</v>
      </c>
      <c r="R1" s="19" t="s">
        <v>144</v>
      </c>
      <c r="S1" s="19" t="s">
        <v>145</v>
      </c>
      <c r="T1" s="19" t="s">
        <v>146</v>
      </c>
      <c r="U1" s="11"/>
      <c r="V1" s="11"/>
    </row>
    <row r="2" spans="1:22" ht="14.1" customHeight="1">
      <c r="D2" s="20"/>
      <c r="G2" s="18"/>
      <c r="H2" s="18"/>
      <c r="I2" s="18"/>
      <c r="J2" s="20"/>
      <c r="K2" s="20"/>
      <c r="L2" s="20"/>
      <c r="M2" s="20"/>
      <c r="P2" s="143"/>
      <c r="Q2" s="20"/>
      <c r="R2" s="18"/>
      <c r="S2" s="18"/>
      <c r="T2" s="18"/>
    </row>
    <row r="3" spans="1:22" ht="14.1" customHeight="1">
      <c r="D3" s="20"/>
      <c r="H3" s="18"/>
      <c r="I3" s="18"/>
      <c r="J3" s="20"/>
      <c r="K3" s="20"/>
      <c r="L3" s="20"/>
      <c r="M3" s="20"/>
      <c r="Q3" s="20"/>
    </row>
    <row r="4" spans="1:22" ht="14.1" customHeight="1">
      <c r="D4" s="20"/>
      <c r="H4" s="18"/>
      <c r="I4" s="18"/>
      <c r="J4" s="20"/>
      <c r="K4" s="20"/>
      <c r="L4" s="20"/>
      <c r="M4" s="20"/>
      <c r="Q4" s="20"/>
    </row>
    <row r="5" spans="1:22" ht="14.1" customHeight="1">
      <c r="D5" s="20"/>
      <c r="H5" s="18"/>
      <c r="I5" s="18"/>
      <c r="J5" s="20"/>
      <c r="K5" s="20"/>
      <c r="L5" s="20"/>
      <c r="M5" s="20"/>
      <c r="O5" s="11"/>
      <c r="Q5" s="20"/>
    </row>
    <row r="6" spans="1:22" ht="14.1" customHeight="1">
      <c r="D6" s="20"/>
      <c r="H6" s="18"/>
      <c r="I6" s="18"/>
      <c r="J6" s="20"/>
      <c r="K6" s="20"/>
      <c r="L6" s="20"/>
      <c r="M6" s="20"/>
      <c r="O6" s="11"/>
      <c r="Q6" s="20"/>
    </row>
    <row r="7" spans="1:22" ht="14.1" customHeight="1">
      <c r="D7" s="20"/>
      <c r="H7" s="18"/>
      <c r="I7" s="18"/>
      <c r="J7" s="20"/>
      <c r="K7" s="20"/>
      <c r="L7" s="20"/>
      <c r="M7" s="20"/>
      <c r="Q7" s="20"/>
    </row>
    <row r="8" spans="1:22" ht="14.1" customHeight="1">
      <c r="D8" s="20"/>
      <c r="H8" s="18"/>
      <c r="I8" s="18"/>
      <c r="J8" s="20"/>
      <c r="K8" s="20"/>
      <c r="L8" s="20"/>
      <c r="M8" s="20"/>
      <c r="N8" s="11"/>
      <c r="Q8" s="20"/>
    </row>
    <row r="9" spans="1:22" ht="14.1" customHeight="1">
      <c r="D9" s="20"/>
      <c r="H9" s="18"/>
      <c r="I9" s="18"/>
      <c r="J9" s="20"/>
      <c r="K9" s="20"/>
      <c r="L9" s="20"/>
      <c r="M9" s="20"/>
      <c r="Q9" s="20"/>
    </row>
    <row r="10" spans="1:22" ht="13.5" customHeight="1">
      <c r="D10" s="20"/>
      <c r="H10" s="18"/>
      <c r="I10" s="18"/>
      <c r="J10" s="20"/>
      <c r="K10" s="20"/>
      <c r="L10" s="20"/>
      <c r="M10" s="20"/>
      <c r="Q10" s="20"/>
    </row>
    <row r="11" spans="1:22" ht="13.5" customHeight="1">
      <c r="D11" s="20"/>
      <c r="H11" s="18"/>
      <c r="I11" s="18"/>
      <c r="J11" s="20"/>
      <c r="K11" s="20"/>
      <c r="L11" s="20"/>
      <c r="M11" s="20"/>
      <c r="Q11" s="20"/>
    </row>
    <row r="12" spans="1:22" ht="14.1" customHeight="1">
      <c r="D12" s="20"/>
      <c r="H12" s="18"/>
      <c r="I12" s="18"/>
      <c r="J12" s="20"/>
      <c r="K12" s="20"/>
      <c r="L12" s="20"/>
      <c r="M12" s="20"/>
      <c r="Q12" s="20"/>
    </row>
    <row r="13" spans="1:22" ht="14.1" customHeight="1">
      <c r="D13" s="20"/>
      <c r="H13" s="18"/>
      <c r="I13" s="18"/>
      <c r="J13" s="20"/>
      <c r="K13" s="20"/>
      <c r="L13" s="20"/>
      <c r="M13" s="20"/>
      <c r="Q13" s="20"/>
    </row>
    <row r="14" spans="1:22" ht="14.1" customHeight="1">
      <c r="D14" s="20"/>
      <c r="H14" s="18"/>
      <c r="I14" s="18"/>
      <c r="J14" s="20"/>
      <c r="K14" s="20"/>
      <c r="L14" s="20"/>
      <c r="M14" s="20"/>
      <c r="Q14" s="20"/>
    </row>
    <row r="15" spans="1:22" ht="14.1" customHeight="1">
      <c r="D15" s="20"/>
      <c r="H15" s="18"/>
      <c r="I15" s="18"/>
      <c r="J15" s="20"/>
      <c r="K15" s="20"/>
      <c r="L15" s="20"/>
      <c r="M15" s="20"/>
      <c r="Q15" s="20"/>
    </row>
    <row r="16" spans="1:22" ht="14.1" customHeight="1">
      <c r="D16" s="20"/>
      <c r="H16" s="18"/>
      <c r="I16" s="18"/>
      <c r="J16" s="20"/>
      <c r="K16" s="20"/>
      <c r="L16" s="20"/>
      <c r="M16" s="20"/>
      <c r="Q16" s="20"/>
    </row>
    <row r="17" spans="4:17" ht="14.1" customHeight="1">
      <c r="D17" s="20"/>
      <c r="H17" s="18"/>
      <c r="I17" s="18"/>
      <c r="J17" s="20"/>
      <c r="K17" s="20"/>
      <c r="L17" s="20"/>
      <c r="M17" s="20"/>
      <c r="Q17" s="20"/>
    </row>
    <row r="18" spans="4:17" ht="14.1" customHeight="1">
      <c r="D18" s="20"/>
      <c r="H18" s="18"/>
      <c r="I18" s="18"/>
      <c r="J18" s="20"/>
      <c r="K18" s="20"/>
      <c r="L18" s="20"/>
      <c r="M18" s="20"/>
      <c r="Q18" s="20"/>
    </row>
    <row r="19" spans="4:17" ht="14.1" customHeight="1">
      <c r="D19" s="20"/>
      <c r="H19" s="18"/>
      <c r="I19" s="18"/>
      <c r="J19" s="20"/>
      <c r="K19" s="20"/>
      <c r="L19" s="20"/>
      <c r="M19" s="20"/>
      <c r="Q19" s="20"/>
    </row>
    <row r="20" spans="4:17" ht="14.1" customHeight="1">
      <c r="D20" s="20"/>
      <c r="H20" s="18"/>
      <c r="I20" s="18"/>
      <c r="J20" s="20"/>
      <c r="L20" s="20"/>
      <c r="M20" s="20"/>
      <c r="Q20" s="20"/>
    </row>
    <row r="21" spans="4:17" ht="14.1" customHeight="1">
      <c r="D21" s="4"/>
    </row>
    <row r="22" spans="4:17" ht="14.1" customHeight="1">
      <c r="D22" s="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V205"/>
  <sheetViews>
    <sheetView rightToLeft="1" zoomScale="70" zoomScaleNormal="70" workbookViewId="0">
      <selection activeCell="R27" sqref="R27"/>
    </sheetView>
  </sheetViews>
  <sheetFormatPr defaultColWidth="11.625" defaultRowHeight="14.1" customHeight="1"/>
  <cols>
    <col min="1" max="8" width="11.625" style="2" customWidth="1"/>
    <col min="9" max="9" width="12.625" style="2" customWidth="1"/>
    <col min="10" max="23" width="11.625" style="2" customWidth="1"/>
    <col min="24" max="16384" width="11.625" style="2"/>
  </cols>
  <sheetData>
    <row r="1" spans="1:22" ht="66.75" customHeight="1">
      <c r="A1" s="19" t="s">
        <v>0</v>
      </c>
      <c r="B1" s="19" t="s">
        <v>1</v>
      </c>
      <c r="C1" s="19" t="s">
        <v>5</v>
      </c>
      <c r="D1" s="19" t="s">
        <v>227</v>
      </c>
      <c r="E1" s="19" t="s">
        <v>228</v>
      </c>
      <c r="F1" s="19" t="s">
        <v>229</v>
      </c>
      <c r="G1" s="19" t="s">
        <v>230</v>
      </c>
      <c r="H1" s="19" t="s">
        <v>231</v>
      </c>
      <c r="I1" s="19" t="s">
        <v>232</v>
      </c>
      <c r="J1" s="19" t="s">
        <v>11</v>
      </c>
      <c r="K1" s="19" t="s">
        <v>233</v>
      </c>
      <c r="L1" s="19" t="s">
        <v>234</v>
      </c>
      <c r="M1" s="19" t="s">
        <v>235</v>
      </c>
      <c r="N1" s="19" t="s">
        <v>236</v>
      </c>
      <c r="O1" s="19" t="s">
        <v>237</v>
      </c>
      <c r="P1" s="19" t="s">
        <v>238</v>
      </c>
      <c r="Q1" s="19" t="s">
        <v>239</v>
      </c>
    </row>
    <row r="2" spans="1:22" s="191" customFormat="1" ht="14.1" customHeight="1">
      <c r="A2" s="187">
        <v>424</v>
      </c>
      <c r="B2" s="187">
        <v>7228</v>
      </c>
      <c r="C2" s="187" t="s">
        <v>1059</v>
      </c>
      <c r="D2" s="187" t="s">
        <v>2652</v>
      </c>
      <c r="E2" s="187" t="s">
        <v>2931</v>
      </c>
      <c r="F2" s="187" t="s">
        <v>33</v>
      </c>
      <c r="G2" s="187" t="s">
        <v>2929</v>
      </c>
      <c r="H2" s="187">
        <v>60345527</v>
      </c>
      <c r="I2" s="187" t="s">
        <v>33</v>
      </c>
      <c r="J2" s="187" t="s">
        <v>102</v>
      </c>
      <c r="K2" s="198">
        <v>41364</v>
      </c>
      <c r="L2" s="199">
        <v>500000</v>
      </c>
      <c r="M2" s="199">
        <v>1855</v>
      </c>
      <c r="N2" s="199">
        <v>10000</v>
      </c>
      <c r="O2" s="199">
        <v>37.1</v>
      </c>
      <c r="P2" s="200">
        <v>0.02</v>
      </c>
      <c r="Q2" s="187"/>
      <c r="V2" s="194"/>
    </row>
    <row r="3" spans="1:22" s="191" customFormat="1" ht="14.1" customHeight="1">
      <c r="A3" s="187">
        <v>424</v>
      </c>
      <c r="B3" s="187">
        <v>7228</v>
      </c>
      <c r="C3" s="187" t="s">
        <v>1059</v>
      </c>
      <c r="D3" s="187" t="s">
        <v>2652</v>
      </c>
      <c r="E3" s="187" t="s">
        <v>2931</v>
      </c>
      <c r="F3" s="187" t="s">
        <v>33</v>
      </c>
      <c r="G3" s="187" t="s">
        <v>2652</v>
      </c>
      <c r="H3" s="187">
        <v>60401809</v>
      </c>
      <c r="I3" s="187" t="s">
        <v>33</v>
      </c>
      <c r="J3" s="187" t="s">
        <v>102</v>
      </c>
      <c r="K3" s="198">
        <v>42460</v>
      </c>
      <c r="L3" s="199">
        <v>800000</v>
      </c>
      <c r="M3" s="199">
        <v>2968</v>
      </c>
      <c r="N3" s="199">
        <v>8000</v>
      </c>
      <c r="O3" s="199">
        <v>29.68</v>
      </c>
      <c r="P3" s="200">
        <v>0.01</v>
      </c>
      <c r="Q3" s="187"/>
      <c r="V3" s="194"/>
    </row>
    <row r="4" spans="1:22" s="191" customFormat="1" ht="13.5" customHeight="1">
      <c r="A4" s="187">
        <v>424</v>
      </c>
      <c r="B4" s="187">
        <v>7228</v>
      </c>
      <c r="C4" s="187" t="s">
        <v>1059</v>
      </c>
      <c r="D4" s="187" t="s">
        <v>2944</v>
      </c>
      <c r="E4" s="187" t="s">
        <v>2945</v>
      </c>
      <c r="F4" s="187" t="s">
        <v>33</v>
      </c>
      <c r="G4" s="187" t="s">
        <v>2946</v>
      </c>
      <c r="H4" s="187">
        <v>9840809</v>
      </c>
      <c r="I4" s="187" t="s">
        <v>33</v>
      </c>
      <c r="J4" s="187" t="s">
        <v>102</v>
      </c>
      <c r="K4" s="198">
        <v>39172</v>
      </c>
      <c r="L4" s="199">
        <v>750000</v>
      </c>
      <c r="M4" s="199">
        <v>2782.5</v>
      </c>
      <c r="N4" s="199">
        <v>37500</v>
      </c>
      <c r="O4" s="199">
        <v>139.125</v>
      </c>
      <c r="P4" s="200">
        <v>0.05</v>
      </c>
      <c r="Q4" s="187"/>
      <c r="V4" s="194"/>
    </row>
    <row r="5" spans="1:22" s="191" customFormat="1" ht="13.5" customHeight="1">
      <c r="A5" s="187">
        <v>424</v>
      </c>
      <c r="B5" s="187">
        <v>7228</v>
      </c>
      <c r="C5" s="187" t="s">
        <v>1059</v>
      </c>
      <c r="D5" s="187" t="s">
        <v>3246</v>
      </c>
      <c r="E5" s="187" t="s">
        <v>3247</v>
      </c>
      <c r="F5" s="187" t="s">
        <v>33</v>
      </c>
      <c r="G5" s="187" t="s">
        <v>2895</v>
      </c>
      <c r="H5" s="187">
        <v>62006366</v>
      </c>
      <c r="I5" s="187" t="s">
        <v>33</v>
      </c>
      <c r="J5" s="187" t="s">
        <v>102</v>
      </c>
      <c r="K5" s="198">
        <v>43190</v>
      </c>
      <c r="L5" s="199">
        <v>400000</v>
      </c>
      <c r="M5" s="199">
        <v>1484</v>
      </c>
      <c r="N5" s="199">
        <v>36000</v>
      </c>
      <c r="O5" s="199">
        <v>133.56</v>
      </c>
      <c r="P5" s="200">
        <v>0.09</v>
      </c>
      <c r="Q5" s="187"/>
      <c r="V5" s="194"/>
    </row>
    <row r="6" spans="1:22" s="191" customFormat="1" ht="14.1" customHeight="1">
      <c r="A6" s="187">
        <v>424</v>
      </c>
      <c r="B6" s="187">
        <v>7228</v>
      </c>
      <c r="C6" s="187" t="s">
        <v>1059</v>
      </c>
      <c r="D6" s="187" t="s">
        <v>3248</v>
      </c>
      <c r="E6" s="187" t="s">
        <v>3249</v>
      </c>
      <c r="F6" s="187" t="s">
        <v>1342</v>
      </c>
      <c r="G6" s="187" t="s">
        <v>2961</v>
      </c>
      <c r="H6" s="187">
        <v>9840936</v>
      </c>
      <c r="I6" s="187" t="s">
        <v>33</v>
      </c>
      <c r="J6" s="187" t="s">
        <v>102</v>
      </c>
      <c r="K6" s="198">
        <v>39172</v>
      </c>
      <c r="L6" s="199">
        <v>600000</v>
      </c>
      <c r="M6" s="199">
        <v>2226</v>
      </c>
      <c r="N6" s="199">
        <v>12100</v>
      </c>
      <c r="O6" s="199">
        <v>44.890999999999998</v>
      </c>
      <c r="P6" s="200">
        <v>2.0166666666666666E-2</v>
      </c>
      <c r="Q6" s="187"/>
      <c r="V6" s="194"/>
    </row>
    <row r="7" spans="1:22" s="191" customFormat="1" ht="14.1" customHeight="1">
      <c r="A7" s="187">
        <v>424</v>
      </c>
      <c r="B7" s="187">
        <v>7228</v>
      </c>
      <c r="C7" s="187" t="s">
        <v>1059</v>
      </c>
      <c r="D7" s="187" t="s">
        <v>3250</v>
      </c>
      <c r="E7" s="187" t="s">
        <v>3251</v>
      </c>
      <c r="F7" s="187" t="s">
        <v>33</v>
      </c>
      <c r="G7" s="187" t="s">
        <v>2667</v>
      </c>
      <c r="H7" s="187">
        <v>62002785</v>
      </c>
      <c r="I7" s="187" t="s">
        <v>33</v>
      </c>
      <c r="J7" s="187" t="s">
        <v>102</v>
      </c>
      <c r="K7" s="198">
        <v>42825</v>
      </c>
      <c r="L7" s="199">
        <v>800000</v>
      </c>
      <c r="M7" s="199">
        <v>2968</v>
      </c>
      <c r="N7" s="199">
        <v>52000</v>
      </c>
      <c r="O7" s="199">
        <v>192.92</v>
      </c>
      <c r="P7" s="200">
        <v>6.5000000000000002E-2</v>
      </c>
      <c r="Q7" s="187"/>
      <c r="V7" s="194"/>
    </row>
    <row r="8" spans="1:22" s="191" customFormat="1" ht="14.1" customHeight="1">
      <c r="A8" s="187">
        <v>424</v>
      </c>
      <c r="B8" s="187">
        <v>7228</v>
      </c>
      <c r="C8" s="187" t="s">
        <v>1059</v>
      </c>
      <c r="D8" s="187" t="s">
        <v>3250</v>
      </c>
      <c r="E8" s="187" t="s">
        <v>3251</v>
      </c>
      <c r="F8" s="187" t="s">
        <v>33</v>
      </c>
      <c r="G8" s="187" t="s">
        <v>2669</v>
      </c>
      <c r="H8" s="187">
        <v>62017827</v>
      </c>
      <c r="I8" s="187" t="s">
        <v>33</v>
      </c>
      <c r="J8" s="187" t="s">
        <v>102</v>
      </c>
      <c r="K8" s="198">
        <v>44286</v>
      </c>
      <c r="L8" s="199">
        <v>600000</v>
      </c>
      <c r="M8" s="199">
        <v>2226</v>
      </c>
      <c r="N8" s="199">
        <v>109500</v>
      </c>
      <c r="O8" s="199">
        <v>406.245</v>
      </c>
      <c r="P8" s="200">
        <v>0.1825</v>
      </c>
      <c r="Q8" s="187"/>
      <c r="V8" s="194"/>
    </row>
    <row r="9" spans="1:22" s="191" customFormat="1" ht="14.1" customHeight="1">
      <c r="A9" s="187">
        <v>424</v>
      </c>
      <c r="B9" s="187">
        <v>7228</v>
      </c>
      <c r="C9" s="187" t="s">
        <v>1059</v>
      </c>
      <c r="D9" s="187" t="s">
        <v>3252</v>
      </c>
      <c r="E9" s="187" t="s">
        <v>3253</v>
      </c>
      <c r="F9" s="187" t="s">
        <v>33</v>
      </c>
      <c r="G9" s="187" t="s">
        <v>2671</v>
      </c>
      <c r="H9" s="187">
        <v>62018247</v>
      </c>
      <c r="I9" s="187" t="s">
        <v>33</v>
      </c>
      <c r="J9" s="187" t="s">
        <v>102</v>
      </c>
      <c r="K9" s="198">
        <v>44286</v>
      </c>
      <c r="L9" s="199">
        <v>1200000</v>
      </c>
      <c r="M9" s="199">
        <v>4452</v>
      </c>
      <c r="N9" s="199">
        <v>312000</v>
      </c>
      <c r="O9" s="199">
        <v>1157.52</v>
      </c>
      <c r="P9" s="200">
        <v>0.26</v>
      </c>
      <c r="Q9" s="187"/>
      <c r="V9" s="194"/>
    </row>
    <row r="10" spans="1:22" s="191" customFormat="1" ht="14.1" customHeight="1">
      <c r="A10" s="187">
        <v>424</v>
      </c>
      <c r="B10" s="187">
        <v>7228</v>
      </c>
      <c r="C10" s="187" t="s">
        <v>1059</v>
      </c>
      <c r="D10" s="187" t="s">
        <v>2684</v>
      </c>
      <c r="E10" s="187">
        <v>0</v>
      </c>
      <c r="F10" s="187" t="s">
        <v>350</v>
      </c>
      <c r="G10" s="187" t="s">
        <v>2936</v>
      </c>
      <c r="H10" s="187">
        <v>60382116</v>
      </c>
      <c r="I10" s="187" t="s">
        <v>33</v>
      </c>
      <c r="J10" s="187" t="s">
        <v>102</v>
      </c>
      <c r="K10" s="198">
        <v>42094</v>
      </c>
      <c r="L10" s="199">
        <v>500000</v>
      </c>
      <c r="M10" s="199">
        <v>1855</v>
      </c>
      <c r="N10" s="199">
        <v>25000</v>
      </c>
      <c r="O10" s="199">
        <v>92.75</v>
      </c>
      <c r="P10" s="200">
        <v>0.05</v>
      </c>
      <c r="Q10" s="187"/>
      <c r="V10" s="194"/>
    </row>
    <row r="11" spans="1:22" s="191" customFormat="1" ht="14.1" customHeight="1">
      <c r="A11" s="187">
        <v>424</v>
      </c>
      <c r="B11" s="187">
        <v>7228</v>
      </c>
      <c r="C11" s="187" t="s">
        <v>1059</v>
      </c>
      <c r="D11" s="187" t="s">
        <v>2684</v>
      </c>
      <c r="E11" s="187">
        <v>0</v>
      </c>
      <c r="F11" s="187" t="s">
        <v>350</v>
      </c>
      <c r="G11" s="187" t="s">
        <v>2686</v>
      </c>
      <c r="H11" s="187">
        <v>62013024</v>
      </c>
      <c r="I11" s="187" t="s">
        <v>33</v>
      </c>
      <c r="J11" s="187" t="s">
        <v>102</v>
      </c>
      <c r="K11" s="198">
        <v>43555</v>
      </c>
      <c r="L11" s="199">
        <v>800000</v>
      </c>
      <c r="M11" s="199">
        <v>2968</v>
      </c>
      <c r="N11" s="199">
        <v>240000</v>
      </c>
      <c r="O11" s="199">
        <v>890.4</v>
      </c>
      <c r="P11" s="200">
        <v>0.3</v>
      </c>
      <c r="Q11" s="187"/>
    </row>
    <row r="12" spans="1:22" s="191" customFormat="1" ht="14.1" customHeight="1">
      <c r="A12" s="187">
        <v>424</v>
      </c>
      <c r="B12" s="187">
        <v>7228</v>
      </c>
      <c r="C12" s="187" t="s">
        <v>1059</v>
      </c>
      <c r="D12" s="187" t="s">
        <v>2628</v>
      </c>
      <c r="E12" s="187" t="s">
        <v>2629</v>
      </c>
      <c r="F12" s="187" t="s">
        <v>33</v>
      </c>
      <c r="G12" s="187" t="s">
        <v>2634</v>
      </c>
      <c r="H12" s="187">
        <v>62000563</v>
      </c>
      <c r="I12" s="187" t="s">
        <v>33</v>
      </c>
      <c r="J12" s="187" t="s">
        <v>102</v>
      </c>
      <c r="K12" s="198">
        <v>42825</v>
      </c>
      <c r="L12" s="199">
        <v>900000</v>
      </c>
      <c r="M12" s="199">
        <v>3339</v>
      </c>
      <c r="N12" s="199">
        <v>20250</v>
      </c>
      <c r="O12" s="199">
        <v>75.127499999999998</v>
      </c>
      <c r="P12" s="200">
        <v>2.2499999999999999E-2</v>
      </c>
      <c r="Q12" s="187"/>
    </row>
    <row r="13" spans="1:22" s="191" customFormat="1" ht="14.1" customHeight="1">
      <c r="A13" s="187">
        <v>424</v>
      </c>
      <c r="B13" s="187">
        <v>7228</v>
      </c>
      <c r="C13" s="187" t="s">
        <v>1059</v>
      </c>
      <c r="D13" s="187" t="s">
        <v>2628</v>
      </c>
      <c r="E13" s="187" t="s">
        <v>2629</v>
      </c>
      <c r="F13" s="187" t="s">
        <v>33</v>
      </c>
      <c r="G13" s="187" t="s">
        <v>2632</v>
      </c>
      <c r="H13" s="187">
        <v>62019724</v>
      </c>
      <c r="I13" s="187" t="s">
        <v>33</v>
      </c>
      <c r="J13" s="187" t="s">
        <v>102</v>
      </c>
      <c r="K13" s="198">
        <v>44286</v>
      </c>
      <c r="L13" s="199">
        <v>900000</v>
      </c>
      <c r="M13" s="199">
        <v>3339</v>
      </c>
      <c r="N13" s="199">
        <v>225000</v>
      </c>
      <c r="O13" s="199">
        <v>834.75</v>
      </c>
      <c r="P13" s="200">
        <v>0.25</v>
      </c>
      <c r="Q13" s="187"/>
    </row>
    <row r="14" spans="1:22" s="191" customFormat="1" ht="14.1" customHeight="1">
      <c r="A14" s="187">
        <v>424</v>
      </c>
      <c r="B14" s="187">
        <v>7228</v>
      </c>
      <c r="C14" s="187" t="s">
        <v>1059</v>
      </c>
      <c r="D14" s="187" t="s">
        <v>2628</v>
      </c>
      <c r="E14" s="187" t="s">
        <v>2629</v>
      </c>
      <c r="F14" s="187" t="s">
        <v>33</v>
      </c>
      <c r="G14" s="187" t="s">
        <v>2661</v>
      </c>
      <c r="H14" s="187">
        <v>62013347</v>
      </c>
      <c r="I14" s="187" t="s">
        <v>33</v>
      </c>
      <c r="J14" s="187" t="s">
        <v>102</v>
      </c>
      <c r="K14" s="198">
        <v>43555</v>
      </c>
      <c r="L14" s="199">
        <v>800000</v>
      </c>
      <c r="M14" s="199">
        <v>2968</v>
      </c>
      <c r="N14" s="199">
        <v>20445</v>
      </c>
      <c r="O14" s="199">
        <v>75.850949999999997</v>
      </c>
      <c r="P14" s="200">
        <v>2.5556249999999999E-2</v>
      </c>
      <c r="Q14" s="187"/>
    </row>
    <row r="15" spans="1:22" s="191" customFormat="1" ht="14.1" customHeight="1">
      <c r="A15" s="187">
        <v>424</v>
      </c>
      <c r="B15" s="187">
        <v>7228</v>
      </c>
      <c r="C15" s="187" t="s">
        <v>1059</v>
      </c>
      <c r="D15" s="187" t="s">
        <v>2711</v>
      </c>
      <c r="E15" s="187">
        <v>0</v>
      </c>
      <c r="F15" s="187" t="s">
        <v>194</v>
      </c>
      <c r="G15" s="187" t="s">
        <v>2942</v>
      </c>
      <c r="H15" s="187">
        <v>60335908</v>
      </c>
      <c r="I15" s="187" t="s">
        <v>33</v>
      </c>
      <c r="J15" s="187" t="s">
        <v>102</v>
      </c>
      <c r="K15" s="198">
        <v>41364</v>
      </c>
      <c r="L15" s="199">
        <v>500000</v>
      </c>
      <c r="M15" s="199">
        <v>1855</v>
      </c>
      <c r="N15" s="199">
        <v>20026</v>
      </c>
      <c r="O15" s="199">
        <v>74.29646000000001</v>
      </c>
      <c r="P15" s="200">
        <v>4.0051999999999997E-2</v>
      </c>
      <c r="Q15" s="187"/>
    </row>
    <row r="16" spans="1:22" s="191" customFormat="1" ht="14.1" customHeight="1">
      <c r="A16" s="187">
        <v>424</v>
      </c>
      <c r="B16" s="187">
        <v>7228</v>
      </c>
      <c r="C16" s="187" t="s">
        <v>1059</v>
      </c>
      <c r="D16" s="187" t="s">
        <v>2711</v>
      </c>
      <c r="E16" s="187">
        <v>0</v>
      </c>
      <c r="F16" s="187" t="s">
        <v>194</v>
      </c>
      <c r="G16" s="187" t="s">
        <v>2690</v>
      </c>
      <c r="H16" s="187">
        <v>60406600</v>
      </c>
      <c r="I16" s="187" t="s">
        <v>33</v>
      </c>
      <c r="J16" s="187" t="s">
        <v>102</v>
      </c>
      <c r="K16" s="198">
        <v>42460</v>
      </c>
      <c r="L16" s="199">
        <v>1000000</v>
      </c>
      <c r="M16" s="199">
        <v>3710</v>
      </c>
      <c r="N16" s="199">
        <v>79979</v>
      </c>
      <c r="O16" s="199">
        <v>296.72209000000004</v>
      </c>
      <c r="P16" s="200">
        <v>7.9978999999999995E-2</v>
      </c>
      <c r="Q16" s="187"/>
    </row>
    <row r="17" spans="1:17" s="191" customFormat="1" ht="14.1" customHeight="1">
      <c r="A17" s="187">
        <v>424</v>
      </c>
      <c r="B17" s="187">
        <v>7228</v>
      </c>
      <c r="C17" s="187" t="s">
        <v>1059</v>
      </c>
      <c r="D17" s="187" t="s">
        <v>2711</v>
      </c>
      <c r="E17" s="187">
        <v>0</v>
      </c>
      <c r="F17" s="187" t="s">
        <v>194</v>
      </c>
      <c r="G17" s="187" t="s">
        <v>2714</v>
      </c>
      <c r="H17" s="187">
        <v>62007349</v>
      </c>
      <c r="I17" s="187" t="s">
        <v>33</v>
      </c>
      <c r="J17" s="187" t="s">
        <v>102</v>
      </c>
      <c r="K17" s="198">
        <v>43190</v>
      </c>
      <c r="L17" s="199">
        <v>800000</v>
      </c>
      <c r="M17" s="199">
        <v>2968</v>
      </c>
      <c r="N17" s="199">
        <v>79999</v>
      </c>
      <c r="O17" s="199">
        <v>296.79629</v>
      </c>
      <c r="P17" s="200">
        <v>9.9998749999999997E-2</v>
      </c>
      <c r="Q17" s="187"/>
    </row>
    <row r="18" spans="1:17" s="191" customFormat="1" ht="14.1" customHeight="1">
      <c r="A18" s="187">
        <v>424</v>
      </c>
      <c r="B18" s="187">
        <v>7228</v>
      </c>
      <c r="C18" s="187" t="s">
        <v>1059</v>
      </c>
      <c r="D18" s="187" t="s">
        <v>2711</v>
      </c>
      <c r="E18" s="187">
        <v>0</v>
      </c>
      <c r="F18" s="187" t="s">
        <v>194</v>
      </c>
      <c r="G18" s="187" t="s">
        <v>2718</v>
      </c>
      <c r="H18" s="187">
        <v>62020755</v>
      </c>
      <c r="I18" s="187" t="s">
        <v>33</v>
      </c>
      <c r="J18" s="187" t="s">
        <v>102</v>
      </c>
      <c r="K18" s="198">
        <v>44651</v>
      </c>
      <c r="L18" s="199">
        <v>1600000</v>
      </c>
      <c r="M18" s="199">
        <v>5936</v>
      </c>
      <c r="N18" s="199">
        <v>1104000</v>
      </c>
      <c r="O18" s="199">
        <v>4095.84</v>
      </c>
      <c r="P18" s="200">
        <v>0.69</v>
      </c>
      <c r="Q18" s="187"/>
    </row>
    <row r="19" spans="1:17" s="191" customFormat="1" ht="14.1" customHeight="1">
      <c r="A19" s="187">
        <v>424</v>
      </c>
      <c r="B19" s="187">
        <v>7228</v>
      </c>
      <c r="C19" s="187" t="s">
        <v>1059</v>
      </c>
      <c r="D19" s="187" t="s">
        <v>2711</v>
      </c>
      <c r="E19" s="187">
        <v>0</v>
      </c>
      <c r="F19" s="187" t="s">
        <v>194</v>
      </c>
      <c r="G19" s="187" t="s">
        <v>2694</v>
      </c>
      <c r="H19" s="187">
        <v>62009048</v>
      </c>
      <c r="I19" s="187" t="s">
        <v>33</v>
      </c>
      <c r="J19" s="187" t="s">
        <v>102</v>
      </c>
      <c r="K19" s="198">
        <v>43190</v>
      </c>
      <c r="L19" s="199">
        <v>800000</v>
      </c>
      <c r="M19" s="199">
        <v>2968</v>
      </c>
      <c r="N19" s="199">
        <v>24000</v>
      </c>
      <c r="O19" s="199">
        <v>89.04</v>
      </c>
      <c r="P19" s="200">
        <v>0.03</v>
      </c>
      <c r="Q19" s="187"/>
    </row>
    <row r="20" spans="1:17" s="191" customFormat="1" ht="14.1" customHeight="1">
      <c r="A20" s="187">
        <v>424</v>
      </c>
      <c r="B20" s="187">
        <v>7228</v>
      </c>
      <c r="C20" s="187" t="s">
        <v>1059</v>
      </c>
      <c r="D20" s="187" t="s">
        <v>2711</v>
      </c>
      <c r="E20" s="187">
        <v>0</v>
      </c>
      <c r="F20" s="187" t="s">
        <v>194</v>
      </c>
      <c r="G20" s="187" t="s">
        <v>2712</v>
      </c>
      <c r="H20" s="187">
        <v>62015151</v>
      </c>
      <c r="I20" s="187" t="s">
        <v>33</v>
      </c>
      <c r="J20" s="187" t="s">
        <v>102</v>
      </c>
      <c r="K20" s="198">
        <v>43921</v>
      </c>
      <c r="L20" s="199">
        <v>1000000</v>
      </c>
      <c r="M20" s="199">
        <v>3710</v>
      </c>
      <c r="N20" s="199">
        <v>305000</v>
      </c>
      <c r="O20" s="199">
        <v>1131.55</v>
      </c>
      <c r="P20" s="200">
        <v>0.30499999999999999</v>
      </c>
      <c r="Q20" s="187"/>
    </row>
    <row r="21" spans="1:17" s="191" customFormat="1" ht="14.1" customHeight="1">
      <c r="A21" s="187">
        <v>424</v>
      </c>
      <c r="B21" s="187">
        <v>7228</v>
      </c>
      <c r="C21" s="187" t="s">
        <v>1059</v>
      </c>
      <c r="D21" s="187" t="s">
        <v>2711</v>
      </c>
      <c r="E21" s="187">
        <v>0</v>
      </c>
      <c r="F21" s="187" t="s">
        <v>194</v>
      </c>
      <c r="G21" s="187" t="s">
        <v>2698</v>
      </c>
      <c r="H21" s="187">
        <v>62015334</v>
      </c>
      <c r="I21" s="187" t="s">
        <v>33</v>
      </c>
      <c r="J21" s="187" t="s">
        <v>102</v>
      </c>
      <c r="K21" s="198">
        <v>43921</v>
      </c>
      <c r="L21" s="199">
        <v>1200000</v>
      </c>
      <c r="M21" s="199">
        <v>4452</v>
      </c>
      <c r="N21" s="199">
        <v>180000</v>
      </c>
      <c r="O21" s="199">
        <v>667.8</v>
      </c>
      <c r="P21" s="200">
        <v>0.15</v>
      </c>
      <c r="Q21" s="187"/>
    </row>
    <row r="22" spans="1:17" s="191" customFormat="1" ht="14.1" customHeight="1">
      <c r="A22" s="187">
        <v>424</v>
      </c>
      <c r="B22" s="187">
        <v>7228</v>
      </c>
      <c r="C22" s="187" t="s">
        <v>1059</v>
      </c>
      <c r="D22" s="187" t="s">
        <v>2711</v>
      </c>
      <c r="E22" s="187">
        <v>0</v>
      </c>
      <c r="F22" s="187" t="s">
        <v>194</v>
      </c>
      <c r="G22" s="187" t="s">
        <v>2702</v>
      </c>
      <c r="H22" s="187">
        <v>62017835</v>
      </c>
      <c r="I22" s="187" t="s">
        <v>33</v>
      </c>
      <c r="J22" s="187" t="s">
        <v>102</v>
      </c>
      <c r="K22" s="198">
        <v>44286</v>
      </c>
      <c r="L22" s="199">
        <v>800000</v>
      </c>
      <c r="M22" s="199">
        <v>2968</v>
      </c>
      <c r="N22" s="199">
        <v>132000</v>
      </c>
      <c r="O22" s="199">
        <v>489.72</v>
      </c>
      <c r="P22" s="200">
        <v>0.16500000000000001</v>
      </c>
      <c r="Q22" s="187"/>
    </row>
    <row r="23" spans="1:17" s="191" customFormat="1" ht="14.1" customHeight="1">
      <c r="A23" s="187">
        <v>424</v>
      </c>
      <c r="B23" s="187">
        <v>7228</v>
      </c>
      <c r="C23" s="187" t="s">
        <v>1059</v>
      </c>
      <c r="D23" s="187" t="s">
        <v>2711</v>
      </c>
      <c r="E23" s="187">
        <v>0</v>
      </c>
      <c r="F23" s="187" t="s">
        <v>194</v>
      </c>
      <c r="G23" s="187" t="s">
        <v>2705</v>
      </c>
      <c r="H23" s="187">
        <v>62020011</v>
      </c>
      <c r="I23" s="187" t="s">
        <v>33</v>
      </c>
      <c r="J23" s="187" t="s">
        <v>102</v>
      </c>
      <c r="K23" s="198">
        <v>44561</v>
      </c>
      <c r="L23" s="199">
        <v>1200000</v>
      </c>
      <c r="M23" s="199">
        <v>4452</v>
      </c>
      <c r="N23" s="199">
        <v>666000</v>
      </c>
      <c r="O23" s="199">
        <v>2470.86</v>
      </c>
      <c r="P23" s="200">
        <v>0.55500000000000005</v>
      </c>
      <c r="Q23" s="187"/>
    </row>
    <row r="24" spans="1:17" s="191" customFormat="1" ht="14.1" customHeight="1">
      <c r="A24" s="187">
        <v>424</v>
      </c>
      <c r="B24" s="187">
        <v>7228</v>
      </c>
      <c r="C24" s="187" t="s">
        <v>1059</v>
      </c>
      <c r="D24" s="187" t="s">
        <v>2711</v>
      </c>
      <c r="E24" s="187">
        <v>0</v>
      </c>
      <c r="F24" s="187" t="s">
        <v>194</v>
      </c>
      <c r="G24" s="187" t="s">
        <v>2709</v>
      </c>
      <c r="H24" s="187">
        <v>62020748</v>
      </c>
      <c r="I24" s="187" t="s">
        <v>33</v>
      </c>
      <c r="J24" s="187" t="s">
        <v>102</v>
      </c>
      <c r="K24" s="198">
        <v>44834</v>
      </c>
      <c r="L24" s="199">
        <v>1250000</v>
      </c>
      <c r="M24" s="199">
        <v>4637.5</v>
      </c>
      <c r="N24" s="199">
        <v>1000000</v>
      </c>
      <c r="O24" s="199">
        <v>3710</v>
      </c>
      <c r="P24" s="200">
        <v>0.8</v>
      </c>
      <c r="Q24" s="187"/>
    </row>
    <row r="25" spans="1:17" s="191" customFormat="1" ht="14.1" customHeight="1">
      <c r="A25" s="187">
        <v>424</v>
      </c>
      <c r="B25" s="187">
        <v>7228</v>
      </c>
      <c r="C25" s="187" t="s">
        <v>1059</v>
      </c>
      <c r="D25" s="187" t="s">
        <v>2711</v>
      </c>
      <c r="E25" s="187">
        <v>0</v>
      </c>
      <c r="F25" s="187" t="s">
        <v>194</v>
      </c>
      <c r="G25" s="187" t="s">
        <v>2912</v>
      </c>
      <c r="H25" s="187">
        <v>62020995</v>
      </c>
      <c r="I25" s="187" t="s">
        <v>33</v>
      </c>
      <c r="J25" s="187" t="s">
        <v>102</v>
      </c>
      <c r="K25" s="198">
        <v>44834</v>
      </c>
      <c r="L25" s="199">
        <v>1250000</v>
      </c>
      <c r="M25" s="199">
        <v>4637.5</v>
      </c>
      <c r="N25" s="199">
        <v>975000</v>
      </c>
      <c r="O25" s="199">
        <v>3617.25</v>
      </c>
      <c r="P25" s="200">
        <v>0.78</v>
      </c>
      <c r="Q25" s="187"/>
    </row>
    <row r="26" spans="1:17" s="191" customFormat="1" ht="14.1" customHeight="1">
      <c r="A26" s="187">
        <v>424</v>
      </c>
      <c r="B26" s="187">
        <v>7228</v>
      </c>
      <c r="C26" s="187" t="s">
        <v>1059</v>
      </c>
      <c r="D26" s="187" t="s">
        <v>3254</v>
      </c>
      <c r="E26" s="187" t="s">
        <v>3255</v>
      </c>
      <c r="F26" s="187" t="s">
        <v>1342</v>
      </c>
      <c r="G26" s="187" t="s">
        <v>2848</v>
      </c>
      <c r="H26" s="187">
        <v>62020953</v>
      </c>
      <c r="I26" s="187" t="s">
        <v>33</v>
      </c>
      <c r="J26" s="187" t="s">
        <v>102</v>
      </c>
      <c r="K26" s="198">
        <v>44651</v>
      </c>
      <c r="L26" s="199">
        <v>1800000</v>
      </c>
      <c r="M26" s="199">
        <v>6678</v>
      </c>
      <c r="N26" s="199">
        <v>900000</v>
      </c>
      <c r="O26" s="199">
        <v>3339</v>
      </c>
      <c r="P26" s="200">
        <v>0.5</v>
      </c>
      <c r="Q26" s="187"/>
    </row>
    <row r="27" spans="1:17" s="191" customFormat="1" ht="14.1" customHeight="1">
      <c r="A27" s="187">
        <v>424</v>
      </c>
      <c r="B27" s="187">
        <v>7228</v>
      </c>
      <c r="C27" s="187" t="s">
        <v>1059</v>
      </c>
      <c r="D27" s="187" t="s">
        <v>3256</v>
      </c>
      <c r="E27" s="187" t="s">
        <v>2625</v>
      </c>
      <c r="F27" s="187" t="s">
        <v>33</v>
      </c>
      <c r="G27" s="187" t="s">
        <v>2952</v>
      </c>
      <c r="H27" s="187">
        <v>9840906</v>
      </c>
      <c r="I27" s="187" t="s">
        <v>33</v>
      </c>
      <c r="J27" s="187" t="s">
        <v>102</v>
      </c>
      <c r="K27" s="198">
        <v>38442</v>
      </c>
      <c r="L27" s="199">
        <v>1000000</v>
      </c>
      <c r="M27" s="199">
        <v>3710</v>
      </c>
      <c r="N27" s="199">
        <v>113280</v>
      </c>
      <c r="O27" s="199">
        <v>420.2688</v>
      </c>
      <c r="P27" s="200">
        <v>0.11328000000000001</v>
      </c>
      <c r="Q27" s="187"/>
    </row>
    <row r="28" spans="1:17" s="191" customFormat="1" ht="14.1" customHeight="1">
      <c r="A28" s="187">
        <v>424</v>
      </c>
      <c r="B28" s="187">
        <v>7228</v>
      </c>
      <c r="C28" s="187" t="s">
        <v>1059</v>
      </c>
      <c r="D28" s="187" t="s">
        <v>3256</v>
      </c>
      <c r="E28" s="187" t="s">
        <v>2625</v>
      </c>
      <c r="F28" s="187" t="s">
        <v>33</v>
      </c>
      <c r="G28" s="187" t="s">
        <v>2920</v>
      </c>
      <c r="H28" s="187">
        <v>60305448</v>
      </c>
      <c r="I28" s="187" t="s">
        <v>33</v>
      </c>
      <c r="J28" s="187" t="s">
        <v>102</v>
      </c>
      <c r="K28" s="198">
        <v>40999</v>
      </c>
      <c r="L28" s="199">
        <v>2000000</v>
      </c>
      <c r="M28" s="199">
        <v>7420</v>
      </c>
      <c r="N28" s="199">
        <v>180567</v>
      </c>
      <c r="O28" s="199">
        <v>669.90356999999995</v>
      </c>
      <c r="P28" s="200">
        <v>9.0283500000000003E-2</v>
      </c>
      <c r="Q28" s="187"/>
    </row>
    <row r="29" spans="1:17" s="191" customFormat="1" ht="14.1" customHeight="1">
      <c r="A29" s="187">
        <v>424</v>
      </c>
      <c r="B29" s="187">
        <v>7228</v>
      </c>
      <c r="C29" s="187" t="s">
        <v>1059</v>
      </c>
      <c r="D29" s="187" t="s">
        <v>3256</v>
      </c>
      <c r="E29" s="187" t="s">
        <v>2625</v>
      </c>
      <c r="F29" s="187" t="s">
        <v>33</v>
      </c>
      <c r="G29" s="187" t="s">
        <v>2730</v>
      </c>
      <c r="H29" s="187">
        <v>60400892</v>
      </c>
      <c r="I29" s="187" t="s">
        <v>33</v>
      </c>
      <c r="J29" s="187" t="s">
        <v>102</v>
      </c>
      <c r="K29" s="198">
        <v>42460</v>
      </c>
      <c r="L29" s="199">
        <v>2000000</v>
      </c>
      <c r="M29" s="199">
        <v>7420</v>
      </c>
      <c r="N29" s="199">
        <v>214547</v>
      </c>
      <c r="O29" s="199">
        <v>795.96937000000003</v>
      </c>
      <c r="P29" s="200">
        <v>0.10727349999999999</v>
      </c>
      <c r="Q29" s="187"/>
    </row>
    <row r="30" spans="1:17" s="191" customFormat="1" ht="14.1" customHeight="1">
      <c r="A30" s="187">
        <v>424</v>
      </c>
      <c r="B30" s="187">
        <v>7228</v>
      </c>
      <c r="C30" s="187" t="s">
        <v>1059</v>
      </c>
      <c r="D30" s="187" t="s">
        <v>3256</v>
      </c>
      <c r="E30" s="187" t="s">
        <v>2625</v>
      </c>
      <c r="F30" s="187" t="s">
        <v>33</v>
      </c>
      <c r="G30" s="187" t="s">
        <v>2626</v>
      </c>
      <c r="H30" s="187">
        <v>62018312</v>
      </c>
      <c r="I30" s="187" t="s">
        <v>33</v>
      </c>
      <c r="J30" s="187" t="s">
        <v>102</v>
      </c>
      <c r="K30" s="198">
        <v>44286</v>
      </c>
      <c r="L30" s="199">
        <v>2000000</v>
      </c>
      <c r="M30" s="199">
        <v>7420</v>
      </c>
      <c r="N30" s="199">
        <v>1241600</v>
      </c>
      <c r="O30" s="199">
        <v>4606.3360000000002</v>
      </c>
      <c r="P30" s="200">
        <v>0.62080000000000002</v>
      </c>
      <c r="Q30" s="187"/>
    </row>
    <row r="31" spans="1:17" s="191" customFormat="1" ht="14.1" customHeight="1">
      <c r="A31" s="187">
        <v>424</v>
      </c>
      <c r="B31" s="187">
        <v>7228</v>
      </c>
      <c r="C31" s="187" t="s">
        <v>1059</v>
      </c>
      <c r="D31" s="187" t="s">
        <v>3257</v>
      </c>
      <c r="E31" s="187" t="s">
        <v>3258</v>
      </c>
      <c r="F31" s="187" t="s">
        <v>1342</v>
      </c>
      <c r="G31" s="187" t="s">
        <v>2967</v>
      </c>
      <c r="H31" s="187">
        <v>9840947</v>
      </c>
      <c r="I31" s="187" t="s">
        <v>33</v>
      </c>
      <c r="J31" s="187" t="s">
        <v>102</v>
      </c>
      <c r="K31" s="198">
        <v>38442</v>
      </c>
      <c r="L31" s="199">
        <v>1000000</v>
      </c>
      <c r="M31" s="199">
        <v>3710</v>
      </c>
      <c r="N31" s="199">
        <v>64979</v>
      </c>
      <c r="O31" s="199">
        <v>241.07209</v>
      </c>
      <c r="P31" s="200">
        <v>6.4978999999999995E-2</v>
      </c>
      <c r="Q31" s="187"/>
    </row>
    <row r="32" spans="1:17" s="191" customFormat="1" ht="14.1" customHeight="1">
      <c r="A32" s="187">
        <v>424</v>
      </c>
      <c r="B32" s="187">
        <v>7228</v>
      </c>
      <c r="C32" s="187" t="s">
        <v>1059</v>
      </c>
      <c r="D32" s="187" t="s">
        <v>2646</v>
      </c>
      <c r="E32" s="187" t="s">
        <v>2922</v>
      </c>
      <c r="F32" s="187" t="s">
        <v>33</v>
      </c>
      <c r="G32" s="187" t="s">
        <v>2923</v>
      </c>
      <c r="H32" s="187">
        <v>60283439</v>
      </c>
      <c r="I32" s="187" t="s">
        <v>33</v>
      </c>
      <c r="J32" s="187" t="s">
        <v>102</v>
      </c>
      <c r="K32" s="198">
        <v>40633</v>
      </c>
      <c r="L32" s="199">
        <v>1000000</v>
      </c>
      <c r="M32" s="199">
        <v>3710</v>
      </c>
      <c r="N32" s="199">
        <v>10000</v>
      </c>
      <c r="O32" s="199">
        <v>37.1</v>
      </c>
      <c r="P32" s="200">
        <v>0.01</v>
      </c>
      <c r="Q32" s="187"/>
    </row>
    <row r="33" spans="1:17" s="191" customFormat="1" ht="14.1" customHeight="1">
      <c r="A33" s="187">
        <v>424</v>
      </c>
      <c r="B33" s="187">
        <v>7228</v>
      </c>
      <c r="C33" s="187" t="s">
        <v>1059</v>
      </c>
      <c r="D33" s="187" t="s">
        <v>2646</v>
      </c>
      <c r="E33" s="187" t="s">
        <v>2922</v>
      </c>
      <c r="F33" s="187" t="s">
        <v>33</v>
      </c>
      <c r="G33" s="187" t="s">
        <v>2646</v>
      </c>
      <c r="H33" s="187">
        <v>62017538</v>
      </c>
      <c r="I33" s="187" t="s">
        <v>33</v>
      </c>
      <c r="J33" s="187" t="s">
        <v>102</v>
      </c>
      <c r="K33" s="198">
        <v>43921</v>
      </c>
      <c r="L33" s="199">
        <v>4600000</v>
      </c>
      <c r="M33" s="199">
        <v>17066</v>
      </c>
      <c r="N33" s="199">
        <v>782000</v>
      </c>
      <c r="O33" s="199">
        <v>2901.22</v>
      </c>
      <c r="P33" s="200">
        <v>0.17</v>
      </c>
      <c r="Q33" s="187"/>
    </row>
    <row r="34" spans="1:17" s="191" customFormat="1" ht="14.1" customHeight="1">
      <c r="A34" s="187">
        <v>424</v>
      </c>
      <c r="B34" s="187">
        <v>7228</v>
      </c>
      <c r="C34" s="187" t="s">
        <v>1059</v>
      </c>
      <c r="D34" s="187" t="s">
        <v>3259</v>
      </c>
      <c r="E34" s="187" t="s">
        <v>3260</v>
      </c>
      <c r="F34" s="187" t="s">
        <v>1342</v>
      </c>
      <c r="G34" s="187" t="s">
        <v>2916</v>
      </c>
      <c r="H34" s="187">
        <v>9840847</v>
      </c>
      <c r="I34" s="187" t="s">
        <v>33</v>
      </c>
      <c r="J34" s="187" t="s">
        <v>102</v>
      </c>
      <c r="K34" s="198">
        <v>38442</v>
      </c>
      <c r="L34" s="199">
        <v>500000</v>
      </c>
      <c r="M34" s="199">
        <v>1855</v>
      </c>
      <c r="N34" s="199">
        <v>20000</v>
      </c>
      <c r="O34" s="199">
        <v>74.2</v>
      </c>
      <c r="P34" s="200">
        <v>0.04</v>
      </c>
      <c r="Q34" s="187"/>
    </row>
    <row r="35" spans="1:17" s="191" customFormat="1" ht="14.1" customHeight="1">
      <c r="A35" s="187">
        <v>424</v>
      </c>
      <c r="B35" s="187">
        <v>7228</v>
      </c>
      <c r="C35" s="187" t="s">
        <v>1059</v>
      </c>
      <c r="D35" s="187" t="s">
        <v>3261</v>
      </c>
      <c r="E35" s="187" t="s">
        <v>3262</v>
      </c>
      <c r="F35" s="187" t="s">
        <v>350</v>
      </c>
      <c r="G35" s="187" t="s">
        <v>2935</v>
      </c>
      <c r="H35" s="187">
        <v>60346871</v>
      </c>
      <c r="I35" s="187" t="s">
        <v>33</v>
      </c>
      <c r="J35" s="187" t="s">
        <v>102</v>
      </c>
      <c r="K35" s="198">
        <v>41729</v>
      </c>
      <c r="L35" s="199">
        <v>500000</v>
      </c>
      <c r="M35" s="199">
        <v>1855</v>
      </c>
      <c r="N35" s="199">
        <v>43279</v>
      </c>
      <c r="O35" s="199">
        <v>160.56509</v>
      </c>
      <c r="P35" s="200">
        <v>8.6557999999999996E-2</v>
      </c>
      <c r="Q35" s="187"/>
    </row>
    <row r="36" spans="1:17" s="191" customFormat="1" ht="14.1" customHeight="1">
      <c r="A36" s="187">
        <v>424</v>
      </c>
      <c r="B36" s="187">
        <v>7228</v>
      </c>
      <c r="C36" s="187" t="s">
        <v>1059</v>
      </c>
      <c r="D36" s="187" t="s">
        <v>3263</v>
      </c>
      <c r="E36" s="187" t="s">
        <v>2772</v>
      </c>
      <c r="F36" s="187" t="s">
        <v>350</v>
      </c>
      <c r="G36" s="187" t="s">
        <v>2765</v>
      </c>
      <c r="H36" s="187">
        <v>60419041</v>
      </c>
      <c r="I36" s="187" t="s">
        <v>33</v>
      </c>
      <c r="J36" s="187" t="s">
        <v>102</v>
      </c>
      <c r="K36" s="198">
        <v>42460</v>
      </c>
      <c r="L36" s="199">
        <v>1000000</v>
      </c>
      <c r="M36" s="199">
        <v>3710</v>
      </c>
      <c r="N36" s="199">
        <v>90000</v>
      </c>
      <c r="O36" s="199">
        <v>333.9</v>
      </c>
      <c r="P36" s="200">
        <v>0.09</v>
      </c>
      <c r="Q36" s="187"/>
    </row>
    <row r="37" spans="1:17" s="191" customFormat="1" ht="14.1" customHeight="1">
      <c r="A37" s="187">
        <v>424</v>
      </c>
      <c r="B37" s="187">
        <v>7228</v>
      </c>
      <c r="C37" s="187" t="s">
        <v>1059</v>
      </c>
      <c r="D37" s="187" t="s">
        <v>3263</v>
      </c>
      <c r="E37" s="187" t="s">
        <v>2772</v>
      </c>
      <c r="F37" s="187" t="s">
        <v>350</v>
      </c>
      <c r="G37" s="187" t="s">
        <v>2769</v>
      </c>
      <c r="H37" s="187">
        <v>62016654</v>
      </c>
      <c r="I37" s="187" t="s">
        <v>33</v>
      </c>
      <c r="J37" s="187" t="s">
        <v>102</v>
      </c>
      <c r="K37" s="198">
        <v>43921</v>
      </c>
      <c r="L37" s="199">
        <v>2250000</v>
      </c>
      <c r="M37" s="199">
        <v>8347.5</v>
      </c>
      <c r="N37" s="199">
        <v>472500</v>
      </c>
      <c r="O37" s="199">
        <v>1752.9749999999999</v>
      </c>
      <c r="P37" s="200">
        <v>0.21</v>
      </c>
      <c r="Q37" s="187"/>
    </row>
    <row r="38" spans="1:17" s="191" customFormat="1" ht="14.1" customHeight="1">
      <c r="A38" s="187">
        <v>424</v>
      </c>
      <c r="B38" s="187">
        <v>7228</v>
      </c>
      <c r="C38" s="187" t="s">
        <v>1059</v>
      </c>
      <c r="D38" s="187" t="s">
        <v>3264</v>
      </c>
      <c r="E38" s="187" t="s">
        <v>3265</v>
      </c>
      <c r="F38" s="187" t="s">
        <v>33</v>
      </c>
      <c r="G38" s="187" t="s">
        <v>2773</v>
      </c>
      <c r="H38" s="187">
        <v>62021241</v>
      </c>
      <c r="I38" s="187" t="s">
        <v>33</v>
      </c>
      <c r="J38" s="187" t="s">
        <v>102</v>
      </c>
      <c r="K38" s="198">
        <v>45016</v>
      </c>
      <c r="L38" s="199">
        <v>1600000</v>
      </c>
      <c r="M38" s="199">
        <v>5936</v>
      </c>
      <c r="N38" s="199">
        <v>1296000</v>
      </c>
      <c r="O38" s="199">
        <v>4808.16</v>
      </c>
      <c r="P38" s="200">
        <v>0.81</v>
      </c>
      <c r="Q38" s="187"/>
    </row>
    <row r="39" spans="1:17" s="191" customFormat="1" ht="14.1" customHeight="1">
      <c r="A39" s="187">
        <v>424</v>
      </c>
      <c r="B39" s="187">
        <v>7228</v>
      </c>
      <c r="C39" s="187" t="s">
        <v>1059</v>
      </c>
      <c r="D39" s="187" t="s">
        <v>2815</v>
      </c>
      <c r="E39" s="187" t="s">
        <v>2816</v>
      </c>
      <c r="F39" s="187" t="s">
        <v>33</v>
      </c>
      <c r="G39" s="187" t="s">
        <v>2803</v>
      </c>
      <c r="H39" s="187">
        <v>62003800</v>
      </c>
      <c r="I39" s="187" t="s">
        <v>33</v>
      </c>
      <c r="J39" s="187" t="s">
        <v>102</v>
      </c>
      <c r="K39" s="198">
        <v>43008</v>
      </c>
      <c r="L39" s="199">
        <v>3000000</v>
      </c>
      <c r="M39" s="199">
        <v>11130</v>
      </c>
      <c r="N39" s="199">
        <v>540000</v>
      </c>
      <c r="O39" s="199">
        <v>2003.4</v>
      </c>
      <c r="P39" s="200">
        <v>0.18</v>
      </c>
      <c r="Q39" s="187"/>
    </row>
    <row r="40" spans="1:17" s="191" customFormat="1" ht="14.1" customHeight="1">
      <c r="A40" s="187">
        <v>424</v>
      </c>
      <c r="B40" s="187">
        <v>7228</v>
      </c>
      <c r="C40" s="187" t="s">
        <v>1059</v>
      </c>
      <c r="D40" s="187" t="s">
        <v>2815</v>
      </c>
      <c r="E40" s="187" t="s">
        <v>2816</v>
      </c>
      <c r="F40" s="187" t="s">
        <v>33</v>
      </c>
      <c r="G40" s="187" t="s">
        <v>2805</v>
      </c>
      <c r="H40" s="187">
        <v>620101031</v>
      </c>
      <c r="I40" s="187" t="s">
        <v>33</v>
      </c>
      <c r="J40" s="187" t="s">
        <v>102</v>
      </c>
      <c r="K40" s="198">
        <v>43190</v>
      </c>
      <c r="L40" s="199">
        <v>1500000</v>
      </c>
      <c r="M40" s="199">
        <v>5565</v>
      </c>
      <c r="N40" s="199">
        <v>262500</v>
      </c>
      <c r="O40" s="199">
        <v>973.875</v>
      </c>
      <c r="P40" s="200">
        <v>0.17499999999999999</v>
      </c>
      <c r="Q40" s="187"/>
    </row>
    <row r="41" spans="1:17" s="191" customFormat="1" ht="14.1" customHeight="1">
      <c r="A41" s="187">
        <v>424</v>
      </c>
      <c r="B41" s="187">
        <v>7228</v>
      </c>
      <c r="C41" s="187" t="s">
        <v>1059</v>
      </c>
      <c r="D41" s="187" t="s">
        <v>2815</v>
      </c>
      <c r="E41" s="187" t="s">
        <v>2816</v>
      </c>
      <c r="F41" s="187" t="s">
        <v>33</v>
      </c>
      <c r="G41" s="187" t="s">
        <v>2806</v>
      </c>
      <c r="H41" s="187">
        <v>62014857</v>
      </c>
      <c r="I41" s="187" t="s">
        <v>33</v>
      </c>
      <c r="J41" s="187" t="s">
        <v>102</v>
      </c>
      <c r="K41" s="198">
        <v>43555</v>
      </c>
      <c r="L41" s="199">
        <v>1500000</v>
      </c>
      <c r="M41" s="199">
        <v>5565</v>
      </c>
      <c r="N41" s="199">
        <v>390000</v>
      </c>
      <c r="O41" s="199">
        <v>1446.9</v>
      </c>
      <c r="P41" s="200">
        <v>0.26</v>
      </c>
      <c r="Q41" s="187"/>
    </row>
    <row r="42" spans="1:17" s="191" customFormat="1" ht="14.1" customHeight="1">
      <c r="A42" s="187">
        <v>424</v>
      </c>
      <c r="B42" s="187">
        <v>7228</v>
      </c>
      <c r="C42" s="187" t="s">
        <v>1059</v>
      </c>
      <c r="D42" s="187" t="s">
        <v>2815</v>
      </c>
      <c r="E42" s="187" t="s">
        <v>2816</v>
      </c>
      <c r="F42" s="187" t="s">
        <v>33</v>
      </c>
      <c r="G42" s="187" t="s">
        <v>2808</v>
      </c>
      <c r="H42" s="187">
        <v>62019476</v>
      </c>
      <c r="I42" s="187" t="s">
        <v>33</v>
      </c>
      <c r="J42" s="187" t="s">
        <v>102</v>
      </c>
      <c r="K42" s="198">
        <v>44469</v>
      </c>
      <c r="L42" s="199">
        <v>1750000</v>
      </c>
      <c r="M42" s="199">
        <v>6492.5</v>
      </c>
      <c r="N42" s="199">
        <v>672686</v>
      </c>
      <c r="O42" s="199">
        <v>2495.6650600000003</v>
      </c>
      <c r="P42" s="200">
        <v>0.38439200000000001</v>
      </c>
      <c r="Q42" s="187"/>
    </row>
    <row r="43" spans="1:17" s="191" customFormat="1" ht="14.1" customHeight="1">
      <c r="A43" s="187">
        <v>424</v>
      </c>
      <c r="B43" s="187">
        <v>7228</v>
      </c>
      <c r="C43" s="187" t="s">
        <v>1059</v>
      </c>
      <c r="D43" s="187" t="s">
        <v>2815</v>
      </c>
      <c r="E43" s="187" t="s">
        <v>2816</v>
      </c>
      <c r="F43" s="187" t="s">
        <v>33</v>
      </c>
      <c r="G43" s="187" t="s">
        <v>2811</v>
      </c>
      <c r="H43" s="187">
        <v>62017678</v>
      </c>
      <c r="I43" s="187" t="s">
        <v>33</v>
      </c>
      <c r="J43" s="187" t="s">
        <v>102</v>
      </c>
      <c r="K43" s="198">
        <v>43921</v>
      </c>
      <c r="L43" s="199">
        <v>3000000</v>
      </c>
      <c r="M43" s="199">
        <v>11130</v>
      </c>
      <c r="N43" s="199">
        <v>90000</v>
      </c>
      <c r="O43" s="199">
        <v>333.9</v>
      </c>
      <c r="P43" s="200">
        <v>0.03</v>
      </c>
      <c r="Q43" s="187"/>
    </row>
    <row r="44" spans="1:17" s="191" customFormat="1" ht="14.1" customHeight="1">
      <c r="A44" s="187">
        <v>424</v>
      </c>
      <c r="B44" s="187">
        <v>7228</v>
      </c>
      <c r="C44" s="187" t="s">
        <v>1059</v>
      </c>
      <c r="D44" s="187" t="s">
        <v>2815</v>
      </c>
      <c r="E44" s="187" t="s">
        <v>2816</v>
      </c>
      <c r="F44" s="187" t="s">
        <v>33</v>
      </c>
      <c r="G44" s="187" t="s">
        <v>2813</v>
      </c>
      <c r="H44" s="187">
        <v>62019237</v>
      </c>
      <c r="I44" s="187" t="s">
        <v>33</v>
      </c>
      <c r="J44" s="187" t="s">
        <v>102</v>
      </c>
      <c r="K44" s="198">
        <v>44286</v>
      </c>
      <c r="L44" s="199">
        <v>3000000</v>
      </c>
      <c r="M44" s="199">
        <v>11130</v>
      </c>
      <c r="N44" s="199">
        <v>300000</v>
      </c>
      <c r="O44" s="199">
        <v>1113</v>
      </c>
      <c r="P44" s="200">
        <v>0.1</v>
      </c>
      <c r="Q44" s="187"/>
    </row>
    <row r="45" spans="1:17" s="191" customFormat="1" ht="14.1" customHeight="1">
      <c r="A45" s="187">
        <v>424</v>
      </c>
      <c r="B45" s="187">
        <v>7228</v>
      </c>
      <c r="C45" s="187" t="s">
        <v>1059</v>
      </c>
      <c r="D45" s="187" t="s">
        <v>2815</v>
      </c>
      <c r="E45" s="187" t="s">
        <v>2816</v>
      </c>
      <c r="F45" s="187" t="s">
        <v>33</v>
      </c>
      <c r="G45" s="187" t="s">
        <v>2809</v>
      </c>
      <c r="H45" s="187">
        <v>62020458</v>
      </c>
      <c r="I45" s="187" t="s">
        <v>33</v>
      </c>
      <c r="J45" s="187" t="s">
        <v>102</v>
      </c>
      <c r="K45" s="198">
        <v>44742</v>
      </c>
      <c r="L45" s="199">
        <v>1000000</v>
      </c>
      <c r="M45" s="199">
        <v>3710</v>
      </c>
      <c r="N45" s="199">
        <v>150000</v>
      </c>
      <c r="O45" s="199">
        <v>556.5</v>
      </c>
      <c r="P45" s="200">
        <v>0.15</v>
      </c>
      <c r="Q45" s="187"/>
    </row>
    <row r="46" spans="1:17" s="191" customFormat="1" ht="14.1" customHeight="1">
      <c r="A46" s="187">
        <v>424</v>
      </c>
      <c r="B46" s="187">
        <v>7228</v>
      </c>
      <c r="C46" s="187" t="s">
        <v>1059</v>
      </c>
      <c r="D46" s="187" t="s">
        <v>2648</v>
      </c>
      <c r="E46" s="187" t="s">
        <v>2649</v>
      </c>
      <c r="F46" s="187" t="s">
        <v>33</v>
      </c>
      <c r="G46" s="187" t="s">
        <v>2650</v>
      </c>
      <c r="H46" s="187">
        <v>62001189</v>
      </c>
      <c r="I46" s="187" t="s">
        <v>33</v>
      </c>
      <c r="J46" s="187" t="s">
        <v>102</v>
      </c>
      <c r="K46" s="198">
        <v>42825</v>
      </c>
      <c r="L46" s="199">
        <v>730000</v>
      </c>
      <c r="M46" s="199">
        <v>2708.3</v>
      </c>
      <c r="N46" s="199">
        <v>47450</v>
      </c>
      <c r="O46" s="199">
        <v>176.0395</v>
      </c>
      <c r="P46" s="200">
        <v>6.5000000000000002E-2</v>
      </c>
      <c r="Q46" s="187"/>
    </row>
    <row r="47" spans="1:17" s="191" customFormat="1" ht="14.1" customHeight="1">
      <c r="A47" s="187">
        <v>424</v>
      </c>
      <c r="B47" s="187">
        <v>7228</v>
      </c>
      <c r="C47" s="187" t="s">
        <v>1059</v>
      </c>
      <c r="D47" s="187" t="s">
        <v>3266</v>
      </c>
      <c r="E47" s="187" t="s">
        <v>3267</v>
      </c>
      <c r="F47" s="187" t="s">
        <v>33</v>
      </c>
      <c r="G47" s="187" t="s">
        <v>2972</v>
      </c>
      <c r="H47" s="187">
        <v>62001875</v>
      </c>
      <c r="I47" s="187" t="s">
        <v>33</v>
      </c>
      <c r="J47" s="187" t="s">
        <v>102</v>
      </c>
      <c r="K47" s="198">
        <v>42825</v>
      </c>
      <c r="L47" s="199">
        <v>1000000</v>
      </c>
      <c r="M47" s="199">
        <v>3710</v>
      </c>
      <c r="N47" s="199">
        <v>241075.00000000012</v>
      </c>
      <c r="O47" s="199">
        <v>894.38825000000043</v>
      </c>
      <c r="P47" s="200">
        <v>0.24107500000000012</v>
      </c>
      <c r="Q47" s="187"/>
    </row>
    <row r="48" spans="1:17" s="191" customFormat="1" ht="14.1" customHeight="1">
      <c r="A48" s="187">
        <v>424</v>
      </c>
      <c r="B48" s="187">
        <v>7228</v>
      </c>
      <c r="C48" s="187" t="s">
        <v>1059</v>
      </c>
      <c r="D48" s="187" t="s">
        <v>3268</v>
      </c>
      <c r="E48" s="187" t="s">
        <v>3269</v>
      </c>
      <c r="F48" s="187" t="s">
        <v>33</v>
      </c>
      <c r="G48" s="187" t="s">
        <v>2836</v>
      </c>
      <c r="H48" s="187">
        <v>62006705</v>
      </c>
      <c r="I48" s="187" t="s">
        <v>33</v>
      </c>
      <c r="J48" s="187" t="s">
        <v>102</v>
      </c>
      <c r="K48" s="198">
        <v>43190</v>
      </c>
      <c r="L48" s="199">
        <v>1000000</v>
      </c>
      <c r="M48" s="199">
        <v>3710</v>
      </c>
      <c r="N48" s="199">
        <v>33321.800000000047</v>
      </c>
      <c r="O48" s="199">
        <v>123.62387800000018</v>
      </c>
      <c r="P48" s="200">
        <v>3.3321800000000047E-2</v>
      </c>
      <c r="Q48" s="187"/>
    </row>
    <row r="49" spans="1:17" s="191" customFormat="1" ht="14.1" customHeight="1">
      <c r="A49" s="187">
        <v>424</v>
      </c>
      <c r="B49" s="187">
        <v>7228</v>
      </c>
      <c r="C49" s="187" t="s">
        <v>1059</v>
      </c>
      <c r="D49" s="187" t="s">
        <v>3270</v>
      </c>
      <c r="E49" s="187" t="s">
        <v>3271</v>
      </c>
      <c r="F49" s="187" t="s">
        <v>33</v>
      </c>
      <c r="G49" s="187" t="s">
        <v>2832</v>
      </c>
      <c r="H49" s="187">
        <v>62019013</v>
      </c>
      <c r="I49" s="187" t="s">
        <v>33</v>
      </c>
      <c r="J49" s="187" t="s">
        <v>102</v>
      </c>
      <c r="K49" s="198">
        <v>44286</v>
      </c>
      <c r="L49" s="199">
        <v>2700000</v>
      </c>
      <c r="M49" s="199">
        <v>10017</v>
      </c>
      <c r="N49" s="199">
        <v>198101.3200000003</v>
      </c>
      <c r="O49" s="199">
        <v>734.955897200001</v>
      </c>
      <c r="P49" s="200">
        <v>7.3370859259259374E-2</v>
      </c>
      <c r="Q49" s="187"/>
    </row>
    <row r="50" spans="1:17" s="191" customFormat="1" ht="14.1" customHeight="1">
      <c r="A50" s="187">
        <v>424</v>
      </c>
      <c r="B50" s="187">
        <v>7228</v>
      </c>
      <c r="C50" s="187" t="s">
        <v>1059</v>
      </c>
      <c r="D50" s="187" t="s">
        <v>2723</v>
      </c>
      <c r="E50" s="187" t="s">
        <v>2724</v>
      </c>
      <c r="F50" s="187" t="s">
        <v>1342</v>
      </c>
      <c r="G50" s="187" t="s">
        <v>2723</v>
      </c>
      <c r="H50" s="187">
        <v>18952</v>
      </c>
      <c r="I50" s="187" t="s">
        <v>33</v>
      </c>
      <c r="J50" s="187" t="s">
        <v>34</v>
      </c>
      <c r="K50" s="198">
        <v>42825</v>
      </c>
      <c r="L50" s="199">
        <v>3250000</v>
      </c>
      <c r="M50" s="199">
        <v>3250</v>
      </c>
      <c r="N50" s="199">
        <v>557669</v>
      </c>
      <c r="O50" s="199">
        <v>557.66899999999998</v>
      </c>
      <c r="P50" s="200">
        <v>0.17159046153846153</v>
      </c>
      <c r="Q50" s="187"/>
    </row>
    <row r="51" spans="1:17" s="191" customFormat="1" ht="14.1" customHeight="1">
      <c r="A51" s="187">
        <v>424</v>
      </c>
      <c r="B51" s="187">
        <v>7228</v>
      </c>
      <c r="C51" s="187" t="s">
        <v>1059</v>
      </c>
      <c r="D51" s="187" t="s">
        <v>2723</v>
      </c>
      <c r="E51" s="187" t="s">
        <v>2724</v>
      </c>
      <c r="F51" s="187" t="s">
        <v>1342</v>
      </c>
      <c r="G51" s="187" t="s">
        <v>2725</v>
      </c>
      <c r="H51" s="187">
        <v>50007004</v>
      </c>
      <c r="I51" s="187" t="s">
        <v>33</v>
      </c>
      <c r="J51" s="187" t="s">
        <v>34</v>
      </c>
      <c r="K51" s="198">
        <v>44469</v>
      </c>
      <c r="L51" s="199">
        <v>8000000</v>
      </c>
      <c r="M51" s="199">
        <v>8000</v>
      </c>
      <c r="N51" s="199">
        <v>2442822</v>
      </c>
      <c r="O51" s="199">
        <v>2442.8220000000001</v>
      </c>
      <c r="P51" s="200">
        <v>0.30535275000000001</v>
      </c>
      <c r="Q51" s="187"/>
    </row>
    <row r="52" spans="1:17" s="191" customFormat="1" ht="14.1" customHeight="1">
      <c r="A52" s="187">
        <v>424</v>
      </c>
      <c r="B52" s="187">
        <v>7228</v>
      </c>
      <c r="C52" s="187" t="s">
        <v>1059</v>
      </c>
      <c r="D52" s="187" t="s">
        <v>2655</v>
      </c>
      <c r="E52" s="187" t="s">
        <v>2656</v>
      </c>
      <c r="F52" s="187" t="s">
        <v>349</v>
      </c>
      <c r="G52" s="187" t="s">
        <v>2657</v>
      </c>
      <c r="H52" s="187">
        <v>50000983</v>
      </c>
      <c r="I52" s="187" t="s">
        <v>33</v>
      </c>
      <c r="J52" s="187" t="s">
        <v>34</v>
      </c>
      <c r="K52" s="198">
        <v>43555</v>
      </c>
      <c r="L52" s="199">
        <v>6000000</v>
      </c>
      <c r="M52" s="199">
        <v>6000</v>
      </c>
      <c r="N52" s="199">
        <v>1800000</v>
      </c>
      <c r="O52" s="199">
        <v>1800</v>
      </c>
      <c r="P52" s="200">
        <v>0.3</v>
      </c>
      <c r="Q52" s="187"/>
    </row>
    <row r="53" spans="1:17" s="191" customFormat="1" ht="14.1" customHeight="1">
      <c r="A53" s="187">
        <v>424</v>
      </c>
      <c r="B53" s="187">
        <v>7228</v>
      </c>
      <c r="C53" s="187" t="s">
        <v>1059</v>
      </c>
      <c r="D53" s="187" t="s">
        <v>2655</v>
      </c>
      <c r="E53" s="187" t="s">
        <v>2656</v>
      </c>
      <c r="F53" s="187" t="s">
        <v>349</v>
      </c>
      <c r="G53" s="187" t="s">
        <v>2659</v>
      </c>
      <c r="H53" s="187">
        <v>50007897</v>
      </c>
      <c r="I53" s="187" t="s">
        <v>33</v>
      </c>
      <c r="J53" s="187" t="s">
        <v>34</v>
      </c>
      <c r="K53" s="198">
        <v>45016</v>
      </c>
      <c r="L53" s="199">
        <v>9900000</v>
      </c>
      <c r="M53" s="199">
        <v>9900</v>
      </c>
      <c r="N53" s="199">
        <v>6930000</v>
      </c>
      <c r="O53" s="199">
        <v>6930</v>
      </c>
      <c r="P53" s="200">
        <v>0.7</v>
      </c>
      <c r="Q53" s="187"/>
    </row>
    <row r="54" spans="1:17" s="191" customFormat="1" ht="14.1" customHeight="1">
      <c r="A54" s="187">
        <v>424</v>
      </c>
      <c r="B54" s="187">
        <v>7228</v>
      </c>
      <c r="C54" s="187" t="s">
        <v>1059</v>
      </c>
      <c r="D54" s="187" t="s">
        <v>2974</v>
      </c>
      <c r="E54" s="187" t="s">
        <v>2975</v>
      </c>
      <c r="F54" s="187" t="s">
        <v>349</v>
      </c>
      <c r="G54" s="187" t="s">
        <v>2976</v>
      </c>
      <c r="H54" s="187">
        <v>62006754</v>
      </c>
      <c r="I54" s="187" t="s">
        <v>33</v>
      </c>
      <c r="J54" s="187" t="s">
        <v>102</v>
      </c>
      <c r="K54" s="198">
        <v>43190</v>
      </c>
      <c r="L54" s="199">
        <v>750000</v>
      </c>
      <c r="M54" s="199">
        <v>2782.5</v>
      </c>
      <c r="N54" s="199">
        <v>65889.779999999795</v>
      </c>
      <c r="O54" s="199">
        <v>244.45108379999922</v>
      </c>
      <c r="P54" s="200">
        <v>8.785303999999973E-2</v>
      </c>
      <c r="Q54" s="187"/>
    </row>
    <row r="55" spans="1:17" s="191" customFormat="1" ht="14.1" customHeight="1">
      <c r="A55" s="187">
        <v>424</v>
      </c>
      <c r="B55" s="187">
        <v>7228</v>
      </c>
      <c r="C55" s="187" t="s">
        <v>1059</v>
      </c>
      <c r="D55" s="187" t="s">
        <v>3272</v>
      </c>
      <c r="E55" s="187" t="s">
        <v>3273</v>
      </c>
      <c r="F55" s="187" t="s">
        <v>33</v>
      </c>
      <c r="G55" s="187" t="s">
        <v>2877</v>
      </c>
      <c r="H55" s="187">
        <v>62009204</v>
      </c>
      <c r="I55" s="187" t="s">
        <v>33</v>
      </c>
      <c r="J55" s="187" t="s">
        <v>102</v>
      </c>
      <c r="K55" s="198">
        <v>43190</v>
      </c>
      <c r="L55" s="199">
        <v>1500000</v>
      </c>
      <c r="M55" s="199">
        <v>5565</v>
      </c>
      <c r="N55" s="199">
        <v>137628</v>
      </c>
      <c r="O55" s="199">
        <v>510.59987999999998</v>
      </c>
      <c r="P55" s="200">
        <v>9.1752E-2</v>
      </c>
      <c r="Q55" s="187"/>
    </row>
    <row r="56" spans="1:17" s="191" customFormat="1" ht="14.1" customHeight="1">
      <c r="A56" s="187">
        <v>424</v>
      </c>
      <c r="B56" s="187">
        <v>7228</v>
      </c>
      <c r="C56" s="187" t="s">
        <v>1059</v>
      </c>
      <c r="D56" s="187" t="s">
        <v>2861</v>
      </c>
      <c r="E56" s="187">
        <v>0</v>
      </c>
      <c r="F56" s="187" t="s">
        <v>350</v>
      </c>
      <c r="G56" s="187" t="s">
        <v>2891</v>
      </c>
      <c r="H56" s="187">
        <v>62010137</v>
      </c>
      <c r="I56" s="187" t="s">
        <v>33</v>
      </c>
      <c r="J56" s="187" t="s">
        <v>102</v>
      </c>
      <c r="K56" s="198">
        <v>43190</v>
      </c>
      <c r="L56" s="199">
        <v>1500000</v>
      </c>
      <c r="M56" s="199">
        <v>5565</v>
      </c>
      <c r="N56" s="199">
        <v>415893</v>
      </c>
      <c r="O56" s="199">
        <v>1542.9630300000001</v>
      </c>
      <c r="P56" s="200">
        <v>0.27726200000000001</v>
      </c>
      <c r="Q56" s="187"/>
    </row>
    <row r="57" spans="1:17" s="191" customFormat="1" ht="14.1" customHeight="1">
      <c r="A57" s="187">
        <v>424</v>
      </c>
      <c r="B57" s="187">
        <v>7228</v>
      </c>
      <c r="C57" s="187" t="s">
        <v>1059</v>
      </c>
      <c r="D57" s="187" t="s">
        <v>3272</v>
      </c>
      <c r="E57" s="187" t="s">
        <v>3273</v>
      </c>
      <c r="F57" s="187" t="s">
        <v>33</v>
      </c>
      <c r="G57" s="187" t="s">
        <v>2887</v>
      </c>
      <c r="H57" s="187">
        <v>62020813</v>
      </c>
      <c r="I57" s="187" t="s">
        <v>33</v>
      </c>
      <c r="J57" s="187" t="s">
        <v>102</v>
      </c>
      <c r="K57" s="198">
        <v>44742</v>
      </c>
      <c r="L57" s="199">
        <v>2200000</v>
      </c>
      <c r="M57" s="199">
        <v>8162</v>
      </c>
      <c r="N57" s="199">
        <v>1315367</v>
      </c>
      <c r="O57" s="199">
        <v>4880.0115700000006</v>
      </c>
      <c r="P57" s="200">
        <v>0.59789409090909096</v>
      </c>
      <c r="Q57" s="187"/>
    </row>
    <row r="58" spans="1:17" s="191" customFormat="1" ht="14.1" customHeight="1">
      <c r="A58" s="187">
        <v>424</v>
      </c>
      <c r="B58" s="187">
        <v>7228</v>
      </c>
      <c r="C58" s="187" t="s">
        <v>1059</v>
      </c>
      <c r="D58" s="187" t="s">
        <v>2872</v>
      </c>
      <c r="E58" s="187" t="s">
        <v>2873</v>
      </c>
      <c r="F58" s="187" t="s">
        <v>349</v>
      </c>
      <c r="G58" s="187" t="s">
        <v>2881</v>
      </c>
      <c r="H58" s="187">
        <v>62019807</v>
      </c>
      <c r="I58" s="187" t="s">
        <v>33</v>
      </c>
      <c r="J58" s="187" t="s">
        <v>102</v>
      </c>
      <c r="K58" s="198">
        <v>44561</v>
      </c>
      <c r="L58" s="199">
        <v>2700000</v>
      </c>
      <c r="M58" s="199">
        <v>10017</v>
      </c>
      <c r="N58" s="199">
        <v>499021</v>
      </c>
      <c r="O58" s="199">
        <v>1851.3679099999999</v>
      </c>
      <c r="P58" s="200">
        <v>0.18482259259259259</v>
      </c>
      <c r="Q58" s="187"/>
    </row>
    <row r="59" spans="1:17" s="191" customFormat="1" ht="14.1" customHeight="1">
      <c r="A59" s="187">
        <v>424</v>
      </c>
      <c r="B59" s="187">
        <v>7228</v>
      </c>
      <c r="C59" s="187" t="s">
        <v>1059</v>
      </c>
      <c r="D59" s="187" t="s">
        <v>3272</v>
      </c>
      <c r="E59" s="187" t="s">
        <v>3273</v>
      </c>
      <c r="F59" s="187" t="s">
        <v>33</v>
      </c>
      <c r="G59" s="187" t="s">
        <v>2870</v>
      </c>
      <c r="H59" s="187">
        <v>62019849</v>
      </c>
      <c r="I59" s="187" t="s">
        <v>33</v>
      </c>
      <c r="J59" s="187" t="s">
        <v>102</v>
      </c>
      <c r="K59" s="198">
        <v>44561</v>
      </c>
      <c r="L59" s="199">
        <v>2800000</v>
      </c>
      <c r="M59" s="199">
        <v>10388</v>
      </c>
      <c r="N59" s="199">
        <v>741247.3200000003</v>
      </c>
      <c r="O59" s="199">
        <v>2750.027557200001</v>
      </c>
      <c r="P59" s="200">
        <v>0.26473118571428583</v>
      </c>
      <c r="Q59" s="187"/>
    </row>
    <row r="60" spans="1:17" s="191" customFormat="1" ht="14.1" customHeight="1">
      <c r="A60" s="187">
        <v>424</v>
      </c>
      <c r="B60" s="187">
        <v>7228</v>
      </c>
      <c r="C60" s="187" t="s">
        <v>1059</v>
      </c>
      <c r="D60" s="187" t="s">
        <v>3274</v>
      </c>
      <c r="E60" s="187" t="s">
        <v>3275</v>
      </c>
      <c r="F60" s="187" t="s">
        <v>349</v>
      </c>
      <c r="G60" s="187" t="s">
        <v>2883</v>
      </c>
      <c r="H60" s="187">
        <v>62020615</v>
      </c>
      <c r="I60" s="187" t="s">
        <v>33</v>
      </c>
      <c r="J60" s="187" t="s">
        <v>102</v>
      </c>
      <c r="K60" s="198">
        <v>44651</v>
      </c>
      <c r="L60" s="199">
        <v>2600000</v>
      </c>
      <c r="M60" s="199">
        <v>9646</v>
      </c>
      <c r="N60" s="199">
        <v>1105033</v>
      </c>
      <c r="O60" s="199">
        <v>4099.6724300000005</v>
      </c>
      <c r="P60" s="200">
        <v>0.42501269230769229</v>
      </c>
      <c r="Q60" s="187"/>
    </row>
    <row r="61" spans="1:17" s="191" customFormat="1" ht="14.1" customHeight="1">
      <c r="A61" s="187">
        <v>424</v>
      </c>
      <c r="B61" s="187">
        <v>7228</v>
      </c>
      <c r="C61" s="187" t="s">
        <v>1059</v>
      </c>
      <c r="D61" s="187" t="s">
        <v>2872</v>
      </c>
      <c r="E61" s="187" t="s">
        <v>2873</v>
      </c>
      <c r="F61" s="187" t="s">
        <v>349</v>
      </c>
      <c r="G61" s="187" t="s">
        <v>2866</v>
      </c>
      <c r="H61" s="187">
        <v>62021571</v>
      </c>
      <c r="I61" s="187" t="s">
        <v>33</v>
      </c>
      <c r="J61" s="187" t="s">
        <v>1209</v>
      </c>
      <c r="K61" s="198">
        <v>45382</v>
      </c>
      <c r="L61" s="199">
        <v>1600000</v>
      </c>
      <c r="M61" s="199">
        <v>6643.84</v>
      </c>
      <c r="N61" s="199">
        <v>934792.92</v>
      </c>
      <c r="O61" s="199">
        <v>3881.6341210080004</v>
      </c>
      <c r="P61" s="200">
        <v>0.58424557500000007</v>
      </c>
      <c r="Q61" s="187"/>
    </row>
    <row r="62" spans="1:17" s="191" customFormat="1" ht="14.1" customHeight="1">
      <c r="A62" s="187">
        <v>424</v>
      </c>
      <c r="B62" s="187">
        <v>7228</v>
      </c>
      <c r="C62" s="187" t="s">
        <v>1059</v>
      </c>
      <c r="D62" s="187" t="s">
        <v>3276</v>
      </c>
      <c r="E62" s="187" t="s">
        <v>3277</v>
      </c>
      <c r="F62" s="187" t="s">
        <v>33</v>
      </c>
      <c r="G62" s="187" t="s">
        <v>2791</v>
      </c>
      <c r="H62" s="187">
        <v>62020946</v>
      </c>
      <c r="I62" s="187" t="s">
        <v>33</v>
      </c>
      <c r="J62" s="187" t="s">
        <v>102</v>
      </c>
      <c r="K62" s="198">
        <v>44651</v>
      </c>
      <c r="L62" s="199">
        <v>2700000</v>
      </c>
      <c r="M62" s="199">
        <v>10017</v>
      </c>
      <c r="N62" s="199">
        <v>1277519</v>
      </c>
      <c r="O62" s="199">
        <v>4739.5954900000006</v>
      </c>
      <c r="P62" s="200">
        <v>0.47315518518518518</v>
      </c>
      <c r="Q62" s="187"/>
    </row>
    <row r="63" spans="1:17" s="191" customFormat="1" ht="14.1" customHeight="1">
      <c r="A63" s="187">
        <v>424</v>
      </c>
      <c r="B63" s="187">
        <v>7228</v>
      </c>
      <c r="C63" s="187" t="s">
        <v>1059</v>
      </c>
      <c r="D63" s="187" t="s">
        <v>2840</v>
      </c>
      <c r="E63" s="187" t="s">
        <v>3278</v>
      </c>
      <c r="F63" s="187" t="s">
        <v>33</v>
      </c>
      <c r="G63" s="187" t="s">
        <v>2840</v>
      </c>
      <c r="H63" s="187">
        <v>62017652</v>
      </c>
      <c r="I63" s="187" t="s">
        <v>33</v>
      </c>
      <c r="J63" s="187" t="s">
        <v>102</v>
      </c>
      <c r="K63" s="198">
        <v>43921</v>
      </c>
      <c r="L63" s="199">
        <v>2200000</v>
      </c>
      <c r="M63" s="199">
        <v>8162</v>
      </c>
      <c r="N63" s="199">
        <v>764710.35999999987</v>
      </c>
      <c r="O63" s="199">
        <v>2837.0754355999993</v>
      </c>
      <c r="P63" s="200">
        <v>0.34759561818181811</v>
      </c>
      <c r="Q63" s="187"/>
    </row>
    <row r="64" spans="1:17" s="191" customFormat="1" ht="14.1" customHeight="1">
      <c r="A64" s="187">
        <v>424</v>
      </c>
      <c r="B64" s="187">
        <v>7228</v>
      </c>
      <c r="C64" s="187" t="s">
        <v>1059</v>
      </c>
      <c r="D64" s="187" t="s">
        <v>2840</v>
      </c>
      <c r="E64" s="187" t="s">
        <v>3278</v>
      </c>
      <c r="F64" s="187" t="s">
        <v>33</v>
      </c>
      <c r="G64" s="187" t="s">
        <v>2844</v>
      </c>
      <c r="H64" s="187">
        <v>62021142</v>
      </c>
      <c r="I64" s="187" t="s">
        <v>33</v>
      </c>
      <c r="J64" s="187" t="s">
        <v>102</v>
      </c>
      <c r="K64" s="198">
        <v>45016</v>
      </c>
      <c r="L64" s="199">
        <v>2800000</v>
      </c>
      <c r="M64" s="199">
        <v>10388</v>
      </c>
      <c r="N64" s="199">
        <v>1092000</v>
      </c>
      <c r="O64" s="199">
        <v>4051.32</v>
      </c>
      <c r="P64" s="200">
        <v>0.39</v>
      </c>
      <c r="Q64" s="187"/>
    </row>
    <row r="65" spans="1:17" s="191" customFormat="1" ht="14.1" customHeight="1">
      <c r="A65" s="187">
        <v>424</v>
      </c>
      <c r="B65" s="187">
        <v>7228</v>
      </c>
      <c r="C65" s="187" t="s">
        <v>1059</v>
      </c>
      <c r="D65" s="187" t="s">
        <v>3279</v>
      </c>
      <c r="E65" s="187" t="s">
        <v>2674</v>
      </c>
      <c r="F65" s="187" t="s">
        <v>33</v>
      </c>
      <c r="G65" s="187" t="s">
        <v>2824</v>
      </c>
      <c r="H65" s="187">
        <v>62017702</v>
      </c>
      <c r="I65" s="187" t="s">
        <v>33</v>
      </c>
      <c r="J65" s="187" t="s">
        <v>102</v>
      </c>
      <c r="K65" s="198">
        <v>43921</v>
      </c>
      <c r="L65" s="199">
        <v>2500000</v>
      </c>
      <c r="M65" s="199">
        <v>9275</v>
      </c>
      <c r="N65" s="199">
        <v>153138</v>
      </c>
      <c r="O65" s="199">
        <v>568.14197999999999</v>
      </c>
      <c r="P65" s="200">
        <v>6.1255200000000003E-2</v>
      </c>
      <c r="Q65" s="187"/>
    </row>
    <row r="66" spans="1:17" s="191" customFormat="1" ht="14.1" customHeight="1">
      <c r="A66" s="187">
        <v>424</v>
      </c>
      <c r="B66" s="187">
        <v>7228</v>
      </c>
      <c r="C66" s="187" t="s">
        <v>1059</v>
      </c>
      <c r="D66" s="187" t="s">
        <v>3280</v>
      </c>
      <c r="E66" s="187" t="s">
        <v>3281</v>
      </c>
      <c r="F66" s="187" t="s">
        <v>33</v>
      </c>
      <c r="G66" s="187" t="s">
        <v>2899</v>
      </c>
      <c r="H66" s="187">
        <v>62018387</v>
      </c>
      <c r="I66" s="187" t="s">
        <v>33</v>
      </c>
      <c r="J66" s="187" t="s">
        <v>102</v>
      </c>
      <c r="K66" s="198">
        <v>44286</v>
      </c>
      <c r="L66" s="199">
        <v>1500000</v>
      </c>
      <c r="M66" s="199">
        <v>5565</v>
      </c>
      <c r="N66" s="199">
        <v>221021.61999999988</v>
      </c>
      <c r="O66" s="199">
        <v>819.99021019999952</v>
      </c>
      <c r="P66" s="200">
        <v>0.14734774666666658</v>
      </c>
      <c r="Q66" s="187"/>
    </row>
    <row r="67" spans="1:17" s="191" customFormat="1" ht="14.1" customHeight="1">
      <c r="A67" s="187">
        <v>424</v>
      </c>
      <c r="B67" s="187">
        <v>7228</v>
      </c>
      <c r="C67" s="187" t="s">
        <v>1059</v>
      </c>
      <c r="D67" s="187" t="s">
        <v>3282</v>
      </c>
      <c r="E67" s="187" t="s">
        <v>3283</v>
      </c>
      <c r="F67" s="187" t="s">
        <v>33</v>
      </c>
      <c r="G67" s="187" t="s">
        <v>2777</v>
      </c>
      <c r="H67" s="187">
        <v>62018064</v>
      </c>
      <c r="I67" s="187" t="s">
        <v>33</v>
      </c>
      <c r="J67" s="187" t="s">
        <v>102</v>
      </c>
      <c r="K67" s="198">
        <v>44286</v>
      </c>
      <c r="L67" s="199">
        <v>1000000</v>
      </c>
      <c r="M67" s="199">
        <v>3710</v>
      </c>
      <c r="N67" s="199">
        <v>152614</v>
      </c>
      <c r="O67" s="199">
        <v>566.1979399999999</v>
      </c>
      <c r="P67" s="200">
        <v>0.152614</v>
      </c>
      <c r="Q67" s="187"/>
    </row>
    <row r="68" spans="1:17" s="191" customFormat="1" ht="14.1" customHeight="1">
      <c r="A68" s="187">
        <v>424</v>
      </c>
      <c r="B68" s="187">
        <v>7228</v>
      </c>
      <c r="C68" s="187" t="s">
        <v>1059</v>
      </c>
      <c r="D68" s="187" t="s">
        <v>3284</v>
      </c>
      <c r="E68" s="187">
        <v>0</v>
      </c>
      <c r="F68" s="187" t="s">
        <v>194</v>
      </c>
      <c r="G68" s="187" t="s">
        <v>2779</v>
      </c>
      <c r="H68" s="187">
        <v>62021340</v>
      </c>
      <c r="I68" s="187" t="s">
        <v>33</v>
      </c>
      <c r="J68" s="187" t="s">
        <v>102</v>
      </c>
      <c r="K68" s="198">
        <v>45016</v>
      </c>
      <c r="L68" s="199">
        <v>1500000</v>
      </c>
      <c r="M68" s="199">
        <v>5565</v>
      </c>
      <c r="N68" s="199">
        <v>919477</v>
      </c>
      <c r="O68" s="199">
        <v>3411.2596699999999</v>
      </c>
      <c r="P68" s="200">
        <v>0.61298466666666662</v>
      </c>
      <c r="Q68" s="187"/>
    </row>
    <row r="69" spans="1:17" s="191" customFormat="1" ht="14.1" customHeight="1">
      <c r="A69" s="187">
        <v>424</v>
      </c>
      <c r="B69" s="187">
        <v>7228</v>
      </c>
      <c r="C69" s="187" t="s">
        <v>1059</v>
      </c>
      <c r="D69" s="187" t="s">
        <v>3285</v>
      </c>
      <c r="E69" s="187" t="s">
        <v>3286</v>
      </c>
      <c r="F69" s="187" t="s">
        <v>33</v>
      </c>
      <c r="G69" s="187" t="s">
        <v>2903</v>
      </c>
      <c r="H69" s="187">
        <v>62018551</v>
      </c>
      <c r="I69" s="187" t="s">
        <v>33</v>
      </c>
      <c r="J69" s="187" t="s">
        <v>102</v>
      </c>
      <c r="K69" s="198">
        <v>44377</v>
      </c>
      <c r="L69" s="199">
        <v>2080000</v>
      </c>
      <c r="M69" s="199">
        <v>7716.8</v>
      </c>
      <c r="N69" s="199">
        <v>520000</v>
      </c>
      <c r="O69" s="199">
        <v>1929.2</v>
      </c>
      <c r="P69" s="200">
        <v>0.25</v>
      </c>
      <c r="Q69" s="187"/>
    </row>
    <row r="70" spans="1:17" s="191" customFormat="1" ht="14.1" customHeight="1">
      <c r="A70" s="187">
        <v>424</v>
      </c>
      <c r="B70" s="187">
        <v>7228</v>
      </c>
      <c r="C70" s="187" t="s">
        <v>1059</v>
      </c>
      <c r="D70" s="187" t="s">
        <v>3287</v>
      </c>
      <c r="E70" s="187" t="s">
        <v>3288</v>
      </c>
      <c r="F70" s="187" t="s">
        <v>350</v>
      </c>
      <c r="G70" s="187" t="s">
        <v>2907</v>
      </c>
      <c r="H70" s="187">
        <v>62020169</v>
      </c>
      <c r="I70" s="187" t="s">
        <v>33</v>
      </c>
      <c r="J70" s="187" t="s">
        <v>102</v>
      </c>
      <c r="K70" s="198">
        <v>44651</v>
      </c>
      <c r="L70" s="199">
        <v>2500000</v>
      </c>
      <c r="M70" s="199">
        <v>9275</v>
      </c>
      <c r="N70" s="199">
        <v>750000</v>
      </c>
      <c r="O70" s="199">
        <v>2782.5</v>
      </c>
      <c r="P70" s="200">
        <v>0.3</v>
      </c>
      <c r="Q70" s="187"/>
    </row>
    <row r="71" spans="1:17" s="191" customFormat="1" ht="14.1" customHeight="1">
      <c r="A71" s="187">
        <v>424</v>
      </c>
      <c r="B71" s="187">
        <v>7228</v>
      </c>
      <c r="C71" s="187" t="s">
        <v>1059</v>
      </c>
      <c r="D71" s="187" t="s">
        <v>2783</v>
      </c>
      <c r="E71" s="187" t="s">
        <v>3289</v>
      </c>
      <c r="F71" s="187" t="s">
        <v>1342</v>
      </c>
      <c r="G71" s="187" t="s">
        <v>2783</v>
      </c>
      <c r="H71" s="187">
        <v>62018908</v>
      </c>
      <c r="I71" s="187" t="s">
        <v>33</v>
      </c>
      <c r="J71" s="187" t="s">
        <v>102</v>
      </c>
      <c r="K71" s="198">
        <v>44286</v>
      </c>
      <c r="L71" s="199">
        <v>3400000</v>
      </c>
      <c r="M71" s="199">
        <v>12614</v>
      </c>
      <c r="N71" s="199">
        <v>557499.02</v>
      </c>
      <c r="O71" s="199">
        <v>2068.3213642000001</v>
      </c>
      <c r="P71" s="200">
        <v>0.16397030000000001</v>
      </c>
      <c r="Q71" s="187"/>
    </row>
    <row r="72" spans="1:17" s="191" customFormat="1" ht="14.1" customHeight="1">
      <c r="A72" s="187">
        <v>424</v>
      </c>
      <c r="B72" s="187">
        <v>7228</v>
      </c>
      <c r="C72" s="187" t="s">
        <v>1059</v>
      </c>
      <c r="D72" s="187" t="s">
        <v>3290</v>
      </c>
      <c r="E72" s="187">
        <v>0</v>
      </c>
      <c r="F72" s="187" t="s">
        <v>350</v>
      </c>
      <c r="G72" s="187" t="s">
        <v>2753</v>
      </c>
      <c r="H72" s="187">
        <v>62019757</v>
      </c>
      <c r="I72" s="187" t="s">
        <v>33</v>
      </c>
      <c r="J72" s="187" t="s">
        <v>102</v>
      </c>
      <c r="K72" s="198">
        <v>44286</v>
      </c>
      <c r="L72" s="199">
        <v>1400000</v>
      </c>
      <c r="M72" s="199">
        <v>5194</v>
      </c>
      <c r="N72" s="199">
        <v>740174</v>
      </c>
      <c r="O72" s="199">
        <v>2746.0455400000001</v>
      </c>
      <c r="P72" s="200">
        <v>0.52869571428571427</v>
      </c>
      <c r="Q72" s="187"/>
    </row>
    <row r="73" spans="1:17" s="191" customFormat="1" ht="14.1" customHeight="1">
      <c r="A73" s="187">
        <v>424</v>
      </c>
      <c r="B73" s="187">
        <v>7228</v>
      </c>
      <c r="C73" s="187" t="s">
        <v>1059</v>
      </c>
      <c r="D73" s="187" t="s">
        <v>2735</v>
      </c>
      <c r="E73" s="187">
        <v>0</v>
      </c>
      <c r="F73" s="187" t="s">
        <v>194</v>
      </c>
      <c r="G73" s="187" t="s">
        <v>2735</v>
      </c>
      <c r="H73" s="187">
        <v>50007160</v>
      </c>
      <c r="I73" s="187" t="s">
        <v>33</v>
      </c>
      <c r="J73" s="187" t="s">
        <v>34</v>
      </c>
      <c r="K73" s="198">
        <v>44561</v>
      </c>
      <c r="L73" s="199">
        <v>4500000</v>
      </c>
      <c r="M73" s="199">
        <v>4500</v>
      </c>
      <c r="N73" s="199">
        <v>2150197</v>
      </c>
      <c r="O73" s="199">
        <v>2150.1970000000001</v>
      </c>
      <c r="P73" s="200">
        <v>0.47782155555555555</v>
      </c>
      <c r="Q73" s="187"/>
    </row>
    <row r="74" spans="1:17" s="191" customFormat="1" ht="14.1" customHeight="1">
      <c r="A74" s="187">
        <v>424</v>
      </c>
      <c r="B74" s="187">
        <v>7228</v>
      </c>
      <c r="C74" s="187" t="s">
        <v>1059</v>
      </c>
      <c r="D74" s="187" t="s">
        <v>2748</v>
      </c>
      <c r="E74" s="187" t="s">
        <v>3291</v>
      </c>
      <c r="F74" s="187" t="s">
        <v>33</v>
      </c>
      <c r="G74" s="187" t="s">
        <v>2748</v>
      </c>
      <c r="H74" s="187">
        <v>62019815</v>
      </c>
      <c r="I74" s="187" t="s">
        <v>33</v>
      </c>
      <c r="J74" s="187" t="s">
        <v>102</v>
      </c>
      <c r="K74" s="198">
        <v>44561</v>
      </c>
      <c r="L74" s="199">
        <v>4000000</v>
      </c>
      <c r="M74" s="199">
        <v>14840</v>
      </c>
      <c r="N74" s="199">
        <v>2707141</v>
      </c>
      <c r="O74" s="199">
        <v>10043.493109999999</v>
      </c>
      <c r="P74" s="200">
        <v>0.67678525</v>
      </c>
      <c r="Q74" s="187"/>
    </row>
    <row r="75" spans="1:17" s="191" customFormat="1" ht="14.1" customHeight="1">
      <c r="A75" s="187">
        <v>424</v>
      </c>
      <c r="B75" s="187">
        <v>7228</v>
      </c>
      <c r="C75" s="187" t="s">
        <v>1059</v>
      </c>
      <c r="D75" s="187" t="s">
        <v>2744</v>
      </c>
      <c r="E75" s="187" t="s">
        <v>3292</v>
      </c>
      <c r="F75" s="187" t="s">
        <v>33</v>
      </c>
      <c r="G75" s="187" t="s">
        <v>2744</v>
      </c>
      <c r="H75" s="187">
        <v>62020896</v>
      </c>
      <c r="I75" s="187" t="s">
        <v>33</v>
      </c>
      <c r="J75" s="187" t="s">
        <v>102</v>
      </c>
      <c r="K75" s="198">
        <v>44651</v>
      </c>
      <c r="L75" s="199">
        <v>2700000</v>
      </c>
      <c r="M75" s="199">
        <v>10017</v>
      </c>
      <c r="N75" s="199">
        <v>2414580</v>
      </c>
      <c r="O75" s="199">
        <v>8958.0918000000001</v>
      </c>
      <c r="P75" s="200">
        <v>0.89428888888888891</v>
      </c>
      <c r="Q75" s="187"/>
    </row>
    <row r="76" spans="1:17" s="191" customFormat="1" ht="14.1" customHeight="1">
      <c r="A76" s="187">
        <v>424</v>
      </c>
      <c r="B76" s="187">
        <v>7228</v>
      </c>
      <c r="C76" s="187" t="s">
        <v>1059</v>
      </c>
      <c r="D76" s="187" t="s">
        <v>2741</v>
      </c>
      <c r="E76" s="187">
        <v>0</v>
      </c>
      <c r="F76" s="187" t="s">
        <v>194</v>
      </c>
      <c r="G76" s="187" t="s">
        <v>2741</v>
      </c>
      <c r="H76" s="187">
        <v>62021365</v>
      </c>
      <c r="I76" s="187" t="s">
        <v>33</v>
      </c>
      <c r="J76" s="187" t="s">
        <v>102</v>
      </c>
      <c r="K76" s="198">
        <v>45016</v>
      </c>
      <c r="L76" s="199">
        <v>3000000</v>
      </c>
      <c r="M76" s="199">
        <v>11130</v>
      </c>
      <c r="N76" s="199">
        <v>2420465.75</v>
      </c>
      <c r="O76" s="199">
        <v>8979.9279324999989</v>
      </c>
      <c r="P76" s="200">
        <v>0.80682191666666669</v>
      </c>
      <c r="Q76" s="187"/>
    </row>
    <row r="77" spans="1:17" s="191" customFormat="1" ht="14.1" customHeight="1">
      <c r="A77" s="187">
        <v>424</v>
      </c>
      <c r="B77" s="187">
        <v>7228</v>
      </c>
      <c r="C77" s="187" t="s">
        <v>1059</v>
      </c>
      <c r="D77" s="187" t="s">
        <v>2727</v>
      </c>
      <c r="E77" s="187" t="s">
        <v>2728</v>
      </c>
      <c r="F77" s="187" t="s">
        <v>1342</v>
      </c>
      <c r="G77" s="187" t="s">
        <v>2727</v>
      </c>
      <c r="H77" s="187">
        <v>50007350</v>
      </c>
      <c r="I77" s="187" t="s">
        <v>33</v>
      </c>
      <c r="J77" s="187" t="s">
        <v>34</v>
      </c>
      <c r="K77" s="198">
        <v>44651</v>
      </c>
      <c r="L77" s="199">
        <v>8000000</v>
      </c>
      <c r="M77" s="199">
        <v>8000</v>
      </c>
      <c r="N77" s="199">
        <v>1859267</v>
      </c>
      <c r="O77" s="199">
        <v>1859.2670000000001</v>
      </c>
      <c r="P77" s="200">
        <v>0.232408375</v>
      </c>
      <c r="Q77" s="187"/>
    </row>
    <row r="78" spans="1:17" s="191" customFormat="1" ht="14.1" customHeight="1">
      <c r="A78" s="187">
        <v>424</v>
      </c>
      <c r="B78" s="187">
        <v>7228</v>
      </c>
      <c r="C78" s="187" t="s">
        <v>1059</v>
      </c>
      <c r="D78" s="187" t="s">
        <v>3293</v>
      </c>
      <c r="E78" s="187">
        <v>0</v>
      </c>
      <c r="F78" s="187" t="s">
        <v>194</v>
      </c>
      <c r="G78" s="187" t="s">
        <v>2622</v>
      </c>
      <c r="H78" s="187">
        <v>50007566</v>
      </c>
      <c r="I78" s="187" t="s">
        <v>33</v>
      </c>
      <c r="J78" s="187" t="s">
        <v>34</v>
      </c>
      <c r="K78" s="198">
        <v>44651</v>
      </c>
      <c r="L78" s="199">
        <v>2800000</v>
      </c>
      <c r="M78" s="199">
        <v>2800</v>
      </c>
      <c r="N78" s="199">
        <v>456200</v>
      </c>
      <c r="O78" s="199">
        <v>456.2</v>
      </c>
      <c r="P78" s="200">
        <v>0.16292857142857142</v>
      </c>
      <c r="Q78" s="187"/>
    </row>
    <row r="79" spans="1:17" s="191" customFormat="1" ht="14.1" customHeight="1">
      <c r="A79" s="187">
        <v>424</v>
      </c>
      <c r="B79" s="187">
        <v>7228</v>
      </c>
      <c r="C79" s="187" t="s">
        <v>1059</v>
      </c>
      <c r="D79" s="187" t="s">
        <v>2681</v>
      </c>
      <c r="E79" s="187" t="s">
        <v>2682</v>
      </c>
      <c r="F79" s="187" t="s">
        <v>33</v>
      </c>
      <c r="G79" s="187" t="s">
        <v>2681</v>
      </c>
      <c r="H79" s="187">
        <v>62020375</v>
      </c>
      <c r="I79" s="187" t="s">
        <v>33</v>
      </c>
      <c r="J79" s="187" t="s">
        <v>102</v>
      </c>
      <c r="K79" s="198">
        <v>44651</v>
      </c>
      <c r="L79" s="199">
        <v>2500000</v>
      </c>
      <c r="M79" s="199">
        <v>9275</v>
      </c>
      <c r="N79" s="199">
        <v>1929028</v>
      </c>
      <c r="O79" s="199">
        <v>7156.6938799999998</v>
      </c>
      <c r="P79" s="200">
        <v>0.77161120000000005</v>
      </c>
      <c r="Q79" s="187"/>
    </row>
    <row r="80" spans="1:17" s="191" customFormat="1" ht="14.1" customHeight="1">
      <c r="A80" s="187">
        <v>424</v>
      </c>
      <c r="B80" s="187">
        <v>7228</v>
      </c>
      <c r="C80" s="187" t="s">
        <v>1059</v>
      </c>
      <c r="D80" s="187" t="s">
        <v>3294</v>
      </c>
      <c r="E80" s="187" t="s">
        <v>3295</v>
      </c>
      <c r="F80" s="187" t="s">
        <v>33</v>
      </c>
      <c r="G80" s="187" t="s">
        <v>2852</v>
      </c>
      <c r="H80" s="187">
        <v>62020425</v>
      </c>
      <c r="I80" s="187" t="s">
        <v>33</v>
      </c>
      <c r="J80" s="187" t="s">
        <v>102</v>
      </c>
      <c r="K80" s="198">
        <v>44742</v>
      </c>
      <c r="L80" s="199">
        <v>3000000</v>
      </c>
      <c r="M80" s="199">
        <v>11130</v>
      </c>
      <c r="N80" s="199">
        <v>132722</v>
      </c>
      <c r="O80" s="199">
        <v>492.39861999999999</v>
      </c>
      <c r="P80" s="200">
        <v>4.4240666666666664E-2</v>
      </c>
      <c r="Q80" s="187"/>
    </row>
    <row r="81" spans="1:17" s="191" customFormat="1" ht="14.1" customHeight="1">
      <c r="A81" s="187">
        <v>424</v>
      </c>
      <c r="B81" s="187">
        <v>7228</v>
      </c>
      <c r="C81" s="187" t="s">
        <v>1059</v>
      </c>
      <c r="D81" s="187" t="s">
        <v>3296</v>
      </c>
      <c r="E81" s="187" t="s">
        <v>3297</v>
      </c>
      <c r="F81" s="187" t="s">
        <v>33</v>
      </c>
      <c r="G81" s="187" t="s">
        <v>2821</v>
      </c>
      <c r="H81" s="187">
        <v>62020565</v>
      </c>
      <c r="I81" s="187" t="s">
        <v>33</v>
      </c>
      <c r="J81" s="187" t="s">
        <v>1209</v>
      </c>
      <c r="K81" s="198">
        <v>44651</v>
      </c>
      <c r="L81" s="199">
        <v>1320000</v>
      </c>
      <c r="M81" s="199">
        <v>5481.1679999999997</v>
      </c>
      <c r="N81" s="199">
        <v>629818.53</v>
      </c>
      <c r="O81" s="199">
        <v>2615.2584639720003</v>
      </c>
      <c r="P81" s="200">
        <v>0.47713525000000001</v>
      </c>
      <c r="Q81" s="187"/>
    </row>
    <row r="82" spans="1:17" s="191" customFormat="1" ht="14.1" customHeight="1">
      <c r="A82" s="187">
        <v>424</v>
      </c>
      <c r="B82" s="187">
        <v>7228</v>
      </c>
      <c r="C82" s="187" t="s">
        <v>1059</v>
      </c>
      <c r="D82" s="187" t="s">
        <v>2737</v>
      </c>
      <c r="E82" s="187" t="s">
        <v>2738</v>
      </c>
      <c r="F82" s="187" t="s">
        <v>33</v>
      </c>
      <c r="G82" s="187" t="s">
        <v>2739</v>
      </c>
      <c r="H82" s="187">
        <v>62020672</v>
      </c>
      <c r="I82" s="187" t="s">
        <v>33</v>
      </c>
      <c r="J82" s="187" t="s">
        <v>102</v>
      </c>
      <c r="K82" s="198">
        <v>44651</v>
      </c>
      <c r="L82" s="199">
        <v>1100000</v>
      </c>
      <c r="M82" s="199">
        <v>4081</v>
      </c>
      <c r="N82" s="199">
        <v>60882</v>
      </c>
      <c r="O82" s="199">
        <v>225.87222</v>
      </c>
      <c r="P82" s="200">
        <v>5.5347272727272724E-2</v>
      </c>
      <c r="Q82" s="187"/>
    </row>
    <row r="83" spans="1:17" s="191" customFormat="1" ht="14.1" customHeight="1">
      <c r="A83" s="187">
        <v>424</v>
      </c>
      <c r="B83" s="187">
        <v>7228</v>
      </c>
      <c r="C83" s="187" t="s">
        <v>1059</v>
      </c>
      <c r="D83" s="187" t="s">
        <v>2793</v>
      </c>
      <c r="E83" s="187" t="s">
        <v>2794</v>
      </c>
      <c r="F83" s="187" t="s">
        <v>348</v>
      </c>
      <c r="G83" s="187" t="s">
        <v>2795</v>
      </c>
      <c r="H83" s="187">
        <v>62021431</v>
      </c>
      <c r="I83" s="187" t="s">
        <v>33</v>
      </c>
      <c r="J83" s="187" t="s">
        <v>102</v>
      </c>
      <c r="K83" s="198">
        <v>45016</v>
      </c>
      <c r="L83" s="199">
        <v>1120000</v>
      </c>
      <c r="M83" s="199">
        <v>4155.2</v>
      </c>
      <c r="N83" s="199">
        <v>834400</v>
      </c>
      <c r="O83" s="199">
        <v>3095.6239999999998</v>
      </c>
      <c r="P83" s="200">
        <v>0.745</v>
      </c>
      <c r="Q83" s="187"/>
    </row>
    <row r="84" spans="1:17" s="191" customFormat="1" ht="14.1" customHeight="1">
      <c r="A84" s="187">
        <v>424</v>
      </c>
      <c r="B84" s="187">
        <v>7228</v>
      </c>
      <c r="C84" s="187" t="s">
        <v>1059</v>
      </c>
      <c r="D84" s="187" t="s">
        <v>3298</v>
      </c>
      <c r="E84" s="187" t="s">
        <v>3299</v>
      </c>
      <c r="F84" s="187" t="s">
        <v>1342</v>
      </c>
      <c r="G84" s="187" t="s">
        <v>2951</v>
      </c>
      <c r="H84" s="187">
        <v>26427</v>
      </c>
      <c r="I84" s="187" t="s">
        <v>33</v>
      </c>
      <c r="J84" s="187" t="s">
        <v>34</v>
      </c>
      <c r="K84" s="198">
        <v>39903</v>
      </c>
      <c r="L84" s="199">
        <v>4000000</v>
      </c>
      <c r="M84" s="199">
        <v>4000</v>
      </c>
      <c r="N84" s="199">
        <v>15951</v>
      </c>
      <c r="O84" s="199">
        <v>15.951000000000001</v>
      </c>
      <c r="P84" s="200">
        <v>3.98775E-3</v>
      </c>
      <c r="Q84" s="187"/>
    </row>
    <row r="85" spans="1:17" s="191" customFormat="1" ht="14.1" customHeight="1">
      <c r="A85" s="187">
        <v>424</v>
      </c>
      <c r="B85" s="187">
        <v>7229</v>
      </c>
      <c r="C85" s="187" t="s">
        <v>1059</v>
      </c>
      <c r="D85" s="187" t="s">
        <v>3250</v>
      </c>
      <c r="E85" s="187" t="s">
        <v>3251</v>
      </c>
      <c r="F85" s="187" t="s">
        <v>33</v>
      </c>
      <c r="G85" s="187" t="s">
        <v>2667</v>
      </c>
      <c r="H85" s="187">
        <v>62002785</v>
      </c>
      <c r="I85" s="187" t="s">
        <v>33</v>
      </c>
      <c r="J85" s="187" t="s">
        <v>102</v>
      </c>
      <c r="K85" s="198">
        <v>42825</v>
      </c>
      <c r="L85" s="199">
        <v>50000</v>
      </c>
      <c r="M85" s="199">
        <v>185.5</v>
      </c>
      <c r="N85" s="199">
        <v>3250</v>
      </c>
      <c r="O85" s="199">
        <v>12.057499999999999</v>
      </c>
      <c r="P85" s="200">
        <v>6.5000000000000002E-2</v>
      </c>
      <c r="Q85" s="187"/>
    </row>
    <row r="86" spans="1:17" s="191" customFormat="1" ht="14.1" customHeight="1">
      <c r="A86" s="187">
        <v>424</v>
      </c>
      <c r="B86" s="187">
        <v>7229</v>
      </c>
      <c r="C86" s="187" t="s">
        <v>1059</v>
      </c>
      <c r="D86" s="187" t="s">
        <v>2648</v>
      </c>
      <c r="E86" s="187" t="s">
        <v>2649</v>
      </c>
      <c r="F86" s="187" t="s">
        <v>33</v>
      </c>
      <c r="G86" s="187" t="s">
        <v>2650</v>
      </c>
      <c r="H86" s="187">
        <v>62001189</v>
      </c>
      <c r="I86" s="187" t="s">
        <v>33</v>
      </c>
      <c r="J86" s="187" t="s">
        <v>102</v>
      </c>
      <c r="K86" s="198">
        <v>42825</v>
      </c>
      <c r="L86" s="199">
        <v>70000</v>
      </c>
      <c r="M86" s="199">
        <v>259.7</v>
      </c>
      <c r="N86" s="199">
        <v>4550</v>
      </c>
      <c r="O86" s="199">
        <v>16.880500000000001</v>
      </c>
      <c r="P86" s="200">
        <v>6.5000000000000002E-2</v>
      </c>
      <c r="Q86" s="187"/>
    </row>
    <row r="87" spans="1:17" s="191" customFormat="1" ht="14.1" customHeight="1">
      <c r="A87" s="187">
        <v>424</v>
      </c>
      <c r="B87" s="187">
        <v>7229</v>
      </c>
      <c r="C87" s="187" t="s">
        <v>1059</v>
      </c>
      <c r="D87" s="187" t="s">
        <v>2815</v>
      </c>
      <c r="E87" s="187" t="s">
        <v>2816</v>
      </c>
      <c r="F87" s="187" t="s">
        <v>33</v>
      </c>
      <c r="G87" s="187" t="s">
        <v>2803</v>
      </c>
      <c r="H87" s="187">
        <v>62003800</v>
      </c>
      <c r="I87" s="187" t="s">
        <v>33</v>
      </c>
      <c r="J87" s="187" t="s">
        <v>102</v>
      </c>
      <c r="K87" s="198">
        <v>43008</v>
      </c>
      <c r="L87" s="199">
        <v>240000</v>
      </c>
      <c r="M87" s="199">
        <v>890.4</v>
      </c>
      <c r="N87" s="199">
        <v>43200</v>
      </c>
      <c r="O87" s="199">
        <v>160.27199999999999</v>
      </c>
      <c r="P87" s="200">
        <v>0.18</v>
      </c>
      <c r="Q87" s="187"/>
    </row>
    <row r="88" spans="1:17" s="191" customFormat="1" ht="14.1" customHeight="1">
      <c r="A88" s="187">
        <v>424</v>
      </c>
      <c r="B88" s="187">
        <v>7229</v>
      </c>
      <c r="C88" s="187" t="s">
        <v>1059</v>
      </c>
      <c r="D88" s="187" t="s">
        <v>2815</v>
      </c>
      <c r="E88" s="187" t="s">
        <v>2816</v>
      </c>
      <c r="F88" s="187" t="s">
        <v>33</v>
      </c>
      <c r="G88" s="187" t="s">
        <v>2805</v>
      </c>
      <c r="H88" s="187">
        <v>620101031</v>
      </c>
      <c r="I88" s="187" t="s">
        <v>33</v>
      </c>
      <c r="J88" s="187" t="s">
        <v>102</v>
      </c>
      <c r="K88" s="198">
        <v>43190</v>
      </c>
      <c r="L88" s="199">
        <v>120000</v>
      </c>
      <c r="M88" s="199">
        <v>445.2</v>
      </c>
      <c r="N88" s="199">
        <v>21000</v>
      </c>
      <c r="O88" s="199">
        <v>77.91</v>
      </c>
      <c r="P88" s="200">
        <v>0.17499999999999999</v>
      </c>
      <c r="Q88" s="187"/>
    </row>
    <row r="89" spans="1:17" s="191" customFormat="1" ht="14.1" customHeight="1">
      <c r="A89" s="187">
        <v>424</v>
      </c>
      <c r="B89" s="187">
        <v>7229</v>
      </c>
      <c r="C89" s="187" t="s">
        <v>1059</v>
      </c>
      <c r="D89" s="187" t="s">
        <v>2815</v>
      </c>
      <c r="E89" s="187" t="s">
        <v>2816</v>
      </c>
      <c r="F89" s="187" t="s">
        <v>33</v>
      </c>
      <c r="G89" s="187" t="s">
        <v>2806</v>
      </c>
      <c r="H89" s="187">
        <v>62014857</v>
      </c>
      <c r="I89" s="187" t="s">
        <v>33</v>
      </c>
      <c r="J89" s="187" t="s">
        <v>102</v>
      </c>
      <c r="K89" s="198">
        <v>43555</v>
      </c>
      <c r="L89" s="199">
        <v>120000</v>
      </c>
      <c r="M89" s="199">
        <v>445.2</v>
      </c>
      <c r="N89" s="199">
        <v>31200</v>
      </c>
      <c r="O89" s="199">
        <v>115.752</v>
      </c>
      <c r="P89" s="200">
        <v>0.26</v>
      </c>
      <c r="Q89" s="187"/>
    </row>
    <row r="90" spans="1:17" s="191" customFormat="1" ht="14.1" customHeight="1">
      <c r="A90" s="187">
        <v>424</v>
      </c>
      <c r="B90" s="187">
        <v>7229</v>
      </c>
      <c r="C90" s="187" t="s">
        <v>1059</v>
      </c>
      <c r="D90" s="187" t="s">
        <v>2815</v>
      </c>
      <c r="E90" s="187" t="s">
        <v>2816</v>
      </c>
      <c r="F90" s="187" t="s">
        <v>33</v>
      </c>
      <c r="G90" s="187" t="s">
        <v>2808</v>
      </c>
      <c r="H90" s="187">
        <v>62019476</v>
      </c>
      <c r="I90" s="187" t="s">
        <v>33</v>
      </c>
      <c r="J90" s="187" t="s">
        <v>102</v>
      </c>
      <c r="K90" s="198">
        <v>44469</v>
      </c>
      <c r="L90" s="199">
        <v>120000</v>
      </c>
      <c r="M90" s="199">
        <v>445.2</v>
      </c>
      <c r="N90" s="199">
        <v>46127</v>
      </c>
      <c r="O90" s="199">
        <v>171.13117000000003</v>
      </c>
      <c r="P90" s="200">
        <v>0.38439166666666669</v>
      </c>
      <c r="Q90" s="187"/>
    </row>
    <row r="91" spans="1:17" s="191" customFormat="1" ht="14.1" customHeight="1">
      <c r="A91" s="187">
        <v>424</v>
      </c>
      <c r="B91" s="187">
        <v>7229</v>
      </c>
      <c r="C91" s="187" t="s">
        <v>1059</v>
      </c>
      <c r="D91" s="187" t="s">
        <v>2815</v>
      </c>
      <c r="E91" s="187" t="s">
        <v>2816</v>
      </c>
      <c r="F91" s="187" t="s">
        <v>33</v>
      </c>
      <c r="G91" s="187" t="s">
        <v>2811</v>
      </c>
      <c r="H91" s="187">
        <v>62017678</v>
      </c>
      <c r="I91" s="187" t="s">
        <v>33</v>
      </c>
      <c r="J91" s="187" t="s">
        <v>102</v>
      </c>
      <c r="K91" s="198">
        <v>43921</v>
      </c>
      <c r="L91" s="199">
        <v>240000</v>
      </c>
      <c r="M91" s="199">
        <v>890.4</v>
      </c>
      <c r="N91" s="199">
        <v>7200</v>
      </c>
      <c r="O91" s="199">
        <v>26.712</v>
      </c>
      <c r="P91" s="200">
        <v>0.03</v>
      </c>
      <c r="Q91" s="187"/>
    </row>
    <row r="92" spans="1:17" s="191" customFormat="1" ht="14.1" customHeight="1">
      <c r="A92" s="187">
        <v>424</v>
      </c>
      <c r="B92" s="187">
        <v>7229</v>
      </c>
      <c r="C92" s="187" t="s">
        <v>1059</v>
      </c>
      <c r="D92" s="187" t="s">
        <v>2815</v>
      </c>
      <c r="E92" s="187" t="s">
        <v>2816</v>
      </c>
      <c r="F92" s="187" t="s">
        <v>33</v>
      </c>
      <c r="G92" s="187" t="s">
        <v>2809</v>
      </c>
      <c r="H92" s="187">
        <v>62020458</v>
      </c>
      <c r="I92" s="187" t="s">
        <v>33</v>
      </c>
      <c r="J92" s="187" t="s">
        <v>102</v>
      </c>
      <c r="K92" s="198">
        <v>44742</v>
      </c>
      <c r="L92" s="199">
        <v>100000</v>
      </c>
      <c r="M92" s="199">
        <v>371</v>
      </c>
      <c r="N92" s="199">
        <v>15000</v>
      </c>
      <c r="O92" s="199">
        <v>55.65</v>
      </c>
      <c r="P92" s="200">
        <v>0.15</v>
      </c>
      <c r="Q92" s="187"/>
    </row>
    <row r="93" spans="1:17" s="191" customFormat="1" ht="14.1" customHeight="1">
      <c r="A93" s="187">
        <v>424</v>
      </c>
      <c r="B93" s="187">
        <v>7229</v>
      </c>
      <c r="C93" s="187" t="s">
        <v>1059</v>
      </c>
      <c r="D93" s="187" t="s">
        <v>3263</v>
      </c>
      <c r="E93" s="187" t="s">
        <v>2772</v>
      </c>
      <c r="F93" s="187" t="s">
        <v>350</v>
      </c>
      <c r="G93" s="187" t="s">
        <v>2769</v>
      </c>
      <c r="H93" s="187">
        <v>62016654</v>
      </c>
      <c r="I93" s="187" t="s">
        <v>33</v>
      </c>
      <c r="J93" s="187" t="s">
        <v>102</v>
      </c>
      <c r="K93" s="198">
        <v>43921</v>
      </c>
      <c r="L93" s="199">
        <v>180000</v>
      </c>
      <c r="M93" s="199">
        <v>667.8</v>
      </c>
      <c r="N93" s="199">
        <v>37800</v>
      </c>
      <c r="O93" s="199">
        <v>140.238</v>
      </c>
      <c r="P93" s="200">
        <v>0.21</v>
      </c>
      <c r="Q93" s="187"/>
    </row>
    <row r="94" spans="1:17" s="191" customFormat="1" ht="14.1" customHeight="1">
      <c r="A94" s="187">
        <v>424</v>
      </c>
      <c r="B94" s="187">
        <v>7229</v>
      </c>
      <c r="C94" s="187" t="s">
        <v>1059</v>
      </c>
      <c r="D94" s="187" t="s">
        <v>2723</v>
      </c>
      <c r="E94" s="187" t="s">
        <v>2724</v>
      </c>
      <c r="F94" s="187" t="s">
        <v>1342</v>
      </c>
      <c r="G94" s="187" t="s">
        <v>2723</v>
      </c>
      <c r="H94" s="187">
        <v>18952</v>
      </c>
      <c r="I94" s="187" t="s">
        <v>33</v>
      </c>
      <c r="J94" s="187" t="s">
        <v>34</v>
      </c>
      <c r="K94" s="198">
        <v>42825</v>
      </c>
      <c r="L94" s="199">
        <v>260000</v>
      </c>
      <c r="M94" s="199">
        <v>260</v>
      </c>
      <c r="N94" s="199">
        <v>44615</v>
      </c>
      <c r="O94" s="199">
        <v>44.615000000000002</v>
      </c>
      <c r="P94" s="200">
        <v>0.17159615384615384</v>
      </c>
      <c r="Q94" s="187"/>
    </row>
    <row r="95" spans="1:17" s="191" customFormat="1" ht="14.1" customHeight="1">
      <c r="A95" s="187">
        <v>424</v>
      </c>
      <c r="B95" s="187">
        <v>7229</v>
      </c>
      <c r="C95" s="187" t="s">
        <v>1059</v>
      </c>
      <c r="D95" s="187" t="s">
        <v>2723</v>
      </c>
      <c r="E95" s="187" t="s">
        <v>2724</v>
      </c>
      <c r="F95" s="187" t="s">
        <v>1342</v>
      </c>
      <c r="G95" s="187" t="s">
        <v>2725</v>
      </c>
      <c r="H95" s="187">
        <v>50007004</v>
      </c>
      <c r="I95" s="187" t="s">
        <v>33</v>
      </c>
      <c r="J95" s="187" t="s">
        <v>34</v>
      </c>
      <c r="K95" s="198">
        <v>44469</v>
      </c>
      <c r="L95" s="199">
        <v>800000</v>
      </c>
      <c r="M95" s="199">
        <v>800</v>
      </c>
      <c r="N95" s="199">
        <v>244282</v>
      </c>
      <c r="O95" s="199">
        <v>244.28200000000001</v>
      </c>
      <c r="P95" s="200">
        <v>0.30535250000000003</v>
      </c>
      <c r="Q95" s="187"/>
    </row>
    <row r="96" spans="1:17" s="191" customFormat="1" ht="14.1" customHeight="1">
      <c r="A96" s="187">
        <v>424</v>
      </c>
      <c r="B96" s="187">
        <v>7229</v>
      </c>
      <c r="C96" s="187" t="s">
        <v>1059</v>
      </c>
      <c r="D96" s="187" t="s">
        <v>2655</v>
      </c>
      <c r="E96" s="187" t="s">
        <v>2656</v>
      </c>
      <c r="F96" s="187" t="s">
        <v>349</v>
      </c>
      <c r="G96" s="187" t="s">
        <v>2657</v>
      </c>
      <c r="H96" s="187">
        <v>50000983</v>
      </c>
      <c r="I96" s="187" t="s">
        <v>33</v>
      </c>
      <c r="J96" s="187" t="s">
        <v>34</v>
      </c>
      <c r="K96" s="198">
        <v>43555</v>
      </c>
      <c r="L96" s="199">
        <v>500000</v>
      </c>
      <c r="M96" s="199">
        <v>500</v>
      </c>
      <c r="N96" s="199">
        <v>150000</v>
      </c>
      <c r="O96" s="199">
        <v>150</v>
      </c>
      <c r="P96" s="200">
        <v>0.3</v>
      </c>
      <c r="Q96" s="187"/>
    </row>
    <row r="97" spans="1:17" s="191" customFormat="1" ht="14.1" customHeight="1">
      <c r="A97" s="187">
        <v>424</v>
      </c>
      <c r="B97" s="187">
        <v>7229</v>
      </c>
      <c r="C97" s="187" t="s">
        <v>1059</v>
      </c>
      <c r="D97" s="187" t="s">
        <v>3272</v>
      </c>
      <c r="E97" s="187" t="s">
        <v>3273</v>
      </c>
      <c r="F97" s="187" t="s">
        <v>33</v>
      </c>
      <c r="G97" s="187" t="s">
        <v>2877</v>
      </c>
      <c r="H97" s="187">
        <v>62009204</v>
      </c>
      <c r="I97" s="187" t="s">
        <v>33</v>
      </c>
      <c r="J97" s="187" t="s">
        <v>102</v>
      </c>
      <c r="K97" s="198">
        <v>43190</v>
      </c>
      <c r="L97" s="199">
        <v>120000</v>
      </c>
      <c r="M97" s="199">
        <v>445.2</v>
      </c>
      <c r="N97" s="199">
        <v>11011</v>
      </c>
      <c r="O97" s="199">
        <v>40.850809999999996</v>
      </c>
      <c r="P97" s="200">
        <v>9.1758333333333331E-2</v>
      </c>
      <c r="Q97" s="187"/>
    </row>
    <row r="98" spans="1:17" s="191" customFormat="1" ht="14.1" customHeight="1">
      <c r="A98" s="187">
        <v>424</v>
      </c>
      <c r="B98" s="187">
        <v>7229</v>
      </c>
      <c r="C98" s="187" t="s">
        <v>1059</v>
      </c>
      <c r="D98" s="187" t="s">
        <v>2861</v>
      </c>
      <c r="E98" s="187">
        <v>0</v>
      </c>
      <c r="F98" s="187" t="s">
        <v>350</v>
      </c>
      <c r="G98" s="187" t="s">
        <v>2891</v>
      </c>
      <c r="H98" s="187">
        <v>62010137</v>
      </c>
      <c r="I98" s="187" t="s">
        <v>33</v>
      </c>
      <c r="J98" s="187" t="s">
        <v>102</v>
      </c>
      <c r="K98" s="198">
        <v>43190</v>
      </c>
      <c r="L98" s="199">
        <v>120000</v>
      </c>
      <c r="M98" s="199">
        <v>445.2</v>
      </c>
      <c r="N98" s="199">
        <v>33273</v>
      </c>
      <c r="O98" s="199">
        <v>123.44283</v>
      </c>
      <c r="P98" s="200">
        <v>0.27727499999999999</v>
      </c>
      <c r="Q98" s="187"/>
    </row>
    <row r="99" spans="1:17" s="191" customFormat="1" ht="14.1" customHeight="1">
      <c r="A99" s="187">
        <v>424</v>
      </c>
      <c r="B99" s="187">
        <v>7229</v>
      </c>
      <c r="C99" s="187" t="s">
        <v>1059</v>
      </c>
      <c r="D99" s="187" t="s">
        <v>2872</v>
      </c>
      <c r="E99" s="187" t="s">
        <v>2873</v>
      </c>
      <c r="F99" s="187" t="s">
        <v>349</v>
      </c>
      <c r="G99" s="187" t="s">
        <v>2881</v>
      </c>
      <c r="H99" s="187">
        <v>62019807</v>
      </c>
      <c r="I99" s="187" t="s">
        <v>33</v>
      </c>
      <c r="J99" s="187" t="s">
        <v>102</v>
      </c>
      <c r="K99" s="198">
        <v>44561</v>
      </c>
      <c r="L99" s="199">
        <v>250000</v>
      </c>
      <c r="M99" s="199">
        <v>927.5</v>
      </c>
      <c r="N99" s="199">
        <v>46205</v>
      </c>
      <c r="O99" s="199">
        <v>171.42054999999999</v>
      </c>
      <c r="P99" s="200">
        <v>0.18482000000000001</v>
      </c>
      <c r="Q99" s="187"/>
    </row>
    <row r="100" spans="1:17" s="191" customFormat="1" ht="14.1" customHeight="1">
      <c r="A100" s="187">
        <v>424</v>
      </c>
      <c r="B100" s="187">
        <v>7229</v>
      </c>
      <c r="C100" s="187" t="s">
        <v>1059</v>
      </c>
      <c r="D100" s="187" t="s">
        <v>2872</v>
      </c>
      <c r="E100" s="187" t="s">
        <v>2873</v>
      </c>
      <c r="F100" s="187" t="s">
        <v>349</v>
      </c>
      <c r="G100" s="187" t="s">
        <v>2866</v>
      </c>
      <c r="H100" s="187">
        <v>62021571</v>
      </c>
      <c r="I100" s="187" t="s">
        <v>33</v>
      </c>
      <c r="J100" s="187" t="s">
        <v>1209</v>
      </c>
      <c r="K100" s="198">
        <v>45382</v>
      </c>
      <c r="L100" s="199">
        <v>100000</v>
      </c>
      <c r="M100" s="199">
        <v>415.24</v>
      </c>
      <c r="N100" s="199">
        <v>58424.56</v>
      </c>
      <c r="O100" s="199">
        <v>242.60214294399998</v>
      </c>
      <c r="P100" s="200">
        <v>0.58424560000000003</v>
      </c>
      <c r="Q100" s="187"/>
    </row>
    <row r="101" spans="1:17" s="191" customFormat="1" ht="14.1" customHeight="1">
      <c r="A101" s="187">
        <v>424</v>
      </c>
      <c r="B101" s="187">
        <v>7229</v>
      </c>
      <c r="C101" s="187" t="s">
        <v>1059</v>
      </c>
      <c r="D101" s="187" t="s">
        <v>2646</v>
      </c>
      <c r="E101" s="187" t="s">
        <v>2922</v>
      </c>
      <c r="F101" s="187" t="s">
        <v>33</v>
      </c>
      <c r="G101" s="187" t="s">
        <v>2646</v>
      </c>
      <c r="H101" s="187">
        <v>62017538</v>
      </c>
      <c r="I101" s="187" t="s">
        <v>33</v>
      </c>
      <c r="J101" s="187" t="s">
        <v>102</v>
      </c>
      <c r="K101" s="198">
        <v>43921</v>
      </c>
      <c r="L101" s="199">
        <v>300000</v>
      </c>
      <c r="M101" s="199">
        <v>1113</v>
      </c>
      <c r="N101" s="199">
        <v>51000</v>
      </c>
      <c r="O101" s="199">
        <v>189.21</v>
      </c>
      <c r="P101" s="200">
        <v>0.17</v>
      </c>
      <c r="Q101" s="187"/>
    </row>
    <row r="102" spans="1:17" s="191" customFormat="1" ht="14.1" customHeight="1">
      <c r="A102" s="187">
        <v>424</v>
      </c>
      <c r="B102" s="187">
        <v>7229</v>
      </c>
      <c r="C102" s="187" t="s">
        <v>1059</v>
      </c>
      <c r="D102" s="187" t="s">
        <v>2840</v>
      </c>
      <c r="E102" s="187" t="s">
        <v>3278</v>
      </c>
      <c r="F102" s="187" t="s">
        <v>33</v>
      </c>
      <c r="G102" s="187" t="s">
        <v>2840</v>
      </c>
      <c r="H102" s="187">
        <v>62017652</v>
      </c>
      <c r="I102" s="187" t="s">
        <v>33</v>
      </c>
      <c r="J102" s="187" t="s">
        <v>102</v>
      </c>
      <c r="K102" s="198">
        <v>43921</v>
      </c>
      <c r="L102" s="199">
        <v>200000</v>
      </c>
      <c r="M102" s="199">
        <v>742</v>
      </c>
      <c r="N102" s="199">
        <v>69519.12</v>
      </c>
      <c r="O102" s="199">
        <v>257.91593519999998</v>
      </c>
      <c r="P102" s="200">
        <v>0.34759559999999995</v>
      </c>
      <c r="Q102" s="187"/>
    </row>
    <row r="103" spans="1:17" s="191" customFormat="1" ht="14.1" customHeight="1">
      <c r="A103" s="187">
        <v>424</v>
      </c>
      <c r="B103" s="187">
        <v>7229</v>
      </c>
      <c r="C103" s="187" t="s">
        <v>1059</v>
      </c>
      <c r="D103" s="187" t="s">
        <v>2840</v>
      </c>
      <c r="E103" s="187" t="s">
        <v>3278</v>
      </c>
      <c r="F103" s="187" t="s">
        <v>33</v>
      </c>
      <c r="G103" s="187" t="s">
        <v>2844</v>
      </c>
      <c r="H103" s="187">
        <v>62021142</v>
      </c>
      <c r="I103" s="187" t="s">
        <v>33</v>
      </c>
      <c r="J103" s="187" t="s">
        <v>102</v>
      </c>
      <c r="K103" s="198">
        <v>45016</v>
      </c>
      <c r="L103" s="199">
        <v>210000</v>
      </c>
      <c r="M103" s="199">
        <v>779.1</v>
      </c>
      <c r="N103" s="199">
        <v>81900</v>
      </c>
      <c r="O103" s="199">
        <v>303.84899999999999</v>
      </c>
      <c r="P103" s="200">
        <v>0.39</v>
      </c>
      <c r="Q103" s="187"/>
    </row>
    <row r="104" spans="1:17" s="191" customFormat="1" ht="14.1" customHeight="1">
      <c r="A104" s="187">
        <v>424</v>
      </c>
      <c r="B104" s="187">
        <v>7229</v>
      </c>
      <c r="C104" s="187" t="s">
        <v>1059</v>
      </c>
      <c r="D104" s="187" t="s">
        <v>3282</v>
      </c>
      <c r="E104" s="187" t="s">
        <v>3283</v>
      </c>
      <c r="F104" s="187" t="s">
        <v>33</v>
      </c>
      <c r="G104" s="187" t="s">
        <v>2777</v>
      </c>
      <c r="H104" s="187">
        <v>62018064</v>
      </c>
      <c r="I104" s="187" t="s">
        <v>33</v>
      </c>
      <c r="J104" s="187" t="s">
        <v>102</v>
      </c>
      <c r="K104" s="198">
        <v>44286</v>
      </c>
      <c r="L104" s="199">
        <v>100000</v>
      </c>
      <c r="M104" s="199">
        <v>371</v>
      </c>
      <c r="N104" s="199">
        <v>15261</v>
      </c>
      <c r="O104" s="199">
        <v>56.618310000000001</v>
      </c>
      <c r="P104" s="200">
        <v>0.15261</v>
      </c>
      <c r="Q104" s="187"/>
    </row>
    <row r="105" spans="1:17" s="191" customFormat="1" ht="14.1" customHeight="1">
      <c r="A105" s="187">
        <v>424</v>
      </c>
      <c r="B105" s="187">
        <v>7229</v>
      </c>
      <c r="C105" s="187" t="s">
        <v>1059</v>
      </c>
      <c r="D105" s="187" t="s">
        <v>2783</v>
      </c>
      <c r="E105" s="187" t="s">
        <v>3289</v>
      </c>
      <c r="F105" s="187" t="s">
        <v>1342</v>
      </c>
      <c r="G105" s="187" t="s">
        <v>2783</v>
      </c>
      <c r="H105" s="187">
        <v>62018908</v>
      </c>
      <c r="I105" s="187" t="s">
        <v>33</v>
      </c>
      <c r="J105" s="187" t="s">
        <v>102</v>
      </c>
      <c r="K105" s="198">
        <v>44286</v>
      </c>
      <c r="L105" s="199">
        <v>200000</v>
      </c>
      <c r="M105" s="199">
        <v>742</v>
      </c>
      <c r="N105" s="199">
        <v>32794.090000000026</v>
      </c>
      <c r="O105" s="199">
        <v>121.66607390000009</v>
      </c>
      <c r="P105" s="200">
        <v>0.16397045000000013</v>
      </c>
      <c r="Q105" s="187"/>
    </row>
    <row r="106" spans="1:17" s="191" customFormat="1" ht="14.1" customHeight="1">
      <c r="A106" s="187">
        <v>424</v>
      </c>
      <c r="B106" s="187">
        <v>7229</v>
      </c>
      <c r="C106" s="187" t="s">
        <v>1059</v>
      </c>
      <c r="D106" s="187" t="s">
        <v>2735</v>
      </c>
      <c r="E106" s="187">
        <v>0</v>
      </c>
      <c r="F106" s="187" t="s">
        <v>194</v>
      </c>
      <c r="G106" s="187" t="s">
        <v>2735</v>
      </c>
      <c r="H106" s="187">
        <v>50007160</v>
      </c>
      <c r="I106" s="187" t="s">
        <v>33</v>
      </c>
      <c r="J106" s="187" t="s">
        <v>34</v>
      </c>
      <c r="K106" s="198">
        <v>44561</v>
      </c>
      <c r="L106" s="199">
        <v>600000</v>
      </c>
      <c r="M106" s="199">
        <v>600</v>
      </c>
      <c r="N106" s="199">
        <v>286693</v>
      </c>
      <c r="O106" s="199">
        <v>286.69299999999998</v>
      </c>
      <c r="P106" s="200">
        <v>0.47782166666666664</v>
      </c>
      <c r="Q106" s="187"/>
    </row>
    <row r="107" spans="1:17" s="191" customFormat="1" ht="14.1" customHeight="1">
      <c r="A107" s="187">
        <v>424</v>
      </c>
      <c r="B107" s="187">
        <v>7229</v>
      </c>
      <c r="C107" s="187" t="s">
        <v>1059</v>
      </c>
      <c r="D107" s="187" t="s">
        <v>2748</v>
      </c>
      <c r="E107" s="187" t="s">
        <v>3291</v>
      </c>
      <c r="F107" s="187" t="s">
        <v>33</v>
      </c>
      <c r="G107" s="187" t="s">
        <v>2748</v>
      </c>
      <c r="H107" s="187">
        <v>62019815</v>
      </c>
      <c r="I107" s="187" t="s">
        <v>33</v>
      </c>
      <c r="J107" s="187" t="s">
        <v>102</v>
      </c>
      <c r="K107" s="198">
        <v>44561</v>
      </c>
      <c r="L107" s="199">
        <v>350000</v>
      </c>
      <c r="M107" s="199">
        <v>1298.5</v>
      </c>
      <c r="N107" s="199">
        <v>236870</v>
      </c>
      <c r="O107" s="199">
        <v>878.78769999999997</v>
      </c>
      <c r="P107" s="200">
        <v>0.67677142857142858</v>
      </c>
      <c r="Q107" s="187"/>
    </row>
    <row r="108" spans="1:17" s="191" customFormat="1" ht="14.1" customHeight="1">
      <c r="A108" s="187">
        <v>424</v>
      </c>
      <c r="B108" s="187">
        <v>7229</v>
      </c>
      <c r="C108" s="187" t="s">
        <v>1059</v>
      </c>
      <c r="D108" s="187" t="s">
        <v>2741</v>
      </c>
      <c r="E108" s="187">
        <v>0</v>
      </c>
      <c r="F108" s="187" t="s">
        <v>194</v>
      </c>
      <c r="G108" s="187" t="s">
        <v>2741</v>
      </c>
      <c r="H108" s="187">
        <v>62021365</v>
      </c>
      <c r="I108" s="187" t="s">
        <v>33</v>
      </c>
      <c r="J108" s="187" t="s">
        <v>102</v>
      </c>
      <c r="K108" s="198">
        <v>45016</v>
      </c>
      <c r="L108" s="199">
        <v>220000</v>
      </c>
      <c r="M108" s="199">
        <v>816.2</v>
      </c>
      <c r="N108" s="199">
        <v>177500.79999999999</v>
      </c>
      <c r="O108" s="199">
        <v>658.52796799999999</v>
      </c>
      <c r="P108" s="200">
        <v>0.80682181818181808</v>
      </c>
      <c r="Q108" s="187"/>
    </row>
    <row r="109" spans="1:17" s="191" customFormat="1" ht="14.1" customHeight="1">
      <c r="A109" s="187">
        <v>424</v>
      </c>
      <c r="B109" s="187">
        <v>7229</v>
      </c>
      <c r="C109" s="187" t="s">
        <v>1059</v>
      </c>
      <c r="D109" s="187" t="s">
        <v>2727</v>
      </c>
      <c r="E109" s="187" t="s">
        <v>2728</v>
      </c>
      <c r="F109" s="187" t="s">
        <v>1342</v>
      </c>
      <c r="G109" s="187" t="s">
        <v>2727</v>
      </c>
      <c r="H109" s="187">
        <v>50007350</v>
      </c>
      <c r="I109" s="187" t="s">
        <v>33</v>
      </c>
      <c r="J109" s="187" t="s">
        <v>34</v>
      </c>
      <c r="K109" s="198">
        <v>44651</v>
      </c>
      <c r="L109" s="199">
        <v>750000</v>
      </c>
      <c r="M109" s="199">
        <v>750</v>
      </c>
      <c r="N109" s="199">
        <v>174306</v>
      </c>
      <c r="O109" s="199">
        <v>174.30600000000001</v>
      </c>
      <c r="P109" s="200">
        <v>0.232408</v>
      </c>
      <c r="Q109" s="187"/>
    </row>
    <row r="110" spans="1:17" s="191" customFormat="1" ht="14.1" customHeight="1">
      <c r="A110" s="187">
        <v>424</v>
      </c>
      <c r="B110" s="187">
        <v>7229</v>
      </c>
      <c r="C110" s="187" t="s">
        <v>1059</v>
      </c>
      <c r="D110" s="187" t="s">
        <v>3296</v>
      </c>
      <c r="E110" s="187" t="s">
        <v>3297</v>
      </c>
      <c r="F110" s="187" t="s">
        <v>33</v>
      </c>
      <c r="G110" s="187" t="s">
        <v>2821</v>
      </c>
      <c r="H110" s="187">
        <v>62020565</v>
      </c>
      <c r="I110" s="187" t="s">
        <v>33</v>
      </c>
      <c r="J110" s="187" t="s">
        <v>1209</v>
      </c>
      <c r="K110" s="198">
        <v>44651</v>
      </c>
      <c r="L110" s="199">
        <v>175000</v>
      </c>
      <c r="M110" s="199">
        <v>726.67</v>
      </c>
      <c r="N110" s="199">
        <v>83498.679999999993</v>
      </c>
      <c r="O110" s="199">
        <v>346.71991883200002</v>
      </c>
      <c r="P110" s="200">
        <v>0.47713531428571426</v>
      </c>
      <c r="Q110" s="187"/>
    </row>
    <row r="111" spans="1:17" s="191" customFormat="1" ht="14.1" customHeight="1">
      <c r="A111" s="187">
        <v>424</v>
      </c>
      <c r="B111" s="187">
        <v>7228</v>
      </c>
      <c r="C111" s="187" t="s">
        <v>1059</v>
      </c>
      <c r="D111" s="187" t="s">
        <v>2815</v>
      </c>
      <c r="E111" s="187" t="s">
        <v>2816</v>
      </c>
      <c r="F111" s="187" t="s">
        <v>33</v>
      </c>
      <c r="G111" s="187" t="s">
        <v>2817</v>
      </c>
      <c r="H111" s="187">
        <v>62021845</v>
      </c>
      <c r="I111" s="187" t="s">
        <v>33</v>
      </c>
      <c r="J111" s="187" t="s">
        <v>102</v>
      </c>
      <c r="K111" s="198">
        <v>45565</v>
      </c>
      <c r="L111" s="199">
        <v>1500000</v>
      </c>
      <c r="M111" s="199">
        <v>5565</v>
      </c>
      <c r="N111" s="199">
        <v>1200000</v>
      </c>
      <c r="O111" s="199">
        <v>4452</v>
      </c>
      <c r="P111" s="200">
        <v>0.8</v>
      </c>
      <c r="Q111" s="187"/>
    </row>
    <row r="112" spans="1:17" s="191" customFormat="1" ht="14.1" customHeight="1">
      <c r="A112" s="187">
        <v>424</v>
      </c>
      <c r="B112" s="187">
        <v>7228</v>
      </c>
      <c r="C112" s="187" t="s">
        <v>1059</v>
      </c>
      <c r="D112" s="187" t="s">
        <v>2861</v>
      </c>
      <c r="E112" s="187"/>
      <c r="F112" s="187" t="s">
        <v>350</v>
      </c>
      <c r="G112" s="187" t="s">
        <v>2862</v>
      </c>
      <c r="H112" s="187">
        <v>62021894</v>
      </c>
      <c r="I112" s="187" t="s">
        <v>33</v>
      </c>
      <c r="J112" s="187" t="s">
        <v>102</v>
      </c>
      <c r="K112" s="198">
        <v>45565</v>
      </c>
      <c r="L112" s="199">
        <v>1500000</v>
      </c>
      <c r="M112" s="199">
        <v>5565</v>
      </c>
      <c r="N112" s="199">
        <v>1421729.7</v>
      </c>
      <c r="O112" s="199">
        <v>5274.6171869999998</v>
      </c>
      <c r="P112" s="200">
        <v>0.94781979999999999</v>
      </c>
      <c r="Q112" s="187"/>
    </row>
    <row r="113" spans="1:17" s="191" customFormat="1" ht="14.1" customHeight="1">
      <c r="A113" s="187">
        <v>424</v>
      </c>
      <c r="B113" s="187">
        <v>7228</v>
      </c>
      <c r="C113" s="187" t="s">
        <v>1059</v>
      </c>
      <c r="D113" s="187" t="s">
        <v>2872</v>
      </c>
      <c r="E113" s="187" t="s">
        <v>2873</v>
      </c>
      <c r="F113" s="187" t="s">
        <v>349</v>
      </c>
      <c r="G113" s="187" t="s">
        <v>2874</v>
      </c>
      <c r="H113" s="187">
        <v>62021944</v>
      </c>
      <c r="I113" s="187" t="s">
        <v>33</v>
      </c>
      <c r="J113" s="187" t="s">
        <v>102</v>
      </c>
      <c r="K113" s="198">
        <v>45565</v>
      </c>
      <c r="L113" s="199">
        <v>1500000</v>
      </c>
      <c r="M113" s="199">
        <v>5565</v>
      </c>
      <c r="N113" s="199">
        <v>1406344.91</v>
      </c>
      <c r="O113" s="199">
        <v>5217.539616099999</v>
      </c>
      <c r="P113" s="200">
        <v>0.93756327333333322</v>
      </c>
      <c r="Q113" s="187"/>
    </row>
    <row r="114" spans="1:17" s="191" customFormat="1" ht="14.1" customHeight="1">
      <c r="A114" s="187">
        <v>424</v>
      </c>
      <c r="B114" s="187">
        <v>7228</v>
      </c>
      <c r="C114" s="187" t="s">
        <v>1059</v>
      </c>
      <c r="D114" s="187" t="s">
        <v>2072</v>
      </c>
      <c r="E114" s="187" t="s">
        <v>2073</v>
      </c>
      <c r="F114" s="187" t="s">
        <v>350</v>
      </c>
      <c r="G114" s="187" t="s">
        <v>3300</v>
      </c>
      <c r="H114" s="187">
        <v>62021852</v>
      </c>
      <c r="I114" s="187" t="s">
        <v>33</v>
      </c>
      <c r="J114" s="187" t="s">
        <v>1209</v>
      </c>
      <c r="K114" s="198">
        <v>45565</v>
      </c>
      <c r="L114" s="199">
        <v>1400000</v>
      </c>
      <c r="M114" s="199">
        <v>5813.36</v>
      </c>
      <c r="N114" s="199">
        <v>700000</v>
      </c>
      <c r="O114" s="199">
        <v>2906.68</v>
      </c>
      <c r="P114" s="200">
        <v>0.5</v>
      </c>
      <c r="Q114" s="187"/>
    </row>
    <row r="115" spans="1:17" s="191" customFormat="1" ht="14.1" customHeight="1">
      <c r="A115" s="187">
        <v>969</v>
      </c>
      <c r="B115" s="187">
        <v>969</v>
      </c>
      <c r="C115" s="187" t="s">
        <v>1059</v>
      </c>
      <c r="D115" s="187" t="s">
        <v>3250</v>
      </c>
      <c r="E115" s="187" t="s">
        <v>3251</v>
      </c>
      <c r="F115" s="187" t="s">
        <v>33</v>
      </c>
      <c r="G115" s="187" t="s">
        <v>2667</v>
      </c>
      <c r="H115" s="187">
        <v>62002785</v>
      </c>
      <c r="I115" s="187" t="s">
        <v>33</v>
      </c>
      <c r="J115" s="187" t="s">
        <v>102</v>
      </c>
      <c r="K115" s="198">
        <v>42825</v>
      </c>
      <c r="L115" s="199">
        <v>50000</v>
      </c>
      <c r="M115" s="199">
        <v>185.5</v>
      </c>
      <c r="N115" s="199">
        <v>3250</v>
      </c>
      <c r="O115" s="199">
        <v>12.057499999999999</v>
      </c>
      <c r="P115" s="200">
        <v>6.5000000000000002E-2</v>
      </c>
      <c r="Q115" s="187"/>
    </row>
    <row r="116" spans="1:17" s="191" customFormat="1" ht="14.1" customHeight="1">
      <c r="A116" s="187">
        <v>969</v>
      </c>
      <c r="B116" s="187">
        <v>969</v>
      </c>
      <c r="C116" s="187" t="s">
        <v>1059</v>
      </c>
      <c r="D116" s="187" t="s">
        <v>2652</v>
      </c>
      <c r="E116" s="187" t="s">
        <v>2931</v>
      </c>
      <c r="F116" s="187" t="s">
        <v>33</v>
      </c>
      <c r="G116" s="187" t="s">
        <v>2652</v>
      </c>
      <c r="H116" s="187">
        <v>60401809</v>
      </c>
      <c r="I116" s="187" t="s">
        <v>33</v>
      </c>
      <c r="J116" s="187" t="s">
        <v>102</v>
      </c>
      <c r="K116" s="198">
        <v>42460</v>
      </c>
      <c r="L116" s="199">
        <v>100000</v>
      </c>
      <c r="M116" s="199">
        <v>371</v>
      </c>
      <c r="N116" s="199">
        <v>1000</v>
      </c>
      <c r="O116" s="199">
        <v>3.71</v>
      </c>
      <c r="P116" s="200">
        <v>0.01</v>
      </c>
      <c r="Q116" s="187"/>
    </row>
    <row r="117" spans="1:17" s="191" customFormat="1" ht="14.1" customHeight="1">
      <c r="A117" s="187">
        <v>969</v>
      </c>
      <c r="B117" s="187">
        <v>969</v>
      </c>
      <c r="C117" s="187" t="s">
        <v>1059</v>
      </c>
      <c r="D117" s="187" t="s">
        <v>2711</v>
      </c>
      <c r="E117" s="187">
        <v>0</v>
      </c>
      <c r="F117" s="187" t="s">
        <v>194</v>
      </c>
      <c r="G117" s="187" t="s">
        <v>2690</v>
      </c>
      <c r="H117" s="187">
        <v>60406600</v>
      </c>
      <c r="I117" s="187" t="s">
        <v>33</v>
      </c>
      <c r="J117" s="187" t="s">
        <v>102</v>
      </c>
      <c r="K117" s="198">
        <v>42460</v>
      </c>
      <c r="L117" s="199">
        <v>100000</v>
      </c>
      <c r="M117" s="199">
        <v>371</v>
      </c>
      <c r="N117" s="199">
        <v>7998</v>
      </c>
      <c r="O117" s="199">
        <v>29.672579999999996</v>
      </c>
      <c r="P117" s="200">
        <v>7.9979999999999996E-2</v>
      </c>
      <c r="Q117" s="187"/>
    </row>
    <row r="118" spans="1:17" s="191" customFormat="1" ht="14.1" customHeight="1">
      <c r="A118" s="187">
        <v>969</v>
      </c>
      <c r="B118" s="187">
        <v>969</v>
      </c>
      <c r="C118" s="187" t="s">
        <v>1059</v>
      </c>
      <c r="D118" s="187" t="s">
        <v>2711</v>
      </c>
      <c r="E118" s="187">
        <v>0</v>
      </c>
      <c r="F118" s="187" t="s">
        <v>194</v>
      </c>
      <c r="G118" s="187" t="s">
        <v>2714</v>
      </c>
      <c r="H118" s="187">
        <v>62007349</v>
      </c>
      <c r="I118" s="187" t="s">
        <v>33</v>
      </c>
      <c r="J118" s="187" t="s">
        <v>102</v>
      </c>
      <c r="K118" s="198">
        <v>43190</v>
      </c>
      <c r="L118" s="199">
        <v>100000</v>
      </c>
      <c r="M118" s="199">
        <v>371</v>
      </c>
      <c r="N118" s="199">
        <v>9999</v>
      </c>
      <c r="O118" s="199">
        <v>37.096290000000003</v>
      </c>
      <c r="P118" s="200">
        <v>9.9989999999999996E-2</v>
      </c>
      <c r="Q118" s="187"/>
    </row>
    <row r="119" spans="1:17" s="191" customFormat="1" ht="14.1" customHeight="1">
      <c r="A119" s="187">
        <v>969</v>
      </c>
      <c r="B119" s="187">
        <v>969</v>
      </c>
      <c r="C119" s="187" t="s">
        <v>1059</v>
      </c>
      <c r="D119" s="187" t="s">
        <v>3256</v>
      </c>
      <c r="E119" s="187" t="s">
        <v>2625</v>
      </c>
      <c r="F119" s="187" t="s">
        <v>33</v>
      </c>
      <c r="G119" s="187" t="s">
        <v>2730</v>
      </c>
      <c r="H119" s="187">
        <v>60400892</v>
      </c>
      <c r="I119" s="187" t="s">
        <v>33</v>
      </c>
      <c r="J119" s="187" t="s">
        <v>102</v>
      </c>
      <c r="K119" s="198">
        <v>42460</v>
      </c>
      <c r="L119" s="199">
        <v>375000</v>
      </c>
      <c r="M119" s="199">
        <v>1391.25</v>
      </c>
      <c r="N119" s="199">
        <v>62547</v>
      </c>
      <c r="O119" s="199">
        <v>232.04936999999998</v>
      </c>
      <c r="P119" s="200">
        <v>0.166792</v>
      </c>
      <c r="Q119" s="187"/>
    </row>
    <row r="120" spans="1:17" s="191" customFormat="1" ht="14.1" customHeight="1">
      <c r="A120" s="187">
        <v>969</v>
      </c>
      <c r="B120" s="187">
        <v>969</v>
      </c>
      <c r="C120" s="187" t="s">
        <v>1059</v>
      </c>
      <c r="D120" s="187" t="s">
        <v>3256</v>
      </c>
      <c r="E120" s="187" t="s">
        <v>2625</v>
      </c>
      <c r="F120" s="187" t="s">
        <v>33</v>
      </c>
      <c r="G120" s="187" t="s">
        <v>2626</v>
      </c>
      <c r="H120" s="187">
        <v>62018312</v>
      </c>
      <c r="I120" s="187" t="s">
        <v>33</v>
      </c>
      <c r="J120" s="187" t="s">
        <v>102</v>
      </c>
      <c r="K120" s="198">
        <v>44286</v>
      </c>
      <c r="L120" s="199">
        <v>200000</v>
      </c>
      <c r="M120" s="199">
        <v>742</v>
      </c>
      <c r="N120" s="199">
        <v>124160</v>
      </c>
      <c r="O120" s="199">
        <v>460.6336</v>
      </c>
      <c r="P120" s="200">
        <v>0.62080000000000002</v>
      </c>
      <c r="Q120" s="187"/>
    </row>
    <row r="121" spans="1:17" s="191" customFormat="1" ht="14.1" customHeight="1">
      <c r="A121" s="187">
        <v>969</v>
      </c>
      <c r="B121" s="187">
        <v>969</v>
      </c>
      <c r="C121" s="187" t="s">
        <v>1059</v>
      </c>
      <c r="D121" s="187" t="s">
        <v>3263</v>
      </c>
      <c r="E121" s="187" t="s">
        <v>2772</v>
      </c>
      <c r="F121" s="187" t="s">
        <v>350</v>
      </c>
      <c r="G121" s="187" t="s">
        <v>2765</v>
      </c>
      <c r="H121" s="187">
        <v>60419041</v>
      </c>
      <c r="I121" s="187" t="s">
        <v>33</v>
      </c>
      <c r="J121" s="187" t="s">
        <v>102</v>
      </c>
      <c r="K121" s="198">
        <v>42460</v>
      </c>
      <c r="L121" s="199">
        <v>100000</v>
      </c>
      <c r="M121" s="199">
        <v>371</v>
      </c>
      <c r="N121" s="199">
        <v>9000</v>
      </c>
      <c r="O121" s="199">
        <v>33.39</v>
      </c>
      <c r="P121" s="200">
        <v>0.09</v>
      </c>
      <c r="Q121" s="187"/>
    </row>
    <row r="122" spans="1:17" s="191" customFormat="1" ht="14.1" customHeight="1">
      <c r="A122" s="187">
        <v>969</v>
      </c>
      <c r="B122" s="187">
        <v>969</v>
      </c>
      <c r="C122" s="187" t="s">
        <v>1059</v>
      </c>
      <c r="D122" s="187" t="s">
        <v>3263</v>
      </c>
      <c r="E122" s="187" t="s">
        <v>2772</v>
      </c>
      <c r="F122" s="187" t="s">
        <v>350</v>
      </c>
      <c r="G122" s="187" t="s">
        <v>2769</v>
      </c>
      <c r="H122" s="187">
        <v>62016654</v>
      </c>
      <c r="I122" s="187" t="s">
        <v>33</v>
      </c>
      <c r="J122" s="187" t="s">
        <v>102</v>
      </c>
      <c r="K122" s="198">
        <v>43921</v>
      </c>
      <c r="L122" s="199">
        <v>120000</v>
      </c>
      <c r="M122" s="199">
        <v>445.2</v>
      </c>
      <c r="N122" s="199">
        <v>25200</v>
      </c>
      <c r="O122" s="199">
        <v>93.492000000000004</v>
      </c>
      <c r="P122" s="200">
        <v>0.21</v>
      </c>
      <c r="Q122" s="187"/>
    </row>
    <row r="123" spans="1:17" s="191" customFormat="1" ht="14.1" customHeight="1">
      <c r="A123" s="187">
        <v>969</v>
      </c>
      <c r="B123" s="187">
        <v>969</v>
      </c>
      <c r="C123" s="187" t="s">
        <v>1059</v>
      </c>
      <c r="D123" s="187" t="s">
        <v>2815</v>
      </c>
      <c r="E123" s="187" t="s">
        <v>2816</v>
      </c>
      <c r="F123" s="187" t="s">
        <v>33</v>
      </c>
      <c r="G123" s="187" t="s">
        <v>2803</v>
      </c>
      <c r="H123" s="187">
        <v>62003800</v>
      </c>
      <c r="I123" s="187" t="s">
        <v>33</v>
      </c>
      <c r="J123" s="187" t="s">
        <v>102</v>
      </c>
      <c r="K123" s="198">
        <v>43008</v>
      </c>
      <c r="L123" s="199">
        <v>160000</v>
      </c>
      <c r="M123" s="199">
        <v>593.6</v>
      </c>
      <c r="N123" s="199">
        <v>28800</v>
      </c>
      <c r="O123" s="199">
        <v>106.848</v>
      </c>
      <c r="P123" s="200">
        <v>0.18</v>
      </c>
      <c r="Q123" s="187"/>
    </row>
    <row r="124" spans="1:17" s="191" customFormat="1" ht="14.1" customHeight="1">
      <c r="A124" s="187">
        <v>969</v>
      </c>
      <c r="B124" s="187">
        <v>969</v>
      </c>
      <c r="C124" s="187" t="s">
        <v>1059</v>
      </c>
      <c r="D124" s="187" t="s">
        <v>2815</v>
      </c>
      <c r="E124" s="187" t="s">
        <v>2816</v>
      </c>
      <c r="F124" s="187" t="s">
        <v>33</v>
      </c>
      <c r="G124" s="187" t="s">
        <v>2805</v>
      </c>
      <c r="H124" s="187">
        <v>620101031</v>
      </c>
      <c r="I124" s="187" t="s">
        <v>33</v>
      </c>
      <c r="J124" s="187" t="s">
        <v>102</v>
      </c>
      <c r="K124" s="198">
        <v>43190</v>
      </c>
      <c r="L124" s="199">
        <v>80000</v>
      </c>
      <c r="M124" s="199">
        <v>296.8</v>
      </c>
      <c r="N124" s="199">
        <v>14000</v>
      </c>
      <c r="O124" s="199">
        <v>51.94</v>
      </c>
      <c r="P124" s="200">
        <v>0.17499999999999999</v>
      </c>
      <c r="Q124" s="187"/>
    </row>
    <row r="125" spans="1:17" s="191" customFormat="1" ht="14.1" customHeight="1">
      <c r="A125" s="187">
        <v>969</v>
      </c>
      <c r="B125" s="187">
        <v>969</v>
      </c>
      <c r="C125" s="187" t="s">
        <v>1059</v>
      </c>
      <c r="D125" s="187" t="s">
        <v>2815</v>
      </c>
      <c r="E125" s="187" t="s">
        <v>2816</v>
      </c>
      <c r="F125" s="187" t="s">
        <v>33</v>
      </c>
      <c r="G125" s="187" t="s">
        <v>2806</v>
      </c>
      <c r="H125" s="187">
        <v>62014857</v>
      </c>
      <c r="I125" s="187" t="s">
        <v>33</v>
      </c>
      <c r="J125" s="187" t="s">
        <v>102</v>
      </c>
      <c r="K125" s="198">
        <v>43555</v>
      </c>
      <c r="L125" s="199">
        <v>80000</v>
      </c>
      <c r="M125" s="199">
        <v>296.8</v>
      </c>
      <c r="N125" s="199">
        <v>20800</v>
      </c>
      <c r="O125" s="199">
        <v>77.168000000000006</v>
      </c>
      <c r="P125" s="200">
        <v>0.26</v>
      </c>
      <c r="Q125" s="187"/>
    </row>
    <row r="126" spans="1:17" s="191" customFormat="1" ht="14.1" customHeight="1">
      <c r="A126" s="187">
        <v>969</v>
      </c>
      <c r="B126" s="187">
        <v>969</v>
      </c>
      <c r="C126" s="187" t="s">
        <v>1059</v>
      </c>
      <c r="D126" s="187" t="s">
        <v>2815</v>
      </c>
      <c r="E126" s="187" t="s">
        <v>2816</v>
      </c>
      <c r="F126" s="187" t="s">
        <v>33</v>
      </c>
      <c r="G126" s="187" t="s">
        <v>2811</v>
      </c>
      <c r="H126" s="187">
        <v>62017678</v>
      </c>
      <c r="I126" s="187" t="s">
        <v>33</v>
      </c>
      <c r="J126" s="187" t="s">
        <v>102</v>
      </c>
      <c r="K126" s="198">
        <v>43921</v>
      </c>
      <c r="L126" s="199">
        <v>160000</v>
      </c>
      <c r="M126" s="199">
        <v>593.6</v>
      </c>
      <c r="N126" s="199">
        <v>4800</v>
      </c>
      <c r="O126" s="199">
        <v>17.808</v>
      </c>
      <c r="P126" s="200">
        <v>0.03</v>
      </c>
      <c r="Q126" s="187"/>
    </row>
    <row r="127" spans="1:17" s="191" customFormat="1" ht="14.1" customHeight="1">
      <c r="A127" s="187">
        <v>969</v>
      </c>
      <c r="B127" s="187">
        <v>969</v>
      </c>
      <c r="C127" s="187" t="s">
        <v>1059</v>
      </c>
      <c r="D127" s="187" t="s">
        <v>2648</v>
      </c>
      <c r="E127" s="187" t="s">
        <v>2649</v>
      </c>
      <c r="F127" s="187" t="s">
        <v>33</v>
      </c>
      <c r="G127" s="187" t="s">
        <v>2650</v>
      </c>
      <c r="H127" s="187">
        <v>62001189</v>
      </c>
      <c r="I127" s="187" t="s">
        <v>33</v>
      </c>
      <c r="J127" s="187" t="s">
        <v>102</v>
      </c>
      <c r="K127" s="198">
        <v>42825</v>
      </c>
      <c r="L127" s="199">
        <v>50000</v>
      </c>
      <c r="M127" s="199">
        <v>185.5</v>
      </c>
      <c r="N127" s="199">
        <v>3250</v>
      </c>
      <c r="O127" s="199">
        <v>12.057499999999999</v>
      </c>
      <c r="P127" s="200">
        <v>6.5000000000000002E-2</v>
      </c>
      <c r="Q127" s="187"/>
    </row>
    <row r="128" spans="1:17" s="191" customFormat="1" ht="14.1" customHeight="1">
      <c r="A128" s="187">
        <v>969</v>
      </c>
      <c r="B128" s="187">
        <v>969</v>
      </c>
      <c r="C128" s="187" t="s">
        <v>1059</v>
      </c>
      <c r="D128" s="187" t="s">
        <v>2723</v>
      </c>
      <c r="E128" s="187" t="s">
        <v>2724</v>
      </c>
      <c r="F128" s="187" t="s">
        <v>1342</v>
      </c>
      <c r="G128" s="187" t="s">
        <v>2723</v>
      </c>
      <c r="H128" s="187">
        <v>18952</v>
      </c>
      <c r="I128" s="187" t="s">
        <v>33</v>
      </c>
      <c r="J128" s="187" t="s">
        <v>34</v>
      </c>
      <c r="K128" s="198">
        <v>42825</v>
      </c>
      <c r="L128" s="199">
        <v>180000</v>
      </c>
      <c r="M128" s="199">
        <v>180</v>
      </c>
      <c r="N128" s="199">
        <v>30890</v>
      </c>
      <c r="O128" s="199">
        <v>30.89</v>
      </c>
      <c r="P128" s="200">
        <v>0.1716111111111111</v>
      </c>
      <c r="Q128" s="187"/>
    </row>
    <row r="129" spans="1:17" s="191" customFormat="1" ht="14.1" customHeight="1">
      <c r="A129" s="187">
        <v>969</v>
      </c>
      <c r="B129" s="187">
        <v>969</v>
      </c>
      <c r="C129" s="187" t="s">
        <v>1059</v>
      </c>
      <c r="D129" s="187" t="s">
        <v>2655</v>
      </c>
      <c r="E129" s="187" t="s">
        <v>2656</v>
      </c>
      <c r="F129" s="187" t="s">
        <v>349</v>
      </c>
      <c r="G129" s="187" t="s">
        <v>2657</v>
      </c>
      <c r="H129" s="187">
        <v>50000983</v>
      </c>
      <c r="I129" s="187" t="s">
        <v>33</v>
      </c>
      <c r="J129" s="187" t="s">
        <v>34</v>
      </c>
      <c r="K129" s="198">
        <v>43555</v>
      </c>
      <c r="L129" s="199">
        <v>300000</v>
      </c>
      <c r="M129" s="199">
        <v>300</v>
      </c>
      <c r="N129" s="199">
        <v>90000</v>
      </c>
      <c r="O129" s="199">
        <v>90</v>
      </c>
      <c r="P129" s="200">
        <v>0.3</v>
      </c>
      <c r="Q129" s="187"/>
    </row>
    <row r="130" spans="1:17" s="191" customFormat="1" ht="14.1" customHeight="1">
      <c r="A130" s="187">
        <v>969</v>
      </c>
      <c r="B130" s="187">
        <v>969</v>
      </c>
      <c r="C130" s="187" t="s">
        <v>1059</v>
      </c>
      <c r="D130" s="187" t="s">
        <v>3272</v>
      </c>
      <c r="E130" s="187" t="s">
        <v>3273</v>
      </c>
      <c r="F130" s="187" t="s">
        <v>33</v>
      </c>
      <c r="G130" s="187" t="s">
        <v>2877</v>
      </c>
      <c r="H130" s="187">
        <v>62009204</v>
      </c>
      <c r="I130" s="187" t="s">
        <v>33</v>
      </c>
      <c r="J130" s="187" t="s">
        <v>102</v>
      </c>
      <c r="K130" s="198">
        <v>43190</v>
      </c>
      <c r="L130" s="199">
        <v>80000</v>
      </c>
      <c r="M130" s="199">
        <v>296.8</v>
      </c>
      <c r="N130" s="199">
        <v>7341</v>
      </c>
      <c r="O130" s="199">
        <v>27.235109999999999</v>
      </c>
      <c r="P130" s="200">
        <v>9.1762499999999997E-2</v>
      </c>
      <c r="Q130" s="187"/>
    </row>
    <row r="131" spans="1:17" s="191" customFormat="1" ht="14.1" customHeight="1">
      <c r="A131" s="187">
        <v>969</v>
      </c>
      <c r="B131" s="187">
        <v>969</v>
      </c>
      <c r="C131" s="187" t="s">
        <v>1059</v>
      </c>
      <c r="D131" s="187" t="s">
        <v>2861</v>
      </c>
      <c r="E131" s="187">
        <v>0</v>
      </c>
      <c r="F131" s="187" t="s">
        <v>350</v>
      </c>
      <c r="G131" s="187" t="s">
        <v>2891</v>
      </c>
      <c r="H131" s="187">
        <v>62010137</v>
      </c>
      <c r="I131" s="187" t="s">
        <v>33</v>
      </c>
      <c r="J131" s="187" t="s">
        <v>102</v>
      </c>
      <c r="K131" s="198">
        <v>43190</v>
      </c>
      <c r="L131" s="199">
        <v>80000</v>
      </c>
      <c r="M131" s="199">
        <v>296.8</v>
      </c>
      <c r="N131" s="199">
        <v>22181</v>
      </c>
      <c r="O131" s="199">
        <v>82.291509999999988</v>
      </c>
      <c r="P131" s="200">
        <v>0.27726250000000002</v>
      </c>
      <c r="Q131" s="187"/>
    </row>
    <row r="132" spans="1:17" s="191" customFormat="1" ht="14.1" customHeight="1">
      <c r="A132" s="187">
        <v>969</v>
      </c>
      <c r="B132" s="187">
        <v>969</v>
      </c>
      <c r="C132" s="187" t="s">
        <v>1059</v>
      </c>
      <c r="D132" s="187" t="s">
        <v>3282</v>
      </c>
      <c r="E132" s="187" t="s">
        <v>3283</v>
      </c>
      <c r="F132" s="187" t="s">
        <v>33</v>
      </c>
      <c r="G132" s="187" t="s">
        <v>2777</v>
      </c>
      <c r="H132" s="187">
        <v>62018064</v>
      </c>
      <c r="I132" s="187" t="s">
        <v>33</v>
      </c>
      <c r="J132" s="187" t="s">
        <v>102</v>
      </c>
      <c r="K132" s="198">
        <v>44286</v>
      </c>
      <c r="L132" s="199">
        <v>100000</v>
      </c>
      <c r="M132" s="199">
        <v>371</v>
      </c>
      <c r="N132" s="199">
        <v>15261</v>
      </c>
      <c r="O132" s="199">
        <v>56.618310000000001</v>
      </c>
      <c r="P132" s="200">
        <v>0.15261</v>
      </c>
      <c r="Q132" s="187"/>
    </row>
    <row r="133" spans="1:17" s="191" customFormat="1" ht="14.1" customHeight="1">
      <c r="A133" s="187">
        <v>1182</v>
      </c>
      <c r="B133" s="187">
        <v>1182</v>
      </c>
      <c r="C133" s="187" t="s">
        <v>1059</v>
      </c>
      <c r="D133" s="187" t="s">
        <v>3250</v>
      </c>
      <c r="E133" s="187" t="s">
        <v>3251</v>
      </c>
      <c r="F133" s="187" t="s">
        <v>33</v>
      </c>
      <c r="G133" s="187" t="s">
        <v>2667</v>
      </c>
      <c r="H133" s="187">
        <v>62002785</v>
      </c>
      <c r="I133" s="187" t="s">
        <v>33</v>
      </c>
      <c r="J133" s="187" t="s">
        <v>102</v>
      </c>
      <c r="K133" s="198">
        <v>42825</v>
      </c>
      <c r="L133" s="199">
        <v>100000</v>
      </c>
      <c r="M133" s="199">
        <v>371</v>
      </c>
      <c r="N133" s="199">
        <v>6500</v>
      </c>
      <c r="O133" s="199">
        <v>24.114999999999998</v>
      </c>
      <c r="P133" s="200">
        <v>6.5000000000000002E-2</v>
      </c>
      <c r="Q133" s="187"/>
    </row>
    <row r="134" spans="1:17" s="191" customFormat="1" ht="14.1" customHeight="1">
      <c r="A134" s="187">
        <v>1182</v>
      </c>
      <c r="B134" s="187">
        <v>1182</v>
      </c>
      <c r="C134" s="187" t="s">
        <v>1059</v>
      </c>
      <c r="D134" s="187" t="s">
        <v>3250</v>
      </c>
      <c r="E134" s="187" t="s">
        <v>3251</v>
      </c>
      <c r="F134" s="187" t="s">
        <v>33</v>
      </c>
      <c r="G134" s="187" t="s">
        <v>2669</v>
      </c>
      <c r="H134" s="187">
        <v>62017827</v>
      </c>
      <c r="I134" s="187" t="s">
        <v>33</v>
      </c>
      <c r="J134" s="187" t="s">
        <v>102</v>
      </c>
      <c r="K134" s="198">
        <v>44286</v>
      </c>
      <c r="L134" s="199">
        <v>75000</v>
      </c>
      <c r="M134" s="199">
        <v>278.25</v>
      </c>
      <c r="N134" s="199">
        <v>13687</v>
      </c>
      <c r="O134" s="199">
        <v>50.778769999999994</v>
      </c>
      <c r="P134" s="200">
        <v>0.18249333333333334</v>
      </c>
      <c r="Q134" s="187"/>
    </row>
    <row r="135" spans="1:17" s="191" customFormat="1" ht="14.1" customHeight="1">
      <c r="A135" s="187">
        <v>1182</v>
      </c>
      <c r="B135" s="187">
        <v>1182</v>
      </c>
      <c r="C135" s="187" t="s">
        <v>1059</v>
      </c>
      <c r="D135" s="187" t="s">
        <v>3252</v>
      </c>
      <c r="E135" s="187" t="s">
        <v>3253</v>
      </c>
      <c r="F135" s="187" t="s">
        <v>33</v>
      </c>
      <c r="G135" s="187" t="s">
        <v>2671</v>
      </c>
      <c r="H135" s="187">
        <v>62018247</v>
      </c>
      <c r="I135" s="187" t="s">
        <v>33</v>
      </c>
      <c r="J135" s="187" t="s">
        <v>102</v>
      </c>
      <c r="K135" s="198">
        <v>44286</v>
      </c>
      <c r="L135" s="199">
        <v>250000</v>
      </c>
      <c r="M135" s="199">
        <v>927.5</v>
      </c>
      <c r="N135" s="199">
        <v>65000</v>
      </c>
      <c r="O135" s="199">
        <v>241.15</v>
      </c>
      <c r="P135" s="200">
        <v>0.26</v>
      </c>
      <c r="Q135" s="187"/>
    </row>
    <row r="136" spans="1:17" s="191" customFormat="1" ht="14.1" customHeight="1">
      <c r="A136" s="187">
        <v>1182</v>
      </c>
      <c r="B136" s="187">
        <v>1182</v>
      </c>
      <c r="C136" s="187" t="s">
        <v>1059</v>
      </c>
      <c r="D136" s="187" t="s">
        <v>2628</v>
      </c>
      <c r="E136" s="187" t="s">
        <v>2629</v>
      </c>
      <c r="F136" s="187" t="s">
        <v>33</v>
      </c>
      <c r="G136" s="187" t="s">
        <v>2634</v>
      </c>
      <c r="H136" s="187">
        <v>62000563</v>
      </c>
      <c r="I136" s="187" t="s">
        <v>33</v>
      </c>
      <c r="J136" s="187" t="s">
        <v>102</v>
      </c>
      <c r="K136" s="198">
        <v>42825</v>
      </c>
      <c r="L136" s="199">
        <v>100000</v>
      </c>
      <c r="M136" s="199">
        <v>371</v>
      </c>
      <c r="N136" s="199">
        <v>2250</v>
      </c>
      <c r="O136" s="199">
        <v>8.3475000000000001</v>
      </c>
      <c r="P136" s="200">
        <v>2.2499999999999999E-2</v>
      </c>
      <c r="Q136" s="187"/>
    </row>
    <row r="137" spans="1:17" s="191" customFormat="1" ht="14.1" customHeight="1">
      <c r="A137" s="187">
        <v>1182</v>
      </c>
      <c r="B137" s="187">
        <v>1182</v>
      </c>
      <c r="C137" s="187" t="s">
        <v>1059</v>
      </c>
      <c r="D137" s="187" t="s">
        <v>2628</v>
      </c>
      <c r="E137" s="187" t="s">
        <v>2629</v>
      </c>
      <c r="F137" s="187" t="s">
        <v>33</v>
      </c>
      <c r="G137" s="187" t="s">
        <v>2632</v>
      </c>
      <c r="H137" s="187">
        <v>62019724</v>
      </c>
      <c r="I137" s="187" t="s">
        <v>33</v>
      </c>
      <c r="J137" s="187" t="s">
        <v>102</v>
      </c>
      <c r="K137" s="198">
        <v>44286</v>
      </c>
      <c r="L137" s="199">
        <v>100000</v>
      </c>
      <c r="M137" s="199">
        <v>371</v>
      </c>
      <c r="N137" s="199">
        <v>25000</v>
      </c>
      <c r="O137" s="199">
        <v>92.75</v>
      </c>
      <c r="P137" s="200">
        <v>0.25</v>
      </c>
      <c r="Q137" s="187"/>
    </row>
    <row r="138" spans="1:17" s="191" customFormat="1" ht="14.1" customHeight="1">
      <c r="A138" s="187">
        <v>1182</v>
      </c>
      <c r="B138" s="187">
        <v>1182</v>
      </c>
      <c r="C138" s="187" t="s">
        <v>1059</v>
      </c>
      <c r="D138" s="187" t="s">
        <v>2628</v>
      </c>
      <c r="E138" s="187" t="s">
        <v>2629</v>
      </c>
      <c r="F138" s="187" t="s">
        <v>33</v>
      </c>
      <c r="G138" s="187" t="s">
        <v>2661</v>
      </c>
      <c r="H138" s="187">
        <v>62013347</v>
      </c>
      <c r="I138" s="187" t="s">
        <v>33</v>
      </c>
      <c r="J138" s="187" t="s">
        <v>102</v>
      </c>
      <c r="K138" s="198">
        <v>43555</v>
      </c>
      <c r="L138" s="199">
        <v>200000</v>
      </c>
      <c r="M138" s="199">
        <v>742</v>
      </c>
      <c r="N138" s="199">
        <v>5111</v>
      </c>
      <c r="O138" s="199">
        <v>18.96181</v>
      </c>
      <c r="P138" s="200">
        <v>2.5555000000000001E-2</v>
      </c>
      <c r="Q138" s="187"/>
    </row>
    <row r="139" spans="1:17" s="191" customFormat="1" ht="14.1" customHeight="1">
      <c r="A139" s="187">
        <v>1182</v>
      </c>
      <c r="B139" s="187">
        <v>1182</v>
      </c>
      <c r="C139" s="187" t="s">
        <v>1059</v>
      </c>
      <c r="D139" s="187" t="s">
        <v>2652</v>
      </c>
      <c r="E139" s="187" t="s">
        <v>2931</v>
      </c>
      <c r="F139" s="187" t="s">
        <v>33</v>
      </c>
      <c r="G139" s="187" t="s">
        <v>2652</v>
      </c>
      <c r="H139" s="187">
        <v>60401809</v>
      </c>
      <c r="I139" s="187" t="s">
        <v>33</v>
      </c>
      <c r="J139" s="187" t="s">
        <v>102</v>
      </c>
      <c r="K139" s="198">
        <v>42460</v>
      </c>
      <c r="L139" s="199">
        <v>100000</v>
      </c>
      <c r="M139" s="199">
        <v>371</v>
      </c>
      <c r="N139" s="199">
        <v>1000</v>
      </c>
      <c r="O139" s="199">
        <v>3.71</v>
      </c>
      <c r="P139" s="200">
        <v>0.01</v>
      </c>
      <c r="Q139" s="187"/>
    </row>
    <row r="140" spans="1:17" s="191" customFormat="1" ht="14.1" customHeight="1">
      <c r="A140" s="187">
        <v>1182</v>
      </c>
      <c r="B140" s="187">
        <v>1182</v>
      </c>
      <c r="C140" s="187" t="s">
        <v>1059</v>
      </c>
      <c r="D140" s="187" t="s">
        <v>3246</v>
      </c>
      <c r="E140" s="187" t="s">
        <v>3247</v>
      </c>
      <c r="F140" s="187" t="s">
        <v>33</v>
      </c>
      <c r="G140" s="187" t="s">
        <v>2895</v>
      </c>
      <c r="H140" s="187">
        <v>62006366</v>
      </c>
      <c r="I140" s="187" t="s">
        <v>33</v>
      </c>
      <c r="J140" s="187" t="s">
        <v>102</v>
      </c>
      <c r="K140" s="198">
        <v>43190</v>
      </c>
      <c r="L140" s="199">
        <v>100000</v>
      </c>
      <c r="M140" s="199">
        <v>371</v>
      </c>
      <c r="N140" s="199">
        <v>9000</v>
      </c>
      <c r="O140" s="199">
        <v>33.39</v>
      </c>
      <c r="P140" s="200">
        <v>0.09</v>
      </c>
      <c r="Q140" s="187"/>
    </row>
    <row r="141" spans="1:17" s="191" customFormat="1" ht="14.1" customHeight="1">
      <c r="A141" s="187">
        <v>1182</v>
      </c>
      <c r="B141" s="187">
        <v>1182</v>
      </c>
      <c r="C141" s="187" t="s">
        <v>1059</v>
      </c>
      <c r="D141" s="187" t="s">
        <v>2684</v>
      </c>
      <c r="E141" s="187">
        <v>0</v>
      </c>
      <c r="F141" s="187" t="s">
        <v>350</v>
      </c>
      <c r="G141" s="187" t="s">
        <v>2686</v>
      </c>
      <c r="H141" s="187">
        <v>62013024</v>
      </c>
      <c r="I141" s="187" t="s">
        <v>33</v>
      </c>
      <c r="J141" s="187" t="s">
        <v>102</v>
      </c>
      <c r="K141" s="198">
        <v>43555</v>
      </c>
      <c r="L141" s="199">
        <v>200000</v>
      </c>
      <c r="M141" s="199">
        <v>742</v>
      </c>
      <c r="N141" s="199">
        <v>60000</v>
      </c>
      <c r="O141" s="199">
        <v>222.6</v>
      </c>
      <c r="P141" s="200">
        <v>0.3</v>
      </c>
      <c r="Q141" s="187"/>
    </row>
    <row r="142" spans="1:17" s="191" customFormat="1" ht="14.1" customHeight="1">
      <c r="A142" s="187">
        <v>1182</v>
      </c>
      <c r="B142" s="187">
        <v>1182</v>
      </c>
      <c r="C142" s="187" t="s">
        <v>1059</v>
      </c>
      <c r="D142" s="187" t="s">
        <v>2711</v>
      </c>
      <c r="E142" s="187">
        <v>0</v>
      </c>
      <c r="F142" s="187" t="s">
        <v>194</v>
      </c>
      <c r="G142" s="187" t="s">
        <v>2690</v>
      </c>
      <c r="H142" s="187">
        <v>60406600</v>
      </c>
      <c r="I142" s="187" t="s">
        <v>33</v>
      </c>
      <c r="J142" s="187" t="s">
        <v>102</v>
      </c>
      <c r="K142" s="198">
        <v>42460</v>
      </c>
      <c r="L142" s="199">
        <v>100000</v>
      </c>
      <c r="M142" s="199">
        <v>371</v>
      </c>
      <c r="N142" s="199">
        <v>7998</v>
      </c>
      <c r="O142" s="199">
        <v>29.672579999999996</v>
      </c>
      <c r="P142" s="200">
        <v>7.9979999999999996E-2</v>
      </c>
      <c r="Q142" s="187"/>
    </row>
    <row r="143" spans="1:17" s="191" customFormat="1" ht="14.1" customHeight="1">
      <c r="A143" s="187">
        <v>1182</v>
      </c>
      <c r="B143" s="187">
        <v>1182</v>
      </c>
      <c r="C143" s="187" t="s">
        <v>1059</v>
      </c>
      <c r="D143" s="187" t="s">
        <v>2711</v>
      </c>
      <c r="E143" s="187">
        <v>0</v>
      </c>
      <c r="F143" s="187" t="s">
        <v>194</v>
      </c>
      <c r="G143" s="187" t="s">
        <v>2714</v>
      </c>
      <c r="H143" s="187">
        <v>62007349</v>
      </c>
      <c r="I143" s="187" t="s">
        <v>33</v>
      </c>
      <c r="J143" s="187" t="s">
        <v>102</v>
      </c>
      <c r="K143" s="198">
        <v>43190</v>
      </c>
      <c r="L143" s="199">
        <v>100000</v>
      </c>
      <c r="M143" s="199">
        <v>371</v>
      </c>
      <c r="N143" s="199">
        <v>9999</v>
      </c>
      <c r="O143" s="199">
        <v>37.096290000000003</v>
      </c>
      <c r="P143" s="200">
        <v>9.9989999999999996E-2</v>
      </c>
      <c r="Q143" s="187"/>
    </row>
    <row r="144" spans="1:17" s="191" customFormat="1" ht="14.1" customHeight="1">
      <c r="A144" s="187">
        <v>1182</v>
      </c>
      <c r="B144" s="187">
        <v>1182</v>
      </c>
      <c r="C144" s="187" t="s">
        <v>1059</v>
      </c>
      <c r="D144" s="187" t="s">
        <v>2711</v>
      </c>
      <c r="E144" s="187">
        <v>0</v>
      </c>
      <c r="F144" s="187" t="s">
        <v>194</v>
      </c>
      <c r="G144" s="187" t="s">
        <v>2718</v>
      </c>
      <c r="H144" s="187">
        <v>62020755</v>
      </c>
      <c r="I144" s="187" t="s">
        <v>33</v>
      </c>
      <c r="J144" s="187" t="s">
        <v>102</v>
      </c>
      <c r="K144" s="198">
        <v>44651</v>
      </c>
      <c r="L144" s="199">
        <v>400000</v>
      </c>
      <c r="M144" s="199">
        <v>1484</v>
      </c>
      <c r="N144" s="199">
        <v>276000</v>
      </c>
      <c r="O144" s="199">
        <v>1023.96</v>
      </c>
      <c r="P144" s="200">
        <v>0.69</v>
      </c>
      <c r="Q144" s="187"/>
    </row>
    <row r="145" spans="1:17" s="191" customFormat="1" ht="14.1" customHeight="1">
      <c r="A145" s="187">
        <v>1182</v>
      </c>
      <c r="B145" s="187">
        <v>1182</v>
      </c>
      <c r="C145" s="187" t="s">
        <v>1059</v>
      </c>
      <c r="D145" s="187" t="s">
        <v>2711</v>
      </c>
      <c r="E145" s="187">
        <v>0</v>
      </c>
      <c r="F145" s="187" t="s">
        <v>194</v>
      </c>
      <c r="G145" s="187" t="s">
        <v>2694</v>
      </c>
      <c r="H145" s="187">
        <v>62009048</v>
      </c>
      <c r="I145" s="187" t="s">
        <v>33</v>
      </c>
      <c r="J145" s="187" t="s">
        <v>102</v>
      </c>
      <c r="K145" s="198">
        <v>43190</v>
      </c>
      <c r="L145" s="199">
        <v>200000</v>
      </c>
      <c r="M145" s="199">
        <v>742</v>
      </c>
      <c r="N145" s="199">
        <v>6000</v>
      </c>
      <c r="O145" s="199">
        <v>22.26</v>
      </c>
      <c r="P145" s="200">
        <v>0.03</v>
      </c>
      <c r="Q145" s="187"/>
    </row>
    <row r="146" spans="1:17" s="191" customFormat="1" ht="14.1" customHeight="1">
      <c r="A146" s="187">
        <v>1182</v>
      </c>
      <c r="B146" s="187">
        <v>1182</v>
      </c>
      <c r="C146" s="187" t="s">
        <v>1059</v>
      </c>
      <c r="D146" s="187" t="s">
        <v>2711</v>
      </c>
      <c r="E146" s="187">
        <v>0</v>
      </c>
      <c r="F146" s="187" t="s">
        <v>194</v>
      </c>
      <c r="G146" s="187" t="s">
        <v>2712</v>
      </c>
      <c r="H146" s="187">
        <v>62015151</v>
      </c>
      <c r="I146" s="187" t="s">
        <v>33</v>
      </c>
      <c r="J146" s="187" t="s">
        <v>102</v>
      </c>
      <c r="K146" s="198">
        <v>43921</v>
      </c>
      <c r="L146" s="199">
        <v>300000</v>
      </c>
      <c r="M146" s="199">
        <v>1113</v>
      </c>
      <c r="N146" s="199">
        <v>91501</v>
      </c>
      <c r="O146" s="199">
        <v>339.46871000000004</v>
      </c>
      <c r="P146" s="200">
        <v>0.30500333333333335</v>
      </c>
      <c r="Q146" s="187"/>
    </row>
    <row r="147" spans="1:17" s="191" customFormat="1" ht="14.1" customHeight="1">
      <c r="A147" s="187">
        <v>1182</v>
      </c>
      <c r="B147" s="187">
        <v>1182</v>
      </c>
      <c r="C147" s="187" t="s">
        <v>1059</v>
      </c>
      <c r="D147" s="187" t="s">
        <v>2711</v>
      </c>
      <c r="E147" s="187">
        <v>0</v>
      </c>
      <c r="F147" s="187" t="s">
        <v>194</v>
      </c>
      <c r="G147" s="187" t="s">
        <v>2698</v>
      </c>
      <c r="H147" s="187">
        <v>62015334</v>
      </c>
      <c r="I147" s="187" t="s">
        <v>33</v>
      </c>
      <c r="J147" s="187" t="s">
        <v>102</v>
      </c>
      <c r="K147" s="198">
        <v>43921</v>
      </c>
      <c r="L147" s="199">
        <v>200000</v>
      </c>
      <c r="M147" s="199">
        <v>742</v>
      </c>
      <c r="N147" s="199">
        <v>30000</v>
      </c>
      <c r="O147" s="199">
        <v>111.3</v>
      </c>
      <c r="P147" s="200">
        <v>0.15</v>
      </c>
      <c r="Q147" s="187"/>
    </row>
    <row r="148" spans="1:17" s="191" customFormat="1" ht="14.1" customHeight="1">
      <c r="A148" s="187">
        <v>1182</v>
      </c>
      <c r="B148" s="187">
        <v>1182</v>
      </c>
      <c r="C148" s="187" t="s">
        <v>1059</v>
      </c>
      <c r="D148" s="187" t="s">
        <v>2711</v>
      </c>
      <c r="E148" s="187">
        <v>0</v>
      </c>
      <c r="F148" s="187" t="s">
        <v>194</v>
      </c>
      <c r="G148" s="187" t="s">
        <v>2702</v>
      </c>
      <c r="H148" s="187">
        <v>62017835</v>
      </c>
      <c r="I148" s="187" t="s">
        <v>33</v>
      </c>
      <c r="J148" s="187" t="s">
        <v>102</v>
      </c>
      <c r="K148" s="198">
        <v>44286</v>
      </c>
      <c r="L148" s="199">
        <v>200000</v>
      </c>
      <c r="M148" s="199">
        <v>742</v>
      </c>
      <c r="N148" s="199">
        <v>33000</v>
      </c>
      <c r="O148" s="199">
        <v>122.43</v>
      </c>
      <c r="P148" s="200">
        <v>0.16500000000000001</v>
      </c>
      <c r="Q148" s="187"/>
    </row>
    <row r="149" spans="1:17" s="191" customFormat="1" ht="14.1" customHeight="1">
      <c r="A149" s="187">
        <v>1182</v>
      </c>
      <c r="B149" s="187">
        <v>1182</v>
      </c>
      <c r="C149" s="187" t="s">
        <v>1059</v>
      </c>
      <c r="D149" s="187" t="s">
        <v>2711</v>
      </c>
      <c r="E149" s="187">
        <v>0</v>
      </c>
      <c r="F149" s="187" t="s">
        <v>194</v>
      </c>
      <c r="G149" s="187" t="s">
        <v>2705</v>
      </c>
      <c r="H149" s="187">
        <v>62020011</v>
      </c>
      <c r="I149" s="187" t="s">
        <v>33</v>
      </c>
      <c r="J149" s="187" t="s">
        <v>102</v>
      </c>
      <c r="K149" s="198">
        <v>44561</v>
      </c>
      <c r="L149" s="199">
        <v>200000</v>
      </c>
      <c r="M149" s="199">
        <v>742</v>
      </c>
      <c r="N149" s="199">
        <v>111000</v>
      </c>
      <c r="O149" s="199">
        <v>411.81</v>
      </c>
      <c r="P149" s="200">
        <v>0.55500000000000005</v>
      </c>
      <c r="Q149" s="187"/>
    </row>
    <row r="150" spans="1:17" s="191" customFormat="1" ht="14.1" customHeight="1">
      <c r="A150" s="187">
        <v>1182</v>
      </c>
      <c r="B150" s="187">
        <v>1182</v>
      </c>
      <c r="C150" s="187" t="s">
        <v>1059</v>
      </c>
      <c r="D150" s="187" t="s">
        <v>2711</v>
      </c>
      <c r="E150" s="187">
        <v>0</v>
      </c>
      <c r="F150" s="187" t="s">
        <v>194</v>
      </c>
      <c r="G150" s="187" t="s">
        <v>2709</v>
      </c>
      <c r="H150" s="187">
        <v>62020748</v>
      </c>
      <c r="I150" s="187" t="s">
        <v>33</v>
      </c>
      <c r="J150" s="187" t="s">
        <v>102</v>
      </c>
      <c r="K150" s="198">
        <v>44834</v>
      </c>
      <c r="L150" s="199">
        <v>250000</v>
      </c>
      <c r="M150" s="199">
        <v>927.5</v>
      </c>
      <c r="N150" s="199">
        <v>200000</v>
      </c>
      <c r="O150" s="199">
        <v>742</v>
      </c>
      <c r="P150" s="200">
        <v>0.8</v>
      </c>
      <c r="Q150" s="187"/>
    </row>
    <row r="151" spans="1:17" s="191" customFormat="1" ht="14.1" customHeight="1">
      <c r="A151" s="187">
        <v>1182</v>
      </c>
      <c r="B151" s="187">
        <v>1182</v>
      </c>
      <c r="C151" s="187" t="s">
        <v>1059</v>
      </c>
      <c r="D151" s="187" t="s">
        <v>2711</v>
      </c>
      <c r="E151" s="187">
        <v>0</v>
      </c>
      <c r="F151" s="187" t="s">
        <v>194</v>
      </c>
      <c r="G151" s="187" t="s">
        <v>2912</v>
      </c>
      <c r="H151" s="187">
        <v>62020995</v>
      </c>
      <c r="I151" s="187" t="s">
        <v>33</v>
      </c>
      <c r="J151" s="187" t="s">
        <v>102</v>
      </c>
      <c r="K151" s="198">
        <v>44834</v>
      </c>
      <c r="L151" s="199">
        <v>250000</v>
      </c>
      <c r="M151" s="199">
        <v>927.5</v>
      </c>
      <c r="N151" s="199">
        <v>195000</v>
      </c>
      <c r="O151" s="199">
        <v>723.45</v>
      </c>
      <c r="P151" s="200">
        <v>0.78</v>
      </c>
      <c r="Q151" s="187"/>
    </row>
    <row r="152" spans="1:17" s="191" customFormat="1" ht="14.1" customHeight="1">
      <c r="A152" s="187">
        <v>1182</v>
      </c>
      <c r="B152" s="187">
        <v>1182</v>
      </c>
      <c r="C152" s="187" t="s">
        <v>1059</v>
      </c>
      <c r="D152" s="187" t="s">
        <v>3254</v>
      </c>
      <c r="E152" s="187" t="s">
        <v>3255</v>
      </c>
      <c r="F152" s="187" t="s">
        <v>1342</v>
      </c>
      <c r="G152" s="187" t="s">
        <v>2848</v>
      </c>
      <c r="H152" s="187">
        <v>62020953</v>
      </c>
      <c r="I152" s="187" t="s">
        <v>33</v>
      </c>
      <c r="J152" s="187" t="s">
        <v>102</v>
      </c>
      <c r="K152" s="198">
        <v>44651</v>
      </c>
      <c r="L152" s="199">
        <v>330000</v>
      </c>
      <c r="M152" s="199">
        <v>1224.3</v>
      </c>
      <c r="N152" s="199">
        <v>165000</v>
      </c>
      <c r="O152" s="199">
        <v>612.15</v>
      </c>
      <c r="P152" s="200">
        <v>0.5</v>
      </c>
      <c r="Q152" s="187"/>
    </row>
    <row r="153" spans="1:17" s="191" customFormat="1" ht="14.1" customHeight="1">
      <c r="A153" s="187">
        <v>1182</v>
      </c>
      <c r="B153" s="187">
        <v>1182</v>
      </c>
      <c r="C153" s="187" t="s">
        <v>1059</v>
      </c>
      <c r="D153" s="187" t="s">
        <v>3256</v>
      </c>
      <c r="E153" s="187" t="s">
        <v>2625</v>
      </c>
      <c r="F153" s="187" t="s">
        <v>33</v>
      </c>
      <c r="G153" s="187" t="s">
        <v>2730</v>
      </c>
      <c r="H153" s="187">
        <v>60400892</v>
      </c>
      <c r="I153" s="187" t="s">
        <v>33</v>
      </c>
      <c r="J153" s="187" t="s">
        <v>102</v>
      </c>
      <c r="K153" s="198">
        <v>42460</v>
      </c>
      <c r="L153" s="199">
        <v>500000</v>
      </c>
      <c r="M153" s="199">
        <v>1855</v>
      </c>
      <c r="N153" s="199">
        <v>53638</v>
      </c>
      <c r="O153" s="199">
        <v>198.99698000000001</v>
      </c>
      <c r="P153" s="200">
        <v>0.107276</v>
      </c>
      <c r="Q153" s="187"/>
    </row>
    <row r="154" spans="1:17" s="191" customFormat="1" ht="14.1" customHeight="1">
      <c r="A154" s="187">
        <v>1182</v>
      </c>
      <c r="B154" s="187">
        <v>1182</v>
      </c>
      <c r="C154" s="187" t="s">
        <v>1059</v>
      </c>
      <c r="D154" s="187" t="s">
        <v>3256</v>
      </c>
      <c r="E154" s="187" t="s">
        <v>2625</v>
      </c>
      <c r="F154" s="187" t="s">
        <v>33</v>
      </c>
      <c r="G154" s="187" t="s">
        <v>2626</v>
      </c>
      <c r="H154" s="187">
        <v>62018312</v>
      </c>
      <c r="I154" s="187" t="s">
        <v>33</v>
      </c>
      <c r="J154" s="187" t="s">
        <v>102</v>
      </c>
      <c r="K154" s="198">
        <v>44286</v>
      </c>
      <c r="L154" s="199">
        <v>500000</v>
      </c>
      <c r="M154" s="199">
        <v>1855</v>
      </c>
      <c r="N154" s="199">
        <v>310400</v>
      </c>
      <c r="O154" s="199">
        <v>1151.5840000000001</v>
      </c>
      <c r="P154" s="200">
        <v>0.62080000000000002</v>
      </c>
      <c r="Q154" s="187"/>
    </row>
    <row r="155" spans="1:17" s="191" customFormat="1" ht="14.1" customHeight="1">
      <c r="A155" s="187">
        <v>1182</v>
      </c>
      <c r="B155" s="187">
        <v>1182</v>
      </c>
      <c r="C155" s="187" t="s">
        <v>1059</v>
      </c>
      <c r="D155" s="187" t="s">
        <v>2646</v>
      </c>
      <c r="E155" s="187" t="s">
        <v>2922</v>
      </c>
      <c r="F155" s="187" t="s">
        <v>33</v>
      </c>
      <c r="G155" s="187" t="s">
        <v>2646</v>
      </c>
      <c r="H155" s="187">
        <v>62017538</v>
      </c>
      <c r="I155" s="187" t="s">
        <v>33</v>
      </c>
      <c r="J155" s="187" t="s">
        <v>102</v>
      </c>
      <c r="K155" s="198">
        <v>43921</v>
      </c>
      <c r="L155" s="199">
        <v>600000</v>
      </c>
      <c r="M155" s="199">
        <v>2226</v>
      </c>
      <c r="N155" s="199">
        <v>102000</v>
      </c>
      <c r="O155" s="199">
        <v>378.42</v>
      </c>
      <c r="P155" s="200">
        <v>0.17</v>
      </c>
      <c r="Q155" s="187"/>
    </row>
    <row r="156" spans="1:17" s="191" customFormat="1" ht="14.1" customHeight="1">
      <c r="A156" s="187">
        <v>1182</v>
      </c>
      <c r="B156" s="187">
        <v>1182</v>
      </c>
      <c r="C156" s="187" t="s">
        <v>1059</v>
      </c>
      <c r="D156" s="187" t="s">
        <v>3263</v>
      </c>
      <c r="E156" s="187" t="s">
        <v>2772</v>
      </c>
      <c r="F156" s="187" t="s">
        <v>350</v>
      </c>
      <c r="G156" s="187" t="s">
        <v>2765</v>
      </c>
      <c r="H156" s="187">
        <v>60419041</v>
      </c>
      <c r="I156" s="187" t="s">
        <v>33</v>
      </c>
      <c r="J156" s="187" t="s">
        <v>102</v>
      </c>
      <c r="K156" s="198">
        <v>42460</v>
      </c>
      <c r="L156" s="199">
        <v>100000</v>
      </c>
      <c r="M156" s="199">
        <v>371</v>
      </c>
      <c r="N156" s="199">
        <v>9000</v>
      </c>
      <c r="O156" s="199">
        <v>33.39</v>
      </c>
      <c r="P156" s="200">
        <v>0.09</v>
      </c>
      <c r="Q156" s="187"/>
    </row>
    <row r="157" spans="1:17" s="191" customFormat="1" ht="14.1" customHeight="1">
      <c r="A157" s="187">
        <v>1182</v>
      </c>
      <c r="B157" s="187">
        <v>1182</v>
      </c>
      <c r="C157" s="187" t="s">
        <v>1059</v>
      </c>
      <c r="D157" s="187" t="s">
        <v>3263</v>
      </c>
      <c r="E157" s="187" t="s">
        <v>2772</v>
      </c>
      <c r="F157" s="187" t="s">
        <v>350</v>
      </c>
      <c r="G157" s="187" t="s">
        <v>2769</v>
      </c>
      <c r="H157" s="187">
        <v>62016654</v>
      </c>
      <c r="I157" s="187" t="s">
        <v>33</v>
      </c>
      <c r="J157" s="187" t="s">
        <v>102</v>
      </c>
      <c r="K157" s="198">
        <v>43921</v>
      </c>
      <c r="L157" s="199">
        <v>450000</v>
      </c>
      <c r="M157" s="199">
        <v>1669.5</v>
      </c>
      <c r="N157" s="199">
        <v>94500</v>
      </c>
      <c r="O157" s="199">
        <v>350.59500000000003</v>
      </c>
      <c r="P157" s="200">
        <v>0.21</v>
      </c>
      <c r="Q157" s="187"/>
    </row>
    <row r="158" spans="1:17" s="191" customFormat="1" ht="14.1" customHeight="1">
      <c r="A158" s="187">
        <v>1182</v>
      </c>
      <c r="B158" s="187">
        <v>1182</v>
      </c>
      <c r="C158" s="187" t="s">
        <v>1059</v>
      </c>
      <c r="D158" s="187" t="s">
        <v>3264</v>
      </c>
      <c r="E158" s="187" t="s">
        <v>3265</v>
      </c>
      <c r="F158" s="187" t="s">
        <v>33</v>
      </c>
      <c r="G158" s="187" t="s">
        <v>2773</v>
      </c>
      <c r="H158" s="187">
        <v>62021241</v>
      </c>
      <c r="I158" s="187" t="s">
        <v>33</v>
      </c>
      <c r="J158" s="187" t="s">
        <v>102</v>
      </c>
      <c r="K158" s="198">
        <v>45016</v>
      </c>
      <c r="L158" s="199">
        <v>400000</v>
      </c>
      <c r="M158" s="199">
        <v>1484</v>
      </c>
      <c r="N158" s="199">
        <v>324000</v>
      </c>
      <c r="O158" s="199">
        <v>1202.04</v>
      </c>
      <c r="P158" s="200">
        <v>0.81</v>
      </c>
      <c r="Q158" s="187"/>
    </row>
    <row r="159" spans="1:17" s="191" customFormat="1" ht="14.1" customHeight="1">
      <c r="A159" s="187">
        <v>1182</v>
      </c>
      <c r="B159" s="187">
        <v>1182</v>
      </c>
      <c r="C159" s="187" t="s">
        <v>1059</v>
      </c>
      <c r="D159" s="187" t="s">
        <v>2815</v>
      </c>
      <c r="E159" s="187" t="s">
        <v>2816</v>
      </c>
      <c r="F159" s="187" t="s">
        <v>33</v>
      </c>
      <c r="G159" s="187" t="s">
        <v>2803</v>
      </c>
      <c r="H159" s="187">
        <v>62003800</v>
      </c>
      <c r="I159" s="187" t="s">
        <v>33</v>
      </c>
      <c r="J159" s="187" t="s">
        <v>102</v>
      </c>
      <c r="K159" s="198">
        <v>43008</v>
      </c>
      <c r="L159" s="199">
        <v>600000</v>
      </c>
      <c r="M159" s="199">
        <v>2226</v>
      </c>
      <c r="N159" s="199">
        <v>108000</v>
      </c>
      <c r="O159" s="199">
        <v>400.68</v>
      </c>
      <c r="P159" s="200">
        <v>0.18</v>
      </c>
      <c r="Q159" s="187"/>
    </row>
    <row r="160" spans="1:17" s="191" customFormat="1" ht="14.1" customHeight="1">
      <c r="A160" s="187">
        <v>1182</v>
      </c>
      <c r="B160" s="187">
        <v>1182</v>
      </c>
      <c r="C160" s="187" t="s">
        <v>1059</v>
      </c>
      <c r="D160" s="187" t="s">
        <v>2815</v>
      </c>
      <c r="E160" s="187" t="s">
        <v>2816</v>
      </c>
      <c r="F160" s="187" t="s">
        <v>33</v>
      </c>
      <c r="G160" s="187" t="s">
        <v>2805</v>
      </c>
      <c r="H160" s="187">
        <v>620101031</v>
      </c>
      <c r="I160" s="187" t="s">
        <v>33</v>
      </c>
      <c r="J160" s="187" t="s">
        <v>102</v>
      </c>
      <c r="K160" s="198">
        <v>43190</v>
      </c>
      <c r="L160" s="199">
        <v>300000</v>
      </c>
      <c r="M160" s="199">
        <v>1113</v>
      </c>
      <c r="N160" s="199">
        <v>52500</v>
      </c>
      <c r="O160" s="199">
        <v>194.77500000000001</v>
      </c>
      <c r="P160" s="200">
        <v>0.17499999999999999</v>
      </c>
      <c r="Q160" s="187"/>
    </row>
    <row r="161" spans="1:17" s="191" customFormat="1" ht="14.1" customHeight="1">
      <c r="A161" s="187">
        <v>1182</v>
      </c>
      <c r="B161" s="187">
        <v>1182</v>
      </c>
      <c r="C161" s="187" t="s">
        <v>1059</v>
      </c>
      <c r="D161" s="187" t="s">
        <v>2815</v>
      </c>
      <c r="E161" s="187" t="s">
        <v>2816</v>
      </c>
      <c r="F161" s="187" t="s">
        <v>33</v>
      </c>
      <c r="G161" s="187" t="s">
        <v>2806</v>
      </c>
      <c r="H161" s="187">
        <v>62014857</v>
      </c>
      <c r="I161" s="187" t="s">
        <v>33</v>
      </c>
      <c r="J161" s="187" t="s">
        <v>102</v>
      </c>
      <c r="K161" s="198">
        <v>43555</v>
      </c>
      <c r="L161" s="199">
        <v>300000</v>
      </c>
      <c r="M161" s="199">
        <v>1113</v>
      </c>
      <c r="N161" s="199">
        <v>78000</v>
      </c>
      <c r="O161" s="199">
        <v>289.38</v>
      </c>
      <c r="P161" s="200">
        <v>0.26</v>
      </c>
      <c r="Q161" s="187"/>
    </row>
    <row r="162" spans="1:17" s="191" customFormat="1" ht="14.1" customHeight="1">
      <c r="A162" s="187">
        <v>1182</v>
      </c>
      <c r="B162" s="187">
        <v>1182</v>
      </c>
      <c r="C162" s="187" t="s">
        <v>1059</v>
      </c>
      <c r="D162" s="187" t="s">
        <v>2815</v>
      </c>
      <c r="E162" s="187" t="s">
        <v>2816</v>
      </c>
      <c r="F162" s="187" t="s">
        <v>33</v>
      </c>
      <c r="G162" s="187" t="s">
        <v>2808</v>
      </c>
      <c r="H162" s="187">
        <v>62019476</v>
      </c>
      <c r="I162" s="187" t="s">
        <v>33</v>
      </c>
      <c r="J162" s="187" t="s">
        <v>102</v>
      </c>
      <c r="K162" s="198">
        <v>44469</v>
      </c>
      <c r="L162" s="199">
        <v>400000</v>
      </c>
      <c r="M162" s="199">
        <v>1484</v>
      </c>
      <c r="N162" s="199">
        <v>153757</v>
      </c>
      <c r="O162" s="199">
        <v>570.43846999999994</v>
      </c>
      <c r="P162" s="200">
        <v>0.38439250000000003</v>
      </c>
      <c r="Q162" s="187"/>
    </row>
    <row r="163" spans="1:17" s="191" customFormat="1" ht="14.1" customHeight="1">
      <c r="A163" s="187">
        <v>1182</v>
      </c>
      <c r="B163" s="187">
        <v>1182</v>
      </c>
      <c r="C163" s="187" t="s">
        <v>1059</v>
      </c>
      <c r="D163" s="187" t="s">
        <v>2815</v>
      </c>
      <c r="E163" s="187" t="s">
        <v>2816</v>
      </c>
      <c r="F163" s="187" t="s">
        <v>33</v>
      </c>
      <c r="G163" s="187" t="s">
        <v>2811</v>
      </c>
      <c r="H163" s="187">
        <v>62017678</v>
      </c>
      <c r="I163" s="187" t="s">
        <v>33</v>
      </c>
      <c r="J163" s="187" t="s">
        <v>102</v>
      </c>
      <c r="K163" s="198">
        <v>43921</v>
      </c>
      <c r="L163" s="199">
        <v>600000</v>
      </c>
      <c r="M163" s="199">
        <v>2226</v>
      </c>
      <c r="N163" s="199">
        <v>18000</v>
      </c>
      <c r="O163" s="199">
        <v>66.78</v>
      </c>
      <c r="P163" s="200">
        <v>0.03</v>
      </c>
      <c r="Q163" s="187"/>
    </row>
    <row r="164" spans="1:17" s="191" customFormat="1" ht="14.1" customHeight="1">
      <c r="A164" s="187">
        <v>1182</v>
      </c>
      <c r="B164" s="187">
        <v>1182</v>
      </c>
      <c r="C164" s="187" t="s">
        <v>1059</v>
      </c>
      <c r="D164" s="187" t="s">
        <v>2815</v>
      </c>
      <c r="E164" s="187" t="s">
        <v>2816</v>
      </c>
      <c r="F164" s="187" t="s">
        <v>33</v>
      </c>
      <c r="G164" s="187" t="s">
        <v>2813</v>
      </c>
      <c r="H164" s="187">
        <v>62019237</v>
      </c>
      <c r="I164" s="187" t="s">
        <v>33</v>
      </c>
      <c r="J164" s="187" t="s">
        <v>102</v>
      </c>
      <c r="K164" s="198">
        <v>44286</v>
      </c>
      <c r="L164" s="199">
        <v>600000</v>
      </c>
      <c r="M164" s="199">
        <v>2226</v>
      </c>
      <c r="N164" s="199">
        <v>60000</v>
      </c>
      <c r="O164" s="199">
        <v>222.6</v>
      </c>
      <c r="P164" s="200">
        <v>0.1</v>
      </c>
      <c r="Q164" s="187"/>
    </row>
    <row r="165" spans="1:17" s="191" customFormat="1" ht="14.1" customHeight="1">
      <c r="A165" s="187">
        <v>1182</v>
      </c>
      <c r="B165" s="187">
        <v>1182</v>
      </c>
      <c r="C165" s="187" t="s">
        <v>1059</v>
      </c>
      <c r="D165" s="187" t="s">
        <v>2815</v>
      </c>
      <c r="E165" s="187" t="s">
        <v>2816</v>
      </c>
      <c r="F165" s="187" t="s">
        <v>33</v>
      </c>
      <c r="G165" s="187" t="s">
        <v>2809</v>
      </c>
      <c r="H165" s="187">
        <v>62020458</v>
      </c>
      <c r="I165" s="187" t="s">
        <v>33</v>
      </c>
      <c r="J165" s="187" t="s">
        <v>102</v>
      </c>
      <c r="K165" s="198">
        <v>44742</v>
      </c>
      <c r="L165" s="199">
        <v>150000</v>
      </c>
      <c r="M165" s="199">
        <v>556.5</v>
      </c>
      <c r="N165" s="199">
        <v>22500</v>
      </c>
      <c r="O165" s="199">
        <v>83.474999999999994</v>
      </c>
      <c r="P165" s="200">
        <v>0.15</v>
      </c>
      <c r="Q165" s="187"/>
    </row>
    <row r="166" spans="1:17" s="191" customFormat="1" ht="14.1" customHeight="1">
      <c r="A166" s="187">
        <v>1182</v>
      </c>
      <c r="B166" s="187">
        <v>1182</v>
      </c>
      <c r="C166" s="187" t="s">
        <v>1059</v>
      </c>
      <c r="D166" s="187" t="s">
        <v>2648</v>
      </c>
      <c r="E166" s="187" t="s">
        <v>2649</v>
      </c>
      <c r="F166" s="187" t="s">
        <v>33</v>
      </c>
      <c r="G166" s="187" t="s">
        <v>2650</v>
      </c>
      <c r="H166" s="187">
        <v>62001189</v>
      </c>
      <c r="I166" s="187" t="s">
        <v>33</v>
      </c>
      <c r="J166" s="187" t="s">
        <v>102</v>
      </c>
      <c r="K166" s="198">
        <v>42825</v>
      </c>
      <c r="L166" s="199">
        <v>150000</v>
      </c>
      <c r="M166" s="199">
        <v>556.5</v>
      </c>
      <c r="N166" s="199">
        <v>9750</v>
      </c>
      <c r="O166" s="199">
        <v>36.172499999999999</v>
      </c>
      <c r="P166" s="200">
        <v>6.5000000000000002E-2</v>
      </c>
      <c r="Q166" s="187"/>
    </row>
    <row r="167" spans="1:17" s="191" customFormat="1" ht="14.1" customHeight="1">
      <c r="A167" s="187">
        <v>1182</v>
      </c>
      <c r="B167" s="187">
        <v>1182</v>
      </c>
      <c r="C167" s="187" t="s">
        <v>1059</v>
      </c>
      <c r="D167" s="187" t="s">
        <v>2723</v>
      </c>
      <c r="E167" s="187" t="s">
        <v>2724</v>
      </c>
      <c r="F167" s="187" t="s">
        <v>1342</v>
      </c>
      <c r="G167" s="187" t="s">
        <v>2723</v>
      </c>
      <c r="H167" s="187">
        <v>18952</v>
      </c>
      <c r="I167" s="187" t="s">
        <v>33</v>
      </c>
      <c r="J167" s="187" t="s">
        <v>34</v>
      </c>
      <c r="K167" s="198">
        <v>42825</v>
      </c>
      <c r="L167" s="199">
        <v>310000</v>
      </c>
      <c r="M167" s="199">
        <v>310</v>
      </c>
      <c r="N167" s="199">
        <v>53190</v>
      </c>
      <c r="O167" s="199">
        <v>53.19</v>
      </c>
      <c r="P167" s="200">
        <v>0.17158064516129032</v>
      </c>
      <c r="Q167" s="187"/>
    </row>
    <row r="168" spans="1:17" s="191" customFormat="1" ht="14.1" customHeight="1">
      <c r="A168" s="187">
        <v>1182</v>
      </c>
      <c r="B168" s="187">
        <v>1182</v>
      </c>
      <c r="C168" s="187" t="s">
        <v>1059</v>
      </c>
      <c r="D168" s="187" t="s">
        <v>2723</v>
      </c>
      <c r="E168" s="187" t="s">
        <v>2724</v>
      </c>
      <c r="F168" s="187" t="s">
        <v>1342</v>
      </c>
      <c r="G168" s="187" t="s">
        <v>2725</v>
      </c>
      <c r="H168" s="187">
        <v>50007004</v>
      </c>
      <c r="I168" s="187" t="s">
        <v>33</v>
      </c>
      <c r="J168" s="187" t="s">
        <v>34</v>
      </c>
      <c r="K168" s="198">
        <v>44469</v>
      </c>
      <c r="L168" s="199">
        <v>1400000</v>
      </c>
      <c r="M168" s="199">
        <v>1400</v>
      </c>
      <c r="N168" s="199">
        <v>427495</v>
      </c>
      <c r="O168" s="199">
        <v>427.495</v>
      </c>
      <c r="P168" s="200">
        <v>0.30535357142857145</v>
      </c>
      <c r="Q168" s="187"/>
    </row>
    <row r="169" spans="1:17" s="191" customFormat="1" ht="14.1" customHeight="1">
      <c r="A169" s="187">
        <v>1182</v>
      </c>
      <c r="B169" s="187">
        <v>1182</v>
      </c>
      <c r="C169" s="187" t="s">
        <v>1059</v>
      </c>
      <c r="D169" s="187" t="s">
        <v>2655</v>
      </c>
      <c r="E169" s="187" t="s">
        <v>2656</v>
      </c>
      <c r="F169" s="187" t="s">
        <v>349</v>
      </c>
      <c r="G169" s="187" t="s">
        <v>2657</v>
      </c>
      <c r="H169" s="187">
        <v>50000983</v>
      </c>
      <c r="I169" s="187" t="s">
        <v>33</v>
      </c>
      <c r="J169" s="187" t="s">
        <v>34</v>
      </c>
      <c r="K169" s="198">
        <v>43555</v>
      </c>
      <c r="L169" s="199">
        <v>1200000</v>
      </c>
      <c r="M169" s="199">
        <v>1200</v>
      </c>
      <c r="N169" s="199">
        <v>360000</v>
      </c>
      <c r="O169" s="199">
        <v>360</v>
      </c>
      <c r="P169" s="200">
        <v>0.3</v>
      </c>
      <c r="Q169" s="187"/>
    </row>
    <row r="170" spans="1:17" s="191" customFormat="1" ht="14.1" customHeight="1">
      <c r="A170" s="187">
        <v>1182</v>
      </c>
      <c r="B170" s="187">
        <v>1182</v>
      </c>
      <c r="C170" s="187" t="s">
        <v>1059</v>
      </c>
      <c r="D170" s="187" t="s">
        <v>2655</v>
      </c>
      <c r="E170" s="187" t="s">
        <v>2656</v>
      </c>
      <c r="F170" s="187" t="s">
        <v>349</v>
      </c>
      <c r="G170" s="187" t="s">
        <v>2659</v>
      </c>
      <c r="H170" s="187">
        <v>50007897</v>
      </c>
      <c r="I170" s="187" t="s">
        <v>33</v>
      </c>
      <c r="J170" s="187" t="s">
        <v>34</v>
      </c>
      <c r="K170" s="198">
        <v>45016</v>
      </c>
      <c r="L170" s="199">
        <v>1200000</v>
      </c>
      <c r="M170" s="199">
        <v>1200</v>
      </c>
      <c r="N170" s="199">
        <v>840000</v>
      </c>
      <c r="O170" s="199">
        <v>840</v>
      </c>
      <c r="P170" s="200">
        <v>0.7</v>
      </c>
      <c r="Q170" s="187"/>
    </row>
    <row r="171" spans="1:17" s="191" customFormat="1" ht="14.1" customHeight="1">
      <c r="A171" s="187">
        <v>1182</v>
      </c>
      <c r="B171" s="187">
        <v>1182</v>
      </c>
      <c r="C171" s="187" t="s">
        <v>1059</v>
      </c>
      <c r="D171" s="187" t="s">
        <v>3268</v>
      </c>
      <c r="E171" s="187" t="s">
        <v>3269</v>
      </c>
      <c r="F171" s="187" t="s">
        <v>33</v>
      </c>
      <c r="G171" s="187" t="s">
        <v>2836</v>
      </c>
      <c r="H171" s="187">
        <v>62006705</v>
      </c>
      <c r="I171" s="187" t="s">
        <v>33</v>
      </c>
      <c r="J171" s="187" t="s">
        <v>102</v>
      </c>
      <c r="K171" s="198">
        <v>43190</v>
      </c>
      <c r="L171" s="199">
        <v>200000</v>
      </c>
      <c r="M171" s="199">
        <v>742</v>
      </c>
      <c r="N171" s="199">
        <v>6664.3799999999464</v>
      </c>
      <c r="O171" s="199">
        <v>24.724849799999799</v>
      </c>
      <c r="P171" s="200">
        <v>3.3321899999999731E-2</v>
      </c>
      <c r="Q171" s="187"/>
    </row>
    <row r="172" spans="1:17" s="191" customFormat="1" ht="14.1" customHeight="1">
      <c r="A172" s="187">
        <v>1182</v>
      </c>
      <c r="B172" s="187">
        <v>1182</v>
      </c>
      <c r="C172" s="187" t="s">
        <v>1059</v>
      </c>
      <c r="D172" s="187" t="s">
        <v>3270</v>
      </c>
      <c r="E172" s="187" t="s">
        <v>3271</v>
      </c>
      <c r="F172" s="187" t="s">
        <v>33</v>
      </c>
      <c r="G172" s="187" t="s">
        <v>2832</v>
      </c>
      <c r="H172" s="187">
        <v>62019013</v>
      </c>
      <c r="I172" s="187" t="s">
        <v>33</v>
      </c>
      <c r="J172" s="187" t="s">
        <v>102</v>
      </c>
      <c r="K172" s="198">
        <v>44286</v>
      </c>
      <c r="L172" s="199">
        <v>300000</v>
      </c>
      <c r="M172" s="199">
        <v>1113</v>
      </c>
      <c r="N172" s="199">
        <v>22011.280000000028</v>
      </c>
      <c r="O172" s="199">
        <v>81.661848800000115</v>
      </c>
      <c r="P172" s="200">
        <v>7.337093333333343E-2</v>
      </c>
      <c r="Q172" s="187"/>
    </row>
    <row r="173" spans="1:17" s="191" customFormat="1" ht="14.1" customHeight="1">
      <c r="A173" s="187">
        <v>1182</v>
      </c>
      <c r="B173" s="187">
        <v>1182</v>
      </c>
      <c r="C173" s="187" t="s">
        <v>1059</v>
      </c>
      <c r="D173" s="187" t="s">
        <v>3272</v>
      </c>
      <c r="E173" s="187" t="s">
        <v>3273</v>
      </c>
      <c r="F173" s="187" t="s">
        <v>33</v>
      </c>
      <c r="G173" s="187" t="s">
        <v>2877</v>
      </c>
      <c r="H173" s="187">
        <v>62009204</v>
      </c>
      <c r="I173" s="187" t="s">
        <v>33</v>
      </c>
      <c r="J173" s="187" t="s">
        <v>102</v>
      </c>
      <c r="K173" s="198">
        <v>43190</v>
      </c>
      <c r="L173" s="199">
        <v>300000</v>
      </c>
      <c r="M173" s="199">
        <v>1113</v>
      </c>
      <c r="N173" s="199">
        <v>27525</v>
      </c>
      <c r="O173" s="199">
        <v>102.11775</v>
      </c>
      <c r="P173" s="200">
        <v>9.1749999999999998E-2</v>
      </c>
      <c r="Q173" s="187"/>
    </row>
    <row r="174" spans="1:17" s="191" customFormat="1" ht="14.1" customHeight="1">
      <c r="A174" s="187">
        <v>1182</v>
      </c>
      <c r="B174" s="187">
        <v>1182</v>
      </c>
      <c r="C174" s="187" t="s">
        <v>1059</v>
      </c>
      <c r="D174" s="187" t="s">
        <v>2861</v>
      </c>
      <c r="E174" s="187">
        <v>0</v>
      </c>
      <c r="F174" s="187" t="s">
        <v>350</v>
      </c>
      <c r="G174" s="187" t="s">
        <v>2891</v>
      </c>
      <c r="H174" s="187">
        <v>62010137</v>
      </c>
      <c r="I174" s="187" t="s">
        <v>33</v>
      </c>
      <c r="J174" s="187" t="s">
        <v>102</v>
      </c>
      <c r="K174" s="198">
        <v>43190</v>
      </c>
      <c r="L174" s="199">
        <v>300000</v>
      </c>
      <c r="M174" s="199">
        <v>1113</v>
      </c>
      <c r="N174" s="199">
        <v>83179</v>
      </c>
      <c r="O174" s="199">
        <v>308.59409000000005</v>
      </c>
      <c r="P174" s="200">
        <v>0.27726333333333331</v>
      </c>
      <c r="Q174" s="187"/>
    </row>
    <row r="175" spans="1:17" s="191" customFormat="1" ht="14.1" customHeight="1">
      <c r="A175" s="187">
        <v>1182</v>
      </c>
      <c r="B175" s="187">
        <v>1182</v>
      </c>
      <c r="C175" s="187" t="s">
        <v>1059</v>
      </c>
      <c r="D175" s="187" t="s">
        <v>3272</v>
      </c>
      <c r="E175" s="187" t="s">
        <v>3273</v>
      </c>
      <c r="F175" s="187" t="s">
        <v>33</v>
      </c>
      <c r="G175" s="187" t="s">
        <v>2887</v>
      </c>
      <c r="H175" s="187">
        <v>62020813</v>
      </c>
      <c r="I175" s="187" t="s">
        <v>33</v>
      </c>
      <c r="J175" s="187" t="s">
        <v>102</v>
      </c>
      <c r="K175" s="198">
        <v>44742</v>
      </c>
      <c r="L175" s="199">
        <v>320000</v>
      </c>
      <c r="M175" s="199">
        <v>1187.2</v>
      </c>
      <c r="N175" s="199">
        <v>191326</v>
      </c>
      <c r="O175" s="199">
        <v>709.81945999999994</v>
      </c>
      <c r="P175" s="200">
        <v>0.59789375</v>
      </c>
      <c r="Q175" s="187"/>
    </row>
    <row r="176" spans="1:17" s="191" customFormat="1" ht="14.1" customHeight="1">
      <c r="A176" s="187">
        <v>1182</v>
      </c>
      <c r="B176" s="187">
        <v>1182</v>
      </c>
      <c r="C176" s="187" t="s">
        <v>1059</v>
      </c>
      <c r="D176" s="187" t="s">
        <v>2872</v>
      </c>
      <c r="E176" s="187" t="s">
        <v>2873</v>
      </c>
      <c r="F176" s="187" t="s">
        <v>349</v>
      </c>
      <c r="G176" s="187" t="s">
        <v>2881</v>
      </c>
      <c r="H176" s="187">
        <v>62019807</v>
      </c>
      <c r="I176" s="187" t="s">
        <v>33</v>
      </c>
      <c r="J176" s="187" t="s">
        <v>102</v>
      </c>
      <c r="K176" s="198">
        <v>44561</v>
      </c>
      <c r="L176" s="199">
        <v>250000</v>
      </c>
      <c r="M176" s="199">
        <v>927.5</v>
      </c>
      <c r="N176" s="199">
        <v>46205</v>
      </c>
      <c r="O176" s="199">
        <v>171.42054999999999</v>
      </c>
      <c r="P176" s="200">
        <v>0.18482000000000001</v>
      </c>
      <c r="Q176" s="187"/>
    </row>
    <row r="177" spans="1:17" s="191" customFormat="1" ht="14.1" customHeight="1">
      <c r="A177" s="187">
        <v>1182</v>
      </c>
      <c r="B177" s="187">
        <v>1182</v>
      </c>
      <c r="C177" s="187" t="s">
        <v>1059</v>
      </c>
      <c r="D177" s="187" t="s">
        <v>3272</v>
      </c>
      <c r="E177" s="187" t="s">
        <v>3273</v>
      </c>
      <c r="F177" s="187" t="s">
        <v>33</v>
      </c>
      <c r="G177" s="187" t="s">
        <v>2870</v>
      </c>
      <c r="H177" s="187">
        <v>62019849</v>
      </c>
      <c r="I177" s="187" t="s">
        <v>33</v>
      </c>
      <c r="J177" s="187" t="s">
        <v>102</v>
      </c>
      <c r="K177" s="198">
        <v>44561</v>
      </c>
      <c r="L177" s="199">
        <v>280000</v>
      </c>
      <c r="M177" s="199">
        <v>1038.8</v>
      </c>
      <c r="N177" s="199">
        <v>74126.23000000001</v>
      </c>
      <c r="O177" s="199">
        <v>275.00831330000005</v>
      </c>
      <c r="P177" s="200">
        <v>0.26473653571428574</v>
      </c>
      <c r="Q177" s="187"/>
    </row>
    <row r="178" spans="1:17" s="191" customFormat="1" ht="14.1" customHeight="1">
      <c r="A178" s="187">
        <v>1182</v>
      </c>
      <c r="B178" s="187">
        <v>1182</v>
      </c>
      <c r="C178" s="187" t="s">
        <v>1059</v>
      </c>
      <c r="D178" s="187" t="s">
        <v>3274</v>
      </c>
      <c r="E178" s="187" t="s">
        <v>3275</v>
      </c>
      <c r="F178" s="187" t="s">
        <v>349</v>
      </c>
      <c r="G178" s="187" t="s">
        <v>2883</v>
      </c>
      <c r="H178" s="187">
        <v>62020615</v>
      </c>
      <c r="I178" s="187" t="s">
        <v>33</v>
      </c>
      <c r="J178" s="187" t="s">
        <v>102</v>
      </c>
      <c r="K178" s="198">
        <v>44651</v>
      </c>
      <c r="L178" s="199">
        <v>500000</v>
      </c>
      <c r="M178" s="199">
        <v>1855</v>
      </c>
      <c r="N178" s="199">
        <v>212506</v>
      </c>
      <c r="O178" s="199">
        <v>788.39725999999996</v>
      </c>
      <c r="P178" s="200">
        <v>0.425012</v>
      </c>
      <c r="Q178" s="187"/>
    </row>
    <row r="179" spans="1:17" s="191" customFormat="1" ht="14.1" customHeight="1">
      <c r="A179" s="187">
        <v>1182</v>
      </c>
      <c r="B179" s="187">
        <v>1182</v>
      </c>
      <c r="C179" s="187" t="s">
        <v>1059</v>
      </c>
      <c r="D179" s="187" t="s">
        <v>2872</v>
      </c>
      <c r="E179" s="187" t="s">
        <v>2873</v>
      </c>
      <c r="F179" s="187" t="s">
        <v>349</v>
      </c>
      <c r="G179" s="187" t="s">
        <v>2866</v>
      </c>
      <c r="H179" s="187">
        <v>62021571</v>
      </c>
      <c r="I179" s="187" t="s">
        <v>33</v>
      </c>
      <c r="J179" s="187" t="s">
        <v>1209</v>
      </c>
      <c r="K179" s="198">
        <v>45382</v>
      </c>
      <c r="L179" s="199">
        <v>300000</v>
      </c>
      <c r="M179" s="199">
        <v>1245.72</v>
      </c>
      <c r="N179" s="199">
        <v>175273.66999999998</v>
      </c>
      <c r="O179" s="199">
        <v>727.80638730800001</v>
      </c>
      <c r="P179" s="200">
        <v>0.5842455666666666</v>
      </c>
      <c r="Q179" s="187"/>
    </row>
    <row r="180" spans="1:17" s="191" customFormat="1" ht="14.1" customHeight="1">
      <c r="A180" s="187">
        <v>1182</v>
      </c>
      <c r="B180" s="187">
        <v>1182</v>
      </c>
      <c r="C180" s="187" t="s">
        <v>1059</v>
      </c>
      <c r="D180" s="187" t="s">
        <v>3276</v>
      </c>
      <c r="E180" s="187" t="s">
        <v>3277</v>
      </c>
      <c r="F180" s="187" t="s">
        <v>33</v>
      </c>
      <c r="G180" s="187" t="s">
        <v>2791</v>
      </c>
      <c r="H180" s="187">
        <v>62020946</v>
      </c>
      <c r="I180" s="187" t="s">
        <v>33</v>
      </c>
      <c r="J180" s="187" t="s">
        <v>102</v>
      </c>
      <c r="K180" s="198">
        <v>44651</v>
      </c>
      <c r="L180" s="199">
        <v>500000</v>
      </c>
      <c r="M180" s="199">
        <v>1855</v>
      </c>
      <c r="N180" s="199">
        <v>236578</v>
      </c>
      <c r="O180" s="199">
        <v>877.70438000000001</v>
      </c>
      <c r="P180" s="200">
        <v>0.47315600000000002</v>
      </c>
      <c r="Q180" s="187"/>
    </row>
    <row r="181" spans="1:17" s="191" customFormat="1" ht="14.1" customHeight="1">
      <c r="A181" s="187">
        <v>1182</v>
      </c>
      <c r="B181" s="187">
        <v>1182</v>
      </c>
      <c r="C181" s="187" t="s">
        <v>1059</v>
      </c>
      <c r="D181" s="187" t="s">
        <v>2840</v>
      </c>
      <c r="E181" s="187" t="s">
        <v>3278</v>
      </c>
      <c r="F181" s="187" t="s">
        <v>33</v>
      </c>
      <c r="G181" s="187" t="s">
        <v>2840</v>
      </c>
      <c r="H181" s="187">
        <v>62017652</v>
      </c>
      <c r="I181" s="187" t="s">
        <v>33</v>
      </c>
      <c r="J181" s="187" t="s">
        <v>102</v>
      </c>
      <c r="K181" s="198">
        <v>43921</v>
      </c>
      <c r="L181" s="199">
        <v>400000</v>
      </c>
      <c r="M181" s="199">
        <v>1484</v>
      </c>
      <c r="N181" s="199">
        <v>99400.25</v>
      </c>
      <c r="O181" s="199">
        <v>368.77492749999999</v>
      </c>
      <c r="P181" s="200">
        <v>0.248500625</v>
      </c>
      <c r="Q181" s="187"/>
    </row>
    <row r="182" spans="1:17" s="191" customFormat="1" ht="14.1" customHeight="1">
      <c r="A182" s="187">
        <v>1182</v>
      </c>
      <c r="B182" s="187">
        <v>1182</v>
      </c>
      <c r="C182" s="187" t="s">
        <v>1059</v>
      </c>
      <c r="D182" s="187" t="s">
        <v>2840</v>
      </c>
      <c r="E182" s="187" t="s">
        <v>3278</v>
      </c>
      <c r="F182" s="187" t="s">
        <v>33</v>
      </c>
      <c r="G182" s="187" t="s">
        <v>2844</v>
      </c>
      <c r="H182" s="187">
        <v>62021142</v>
      </c>
      <c r="I182" s="187" t="s">
        <v>33</v>
      </c>
      <c r="J182" s="187" t="s">
        <v>102</v>
      </c>
      <c r="K182" s="198">
        <v>45016</v>
      </c>
      <c r="L182" s="199">
        <v>300000</v>
      </c>
      <c r="M182" s="199">
        <v>1113</v>
      </c>
      <c r="N182" s="199">
        <v>117000</v>
      </c>
      <c r="O182" s="199">
        <v>434.07</v>
      </c>
      <c r="P182" s="200">
        <v>0.39</v>
      </c>
      <c r="Q182" s="187"/>
    </row>
    <row r="183" spans="1:17" s="191" customFormat="1" ht="14.1" customHeight="1">
      <c r="A183" s="187">
        <v>1182</v>
      </c>
      <c r="B183" s="187">
        <v>1182</v>
      </c>
      <c r="C183" s="187" t="s">
        <v>1059</v>
      </c>
      <c r="D183" s="187" t="s">
        <v>3279</v>
      </c>
      <c r="E183" s="187" t="s">
        <v>2674</v>
      </c>
      <c r="F183" s="187" t="s">
        <v>33</v>
      </c>
      <c r="G183" s="187" t="s">
        <v>2824</v>
      </c>
      <c r="H183" s="187">
        <v>62017702</v>
      </c>
      <c r="I183" s="187" t="s">
        <v>33</v>
      </c>
      <c r="J183" s="187" t="s">
        <v>102</v>
      </c>
      <c r="K183" s="198">
        <v>43921</v>
      </c>
      <c r="L183" s="199">
        <v>500000</v>
      </c>
      <c r="M183" s="199">
        <v>1855</v>
      </c>
      <c r="N183" s="199">
        <v>30627</v>
      </c>
      <c r="O183" s="199">
        <v>113.62617</v>
      </c>
      <c r="P183" s="200">
        <v>6.1254000000000003E-2</v>
      </c>
      <c r="Q183" s="187"/>
    </row>
    <row r="184" spans="1:17" s="191" customFormat="1" ht="14.1" customHeight="1">
      <c r="A184" s="187">
        <v>1182</v>
      </c>
      <c r="B184" s="187">
        <v>1182</v>
      </c>
      <c r="C184" s="187" t="s">
        <v>1059</v>
      </c>
      <c r="D184" s="187" t="s">
        <v>3282</v>
      </c>
      <c r="E184" s="187" t="s">
        <v>3283</v>
      </c>
      <c r="F184" s="187" t="s">
        <v>33</v>
      </c>
      <c r="G184" s="187" t="s">
        <v>2777</v>
      </c>
      <c r="H184" s="187">
        <v>62018064</v>
      </c>
      <c r="I184" s="187" t="s">
        <v>33</v>
      </c>
      <c r="J184" s="187" t="s">
        <v>102</v>
      </c>
      <c r="K184" s="198">
        <v>44286</v>
      </c>
      <c r="L184" s="199">
        <v>200000</v>
      </c>
      <c r="M184" s="199">
        <v>742</v>
      </c>
      <c r="N184" s="199">
        <v>30520</v>
      </c>
      <c r="O184" s="199">
        <v>113.22919999999999</v>
      </c>
      <c r="P184" s="200">
        <v>0.15260000000000001</v>
      </c>
      <c r="Q184" s="187"/>
    </row>
    <row r="185" spans="1:17" s="191" customFormat="1" ht="14.1" customHeight="1">
      <c r="A185" s="187">
        <v>1182</v>
      </c>
      <c r="B185" s="187">
        <v>1182</v>
      </c>
      <c r="C185" s="187" t="s">
        <v>1059</v>
      </c>
      <c r="D185" s="187" t="s">
        <v>3284</v>
      </c>
      <c r="E185" s="187">
        <v>0</v>
      </c>
      <c r="F185" s="187" t="s">
        <v>194</v>
      </c>
      <c r="G185" s="187" t="s">
        <v>2779</v>
      </c>
      <c r="H185" s="187">
        <v>62021340</v>
      </c>
      <c r="I185" s="187" t="s">
        <v>33</v>
      </c>
      <c r="J185" s="187" t="s">
        <v>102</v>
      </c>
      <c r="K185" s="198">
        <v>45016</v>
      </c>
      <c r="L185" s="199">
        <v>200000</v>
      </c>
      <c r="M185" s="199">
        <v>742</v>
      </c>
      <c r="N185" s="199">
        <v>122595</v>
      </c>
      <c r="O185" s="199">
        <v>454.82745</v>
      </c>
      <c r="P185" s="200">
        <v>0.61297500000000005</v>
      </c>
      <c r="Q185" s="187"/>
    </row>
    <row r="186" spans="1:17" s="191" customFormat="1" ht="14.1" customHeight="1">
      <c r="A186" s="187">
        <v>1182</v>
      </c>
      <c r="B186" s="187">
        <v>1182</v>
      </c>
      <c r="C186" s="187" t="s">
        <v>1059</v>
      </c>
      <c r="D186" s="187" t="s">
        <v>3280</v>
      </c>
      <c r="E186" s="187" t="s">
        <v>3281</v>
      </c>
      <c r="F186" s="187" t="s">
        <v>33</v>
      </c>
      <c r="G186" s="187" t="s">
        <v>2899</v>
      </c>
      <c r="H186" s="187">
        <v>62018387</v>
      </c>
      <c r="I186" s="187" t="s">
        <v>33</v>
      </c>
      <c r="J186" s="187" t="s">
        <v>102</v>
      </c>
      <c r="K186" s="198">
        <v>44286</v>
      </c>
      <c r="L186" s="199">
        <v>250000</v>
      </c>
      <c r="M186" s="199">
        <v>927.5</v>
      </c>
      <c r="N186" s="199">
        <v>36836.94</v>
      </c>
      <c r="O186" s="199">
        <v>136.66504740000002</v>
      </c>
      <c r="P186" s="200">
        <v>0.14734776000000002</v>
      </c>
      <c r="Q186" s="187"/>
    </row>
    <row r="187" spans="1:17" s="191" customFormat="1" ht="14.1" customHeight="1">
      <c r="A187" s="187">
        <v>1182</v>
      </c>
      <c r="B187" s="187">
        <v>1182</v>
      </c>
      <c r="C187" s="187" t="s">
        <v>1059</v>
      </c>
      <c r="D187" s="187" t="s">
        <v>3285</v>
      </c>
      <c r="E187" s="187" t="s">
        <v>3286</v>
      </c>
      <c r="F187" s="187" t="s">
        <v>33</v>
      </c>
      <c r="G187" s="187" t="s">
        <v>2903</v>
      </c>
      <c r="H187" s="187">
        <v>62018551</v>
      </c>
      <c r="I187" s="187" t="s">
        <v>33</v>
      </c>
      <c r="J187" s="187" t="s">
        <v>102</v>
      </c>
      <c r="K187" s="198">
        <v>44377</v>
      </c>
      <c r="L187" s="199">
        <v>420000</v>
      </c>
      <c r="M187" s="199">
        <v>1558.2</v>
      </c>
      <c r="N187" s="199">
        <v>105000</v>
      </c>
      <c r="O187" s="199">
        <v>389.55</v>
      </c>
      <c r="P187" s="200">
        <v>0.25</v>
      </c>
      <c r="Q187" s="187"/>
    </row>
    <row r="188" spans="1:17" s="191" customFormat="1" ht="14.1" customHeight="1">
      <c r="A188" s="187">
        <v>1182</v>
      </c>
      <c r="B188" s="187">
        <v>1182</v>
      </c>
      <c r="C188" s="187" t="s">
        <v>1059</v>
      </c>
      <c r="D188" s="187" t="s">
        <v>3287</v>
      </c>
      <c r="E188" s="187" t="s">
        <v>3288</v>
      </c>
      <c r="F188" s="187" t="s">
        <v>350</v>
      </c>
      <c r="G188" s="187" t="s">
        <v>2907</v>
      </c>
      <c r="H188" s="187">
        <v>62020169</v>
      </c>
      <c r="I188" s="187" t="s">
        <v>33</v>
      </c>
      <c r="J188" s="187" t="s">
        <v>102</v>
      </c>
      <c r="K188" s="198">
        <v>44651</v>
      </c>
      <c r="L188" s="199">
        <v>500000</v>
      </c>
      <c r="M188" s="199">
        <v>1855</v>
      </c>
      <c r="N188" s="199">
        <v>150000</v>
      </c>
      <c r="O188" s="199">
        <v>556.5</v>
      </c>
      <c r="P188" s="200">
        <v>0.3</v>
      </c>
      <c r="Q188" s="187"/>
    </row>
    <row r="189" spans="1:17" s="191" customFormat="1" ht="14.1" customHeight="1">
      <c r="A189" s="187">
        <v>1182</v>
      </c>
      <c r="B189" s="187">
        <v>1182</v>
      </c>
      <c r="C189" s="187" t="s">
        <v>1059</v>
      </c>
      <c r="D189" s="187" t="s">
        <v>2783</v>
      </c>
      <c r="E189" s="187" t="s">
        <v>3289</v>
      </c>
      <c r="F189" s="187" t="s">
        <v>1342</v>
      </c>
      <c r="G189" s="187" t="s">
        <v>2783</v>
      </c>
      <c r="H189" s="187">
        <v>62018908</v>
      </c>
      <c r="I189" s="187" t="s">
        <v>33</v>
      </c>
      <c r="J189" s="187" t="s">
        <v>102</v>
      </c>
      <c r="K189" s="198">
        <v>44286</v>
      </c>
      <c r="L189" s="199">
        <v>600000</v>
      </c>
      <c r="M189" s="199">
        <v>2226</v>
      </c>
      <c r="N189" s="199">
        <v>98379.79999999993</v>
      </c>
      <c r="O189" s="199">
        <v>364.98905799999972</v>
      </c>
      <c r="P189" s="200">
        <v>0.16396633333333321</v>
      </c>
      <c r="Q189" s="187"/>
    </row>
    <row r="190" spans="1:17" s="191" customFormat="1" ht="14.1" customHeight="1">
      <c r="A190" s="187">
        <v>1182</v>
      </c>
      <c r="B190" s="187">
        <v>1182</v>
      </c>
      <c r="C190" s="187" t="s">
        <v>1059</v>
      </c>
      <c r="D190" s="187" t="s">
        <v>3290</v>
      </c>
      <c r="E190" s="187">
        <v>0</v>
      </c>
      <c r="F190" s="187" t="s">
        <v>350</v>
      </c>
      <c r="G190" s="187" t="s">
        <v>2753</v>
      </c>
      <c r="H190" s="187">
        <v>62019757</v>
      </c>
      <c r="I190" s="187" t="s">
        <v>33</v>
      </c>
      <c r="J190" s="187" t="s">
        <v>102</v>
      </c>
      <c r="K190" s="198">
        <v>44286</v>
      </c>
      <c r="L190" s="199">
        <v>140000</v>
      </c>
      <c r="M190" s="199">
        <v>519.4</v>
      </c>
      <c r="N190" s="199">
        <v>74009</v>
      </c>
      <c r="O190" s="199">
        <v>274.57339000000002</v>
      </c>
      <c r="P190" s="200">
        <v>0.52863571428571432</v>
      </c>
      <c r="Q190" s="187"/>
    </row>
    <row r="191" spans="1:17" s="191" customFormat="1" ht="14.1" customHeight="1">
      <c r="A191" s="187">
        <v>1182</v>
      </c>
      <c r="B191" s="187">
        <v>1182</v>
      </c>
      <c r="C191" s="187" t="s">
        <v>1059</v>
      </c>
      <c r="D191" s="187" t="s">
        <v>2735</v>
      </c>
      <c r="E191" s="187">
        <v>0</v>
      </c>
      <c r="F191" s="187" t="s">
        <v>194</v>
      </c>
      <c r="G191" s="187" t="s">
        <v>2735</v>
      </c>
      <c r="H191" s="187">
        <v>50007160</v>
      </c>
      <c r="I191" s="187" t="s">
        <v>33</v>
      </c>
      <c r="J191" s="187" t="s">
        <v>34</v>
      </c>
      <c r="K191" s="198">
        <v>44561</v>
      </c>
      <c r="L191" s="199">
        <v>900000</v>
      </c>
      <c r="M191" s="199">
        <v>900</v>
      </c>
      <c r="N191" s="199">
        <v>430040</v>
      </c>
      <c r="O191" s="199">
        <v>430.04</v>
      </c>
      <c r="P191" s="200">
        <v>0.4778222222222222</v>
      </c>
      <c r="Q191" s="187"/>
    </row>
    <row r="192" spans="1:17" s="191" customFormat="1" ht="14.1" customHeight="1">
      <c r="A192" s="187">
        <v>1182</v>
      </c>
      <c r="B192" s="187">
        <v>1182</v>
      </c>
      <c r="C192" s="187" t="s">
        <v>1059</v>
      </c>
      <c r="D192" s="187" t="s">
        <v>2748</v>
      </c>
      <c r="E192" s="187" t="s">
        <v>3291</v>
      </c>
      <c r="F192" s="187" t="s">
        <v>33</v>
      </c>
      <c r="G192" s="187" t="s">
        <v>2748</v>
      </c>
      <c r="H192" s="187">
        <v>62019815</v>
      </c>
      <c r="I192" s="187" t="s">
        <v>33</v>
      </c>
      <c r="J192" s="187" t="s">
        <v>102</v>
      </c>
      <c r="K192" s="198">
        <v>44561</v>
      </c>
      <c r="L192" s="199">
        <v>750000</v>
      </c>
      <c r="M192" s="199">
        <v>2782.5</v>
      </c>
      <c r="N192" s="199">
        <v>507591</v>
      </c>
      <c r="O192" s="199">
        <v>1883.1626099999999</v>
      </c>
      <c r="P192" s="200">
        <v>0.67678799999999995</v>
      </c>
      <c r="Q192" s="187"/>
    </row>
    <row r="193" spans="1:17" s="191" customFormat="1" ht="14.1" customHeight="1">
      <c r="A193" s="187">
        <v>1182</v>
      </c>
      <c r="B193" s="187">
        <v>1182</v>
      </c>
      <c r="C193" s="187" t="s">
        <v>1059</v>
      </c>
      <c r="D193" s="187" t="s">
        <v>2744</v>
      </c>
      <c r="E193" s="187" t="s">
        <v>3292</v>
      </c>
      <c r="F193" s="187" t="s">
        <v>33</v>
      </c>
      <c r="G193" s="187" t="s">
        <v>2744</v>
      </c>
      <c r="H193" s="187">
        <v>62020896</v>
      </c>
      <c r="I193" s="187" t="s">
        <v>33</v>
      </c>
      <c r="J193" s="187" t="s">
        <v>102</v>
      </c>
      <c r="K193" s="198">
        <v>44651</v>
      </c>
      <c r="L193" s="199">
        <v>300000</v>
      </c>
      <c r="M193" s="199">
        <v>1113</v>
      </c>
      <c r="N193" s="199">
        <v>268285</v>
      </c>
      <c r="O193" s="199">
        <v>995.33735000000001</v>
      </c>
      <c r="P193" s="200">
        <v>0.89428333333333332</v>
      </c>
      <c r="Q193" s="187"/>
    </row>
    <row r="194" spans="1:17" s="191" customFormat="1" ht="14.1" customHeight="1">
      <c r="A194" s="187">
        <v>1182</v>
      </c>
      <c r="B194" s="187">
        <v>1182</v>
      </c>
      <c r="C194" s="187" t="s">
        <v>1059</v>
      </c>
      <c r="D194" s="187" t="s">
        <v>2741</v>
      </c>
      <c r="E194" s="187">
        <v>0</v>
      </c>
      <c r="F194" s="187" t="s">
        <v>194</v>
      </c>
      <c r="G194" s="187" t="s">
        <v>2741</v>
      </c>
      <c r="H194" s="187">
        <v>62021365</v>
      </c>
      <c r="I194" s="187" t="s">
        <v>33</v>
      </c>
      <c r="J194" s="187" t="s">
        <v>102</v>
      </c>
      <c r="K194" s="198">
        <v>45016</v>
      </c>
      <c r="L194" s="199">
        <v>400000</v>
      </c>
      <c r="M194" s="199">
        <v>1484</v>
      </c>
      <c r="N194" s="199">
        <v>322728.76</v>
      </c>
      <c r="O194" s="199">
        <v>1197.3236995999998</v>
      </c>
      <c r="P194" s="200">
        <v>0.80682189999999998</v>
      </c>
      <c r="Q194" s="187"/>
    </row>
    <row r="195" spans="1:17" s="191" customFormat="1" ht="14.1" customHeight="1">
      <c r="A195" s="187">
        <v>1182</v>
      </c>
      <c r="B195" s="187">
        <v>1182</v>
      </c>
      <c r="C195" s="187" t="s">
        <v>1059</v>
      </c>
      <c r="D195" s="187" t="s">
        <v>2727</v>
      </c>
      <c r="E195" s="187" t="s">
        <v>2728</v>
      </c>
      <c r="F195" s="187" t="s">
        <v>1342</v>
      </c>
      <c r="G195" s="187" t="s">
        <v>2727</v>
      </c>
      <c r="H195" s="187">
        <v>50007350</v>
      </c>
      <c r="I195" s="187" t="s">
        <v>33</v>
      </c>
      <c r="J195" s="187" t="s">
        <v>34</v>
      </c>
      <c r="K195" s="198">
        <v>44651</v>
      </c>
      <c r="L195" s="199">
        <v>2000000</v>
      </c>
      <c r="M195" s="199">
        <v>2000</v>
      </c>
      <c r="N195" s="199">
        <v>464819</v>
      </c>
      <c r="O195" s="199">
        <v>464.81900000000002</v>
      </c>
      <c r="P195" s="200">
        <v>0.23240949999999999</v>
      </c>
      <c r="Q195" s="187"/>
    </row>
    <row r="196" spans="1:17" s="191" customFormat="1" ht="14.1" customHeight="1">
      <c r="A196" s="187">
        <v>1182</v>
      </c>
      <c r="B196" s="187">
        <v>1182</v>
      </c>
      <c r="C196" s="187" t="s">
        <v>1059</v>
      </c>
      <c r="D196" s="187" t="s">
        <v>3293</v>
      </c>
      <c r="E196" s="187">
        <v>0</v>
      </c>
      <c r="F196" s="187" t="s">
        <v>194</v>
      </c>
      <c r="G196" s="187" t="s">
        <v>2622</v>
      </c>
      <c r="H196" s="187">
        <v>50007566</v>
      </c>
      <c r="I196" s="187" t="s">
        <v>33</v>
      </c>
      <c r="J196" s="187" t="s">
        <v>34</v>
      </c>
      <c r="K196" s="198">
        <v>44651</v>
      </c>
      <c r="L196" s="199">
        <v>2200000</v>
      </c>
      <c r="M196" s="199">
        <v>2200</v>
      </c>
      <c r="N196" s="199">
        <v>358400</v>
      </c>
      <c r="O196" s="199">
        <v>358.4</v>
      </c>
      <c r="P196" s="200">
        <v>0.16290909090909092</v>
      </c>
      <c r="Q196" s="187"/>
    </row>
    <row r="197" spans="1:17" s="191" customFormat="1" ht="14.1" customHeight="1">
      <c r="A197" s="187">
        <v>1182</v>
      </c>
      <c r="B197" s="187">
        <v>1182</v>
      </c>
      <c r="C197" s="187" t="s">
        <v>1059</v>
      </c>
      <c r="D197" s="187" t="s">
        <v>2681</v>
      </c>
      <c r="E197" s="187" t="s">
        <v>2682</v>
      </c>
      <c r="F197" s="187" t="s">
        <v>33</v>
      </c>
      <c r="G197" s="187" t="s">
        <v>2681</v>
      </c>
      <c r="H197" s="187">
        <v>62020375</v>
      </c>
      <c r="I197" s="187" t="s">
        <v>33</v>
      </c>
      <c r="J197" s="187" t="s">
        <v>102</v>
      </c>
      <c r="K197" s="198">
        <v>44651</v>
      </c>
      <c r="L197" s="199">
        <v>450000</v>
      </c>
      <c r="M197" s="199">
        <v>1669.5</v>
      </c>
      <c r="N197" s="199">
        <v>347225</v>
      </c>
      <c r="O197" s="199">
        <v>1288.2047500000001</v>
      </c>
      <c r="P197" s="200">
        <v>0.77161111111111114</v>
      </c>
      <c r="Q197" s="187"/>
    </row>
    <row r="198" spans="1:17" s="191" customFormat="1" ht="14.1" customHeight="1">
      <c r="A198" s="187">
        <v>1182</v>
      </c>
      <c r="B198" s="187">
        <v>1182</v>
      </c>
      <c r="C198" s="187" t="s">
        <v>1059</v>
      </c>
      <c r="D198" s="187" t="s">
        <v>3294</v>
      </c>
      <c r="E198" s="187" t="s">
        <v>3295</v>
      </c>
      <c r="F198" s="187" t="s">
        <v>33</v>
      </c>
      <c r="G198" s="187" t="s">
        <v>2852</v>
      </c>
      <c r="H198" s="187">
        <v>62020425</v>
      </c>
      <c r="I198" s="187" t="s">
        <v>33</v>
      </c>
      <c r="J198" s="187" t="s">
        <v>102</v>
      </c>
      <c r="K198" s="198">
        <v>44742</v>
      </c>
      <c r="L198" s="199">
        <v>700000</v>
      </c>
      <c r="M198" s="199">
        <v>2597</v>
      </c>
      <c r="N198" s="199">
        <v>30971</v>
      </c>
      <c r="O198" s="199">
        <v>114.90241</v>
      </c>
      <c r="P198" s="200">
        <v>4.4244285714285715E-2</v>
      </c>
      <c r="Q198" s="187"/>
    </row>
    <row r="199" spans="1:17" s="191" customFormat="1" ht="14.1" customHeight="1">
      <c r="A199" s="187">
        <v>1182</v>
      </c>
      <c r="B199" s="187">
        <v>1182</v>
      </c>
      <c r="C199" s="187" t="s">
        <v>1059</v>
      </c>
      <c r="D199" s="187" t="s">
        <v>3296</v>
      </c>
      <c r="E199" s="187" t="s">
        <v>3297</v>
      </c>
      <c r="F199" s="187" t="s">
        <v>33</v>
      </c>
      <c r="G199" s="187" t="s">
        <v>2821</v>
      </c>
      <c r="H199" s="187">
        <v>62020565</v>
      </c>
      <c r="I199" s="187" t="s">
        <v>33</v>
      </c>
      <c r="J199" s="187" t="s">
        <v>1209</v>
      </c>
      <c r="K199" s="198">
        <v>44651</v>
      </c>
      <c r="L199" s="199">
        <v>265000</v>
      </c>
      <c r="M199" s="199">
        <v>1100.386</v>
      </c>
      <c r="N199" s="199">
        <v>126440.79000000001</v>
      </c>
      <c r="O199" s="199">
        <v>525.03273639600002</v>
      </c>
      <c r="P199" s="200">
        <v>0.47713505660377359</v>
      </c>
      <c r="Q199" s="187"/>
    </row>
    <row r="200" spans="1:17" s="191" customFormat="1" ht="14.1" customHeight="1">
      <c r="A200" s="187">
        <v>1182</v>
      </c>
      <c r="B200" s="187">
        <v>1182</v>
      </c>
      <c r="C200" s="187" t="s">
        <v>1059</v>
      </c>
      <c r="D200" s="187" t="s">
        <v>2737</v>
      </c>
      <c r="E200" s="187" t="s">
        <v>2738</v>
      </c>
      <c r="F200" s="187" t="s">
        <v>33</v>
      </c>
      <c r="G200" s="187" t="s">
        <v>2739</v>
      </c>
      <c r="H200" s="187">
        <v>62020672</v>
      </c>
      <c r="I200" s="187" t="s">
        <v>33</v>
      </c>
      <c r="J200" s="187" t="s">
        <v>102</v>
      </c>
      <c r="K200" s="198">
        <v>44651</v>
      </c>
      <c r="L200" s="199">
        <v>100000</v>
      </c>
      <c r="M200" s="199">
        <v>371</v>
      </c>
      <c r="N200" s="199">
        <v>5535</v>
      </c>
      <c r="O200" s="199">
        <v>20.534849999999999</v>
      </c>
      <c r="P200" s="200">
        <v>5.5350000000000003E-2</v>
      </c>
      <c r="Q200" s="187"/>
    </row>
    <row r="201" spans="1:17" s="191" customFormat="1" ht="14.1" customHeight="1">
      <c r="A201" s="187">
        <v>1182</v>
      </c>
      <c r="B201" s="187">
        <v>1182</v>
      </c>
      <c r="C201" s="187" t="s">
        <v>1059</v>
      </c>
      <c r="D201" s="187" t="s">
        <v>2793</v>
      </c>
      <c r="E201" s="187" t="s">
        <v>2794</v>
      </c>
      <c r="F201" s="187" t="s">
        <v>348</v>
      </c>
      <c r="G201" s="187" t="s">
        <v>2795</v>
      </c>
      <c r="H201" s="187">
        <v>62021431</v>
      </c>
      <c r="I201" s="187" t="s">
        <v>33</v>
      </c>
      <c r="J201" s="187" t="s">
        <v>102</v>
      </c>
      <c r="K201" s="198">
        <v>45016</v>
      </c>
      <c r="L201" s="199">
        <v>130000</v>
      </c>
      <c r="M201" s="199">
        <v>482.3</v>
      </c>
      <c r="N201" s="199">
        <v>96850</v>
      </c>
      <c r="O201" s="199">
        <v>359.31349999999998</v>
      </c>
      <c r="P201" s="200">
        <v>0.745</v>
      </c>
      <c r="Q201" s="187"/>
    </row>
    <row r="202" spans="1:17" s="191" customFormat="1" ht="14.1" customHeight="1">
      <c r="A202" s="187">
        <v>1182</v>
      </c>
      <c r="B202" s="187">
        <v>1182</v>
      </c>
      <c r="C202" s="187" t="s">
        <v>1059</v>
      </c>
      <c r="D202" s="187" t="s">
        <v>2815</v>
      </c>
      <c r="E202" s="187" t="s">
        <v>2816</v>
      </c>
      <c r="F202" s="187" t="s">
        <v>33</v>
      </c>
      <c r="G202" s="187" t="s">
        <v>2817</v>
      </c>
      <c r="H202" s="187">
        <v>62021845</v>
      </c>
      <c r="I202" s="187" t="s">
        <v>33</v>
      </c>
      <c r="J202" s="187" t="s">
        <v>102</v>
      </c>
      <c r="K202" s="198">
        <v>45565</v>
      </c>
      <c r="L202" s="199">
        <v>200000</v>
      </c>
      <c r="M202" s="199">
        <v>742</v>
      </c>
      <c r="N202" s="199">
        <v>160000</v>
      </c>
      <c r="O202" s="199">
        <v>593.6</v>
      </c>
      <c r="P202" s="200">
        <v>0.8</v>
      </c>
      <c r="Q202" s="187"/>
    </row>
    <row r="203" spans="1:17" s="191" customFormat="1" ht="14.1" customHeight="1">
      <c r="A203" s="187">
        <v>1182</v>
      </c>
      <c r="B203" s="187">
        <v>1182</v>
      </c>
      <c r="C203" s="187" t="s">
        <v>1059</v>
      </c>
      <c r="D203" s="187" t="s">
        <v>2861</v>
      </c>
      <c r="E203" s="187"/>
      <c r="F203" s="187" t="s">
        <v>350</v>
      </c>
      <c r="G203" s="187" t="s">
        <v>2862</v>
      </c>
      <c r="H203" s="187">
        <v>62021894</v>
      </c>
      <c r="I203" s="187" t="s">
        <v>33</v>
      </c>
      <c r="J203" s="187" t="s">
        <v>102</v>
      </c>
      <c r="K203" s="198">
        <v>45565</v>
      </c>
      <c r="L203" s="199">
        <v>300000</v>
      </c>
      <c r="M203" s="199">
        <v>1113</v>
      </c>
      <c r="N203" s="199">
        <v>284345.94</v>
      </c>
      <c r="O203" s="199">
        <v>1054.9234374</v>
      </c>
      <c r="P203" s="200">
        <v>0.94781979999999999</v>
      </c>
      <c r="Q203" s="187"/>
    </row>
    <row r="204" spans="1:17" s="191" customFormat="1" ht="14.1" customHeight="1">
      <c r="A204" s="187">
        <v>1182</v>
      </c>
      <c r="B204" s="187">
        <v>1182</v>
      </c>
      <c r="C204" s="187" t="s">
        <v>1059</v>
      </c>
      <c r="D204" s="187" t="s">
        <v>2872</v>
      </c>
      <c r="E204" s="187" t="s">
        <v>2873</v>
      </c>
      <c r="F204" s="187" t="s">
        <v>349</v>
      </c>
      <c r="G204" s="187" t="s">
        <v>2874</v>
      </c>
      <c r="H204" s="187">
        <v>62021944</v>
      </c>
      <c r="I204" s="187" t="s">
        <v>33</v>
      </c>
      <c r="J204" s="187" t="s">
        <v>102</v>
      </c>
      <c r="K204" s="198">
        <v>45565</v>
      </c>
      <c r="L204" s="199">
        <v>300000</v>
      </c>
      <c r="M204" s="199">
        <v>1113</v>
      </c>
      <c r="N204" s="199">
        <v>281268.98</v>
      </c>
      <c r="O204" s="199">
        <v>1043.5079157999999</v>
      </c>
      <c r="P204" s="200">
        <v>0.93756326666666656</v>
      </c>
      <c r="Q204" s="187"/>
    </row>
    <row r="205" spans="1:17" s="191" customFormat="1" ht="14.1" customHeight="1">
      <c r="A205" s="187">
        <v>1182</v>
      </c>
      <c r="B205" s="187">
        <v>1182</v>
      </c>
      <c r="C205" s="187" t="s">
        <v>1059</v>
      </c>
      <c r="D205" s="187" t="s">
        <v>2072</v>
      </c>
      <c r="E205" s="187" t="s">
        <v>2073</v>
      </c>
      <c r="F205" s="187" t="s">
        <v>350</v>
      </c>
      <c r="G205" s="187" t="s">
        <v>3300</v>
      </c>
      <c r="H205" s="187">
        <v>62021852</v>
      </c>
      <c r="I205" s="187" t="s">
        <v>33</v>
      </c>
      <c r="J205" s="187" t="s">
        <v>1209</v>
      </c>
      <c r="K205" s="198">
        <v>45565</v>
      </c>
      <c r="L205" s="199">
        <v>200000</v>
      </c>
      <c r="M205" s="199">
        <v>830.48</v>
      </c>
      <c r="N205" s="199">
        <v>100000</v>
      </c>
      <c r="O205" s="199">
        <v>415.24</v>
      </c>
      <c r="P205" s="200">
        <v>0.5</v>
      </c>
      <c r="Q205" s="187"/>
    </row>
  </sheetData>
  <sheetProtection formatColumns="0"/>
  <dataConsolidate/>
  <dataValidations count="2">
    <dataValidation type="list" allowBlank="1" showInputMessage="1" showErrorMessage="1" sqref="F2:F20" xr:uid="{4536B047-BB49-4D6D-A782-FF1E29BFDAE6}">
      <formula1>Issuer_Number_Fund</formula1>
    </dataValidation>
    <dataValidation type="list" allowBlank="1" showInputMessage="1" showErrorMessage="1" sqref="I2:I20" xr:uid="{59180BE6-8092-45C6-AFF5-39CEE8DEF61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049C4E0-D4A9-4720-AA5B-DB097E78975E}">
          <x14:formula1>
            <xm:f>'[HU_510960586_gm_0324_638645143651801648.xlsx]אפשרויות בחירה'!#REF!</xm:f>
          </x14:formula1>
          <xm:sqref>C2:C19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/>
  <dimension ref="A1:F1315"/>
  <sheetViews>
    <sheetView showGridLines="0" rightToLeft="1" topLeftCell="B1" zoomScale="85" zoomScaleNormal="85" workbookViewId="0">
      <pane ySplit="1" topLeftCell="A360" activePane="bottomLeft" state="frozen"/>
      <selection pane="bottomLeft" activeCell="C328" sqref="C328"/>
    </sheetView>
  </sheetViews>
  <sheetFormatPr defaultColWidth="9" defaultRowHeight="14.25"/>
  <cols>
    <col min="1" max="1" width="29.5" style="11" customWidth="1"/>
    <col min="2" max="2" width="30.375" customWidth="1"/>
    <col min="3" max="3" width="90.875" style="15" customWidth="1"/>
    <col min="4" max="4" width="68.875" style="11" customWidth="1"/>
    <col min="5" max="5" width="17.375" customWidth="1"/>
    <col min="6" max="6" width="59.625" customWidth="1"/>
    <col min="7" max="7" width="63.5" customWidth="1"/>
    <col min="8" max="8" width="38.75" customWidth="1"/>
    <col min="9" max="9" width="9" customWidth="1"/>
  </cols>
  <sheetData>
    <row r="1" spans="1:5" s="50" customFormat="1" ht="45">
      <c r="A1" s="49" t="s">
        <v>240</v>
      </c>
      <c r="B1" s="49" t="s">
        <v>241</v>
      </c>
      <c r="C1" s="49" t="s">
        <v>242</v>
      </c>
      <c r="D1" s="49" t="s">
        <v>243</v>
      </c>
    </row>
    <row r="2" spans="1:5">
      <c r="A2" s="84"/>
      <c r="B2" s="84" t="s">
        <v>244</v>
      </c>
      <c r="C2" s="21" t="s">
        <v>30</v>
      </c>
      <c r="D2" s="21"/>
    </row>
    <row r="3" spans="1:5">
      <c r="A3" s="85"/>
      <c r="B3" s="85"/>
      <c r="C3" s="21" t="s">
        <v>97</v>
      </c>
      <c r="D3" s="21"/>
    </row>
    <row r="4" spans="1:5" ht="42.75">
      <c r="A4" s="77"/>
      <c r="B4" s="98" t="s">
        <v>245</v>
      </c>
      <c r="C4" s="22" t="s">
        <v>30</v>
      </c>
      <c r="D4" s="22"/>
    </row>
    <row r="5" spans="1:5">
      <c r="A5" s="78"/>
      <c r="B5" s="99"/>
      <c r="C5" s="22" t="s">
        <v>246</v>
      </c>
      <c r="D5" s="22"/>
    </row>
    <row r="6" spans="1:5">
      <c r="A6" s="78"/>
      <c r="B6" s="99"/>
      <c r="C6" s="22" t="s">
        <v>247</v>
      </c>
      <c r="D6" s="22"/>
    </row>
    <row r="7" spans="1:5">
      <c r="A7" s="78"/>
      <c r="B7" s="99"/>
      <c r="C7" s="22" t="s">
        <v>248</v>
      </c>
      <c r="D7" s="22"/>
    </row>
    <row r="8" spans="1:5">
      <c r="A8" s="78"/>
      <c r="B8" s="99"/>
      <c r="C8" s="22" t="s">
        <v>249</v>
      </c>
      <c r="D8" s="22"/>
    </row>
    <row r="9" spans="1:5">
      <c r="A9" s="78"/>
      <c r="B9" s="99"/>
      <c r="C9" s="22" t="s">
        <v>250</v>
      </c>
      <c r="D9" s="22"/>
    </row>
    <row r="10" spans="1:5">
      <c r="A10" s="78"/>
      <c r="B10" s="99"/>
      <c r="C10" s="22" t="s">
        <v>251</v>
      </c>
      <c r="D10" s="22"/>
    </row>
    <row r="11" spans="1:5">
      <c r="A11" s="78"/>
      <c r="B11" s="99"/>
      <c r="C11" s="22" t="s">
        <v>252</v>
      </c>
      <c r="D11" s="22"/>
      <c r="E11" t="s">
        <v>253</v>
      </c>
    </row>
    <row r="12" spans="1:5">
      <c r="A12" s="78"/>
      <c r="B12" s="99"/>
      <c r="C12" s="22" t="s">
        <v>254</v>
      </c>
      <c r="D12" s="22"/>
      <c r="E12" t="s">
        <v>253</v>
      </c>
    </row>
    <row r="13" spans="1:5">
      <c r="A13" s="78"/>
      <c r="B13" s="99"/>
      <c r="C13" s="22" t="s">
        <v>255</v>
      </c>
      <c r="D13" s="22"/>
    </row>
    <row r="14" spans="1:5">
      <c r="A14" s="78"/>
      <c r="B14" s="99"/>
      <c r="C14" s="22" t="s">
        <v>256</v>
      </c>
      <c r="D14" s="22"/>
    </row>
    <row r="15" spans="1:5">
      <c r="A15" s="78"/>
      <c r="B15" s="99"/>
      <c r="C15" s="22" t="s">
        <v>257</v>
      </c>
      <c r="D15" s="22"/>
    </row>
    <row r="16" spans="1:5">
      <c r="A16" s="78"/>
      <c r="B16" s="99"/>
      <c r="C16" s="22" t="s">
        <v>258</v>
      </c>
      <c r="D16" s="22"/>
    </row>
    <row r="17" spans="1:4">
      <c r="A17" s="78"/>
      <c r="B17" s="99"/>
      <c r="C17" s="22" t="s">
        <v>259</v>
      </c>
      <c r="D17" s="22"/>
    </row>
    <row r="18" spans="1:4">
      <c r="A18" s="78"/>
      <c r="B18" s="99"/>
      <c r="C18" s="22" t="s">
        <v>260</v>
      </c>
      <c r="D18" s="22"/>
    </row>
    <row r="19" spans="1:4">
      <c r="A19" s="78"/>
      <c r="B19" s="99"/>
      <c r="C19" s="22" t="s">
        <v>261</v>
      </c>
      <c r="D19" s="22"/>
    </row>
    <row r="20" spans="1:4">
      <c r="A20" s="78"/>
      <c r="B20" s="99"/>
      <c r="C20" s="22" t="s">
        <v>262</v>
      </c>
      <c r="D20" s="22"/>
    </row>
    <row r="21" spans="1:4">
      <c r="A21" s="78"/>
      <c r="B21" s="99"/>
      <c r="C21" s="22" t="s">
        <v>98</v>
      </c>
      <c r="D21" s="22"/>
    </row>
    <row r="22" spans="1:4">
      <c r="A22" s="78"/>
      <c r="B22" s="99"/>
      <c r="C22" s="22" t="s">
        <v>263</v>
      </c>
      <c r="D22" s="22"/>
    </row>
    <row r="23" spans="1:4">
      <c r="A23" s="78"/>
      <c r="B23" s="99"/>
      <c r="C23" s="22" t="s">
        <v>264</v>
      </c>
      <c r="D23" s="22"/>
    </row>
    <row r="24" spans="1:4">
      <c r="A24" s="78"/>
      <c r="B24" s="99"/>
      <c r="C24" s="22" t="s">
        <v>265</v>
      </c>
      <c r="D24" s="22"/>
    </row>
    <row r="25" spans="1:4">
      <c r="A25" s="78"/>
      <c r="B25" s="99"/>
      <c r="C25" s="22" t="s">
        <v>266</v>
      </c>
      <c r="D25" s="22"/>
    </row>
    <row r="26" spans="1:4">
      <c r="A26" s="78"/>
      <c r="B26" s="99"/>
      <c r="C26" s="22" t="s">
        <v>267</v>
      </c>
      <c r="D26" s="22"/>
    </row>
    <row r="27" spans="1:4">
      <c r="A27" s="78"/>
      <c r="B27" s="99"/>
      <c r="C27" s="22" t="s">
        <v>268</v>
      </c>
      <c r="D27" s="22"/>
    </row>
    <row r="28" spans="1:4">
      <c r="A28" s="78"/>
      <c r="B28" s="99"/>
      <c r="C28" s="22" t="s">
        <v>269</v>
      </c>
      <c r="D28" s="22"/>
    </row>
    <row r="29" spans="1:4">
      <c r="A29" s="78"/>
      <c r="B29" s="99"/>
      <c r="C29" s="22" t="s">
        <v>270</v>
      </c>
      <c r="D29" s="22"/>
    </row>
    <row r="30" spans="1:4">
      <c r="A30" s="78"/>
      <c r="B30" s="99"/>
      <c r="C30" s="22" t="s">
        <v>271</v>
      </c>
      <c r="D30" s="22"/>
    </row>
    <row r="31" spans="1:4">
      <c r="A31" s="78"/>
      <c r="B31" s="99"/>
      <c r="C31" s="22" t="s">
        <v>272</v>
      </c>
      <c r="D31" s="22"/>
    </row>
    <row r="32" spans="1:4">
      <c r="A32" s="78"/>
      <c r="B32" s="99"/>
      <c r="C32" s="22" t="s">
        <v>273</v>
      </c>
      <c r="D32" s="22"/>
    </row>
    <row r="33" spans="1:5">
      <c r="A33" s="78"/>
      <c r="B33" s="99"/>
      <c r="C33" s="22" t="s">
        <v>274</v>
      </c>
      <c r="D33" s="22"/>
    </row>
    <row r="34" spans="1:5">
      <c r="A34" s="78"/>
      <c r="B34" s="99"/>
      <c r="C34" s="22" t="s">
        <v>275</v>
      </c>
      <c r="D34" s="22"/>
    </row>
    <row r="35" spans="1:5">
      <c r="A35" s="78"/>
      <c r="B35" s="99"/>
      <c r="C35" s="22" t="s">
        <v>276</v>
      </c>
      <c r="D35" s="22"/>
    </row>
    <row r="36" spans="1:5">
      <c r="A36" s="78"/>
      <c r="B36" s="99"/>
      <c r="C36" s="22" t="s">
        <v>277</v>
      </c>
      <c r="D36" s="22"/>
      <c r="E36" t="s">
        <v>253</v>
      </c>
    </row>
    <row r="37" spans="1:5">
      <c r="A37" s="78"/>
      <c r="B37" s="99"/>
      <c r="C37" s="11" t="s">
        <v>278</v>
      </c>
      <c r="D37" s="22"/>
      <c r="E37" t="s">
        <v>253</v>
      </c>
    </row>
    <row r="38" spans="1:5">
      <c r="A38" s="78"/>
      <c r="B38" s="99"/>
      <c r="C38" s="22" t="s">
        <v>279</v>
      </c>
      <c r="D38" s="22"/>
    </row>
    <row r="39" spans="1:5">
      <c r="A39" s="78"/>
      <c r="B39" s="99"/>
      <c r="C39" s="22" t="s">
        <v>280</v>
      </c>
      <c r="D39" s="22"/>
    </row>
    <row r="40" spans="1:5">
      <c r="A40" s="78"/>
      <c r="B40" s="99"/>
      <c r="C40" s="22" t="s">
        <v>281</v>
      </c>
      <c r="D40" s="22"/>
      <c r="E40" t="s">
        <v>253</v>
      </c>
    </row>
    <row r="41" spans="1:5">
      <c r="A41" s="78"/>
      <c r="B41" s="99"/>
      <c r="C41" s="22" t="s">
        <v>282</v>
      </c>
      <c r="D41" s="22"/>
    </row>
    <row r="42" spans="1:5">
      <c r="A42" s="78"/>
      <c r="B42" s="99"/>
      <c r="C42" s="22" t="s">
        <v>283</v>
      </c>
      <c r="D42" s="22"/>
    </row>
    <row r="43" spans="1:5">
      <c r="A43" s="78"/>
      <c r="B43" s="99"/>
      <c r="C43" s="22" t="s">
        <v>284</v>
      </c>
      <c r="D43" s="22"/>
    </row>
    <row r="44" spans="1:5">
      <c r="A44" s="78"/>
      <c r="B44" s="99"/>
      <c r="C44" s="22" t="s">
        <v>285</v>
      </c>
      <c r="D44" s="22"/>
    </row>
    <row r="45" spans="1:5">
      <c r="A45" s="78"/>
      <c r="B45" s="99"/>
      <c r="C45" s="22" t="s">
        <v>286</v>
      </c>
      <c r="D45" s="22"/>
    </row>
    <row r="46" spans="1:5">
      <c r="A46" s="78"/>
      <c r="B46" s="99"/>
      <c r="C46" s="22" t="s">
        <v>287</v>
      </c>
      <c r="D46" s="22"/>
      <c r="E46" t="s">
        <v>253</v>
      </c>
    </row>
    <row r="47" spans="1:5">
      <c r="A47" s="78"/>
      <c r="B47" s="99"/>
      <c r="C47" s="22" t="s">
        <v>288</v>
      </c>
      <c r="D47" s="22"/>
    </row>
    <row r="48" spans="1:5">
      <c r="A48" s="78"/>
      <c r="B48" s="99"/>
      <c r="C48" s="22" t="s">
        <v>289</v>
      </c>
      <c r="D48" s="22"/>
    </row>
    <row r="49" spans="1:5">
      <c r="A49" s="78"/>
      <c r="B49" s="99"/>
      <c r="C49" s="22" t="s">
        <v>290</v>
      </c>
      <c r="D49" s="22"/>
    </row>
    <row r="50" spans="1:5">
      <c r="A50" s="78"/>
      <c r="B50" s="99"/>
      <c r="C50" s="22" t="s">
        <v>291</v>
      </c>
      <c r="D50" s="22"/>
    </row>
    <row r="51" spans="1:5">
      <c r="A51" s="78"/>
      <c r="B51" s="99"/>
      <c r="C51" s="22" t="s">
        <v>292</v>
      </c>
      <c r="D51" s="22"/>
    </row>
    <row r="52" spans="1:5">
      <c r="A52" s="78"/>
      <c r="B52" s="99"/>
      <c r="C52" s="22" t="s">
        <v>293</v>
      </c>
      <c r="D52" s="22"/>
    </row>
    <row r="53" spans="1:5">
      <c r="A53" s="78"/>
      <c r="B53" s="99"/>
      <c r="C53" s="22" t="s">
        <v>294</v>
      </c>
      <c r="D53" s="22"/>
    </row>
    <row r="54" spans="1:5">
      <c r="A54" s="78"/>
      <c r="B54" s="99"/>
      <c r="C54" s="22" t="s">
        <v>295</v>
      </c>
      <c r="D54" s="22"/>
    </row>
    <row r="55" spans="1:5">
      <c r="A55" s="78"/>
      <c r="B55" s="99"/>
      <c r="C55" s="22" t="s">
        <v>296</v>
      </c>
      <c r="D55" s="22"/>
    </row>
    <row r="56" spans="1:5">
      <c r="A56" s="78"/>
      <c r="B56" s="99"/>
      <c r="C56" s="22" t="s">
        <v>297</v>
      </c>
      <c r="D56" s="22"/>
    </row>
    <row r="57" spans="1:5">
      <c r="A57" s="78"/>
      <c r="B57" s="99"/>
      <c r="C57" s="22" t="s">
        <v>298</v>
      </c>
      <c r="D57" s="22"/>
    </row>
    <row r="58" spans="1:5">
      <c r="A58" s="78"/>
      <c r="B58" s="99"/>
      <c r="C58" s="22" t="s">
        <v>299</v>
      </c>
      <c r="D58" s="22"/>
    </row>
    <row r="59" spans="1:5">
      <c r="A59" s="78"/>
      <c r="B59" s="99"/>
      <c r="C59" s="22" t="s">
        <v>300</v>
      </c>
      <c r="D59" s="22"/>
    </row>
    <row r="60" spans="1:5">
      <c r="A60" s="78"/>
      <c r="B60" s="99"/>
      <c r="C60" s="22" t="s">
        <v>301</v>
      </c>
      <c r="D60" s="22"/>
    </row>
    <row r="61" spans="1:5">
      <c r="A61" s="78"/>
      <c r="B61" s="99"/>
      <c r="C61" s="22" t="s">
        <v>302</v>
      </c>
      <c r="D61" s="22"/>
    </row>
    <row r="62" spans="1:5">
      <c r="A62" s="78"/>
      <c r="B62" s="99"/>
      <c r="C62" s="22" t="s">
        <v>303</v>
      </c>
      <c r="D62" s="22"/>
    </row>
    <row r="63" spans="1:5">
      <c r="A63" s="78"/>
      <c r="B63" s="99"/>
      <c r="C63" s="22" t="s">
        <v>304</v>
      </c>
      <c r="D63" s="22"/>
      <c r="E63" t="s">
        <v>253</v>
      </c>
    </row>
    <row r="64" spans="1:5">
      <c r="A64" s="78"/>
      <c r="B64" s="99"/>
      <c r="C64" s="22" t="s">
        <v>305</v>
      </c>
      <c r="D64" s="22"/>
    </row>
    <row r="65" spans="1:4">
      <c r="A65" s="78"/>
      <c r="B65" s="99"/>
      <c r="C65" s="22" t="s">
        <v>306</v>
      </c>
      <c r="D65" s="22"/>
    </row>
    <row r="66" spans="1:4">
      <c r="A66" s="78"/>
      <c r="B66" s="99"/>
      <c r="C66" s="22" t="s">
        <v>307</v>
      </c>
      <c r="D66" s="22"/>
    </row>
    <row r="67" spans="1:4">
      <c r="A67" s="78"/>
      <c r="B67" s="99"/>
      <c r="C67" s="22" t="s">
        <v>308</v>
      </c>
      <c r="D67" s="22"/>
    </row>
    <row r="68" spans="1:4">
      <c r="A68" s="78"/>
      <c r="B68" s="99"/>
      <c r="C68" s="22" t="s">
        <v>309</v>
      </c>
      <c r="D68" s="22"/>
    </row>
    <row r="69" spans="1:4">
      <c r="A69" s="78"/>
      <c r="B69" s="99"/>
      <c r="C69" s="22" t="s">
        <v>310</v>
      </c>
      <c r="D69" s="22"/>
    </row>
    <row r="70" spans="1:4">
      <c r="A70" s="78"/>
      <c r="B70" s="99"/>
      <c r="C70" s="22" t="s">
        <v>311</v>
      </c>
      <c r="D70" s="22"/>
    </row>
    <row r="71" spans="1:4">
      <c r="A71" s="78"/>
      <c r="B71" s="99"/>
      <c r="C71" s="22" t="s">
        <v>312</v>
      </c>
      <c r="D71" s="22"/>
    </row>
    <row r="72" spans="1:4">
      <c r="A72" s="78"/>
      <c r="B72" s="99"/>
      <c r="C72" s="22" t="s">
        <v>313</v>
      </c>
      <c r="D72" s="22"/>
    </row>
    <row r="73" spans="1:4">
      <c r="A73" s="78"/>
      <c r="B73" s="99"/>
      <c r="C73" s="22" t="s">
        <v>314</v>
      </c>
      <c r="D73" s="22"/>
    </row>
    <row r="74" spans="1:4">
      <c r="A74" s="78"/>
      <c r="B74" s="99"/>
      <c r="C74" s="22" t="s">
        <v>315</v>
      </c>
      <c r="D74" s="22"/>
    </row>
    <row r="75" spans="1:4">
      <c r="A75" s="78"/>
      <c r="B75" s="99"/>
      <c r="C75" s="22" t="s">
        <v>316</v>
      </c>
      <c r="D75" s="22"/>
    </row>
    <row r="76" spans="1:4">
      <c r="A76" s="78"/>
      <c r="B76" s="99"/>
      <c r="C76" s="22" t="s">
        <v>317</v>
      </c>
      <c r="D76" s="22"/>
    </row>
    <row r="77" spans="1:4">
      <c r="A77" s="78"/>
      <c r="B77" s="99"/>
      <c r="C77" s="22" t="s">
        <v>318</v>
      </c>
      <c r="D77" s="22"/>
    </row>
    <row r="78" spans="1:4">
      <c r="A78" s="78"/>
      <c r="B78" s="99"/>
      <c r="C78" s="22" t="s">
        <v>319</v>
      </c>
      <c r="D78" s="22"/>
    </row>
    <row r="79" spans="1:4">
      <c r="A79" s="78"/>
      <c r="B79" s="99"/>
      <c r="C79" s="22" t="s">
        <v>320</v>
      </c>
      <c r="D79" s="22"/>
    </row>
    <row r="80" spans="1:4">
      <c r="A80" s="78"/>
      <c r="B80" s="99"/>
      <c r="C80" s="22" t="s">
        <v>321</v>
      </c>
      <c r="D80" s="22"/>
    </row>
    <row r="81" spans="1:5">
      <c r="A81" s="78"/>
      <c r="B81" s="99"/>
      <c r="C81" s="22" t="s">
        <v>322</v>
      </c>
      <c r="D81" s="22"/>
    </row>
    <row r="82" spans="1:5">
      <c r="A82" s="78"/>
      <c r="B82" s="99"/>
      <c r="C82" s="22" t="s">
        <v>323</v>
      </c>
      <c r="D82" s="22"/>
    </row>
    <row r="83" spans="1:5">
      <c r="A83" s="78"/>
      <c r="B83" s="99"/>
      <c r="C83" s="22" t="s">
        <v>324</v>
      </c>
      <c r="D83" s="22"/>
    </row>
    <row r="84" spans="1:5">
      <c r="A84" s="78"/>
      <c r="B84" s="99"/>
      <c r="C84" s="22" t="s">
        <v>325</v>
      </c>
      <c r="D84" s="22"/>
    </row>
    <row r="85" spans="1:5">
      <c r="A85" s="78"/>
      <c r="B85" s="99"/>
      <c r="C85" s="22" t="s">
        <v>326</v>
      </c>
      <c r="D85" s="22"/>
    </row>
    <row r="86" spans="1:5">
      <c r="A86" s="78"/>
      <c r="B86" s="99"/>
      <c r="C86" s="22" t="s">
        <v>327</v>
      </c>
      <c r="D86" s="22"/>
    </row>
    <row r="87" spans="1:5">
      <c r="A87" s="78"/>
      <c r="B87" s="99"/>
      <c r="C87" s="22" t="s">
        <v>328</v>
      </c>
      <c r="D87" s="22"/>
    </row>
    <row r="88" spans="1:5">
      <c r="A88" s="78"/>
      <c r="B88" s="99"/>
      <c r="C88" s="22" t="s">
        <v>329</v>
      </c>
      <c r="D88" s="22"/>
    </row>
    <row r="89" spans="1:5">
      <c r="A89" s="78"/>
      <c r="B89" s="99"/>
      <c r="C89" s="22" t="s">
        <v>330</v>
      </c>
      <c r="D89" s="22"/>
    </row>
    <row r="90" spans="1:5">
      <c r="A90" s="78"/>
      <c r="B90" s="99"/>
      <c r="C90" s="22" t="s">
        <v>331</v>
      </c>
      <c r="D90" s="22"/>
    </row>
    <row r="91" spans="1:5">
      <c r="A91" s="78"/>
      <c r="B91" s="99"/>
      <c r="C91" s="22" t="s">
        <v>332</v>
      </c>
      <c r="D91" s="22"/>
    </row>
    <row r="92" spans="1:5">
      <c r="A92" s="78"/>
      <c r="B92" s="99"/>
      <c r="C92" s="22" t="s">
        <v>333</v>
      </c>
      <c r="D92" s="22"/>
    </row>
    <row r="93" spans="1:5">
      <c r="A93" s="78"/>
      <c r="B93" s="99"/>
      <c r="C93" s="22" t="s">
        <v>334</v>
      </c>
      <c r="D93" s="22"/>
    </row>
    <row r="94" spans="1:5">
      <c r="A94" s="78"/>
      <c r="B94" s="99"/>
      <c r="C94" s="22" t="s">
        <v>335</v>
      </c>
      <c r="D94" s="22" t="s">
        <v>336</v>
      </c>
      <c r="E94" t="s">
        <v>253</v>
      </c>
    </row>
    <row r="95" spans="1:5">
      <c r="A95" s="78"/>
      <c r="B95" s="99"/>
      <c r="C95" s="22" t="s">
        <v>337</v>
      </c>
      <c r="D95" s="22" t="s">
        <v>338</v>
      </c>
      <c r="E95" t="s">
        <v>253</v>
      </c>
    </row>
    <row r="96" spans="1:5">
      <c r="A96" s="78"/>
      <c r="B96" s="99"/>
      <c r="C96" s="22" t="s">
        <v>339</v>
      </c>
      <c r="D96" s="22" t="s">
        <v>338</v>
      </c>
      <c r="E96" t="s">
        <v>253</v>
      </c>
    </row>
    <row r="97" spans="1:5">
      <c r="A97" s="78"/>
      <c r="B97" s="99"/>
      <c r="C97" s="22" t="s">
        <v>340</v>
      </c>
      <c r="D97" s="22" t="s">
        <v>338</v>
      </c>
      <c r="E97" t="s">
        <v>253</v>
      </c>
    </row>
    <row r="98" spans="1:5">
      <c r="A98" s="78"/>
      <c r="B98" s="99"/>
      <c r="C98" s="22" t="s">
        <v>341</v>
      </c>
      <c r="D98" s="22" t="s">
        <v>338</v>
      </c>
      <c r="E98" t="s">
        <v>253</v>
      </c>
    </row>
    <row r="99" spans="1:5">
      <c r="A99" s="78"/>
      <c r="B99" s="99"/>
      <c r="C99" s="22" t="s">
        <v>342</v>
      </c>
      <c r="D99" s="22" t="s">
        <v>338</v>
      </c>
      <c r="E99" t="s">
        <v>253</v>
      </c>
    </row>
    <row r="100" spans="1:5">
      <c r="A100" s="78"/>
      <c r="B100" s="99"/>
      <c r="C100" s="22" t="s">
        <v>343</v>
      </c>
      <c r="D100" s="22" t="s">
        <v>338</v>
      </c>
      <c r="E100" t="s">
        <v>253</v>
      </c>
    </row>
    <row r="101" spans="1:5">
      <c r="A101" s="78"/>
      <c r="B101" s="99"/>
      <c r="C101" s="22" t="s">
        <v>344</v>
      </c>
      <c r="D101" s="22" t="s">
        <v>338</v>
      </c>
      <c r="E101" t="s">
        <v>253</v>
      </c>
    </row>
    <row r="102" spans="1:5">
      <c r="A102" s="78"/>
      <c r="B102" s="99"/>
      <c r="C102" s="22" t="s">
        <v>345</v>
      </c>
      <c r="D102" s="22" t="s">
        <v>338</v>
      </c>
      <c r="E102" t="s">
        <v>253</v>
      </c>
    </row>
    <row r="103" spans="1:5">
      <c r="A103" s="78"/>
      <c r="B103" s="99"/>
      <c r="C103" s="22" t="s">
        <v>346</v>
      </c>
      <c r="D103" s="22" t="s">
        <v>338</v>
      </c>
      <c r="E103" t="s">
        <v>253</v>
      </c>
    </row>
    <row r="104" spans="1:5">
      <c r="A104" s="73"/>
      <c r="B104" s="73" t="s">
        <v>174</v>
      </c>
      <c r="C104" s="21" t="s">
        <v>347</v>
      </c>
      <c r="D104" s="21"/>
    </row>
    <row r="105" spans="1:5">
      <c r="A105" s="74"/>
      <c r="B105" s="74"/>
      <c r="C105" s="21" t="s">
        <v>173</v>
      </c>
      <c r="D105" s="21"/>
    </row>
    <row r="106" spans="1:5">
      <c r="A106" s="74"/>
      <c r="B106" s="74"/>
      <c r="C106" s="21" t="s">
        <v>348</v>
      </c>
      <c r="D106" s="21"/>
    </row>
    <row r="107" spans="1:5">
      <c r="A107" s="74"/>
      <c r="B107" s="74"/>
      <c r="C107" s="21" t="s">
        <v>349</v>
      </c>
      <c r="D107" s="21"/>
    </row>
    <row r="108" spans="1:5">
      <c r="A108" s="74"/>
      <c r="B108" s="74"/>
      <c r="C108" s="21" t="s">
        <v>33</v>
      </c>
      <c r="D108" s="21"/>
    </row>
    <row r="109" spans="1:5">
      <c r="A109" s="74"/>
      <c r="B109" s="74"/>
      <c r="C109" s="21" t="s">
        <v>350</v>
      </c>
      <c r="D109" s="21"/>
    </row>
    <row r="110" spans="1:5">
      <c r="A110" s="75"/>
      <c r="B110" s="75"/>
      <c r="C110" s="21" t="s">
        <v>194</v>
      </c>
      <c r="D110" s="21"/>
    </row>
    <row r="111" spans="1:5">
      <c r="A111" s="78"/>
      <c r="B111" s="64" t="s">
        <v>197</v>
      </c>
      <c r="C111" s="22" t="s">
        <v>347</v>
      </c>
      <c r="D111" s="22"/>
    </row>
    <row r="112" spans="1:5">
      <c r="A112" s="78"/>
      <c r="B112" s="65"/>
      <c r="C112" s="22" t="s">
        <v>203</v>
      </c>
      <c r="D112" s="22"/>
    </row>
    <row r="113" spans="1:4">
      <c r="A113" s="78"/>
      <c r="B113" s="66"/>
      <c r="C113" s="22" t="s">
        <v>351</v>
      </c>
      <c r="D113" s="22"/>
    </row>
    <row r="114" spans="1:4">
      <c r="A114" s="91"/>
      <c r="B114" s="91" t="s">
        <v>352</v>
      </c>
      <c r="C114" s="21" t="s">
        <v>347</v>
      </c>
      <c r="D114" s="21"/>
    </row>
    <row r="115" spans="1:4">
      <c r="A115" s="91"/>
      <c r="B115" s="91"/>
      <c r="C115" s="21" t="s">
        <v>348</v>
      </c>
      <c r="D115" s="21"/>
    </row>
    <row r="116" spans="1:4">
      <c r="A116" s="91"/>
      <c r="B116" s="91"/>
      <c r="C116" s="21" t="s">
        <v>349</v>
      </c>
      <c r="D116" s="21"/>
    </row>
    <row r="117" spans="1:4">
      <c r="A117" s="91"/>
      <c r="B117" s="91"/>
      <c r="C117" s="21" t="s">
        <v>350</v>
      </c>
      <c r="D117" s="21"/>
    </row>
    <row r="118" spans="1:4">
      <c r="A118" s="77"/>
      <c r="B118" s="92" t="s">
        <v>137</v>
      </c>
      <c r="C118" s="22" t="s">
        <v>347</v>
      </c>
      <c r="D118" s="22"/>
    </row>
    <row r="119" spans="1:4">
      <c r="A119" s="12"/>
      <c r="B119" s="112"/>
      <c r="C119" s="22" t="s">
        <v>353</v>
      </c>
      <c r="D119" s="22"/>
    </row>
    <row r="120" spans="1:4">
      <c r="A120" s="12"/>
      <c r="B120" s="112"/>
      <c r="C120" s="22" t="s">
        <v>349</v>
      </c>
      <c r="D120" s="22"/>
    </row>
    <row r="121" spans="1:4">
      <c r="A121" s="12"/>
      <c r="B121" s="112"/>
      <c r="C121" s="22" t="s">
        <v>33</v>
      </c>
      <c r="D121" s="22"/>
    </row>
    <row r="122" spans="1:4">
      <c r="A122" s="12"/>
      <c r="B122" s="112"/>
      <c r="C122" s="22" t="s">
        <v>348</v>
      </c>
      <c r="D122" s="22"/>
    </row>
    <row r="123" spans="1:4">
      <c r="A123" s="12"/>
      <c r="B123" s="112"/>
      <c r="C123" s="22" t="s">
        <v>354</v>
      </c>
      <c r="D123" s="22"/>
    </row>
    <row r="124" spans="1:4">
      <c r="A124" s="12"/>
      <c r="B124" s="112"/>
      <c r="C124" s="22" t="s">
        <v>355</v>
      </c>
      <c r="D124" s="22"/>
    </row>
    <row r="125" spans="1:4">
      <c r="A125" s="12"/>
      <c r="B125" s="112"/>
      <c r="C125" s="22" t="s">
        <v>350</v>
      </c>
      <c r="D125" s="22"/>
    </row>
    <row r="126" spans="1:4">
      <c r="A126" s="78"/>
      <c r="B126" s="93"/>
      <c r="C126" s="22" t="s">
        <v>194</v>
      </c>
      <c r="D126" s="22"/>
    </row>
    <row r="127" spans="1:4">
      <c r="A127" s="73"/>
      <c r="B127" s="73" t="s">
        <v>175</v>
      </c>
      <c r="C127" s="21" t="s">
        <v>356</v>
      </c>
      <c r="D127" s="21"/>
    </row>
    <row r="128" spans="1:4">
      <c r="A128" s="74"/>
      <c r="B128" s="74"/>
      <c r="C128" s="21" t="s">
        <v>357</v>
      </c>
      <c r="D128" s="21"/>
    </row>
    <row r="129" spans="1:5">
      <c r="A129" s="74"/>
      <c r="B129" s="74"/>
      <c r="C129" s="21" t="s">
        <v>358</v>
      </c>
      <c r="D129" s="21"/>
    </row>
    <row r="130" spans="1:5">
      <c r="A130" s="74"/>
      <c r="B130" s="74"/>
      <c r="C130" s="21" t="s">
        <v>359</v>
      </c>
      <c r="D130" s="21"/>
    </row>
    <row r="131" spans="1:5">
      <c r="A131" s="74"/>
      <c r="B131" s="74"/>
      <c r="C131" s="21" t="s">
        <v>33</v>
      </c>
      <c r="D131" s="21"/>
    </row>
    <row r="132" spans="1:5">
      <c r="A132" s="78"/>
      <c r="B132" s="65" t="s">
        <v>360</v>
      </c>
      <c r="C132" s="22" t="s">
        <v>356</v>
      </c>
      <c r="D132" s="22"/>
    </row>
    <row r="133" spans="1:5">
      <c r="A133" s="78"/>
      <c r="B133" s="65"/>
      <c r="C133" s="22" t="s">
        <v>33</v>
      </c>
      <c r="D133" s="22"/>
    </row>
    <row r="134" spans="1:5">
      <c r="A134" s="79"/>
      <c r="B134" s="66"/>
      <c r="C134" s="22" t="s">
        <v>194</v>
      </c>
      <c r="D134" s="22"/>
    </row>
    <row r="135" spans="1:5">
      <c r="A135" s="80"/>
      <c r="B135" s="80" t="s">
        <v>361</v>
      </c>
      <c r="C135" s="21" t="s">
        <v>362</v>
      </c>
      <c r="D135" s="21"/>
    </row>
    <row r="136" spans="1:5">
      <c r="A136" s="81"/>
      <c r="B136" s="81"/>
      <c r="C136" s="21" t="s">
        <v>363</v>
      </c>
      <c r="D136" s="21"/>
      <c r="E136" t="s">
        <v>253</v>
      </c>
    </row>
    <row r="137" spans="1:5">
      <c r="A137" s="81"/>
      <c r="B137" s="81"/>
      <c r="C137" s="21" t="s">
        <v>364</v>
      </c>
      <c r="D137" s="21" t="s">
        <v>365</v>
      </c>
    </row>
    <row r="138" spans="1:5">
      <c r="A138" s="81"/>
      <c r="B138" s="81"/>
      <c r="C138" s="21" t="s">
        <v>366</v>
      </c>
      <c r="D138" s="21" t="s">
        <v>367</v>
      </c>
    </row>
    <row r="139" spans="1:5">
      <c r="A139" s="81"/>
      <c r="B139" s="81"/>
      <c r="C139" s="21" t="s">
        <v>368</v>
      </c>
      <c r="D139" s="21"/>
    </row>
    <row r="140" spans="1:5">
      <c r="A140" s="81"/>
      <c r="B140" s="81"/>
      <c r="C140" s="21" t="s">
        <v>369</v>
      </c>
      <c r="D140" s="21"/>
    </row>
    <row r="141" spans="1:5">
      <c r="A141" s="81"/>
      <c r="B141" s="81"/>
      <c r="C141" s="21" t="s">
        <v>370</v>
      </c>
      <c r="D141" s="21"/>
    </row>
    <row r="142" spans="1:5">
      <c r="A142" s="81"/>
      <c r="B142" s="81"/>
      <c r="C142" s="21" t="s">
        <v>371</v>
      </c>
      <c r="D142" s="21"/>
    </row>
    <row r="143" spans="1:5">
      <c r="A143" s="81"/>
      <c r="B143" s="81"/>
      <c r="C143" s="21" t="s">
        <v>372</v>
      </c>
      <c r="D143" s="21"/>
    </row>
    <row r="144" spans="1:5">
      <c r="A144" s="81"/>
      <c r="B144" s="81"/>
      <c r="C144" s="21" t="s">
        <v>373</v>
      </c>
      <c r="D144" s="21"/>
    </row>
    <row r="145" spans="1:4">
      <c r="A145" s="81"/>
      <c r="B145" s="81"/>
      <c r="C145" s="21" t="s">
        <v>194</v>
      </c>
      <c r="D145" s="21"/>
    </row>
    <row r="146" spans="1:4">
      <c r="A146" s="77"/>
      <c r="B146" s="70" t="s">
        <v>374</v>
      </c>
      <c r="C146" s="22" t="s">
        <v>375</v>
      </c>
      <c r="D146" s="22"/>
    </row>
    <row r="147" spans="1:4">
      <c r="A147" s="79"/>
      <c r="B147" s="72"/>
      <c r="C147" s="22" t="s">
        <v>155</v>
      </c>
      <c r="D147" s="22"/>
    </row>
    <row r="148" spans="1:4">
      <c r="A148" s="59"/>
      <c r="B148" s="111" t="s">
        <v>8</v>
      </c>
      <c r="C148" s="21" t="s">
        <v>31</v>
      </c>
      <c r="D148" s="21" t="s">
        <v>376</v>
      </c>
    </row>
    <row r="149" spans="1:4">
      <c r="A149" s="60"/>
      <c r="B149" s="60"/>
      <c r="C149" s="21" t="s">
        <v>377</v>
      </c>
      <c r="D149" s="21" t="s">
        <v>378</v>
      </c>
    </row>
    <row r="150" spans="1:4">
      <c r="A150" s="60"/>
      <c r="B150" s="60"/>
      <c r="C150" s="21" t="s">
        <v>379</v>
      </c>
      <c r="D150" s="21" t="s">
        <v>380</v>
      </c>
    </row>
    <row r="151" spans="1:4">
      <c r="A151" s="60"/>
      <c r="B151" s="60"/>
      <c r="C151" s="21" t="s">
        <v>381</v>
      </c>
      <c r="D151" s="21" t="s">
        <v>382</v>
      </c>
    </row>
    <row r="152" spans="1:4">
      <c r="A152" s="60"/>
      <c r="B152" s="60"/>
      <c r="C152" s="21" t="s">
        <v>383</v>
      </c>
      <c r="D152" s="21" t="s">
        <v>384</v>
      </c>
    </row>
    <row r="153" spans="1:4">
      <c r="A153" s="60"/>
      <c r="B153" s="60"/>
      <c r="C153" s="21" t="s">
        <v>385</v>
      </c>
      <c r="D153" s="21" t="s">
        <v>386</v>
      </c>
    </row>
    <row r="154" spans="1:4">
      <c r="A154" s="60"/>
      <c r="B154" s="60"/>
      <c r="C154" s="21" t="s">
        <v>387</v>
      </c>
      <c r="D154" s="21" t="s">
        <v>388</v>
      </c>
    </row>
    <row r="155" spans="1:4">
      <c r="A155" s="60"/>
      <c r="B155" s="60"/>
      <c r="C155" s="21" t="s">
        <v>389</v>
      </c>
      <c r="D155" s="21" t="s">
        <v>390</v>
      </c>
    </row>
    <row r="156" spans="1:4">
      <c r="A156" s="60"/>
      <c r="B156" s="60"/>
      <c r="C156" s="21" t="s">
        <v>391</v>
      </c>
      <c r="D156" s="21" t="s">
        <v>392</v>
      </c>
    </row>
    <row r="157" spans="1:4">
      <c r="A157" s="60"/>
      <c r="B157" s="60"/>
      <c r="C157" s="21" t="s">
        <v>393</v>
      </c>
      <c r="D157" s="21" t="s">
        <v>394</v>
      </c>
    </row>
    <row r="158" spans="1:4">
      <c r="A158" s="60"/>
      <c r="B158" s="60"/>
      <c r="C158" s="21" t="s">
        <v>395</v>
      </c>
      <c r="D158" s="21" t="s">
        <v>396</v>
      </c>
    </row>
    <row r="159" spans="1:4">
      <c r="A159" s="60"/>
      <c r="B159" s="60"/>
      <c r="C159" s="21" t="s">
        <v>397</v>
      </c>
      <c r="D159" s="21" t="s">
        <v>398</v>
      </c>
    </row>
    <row r="160" spans="1:4">
      <c r="A160" s="60"/>
      <c r="B160" s="60"/>
      <c r="C160" s="21" t="s">
        <v>399</v>
      </c>
      <c r="D160" s="21" t="s">
        <v>400</v>
      </c>
    </row>
    <row r="161" spans="1:4">
      <c r="A161" s="60"/>
      <c r="B161" s="60"/>
      <c r="C161" s="21" t="s">
        <v>401</v>
      </c>
      <c r="D161" s="21" t="s">
        <v>402</v>
      </c>
    </row>
    <row r="162" spans="1:4">
      <c r="A162" s="60"/>
      <c r="B162" s="60"/>
      <c r="C162" s="21" t="s">
        <v>403</v>
      </c>
      <c r="D162" s="21" t="s">
        <v>404</v>
      </c>
    </row>
    <row r="163" spans="1:4">
      <c r="A163" s="60"/>
      <c r="B163" s="60"/>
      <c r="C163" s="21" t="s">
        <v>405</v>
      </c>
      <c r="D163" s="21" t="s">
        <v>406</v>
      </c>
    </row>
    <row r="164" spans="1:4">
      <c r="A164" s="60"/>
      <c r="B164" s="60"/>
      <c r="C164" s="21" t="s">
        <v>407</v>
      </c>
      <c r="D164" s="21" t="s">
        <v>408</v>
      </c>
    </row>
    <row r="165" spans="1:4">
      <c r="A165" s="60"/>
      <c r="B165" s="60"/>
      <c r="C165" s="21" t="s">
        <v>409</v>
      </c>
      <c r="D165" s="21" t="s">
        <v>410</v>
      </c>
    </row>
    <row r="166" spans="1:4">
      <c r="A166" s="60"/>
      <c r="B166" s="60"/>
      <c r="C166" s="21" t="s">
        <v>411</v>
      </c>
      <c r="D166" s="21" t="s">
        <v>412</v>
      </c>
    </row>
    <row r="167" spans="1:4">
      <c r="A167" s="60"/>
      <c r="B167" s="60"/>
      <c r="C167" s="21" t="s">
        <v>413</v>
      </c>
      <c r="D167" s="21" t="s">
        <v>414</v>
      </c>
    </row>
    <row r="168" spans="1:4">
      <c r="A168" s="60"/>
      <c r="B168" s="60"/>
      <c r="C168" s="21" t="s">
        <v>415</v>
      </c>
      <c r="D168" s="21" t="s">
        <v>416</v>
      </c>
    </row>
    <row r="169" spans="1:4">
      <c r="A169" s="60"/>
      <c r="B169" s="60"/>
      <c r="C169" s="21" t="s">
        <v>417</v>
      </c>
      <c r="D169" s="21" t="s">
        <v>418</v>
      </c>
    </row>
    <row r="170" spans="1:4">
      <c r="A170" s="60"/>
      <c r="B170" s="60"/>
      <c r="C170" s="21" t="s">
        <v>419</v>
      </c>
      <c r="D170" s="21" t="s">
        <v>420</v>
      </c>
    </row>
    <row r="171" spans="1:4">
      <c r="A171" s="60"/>
      <c r="B171" s="60"/>
      <c r="C171" s="21" t="s">
        <v>421</v>
      </c>
      <c r="D171" s="21" t="s">
        <v>422</v>
      </c>
    </row>
    <row r="172" spans="1:4">
      <c r="A172" s="60"/>
      <c r="B172" s="60"/>
      <c r="C172" s="21" t="s">
        <v>423</v>
      </c>
      <c r="D172" s="21" t="s">
        <v>424</v>
      </c>
    </row>
    <row r="173" spans="1:4">
      <c r="A173" s="60"/>
      <c r="B173" s="60"/>
      <c r="C173" s="21" t="s">
        <v>425</v>
      </c>
      <c r="D173" s="21" t="s">
        <v>426</v>
      </c>
    </row>
    <row r="174" spans="1:4">
      <c r="A174" s="60"/>
      <c r="B174" s="60"/>
      <c r="C174" s="21" t="s">
        <v>427</v>
      </c>
      <c r="D174" s="21" t="s">
        <v>428</v>
      </c>
    </row>
    <row r="175" spans="1:4">
      <c r="A175" s="60"/>
      <c r="B175" s="60"/>
      <c r="C175" s="21" t="s">
        <v>429</v>
      </c>
      <c r="D175" s="21" t="s">
        <v>430</v>
      </c>
    </row>
    <row r="176" spans="1:4">
      <c r="A176" s="60"/>
      <c r="B176" s="60"/>
      <c r="C176" s="21" t="s">
        <v>431</v>
      </c>
      <c r="D176" s="21" t="s">
        <v>432</v>
      </c>
    </row>
    <row r="177" spans="1:5">
      <c r="A177" s="60"/>
      <c r="B177" s="60"/>
      <c r="C177" s="21" t="s">
        <v>433</v>
      </c>
      <c r="D177" s="21" t="s">
        <v>434</v>
      </c>
    </row>
    <row r="178" spans="1:5">
      <c r="A178" s="60"/>
      <c r="B178" s="60"/>
      <c r="C178" s="21" t="s">
        <v>435</v>
      </c>
      <c r="D178" s="21" t="s">
        <v>436</v>
      </c>
    </row>
    <row r="179" spans="1:5">
      <c r="A179" s="60"/>
      <c r="B179" s="60"/>
      <c r="C179" s="21" t="s">
        <v>437</v>
      </c>
      <c r="D179" s="21" t="s">
        <v>438</v>
      </c>
    </row>
    <row r="180" spans="1:5">
      <c r="A180" s="60"/>
      <c r="B180" s="60"/>
      <c r="C180" s="21" t="s">
        <v>99</v>
      </c>
      <c r="D180" s="21" t="s">
        <v>439</v>
      </c>
      <c r="E180" t="s">
        <v>253</v>
      </c>
    </row>
    <row r="181" spans="1:5">
      <c r="A181" s="60"/>
      <c r="B181" s="60"/>
      <c r="C181" s="21" t="s">
        <v>194</v>
      </c>
      <c r="D181" s="21" t="s">
        <v>194</v>
      </c>
    </row>
    <row r="182" spans="1:5">
      <c r="A182" s="77"/>
      <c r="B182" s="70" t="s">
        <v>440</v>
      </c>
      <c r="C182" s="52" t="s">
        <v>441</v>
      </c>
      <c r="D182" s="52"/>
    </row>
    <row r="183" spans="1:5">
      <c r="A183" s="78"/>
      <c r="B183" s="71"/>
      <c r="C183" s="52" t="s">
        <v>442</v>
      </c>
      <c r="D183" s="52"/>
    </row>
    <row r="184" spans="1:5">
      <c r="A184" s="78"/>
      <c r="B184" s="71"/>
      <c r="C184" s="52" t="s">
        <v>443</v>
      </c>
      <c r="D184" s="52"/>
    </row>
    <row r="185" spans="1:5">
      <c r="A185" s="79"/>
      <c r="B185" s="72"/>
      <c r="C185" s="53" t="s">
        <v>444</v>
      </c>
      <c r="D185" s="53"/>
    </row>
    <row r="186" spans="1:5">
      <c r="A186" s="73"/>
      <c r="B186" s="73" t="s">
        <v>445</v>
      </c>
      <c r="C186" s="51" t="s">
        <v>446</v>
      </c>
      <c r="D186" s="51"/>
    </row>
    <row r="187" spans="1:5">
      <c r="A187" s="74"/>
      <c r="B187" s="74"/>
      <c r="C187" s="51" t="s">
        <v>447</v>
      </c>
      <c r="D187" s="51"/>
    </row>
    <row r="188" spans="1:5">
      <c r="A188" s="77"/>
      <c r="B188" s="70" t="s">
        <v>10</v>
      </c>
      <c r="C188" s="53" t="s">
        <v>206</v>
      </c>
      <c r="D188" s="53" t="s">
        <v>448</v>
      </c>
    </row>
    <row r="189" spans="1:5">
      <c r="A189" s="78"/>
      <c r="B189" s="71"/>
      <c r="C189" s="53" t="s">
        <v>101</v>
      </c>
      <c r="D189" s="53" t="s">
        <v>449</v>
      </c>
    </row>
    <row r="190" spans="1:5">
      <c r="A190" s="78"/>
      <c r="B190" s="71"/>
      <c r="C190" s="53" t="s">
        <v>33</v>
      </c>
      <c r="D190" s="53" t="s">
        <v>33</v>
      </c>
    </row>
    <row r="191" spans="1:5">
      <c r="A191" s="78"/>
      <c r="B191" s="71"/>
      <c r="C191" s="53" t="s">
        <v>450</v>
      </c>
      <c r="D191" s="53" t="s">
        <v>451</v>
      </c>
    </row>
    <row r="192" spans="1:5">
      <c r="A192" s="78"/>
      <c r="B192" s="71"/>
      <c r="C192" s="53" t="s">
        <v>452</v>
      </c>
      <c r="D192" s="53" t="s">
        <v>453</v>
      </c>
    </row>
    <row r="193" spans="1:4">
      <c r="A193" s="78"/>
      <c r="B193" s="71"/>
      <c r="C193" s="53" t="s">
        <v>454</v>
      </c>
      <c r="D193" s="53" t="s">
        <v>455</v>
      </c>
    </row>
    <row r="194" spans="1:4">
      <c r="A194" s="78"/>
      <c r="B194" s="71"/>
      <c r="C194" s="53" t="s">
        <v>456</v>
      </c>
      <c r="D194" s="53" t="s">
        <v>457</v>
      </c>
    </row>
    <row r="195" spans="1:4">
      <c r="A195" s="78"/>
      <c r="B195" s="71"/>
      <c r="C195" s="53" t="s">
        <v>458</v>
      </c>
      <c r="D195" s="53" t="s">
        <v>459</v>
      </c>
    </row>
    <row r="196" spans="1:4">
      <c r="A196" s="78"/>
      <c r="B196" s="71"/>
      <c r="C196" s="53" t="s">
        <v>460</v>
      </c>
      <c r="D196" s="53" t="s">
        <v>461</v>
      </c>
    </row>
    <row r="197" spans="1:4">
      <c r="A197" s="78"/>
      <c r="B197" s="71"/>
      <c r="C197" s="53" t="s">
        <v>462</v>
      </c>
      <c r="D197" s="53" t="s">
        <v>463</v>
      </c>
    </row>
    <row r="198" spans="1:4">
      <c r="A198" s="78"/>
      <c r="B198" s="71"/>
      <c r="C198" s="53" t="s">
        <v>464</v>
      </c>
      <c r="D198" s="53" t="s">
        <v>465</v>
      </c>
    </row>
    <row r="199" spans="1:4">
      <c r="A199" s="78"/>
      <c r="B199" s="71"/>
      <c r="C199" s="53" t="s">
        <v>466</v>
      </c>
      <c r="D199" s="53" t="s">
        <v>467</v>
      </c>
    </row>
    <row r="200" spans="1:4">
      <c r="A200" s="78"/>
      <c r="B200" s="71"/>
      <c r="C200" s="53" t="s">
        <v>194</v>
      </c>
      <c r="D200" s="53" t="s">
        <v>194</v>
      </c>
    </row>
    <row r="201" spans="1:4">
      <c r="A201" s="79"/>
      <c r="B201" s="72"/>
      <c r="C201" s="53" t="s">
        <v>444</v>
      </c>
      <c r="D201" s="53" t="s">
        <v>468</v>
      </c>
    </row>
    <row r="202" spans="1:4">
      <c r="A202" s="111"/>
      <c r="B202" s="111" t="s">
        <v>176</v>
      </c>
      <c r="C202" s="21" t="s">
        <v>469</v>
      </c>
      <c r="D202" s="21"/>
    </row>
    <row r="203" spans="1:4">
      <c r="A203" s="60"/>
      <c r="B203" s="60"/>
      <c r="C203" s="21" t="s">
        <v>470</v>
      </c>
      <c r="D203" s="21"/>
    </row>
    <row r="204" spans="1:4">
      <c r="A204" s="60"/>
      <c r="B204" s="60"/>
      <c r="C204" s="21" t="s">
        <v>471</v>
      </c>
      <c r="D204" s="21"/>
    </row>
    <row r="205" spans="1:4">
      <c r="A205" s="60"/>
      <c r="B205" s="60"/>
      <c r="C205" s="21" t="s">
        <v>472</v>
      </c>
      <c r="D205" s="21"/>
    </row>
    <row r="206" spans="1:4">
      <c r="A206" s="60"/>
      <c r="B206" s="60"/>
      <c r="C206" s="21" t="s">
        <v>473</v>
      </c>
      <c r="D206" s="21"/>
    </row>
    <row r="207" spans="1:4">
      <c r="A207" s="60"/>
      <c r="B207" s="60"/>
      <c r="C207" s="21" t="s">
        <v>474</v>
      </c>
      <c r="D207" s="21"/>
    </row>
    <row r="208" spans="1:4">
      <c r="A208" s="60"/>
      <c r="B208" s="60"/>
      <c r="C208" s="21" t="s">
        <v>475</v>
      </c>
      <c r="D208" s="21"/>
    </row>
    <row r="209" spans="1:5">
      <c r="A209" s="60"/>
      <c r="B209" s="60"/>
      <c r="C209" s="21" t="s">
        <v>476</v>
      </c>
      <c r="D209" s="21"/>
    </row>
    <row r="210" spans="1:5">
      <c r="A210" s="60"/>
      <c r="B210" s="60"/>
      <c r="C210" s="21" t="s">
        <v>477</v>
      </c>
      <c r="D210" s="21"/>
    </row>
    <row r="211" spans="1:5">
      <c r="A211" s="60"/>
      <c r="B211" s="60"/>
      <c r="C211" s="21" t="s">
        <v>478</v>
      </c>
      <c r="D211" s="21"/>
    </row>
    <row r="212" spans="1:5">
      <c r="A212" s="60"/>
      <c r="B212" s="60"/>
      <c r="C212" s="21" t="s">
        <v>479</v>
      </c>
      <c r="D212" s="21"/>
    </row>
    <row r="213" spans="1:5">
      <c r="A213" s="60"/>
      <c r="B213" s="60"/>
      <c r="C213" s="21" t="s">
        <v>480</v>
      </c>
      <c r="D213" s="21"/>
    </row>
    <row r="214" spans="1:5">
      <c r="A214" s="60"/>
      <c r="B214" s="60"/>
      <c r="C214" s="21" t="s">
        <v>481</v>
      </c>
      <c r="D214" s="21"/>
    </row>
    <row r="215" spans="1:5">
      <c r="A215" s="60"/>
      <c r="B215" s="60"/>
      <c r="C215" s="21" t="s">
        <v>482</v>
      </c>
      <c r="D215" s="21"/>
    </row>
    <row r="216" spans="1:5">
      <c r="A216" s="60"/>
      <c r="B216" s="60"/>
      <c r="C216" s="21" t="s">
        <v>483</v>
      </c>
      <c r="D216" s="21"/>
    </row>
    <row r="217" spans="1:5">
      <c r="A217" s="60"/>
      <c r="B217" s="60"/>
      <c r="C217" s="21" t="s">
        <v>484</v>
      </c>
      <c r="D217" s="21"/>
    </row>
    <row r="218" spans="1:5">
      <c r="A218" s="60"/>
      <c r="B218" s="60"/>
      <c r="C218" s="21" t="s">
        <v>485</v>
      </c>
      <c r="D218" s="21" t="s">
        <v>486</v>
      </c>
      <c r="E218" t="s">
        <v>253</v>
      </c>
    </row>
    <row r="219" spans="1:5">
      <c r="A219" s="60"/>
      <c r="B219" s="60"/>
      <c r="C219" s="21" t="s">
        <v>487</v>
      </c>
      <c r="D219" s="21"/>
    </row>
    <row r="220" spans="1:5">
      <c r="A220" s="60"/>
      <c r="B220" s="60"/>
      <c r="C220" s="21" t="s">
        <v>488</v>
      </c>
      <c r="D220" s="21"/>
    </row>
    <row r="221" spans="1:5">
      <c r="A221" s="60"/>
      <c r="B221" s="60"/>
      <c r="C221" s="21" t="s">
        <v>489</v>
      </c>
      <c r="D221" s="21"/>
    </row>
    <row r="222" spans="1:5">
      <c r="A222" s="60"/>
      <c r="B222" s="60"/>
      <c r="C222" s="21" t="s">
        <v>490</v>
      </c>
      <c r="D222" s="21"/>
    </row>
    <row r="223" spans="1:5">
      <c r="A223" s="60"/>
      <c r="B223" s="60"/>
      <c r="C223" s="21" t="s">
        <v>491</v>
      </c>
      <c r="D223" s="21"/>
    </row>
    <row r="224" spans="1:5">
      <c r="A224" s="60"/>
      <c r="B224" s="60"/>
      <c r="C224" s="21" t="s">
        <v>492</v>
      </c>
      <c r="D224" s="21"/>
    </row>
    <row r="225" spans="1:4">
      <c r="A225" s="60"/>
      <c r="B225" s="60"/>
      <c r="C225" s="21" t="s">
        <v>493</v>
      </c>
      <c r="D225" s="21"/>
    </row>
    <row r="226" spans="1:4">
      <c r="A226" s="60"/>
      <c r="B226" s="60"/>
      <c r="C226" s="21" t="s">
        <v>494</v>
      </c>
      <c r="D226" s="21"/>
    </row>
    <row r="227" spans="1:4">
      <c r="A227" s="60"/>
      <c r="B227" s="60"/>
      <c r="C227" s="21" t="s">
        <v>495</v>
      </c>
      <c r="D227" s="21"/>
    </row>
    <row r="228" spans="1:4">
      <c r="A228" s="60"/>
      <c r="B228" s="60"/>
      <c r="C228" s="21" t="s">
        <v>496</v>
      </c>
      <c r="D228" s="21"/>
    </row>
    <row r="229" spans="1:4">
      <c r="A229" s="60"/>
      <c r="B229" s="60"/>
      <c r="C229" s="21" t="s">
        <v>497</v>
      </c>
      <c r="D229" s="21"/>
    </row>
    <row r="230" spans="1:4">
      <c r="A230" s="60"/>
      <c r="B230" s="60"/>
      <c r="C230" s="21" t="s">
        <v>498</v>
      </c>
      <c r="D230" s="21"/>
    </row>
    <row r="231" spans="1:4">
      <c r="A231" s="60"/>
      <c r="B231" s="60"/>
      <c r="C231" s="21" t="s">
        <v>499</v>
      </c>
      <c r="D231" s="21"/>
    </row>
    <row r="232" spans="1:4">
      <c r="A232" s="60"/>
      <c r="B232" s="60"/>
      <c r="C232" s="21" t="s">
        <v>500</v>
      </c>
      <c r="D232" s="21"/>
    </row>
    <row r="233" spans="1:4">
      <c r="A233" s="60"/>
      <c r="B233" s="60"/>
      <c r="C233" s="21" t="s">
        <v>501</v>
      </c>
      <c r="D233" s="21"/>
    </row>
    <row r="234" spans="1:4">
      <c r="A234" s="60"/>
      <c r="B234" s="60"/>
      <c r="C234" s="21" t="s">
        <v>502</v>
      </c>
      <c r="D234" s="21"/>
    </row>
    <row r="235" spans="1:4">
      <c r="A235" s="60"/>
      <c r="B235" s="60"/>
      <c r="C235" s="21" t="s">
        <v>503</v>
      </c>
      <c r="D235" s="21"/>
    </row>
    <row r="236" spans="1:4">
      <c r="A236" s="60"/>
      <c r="B236" s="60"/>
      <c r="C236" s="21" t="s">
        <v>504</v>
      </c>
      <c r="D236" s="21"/>
    </row>
    <row r="237" spans="1:4">
      <c r="A237" s="60"/>
      <c r="B237" s="60"/>
      <c r="C237" s="21" t="s">
        <v>505</v>
      </c>
      <c r="D237" s="21"/>
    </row>
    <row r="238" spans="1:4">
      <c r="A238" s="60"/>
      <c r="B238" s="60"/>
      <c r="C238" s="21" t="s">
        <v>506</v>
      </c>
      <c r="D238" s="21"/>
    </row>
    <row r="239" spans="1:4">
      <c r="A239" s="60"/>
      <c r="B239" s="60"/>
      <c r="C239" s="21" t="s">
        <v>507</v>
      </c>
      <c r="D239" s="21"/>
    </row>
    <row r="240" spans="1:4">
      <c r="A240" s="60"/>
      <c r="B240" s="60"/>
      <c r="C240" s="21" t="s">
        <v>508</v>
      </c>
      <c r="D240" s="21"/>
    </row>
    <row r="241" spans="1:4">
      <c r="A241" s="60"/>
      <c r="B241" s="60"/>
      <c r="C241" s="21" t="s">
        <v>509</v>
      </c>
      <c r="D241" s="21"/>
    </row>
    <row r="242" spans="1:4">
      <c r="A242" s="60"/>
      <c r="B242" s="60"/>
      <c r="C242" s="21" t="s">
        <v>510</v>
      </c>
      <c r="D242" s="21"/>
    </row>
    <row r="243" spans="1:4">
      <c r="A243" s="60"/>
      <c r="B243" s="60"/>
      <c r="C243" s="21" t="s">
        <v>511</v>
      </c>
      <c r="D243" s="21"/>
    </row>
    <row r="244" spans="1:4">
      <c r="A244" s="60"/>
      <c r="B244" s="60"/>
      <c r="C244" s="21" t="s">
        <v>512</v>
      </c>
      <c r="D244" s="21"/>
    </row>
    <row r="245" spans="1:4">
      <c r="A245" s="60"/>
      <c r="B245" s="60"/>
      <c r="C245" s="21" t="s">
        <v>513</v>
      </c>
      <c r="D245" s="21"/>
    </row>
    <row r="246" spans="1:4">
      <c r="A246" s="60"/>
      <c r="B246" s="60"/>
      <c r="C246" s="21" t="s">
        <v>514</v>
      </c>
      <c r="D246" s="21"/>
    </row>
    <row r="247" spans="1:4">
      <c r="A247" s="60"/>
      <c r="B247" s="60"/>
      <c r="C247" s="21" t="s">
        <v>515</v>
      </c>
      <c r="D247" s="21"/>
    </row>
    <row r="248" spans="1:4">
      <c r="A248" s="60"/>
      <c r="B248" s="60"/>
      <c r="C248" s="21" t="s">
        <v>516</v>
      </c>
      <c r="D248" s="21"/>
    </row>
    <row r="249" spans="1:4">
      <c r="A249" s="60"/>
      <c r="B249" s="60"/>
      <c r="C249" s="21" t="s">
        <v>517</v>
      </c>
      <c r="D249" s="21"/>
    </row>
    <row r="250" spans="1:4">
      <c r="A250" s="60"/>
      <c r="B250" s="60"/>
      <c r="C250" s="21" t="s">
        <v>518</v>
      </c>
      <c r="D250" s="21"/>
    </row>
    <row r="251" spans="1:4">
      <c r="A251" s="60"/>
      <c r="B251" s="60"/>
      <c r="C251" s="21" t="s">
        <v>519</v>
      </c>
      <c r="D251" s="21"/>
    </row>
    <row r="252" spans="1:4">
      <c r="A252" s="60"/>
      <c r="B252" s="60"/>
      <c r="C252" s="21" t="s">
        <v>194</v>
      </c>
      <c r="D252" s="21"/>
    </row>
    <row r="253" spans="1:4">
      <c r="A253" s="60"/>
      <c r="B253" s="60"/>
      <c r="C253" s="21" t="s">
        <v>520</v>
      </c>
      <c r="D253" s="21"/>
    </row>
    <row r="254" spans="1:4">
      <c r="A254" s="60"/>
      <c r="B254" s="60"/>
      <c r="C254" s="21" t="s">
        <v>521</v>
      </c>
      <c r="D254" s="21"/>
    </row>
    <row r="255" spans="1:4">
      <c r="A255" s="60"/>
      <c r="B255" s="60"/>
      <c r="C255" s="21" t="s">
        <v>522</v>
      </c>
      <c r="D255" s="21"/>
    </row>
    <row r="256" spans="1:4">
      <c r="A256" s="60"/>
      <c r="B256" s="60"/>
      <c r="C256" s="21" t="s">
        <v>523</v>
      </c>
      <c r="D256" s="21"/>
    </row>
    <row r="257" spans="1:5">
      <c r="A257" s="60"/>
      <c r="B257" s="60"/>
      <c r="C257" s="21" t="s">
        <v>524</v>
      </c>
      <c r="D257" s="21"/>
    </row>
    <row r="258" spans="1:5">
      <c r="A258" s="60"/>
      <c r="B258" s="60"/>
      <c r="C258" s="21" t="s">
        <v>525</v>
      </c>
      <c r="D258" s="21"/>
    </row>
    <row r="259" spans="1:5">
      <c r="A259" s="60"/>
      <c r="B259" s="60"/>
      <c r="C259" s="21" t="s">
        <v>526</v>
      </c>
      <c r="D259" s="21"/>
    </row>
    <row r="260" spans="1:5">
      <c r="A260" s="60"/>
      <c r="B260" s="60"/>
      <c r="C260" s="21" t="s">
        <v>527</v>
      </c>
      <c r="D260" s="21"/>
    </row>
    <row r="261" spans="1:5">
      <c r="A261" s="60"/>
      <c r="B261" s="60"/>
      <c r="C261" s="21" t="s">
        <v>528</v>
      </c>
      <c r="D261" s="21"/>
    </row>
    <row r="262" spans="1:5">
      <c r="A262" s="60"/>
      <c r="B262" s="60"/>
      <c r="C262" s="21" t="s">
        <v>529</v>
      </c>
      <c r="D262" s="21"/>
    </row>
    <row r="263" spans="1:5">
      <c r="A263" s="60"/>
      <c r="B263" s="60"/>
      <c r="C263" s="21" t="s">
        <v>530</v>
      </c>
      <c r="D263" s="21"/>
    </row>
    <row r="264" spans="1:5">
      <c r="A264" s="60"/>
      <c r="B264" s="60"/>
      <c r="C264" s="21" t="s">
        <v>531</v>
      </c>
      <c r="D264" s="21"/>
    </row>
    <row r="265" spans="1:5">
      <c r="A265" s="60"/>
      <c r="B265" s="60"/>
      <c r="C265" s="21" t="s">
        <v>532</v>
      </c>
      <c r="D265" s="21"/>
    </row>
    <row r="266" spans="1:5">
      <c r="A266" s="60"/>
      <c r="B266" s="60"/>
      <c r="C266" s="21" t="s">
        <v>533</v>
      </c>
      <c r="D266" s="21"/>
    </row>
    <row r="267" spans="1:5">
      <c r="A267" s="60"/>
      <c r="B267" s="60"/>
      <c r="C267" s="21" t="s">
        <v>534</v>
      </c>
      <c r="D267" s="21"/>
    </row>
    <row r="268" spans="1:5">
      <c r="A268" s="60"/>
      <c r="B268" s="60"/>
      <c r="C268" s="21" t="s">
        <v>535</v>
      </c>
      <c r="D268" s="21"/>
    </row>
    <row r="269" spans="1:5">
      <c r="A269" s="60"/>
      <c r="B269" s="60"/>
      <c r="C269" s="21" t="s">
        <v>536</v>
      </c>
      <c r="D269" s="21"/>
    </row>
    <row r="270" spans="1:5">
      <c r="A270" s="60"/>
      <c r="B270" s="60"/>
      <c r="C270" s="21" t="s">
        <v>537</v>
      </c>
      <c r="D270" s="21" t="s">
        <v>538</v>
      </c>
      <c r="E270" t="s">
        <v>253</v>
      </c>
    </row>
    <row r="271" spans="1:5">
      <c r="A271" s="60"/>
      <c r="B271" s="60"/>
      <c r="C271" s="21" t="s">
        <v>539</v>
      </c>
      <c r="D271" s="21" t="s">
        <v>540</v>
      </c>
      <c r="E271" t="s">
        <v>253</v>
      </c>
    </row>
    <row r="272" spans="1:5">
      <c r="A272" s="60"/>
      <c r="B272" s="60"/>
      <c r="C272" s="21" t="s">
        <v>541</v>
      </c>
      <c r="D272" s="21" t="s">
        <v>542</v>
      </c>
      <c r="E272" t="s">
        <v>253</v>
      </c>
    </row>
    <row r="273" spans="1:5">
      <c r="A273" s="60"/>
      <c r="B273" s="60"/>
      <c r="C273" s="21" t="s">
        <v>543</v>
      </c>
      <c r="D273" s="21"/>
    </row>
    <row r="274" spans="1:5">
      <c r="A274" s="60"/>
      <c r="B274" s="60"/>
      <c r="C274" s="21" t="s">
        <v>544</v>
      </c>
      <c r="D274" s="21" t="s">
        <v>545</v>
      </c>
      <c r="E274" t="s">
        <v>253</v>
      </c>
    </row>
    <row r="275" spans="1:5">
      <c r="A275" s="60"/>
      <c r="B275" s="60"/>
      <c r="C275" s="21" t="s">
        <v>546</v>
      </c>
      <c r="D275" s="21"/>
    </row>
    <row r="276" spans="1:5">
      <c r="A276" s="60"/>
      <c r="B276" s="60"/>
      <c r="C276" s="21" t="s">
        <v>547</v>
      </c>
      <c r="D276" s="21"/>
    </row>
    <row r="277" spans="1:5">
      <c r="A277" s="60"/>
      <c r="B277" s="60"/>
      <c r="C277" s="21" t="s">
        <v>548</v>
      </c>
      <c r="D277" s="21"/>
    </row>
    <row r="278" spans="1:5">
      <c r="A278" s="60"/>
      <c r="B278" s="60"/>
      <c r="C278" s="21" t="s">
        <v>549</v>
      </c>
      <c r="D278" s="21"/>
    </row>
    <row r="279" spans="1:5">
      <c r="A279" s="60"/>
      <c r="B279" s="60"/>
      <c r="C279" s="21" t="s">
        <v>550</v>
      </c>
      <c r="D279" s="21"/>
    </row>
    <row r="280" spans="1:5">
      <c r="A280" s="60"/>
      <c r="B280" s="60"/>
      <c r="C280" s="21" t="s">
        <v>551</v>
      </c>
      <c r="D280" s="21"/>
    </row>
    <row r="281" spans="1:5">
      <c r="A281" s="60"/>
      <c r="B281" s="60"/>
      <c r="C281" s="21" t="s">
        <v>552</v>
      </c>
      <c r="D281" s="21"/>
    </row>
    <row r="282" spans="1:5">
      <c r="A282" s="60"/>
      <c r="B282" s="60"/>
      <c r="C282" s="21" t="s">
        <v>553</v>
      </c>
      <c r="D282" s="21" t="s">
        <v>554</v>
      </c>
      <c r="E282" t="s">
        <v>253</v>
      </c>
    </row>
    <row r="283" spans="1:5">
      <c r="A283" s="60"/>
      <c r="B283" s="60"/>
      <c r="C283" s="21" t="s">
        <v>555</v>
      </c>
      <c r="D283" s="21"/>
    </row>
    <row r="284" spans="1:5">
      <c r="A284" s="60"/>
      <c r="B284" s="60"/>
      <c r="C284" s="21" t="s">
        <v>556</v>
      </c>
      <c r="D284" s="21" t="s">
        <v>557</v>
      </c>
      <c r="E284" t="s">
        <v>253</v>
      </c>
    </row>
    <row r="285" spans="1:5">
      <c r="A285" s="60"/>
      <c r="B285" s="60"/>
      <c r="C285" s="21" t="s">
        <v>558</v>
      </c>
      <c r="D285" s="21"/>
    </row>
    <row r="286" spans="1:5">
      <c r="A286" s="60"/>
      <c r="B286" s="60"/>
      <c r="C286" s="21" t="s">
        <v>559</v>
      </c>
      <c r="D286" s="21"/>
    </row>
    <row r="287" spans="1:5">
      <c r="A287" s="60"/>
      <c r="B287" s="60"/>
      <c r="C287" s="21" t="s">
        <v>560</v>
      </c>
      <c r="D287" s="21"/>
    </row>
    <row r="288" spans="1:5">
      <c r="A288" s="60"/>
      <c r="B288" s="60"/>
      <c r="C288" s="21" t="s">
        <v>561</v>
      </c>
      <c r="D288" s="21"/>
    </row>
    <row r="289" spans="1:5">
      <c r="A289" s="60"/>
      <c r="B289" s="60"/>
      <c r="C289" s="21" t="s">
        <v>562</v>
      </c>
      <c r="D289" s="21" t="s">
        <v>563</v>
      </c>
      <c r="E289" t="s">
        <v>253</v>
      </c>
    </row>
    <row r="290" spans="1:5">
      <c r="A290" s="60"/>
      <c r="B290" s="60"/>
      <c r="C290" s="21" t="s">
        <v>564</v>
      </c>
      <c r="D290" s="21"/>
    </row>
    <row r="291" spans="1:5">
      <c r="A291" s="60"/>
      <c r="B291" s="60"/>
      <c r="C291" s="21" t="s">
        <v>565</v>
      </c>
      <c r="D291" s="21"/>
    </row>
    <row r="292" spans="1:5">
      <c r="A292" s="60"/>
      <c r="B292" s="60"/>
      <c r="C292" s="21" t="s">
        <v>566</v>
      </c>
      <c r="D292" s="21"/>
    </row>
    <row r="293" spans="1:5">
      <c r="A293" s="60"/>
      <c r="B293" s="60"/>
      <c r="C293" s="21" t="s">
        <v>567</v>
      </c>
      <c r="D293" s="21"/>
    </row>
    <row r="294" spans="1:5">
      <c r="A294" s="60"/>
      <c r="B294" s="60"/>
      <c r="C294" s="21" t="s">
        <v>568</v>
      </c>
      <c r="D294" s="21"/>
    </row>
    <row r="295" spans="1:5">
      <c r="A295" s="60"/>
      <c r="B295" s="60"/>
      <c r="C295" s="21" t="s">
        <v>569</v>
      </c>
      <c r="D295" s="21"/>
    </row>
    <row r="296" spans="1:5">
      <c r="A296" s="60"/>
      <c r="B296" s="60"/>
      <c r="C296" s="21" t="s">
        <v>570</v>
      </c>
      <c r="D296" s="21"/>
    </row>
    <row r="297" spans="1:5">
      <c r="A297" s="60"/>
      <c r="B297" s="60"/>
      <c r="C297" s="21" t="s">
        <v>571</v>
      </c>
      <c r="D297" s="21" t="s">
        <v>572</v>
      </c>
      <c r="E297" t="s">
        <v>253</v>
      </c>
    </row>
    <row r="298" spans="1:5">
      <c r="A298" s="60"/>
      <c r="B298" s="60"/>
      <c r="C298" s="21" t="s">
        <v>573</v>
      </c>
      <c r="D298" s="21"/>
    </row>
    <row r="299" spans="1:5">
      <c r="A299" s="60"/>
      <c r="B299" s="60"/>
      <c r="C299" s="21" t="s">
        <v>574</v>
      </c>
      <c r="D299" s="21"/>
    </row>
    <row r="300" spans="1:5">
      <c r="A300" s="60"/>
      <c r="B300" s="60"/>
      <c r="C300" s="130" t="s">
        <v>575</v>
      </c>
      <c r="D300" s="21"/>
      <c r="E300" t="s">
        <v>253</v>
      </c>
    </row>
    <row r="301" spans="1:5">
      <c r="A301" s="60"/>
      <c r="B301" s="60"/>
      <c r="C301" s="21" t="s">
        <v>576</v>
      </c>
      <c r="D301" s="21"/>
    </row>
    <row r="302" spans="1:5">
      <c r="A302" s="60"/>
      <c r="B302" s="60"/>
      <c r="C302" s="21" t="s">
        <v>577</v>
      </c>
      <c r="D302" s="21"/>
    </row>
    <row r="303" spans="1:5">
      <c r="A303" s="60"/>
      <c r="B303" s="60"/>
      <c r="C303" s="21" t="s">
        <v>578</v>
      </c>
      <c r="D303" s="21"/>
    </row>
    <row r="304" spans="1:5">
      <c r="A304" s="60"/>
      <c r="B304" s="60"/>
      <c r="C304" s="21" t="s">
        <v>579</v>
      </c>
      <c r="D304" s="21"/>
    </row>
    <row r="305" spans="1:5">
      <c r="A305" s="60"/>
      <c r="B305" s="60"/>
      <c r="C305" s="21" t="s">
        <v>580</v>
      </c>
      <c r="D305" s="21"/>
    </row>
    <row r="306" spans="1:5">
      <c r="A306" s="60"/>
      <c r="B306" s="60"/>
      <c r="C306" s="21" t="s">
        <v>581</v>
      </c>
      <c r="D306" s="21"/>
    </row>
    <row r="307" spans="1:5">
      <c r="A307" s="60"/>
      <c r="B307" s="60"/>
      <c r="C307" s="21" t="s">
        <v>582</v>
      </c>
      <c r="D307" s="21"/>
    </row>
    <row r="308" spans="1:5">
      <c r="A308" s="60"/>
      <c r="B308" s="60"/>
      <c r="C308" s="21" t="s">
        <v>583</v>
      </c>
      <c r="D308" s="21"/>
    </row>
    <row r="309" spans="1:5">
      <c r="A309" s="60"/>
      <c r="B309" s="60"/>
      <c r="C309" s="21" t="s">
        <v>584</v>
      </c>
      <c r="D309" s="21"/>
    </row>
    <row r="310" spans="1:5">
      <c r="A310" s="60"/>
      <c r="B310" s="60"/>
      <c r="C310" s="130" t="s">
        <v>585</v>
      </c>
      <c r="D310" s="21"/>
      <c r="E310" t="s">
        <v>253</v>
      </c>
    </row>
    <row r="311" spans="1:5">
      <c r="A311" s="60"/>
      <c r="B311" s="60"/>
      <c r="C311" s="130" t="s">
        <v>586</v>
      </c>
      <c r="D311" s="21"/>
      <c r="E311" t="s">
        <v>253</v>
      </c>
    </row>
    <row r="312" spans="1:5">
      <c r="A312" s="60"/>
      <c r="B312" s="60"/>
      <c r="C312" s="130" t="s">
        <v>587</v>
      </c>
      <c r="D312" s="21"/>
      <c r="E312" t="s">
        <v>253</v>
      </c>
    </row>
    <row r="313" spans="1:5">
      <c r="A313" s="60"/>
      <c r="B313" s="60"/>
      <c r="C313" s="21" t="s">
        <v>588</v>
      </c>
      <c r="D313" s="21"/>
    </row>
    <row r="314" spans="1:5">
      <c r="A314" s="60"/>
      <c r="B314" s="60"/>
      <c r="C314" s="21" t="s">
        <v>589</v>
      </c>
      <c r="D314" s="21"/>
    </row>
    <row r="315" spans="1:5">
      <c r="A315" s="60"/>
      <c r="B315" s="60"/>
      <c r="C315" s="21" t="s">
        <v>590</v>
      </c>
      <c r="D315" s="21"/>
    </row>
    <row r="316" spans="1:5">
      <c r="A316" s="60"/>
      <c r="B316" s="60"/>
      <c r="C316" s="21" t="s">
        <v>591</v>
      </c>
      <c r="D316" s="21"/>
    </row>
    <row r="317" spans="1:5">
      <c r="A317" s="60"/>
      <c r="B317" s="60"/>
      <c r="C317" s="21" t="s">
        <v>592</v>
      </c>
      <c r="D317" s="21"/>
    </row>
    <row r="318" spans="1:5">
      <c r="A318" s="60"/>
      <c r="B318" s="60"/>
      <c r="C318" s="21" t="s">
        <v>593</v>
      </c>
      <c r="D318" s="125" t="s">
        <v>594</v>
      </c>
      <c r="E318" t="s">
        <v>253</v>
      </c>
    </row>
    <row r="319" spans="1:5">
      <c r="A319" s="60"/>
      <c r="B319" s="60"/>
      <c r="C319" s="21" t="s">
        <v>595</v>
      </c>
      <c r="D319" s="21"/>
    </row>
    <row r="320" spans="1:5">
      <c r="A320" s="60"/>
      <c r="B320" s="60"/>
      <c r="C320" s="21" t="s">
        <v>596</v>
      </c>
      <c r="D320" s="21"/>
    </row>
    <row r="321" spans="1:5">
      <c r="A321" s="60"/>
      <c r="B321" s="60"/>
      <c r="C321" s="21" t="s">
        <v>597</v>
      </c>
      <c r="D321" s="21"/>
    </row>
    <row r="322" spans="1:5">
      <c r="A322" s="60"/>
      <c r="B322" s="60"/>
      <c r="C322" s="21" t="s">
        <v>598</v>
      </c>
      <c r="D322" s="21"/>
    </row>
    <row r="323" spans="1:5">
      <c r="A323" s="60"/>
      <c r="B323" s="60"/>
      <c r="C323" s="21" t="s">
        <v>599</v>
      </c>
      <c r="D323" s="21"/>
    </row>
    <row r="324" spans="1:5">
      <c r="A324" s="60"/>
      <c r="B324" s="60"/>
      <c r="C324" s="21" t="s">
        <v>600</v>
      </c>
      <c r="D324" s="21"/>
    </row>
    <row r="325" spans="1:5">
      <c r="A325" s="60"/>
      <c r="B325" s="60"/>
      <c r="C325" s="21" t="s">
        <v>601</v>
      </c>
      <c r="D325" s="21"/>
    </row>
    <row r="326" spans="1:5">
      <c r="A326" s="60"/>
      <c r="B326" s="60"/>
      <c r="C326" s="21" t="s">
        <v>602</v>
      </c>
      <c r="D326" s="21"/>
    </row>
    <row r="327" spans="1:5">
      <c r="A327" s="60"/>
      <c r="B327" s="60"/>
      <c r="C327" s="21" t="s">
        <v>603</v>
      </c>
      <c r="D327" s="21"/>
    </row>
    <row r="328" spans="1:5">
      <c r="A328" s="77"/>
      <c r="B328" s="67" t="s">
        <v>604</v>
      </c>
      <c r="C328" s="53" t="s">
        <v>605</v>
      </c>
      <c r="D328" s="53"/>
      <c r="E328" t="s">
        <v>253</v>
      </c>
    </row>
    <row r="329" spans="1:5">
      <c r="A329" s="78"/>
      <c r="B329" s="68"/>
      <c r="C329" s="53" t="s">
        <v>606</v>
      </c>
      <c r="D329" s="53"/>
      <c r="E329" t="s">
        <v>253</v>
      </c>
    </row>
    <row r="330" spans="1:5">
      <c r="A330" s="78"/>
      <c r="B330" s="68"/>
      <c r="C330" s="127" t="s">
        <v>607</v>
      </c>
      <c r="D330" s="53"/>
      <c r="E330" t="s">
        <v>253</v>
      </c>
    </row>
    <row r="331" spans="1:5">
      <c r="A331" s="78"/>
      <c r="B331" s="68"/>
      <c r="C331" s="126" t="s">
        <v>608</v>
      </c>
      <c r="D331" s="53"/>
      <c r="E331" t="s">
        <v>253</v>
      </c>
    </row>
    <row r="332" spans="1:5">
      <c r="A332" s="78"/>
      <c r="B332" s="68"/>
      <c r="C332" s="126" t="s">
        <v>609</v>
      </c>
      <c r="D332" s="53"/>
      <c r="E332" t="s">
        <v>253</v>
      </c>
    </row>
    <row r="333" spans="1:5">
      <c r="A333" s="78"/>
      <c r="B333" s="68"/>
      <c r="C333" s="126" t="s">
        <v>610</v>
      </c>
      <c r="D333" s="53"/>
      <c r="E333" t="s">
        <v>253</v>
      </c>
    </row>
    <row r="334" spans="1:5">
      <c r="A334" s="78"/>
      <c r="B334" s="68"/>
      <c r="C334" s="126" t="s">
        <v>611</v>
      </c>
      <c r="D334" s="53"/>
      <c r="E334" t="s">
        <v>253</v>
      </c>
    </row>
    <row r="335" spans="1:5">
      <c r="A335" s="78"/>
      <c r="B335" s="68"/>
      <c r="C335" s="53" t="s">
        <v>612</v>
      </c>
      <c r="D335" s="53"/>
      <c r="E335" t="s">
        <v>253</v>
      </c>
    </row>
    <row r="336" spans="1:5">
      <c r="A336" s="78"/>
      <c r="B336" s="68"/>
      <c r="C336" s="53" t="s">
        <v>613</v>
      </c>
      <c r="D336" s="53"/>
      <c r="E336" t="s">
        <v>253</v>
      </c>
    </row>
    <row r="337" spans="1:5">
      <c r="A337" s="78"/>
      <c r="B337" s="68"/>
      <c r="C337" s="53" t="s">
        <v>614</v>
      </c>
      <c r="D337" s="53"/>
      <c r="E337" t="s">
        <v>253</v>
      </c>
    </row>
    <row r="338" spans="1:5">
      <c r="A338" s="78"/>
      <c r="B338" s="68"/>
      <c r="C338" s="53" t="s">
        <v>615</v>
      </c>
      <c r="D338" s="53"/>
      <c r="E338" t="s">
        <v>253</v>
      </c>
    </row>
    <row r="339" spans="1:5">
      <c r="A339" s="78"/>
      <c r="B339" s="68"/>
      <c r="C339" s="53" t="s">
        <v>616</v>
      </c>
      <c r="D339" s="53"/>
      <c r="E339" t="s">
        <v>253</v>
      </c>
    </row>
    <row r="340" spans="1:5">
      <c r="A340" s="78"/>
      <c r="B340" s="68"/>
      <c r="C340" s="53" t="s">
        <v>617</v>
      </c>
      <c r="D340" s="53"/>
      <c r="E340" t="s">
        <v>253</v>
      </c>
    </row>
    <row r="341" spans="1:5">
      <c r="A341" s="78"/>
      <c r="B341" s="68"/>
      <c r="C341" s="53" t="s">
        <v>618</v>
      </c>
      <c r="D341" s="53"/>
      <c r="E341" t="s">
        <v>253</v>
      </c>
    </row>
    <row r="342" spans="1:5">
      <c r="A342" s="78"/>
      <c r="B342" s="68"/>
      <c r="C342" s="53" t="s">
        <v>619</v>
      </c>
      <c r="D342" s="53"/>
      <c r="E342" t="s">
        <v>253</v>
      </c>
    </row>
    <row r="343" spans="1:5">
      <c r="A343" s="78"/>
      <c r="B343" s="68"/>
      <c r="C343" s="53" t="s">
        <v>620</v>
      </c>
      <c r="D343" s="53"/>
      <c r="E343" t="s">
        <v>253</v>
      </c>
    </row>
    <row r="344" spans="1:5">
      <c r="A344" s="78"/>
      <c r="B344" s="68"/>
      <c r="C344" s="53" t="s">
        <v>621</v>
      </c>
      <c r="D344" s="53"/>
      <c r="E344" t="s">
        <v>253</v>
      </c>
    </row>
    <row r="345" spans="1:5">
      <c r="A345" s="78"/>
      <c r="B345" s="68"/>
      <c r="C345" s="53" t="s">
        <v>622</v>
      </c>
      <c r="D345" s="53"/>
      <c r="E345" t="s">
        <v>253</v>
      </c>
    </row>
    <row r="346" spans="1:5">
      <c r="A346" s="78"/>
      <c r="B346" s="68"/>
      <c r="C346" s="53" t="s">
        <v>623</v>
      </c>
      <c r="D346" s="53"/>
      <c r="E346" t="s">
        <v>253</v>
      </c>
    </row>
    <row r="347" spans="1:5">
      <c r="A347" s="78"/>
      <c r="B347" s="68"/>
      <c r="C347" s="53" t="s">
        <v>624</v>
      </c>
      <c r="D347" s="53"/>
      <c r="E347" t="s">
        <v>253</v>
      </c>
    </row>
    <row r="348" spans="1:5">
      <c r="A348" s="78"/>
      <c r="B348" s="68"/>
      <c r="C348" s="53" t="s">
        <v>625</v>
      </c>
      <c r="D348" s="53"/>
      <c r="E348" t="s">
        <v>253</v>
      </c>
    </row>
    <row r="349" spans="1:5">
      <c r="A349" s="78"/>
      <c r="B349" s="68"/>
      <c r="C349" s="53" t="s">
        <v>626</v>
      </c>
      <c r="D349" s="53"/>
      <c r="E349" t="s">
        <v>253</v>
      </c>
    </row>
    <row r="350" spans="1:5">
      <c r="A350" s="78"/>
      <c r="B350" s="68"/>
      <c r="C350" s="53" t="s">
        <v>627</v>
      </c>
      <c r="D350" s="53"/>
      <c r="E350" t="s">
        <v>253</v>
      </c>
    </row>
    <row r="351" spans="1:5">
      <c r="A351" s="78"/>
      <c r="B351" s="68"/>
      <c r="C351" s="53" t="s">
        <v>628</v>
      </c>
      <c r="D351" s="53"/>
      <c r="E351" t="s">
        <v>253</v>
      </c>
    </row>
    <row r="352" spans="1:5">
      <c r="A352" s="78"/>
      <c r="B352" s="68"/>
      <c r="C352" s="53" t="s">
        <v>629</v>
      </c>
      <c r="D352" s="53"/>
      <c r="E352" t="s">
        <v>253</v>
      </c>
    </row>
    <row r="353" spans="1:5">
      <c r="A353" s="78"/>
      <c r="B353" s="68"/>
      <c r="C353" s="53" t="s">
        <v>630</v>
      </c>
      <c r="D353" s="53"/>
      <c r="E353" t="s">
        <v>253</v>
      </c>
    </row>
    <row r="354" spans="1:5">
      <c r="A354" s="78"/>
      <c r="B354" s="68"/>
      <c r="C354" s="53" t="s">
        <v>631</v>
      </c>
      <c r="D354" s="53"/>
      <c r="E354" t="s">
        <v>253</v>
      </c>
    </row>
    <row r="355" spans="1:5">
      <c r="A355" s="78"/>
      <c r="B355" s="68"/>
      <c r="C355" s="53" t="s">
        <v>632</v>
      </c>
      <c r="D355" s="53"/>
      <c r="E355" t="s">
        <v>253</v>
      </c>
    </row>
    <row r="356" spans="1:5">
      <c r="A356" s="78"/>
      <c r="B356" s="68"/>
      <c r="C356" s="53" t="s">
        <v>633</v>
      </c>
      <c r="D356" s="53"/>
      <c r="E356" t="s">
        <v>253</v>
      </c>
    </row>
    <row r="357" spans="1:5">
      <c r="A357" s="78"/>
      <c r="B357" s="68"/>
      <c r="C357" s="53" t="s">
        <v>634</v>
      </c>
      <c r="D357" s="53"/>
      <c r="E357" t="s">
        <v>253</v>
      </c>
    </row>
    <row r="358" spans="1:5">
      <c r="A358" s="78"/>
      <c r="B358" s="68"/>
      <c r="C358" s="53" t="s">
        <v>635</v>
      </c>
      <c r="D358" s="53"/>
      <c r="E358" t="s">
        <v>253</v>
      </c>
    </row>
    <row r="359" spans="1:5">
      <c r="A359" s="78"/>
      <c r="B359" s="68"/>
      <c r="C359" s="53" t="s">
        <v>636</v>
      </c>
      <c r="D359" s="53"/>
      <c r="E359" t="s">
        <v>253</v>
      </c>
    </row>
    <row r="360" spans="1:5">
      <c r="A360" s="78"/>
      <c r="B360" s="68"/>
      <c r="C360" s="53" t="s">
        <v>637</v>
      </c>
      <c r="D360" s="53"/>
      <c r="E360" t="s">
        <v>253</v>
      </c>
    </row>
    <row r="361" spans="1:5">
      <c r="A361" s="78"/>
      <c r="B361" s="68"/>
      <c r="C361" s="53" t="s">
        <v>638</v>
      </c>
      <c r="D361" s="53"/>
      <c r="E361" t="s">
        <v>253</v>
      </c>
    </row>
    <row r="362" spans="1:5">
      <c r="A362" s="78"/>
      <c r="B362" s="68"/>
      <c r="C362" s="53" t="s">
        <v>639</v>
      </c>
      <c r="D362" s="53"/>
      <c r="E362" t="s">
        <v>253</v>
      </c>
    </row>
    <row r="363" spans="1:5">
      <c r="A363" s="78"/>
      <c r="B363" s="68"/>
      <c r="C363" s="53" t="s">
        <v>640</v>
      </c>
      <c r="D363" s="53"/>
      <c r="E363" t="s">
        <v>253</v>
      </c>
    </row>
    <row r="364" spans="1:5">
      <c r="A364" s="78"/>
      <c r="B364" s="68"/>
      <c r="C364" s="53" t="s">
        <v>641</v>
      </c>
      <c r="D364" s="53"/>
      <c r="E364" t="s">
        <v>253</v>
      </c>
    </row>
    <row r="365" spans="1:5">
      <c r="A365" s="78"/>
      <c r="B365" s="68"/>
      <c r="C365" s="53" t="s">
        <v>642</v>
      </c>
      <c r="D365" s="53"/>
      <c r="E365" t="s">
        <v>253</v>
      </c>
    </row>
    <row r="366" spans="1:5">
      <c r="A366" s="78"/>
      <c r="B366" s="68"/>
      <c r="C366" s="53" t="s">
        <v>643</v>
      </c>
      <c r="D366" s="53"/>
      <c r="E366" t="s">
        <v>253</v>
      </c>
    </row>
    <row r="367" spans="1:5">
      <c r="A367" s="78"/>
      <c r="B367" s="68"/>
      <c r="C367" s="53" t="s">
        <v>644</v>
      </c>
      <c r="D367" s="53"/>
      <c r="E367" t="s">
        <v>253</v>
      </c>
    </row>
    <row r="368" spans="1:5">
      <c r="A368" s="78"/>
      <c r="B368" s="68"/>
      <c r="C368" s="53" t="s">
        <v>645</v>
      </c>
      <c r="D368" s="53"/>
      <c r="E368" t="s">
        <v>253</v>
      </c>
    </row>
    <row r="369" spans="1:5">
      <c r="A369" s="78"/>
      <c r="B369" s="68"/>
      <c r="C369" s="53" t="s">
        <v>646</v>
      </c>
      <c r="D369" s="53"/>
      <c r="E369" t="s">
        <v>253</v>
      </c>
    </row>
    <row r="370" spans="1:5">
      <c r="A370" s="78"/>
      <c r="B370" s="68"/>
      <c r="C370" s="53" t="s">
        <v>647</v>
      </c>
      <c r="D370" s="53"/>
      <c r="E370" t="s">
        <v>253</v>
      </c>
    </row>
    <row r="371" spans="1:5">
      <c r="A371" s="78"/>
      <c r="B371" s="68"/>
      <c r="C371" s="53" t="s">
        <v>648</v>
      </c>
      <c r="D371" s="53"/>
      <c r="E371" t="s">
        <v>253</v>
      </c>
    </row>
    <row r="372" spans="1:5">
      <c r="A372" s="78"/>
      <c r="B372" s="68"/>
      <c r="C372" s="53" t="s">
        <v>649</v>
      </c>
      <c r="D372" s="53"/>
      <c r="E372" t="s">
        <v>253</v>
      </c>
    </row>
    <row r="373" spans="1:5">
      <c r="A373" s="78"/>
      <c r="B373" s="68"/>
      <c r="C373" s="53" t="s">
        <v>650</v>
      </c>
      <c r="D373" s="53"/>
      <c r="E373" t="s">
        <v>253</v>
      </c>
    </row>
    <row r="374" spans="1:5">
      <c r="A374" s="78"/>
      <c r="B374" s="68"/>
      <c r="C374" s="53" t="s">
        <v>651</v>
      </c>
      <c r="D374" s="53"/>
      <c r="E374" t="s">
        <v>253</v>
      </c>
    </row>
    <row r="375" spans="1:5">
      <c r="A375" s="78"/>
      <c r="B375" s="68"/>
      <c r="C375" s="53" t="s">
        <v>652</v>
      </c>
      <c r="D375" s="53"/>
      <c r="E375" t="s">
        <v>253</v>
      </c>
    </row>
    <row r="376" spans="1:5">
      <c r="A376" s="78"/>
      <c r="B376" s="68"/>
      <c r="C376" s="53" t="s">
        <v>653</v>
      </c>
      <c r="D376" s="53"/>
      <c r="E376" t="s">
        <v>253</v>
      </c>
    </row>
    <row r="377" spans="1:5">
      <c r="A377" s="78"/>
      <c r="B377" s="68"/>
      <c r="C377" s="53" t="s">
        <v>654</v>
      </c>
      <c r="D377" s="53"/>
      <c r="E377" t="s">
        <v>253</v>
      </c>
    </row>
    <row r="378" spans="1:5">
      <c r="A378" s="78"/>
      <c r="B378" s="68"/>
      <c r="C378" s="53" t="s">
        <v>655</v>
      </c>
      <c r="D378" s="53"/>
      <c r="E378" t="s">
        <v>253</v>
      </c>
    </row>
    <row r="379" spans="1:5">
      <c r="A379" s="78"/>
      <c r="B379" s="68"/>
      <c r="C379" s="53" t="s">
        <v>656</v>
      </c>
      <c r="D379" s="53"/>
      <c r="E379" t="s">
        <v>253</v>
      </c>
    </row>
    <row r="380" spans="1:5">
      <c r="A380" s="78"/>
      <c r="B380" s="68"/>
      <c r="C380" s="53" t="s">
        <v>657</v>
      </c>
      <c r="D380" s="53"/>
      <c r="E380" t="s">
        <v>253</v>
      </c>
    </row>
    <row r="381" spans="1:5">
      <c r="A381" s="78"/>
      <c r="B381" s="68"/>
      <c r="C381" s="53" t="s">
        <v>658</v>
      </c>
      <c r="D381" s="53"/>
      <c r="E381" t="s">
        <v>253</v>
      </c>
    </row>
    <row r="382" spans="1:5">
      <c r="A382" s="78"/>
      <c r="B382" s="68"/>
      <c r="C382" s="53" t="s">
        <v>659</v>
      </c>
      <c r="D382" s="53"/>
      <c r="E382" t="s">
        <v>253</v>
      </c>
    </row>
    <row r="383" spans="1:5">
      <c r="A383" s="78"/>
      <c r="B383" s="68"/>
      <c r="C383" s="53" t="s">
        <v>660</v>
      </c>
      <c r="D383" s="53"/>
      <c r="E383" t="s">
        <v>253</v>
      </c>
    </row>
    <row r="384" spans="1:5">
      <c r="A384" s="78"/>
      <c r="B384" s="68"/>
      <c r="C384" s="53" t="s">
        <v>661</v>
      </c>
      <c r="D384" s="53"/>
      <c r="E384" t="s">
        <v>253</v>
      </c>
    </row>
    <row r="385" spans="1:5">
      <c r="A385" s="78"/>
      <c r="B385" s="68"/>
      <c r="C385" s="53" t="s">
        <v>662</v>
      </c>
      <c r="D385" s="53"/>
      <c r="E385" t="s">
        <v>253</v>
      </c>
    </row>
    <row r="386" spans="1:5">
      <c r="A386" s="78"/>
      <c r="B386" s="68"/>
      <c r="C386" s="53" t="s">
        <v>663</v>
      </c>
      <c r="D386" s="53"/>
      <c r="E386" t="s">
        <v>253</v>
      </c>
    </row>
    <row r="387" spans="1:5">
      <c r="A387" s="78"/>
      <c r="B387" s="68"/>
      <c r="C387" s="53" t="s">
        <v>664</v>
      </c>
      <c r="D387" s="53"/>
      <c r="E387" t="s">
        <v>253</v>
      </c>
    </row>
    <row r="388" spans="1:5">
      <c r="A388" s="78"/>
      <c r="B388" s="68"/>
      <c r="C388" s="53" t="s">
        <v>665</v>
      </c>
      <c r="D388" s="53"/>
      <c r="E388" t="s">
        <v>253</v>
      </c>
    </row>
    <row r="389" spans="1:5">
      <c r="A389" s="78"/>
      <c r="B389" s="68"/>
      <c r="C389" s="53" t="s">
        <v>666</v>
      </c>
      <c r="D389" s="53"/>
      <c r="E389" t="s">
        <v>253</v>
      </c>
    </row>
    <row r="390" spans="1:5">
      <c r="A390" s="78"/>
      <c r="B390" s="68"/>
      <c r="C390" s="53" t="s">
        <v>667</v>
      </c>
      <c r="D390" s="53"/>
      <c r="E390" t="s">
        <v>253</v>
      </c>
    </row>
    <row r="391" spans="1:5">
      <c r="A391" s="78"/>
      <c r="B391" s="68"/>
      <c r="C391" s="53" t="s">
        <v>668</v>
      </c>
      <c r="D391" s="53"/>
      <c r="E391" t="s">
        <v>253</v>
      </c>
    </row>
    <row r="392" spans="1:5">
      <c r="A392" s="78"/>
      <c r="B392" s="68"/>
      <c r="C392" s="53" t="s">
        <v>669</v>
      </c>
      <c r="D392" s="53"/>
      <c r="E392" t="s">
        <v>253</v>
      </c>
    </row>
    <row r="393" spans="1:5">
      <c r="A393" s="78"/>
      <c r="B393" s="68"/>
      <c r="C393" s="53" t="s">
        <v>670</v>
      </c>
      <c r="D393" s="53"/>
      <c r="E393" t="s">
        <v>253</v>
      </c>
    </row>
    <row r="394" spans="1:5">
      <c r="A394" s="78"/>
      <c r="B394" s="68"/>
      <c r="C394" s="53" t="s">
        <v>671</v>
      </c>
      <c r="D394" s="53"/>
      <c r="E394" t="s">
        <v>253</v>
      </c>
    </row>
    <row r="395" spans="1:5">
      <c r="A395" s="78"/>
      <c r="B395" s="68"/>
      <c r="C395" s="53" t="s">
        <v>672</v>
      </c>
      <c r="D395" s="53"/>
      <c r="E395" t="s">
        <v>253</v>
      </c>
    </row>
    <row r="396" spans="1:5">
      <c r="A396" s="78"/>
      <c r="B396" s="68"/>
      <c r="C396" s="53" t="s">
        <v>673</v>
      </c>
      <c r="D396" s="53"/>
      <c r="E396" t="s">
        <v>253</v>
      </c>
    </row>
    <row r="397" spans="1:5">
      <c r="A397" s="78"/>
      <c r="B397" s="68"/>
      <c r="C397" s="53" t="s">
        <v>674</v>
      </c>
      <c r="D397" s="53"/>
      <c r="E397" t="s">
        <v>253</v>
      </c>
    </row>
    <row r="398" spans="1:5">
      <c r="A398" s="78"/>
      <c r="B398" s="68"/>
      <c r="C398" s="53" t="s">
        <v>675</v>
      </c>
      <c r="D398" s="53"/>
      <c r="E398" t="s">
        <v>253</v>
      </c>
    </row>
    <row r="399" spans="1:5">
      <c r="A399" s="78"/>
      <c r="B399" s="68"/>
      <c r="C399" s="53" t="s">
        <v>676</v>
      </c>
      <c r="D399" s="53"/>
      <c r="E399" t="s">
        <v>253</v>
      </c>
    </row>
    <row r="400" spans="1:5">
      <c r="A400" s="78"/>
      <c r="B400" s="68"/>
      <c r="C400" s="53" t="s">
        <v>677</v>
      </c>
      <c r="D400" s="53"/>
      <c r="E400" t="s">
        <v>253</v>
      </c>
    </row>
    <row r="401" spans="1:5">
      <c r="A401" s="78"/>
      <c r="B401" s="68"/>
      <c r="C401" s="53" t="s">
        <v>678</v>
      </c>
      <c r="D401" s="53"/>
      <c r="E401" t="s">
        <v>253</v>
      </c>
    </row>
    <row r="402" spans="1:5">
      <c r="A402" s="78"/>
      <c r="B402" s="68"/>
      <c r="C402" s="53" t="s">
        <v>679</v>
      </c>
      <c r="D402" s="53"/>
      <c r="E402" t="s">
        <v>253</v>
      </c>
    </row>
    <row r="403" spans="1:5">
      <c r="A403" s="78"/>
      <c r="B403" s="68"/>
      <c r="C403" s="53" t="s">
        <v>680</v>
      </c>
      <c r="D403" s="53"/>
      <c r="E403" t="s">
        <v>253</v>
      </c>
    </row>
    <row r="404" spans="1:5">
      <c r="A404" s="78"/>
      <c r="B404" s="68"/>
      <c r="C404" s="53" t="s">
        <v>681</v>
      </c>
      <c r="D404" s="53"/>
      <c r="E404" t="s">
        <v>253</v>
      </c>
    </row>
    <row r="405" spans="1:5">
      <c r="A405" s="78"/>
      <c r="B405" s="68"/>
      <c r="C405" s="53" t="s">
        <v>682</v>
      </c>
      <c r="D405" s="53"/>
      <c r="E405" t="s">
        <v>253</v>
      </c>
    </row>
    <row r="406" spans="1:5">
      <c r="A406" s="78"/>
      <c r="B406" s="68"/>
      <c r="C406" s="53" t="s">
        <v>683</v>
      </c>
      <c r="D406" s="53"/>
      <c r="E406" t="s">
        <v>253</v>
      </c>
    </row>
    <row r="407" spans="1:5">
      <c r="A407" s="78"/>
      <c r="B407" s="68"/>
      <c r="C407" s="53" t="s">
        <v>684</v>
      </c>
      <c r="D407" s="53"/>
      <c r="E407" t="s">
        <v>253</v>
      </c>
    </row>
    <row r="408" spans="1:5">
      <c r="A408" s="78"/>
      <c r="B408" s="68"/>
      <c r="C408" s="53" t="s">
        <v>685</v>
      </c>
      <c r="D408" s="53"/>
      <c r="E408" t="s">
        <v>253</v>
      </c>
    </row>
    <row r="409" spans="1:5">
      <c r="A409" s="78"/>
      <c r="B409" s="68"/>
      <c r="C409" s="53" t="s">
        <v>686</v>
      </c>
      <c r="D409" s="53"/>
      <c r="E409" t="s">
        <v>253</v>
      </c>
    </row>
    <row r="410" spans="1:5">
      <c r="A410" s="78"/>
      <c r="B410" s="68"/>
      <c r="C410" s="53" t="s">
        <v>687</v>
      </c>
      <c r="D410" s="53"/>
      <c r="E410" t="s">
        <v>253</v>
      </c>
    </row>
    <row r="411" spans="1:5">
      <c r="A411" s="78"/>
      <c r="B411" s="68"/>
      <c r="C411" s="53" t="s">
        <v>688</v>
      </c>
      <c r="D411" s="53"/>
      <c r="E411" t="s">
        <v>253</v>
      </c>
    </row>
    <row r="412" spans="1:5">
      <c r="A412" s="78"/>
      <c r="B412" s="68"/>
      <c r="C412" s="53" t="s">
        <v>689</v>
      </c>
      <c r="D412" s="53"/>
      <c r="E412" t="s">
        <v>253</v>
      </c>
    </row>
    <row r="413" spans="1:5">
      <c r="A413" s="78"/>
      <c r="B413" s="68"/>
      <c r="C413" s="53" t="s">
        <v>690</v>
      </c>
      <c r="D413" s="53"/>
      <c r="E413" t="s">
        <v>253</v>
      </c>
    </row>
    <row r="414" spans="1:5">
      <c r="A414" s="78"/>
      <c r="B414" s="68"/>
      <c r="C414" s="53" t="s">
        <v>691</v>
      </c>
      <c r="D414" s="53"/>
      <c r="E414" t="s">
        <v>253</v>
      </c>
    </row>
    <row r="415" spans="1:5">
      <c r="A415" s="78"/>
      <c r="B415" s="68"/>
      <c r="C415" s="53" t="s">
        <v>692</v>
      </c>
      <c r="D415" s="53"/>
      <c r="E415" t="s">
        <v>253</v>
      </c>
    </row>
    <row r="416" spans="1:5">
      <c r="A416" s="78"/>
      <c r="B416" s="68"/>
      <c r="C416" s="53" t="s">
        <v>693</v>
      </c>
      <c r="D416" s="53"/>
      <c r="E416" t="s">
        <v>253</v>
      </c>
    </row>
    <row r="417" spans="1:5">
      <c r="A417" s="78"/>
      <c r="B417" s="68"/>
      <c r="C417" s="53" t="s">
        <v>694</v>
      </c>
      <c r="D417" s="53"/>
      <c r="E417" t="s">
        <v>253</v>
      </c>
    </row>
    <row r="418" spans="1:5">
      <c r="A418" s="78"/>
      <c r="B418" s="68"/>
      <c r="C418" s="53" t="s">
        <v>695</v>
      </c>
      <c r="D418" s="53"/>
      <c r="E418" t="s">
        <v>253</v>
      </c>
    </row>
    <row r="419" spans="1:5">
      <c r="A419" s="78"/>
      <c r="B419" s="68"/>
      <c r="C419" s="53" t="s">
        <v>696</v>
      </c>
      <c r="D419" s="53"/>
      <c r="E419" t="s">
        <v>253</v>
      </c>
    </row>
    <row r="420" spans="1:5">
      <c r="A420" s="78"/>
      <c r="B420" s="68"/>
      <c r="C420" s="53" t="s">
        <v>697</v>
      </c>
      <c r="D420" s="53"/>
      <c r="E420" t="s">
        <v>253</v>
      </c>
    </row>
    <row r="421" spans="1:5">
      <c r="A421" s="78"/>
      <c r="B421" s="68"/>
      <c r="C421" s="53" t="s">
        <v>698</v>
      </c>
      <c r="D421" s="53"/>
      <c r="E421" t="s">
        <v>253</v>
      </c>
    </row>
    <row r="422" spans="1:5">
      <c r="A422" s="78"/>
      <c r="B422" s="68"/>
      <c r="C422" s="53" t="s">
        <v>699</v>
      </c>
      <c r="D422" s="53"/>
      <c r="E422" t="s">
        <v>253</v>
      </c>
    </row>
    <row r="423" spans="1:5">
      <c r="A423" s="78"/>
      <c r="B423" s="68"/>
      <c r="C423" s="53" t="s">
        <v>700</v>
      </c>
      <c r="D423" s="53"/>
      <c r="E423" t="s">
        <v>253</v>
      </c>
    </row>
    <row r="424" spans="1:5">
      <c r="A424" s="78"/>
      <c r="B424" s="68"/>
      <c r="C424" s="53" t="s">
        <v>701</v>
      </c>
      <c r="D424" s="53"/>
      <c r="E424" t="s">
        <v>253</v>
      </c>
    </row>
    <row r="425" spans="1:5">
      <c r="A425" s="78"/>
      <c r="B425" s="68"/>
      <c r="C425" s="53" t="s">
        <v>702</v>
      </c>
      <c r="D425" s="53"/>
      <c r="E425" t="s">
        <v>253</v>
      </c>
    </row>
    <row r="426" spans="1:5">
      <c r="A426" s="78"/>
      <c r="B426" s="68"/>
      <c r="C426" s="53" t="s">
        <v>703</v>
      </c>
      <c r="D426" s="53"/>
      <c r="E426" t="s">
        <v>253</v>
      </c>
    </row>
    <row r="427" spans="1:5">
      <c r="A427" s="78"/>
      <c r="B427" s="68"/>
      <c r="C427" s="53" t="s">
        <v>704</v>
      </c>
      <c r="D427" s="53"/>
      <c r="E427" t="s">
        <v>253</v>
      </c>
    </row>
    <row r="428" spans="1:5">
      <c r="A428" s="78"/>
      <c r="B428" s="68"/>
      <c r="C428" s="53" t="s">
        <v>705</v>
      </c>
      <c r="D428" s="53"/>
      <c r="E428" t="s">
        <v>253</v>
      </c>
    </row>
    <row r="429" spans="1:5">
      <c r="A429" s="78"/>
      <c r="B429" s="68"/>
      <c r="C429" s="53" t="s">
        <v>706</v>
      </c>
      <c r="D429" s="53"/>
      <c r="E429" t="s">
        <v>253</v>
      </c>
    </row>
    <row r="430" spans="1:5">
      <c r="A430" s="78"/>
      <c r="B430" s="68"/>
      <c r="C430" s="53" t="s">
        <v>707</v>
      </c>
      <c r="D430" s="53"/>
      <c r="E430" t="s">
        <v>253</v>
      </c>
    </row>
    <row r="431" spans="1:5">
      <c r="A431" s="78"/>
      <c r="B431" s="68"/>
      <c r="C431" s="53" t="s">
        <v>708</v>
      </c>
      <c r="D431" s="53"/>
      <c r="E431" t="s">
        <v>253</v>
      </c>
    </row>
    <row r="432" spans="1:5">
      <c r="A432" s="78"/>
      <c r="B432" s="68"/>
      <c r="C432" s="53" t="s">
        <v>709</v>
      </c>
      <c r="D432" s="53"/>
      <c r="E432" t="s">
        <v>253</v>
      </c>
    </row>
    <row r="433" spans="1:5">
      <c r="A433" s="78"/>
      <c r="B433" s="68"/>
      <c r="C433" s="53" t="s">
        <v>710</v>
      </c>
      <c r="D433" s="53"/>
      <c r="E433" t="s">
        <v>253</v>
      </c>
    </row>
    <row r="434" spans="1:5">
      <c r="A434" s="78"/>
      <c r="B434" s="68"/>
      <c r="C434" s="53" t="s">
        <v>711</v>
      </c>
      <c r="D434" s="53"/>
      <c r="E434" t="s">
        <v>253</v>
      </c>
    </row>
    <row r="435" spans="1:5">
      <c r="A435" s="78"/>
      <c r="B435" s="68"/>
      <c r="C435" s="53" t="s">
        <v>712</v>
      </c>
      <c r="D435" s="53"/>
      <c r="E435" t="s">
        <v>253</v>
      </c>
    </row>
    <row r="436" spans="1:5">
      <c r="A436" s="78"/>
      <c r="B436" s="68"/>
      <c r="C436" s="53" t="s">
        <v>713</v>
      </c>
      <c r="D436" s="53"/>
      <c r="E436" t="s">
        <v>253</v>
      </c>
    </row>
    <row r="437" spans="1:5">
      <c r="A437" s="78"/>
      <c r="B437" s="68"/>
      <c r="C437" s="53" t="s">
        <v>714</v>
      </c>
      <c r="D437" s="53"/>
      <c r="E437" t="s">
        <v>253</v>
      </c>
    </row>
    <row r="438" spans="1:5">
      <c r="A438" s="78"/>
      <c r="B438" s="68"/>
      <c r="C438" s="53" t="s">
        <v>715</v>
      </c>
      <c r="D438" s="53"/>
      <c r="E438" t="s">
        <v>253</v>
      </c>
    </row>
    <row r="439" spans="1:5">
      <c r="A439" s="78"/>
      <c r="B439" s="68"/>
      <c r="C439" s="53" t="s">
        <v>716</v>
      </c>
      <c r="D439" s="53"/>
      <c r="E439" t="s">
        <v>253</v>
      </c>
    </row>
    <row r="440" spans="1:5">
      <c r="A440" s="78"/>
      <c r="B440" s="68"/>
      <c r="C440" s="53" t="s">
        <v>717</v>
      </c>
      <c r="D440" s="53"/>
      <c r="E440" t="s">
        <v>253</v>
      </c>
    </row>
    <row r="441" spans="1:5">
      <c r="A441" s="78"/>
      <c r="B441" s="68"/>
      <c r="C441" s="53" t="s">
        <v>718</v>
      </c>
      <c r="D441" s="53"/>
      <c r="E441" t="s">
        <v>253</v>
      </c>
    </row>
    <row r="442" spans="1:5">
      <c r="A442" s="78"/>
      <c r="B442" s="68"/>
      <c r="C442" s="53" t="s">
        <v>719</v>
      </c>
      <c r="D442" s="53"/>
      <c r="E442" t="s">
        <v>253</v>
      </c>
    </row>
    <row r="443" spans="1:5">
      <c r="A443" s="78"/>
      <c r="B443" s="68"/>
      <c r="C443" s="53" t="s">
        <v>720</v>
      </c>
      <c r="D443" s="53"/>
      <c r="E443" t="s">
        <v>253</v>
      </c>
    </row>
    <row r="444" spans="1:5">
      <c r="A444" s="78"/>
      <c r="B444" s="68"/>
      <c r="C444" s="53" t="s">
        <v>721</v>
      </c>
      <c r="D444" s="53"/>
      <c r="E444" t="s">
        <v>253</v>
      </c>
    </row>
    <row r="445" spans="1:5">
      <c r="A445" s="78"/>
      <c r="B445" s="68"/>
      <c r="C445" s="53" t="s">
        <v>722</v>
      </c>
      <c r="D445" s="53"/>
      <c r="E445" t="s">
        <v>253</v>
      </c>
    </row>
    <row r="446" spans="1:5">
      <c r="A446" s="78"/>
      <c r="B446" s="68"/>
      <c r="C446" s="53" t="s">
        <v>723</v>
      </c>
      <c r="D446" s="53"/>
      <c r="E446" t="s">
        <v>253</v>
      </c>
    </row>
    <row r="447" spans="1:5">
      <c r="A447" s="78"/>
      <c r="B447" s="68"/>
      <c r="C447" s="53" t="s">
        <v>724</v>
      </c>
      <c r="D447" s="53"/>
      <c r="E447" t="s">
        <v>253</v>
      </c>
    </row>
    <row r="448" spans="1:5">
      <c r="A448" s="78"/>
      <c r="B448" s="68"/>
      <c r="C448" s="53" t="s">
        <v>725</v>
      </c>
      <c r="D448" s="53"/>
      <c r="E448" t="s">
        <v>253</v>
      </c>
    </row>
    <row r="449" spans="1:5">
      <c r="A449" s="78"/>
      <c r="B449" s="68"/>
      <c r="C449" s="53" t="s">
        <v>726</v>
      </c>
      <c r="D449" s="53"/>
      <c r="E449" t="s">
        <v>253</v>
      </c>
    </row>
    <row r="450" spans="1:5">
      <c r="A450" s="78"/>
      <c r="B450" s="68"/>
      <c r="C450" s="53" t="s">
        <v>727</v>
      </c>
      <c r="D450" s="53"/>
      <c r="E450" t="s">
        <v>253</v>
      </c>
    </row>
    <row r="451" spans="1:5">
      <c r="A451" s="78"/>
      <c r="B451" s="68"/>
      <c r="C451" s="53" t="s">
        <v>728</v>
      </c>
      <c r="D451" s="53"/>
      <c r="E451" t="s">
        <v>253</v>
      </c>
    </row>
    <row r="452" spans="1:5">
      <c r="A452" s="78"/>
      <c r="B452" s="68"/>
      <c r="C452" s="53" t="s">
        <v>729</v>
      </c>
      <c r="D452" s="53"/>
      <c r="E452" t="s">
        <v>253</v>
      </c>
    </row>
    <row r="453" spans="1:5">
      <c r="A453" s="78"/>
      <c r="B453" s="68"/>
      <c r="C453" s="53" t="s">
        <v>730</v>
      </c>
      <c r="D453" s="53"/>
      <c r="E453" t="s">
        <v>253</v>
      </c>
    </row>
    <row r="454" spans="1:5">
      <c r="A454" s="78"/>
      <c r="B454" s="68"/>
      <c r="C454" s="53" t="s">
        <v>731</v>
      </c>
      <c r="D454" s="53"/>
      <c r="E454" t="s">
        <v>253</v>
      </c>
    </row>
    <row r="455" spans="1:5">
      <c r="A455" s="78"/>
      <c r="B455" s="68"/>
      <c r="C455" s="53" t="s">
        <v>732</v>
      </c>
      <c r="D455" s="53"/>
      <c r="E455" t="s">
        <v>253</v>
      </c>
    </row>
    <row r="456" spans="1:5">
      <c r="A456" s="78"/>
      <c r="B456" s="68"/>
      <c r="C456" s="53" t="s">
        <v>733</v>
      </c>
      <c r="D456" s="53"/>
      <c r="E456" t="s">
        <v>253</v>
      </c>
    </row>
    <row r="457" spans="1:5">
      <c r="A457" s="78"/>
      <c r="B457" s="68"/>
      <c r="C457" s="53" t="s">
        <v>734</v>
      </c>
      <c r="D457" s="53"/>
      <c r="E457" t="s">
        <v>253</v>
      </c>
    </row>
    <row r="458" spans="1:5">
      <c r="A458" s="78"/>
      <c r="B458" s="68"/>
      <c r="C458" s="53" t="s">
        <v>735</v>
      </c>
      <c r="D458" s="53"/>
      <c r="E458" t="s">
        <v>253</v>
      </c>
    </row>
    <row r="459" spans="1:5">
      <c r="A459" s="78"/>
      <c r="B459" s="68"/>
      <c r="C459" s="53" t="s">
        <v>736</v>
      </c>
      <c r="D459" s="53"/>
      <c r="E459" t="s">
        <v>253</v>
      </c>
    </row>
    <row r="460" spans="1:5">
      <c r="A460" s="78"/>
      <c r="B460" s="68"/>
      <c r="C460" s="53" t="s">
        <v>737</v>
      </c>
      <c r="D460" s="53"/>
      <c r="E460" t="s">
        <v>253</v>
      </c>
    </row>
    <row r="461" spans="1:5">
      <c r="A461" s="78"/>
      <c r="B461" s="68"/>
      <c r="C461" s="53" t="s">
        <v>738</v>
      </c>
      <c r="D461" s="53"/>
      <c r="E461" t="s">
        <v>253</v>
      </c>
    </row>
    <row r="462" spans="1:5">
      <c r="A462" s="78"/>
      <c r="B462" s="68"/>
      <c r="C462" s="53" t="s">
        <v>739</v>
      </c>
      <c r="D462" s="53"/>
      <c r="E462" t="s">
        <v>253</v>
      </c>
    </row>
    <row r="463" spans="1:5">
      <c r="A463" s="78"/>
      <c r="B463" s="68"/>
      <c r="C463" s="53" t="s">
        <v>740</v>
      </c>
      <c r="D463" s="53"/>
      <c r="E463" t="s">
        <v>253</v>
      </c>
    </row>
    <row r="464" spans="1:5">
      <c r="A464" s="78"/>
      <c r="B464" s="68"/>
      <c r="C464" s="53" t="s">
        <v>741</v>
      </c>
      <c r="D464" s="53"/>
      <c r="E464" t="s">
        <v>253</v>
      </c>
    </row>
    <row r="465" spans="1:5">
      <c r="A465" s="78"/>
      <c r="B465" s="68"/>
      <c r="C465" s="53" t="s">
        <v>742</v>
      </c>
      <c r="D465" s="53"/>
      <c r="E465" t="s">
        <v>253</v>
      </c>
    </row>
    <row r="466" spans="1:5">
      <c r="A466" s="78"/>
      <c r="B466" s="68"/>
      <c r="C466" s="53" t="s">
        <v>743</v>
      </c>
      <c r="D466" s="53"/>
      <c r="E466" t="s">
        <v>253</v>
      </c>
    </row>
    <row r="467" spans="1:5">
      <c r="A467" s="78"/>
      <c r="B467" s="68"/>
      <c r="C467" s="53" t="s">
        <v>744</v>
      </c>
      <c r="D467" s="53"/>
      <c r="E467" t="s">
        <v>253</v>
      </c>
    </row>
    <row r="468" spans="1:5">
      <c r="A468" s="78"/>
      <c r="B468" s="68"/>
      <c r="C468" s="53" t="s">
        <v>745</v>
      </c>
      <c r="D468" s="53"/>
      <c r="E468" t="s">
        <v>253</v>
      </c>
    </row>
    <row r="469" spans="1:5">
      <c r="A469" s="78"/>
      <c r="B469" s="68"/>
      <c r="C469" s="53" t="s">
        <v>746</v>
      </c>
      <c r="D469" s="53"/>
      <c r="E469" t="s">
        <v>253</v>
      </c>
    </row>
    <row r="470" spans="1:5">
      <c r="A470" s="78"/>
      <c r="B470" s="68"/>
      <c r="C470" s="53" t="s">
        <v>747</v>
      </c>
      <c r="D470" s="53"/>
      <c r="E470" t="s">
        <v>253</v>
      </c>
    </row>
    <row r="471" spans="1:5">
      <c r="A471" s="78"/>
      <c r="B471" s="68"/>
      <c r="C471" s="53" t="s">
        <v>748</v>
      </c>
      <c r="D471" s="53"/>
      <c r="E471" t="s">
        <v>253</v>
      </c>
    </row>
    <row r="472" spans="1:5">
      <c r="A472" s="78"/>
      <c r="B472" s="68"/>
      <c r="C472" s="53" t="s">
        <v>749</v>
      </c>
      <c r="D472" s="53"/>
      <c r="E472" t="s">
        <v>253</v>
      </c>
    </row>
    <row r="473" spans="1:5">
      <c r="A473" s="78"/>
      <c r="B473" s="68"/>
      <c r="C473" s="53" t="s">
        <v>750</v>
      </c>
      <c r="D473" s="53"/>
      <c r="E473" t="s">
        <v>253</v>
      </c>
    </row>
    <row r="474" spans="1:5">
      <c r="A474" s="78"/>
      <c r="B474" s="68"/>
      <c r="C474" s="53" t="s">
        <v>751</v>
      </c>
      <c r="D474" s="53"/>
      <c r="E474" t="s">
        <v>253</v>
      </c>
    </row>
    <row r="475" spans="1:5">
      <c r="A475" s="78"/>
      <c r="B475" s="68"/>
      <c r="C475" s="53" t="s">
        <v>752</v>
      </c>
      <c r="D475" s="53"/>
      <c r="E475" t="s">
        <v>253</v>
      </c>
    </row>
    <row r="476" spans="1:5">
      <c r="A476" s="78"/>
      <c r="B476" s="68"/>
      <c r="C476" s="53" t="s">
        <v>753</v>
      </c>
      <c r="D476" s="53"/>
      <c r="E476" t="s">
        <v>253</v>
      </c>
    </row>
    <row r="477" spans="1:5">
      <c r="A477" s="78"/>
      <c r="B477" s="68"/>
      <c r="C477" s="53" t="s">
        <v>754</v>
      </c>
      <c r="D477" s="53"/>
      <c r="E477" t="s">
        <v>253</v>
      </c>
    </row>
    <row r="478" spans="1:5">
      <c r="A478" s="78"/>
      <c r="B478" s="68"/>
      <c r="C478" s="53" t="s">
        <v>755</v>
      </c>
      <c r="D478" s="53"/>
      <c r="E478" t="s">
        <v>253</v>
      </c>
    </row>
    <row r="479" spans="1:5">
      <c r="A479" s="78"/>
      <c r="B479" s="68"/>
      <c r="C479" s="53" t="s">
        <v>756</v>
      </c>
      <c r="D479" s="53"/>
      <c r="E479" t="s">
        <v>253</v>
      </c>
    </row>
    <row r="480" spans="1:5">
      <c r="A480" s="78"/>
      <c r="B480" s="68"/>
      <c r="C480" s="53" t="s">
        <v>757</v>
      </c>
      <c r="D480" s="53"/>
      <c r="E480" t="s">
        <v>253</v>
      </c>
    </row>
    <row r="481" spans="1:5">
      <c r="A481" s="78"/>
      <c r="B481" s="68"/>
      <c r="C481" s="53" t="s">
        <v>758</v>
      </c>
      <c r="D481" s="53"/>
      <c r="E481" t="s">
        <v>253</v>
      </c>
    </row>
    <row r="482" spans="1:5">
      <c r="A482" s="78"/>
      <c r="B482" s="68"/>
      <c r="C482" s="53" t="s">
        <v>759</v>
      </c>
      <c r="D482" s="53"/>
      <c r="E482" t="s">
        <v>253</v>
      </c>
    </row>
    <row r="483" spans="1:5">
      <c r="A483" s="78"/>
      <c r="B483" s="68"/>
      <c r="C483" s="53" t="s">
        <v>760</v>
      </c>
      <c r="D483" s="53"/>
      <c r="E483" t="s">
        <v>253</v>
      </c>
    </row>
    <row r="484" spans="1:5">
      <c r="A484" s="78"/>
      <c r="B484" s="68"/>
      <c r="C484" s="53" t="s">
        <v>761</v>
      </c>
      <c r="D484" s="53"/>
      <c r="E484" t="s">
        <v>253</v>
      </c>
    </row>
    <row r="485" spans="1:5">
      <c r="A485" s="78"/>
      <c r="B485" s="68"/>
      <c r="C485" s="53" t="s">
        <v>762</v>
      </c>
      <c r="D485" s="53"/>
      <c r="E485" t="s">
        <v>253</v>
      </c>
    </row>
    <row r="486" spans="1:5">
      <c r="A486" s="78"/>
      <c r="B486" s="68"/>
      <c r="C486" s="53" t="s">
        <v>763</v>
      </c>
      <c r="D486" s="53"/>
      <c r="E486" t="s">
        <v>253</v>
      </c>
    </row>
    <row r="487" spans="1:5">
      <c r="A487" s="78"/>
      <c r="B487" s="68"/>
      <c r="C487" s="53" t="s">
        <v>764</v>
      </c>
      <c r="D487" s="53"/>
      <c r="E487" t="s">
        <v>253</v>
      </c>
    </row>
    <row r="488" spans="1:5">
      <c r="A488" s="78"/>
      <c r="B488" s="68"/>
      <c r="C488" s="53" t="s">
        <v>765</v>
      </c>
      <c r="D488" s="53"/>
      <c r="E488" t="s">
        <v>253</v>
      </c>
    </row>
    <row r="489" spans="1:5">
      <c r="A489" s="78"/>
      <c r="B489" s="68"/>
      <c r="C489" s="53" t="s">
        <v>194</v>
      </c>
      <c r="D489" s="53"/>
    </row>
    <row r="490" spans="1:5">
      <c r="A490" s="78"/>
      <c r="B490" s="68"/>
      <c r="C490" s="53" t="s">
        <v>766</v>
      </c>
      <c r="D490" s="53"/>
    </row>
    <row r="491" spans="1:5">
      <c r="A491" s="78"/>
      <c r="B491" s="68"/>
      <c r="C491" s="53" t="s">
        <v>767</v>
      </c>
      <c r="D491" s="53"/>
    </row>
    <row r="492" spans="1:5">
      <c r="A492" s="78"/>
      <c r="B492" s="68"/>
      <c r="C492" s="53" t="s">
        <v>768</v>
      </c>
      <c r="D492" s="53"/>
    </row>
    <row r="493" spans="1:5">
      <c r="A493" s="78"/>
      <c r="B493" s="68"/>
      <c r="C493" s="53" t="s">
        <v>769</v>
      </c>
      <c r="D493" s="53"/>
    </row>
    <row r="494" spans="1:5">
      <c r="A494" s="78"/>
      <c r="B494" s="68"/>
      <c r="C494" s="53" t="s">
        <v>770</v>
      </c>
      <c r="D494" s="53"/>
    </row>
    <row r="495" spans="1:5">
      <c r="A495" s="78"/>
      <c r="B495" s="68"/>
      <c r="C495" s="53" t="s">
        <v>771</v>
      </c>
      <c r="D495" s="53"/>
    </row>
    <row r="496" spans="1:5">
      <c r="A496" s="78"/>
      <c r="B496" s="68"/>
      <c r="C496" s="53" t="s">
        <v>772</v>
      </c>
      <c r="D496" s="53"/>
    </row>
    <row r="497" spans="1:4">
      <c r="A497" s="78"/>
      <c r="B497" s="68"/>
      <c r="C497" s="53" t="s">
        <v>773</v>
      </c>
      <c r="D497" s="53"/>
    </row>
    <row r="498" spans="1:4">
      <c r="A498" s="79"/>
      <c r="B498" s="69"/>
      <c r="C498" s="53" t="s">
        <v>603</v>
      </c>
      <c r="D498" s="53"/>
    </row>
    <row r="499" spans="1:4">
      <c r="A499" s="111"/>
      <c r="B499" s="115" t="s">
        <v>774</v>
      </c>
      <c r="C499" s="51" t="s">
        <v>473</v>
      </c>
      <c r="D499" s="51"/>
    </row>
    <row r="500" spans="1:4">
      <c r="A500" s="60"/>
      <c r="B500" s="115"/>
      <c r="C500" s="51" t="s">
        <v>775</v>
      </c>
      <c r="D500" s="51"/>
    </row>
    <row r="501" spans="1:4">
      <c r="A501" s="60"/>
      <c r="B501" s="115"/>
      <c r="C501" s="51" t="s">
        <v>776</v>
      </c>
      <c r="D501" s="51"/>
    </row>
    <row r="502" spans="1:4">
      <c r="A502" s="60"/>
      <c r="B502" s="115"/>
      <c r="C502" s="51" t="s">
        <v>777</v>
      </c>
      <c r="D502" s="51"/>
    </row>
    <row r="503" spans="1:4">
      <c r="A503" s="60"/>
      <c r="B503" s="115"/>
      <c r="C503" s="51" t="s">
        <v>778</v>
      </c>
      <c r="D503" s="51"/>
    </row>
    <row r="504" spans="1:4">
      <c r="A504" s="60"/>
      <c r="B504" s="115"/>
      <c r="C504" s="51" t="s">
        <v>779</v>
      </c>
      <c r="D504" s="51"/>
    </row>
    <row r="505" spans="1:4">
      <c r="A505" s="60"/>
      <c r="B505" s="115"/>
      <c r="C505" s="51" t="s">
        <v>780</v>
      </c>
      <c r="D505" s="51"/>
    </row>
    <row r="506" spans="1:4">
      <c r="A506" s="60"/>
      <c r="B506" s="115"/>
      <c r="C506" s="51" t="s">
        <v>781</v>
      </c>
      <c r="D506" s="51"/>
    </row>
    <row r="507" spans="1:4">
      <c r="A507" s="60"/>
      <c r="B507" s="115"/>
      <c r="C507" s="51" t="s">
        <v>782</v>
      </c>
      <c r="D507" s="51"/>
    </row>
    <row r="508" spans="1:4">
      <c r="A508" s="60"/>
      <c r="B508" s="115"/>
      <c r="C508" s="51" t="s">
        <v>783</v>
      </c>
      <c r="D508" s="51"/>
    </row>
    <row r="509" spans="1:4">
      <c r="A509" s="60"/>
      <c r="B509" s="115"/>
      <c r="C509" s="51" t="s">
        <v>784</v>
      </c>
      <c r="D509" s="51"/>
    </row>
    <row r="510" spans="1:4">
      <c r="A510" s="60"/>
      <c r="B510" s="115"/>
      <c r="C510" s="51" t="s">
        <v>785</v>
      </c>
      <c r="D510" s="51"/>
    </row>
    <row r="511" spans="1:4">
      <c r="A511" s="60"/>
      <c r="B511" s="115"/>
      <c r="C511" s="51" t="s">
        <v>786</v>
      </c>
      <c r="D511" s="51"/>
    </row>
    <row r="512" spans="1:4">
      <c r="A512" s="60"/>
      <c r="B512" s="115"/>
      <c r="C512" s="51" t="s">
        <v>519</v>
      </c>
      <c r="D512" s="51"/>
    </row>
    <row r="513" spans="1:4">
      <c r="A513" s="60"/>
      <c r="B513" s="115"/>
      <c r="C513" s="51" t="s">
        <v>194</v>
      </c>
      <c r="D513" s="51"/>
    </row>
    <row r="514" spans="1:4">
      <c r="A514" s="78"/>
      <c r="B514" s="64" t="s">
        <v>787</v>
      </c>
      <c r="C514" s="53" t="s">
        <v>375</v>
      </c>
      <c r="D514" s="53"/>
    </row>
    <row r="515" spans="1:4">
      <c r="A515" s="79"/>
      <c r="B515" s="66"/>
      <c r="C515" s="53" t="s">
        <v>155</v>
      </c>
      <c r="D515" s="53"/>
    </row>
    <row r="516" spans="1:4">
      <c r="A516" s="60"/>
      <c r="B516" s="115" t="s">
        <v>788</v>
      </c>
      <c r="C516" s="51" t="s">
        <v>789</v>
      </c>
      <c r="D516" s="51"/>
    </row>
    <row r="517" spans="1:4">
      <c r="A517" s="60"/>
      <c r="B517" s="115"/>
      <c r="C517" s="51" t="s">
        <v>208</v>
      </c>
      <c r="D517" s="51"/>
    </row>
    <row r="518" spans="1:4">
      <c r="A518" s="60"/>
      <c r="B518" s="115"/>
      <c r="C518" s="51" t="s">
        <v>204</v>
      </c>
      <c r="D518" s="51"/>
    </row>
    <row r="519" spans="1:4">
      <c r="A519" s="60"/>
      <c r="B519" s="115"/>
      <c r="C519" s="51" t="s">
        <v>790</v>
      </c>
      <c r="D519" s="51"/>
    </row>
    <row r="520" spans="1:4">
      <c r="A520" s="113"/>
      <c r="B520" s="64" t="s">
        <v>791</v>
      </c>
      <c r="C520" s="53" t="s">
        <v>792</v>
      </c>
      <c r="D520" s="53"/>
    </row>
    <row r="521" spans="1:4">
      <c r="A521" s="76"/>
      <c r="B521" s="65"/>
      <c r="C521" s="53" t="s">
        <v>793</v>
      </c>
      <c r="D521" s="53"/>
    </row>
    <row r="522" spans="1:4">
      <c r="A522" s="76"/>
      <c r="B522" s="65"/>
      <c r="C522" s="53" t="s">
        <v>794</v>
      </c>
      <c r="D522" s="53"/>
    </row>
    <row r="523" spans="1:4">
      <c r="A523" s="76"/>
      <c r="B523" s="65"/>
      <c r="C523" s="53" t="s">
        <v>795</v>
      </c>
      <c r="D523" s="53"/>
    </row>
    <row r="524" spans="1:4">
      <c r="A524" s="76"/>
      <c r="B524" s="65"/>
      <c r="C524" s="53" t="s">
        <v>796</v>
      </c>
      <c r="D524" s="53"/>
    </row>
    <row r="525" spans="1:4">
      <c r="A525" s="76"/>
      <c r="B525" s="65"/>
      <c r="C525" s="53" t="s">
        <v>797</v>
      </c>
      <c r="D525" s="53"/>
    </row>
    <row r="526" spans="1:4">
      <c r="A526" s="76"/>
      <c r="B526" s="65"/>
      <c r="C526" s="53" t="s">
        <v>798</v>
      </c>
      <c r="D526" s="53"/>
    </row>
    <row r="527" spans="1:4">
      <c r="A527" s="76"/>
      <c r="B527" s="65"/>
      <c r="C527" s="53" t="s">
        <v>799</v>
      </c>
      <c r="D527" s="53"/>
    </row>
    <row r="528" spans="1:4">
      <c r="A528" s="76"/>
      <c r="B528" s="65"/>
      <c r="C528" s="53" t="s">
        <v>800</v>
      </c>
      <c r="D528" s="53"/>
    </row>
    <row r="529" spans="1:4">
      <c r="A529" s="76"/>
      <c r="B529" s="65"/>
      <c r="C529" s="53" t="s">
        <v>783</v>
      </c>
      <c r="D529" s="53"/>
    </row>
    <row r="530" spans="1:4">
      <c r="B530" s="65"/>
      <c r="C530" s="53" t="s">
        <v>801</v>
      </c>
      <c r="D530" s="53"/>
    </row>
    <row r="531" spans="1:4" ht="15">
      <c r="A531" s="76"/>
      <c r="B531" s="65"/>
      <c r="C531" s="53" t="s">
        <v>802</v>
      </c>
      <c r="D531" s="53" t="s">
        <v>803</v>
      </c>
    </row>
    <row r="532" spans="1:4" ht="15">
      <c r="A532" s="76"/>
      <c r="B532" s="65"/>
      <c r="C532" s="53" t="s">
        <v>804</v>
      </c>
      <c r="D532" s="53" t="s">
        <v>803</v>
      </c>
    </row>
    <row r="533" spans="1:4" ht="15">
      <c r="A533" s="76"/>
      <c r="B533" s="65"/>
      <c r="C533" s="53" t="s">
        <v>805</v>
      </c>
      <c r="D533" s="53" t="s">
        <v>803</v>
      </c>
    </row>
    <row r="534" spans="1:4">
      <c r="A534" s="76"/>
      <c r="B534" s="65"/>
      <c r="C534" s="53" t="s">
        <v>806</v>
      </c>
      <c r="D534" s="53"/>
    </row>
    <row r="535" spans="1:4">
      <c r="A535" s="76"/>
      <c r="B535" s="65"/>
      <c r="C535" s="53" t="s">
        <v>807</v>
      </c>
      <c r="D535" s="53"/>
    </row>
    <row r="536" spans="1:4">
      <c r="A536" s="76"/>
      <c r="B536" s="65"/>
      <c r="C536" s="53" t="s">
        <v>808</v>
      </c>
      <c r="D536" s="53"/>
    </row>
    <row r="537" spans="1:4">
      <c r="A537" s="76"/>
      <c r="B537" s="65"/>
      <c r="C537" s="53" t="s">
        <v>809</v>
      </c>
      <c r="D537" s="53"/>
    </row>
    <row r="538" spans="1:4">
      <c r="A538" s="76"/>
      <c r="B538" s="65"/>
      <c r="C538" s="53" t="s">
        <v>810</v>
      </c>
      <c r="D538" s="53"/>
    </row>
    <row r="539" spans="1:4">
      <c r="A539" s="76"/>
      <c r="B539" s="65"/>
      <c r="C539" s="53" t="s">
        <v>811</v>
      </c>
      <c r="D539" s="53"/>
    </row>
    <row r="540" spans="1:4">
      <c r="A540" s="76"/>
      <c r="B540" s="65"/>
      <c r="C540" s="53" t="s">
        <v>812</v>
      </c>
      <c r="D540" s="53"/>
    </row>
    <row r="541" spans="1:4">
      <c r="A541" s="76"/>
      <c r="B541" s="65"/>
      <c r="C541" s="53" t="s">
        <v>813</v>
      </c>
      <c r="D541" s="53"/>
    </row>
    <row r="542" spans="1:4">
      <c r="A542" s="76"/>
      <c r="B542" s="65"/>
      <c r="C542" s="53" t="s">
        <v>519</v>
      </c>
      <c r="D542" s="53"/>
    </row>
    <row r="543" spans="1:4">
      <c r="A543" s="76"/>
      <c r="B543" s="65"/>
      <c r="C543" s="53" t="s">
        <v>194</v>
      </c>
      <c r="D543" s="54"/>
    </row>
    <row r="544" spans="1:4">
      <c r="A544" s="82"/>
      <c r="B544" s="55" t="s">
        <v>814</v>
      </c>
      <c r="C544" s="51" t="s">
        <v>375</v>
      </c>
      <c r="D544" s="51"/>
    </row>
    <row r="545" spans="1:4">
      <c r="A545" s="83"/>
      <c r="B545" s="114"/>
      <c r="C545" s="51" t="s">
        <v>155</v>
      </c>
      <c r="D545" s="51"/>
    </row>
    <row r="546" spans="1:4">
      <c r="A546" s="76"/>
      <c r="B546" s="64" t="s">
        <v>815</v>
      </c>
      <c r="C546" s="53" t="s">
        <v>816</v>
      </c>
      <c r="D546" s="53"/>
    </row>
    <row r="547" spans="1:4">
      <c r="A547" s="76"/>
      <c r="B547" s="65"/>
      <c r="C547" s="53" t="s">
        <v>817</v>
      </c>
      <c r="D547" s="53"/>
    </row>
    <row r="548" spans="1:4">
      <c r="A548" s="76"/>
      <c r="B548" s="65"/>
      <c r="C548" s="53" t="s">
        <v>818</v>
      </c>
      <c r="D548" s="53"/>
    </row>
    <row r="549" spans="1:4">
      <c r="A549" s="76"/>
      <c r="B549" s="65"/>
      <c r="C549" s="53" t="s">
        <v>819</v>
      </c>
      <c r="D549" s="53"/>
    </row>
    <row r="550" spans="1:4">
      <c r="A550" s="76"/>
      <c r="B550" s="65"/>
      <c r="C550" s="53" t="s">
        <v>820</v>
      </c>
      <c r="D550" s="53"/>
    </row>
    <row r="551" spans="1:4">
      <c r="A551" s="82"/>
      <c r="B551" s="55" t="s">
        <v>821</v>
      </c>
      <c r="C551" s="51" t="s">
        <v>375</v>
      </c>
      <c r="D551" s="51"/>
    </row>
    <row r="552" spans="1:4">
      <c r="A552" s="83"/>
      <c r="B552" s="114"/>
      <c r="C552" s="51" t="s">
        <v>155</v>
      </c>
      <c r="D552" s="51"/>
    </row>
    <row r="553" spans="1:4">
      <c r="A553" s="61"/>
      <c r="B553" s="64" t="s">
        <v>822</v>
      </c>
      <c r="C553" s="53" t="s">
        <v>823</v>
      </c>
      <c r="D553" s="53"/>
    </row>
    <row r="554" spans="1:4">
      <c r="A554" s="62"/>
      <c r="B554" s="62"/>
      <c r="C554" s="53" t="s">
        <v>824</v>
      </c>
      <c r="D554" s="53"/>
    </row>
    <row r="555" spans="1:4">
      <c r="A555" s="62"/>
      <c r="B555" s="62"/>
      <c r="C555" s="53" t="s">
        <v>825</v>
      </c>
      <c r="D555" s="53"/>
    </row>
    <row r="556" spans="1:4">
      <c r="A556" s="62"/>
      <c r="B556" s="62"/>
      <c r="C556" s="53" t="s">
        <v>826</v>
      </c>
      <c r="D556" s="53"/>
    </row>
    <row r="557" spans="1:4">
      <c r="A557" s="62"/>
      <c r="B557" s="62"/>
      <c r="C557" s="53" t="s">
        <v>827</v>
      </c>
      <c r="D557" s="53"/>
    </row>
    <row r="558" spans="1:4">
      <c r="A558" s="62"/>
      <c r="B558" s="62"/>
      <c r="C558" s="53" t="s">
        <v>828</v>
      </c>
      <c r="D558" s="53"/>
    </row>
    <row r="559" spans="1:4">
      <c r="A559" s="62"/>
      <c r="B559" s="62"/>
      <c r="C559" s="53" t="s">
        <v>829</v>
      </c>
      <c r="D559" s="53"/>
    </row>
    <row r="560" spans="1:4">
      <c r="A560" s="62"/>
      <c r="B560" s="62"/>
      <c r="C560" s="53" t="s">
        <v>830</v>
      </c>
      <c r="D560" s="53"/>
    </row>
    <row r="561" spans="1:4">
      <c r="A561" s="62"/>
      <c r="B561" s="62"/>
      <c r="C561" s="53" t="s">
        <v>831</v>
      </c>
      <c r="D561" s="53"/>
    </row>
    <row r="562" spans="1:4">
      <c r="A562" s="62"/>
      <c r="B562" s="62"/>
      <c r="C562" s="53" t="s">
        <v>832</v>
      </c>
      <c r="D562" s="53"/>
    </row>
    <row r="563" spans="1:4">
      <c r="A563" s="62"/>
      <c r="B563" s="62"/>
      <c r="C563" s="53" t="s">
        <v>833</v>
      </c>
      <c r="D563" s="53"/>
    </row>
    <row r="564" spans="1:4">
      <c r="A564" s="62"/>
      <c r="B564" s="62"/>
      <c r="C564" s="53" t="s">
        <v>834</v>
      </c>
      <c r="D564" s="53"/>
    </row>
    <row r="565" spans="1:4">
      <c r="A565" s="62"/>
      <c r="B565" s="62"/>
      <c r="C565" s="53" t="s">
        <v>835</v>
      </c>
      <c r="D565" s="53"/>
    </row>
    <row r="566" spans="1:4">
      <c r="A566" s="62"/>
      <c r="B566" s="62"/>
      <c r="C566" s="53" t="s">
        <v>836</v>
      </c>
      <c r="D566" s="53"/>
    </row>
    <row r="567" spans="1:4">
      <c r="A567" s="62"/>
      <c r="B567" s="62"/>
      <c r="C567" s="53" t="s">
        <v>837</v>
      </c>
      <c r="D567" s="53"/>
    </row>
    <row r="568" spans="1:4">
      <c r="A568" s="62"/>
      <c r="B568" s="62"/>
      <c r="C568" s="53" t="s">
        <v>838</v>
      </c>
      <c r="D568" s="53"/>
    </row>
    <row r="569" spans="1:4">
      <c r="A569" s="62"/>
      <c r="B569" s="62"/>
      <c r="C569" s="53" t="s">
        <v>839</v>
      </c>
      <c r="D569" s="53"/>
    </row>
    <row r="570" spans="1:4">
      <c r="A570" s="62"/>
      <c r="B570" s="62"/>
      <c r="C570" s="53" t="s">
        <v>840</v>
      </c>
      <c r="D570" s="53"/>
    </row>
    <row r="571" spans="1:4">
      <c r="A571" s="62"/>
      <c r="B571" s="62"/>
      <c r="C571" s="53" t="s">
        <v>841</v>
      </c>
      <c r="D571" s="53"/>
    </row>
    <row r="572" spans="1:4">
      <c r="A572" s="62"/>
      <c r="B572" s="62"/>
      <c r="C572" s="53" t="s">
        <v>842</v>
      </c>
      <c r="D572" s="53"/>
    </row>
    <row r="573" spans="1:4">
      <c r="A573" s="62"/>
      <c r="B573" s="62"/>
      <c r="C573" s="53" t="s">
        <v>843</v>
      </c>
      <c r="D573" s="53"/>
    </row>
    <row r="574" spans="1:4">
      <c r="A574" s="62"/>
      <c r="B574" s="62"/>
      <c r="C574" s="53" t="s">
        <v>844</v>
      </c>
      <c r="D574" s="53"/>
    </row>
    <row r="575" spans="1:4">
      <c r="A575" s="62"/>
      <c r="B575" s="62"/>
      <c r="C575" s="53" t="s">
        <v>845</v>
      </c>
      <c r="D575" s="53"/>
    </row>
    <row r="576" spans="1:4">
      <c r="A576" s="62"/>
      <c r="B576" s="62"/>
      <c r="C576" s="53" t="s">
        <v>846</v>
      </c>
      <c r="D576" s="53"/>
    </row>
    <row r="577" spans="1:5">
      <c r="A577" s="62"/>
      <c r="B577" s="62"/>
      <c r="C577" s="53" t="s">
        <v>847</v>
      </c>
      <c r="D577" s="53"/>
    </row>
    <row r="578" spans="1:5">
      <c r="A578" s="62"/>
      <c r="B578" s="62"/>
      <c r="C578" s="53" t="s">
        <v>848</v>
      </c>
      <c r="D578" s="53"/>
    </row>
    <row r="579" spans="1:5">
      <c r="A579" s="62"/>
      <c r="B579" s="62"/>
      <c r="C579" s="53" t="s">
        <v>849</v>
      </c>
      <c r="D579" s="53"/>
    </row>
    <row r="580" spans="1:5">
      <c r="A580" s="62"/>
      <c r="B580" s="62"/>
      <c r="C580" s="53" t="s">
        <v>850</v>
      </c>
      <c r="D580" s="53"/>
      <c r="E580" t="s">
        <v>253</v>
      </c>
    </row>
    <row r="581" spans="1:5">
      <c r="A581" s="62"/>
      <c r="B581" s="62"/>
      <c r="C581" s="53" t="s">
        <v>851</v>
      </c>
      <c r="D581" s="53"/>
      <c r="E581" t="s">
        <v>253</v>
      </c>
    </row>
    <row r="582" spans="1:5">
      <c r="A582" s="62"/>
      <c r="B582" s="62"/>
      <c r="C582" s="53" t="s">
        <v>852</v>
      </c>
      <c r="D582" s="53"/>
    </row>
    <row r="583" spans="1:5">
      <c r="A583" s="62"/>
      <c r="B583" s="62"/>
      <c r="C583" s="53" t="s">
        <v>853</v>
      </c>
      <c r="D583" s="53"/>
    </row>
    <row r="584" spans="1:5">
      <c r="A584" s="62"/>
      <c r="B584" s="62"/>
      <c r="C584" s="53" t="s">
        <v>854</v>
      </c>
      <c r="D584" s="53"/>
    </row>
    <row r="585" spans="1:5">
      <c r="A585" s="62"/>
      <c r="B585" s="62"/>
      <c r="C585" s="53" t="s">
        <v>855</v>
      </c>
      <c r="D585" s="53"/>
    </row>
    <row r="586" spans="1:5">
      <c r="A586" s="62"/>
      <c r="B586" s="62"/>
      <c r="C586" s="53" t="s">
        <v>856</v>
      </c>
      <c r="D586" s="53"/>
    </row>
    <row r="587" spans="1:5">
      <c r="A587" s="62"/>
      <c r="B587" s="62"/>
      <c r="C587" s="53" t="s">
        <v>857</v>
      </c>
      <c r="D587" s="53"/>
    </row>
    <row r="588" spans="1:5">
      <c r="A588" s="62"/>
      <c r="B588" s="62"/>
      <c r="C588" s="53" t="s">
        <v>858</v>
      </c>
      <c r="D588" s="53"/>
    </row>
    <row r="589" spans="1:5">
      <c r="A589" s="62"/>
      <c r="B589" s="62"/>
      <c r="C589" s="53" t="s">
        <v>859</v>
      </c>
      <c r="D589" s="53"/>
    </row>
    <row r="590" spans="1:5">
      <c r="A590" s="62"/>
      <c r="B590" s="62"/>
      <c r="C590" s="53" t="s">
        <v>860</v>
      </c>
      <c r="D590" s="53"/>
    </row>
    <row r="591" spans="1:5">
      <c r="A591" s="63"/>
      <c r="B591" s="63"/>
      <c r="C591" s="53" t="s">
        <v>861</v>
      </c>
      <c r="D591" s="53"/>
    </row>
    <row r="592" spans="1:5">
      <c r="A592" s="60"/>
      <c r="B592" s="115" t="s">
        <v>143</v>
      </c>
      <c r="C592" s="51" t="s">
        <v>862</v>
      </c>
      <c r="D592" s="51"/>
    </row>
    <row r="593" spans="1:4">
      <c r="A593" s="60"/>
      <c r="B593" s="115"/>
      <c r="C593" s="51" t="s">
        <v>863</v>
      </c>
      <c r="D593" s="51"/>
    </row>
    <row r="594" spans="1:4">
      <c r="A594" s="60"/>
      <c r="B594" s="115"/>
      <c r="C594" s="51" t="s">
        <v>194</v>
      </c>
      <c r="D594" s="51"/>
    </row>
    <row r="595" spans="1:4">
      <c r="A595" s="64"/>
      <c r="B595" s="70" t="s">
        <v>864</v>
      </c>
      <c r="C595" s="53" t="s">
        <v>375</v>
      </c>
      <c r="D595" s="53"/>
    </row>
    <row r="596" spans="1:4">
      <c r="A596" s="116"/>
      <c r="B596" s="118"/>
      <c r="C596" s="117" t="s">
        <v>155</v>
      </c>
      <c r="D596" s="53"/>
    </row>
    <row r="597" spans="1:4">
      <c r="A597" s="111"/>
      <c r="B597" s="111" t="s">
        <v>865</v>
      </c>
      <c r="C597" s="51" t="s">
        <v>866</v>
      </c>
      <c r="D597" s="51"/>
    </row>
    <row r="598" spans="1:4">
      <c r="A598" s="60"/>
      <c r="B598" s="60"/>
      <c r="C598" s="51" t="s">
        <v>867</v>
      </c>
      <c r="D598" s="51"/>
    </row>
    <row r="599" spans="1:4">
      <c r="A599" s="60"/>
      <c r="B599" s="60"/>
      <c r="C599" s="51" t="s">
        <v>868</v>
      </c>
      <c r="D599" s="51"/>
    </row>
    <row r="600" spans="1:4">
      <c r="A600" s="60"/>
      <c r="B600" s="60"/>
      <c r="C600" s="51" t="s">
        <v>869</v>
      </c>
      <c r="D600" s="51"/>
    </row>
    <row r="601" spans="1:4">
      <c r="A601" s="60"/>
      <c r="B601" s="60"/>
      <c r="C601" s="51" t="s">
        <v>870</v>
      </c>
      <c r="D601" s="51"/>
    </row>
    <row r="602" spans="1:4">
      <c r="A602" s="60"/>
      <c r="B602" s="60"/>
      <c r="C602" s="51" t="s">
        <v>871</v>
      </c>
      <c r="D602" s="51"/>
    </row>
    <row r="603" spans="1:4">
      <c r="A603" s="60"/>
      <c r="B603" s="60"/>
      <c r="C603" s="51" t="s">
        <v>872</v>
      </c>
      <c r="D603" s="51"/>
    </row>
    <row r="604" spans="1:4">
      <c r="A604" s="60"/>
      <c r="B604" s="60"/>
      <c r="C604" s="51" t="s">
        <v>873</v>
      </c>
      <c r="D604" s="51"/>
    </row>
    <row r="605" spans="1:4">
      <c r="A605" s="60"/>
      <c r="B605" s="60"/>
      <c r="C605" s="51" t="s">
        <v>874</v>
      </c>
      <c r="D605" s="51"/>
    </row>
    <row r="606" spans="1:4">
      <c r="A606" s="60"/>
      <c r="B606" s="60"/>
      <c r="C606" s="51" t="s">
        <v>875</v>
      </c>
      <c r="D606" s="51"/>
    </row>
    <row r="607" spans="1:4">
      <c r="A607" s="60"/>
      <c r="B607" s="60"/>
      <c r="C607" s="51" t="s">
        <v>876</v>
      </c>
      <c r="D607" s="51"/>
    </row>
    <row r="608" spans="1:4">
      <c r="A608" s="60"/>
      <c r="B608" s="60"/>
      <c r="C608" s="51" t="s">
        <v>877</v>
      </c>
      <c r="D608" s="51"/>
    </row>
    <row r="609" spans="1:5">
      <c r="A609" s="60"/>
      <c r="B609" s="60"/>
      <c r="C609" s="51" t="s">
        <v>878</v>
      </c>
      <c r="D609" s="51"/>
    </row>
    <row r="610" spans="1:5">
      <c r="A610" s="60"/>
      <c r="B610" s="60"/>
      <c r="C610" s="51" t="s">
        <v>879</v>
      </c>
      <c r="D610" s="51"/>
    </row>
    <row r="611" spans="1:5">
      <c r="A611" s="60"/>
      <c r="B611" s="60"/>
      <c r="C611" s="51" t="s">
        <v>880</v>
      </c>
      <c r="D611" s="51"/>
    </row>
    <row r="612" spans="1:5">
      <c r="A612" s="60"/>
      <c r="B612" s="60"/>
      <c r="C612" s="51" t="s">
        <v>881</v>
      </c>
      <c r="D612" s="51"/>
    </row>
    <row r="613" spans="1:5">
      <c r="A613" s="60"/>
      <c r="B613" s="60"/>
      <c r="C613" s="51" t="s">
        <v>882</v>
      </c>
      <c r="D613" s="51"/>
    </row>
    <row r="614" spans="1:5">
      <c r="A614" s="60"/>
      <c r="B614" s="60"/>
      <c r="C614" s="51" t="s">
        <v>883</v>
      </c>
      <c r="D614" s="51"/>
    </row>
    <row r="615" spans="1:5">
      <c r="A615" s="60"/>
      <c r="B615" s="60"/>
      <c r="C615" s="51" t="s">
        <v>884</v>
      </c>
      <c r="D615" s="51"/>
    </row>
    <row r="616" spans="1:5">
      <c r="A616" s="60"/>
      <c r="B616" s="60"/>
      <c r="C616" s="51" t="s">
        <v>885</v>
      </c>
      <c r="D616" s="51"/>
    </row>
    <row r="617" spans="1:5">
      <c r="A617" s="60"/>
      <c r="B617" s="60"/>
      <c r="C617" s="51" t="s">
        <v>886</v>
      </c>
      <c r="D617" s="51"/>
    </row>
    <row r="618" spans="1:5">
      <c r="A618" s="60"/>
      <c r="B618" s="60"/>
      <c r="C618" s="51" t="s">
        <v>887</v>
      </c>
      <c r="D618" s="51"/>
    </row>
    <row r="619" spans="1:5">
      <c r="A619" s="60"/>
      <c r="B619" s="60"/>
      <c r="C619" s="51" t="s">
        <v>888</v>
      </c>
      <c r="D619" s="51"/>
    </row>
    <row r="620" spans="1:5">
      <c r="A620" s="60"/>
      <c r="B620" s="60"/>
      <c r="C620" s="51" t="s">
        <v>603</v>
      </c>
      <c r="D620" s="51"/>
    </row>
    <row r="621" spans="1:5">
      <c r="A621" s="60"/>
      <c r="B621" s="60"/>
      <c r="C621" s="51" t="s">
        <v>889</v>
      </c>
      <c r="D621" s="51"/>
      <c r="E621" t="s">
        <v>253</v>
      </c>
    </row>
    <row r="622" spans="1:5">
      <c r="A622" s="64"/>
      <c r="B622" s="64" t="s">
        <v>185</v>
      </c>
      <c r="C622" s="53" t="s">
        <v>890</v>
      </c>
      <c r="D622" s="53"/>
    </row>
    <row r="623" spans="1:5">
      <c r="A623" s="65"/>
      <c r="B623" s="65"/>
      <c r="C623" s="53" t="s">
        <v>891</v>
      </c>
      <c r="D623" s="53"/>
    </row>
    <row r="624" spans="1:5">
      <c r="A624" s="65"/>
      <c r="B624" s="65"/>
      <c r="C624" s="53" t="s">
        <v>892</v>
      </c>
      <c r="D624" s="53"/>
    </row>
    <row r="625" spans="1:5">
      <c r="A625" s="65"/>
      <c r="B625" s="65"/>
      <c r="C625" s="53" t="s">
        <v>893</v>
      </c>
      <c r="D625" s="53"/>
    </row>
    <row r="626" spans="1:5">
      <c r="A626" s="65"/>
      <c r="B626" s="65"/>
      <c r="C626" s="53" t="s">
        <v>894</v>
      </c>
      <c r="D626" s="53"/>
      <c r="E626" t="s">
        <v>253</v>
      </c>
    </row>
    <row r="627" spans="1:5">
      <c r="A627" s="65"/>
      <c r="B627" s="65"/>
      <c r="C627" s="53" t="s">
        <v>895</v>
      </c>
      <c r="D627" s="53"/>
    </row>
    <row r="628" spans="1:5">
      <c r="A628" s="65"/>
      <c r="B628" s="65"/>
      <c r="C628" s="53" t="s">
        <v>896</v>
      </c>
      <c r="D628" s="53"/>
    </row>
    <row r="629" spans="1:5">
      <c r="A629" s="65"/>
      <c r="B629" s="65"/>
      <c r="C629" s="53" t="s">
        <v>495</v>
      </c>
      <c r="D629" s="53"/>
    </row>
    <row r="630" spans="1:5">
      <c r="A630" s="65"/>
      <c r="B630" s="65"/>
      <c r="C630" s="53" t="s">
        <v>897</v>
      </c>
      <c r="D630" s="53"/>
    </row>
    <row r="631" spans="1:5">
      <c r="A631" s="65"/>
      <c r="B631" s="65"/>
      <c r="C631" s="53" t="s">
        <v>898</v>
      </c>
      <c r="D631" s="53"/>
    </row>
    <row r="632" spans="1:5">
      <c r="A632" s="65"/>
      <c r="B632" s="65"/>
      <c r="C632" s="53" t="s">
        <v>899</v>
      </c>
      <c r="D632" s="53"/>
    </row>
    <row r="633" spans="1:5">
      <c r="A633" s="66"/>
      <c r="B633" s="66"/>
      <c r="C633" s="53" t="s">
        <v>194</v>
      </c>
      <c r="D633" s="53"/>
    </row>
    <row r="634" spans="1:5">
      <c r="A634" s="60"/>
      <c r="B634" s="115" t="s">
        <v>186</v>
      </c>
      <c r="C634" s="51" t="s">
        <v>900</v>
      </c>
      <c r="D634" s="51" t="s">
        <v>901</v>
      </c>
    </row>
    <row r="635" spans="1:5">
      <c r="A635" s="60"/>
      <c r="B635" s="115"/>
      <c r="C635" s="51" t="s">
        <v>902</v>
      </c>
      <c r="D635" s="51" t="s">
        <v>903</v>
      </c>
    </row>
    <row r="636" spans="1:5">
      <c r="A636" s="60"/>
      <c r="B636" s="115"/>
      <c r="C636" s="51" t="s">
        <v>904</v>
      </c>
      <c r="D636" s="51" t="s">
        <v>905</v>
      </c>
    </row>
    <row r="637" spans="1:5">
      <c r="A637" s="60"/>
      <c r="B637" s="115"/>
      <c r="C637" s="51" t="s">
        <v>906</v>
      </c>
      <c r="D637" s="51" t="s">
        <v>907</v>
      </c>
    </row>
    <row r="638" spans="1:5">
      <c r="A638" s="60"/>
      <c r="B638" s="115"/>
      <c r="C638" s="51" t="s">
        <v>908</v>
      </c>
      <c r="D638" s="51" t="s">
        <v>909</v>
      </c>
    </row>
    <row r="639" spans="1:5">
      <c r="A639" s="60"/>
      <c r="B639" s="115"/>
      <c r="C639" s="51" t="s">
        <v>910</v>
      </c>
      <c r="D639" s="51" t="s">
        <v>911</v>
      </c>
    </row>
    <row r="640" spans="1:5">
      <c r="A640" s="60"/>
      <c r="B640" s="115"/>
      <c r="C640" s="51" t="s">
        <v>912</v>
      </c>
      <c r="D640" s="51" t="s">
        <v>913</v>
      </c>
    </row>
    <row r="641" spans="1:4">
      <c r="A641" s="60"/>
      <c r="B641" s="115"/>
      <c r="C641" s="51" t="s">
        <v>914</v>
      </c>
      <c r="D641" s="51" t="s">
        <v>914</v>
      </c>
    </row>
    <row r="642" spans="1:4">
      <c r="A642" s="60"/>
      <c r="B642" s="115"/>
      <c r="C642" s="51" t="s">
        <v>194</v>
      </c>
      <c r="D642" s="51"/>
    </row>
    <row r="643" spans="1:4">
      <c r="A643" s="67"/>
      <c r="B643" s="67" t="s">
        <v>915</v>
      </c>
      <c r="C643" s="53" t="s">
        <v>916</v>
      </c>
      <c r="D643" s="53" t="s">
        <v>917</v>
      </c>
    </row>
    <row r="644" spans="1:4">
      <c r="A644" s="68"/>
      <c r="B644" s="68"/>
      <c r="C644" s="53" t="s">
        <v>918</v>
      </c>
      <c r="D644" s="53" t="s">
        <v>919</v>
      </c>
    </row>
    <row r="645" spans="1:4">
      <c r="A645" s="68"/>
      <c r="B645" s="68"/>
      <c r="C645" s="53" t="s">
        <v>920</v>
      </c>
      <c r="D645" s="53" t="s">
        <v>921</v>
      </c>
    </row>
    <row r="646" spans="1:4">
      <c r="A646" s="68"/>
      <c r="B646" s="68"/>
      <c r="C646" s="53" t="s">
        <v>922</v>
      </c>
      <c r="D646" s="53" t="s">
        <v>923</v>
      </c>
    </row>
    <row r="647" spans="1:4">
      <c r="A647" s="68"/>
      <c r="B647" s="68"/>
      <c r="C647" s="53" t="s">
        <v>924</v>
      </c>
      <c r="D647" s="53"/>
    </row>
    <row r="648" spans="1:4">
      <c r="A648" s="69"/>
      <c r="B648" s="69"/>
      <c r="C648" s="53" t="s">
        <v>194</v>
      </c>
      <c r="D648" s="53"/>
    </row>
    <row r="649" spans="1:4">
      <c r="A649" s="60"/>
      <c r="B649" s="115" t="s">
        <v>177</v>
      </c>
      <c r="C649" s="51" t="s">
        <v>925</v>
      </c>
      <c r="D649" s="51"/>
    </row>
    <row r="650" spans="1:4">
      <c r="A650" s="60"/>
      <c r="B650" s="115"/>
      <c r="C650" s="51" t="s">
        <v>926</v>
      </c>
      <c r="D650" s="51"/>
    </row>
    <row r="651" spans="1:4">
      <c r="A651" s="60"/>
      <c r="B651" s="115"/>
      <c r="C651" s="51" t="s">
        <v>927</v>
      </c>
      <c r="D651" s="51"/>
    </row>
    <row r="652" spans="1:4">
      <c r="A652" s="60"/>
      <c r="B652" s="115"/>
      <c r="C652" s="51" t="s">
        <v>928</v>
      </c>
      <c r="D652" s="51"/>
    </row>
    <row r="653" spans="1:4">
      <c r="A653" s="60"/>
      <c r="B653" s="115"/>
      <c r="C653" s="51" t="s">
        <v>194</v>
      </c>
      <c r="D653" s="51"/>
    </row>
    <row r="654" spans="1:4">
      <c r="A654" s="67"/>
      <c r="B654" s="67" t="s">
        <v>178</v>
      </c>
      <c r="C654" s="53" t="s">
        <v>929</v>
      </c>
      <c r="D654" s="53"/>
    </row>
    <row r="655" spans="1:4">
      <c r="A655" s="68"/>
      <c r="B655" s="68"/>
      <c r="C655" s="53" t="s">
        <v>930</v>
      </c>
      <c r="D655" s="53"/>
    </row>
    <row r="656" spans="1:4">
      <c r="A656" s="60"/>
      <c r="B656" s="115" t="s">
        <v>22</v>
      </c>
      <c r="C656" s="51" t="s">
        <v>36</v>
      </c>
      <c r="D656" s="51"/>
    </row>
    <row r="657" spans="1:6">
      <c r="A657" s="60"/>
      <c r="B657" s="115"/>
      <c r="C657" s="51" t="s">
        <v>931</v>
      </c>
      <c r="D657" s="51"/>
    </row>
    <row r="658" spans="1:6">
      <c r="A658" s="67"/>
      <c r="B658" s="67" t="s">
        <v>932</v>
      </c>
      <c r="C658" s="53" t="s">
        <v>933</v>
      </c>
      <c r="D658" s="53"/>
    </row>
    <row r="659" spans="1:6">
      <c r="A659" s="68"/>
      <c r="B659" s="68"/>
      <c r="C659" s="53" t="s">
        <v>934</v>
      </c>
      <c r="D659" s="53"/>
    </row>
    <row r="660" spans="1:6">
      <c r="A660" s="68"/>
      <c r="B660" s="68"/>
      <c r="C660" s="53" t="s">
        <v>935</v>
      </c>
      <c r="D660" s="53"/>
    </row>
    <row r="661" spans="1:6">
      <c r="A661" s="68"/>
      <c r="B661" s="68"/>
      <c r="C661" s="53" t="s">
        <v>936</v>
      </c>
      <c r="D661" s="53"/>
    </row>
    <row r="662" spans="1:6">
      <c r="A662" s="68"/>
      <c r="B662" s="68"/>
      <c r="C662" s="53" t="s">
        <v>937</v>
      </c>
      <c r="D662" s="53"/>
    </row>
    <row r="663" spans="1:6">
      <c r="A663" s="68"/>
      <c r="B663" s="68"/>
      <c r="C663" s="53" t="s">
        <v>938</v>
      </c>
      <c r="D663" s="53"/>
    </row>
    <row r="664" spans="1:6">
      <c r="A664" s="68"/>
      <c r="B664" s="68"/>
      <c r="C664" s="53" t="s">
        <v>194</v>
      </c>
      <c r="D664" s="53"/>
    </row>
    <row r="665" spans="1:6">
      <c r="A665" s="69"/>
      <c r="B665" s="69"/>
      <c r="C665" s="53" t="s">
        <v>939</v>
      </c>
      <c r="D665" s="53"/>
    </row>
    <row r="666" spans="1:6">
      <c r="A666" s="60"/>
      <c r="B666" s="115" t="s">
        <v>940</v>
      </c>
      <c r="C666" s="51" t="s">
        <v>941</v>
      </c>
      <c r="D666" s="51"/>
    </row>
    <row r="667" spans="1:6">
      <c r="A667" s="60"/>
      <c r="B667" s="115"/>
      <c r="C667" s="51" t="s">
        <v>942</v>
      </c>
      <c r="D667" s="51"/>
      <c r="F667" s="8"/>
    </row>
    <row r="668" spans="1:6">
      <c r="A668" s="67"/>
      <c r="B668" s="67" t="s">
        <v>943</v>
      </c>
      <c r="C668" s="53" t="s">
        <v>944</v>
      </c>
      <c r="D668" s="53"/>
    </row>
    <row r="669" spans="1:6">
      <c r="A669" s="68"/>
      <c r="B669" s="68"/>
      <c r="C669" s="53" t="s">
        <v>945</v>
      </c>
      <c r="D669" s="53"/>
    </row>
    <row r="670" spans="1:6">
      <c r="A670" s="68"/>
      <c r="B670" s="68"/>
      <c r="C670" s="53" t="s">
        <v>946</v>
      </c>
      <c r="D670" s="53"/>
    </row>
    <row r="671" spans="1:6">
      <c r="A671" s="68"/>
      <c r="B671" s="68"/>
      <c r="C671" s="53" t="s">
        <v>947</v>
      </c>
      <c r="D671" s="53"/>
    </row>
    <row r="672" spans="1:6">
      <c r="A672" s="68"/>
      <c r="B672" s="68"/>
      <c r="C672" s="53" t="s">
        <v>948</v>
      </c>
      <c r="D672" s="53"/>
    </row>
    <row r="673" spans="1:4">
      <c r="A673" s="68"/>
      <c r="B673" s="68"/>
      <c r="C673" s="53" t="s">
        <v>949</v>
      </c>
      <c r="D673" s="53"/>
    </row>
    <row r="674" spans="1:4">
      <c r="A674" s="68"/>
      <c r="B674" s="68"/>
      <c r="C674" s="53" t="s">
        <v>950</v>
      </c>
      <c r="D674" s="53"/>
    </row>
    <row r="675" spans="1:4">
      <c r="A675" s="68"/>
      <c r="B675" s="68"/>
      <c r="C675" s="53" t="s">
        <v>951</v>
      </c>
      <c r="D675" s="53"/>
    </row>
    <row r="676" spans="1:4">
      <c r="A676" s="68"/>
      <c r="B676" s="68"/>
      <c r="C676" s="53" t="s">
        <v>952</v>
      </c>
      <c r="D676" s="53"/>
    </row>
    <row r="677" spans="1:4">
      <c r="A677" s="68"/>
      <c r="B677" s="68"/>
      <c r="C677" s="53" t="s">
        <v>953</v>
      </c>
      <c r="D677" s="53"/>
    </row>
    <row r="678" spans="1:4">
      <c r="A678" s="68"/>
      <c r="B678" s="68"/>
      <c r="C678" s="53" t="s">
        <v>603</v>
      </c>
      <c r="D678" s="53"/>
    </row>
    <row r="679" spans="1:4">
      <c r="A679" s="69"/>
      <c r="B679" s="69"/>
      <c r="C679" s="53" t="s">
        <v>939</v>
      </c>
      <c r="D679" s="53"/>
    </row>
    <row r="680" spans="1:4">
      <c r="A680" s="89"/>
      <c r="B680" s="89" t="s">
        <v>954</v>
      </c>
      <c r="C680" s="51" t="s">
        <v>933</v>
      </c>
      <c r="D680" s="51"/>
    </row>
    <row r="681" spans="1:4">
      <c r="A681" s="91"/>
      <c r="B681" s="91"/>
      <c r="C681" s="51" t="s">
        <v>934</v>
      </c>
      <c r="D681" s="51"/>
    </row>
    <row r="682" spans="1:4">
      <c r="A682" s="91"/>
      <c r="B682" s="91"/>
      <c r="C682" s="51" t="s">
        <v>935</v>
      </c>
      <c r="D682" s="51"/>
    </row>
    <row r="683" spans="1:4">
      <c r="A683" s="91"/>
      <c r="B683" s="91"/>
      <c r="C683" s="51" t="s">
        <v>936</v>
      </c>
      <c r="D683" s="51"/>
    </row>
    <row r="684" spans="1:4">
      <c r="A684" s="91"/>
      <c r="B684" s="91"/>
      <c r="C684" s="51" t="s">
        <v>937</v>
      </c>
      <c r="D684" s="51"/>
    </row>
    <row r="685" spans="1:4">
      <c r="A685" s="91"/>
      <c r="B685" s="91"/>
      <c r="C685" s="51" t="s">
        <v>938</v>
      </c>
      <c r="D685" s="51"/>
    </row>
    <row r="686" spans="1:4">
      <c r="A686" s="91"/>
      <c r="B686" s="91"/>
      <c r="C686" s="51" t="s">
        <v>194</v>
      </c>
      <c r="D686" s="51"/>
    </row>
    <row r="687" spans="1:4">
      <c r="A687" s="91"/>
      <c r="B687" s="91"/>
      <c r="C687" s="51" t="s">
        <v>939</v>
      </c>
      <c r="D687" s="51"/>
    </row>
    <row r="688" spans="1:4">
      <c r="A688" s="67"/>
      <c r="B688" s="64" t="s">
        <v>955</v>
      </c>
      <c r="C688" s="53" t="s">
        <v>956</v>
      </c>
      <c r="D688" s="53"/>
    </row>
    <row r="689" spans="1:4">
      <c r="A689" s="68"/>
      <c r="B689" s="66"/>
      <c r="C689" s="53" t="s">
        <v>957</v>
      </c>
      <c r="D689" s="53"/>
    </row>
    <row r="690" spans="1:4">
      <c r="A690" s="89"/>
      <c r="B690" s="89" t="s">
        <v>958</v>
      </c>
      <c r="C690" s="51" t="s">
        <v>959</v>
      </c>
      <c r="D690" s="51"/>
    </row>
    <row r="691" spans="1:4">
      <c r="A691" s="91"/>
      <c r="B691" s="91"/>
      <c r="C691" s="51" t="s">
        <v>960</v>
      </c>
      <c r="D691" s="51"/>
    </row>
    <row r="692" spans="1:4">
      <c r="A692" s="67"/>
      <c r="B692" s="67" t="s">
        <v>961</v>
      </c>
      <c r="C692" s="53" t="s">
        <v>962</v>
      </c>
      <c r="D692" s="53"/>
    </row>
    <row r="693" spans="1:4">
      <c r="A693" s="68"/>
      <c r="B693" s="68"/>
      <c r="C693" s="53" t="s">
        <v>780</v>
      </c>
      <c r="D693" s="53"/>
    </row>
    <row r="694" spans="1:4">
      <c r="A694" s="68"/>
      <c r="B694" s="68"/>
      <c r="C694" s="53" t="s">
        <v>963</v>
      </c>
      <c r="D694" s="53"/>
    </row>
    <row r="695" spans="1:4">
      <c r="A695" s="68"/>
      <c r="B695" s="68"/>
      <c r="C695" s="53" t="s">
        <v>964</v>
      </c>
      <c r="D695" s="53"/>
    </row>
    <row r="696" spans="1:4">
      <c r="A696" s="68"/>
      <c r="B696" s="68"/>
      <c r="C696" s="53" t="s">
        <v>965</v>
      </c>
      <c r="D696" s="53"/>
    </row>
    <row r="697" spans="1:4">
      <c r="A697" s="68"/>
      <c r="B697" s="68"/>
      <c r="C697" s="53" t="s">
        <v>176</v>
      </c>
      <c r="D697" s="53"/>
    </row>
    <row r="698" spans="1:4">
      <c r="A698" s="68"/>
      <c r="B698" s="68"/>
      <c r="C698" s="53" t="s">
        <v>966</v>
      </c>
      <c r="D698" s="53"/>
    </row>
    <row r="699" spans="1:4">
      <c r="A699" s="68"/>
      <c r="B699" s="68"/>
      <c r="C699" s="53" t="s">
        <v>967</v>
      </c>
      <c r="D699" s="53"/>
    </row>
    <row r="700" spans="1:4">
      <c r="A700" s="68"/>
      <c r="B700" s="68"/>
      <c r="C700" s="53" t="s">
        <v>194</v>
      </c>
      <c r="D700" s="53"/>
    </row>
    <row r="701" spans="1:4">
      <c r="A701" s="89"/>
      <c r="B701" s="89" t="s">
        <v>968</v>
      </c>
      <c r="C701" s="51" t="s">
        <v>469</v>
      </c>
      <c r="D701" s="51"/>
    </row>
    <row r="702" spans="1:4">
      <c r="A702" s="91"/>
      <c r="B702" s="91"/>
      <c r="C702" s="51" t="s">
        <v>470</v>
      </c>
      <c r="D702" s="51"/>
    </row>
    <row r="703" spans="1:4">
      <c r="A703" s="91"/>
      <c r="B703" s="91"/>
      <c r="C703" s="51" t="s">
        <v>471</v>
      </c>
      <c r="D703" s="51"/>
    </row>
    <row r="704" spans="1:4">
      <c r="A704" s="91"/>
      <c r="B704" s="91"/>
      <c r="C704" s="51" t="s">
        <v>472</v>
      </c>
      <c r="D704" s="51"/>
    </row>
    <row r="705" spans="1:5">
      <c r="A705" s="91"/>
      <c r="B705" s="91"/>
      <c r="C705" s="51" t="s">
        <v>473</v>
      </c>
      <c r="D705" s="51"/>
    </row>
    <row r="706" spans="1:5">
      <c r="A706" s="91"/>
      <c r="B706" s="91"/>
      <c r="C706" s="51" t="s">
        <v>474</v>
      </c>
      <c r="D706" s="51"/>
    </row>
    <row r="707" spans="1:5">
      <c r="A707" s="91"/>
      <c r="B707" s="91"/>
      <c r="C707" s="51" t="s">
        <v>476</v>
      </c>
      <c r="D707" s="51"/>
    </row>
    <row r="708" spans="1:5">
      <c r="A708" s="91"/>
      <c r="B708" s="91"/>
      <c r="C708" s="51" t="s">
        <v>477</v>
      </c>
      <c r="D708" s="51"/>
    </row>
    <row r="709" spans="1:5">
      <c r="A709" s="91"/>
      <c r="B709" s="91"/>
      <c r="C709" s="51" t="s">
        <v>478</v>
      </c>
      <c r="D709" s="51"/>
    </row>
    <row r="710" spans="1:5">
      <c r="A710" s="91"/>
      <c r="B710" s="91"/>
      <c r="C710" s="51" t="s">
        <v>479</v>
      </c>
      <c r="D710" s="51"/>
    </row>
    <row r="711" spans="1:5">
      <c r="A711" s="91"/>
      <c r="B711" s="91"/>
      <c r="C711" s="51" t="s">
        <v>480</v>
      </c>
      <c r="D711" s="51"/>
    </row>
    <row r="712" spans="1:5">
      <c r="A712" s="91"/>
      <c r="B712" s="91"/>
      <c r="C712" s="51" t="s">
        <v>481</v>
      </c>
      <c r="D712" s="51"/>
    </row>
    <row r="713" spans="1:5">
      <c r="A713" s="91"/>
      <c r="B713" s="91"/>
      <c r="C713" s="51" t="s">
        <v>482</v>
      </c>
      <c r="D713" s="51"/>
    </row>
    <row r="714" spans="1:5">
      <c r="A714" s="91"/>
      <c r="B714" s="91"/>
      <c r="C714" s="51" t="s">
        <v>483</v>
      </c>
      <c r="D714" s="51"/>
    </row>
    <row r="715" spans="1:5">
      <c r="A715" s="91"/>
      <c r="B715" s="91"/>
      <c r="C715" s="51" t="s">
        <v>484</v>
      </c>
      <c r="D715" s="51"/>
    </row>
    <row r="716" spans="1:5">
      <c r="A716" s="91"/>
      <c r="B716" s="91"/>
      <c r="C716" s="51" t="s">
        <v>485</v>
      </c>
      <c r="D716" s="51" t="s">
        <v>486</v>
      </c>
      <c r="E716" t="s">
        <v>253</v>
      </c>
    </row>
    <row r="717" spans="1:5">
      <c r="A717" s="91"/>
      <c r="B717" s="91"/>
      <c r="C717" s="51" t="s">
        <v>487</v>
      </c>
      <c r="D717" s="51"/>
    </row>
    <row r="718" spans="1:5">
      <c r="A718" s="91"/>
      <c r="B718" s="91"/>
      <c r="C718" s="51" t="s">
        <v>488</v>
      </c>
      <c r="D718" s="51"/>
    </row>
    <row r="719" spans="1:5">
      <c r="A719" s="91"/>
      <c r="B719" s="91"/>
      <c r="C719" s="51" t="s">
        <v>489</v>
      </c>
      <c r="D719" s="51"/>
    </row>
    <row r="720" spans="1:5">
      <c r="A720" s="91"/>
      <c r="B720" s="91"/>
      <c r="C720" s="51" t="s">
        <v>490</v>
      </c>
      <c r="D720" s="51"/>
    </row>
    <row r="721" spans="1:4">
      <c r="A721" s="91"/>
      <c r="B721" s="91"/>
      <c r="C721" s="51" t="s">
        <v>491</v>
      </c>
      <c r="D721" s="51"/>
    </row>
    <row r="722" spans="1:4">
      <c r="A722" s="91"/>
      <c r="B722" s="91"/>
      <c r="C722" s="51" t="s">
        <v>492</v>
      </c>
      <c r="D722" s="51"/>
    </row>
    <row r="723" spans="1:4">
      <c r="A723" s="91"/>
      <c r="B723" s="91"/>
      <c r="C723" s="51" t="s">
        <v>493</v>
      </c>
      <c r="D723" s="51"/>
    </row>
    <row r="724" spans="1:4">
      <c r="A724" s="91"/>
      <c r="B724" s="91"/>
      <c r="C724" s="51" t="s">
        <v>494</v>
      </c>
      <c r="D724" s="51"/>
    </row>
    <row r="725" spans="1:4">
      <c r="A725" s="91"/>
      <c r="B725" s="91"/>
      <c r="C725" s="51" t="s">
        <v>495</v>
      </c>
      <c r="D725" s="51"/>
    </row>
    <row r="726" spans="1:4">
      <c r="A726" s="91"/>
      <c r="B726" s="91"/>
      <c r="C726" s="51" t="s">
        <v>496</v>
      </c>
      <c r="D726" s="51"/>
    </row>
    <row r="727" spans="1:4">
      <c r="A727" s="91"/>
      <c r="B727" s="91"/>
      <c r="C727" s="51" t="s">
        <v>497</v>
      </c>
      <c r="D727" s="51"/>
    </row>
    <row r="728" spans="1:4">
      <c r="A728" s="91"/>
      <c r="B728" s="91"/>
      <c r="C728" s="51" t="s">
        <v>498</v>
      </c>
      <c r="D728" s="51"/>
    </row>
    <row r="729" spans="1:4">
      <c r="A729" s="91"/>
      <c r="B729" s="91"/>
      <c r="C729" s="51" t="s">
        <v>499</v>
      </c>
      <c r="D729" s="51"/>
    </row>
    <row r="730" spans="1:4">
      <c r="A730" s="91"/>
      <c r="B730" s="91"/>
      <c r="C730" s="51" t="s">
        <v>500</v>
      </c>
      <c r="D730" s="51"/>
    </row>
    <row r="731" spans="1:4">
      <c r="A731" s="91"/>
      <c r="B731" s="91"/>
      <c r="C731" s="51" t="s">
        <v>501</v>
      </c>
      <c r="D731" s="51"/>
    </row>
    <row r="732" spans="1:4">
      <c r="A732" s="91"/>
      <c r="B732" s="91"/>
      <c r="C732" s="51" t="s">
        <v>502</v>
      </c>
      <c r="D732" s="51"/>
    </row>
    <row r="733" spans="1:4">
      <c r="A733" s="91"/>
      <c r="B733" s="91"/>
      <c r="C733" s="51" t="s">
        <v>503</v>
      </c>
      <c r="D733" s="51"/>
    </row>
    <row r="734" spans="1:4">
      <c r="A734" s="91"/>
      <c r="B734" s="91"/>
      <c r="C734" s="51" t="s">
        <v>504</v>
      </c>
      <c r="D734" s="51"/>
    </row>
    <row r="735" spans="1:4">
      <c r="A735" s="91"/>
      <c r="B735" s="91"/>
      <c r="C735" s="51" t="s">
        <v>505</v>
      </c>
      <c r="D735" s="51"/>
    </row>
    <row r="736" spans="1:4">
      <c r="A736" s="91"/>
      <c r="B736" s="91"/>
      <c r="C736" s="51" t="s">
        <v>506</v>
      </c>
      <c r="D736" s="51"/>
    </row>
    <row r="737" spans="1:4">
      <c r="A737" s="91"/>
      <c r="B737" s="91"/>
      <c r="C737" s="51" t="s">
        <v>507</v>
      </c>
      <c r="D737" s="51"/>
    </row>
    <row r="738" spans="1:4">
      <c r="A738" s="91"/>
      <c r="B738" s="91"/>
      <c r="C738" s="51" t="s">
        <v>508</v>
      </c>
      <c r="D738" s="51"/>
    </row>
    <row r="739" spans="1:4">
      <c r="A739" s="91"/>
      <c r="B739" s="91"/>
      <c r="C739" s="51" t="s">
        <v>509</v>
      </c>
      <c r="D739" s="51"/>
    </row>
    <row r="740" spans="1:4">
      <c r="A740" s="91"/>
      <c r="B740" s="91"/>
      <c r="C740" s="51" t="s">
        <v>510</v>
      </c>
      <c r="D740" s="51"/>
    </row>
    <row r="741" spans="1:4">
      <c r="A741" s="91"/>
      <c r="B741" s="91"/>
      <c r="C741" s="51" t="s">
        <v>511</v>
      </c>
      <c r="D741" s="51"/>
    </row>
    <row r="742" spans="1:4">
      <c r="A742" s="91"/>
      <c r="B742" s="91"/>
      <c r="C742" s="51" t="s">
        <v>512</v>
      </c>
      <c r="D742" s="51"/>
    </row>
    <row r="743" spans="1:4">
      <c r="A743" s="91"/>
      <c r="B743" s="91"/>
      <c r="C743" s="51" t="s">
        <v>513</v>
      </c>
      <c r="D743" s="51"/>
    </row>
    <row r="744" spans="1:4">
      <c r="A744" s="91"/>
      <c r="B744" s="91"/>
      <c r="C744" s="51" t="s">
        <v>514</v>
      </c>
      <c r="D744" s="51"/>
    </row>
    <row r="745" spans="1:4">
      <c r="A745" s="91"/>
      <c r="B745" s="91"/>
      <c r="C745" s="51" t="s">
        <v>515</v>
      </c>
      <c r="D745" s="51"/>
    </row>
    <row r="746" spans="1:4">
      <c r="A746" s="91"/>
      <c r="B746" s="91"/>
      <c r="C746" s="51" t="s">
        <v>516</v>
      </c>
      <c r="D746" s="51"/>
    </row>
    <row r="747" spans="1:4">
      <c r="A747" s="91"/>
      <c r="B747" s="91"/>
      <c r="C747" s="51" t="s">
        <v>517</v>
      </c>
      <c r="D747" s="51"/>
    </row>
    <row r="748" spans="1:4">
      <c r="A748" s="91"/>
      <c r="B748" s="91"/>
      <c r="C748" s="51" t="s">
        <v>518</v>
      </c>
      <c r="D748" s="51"/>
    </row>
    <row r="749" spans="1:4">
      <c r="A749" s="91"/>
      <c r="B749" s="91"/>
      <c r="C749" s="51" t="s">
        <v>519</v>
      </c>
      <c r="D749" s="51"/>
    </row>
    <row r="750" spans="1:4">
      <c r="A750" s="91"/>
      <c r="B750" s="91"/>
      <c r="C750" s="51" t="s">
        <v>30</v>
      </c>
      <c r="D750" s="51"/>
    </row>
    <row r="751" spans="1:4">
      <c r="A751" s="91"/>
      <c r="B751" s="91"/>
      <c r="C751" s="51" t="s">
        <v>246</v>
      </c>
      <c r="D751" s="51"/>
    </row>
    <row r="752" spans="1:4">
      <c r="A752" s="91"/>
      <c r="B752" s="91"/>
      <c r="C752" s="51" t="s">
        <v>247</v>
      </c>
      <c r="D752" s="51"/>
    </row>
    <row r="753" spans="1:4">
      <c r="A753" s="91"/>
      <c r="B753" s="91"/>
      <c r="C753" s="51" t="s">
        <v>248</v>
      </c>
      <c r="D753" s="51"/>
    </row>
    <row r="754" spans="1:4">
      <c r="A754" s="91"/>
      <c r="B754" s="91"/>
      <c r="C754" s="51" t="s">
        <v>249</v>
      </c>
      <c r="D754" s="51"/>
    </row>
    <row r="755" spans="1:4">
      <c r="A755" s="91"/>
      <c r="B755" s="91"/>
      <c r="C755" s="51" t="s">
        <v>250</v>
      </c>
      <c r="D755" s="51"/>
    </row>
    <row r="756" spans="1:4">
      <c r="A756" s="91"/>
      <c r="B756" s="91"/>
      <c r="C756" s="51" t="s">
        <v>251</v>
      </c>
      <c r="D756" s="51"/>
    </row>
    <row r="757" spans="1:4">
      <c r="A757" s="91"/>
      <c r="B757" s="91"/>
      <c r="C757" s="51" t="s">
        <v>252</v>
      </c>
      <c r="D757" s="51"/>
    </row>
    <row r="758" spans="1:4">
      <c r="A758" s="91"/>
      <c r="B758" s="91"/>
      <c r="C758" s="51" t="s">
        <v>254</v>
      </c>
      <c r="D758" s="51"/>
    </row>
    <row r="759" spans="1:4">
      <c r="A759" s="91"/>
      <c r="B759" s="91"/>
      <c r="C759" s="51" t="s">
        <v>255</v>
      </c>
      <c r="D759" s="51"/>
    </row>
    <row r="760" spans="1:4">
      <c r="A760" s="91"/>
      <c r="B760" s="91"/>
      <c r="C760" s="51" t="s">
        <v>256</v>
      </c>
      <c r="D760" s="51"/>
    </row>
    <row r="761" spans="1:4">
      <c r="A761" s="91"/>
      <c r="B761" s="91"/>
      <c r="C761" s="51" t="s">
        <v>257</v>
      </c>
      <c r="D761" s="51"/>
    </row>
    <row r="762" spans="1:4">
      <c r="A762" s="91"/>
      <c r="B762" s="91"/>
      <c r="C762" s="51" t="s">
        <v>258</v>
      </c>
      <c r="D762" s="51"/>
    </row>
    <row r="763" spans="1:4">
      <c r="A763" s="91"/>
      <c r="B763" s="91"/>
      <c r="C763" s="51" t="s">
        <v>259</v>
      </c>
      <c r="D763" s="51"/>
    </row>
    <row r="764" spans="1:4">
      <c r="A764" s="91"/>
      <c r="B764" s="91"/>
      <c r="C764" s="51" t="s">
        <v>260</v>
      </c>
      <c r="D764" s="51"/>
    </row>
    <row r="765" spans="1:4">
      <c r="A765" s="91"/>
      <c r="B765" s="91"/>
      <c r="C765" s="51" t="s">
        <v>261</v>
      </c>
      <c r="D765" s="51"/>
    </row>
    <row r="766" spans="1:4">
      <c r="A766" s="91"/>
      <c r="B766" s="91"/>
      <c r="C766" s="51" t="s">
        <v>262</v>
      </c>
      <c r="D766" s="51"/>
    </row>
    <row r="767" spans="1:4">
      <c r="A767" s="91"/>
      <c r="B767" s="91"/>
      <c r="C767" s="51" t="s">
        <v>98</v>
      </c>
      <c r="D767" s="51"/>
    </row>
    <row r="768" spans="1:4">
      <c r="A768" s="91"/>
      <c r="B768" s="91"/>
      <c r="C768" s="51" t="s">
        <v>263</v>
      </c>
      <c r="D768" s="51"/>
    </row>
    <row r="769" spans="1:5">
      <c r="A769" s="91"/>
      <c r="B769" s="91"/>
      <c r="C769" s="51" t="s">
        <v>264</v>
      </c>
      <c r="D769" s="51"/>
    </row>
    <row r="770" spans="1:5">
      <c r="A770" s="91"/>
      <c r="B770" s="91"/>
      <c r="C770" s="51" t="s">
        <v>265</v>
      </c>
      <c r="D770" s="51"/>
    </row>
    <row r="771" spans="1:5">
      <c r="A771" s="91"/>
      <c r="B771" s="91"/>
      <c r="C771" s="51" t="s">
        <v>266</v>
      </c>
      <c r="D771" s="51"/>
    </row>
    <row r="772" spans="1:5">
      <c r="A772" s="91"/>
      <c r="B772" s="91"/>
      <c r="C772" s="51" t="s">
        <v>267</v>
      </c>
      <c r="D772" s="51"/>
    </row>
    <row r="773" spans="1:5">
      <c r="A773" s="91"/>
      <c r="B773" s="91"/>
      <c r="C773" s="51" t="s">
        <v>268</v>
      </c>
      <c r="D773" s="51"/>
    </row>
    <row r="774" spans="1:5">
      <c r="A774" s="91"/>
      <c r="B774" s="91"/>
      <c r="C774" s="51" t="s">
        <v>269</v>
      </c>
      <c r="D774" s="51"/>
    </row>
    <row r="775" spans="1:5">
      <c r="A775" s="91"/>
      <c r="B775" s="91"/>
      <c r="C775" s="51" t="s">
        <v>270</v>
      </c>
      <c r="D775" s="51"/>
    </row>
    <row r="776" spans="1:5">
      <c r="A776" s="91"/>
      <c r="B776" s="91"/>
      <c r="C776" s="51" t="s">
        <v>271</v>
      </c>
      <c r="D776" s="51"/>
    </row>
    <row r="777" spans="1:5">
      <c r="A777" s="91"/>
      <c r="B777" s="91"/>
      <c r="C777" s="51" t="s">
        <v>272</v>
      </c>
      <c r="D777" s="51"/>
    </row>
    <row r="778" spans="1:5">
      <c r="A778" s="91"/>
      <c r="B778" s="91"/>
      <c r="C778" s="51" t="s">
        <v>273</v>
      </c>
      <c r="D778" s="51"/>
    </row>
    <row r="779" spans="1:5">
      <c r="A779" s="91"/>
      <c r="B779" s="91"/>
      <c r="C779" s="51" t="s">
        <v>274</v>
      </c>
      <c r="D779" s="51"/>
    </row>
    <row r="780" spans="1:5">
      <c r="A780" s="91"/>
      <c r="B780" s="91"/>
      <c r="C780" s="51" t="s">
        <v>275</v>
      </c>
      <c r="D780" s="51"/>
    </row>
    <row r="781" spans="1:5">
      <c r="A781" s="91"/>
      <c r="B781" s="91"/>
      <c r="C781" s="51" t="s">
        <v>276</v>
      </c>
      <c r="D781" s="51"/>
    </row>
    <row r="782" spans="1:5">
      <c r="A782" s="91"/>
      <c r="B782" s="91"/>
      <c r="C782" s="51" t="s">
        <v>277</v>
      </c>
      <c r="D782" s="51"/>
      <c r="E782" t="s">
        <v>253</v>
      </c>
    </row>
    <row r="783" spans="1:5">
      <c r="A783" s="91"/>
      <c r="B783" s="91"/>
      <c r="C783" s="51" t="s">
        <v>278</v>
      </c>
      <c r="D783" s="51"/>
      <c r="E783" t="s">
        <v>253</v>
      </c>
    </row>
    <row r="784" spans="1:5">
      <c r="A784" s="91"/>
      <c r="B784" s="91"/>
      <c r="C784" s="51" t="s">
        <v>281</v>
      </c>
      <c r="D784" s="51"/>
      <c r="E784" t="s">
        <v>253</v>
      </c>
    </row>
    <row r="785" spans="1:5">
      <c r="A785" s="91"/>
      <c r="B785" s="91"/>
      <c r="C785" s="51" t="s">
        <v>282</v>
      </c>
      <c r="D785" s="51"/>
    </row>
    <row r="786" spans="1:5">
      <c r="A786" s="91"/>
      <c r="B786" s="91"/>
      <c r="C786" s="51" t="s">
        <v>283</v>
      </c>
      <c r="D786" s="51"/>
    </row>
    <row r="787" spans="1:5">
      <c r="A787" s="91"/>
      <c r="B787" s="91"/>
      <c r="C787" s="51" t="s">
        <v>284</v>
      </c>
      <c r="D787" s="51"/>
    </row>
    <row r="788" spans="1:5">
      <c r="A788" s="91"/>
      <c r="B788" s="91"/>
      <c r="C788" s="51" t="s">
        <v>285</v>
      </c>
      <c r="D788" s="51"/>
    </row>
    <row r="789" spans="1:5">
      <c r="A789" s="91"/>
      <c r="B789" s="91"/>
      <c r="C789" s="51" t="s">
        <v>286</v>
      </c>
      <c r="D789" s="51"/>
    </row>
    <row r="790" spans="1:5">
      <c r="A790" s="91"/>
      <c r="B790" s="91"/>
      <c r="C790" s="51" t="s">
        <v>287</v>
      </c>
      <c r="D790" s="51"/>
      <c r="E790" t="s">
        <v>253</v>
      </c>
    </row>
    <row r="791" spans="1:5">
      <c r="A791" s="91"/>
      <c r="B791" s="91"/>
      <c r="C791" s="51" t="s">
        <v>288</v>
      </c>
      <c r="D791" s="51"/>
    </row>
    <row r="792" spans="1:5">
      <c r="A792" s="91"/>
      <c r="B792" s="91"/>
      <c r="C792" s="51" t="s">
        <v>289</v>
      </c>
      <c r="D792" s="51"/>
    </row>
    <row r="793" spans="1:5">
      <c r="A793" s="91"/>
      <c r="B793" s="91"/>
      <c r="C793" s="51" t="s">
        <v>290</v>
      </c>
      <c r="D793" s="51"/>
    </row>
    <row r="794" spans="1:5">
      <c r="A794" s="91"/>
      <c r="B794" s="91"/>
      <c r="C794" s="51" t="s">
        <v>969</v>
      </c>
      <c r="D794" s="51"/>
    </row>
    <row r="795" spans="1:5">
      <c r="A795" s="91"/>
      <c r="B795" s="91"/>
      <c r="C795" s="51" t="s">
        <v>291</v>
      </c>
      <c r="D795" s="51"/>
    </row>
    <row r="796" spans="1:5">
      <c r="A796" s="91"/>
      <c r="B796" s="91"/>
      <c r="C796" s="51" t="s">
        <v>292</v>
      </c>
      <c r="D796" s="51"/>
    </row>
    <row r="797" spans="1:5">
      <c r="A797" s="91"/>
      <c r="B797" s="91"/>
      <c r="C797" s="51" t="s">
        <v>293</v>
      </c>
      <c r="D797" s="51"/>
    </row>
    <row r="798" spans="1:5">
      <c r="A798" s="91"/>
      <c r="B798" s="91"/>
      <c r="C798" s="51" t="s">
        <v>294</v>
      </c>
      <c r="D798" s="51"/>
    </row>
    <row r="799" spans="1:5">
      <c r="A799" s="91"/>
      <c r="B799" s="91"/>
      <c r="C799" s="51" t="s">
        <v>295</v>
      </c>
      <c r="D799" s="51"/>
    </row>
    <row r="800" spans="1:5">
      <c r="A800" s="91"/>
      <c r="B800" s="91"/>
      <c r="C800" s="51" t="s">
        <v>296</v>
      </c>
      <c r="D800" s="51"/>
    </row>
    <row r="801" spans="1:5">
      <c r="A801" s="91"/>
      <c r="B801" s="91"/>
      <c r="C801" s="51" t="s">
        <v>297</v>
      </c>
      <c r="D801" s="51"/>
    </row>
    <row r="802" spans="1:5">
      <c r="A802" s="91"/>
      <c r="B802" s="91"/>
      <c r="C802" s="51" t="s">
        <v>298</v>
      </c>
      <c r="D802" s="51"/>
    </row>
    <row r="803" spans="1:5">
      <c r="A803" s="91"/>
      <c r="B803" s="91"/>
      <c r="C803" s="51" t="s">
        <v>299</v>
      </c>
      <c r="D803" s="51"/>
    </row>
    <row r="804" spans="1:5">
      <c r="A804" s="91"/>
      <c r="B804" s="91"/>
      <c r="C804" s="51" t="s">
        <v>300</v>
      </c>
      <c r="D804" s="51"/>
    </row>
    <row r="805" spans="1:5">
      <c r="A805" s="91"/>
      <c r="B805" s="91"/>
      <c r="C805" s="51" t="s">
        <v>301</v>
      </c>
      <c r="D805" s="51"/>
    </row>
    <row r="806" spans="1:5">
      <c r="A806" s="91"/>
      <c r="B806" s="91"/>
      <c r="C806" s="51" t="s">
        <v>302</v>
      </c>
      <c r="D806" s="51"/>
    </row>
    <row r="807" spans="1:5">
      <c r="A807" s="91"/>
      <c r="B807" s="91"/>
      <c r="C807" s="51" t="s">
        <v>303</v>
      </c>
      <c r="D807" s="51"/>
    </row>
    <row r="808" spans="1:5">
      <c r="A808" s="91"/>
      <c r="B808" s="91"/>
      <c r="C808" s="51" t="s">
        <v>305</v>
      </c>
      <c r="D808" s="51"/>
    </row>
    <row r="809" spans="1:5">
      <c r="A809" s="91"/>
      <c r="B809" s="91"/>
      <c r="C809" s="51" t="s">
        <v>304</v>
      </c>
      <c r="D809" s="51"/>
      <c r="E809" t="s">
        <v>253</v>
      </c>
    </row>
    <row r="810" spans="1:5">
      <c r="A810" s="91"/>
      <c r="B810" s="91"/>
      <c r="C810" s="51" t="s">
        <v>306</v>
      </c>
      <c r="D810" s="51"/>
    </row>
    <row r="811" spans="1:5">
      <c r="A811" s="91"/>
      <c r="B811" s="91"/>
      <c r="C811" s="51" t="s">
        <v>307</v>
      </c>
      <c r="D811" s="51"/>
    </row>
    <row r="812" spans="1:5">
      <c r="A812" s="91"/>
      <c r="B812" s="91"/>
      <c r="C812" s="51" t="s">
        <v>308</v>
      </c>
      <c r="D812" s="51"/>
    </row>
    <row r="813" spans="1:5">
      <c r="A813" s="91"/>
      <c r="B813" s="91"/>
      <c r="C813" s="51" t="s">
        <v>309</v>
      </c>
      <c r="D813" s="51"/>
    </row>
    <row r="814" spans="1:5">
      <c r="A814" s="91"/>
      <c r="B814" s="91"/>
      <c r="C814" s="51" t="s">
        <v>310</v>
      </c>
      <c r="D814" s="51"/>
    </row>
    <row r="815" spans="1:5">
      <c r="A815" s="91"/>
      <c r="B815" s="91"/>
      <c r="C815" s="51" t="s">
        <v>311</v>
      </c>
      <c r="D815" s="51"/>
    </row>
    <row r="816" spans="1:5">
      <c r="A816" s="91"/>
      <c r="B816" s="91"/>
      <c r="C816" s="51" t="s">
        <v>312</v>
      </c>
      <c r="D816" s="51"/>
    </row>
    <row r="817" spans="1:4">
      <c r="A817" s="91"/>
      <c r="B817" s="91"/>
      <c r="C817" s="51" t="s">
        <v>313</v>
      </c>
      <c r="D817" s="51"/>
    </row>
    <row r="818" spans="1:4">
      <c r="A818" s="91"/>
      <c r="B818" s="91"/>
      <c r="C818" s="51" t="s">
        <v>314</v>
      </c>
      <c r="D818" s="51"/>
    </row>
    <row r="819" spans="1:4">
      <c r="A819" s="91"/>
      <c r="B819" s="91"/>
      <c r="C819" s="51" t="s">
        <v>315</v>
      </c>
      <c r="D819" s="51"/>
    </row>
    <row r="820" spans="1:4">
      <c r="A820" s="91"/>
      <c r="B820" s="91"/>
      <c r="C820" s="51" t="s">
        <v>316</v>
      </c>
      <c r="D820" s="51"/>
    </row>
    <row r="821" spans="1:4">
      <c r="A821" s="91"/>
      <c r="B821" s="91"/>
      <c r="C821" s="51" t="s">
        <v>317</v>
      </c>
      <c r="D821" s="51"/>
    </row>
    <row r="822" spans="1:4">
      <c r="A822" s="91"/>
      <c r="B822" s="91"/>
      <c r="C822" s="51" t="s">
        <v>318</v>
      </c>
      <c r="D822" s="51"/>
    </row>
    <row r="823" spans="1:4">
      <c r="A823" s="91"/>
      <c r="B823" s="91"/>
      <c r="C823" s="51" t="s">
        <v>319</v>
      </c>
      <c r="D823" s="51"/>
    </row>
    <row r="824" spans="1:4">
      <c r="A824" s="91"/>
      <c r="B824" s="91"/>
      <c r="C824" s="51" t="s">
        <v>320</v>
      </c>
      <c r="D824" s="51"/>
    </row>
    <row r="825" spans="1:4">
      <c r="A825" s="91"/>
      <c r="B825" s="91"/>
      <c r="C825" s="51" t="s">
        <v>321</v>
      </c>
      <c r="D825" s="51"/>
    </row>
    <row r="826" spans="1:4">
      <c r="A826" s="91"/>
      <c r="B826" s="91"/>
      <c r="C826" s="51" t="s">
        <v>322</v>
      </c>
      <c r="D826" s="51"/>
    </row>
    <row r="827" spans="1:4">
      <c r="A827" s="91"/>
      <c r="B827" s="91"/>
      <c r="C827" s="51" t="s">
        <v>323</v>
      </c>
      <c r="D827" s="51"/>
    </row>
    <row r="828" spans="1:4">
      <c r="A828" s="91"/>
      <c r="B828" s="91"/>
      <c r="C828" s="51" t="s">
        <v>324</v>
      </c>
      <c r="D828" s="51"/>
    </row>
    <row r="829" spans="1:4">
      <c r="A829" s="91"/>
      <c r="B829" s="91"/>
      <c r="C829" s="51" t="s">
        <v>325</v>
      </c>
      <c r="D829" s="51"/>
    </row>
    <row r="830" spans="1:4">
      <c r="A830" s="91"/>
      <c r="B830" s="91"/>
      <c r="C830" s="51" t="s">
        <v>326</v>
      </c>
      <c r="D830" s="51"/>
    </row>
    <row r="831" spans="1:4">
      <c r="A831" s="91"/>
      <c r="B831" s="91"/>
      <c r="C831" s="51" t="s">
        <v>970</v>
      </c>
      <c r="D831" s="123" t="s">
        <v>971</v>
      </c>
    </row>
    <row r="832" spans="1:4">
      <c r="A832" s="91"/>
      <c r="B832" s="91"/>
      <c r="C832" s="51" t="s">
        <v>972</v>
      </c>
      <c r="D832" s="123" t="s">
        <v>338</v>
      </c>
    </row>
    <row r="833" spans="1:4">
      <c r="A833" s="91"/>
      <c r="B833" s="91"/>
      <c r="C833" s="51" t="s">
        <v>973</v>
      </c>
      <c r="D833" s="123" t="s">
        <v>338</v>
      </c>
    </row>
    <row r="834" spans="1:4" ht="15">
      <c r="A834" s="91"/>
      <c r="B834" s="91"/>
      <c r="C834" s="51" t="s">
        <v>974</v>
      </c>
      <c r="D834" s="121"/>
    </row>
    <row r="835" spans="1:4">
      <c r="A835" s="91"/>
      <c r="B835" s="91"/>
      <c r="C835" s="51" t="s">
        <v>334</v>
      </c>
      <c r="D835" s="51"/>
    </row>
    <row r="836" spans="1:4">
      <c r="A836" s="91"/>
      <c r="B836" s="91"/>
      <c r="C836" s="51" t="s">
        <v>329</v>
      </c>
      <c r="D836" s="51"/>
    </row>
    <row r="837" spans="1:4">
      <c r="A837" s="91"/>
      <c r="B837" s="91"/>
      <c r="C837" s="51" t="s">
        <v>330</v>
      </c>
      <c r="D837" s="51"/>
    </row>
    <row r="838" spans="1:4">
      <c r="A838" s="91"/>
      <c r="B838" s="91"/>
      <c r="C838" s="51" t="s">
        <v>327</v>
      </c>
      <c r="D838" s="51"/>
    </row>
    <row r="839" spans="1:4">
      <c r="A839" s="91"/>
      <c r="B839" s="91"/>
      <c r="C839" s="51" t="s">
        <v>331</v>
      </c>
      <c r="D839" s="51"/>
    </row>
    <row r="840" spans="1:4">
      <c r="A840" s="91"/>
      <c r="B840" s="91"/>
      <c r="C840" s="51" t="s">
        <v>328</v>
      </c>
      <c r="D840" s="51"/>
    </row>
    <row r="841" spans="1:4">
      <c r="A841" s="91"/>
      <c r="B841" s="91"/>
      <c r="C841" s="51" t="s">
        <v>332</v>
      </c>
      <c r="D841" s="51"/>
    </row>
    <row r="842" spans="1:4">
      <c r="A842" s="91"/>
      <c r="B842" s="91"/>
      <c r="C842" s="51" t="s">
        <v>975</v>
      </c>
      <c r="D842" s="51"/>
    </row>
    <row r="843" spans="1:4">
      <c r="A843" s="91"/>
      <c r="B843" s="91"/>
      <c r="C843" s="51" t="s">
        <v>976</v>
      </c>
      <c r="D843" s="51"/>
    </row>
    <row r="844" spans="1:4">
      <c r="A844" s="91"/>
      <c r="B844" s="91"/>
      <c r="C844" s="51" t="s">
        <v>977</v>
      </c>
      <c r="D844" s="51"/>
    </row>
    <row r="845" spans="1:4">
      <c r="A845" s="91"/>
      <c r="B845" s="91"/>
      <c r="C845" s="51" t="s">
        <v>978</v>
      </c>
      <c r="D845" s="51"/>
    </row>
    <row r="846" spans="1:4">
      <c r="A846" s="91"/>
      <c r="B846" s="91"/>
      <c r="C846" s="51" t="s">
        <v>979</v>
      </c>
      <c r="D846" s="51"/>
    </row>
    <row r="847" spans="1:4">
      <c r="A847" s="91"/>
      <c r="B847" s="91"/>
      <c r="C847" s="51" t="s">
        <v>980</v>
      </c>
      <c r="D847" s="51"/>
    </row>
    <row r="848" spans="1:4">
      <c r="A848" s="91"/>
      <c r="B848" s="91"/>
      <c r="C848" s="51" t="s">
        <v>981</v>
      </c>
      <c r="D848" s="51"/>
    </row>
    <row r="849" spans="1:4">
      <c r="A849" s="91"/>
      <c r="B849" s="91"/>
      <c r="C849" s="51" t="s">
        <v>982</v>
      </c>
      <c r="D849" s="51"/>
    </row>
    <row r="850" spans="1:4">
      <c r="A850" s="91"/>
      <c r="B850" s="91"/>
      <c r="C850" s="51" t="s">
        <v>194</v>
      </c>
      <c r="D850" s="51"/>
    </row>
    <row r="851" spans="1:4">
      <c r="A851" s="64" t="s">
        <v>983</v>
      </c>
      <c r="B851" s="64"/>
      <c r="C851" s="53" t="s">
        <v>375</v>
      </c>
      <c r="D851" s="53"/>
    </row>
    <row r="852" spans="1:4">
      <c r="A852" s="65"/>
      <c r="B852" s="65"/>
      <c r="C852" s="53" t="s">
        <v>155</v>
      </c>
      <c r="D852" s="53"/>
    </row>
    <row r="853" spans="1:4">
      <c r="A853" s="91" t="s">
        <v>984</v>
      </c>
      <c r="B853" s="91" t="s">
        <v>5</v>
      </c>
      <c r="C853" s="51" t="s">
        <v>985</v>
      </c>
      <c r="D853" s="51"/>
    </row>
    <row r="854" spans="1:4">
      <c r="A854" s="91"/>
      <c r="B854" s="91"/>
      <c r="C854" s="51" t="s">
        <v>986</v>
      </c>
      <c r="D854" s="51"/>
    </row>
    <row r="855" spans="1:4">
      <c r="A855" s="91"/>
      <c r="B855" s="91"/>
      <c r="C855" s="51" t="s">
        <v>987</v>
      </c>
      <c r="D855" s="51"/>
    </row>
    <row r="856" spans="1:4">
      <c r="A856" s="91"/>
      <c r="B856" s="91"/>
      <c r="C856" s="51" t="s">
        <v>988</v>
      </c>
      <c r="D856" s="51"/>
    </row>
    <row r="857" spans="1:4">
      <c r="A857" s="91"/>
      <c r="B857" s="91"/>
      <c r="C857" s="51" t="s">
        <v>989</v>
      </c>
      <c r="D857" s="51"/>
    </row>
    <row r="858" spans="1:4">
      <c r="A858" s="91"/>
      <c r="B858" s="91"/>
      <c r="C858" s="51" t="s">
        <v>990</v>
      </c>
      <c r="D858" s="51"/>
    </row>
    <row r="859" spans="1:4">
      <c r="A859" s="91"/>
      <c r="B859" s="91"/>
      <c r="C859" s="51" t="s">
        <v>991</v>
      </c>
      <c r="D859" s="51"/>
    </row>
    <row r="860" spans="1:4">
      <c r="A860" s="91"/>
      <c r="B860" s="91"/>
      <c r="C860" s="51" t="s">
        <v>992</v>
      </c>
      <c r="D860" s="51"/>
    </row>
    <row r="861" spans="1:4">
      <c r="A861" s="91"/>
      <c r="B861" s="91"/>
      <c r="C861" s="51" t="s">
        <v>993</v>
      </c>
      <c r="D861" s="51"/>
    </row>
    <row r="862" spans="1:4">
      <c r="A862" s="64" t="s">
        <v>994</v>
      </c>
      <c r="B862" s="64" t="s">
        <v>5</v>
      </c>
      <c r="C862" s="53" t="s">
        <v>43</v>
      </c>
      <c r="D862" s="53"/>
    </row>
    <row r="863" spans="1:4">
      <c r="A863" s="65"/>
      <c r="B863" s="65"/>
      <c r="C863" s="53" t="s">
        <v>995</v>
      </c>
      <c r="D863" s="53"/>
    </row>
    <row r="864" spans="1:4">
      <c r="A864" s="65"/>
      <c r="B864" s="65"/>
      <c r="C864" s="53" t="s">
        <v>57</v>
      </c>
      <c r="D864" s="53"/>
    </row>
    <row r="865" spans="1:4">
      <c r="A865" s="65"/>
      <c r="B865" s="65"/>
      <c r="C865" s="53" t="s">
        <v>119</v>
      </c>
      <c r="D865" s="53"/>
    </row>
    <row r="866" spans="1:4">
      <c r="A866" s="65"/>
      <c r="B866" s="65"/>
      <c r="C866" s="53" t="s">
        <v>96</v>
      </c>
      <c r="D866" s="53"/>
    </row>
    <row r="867" spans="1:4">
      <c r="A867" s="65"/>
      <c r="B867" s="65"/>
      <c r="C867" s="53" t="s">
        <v>996</v>
      </c>
      <c r="D867" s="53"/>
    </row>
    <row r="868" spans="1:4">
      <c r="A868" s="65"/>
      <c r="B868" s="65"/>
      <c r="C868" s="53" t="s">
        <v>29</v>
      </c>
      <c r="D868" s="53"/>
    </row>
    <row r="869" spans="1:4">
      <c r="A869" s="65"/>
      <c r="B869" s="65"/>
      <c r="C869" s="53" t="s">
        <v>997</v>
      </c>
      <c r="D869" s="53"/>
    </row>
    <row r="870" spans="1:4">
      <c r="A870" s="91" t="s">
        <v>998</v>
      </c>
      <c r="B870" s="91" t="s">
        <v>5</v>
      </c>
      <c r="C870" s="51" t="s">
        <v>43</v>
      </c>
      <c r="D870" s="51"/>
    </row>
    <row r="871" spans="1:4">
      <c r="A871" s="91"/>
      <c r="B871" s="91"/>
      <c r="C871" s="51" t="s">
        <v>57</v>
      </c>
      <c r="D871" s="51"/>
    </row>
    <row r="872" spans="1:4">
      <c r="A872" s="91"/>
      <c r="B872" s="91"/>
      <c r="C872" s="51" t="s">
        <v>96</v>
      </c>
      <c r="D872" s="51"/>
    </row>
    <row r="873" spans="1:4">
      <c r="A873" s="91"/>
      <c r="B873" s="91"/>
      <c r="C873" s="51" t="s">
        <v>194</v>
      </c>
      <c r="D873" s="51"/>
    </row>
    <row r="874" spans="1:4">
      <c r="A874" s="64" t="s">
        <v>999</v>
      </c>
      <c r="B874" s="64" t="s">
        <v>5</v>
      </c>
      <c r="C874" s="53" t="s">
        <v>1000</v>
      </c>
      <c r="D874" s="53"/>
    </row>
    <row r="875" spans="1:4">
      <c r="A875" s="65"/>
      <c r="B875" s="65"/>
      <c r="C875" s="53" t="s">
        <v>208</v>
      </c>
      <c r="D875" s="53"/>
    </row>
    <row r="876" spans="1:4">
      <c r="A876" s="65"/>
      <c r="B876" s="65"/>
      <c r="C876" s="53" t="s">
        <v>204</v>
      </c>
      <c r="D876" s="53"/>
    </row>
    <row r="877" spans="1:4">
      <c r="A877" s="65"/>
      <c r="B877" s="65"/>
      <c r="C877" s="53" t="s">
        <v>790</v>
      </c>
      <c r="D877" s="53"/>
    </row>
    <row r="878" spans="1:4">
      <c r="A878" s="65"/>
      <c r="B878" s="65"/>
      <c r="C878" s="53" t="s">
        <v>1001</v>
      </c>
      <c r="D878" s="53"/>
    </row>
    <row r="879" spans="1:4">
      <c r="A879" s="65"/>
      <c r="B879" s="65"/>
      <c r="C879" s="53" t="s">
        <v>1002</v>
      </c>
      <c r="D879" s="53"/>
    </row>
    <row r="880" spans="1:4">
      <c r="A880" s="65"/>
      <c r="B880" s="65"/>
      <c r="C880" s="53" t="s">
        <v>1003</v>
      </c>
      <c r="D880" s="53"/>
    </row>
    <row r="881" spans="1:5">
      <c r="A881" s="65"/>
      <c r="B881" s="65"/>
      <c r="C881" s="53" t="s">
        <v>1004</v>
      </c>
      <c r="D881" s="53"/>
    </row>
    <row r="882" spans="1:5">
      <c r="A882" s="65"/>
      <c r="B882" s="65"/>
      <c r="C882" s="53" t="s">
        <v>1005</v>
      </c>
      <c r="D882" s="53" t="s">
        <v>1005</v>
      </c>
      <c r="E882" t="s">
        <v>253</v>
      </c>
    </row>
    <row r="883" spans="1:5">
      <c r="A883" s="66"/>
      <c r="B883" s="66"/>
      <c r="C883" s="53" t="s">
        <v>194</v>
      </c>
      <c r="D883" s="53"/>
    </row>
    <row r="884" spans="1:5">
      <c r="A884" s="80" t="s">
        <v>1006</v>
      </c>
      <c r="B884" s="80" t="s">
        <v>5</v>
      </c>
      <c r="C884" s="51" t="s">
        <v>965</v>
      </c>
      <c r="D884" s="51"/>
    </row>
    <row r="885" spans="1:5">
      <c r="A885" s="81"/>
      <c r="B885" s="81"/>
      <c r="C885" s="51" t="s">
        <v>1007</v>
      </c>
      <c r="D885" s="51"/>
    </row>
    <row r="886" spans="1:5">
      <c r="A886" s="81"/>
      <c r="B886" s="81"/>
      <c r="C886" s="51" t="s">
        <v>1008</v>
      </c>
      <c r="D886" s="51"/>
    </row>
    <row r="887" spans="1:5">
      <c r="A887" s="81"/>
      <c r="B887" s="81"/>
      <c r="C887" s="51" t="s">
        <v>1009</v>
      </c>
      <c r="D887" s="51"/>
    </row>
    <row r="888" spans="1:5">
      <c r="A888" s="81"/>
      <c r="B888" s="81"/>
      <c r="C888" s="51" t="s">
        <v>1010</v>
      </c>
      <c r="D888" s="51"/>
    </row>
    <row r="889" spans="1:5">
      <c r="A889" s="81"/>
      <c r="B889" s="81"/>
      <c r="C889" s="51" t="s">
        <v>1011</v>
      </c>
      <c r="D889" s="51" t="s">
        <v>1012</v>
      </c>
    </row>
    <row r="890" spans="1:5">
      <c r="A890" s="81"/>
      <c r="B890" s="81"/>
      <c r="C890" s="51" t="s">
        <v>1013</v>
      </c>
      <c r="D890" s="51"/>
    </row>
    <row r="891" spans="1:5">
      <c r="A891" s="64" t="s">
        <v>506</v>
      </c>
      <c r="B891" s="64" t="s">
        <v>5</v>
      </c>
      <c r="C891" s="53" t="s">
        <v>1014</v>
      </c>
      <c r="D891" s="53"/>
    </row>
    <row r="892" spans="1:5">
      <c r="A892" s="65"/>
      <c r="B892" s="65"/>
      <c r="C892" s="53" t="s">
        <v>1015</v>
      </c>
      <c r="D892" s="53"/>
    </row>
    <row r="893" spans="1:5">
      <c r="A893" s="65"/>
      <c r="B893" s="65"/>
      <c r="C893" s="53" t="s">
        <v>1016</v>
      </c>
      <c r="D893" s="53"/>
    </row>
    <row r="894" spans="1:5">
      <c r="A894" s="65"/>
      <c r="B894" s="65"/>
      <c r="C894" s="53" t="s">
        <v>1017</v>
      </c>
      <c r="D894" s="53"/>
    </row>
    <row r="895" spans="1:5">
      <c r="A895" s="65"/>
      <c r="B895" s="65"/>
      <c r="C895" s="53" t="s">
        <v>1018</v>
      </c>
      <c r="D895" s="53"/>
    </row>
    <row r="896" spans="1:5">
      <c r="A896" s="65"/>
      <c r="B896" s="65"/>
      <c r="C896" s="53" t="s">
        <v>194</v>
      </c>
      <c r="D896" s="53"/>
    </row>
    <row r="897" spans="1:4">
      <c r="A897" s="80" t="s">
        <v>1019</v>
      </c>
      <c r="B897" s="80" t="s">
        <v>5</v>
      </c>
      <c r="C897" s="51" t="s">
        <v>1020</v>
      </c>
      <c r="D897" s="51"/>
    </row>
    <row r="898" spans="1:4">
      <c r="A898" s="81"/>
      <c r="B898" s="81"/>
      <c r="C898" s="51" t="s">
        <v>1021</v>
      </c>
      <c r="D898" s="51"/>
    </row>
    <row r="899" spans="1:4">
      <c r="A899" s="81"/>
      <c r="B899" s="81"/>
      <c r="C899" s="51" t="s">
        <v>965</v>
      </c>
      <c r="D899" s="51"/>
    </row>
    <row r="900" spans="1:4">
      <c r="A900" s="81"/>
      <c r="B900" s="81"/>
      <c r="C900" s="51" t="s">
        <v>194</v>
      </c>
      <c r="D900" s="51"/>
    </row>
    <row r="901" spans="1:4">
      <c r="A901" s="64" t="s">
        <v>1022</v>
      </c>
      <c r="B901" s="64" t="s">
        <v>5</v>
      </c>
      <c r="C901" s="53" t="s">
        <v>1023</v>
      </c>
      <c r="D901" s="53"/>
    </row>
    <row r="902" spans="1:4">
      <c r="A902" s="65"/>
      <c r="B902" s="65"/>
      <c r="C902" s="53" t="s">
        <v>1024</v>
      </c>
      <c r="D902" s="53"/>
    </row>
    <row r="903" spans="1:4">
      <c r="A903" s="65"/>
      <c r="B903" s="65"/>
      <c r="C903" s="53" t="s">
        <v>781</v>
      </c>
      <c r="D903" s="53"/>
    </row>
    <row r="904" spans="1:4">
      <c r="A904" s="65"/>
      <c r="B904" s="65"/>
      <c r="C904" s="53" t="s">
        <v>1025</v>
      </c>
      <c r="D904" s="53"/>
    </row>
    <row r="905" spans="1:4">
      <c r="A905" s="65"/>
      <c r="B905" s="65"/>
      <c r="C905" s="53" t="s">
        <v>1026</v>
      </c>
      <c r="D905" s="53"/>
    </row>
    <row r="906" spans="1:4">
      <c r="A906" s="90" t="s">
        <v>1027</v>
      </c>
      <c r="B906" s="90" t="s">
        <v>5</v>
      </c>
      <c r="C906" s="56" t="s">
        <v>1028</v>
      </c>
      <c r="D906" s="56"/>
    </row>
    <row r="907" spans="1:4">
      <c r="A907" s="91"/>
      <c r="B907" s="91"/>
      <c r="C907" s="56" t="s">
        <v>1029</v>
      </c>
      <c r="D907" s="56"/>
    </row>
    <row r="908" spans="1:4">
      <c r="A908" s="91"/>
      <c r="B908" s="91"/>
      <c r="C908" s="51" t="s">
        <v>1030</v>
      </c>
      <c r="D908" s="51"/>
    </row>
    <row r="909" spans="1:4">
      <c r="A909" s="91"/>
      <c r="B909" s="91"/>
      <c r="C909" s="51" t="s">
        <v>1031</v>
      </c>
      <c r="D909" s="51"/>
    </row>
    <row r="910" spans="1:4">
      <c r="A910" s="91"/>
      <c r="B910" s="91"/>
      <c r="C910" s="51" t="s">
        <v>1032</v>
      </c>
      <c r="D910" s="51"/>
    </row>
    <row r="911" spans="1:4">
      <c r="A911" s="91"/>
      <c r="B911" s="91"/>
      <c r="C911" s="51" t="s">
        <v>1033</v>
      </c>
      <c r="D911" s="51"/>
    </row>
    <row r="912" spans="1:4">
      <c r="A912" s="86" t="s">
        <v>1034</v>
      </c>
      <c r="B912" s="86" t="s">
        <v>5</v>
      </c>
      <c r="C912" s="58" t="s">
        <v>43</v>
      </c>
      <c r="D912" s="58"/>
    </row>
    <row r="913" spans="1:5">
      <c r="A913" s="68"/>
      <c r="B913" s="68"/>
      <c r="C913" s="58" t="s">
        <v>995</v>
      </c>
      <c r="D913" s="58"/>
    </row>
    <row r="914" spans="1:5">
      <c r="A914" s="68"/>
      <c r="B914" s="68"/>
      <c r="C914" s="53" t="s">
        <v>57</v>
      </c>
      <c r="D914" s="53"/>
    </row>
    <row r="915" spans="1:5">
      <c r="A915" s="68"/>
      <c r="B915" s="68"/>
      <c r="C915" s="53" t="s">
        <v>119</v>
      </c>
      <c r="D915" s="53"/>
    </row>
    <row r="916" spans="1:5">
      <c r="A916" s="68"/>
      <c r="B916" s="68"/>
      <c r="C916" s="53" t="s">
        <v>96</v>
      </c>
      <c r="D916" s="53"/>
    </row>
    <row r="917" spans="1:5">
      <c r="A917" s="68"/>
      <c r="B917" s="68"/>
      <c r="C917" s="53" t="s">
        <v>996</v>
      </c>
      <c r="D917" s="53"/>
    </row>
    <row r="918" spans="1:5">
      <c r="A918" s="68"/>
      <c r="B918" s="68"/>
      <c r="C918" s="58" t="s">
        <v>29</v>
      </c>
      <c r="D918" s="58"/>
    </row>
    <row r="919" spans="1:5">
      <c r="A919" s="68"/>
      <c r="B919" s="68"/>
      <c r="C919" s="58" t="s">
        <v>997</v>
      </c>
      <c r="D919" s="58"/>
    </row>
    <row r="920" spans="1:5" ht="15">
      <c r="A920" s="90" t="s">
        <v>1035</v>
      </c>
      <c r="B920" s="90" t="s">
        <v>5</v>
      </c>
      <c r="C920" s="56" t="s">
        <v>1036</v>
      </c>
      <c r="D920" s="56"/>
      <c r="E920" s="57"/>
    </row>
    <row r="921" spans="1:5" ht="15">
      <c r="A921" s="91"/>
      <c r="B921" s="91"/>
      <c r="C921" s="56" t="s">
        <v>1037</v>
      </c>
      <c r="D921" s="56"/>
      <c r="E921" s="57"/>
    </row>
    <row r="922" spans="1:5" ht="15">
      <c r="A922" s="91"/>
      <c r="B922" s="91"/>
      <c r="C922" s="51" t="s">
        <v>1038</v>
      </c>
      <c r="D922" s="51"/>
      <c r="E922" s="57"/>
    </row>
    <row r="923" spans="1:5" ht="15">
      <c r="A923" s="91"/>
      <c r="B923" s="91"/>
      <c r="C923" s="51" t="s">
        <v>1039</v>
      </c>
      <c r="D923" s="51"/>
      <c r="E923" s="57"/>
    </row>
    <row r="924" spans="1:5" ht="15">
      <c r="A924" s="91"/>
      <c r="B924" s="91"/>
      <c r="C924" s="51" t="s">
        <v>1040</v>
      </c>
      <c r="D924" s="51"/>
      <c r="E924" s="57"/>
    </row>
    <row r="925" spans="1:5">
      <c r="A925" s="91"/>
      <c r="B925" s="91"/>
      <c r="C925" s="51" t="s">
        <v>194</v>
      </c>
      <c r="D925" s="51"/>
    </row>
    <row r="926" spans="1:5">
      <c r="A926" s="86" t="s">
        <v>1041</v>
      </c>
      <c r="B926" s="86" t="s">
        <v>5</v>
      </c>
      <c r="C926" s="53" t="s">
        <v>1042</v>
      </c>
      <c r="D926" s="53"/>
    </row>
    <row r="927" spans="1:5">
      <c r="A927" s="68"/>
      <c r="B927" s="68"/>
      <c r="C927" s="53" t="s">
        <v>1043</v>
      </c>
      <c r="D927" s="53"/>
    </row>
    <row r="928" spans="1:5">
      <c r="A928" s="68"/>
      <c r="B928" s="68"/>
      <c r="C928" s="53" t="s">
        <v>1044</v>
      </c>
      <c r="D928" s="53"/>
    </row>
    <row r="929" spans="1:5">
      <c r="A929" s="87" t="s">
        <v>1045</v>
      </c>
      <c r="B929" s="87" t="s">
        <v>5</v>
      </c>
      <c r="C929" s="56" t="s">
        <v>1046</v>
      </c>
      <c r="D929" s="56"/>
    </row>
    <row r="930" spans="1:5">
      <c r="A930" s="88"/>
      <c r="B930" s="88"/>
      <c r="C930" s="56" t="s">
        <v>208</v>
      </c>
      <c r="D930" s="56"/>
    </row>
    <row r="931" spans="1:5">
      <c r="A931" s="88"/>
      <c r="B931" s="88"/>
      <c r="C931" s="51" t="s">
        <v>1000</v>
      </c>
      <c r="D931" s="51"/>
    </row>
    <row r="932" spans="1:5">
      <c r="A932" s="88"/>
      <c r="B932" s="88"/>
      <c r="C932" s="51" t="s">
        <v>204</v>
      </c>
      <c r="D932" s="51"/>
    </row>
    <row r="933" spans="1:5">
      <c r="A933" s="88"/>
      <c r="B933" s="88"/>
      <c r="C933" s="51" t="s">
        <v>194</v>
      </c>
      <c r="D933" s="51"/>
    </row>
    <row r="934" spans="1:5">
      <c r="A934" s="94" t="s">
        <v>1047</v>
      </c>
      <c r="B934" s="94" t="s">
        <v>5</v>
      </c>
      <c r="C934" s="58" t="s">
        <v>1000</v>
      </c>
      <c r="D934" s="58"/>
    </row>
    <row r="935" spans="1:5">
      <c r="A935" s="95"/>
      <c r="B935" s="95"/>
      <c r="C935" s="58" t="s">
        <v>208</v>
      </c>
      <c r="D935" s="58"/>
    </row>
    <row r="936" spans="1:5">
      <c r="A936" s="95"/>
      <c r="B936" s="95"/>
      <c r="C936" s="53" t="s">
        <v>204</v>
      </c>
      <c r="D936" s="53"/>
    </row>
    <row r="937" spans="1:5">
      <c r="A937" s="95"/>
      <c r="B937" s="95"/>
      <c r="C937" s="53" t="s">
        <v>790</v>
      </c>
      <c r="D937" s="53"/>
    </row>
    <row r="938" spans="1:5">
      <c r="A938" s="95"/>
      <c r="B938" s="95"/>
      <c r="C938" s="53" t="s">
        <v>1048</v>
      </c>
      <c r="D938" s="53"/>
    </row>
    <row r="939" spans="1:5">
      <c r="A939" s="95"/>
      <c r="B939" s="95"/>
      <c r="C939" s="58" t="s">
        <v>1048</v>
      </c>
      <c r="D939" s="58"/>
    </row>
    <row r="940" spans="1:5">
      <c r="A940" s="95"/>
      <c r="B940" s="95"/>
      <c r="C940" s="58" t="s">
        <v>1002</v>
      </c>
      <c r="D940" s="58"/>
    </row>
    <row r="941" spans="1:5">
      <c r="A941" s="95"/>
      <c r="B941" s="95"/>
      <c r="C941" s="53" t="s">
        <v>1003</v>
      </c>
      <c r="D941" s="53"/>
    </row>
    <row r="942" spans="1:5">
      <c r="A942" s="95"/>
      <c r="B942" s="95"/>
      <c r="C942" s="58" t="s">
        <v>1004</v>
      </c>
      <c r="D942" s="58"/>
    </row>
    <row r="943" spans="1:5">
      <c r="A943" s="95"/>
      <c r="B943" s="95"/>
      <c r="C943" s="58" t="s">
        <v>1046</v>
      </c>
      <c r="D943" s="58"/>
    </row>
    <row r="944" spans="1:5">
      <c r="A944" s="95"/>
      <c r="B944" s="95"/>
      <c r="C944" s="53" t="s">
        <v>1049</v>
      </c>
      <c r="D944" s="53" t="s">
        <v>1049</v>
      </c>
      <c r="E944" t="s">
        <v>253</v>
      </c>
    </row>
    <row r="945" spans="1:4">
      <c r="A945" s="119"/>
      <c r="B945" s="119"/>
      <c r="C945" s="53" t="s">
        <v>194</v>
      </c>
      <c r="D945" s="53"/>
    </row>
    <row r="946" spans="1:4" ht="14.25" customHeight="1">
      <c r="A946" s="87" t="s">
        <v>1050</v>
      </c>
      <c r="B946" s="87" t="s">
        <v>5</v>
      </c>
      <c r="C946" s="56" t="s">
        <v>1051</v>
      </c>
      <c r="D946" s="56"/>
    </row>
    <row r="947" spans="1:4">
      <c r="A947" s="88"/>
      <c r="B947" s="88"/>
      <c r="C947" s="56" t="s">
        <v>1052</v>
      </c>
      <c r="D947" s="56"/>
    </row>
    <row r="948" spans="1:4">
      <c r="A948" s="88"/>
      <c r="B948" s="88"/>
      <c r="C948" s="51" t="s">
        <v>1053</v>
      </c>
      <c r="D948" s="51"/>
    </row>
    <row r="949" spans="1:4">
      <c r="A949" s="88"/>
      <c r="B949" s="88"/>
      <c r="C949" s="51" t="s">
        <v>1054</v>
      </c>
      <c r="D949" s="51"/>
    </row>
    <row r="950" spans="1:4">
      <c r="A950" s="88"/>
      <c r="B950" s="88"/>
      <c r="C950" s="51" t="s">
        <v>1055</v>
      </c>
      <c r="D950" s="51"/>
    </row>
    <row r="951" spans="1:4">
      <c r="A951" s="88"/>
      <c r="B951" s="88"/>
      <c r="C951" s="56" t="s">
        <v>800</v>
      </c>
      <c r="D951" s="56"/>
    </row>
    <row r="952" spans="1:4">
      <c r="A952" s="88"/>
      <c r="B952" s="88"/>
      <c r="C952" s="56" t="s">
        <v>1046</v>
      </c>
      <c r="D952" s="56"/>
    </row>
    <row r="953" spans="1:4">
      <c r="A953" s="88"/>
      <c r="B953" s="88"/>
      <c r="C953" s="51" t="s">
        <v>1056</v>
      </c>
      <c r="D953" s="51" t="s">
        <v>1057</v>
      </c>
    </row>
    <row r="954" spans="1:4">
      <c r="A954" s="88"/>
      <c r="B954" s="88"/>
      <c r="C954" s="51" t="s">
        <v>1011</v>
      </c>
      <c r="D954" s="51" t="s">
        <v>1012</v>
      </c>
    </row>
    <row r="955" spans="1:4">
      <c r="A955" s="88"/>
      <c r="B955" s="88"/>
      <c r="C955" s="51" t="s">
        <v>194</v>
      </c>
      <c r="D955" s="51"/>
    </row>
    <row r="956" spans="1:4">
      <c r="A956" s="94" t="s">
        <v>808</v>
      </c>
      <c r="B956" s="94" t="s">
        <v>5</v>
      </c>
      <c r="C956" s="53" t="s">
        <v>1058</v>
      </c>
      <c r="D956" s="53"/>
    </row>
    <row r="957" spans="1:4">
      <c r="A957" s="95"/>
      <c r="B957" s="95"/>
      <c r="C957" s="53" t="s">
        <v>1059</v>
      </c>
      <c r="D957" s="53"/>
    </row>
    <row r="958" spans="1:4">
      <c r="A958" s="95"/>
      <c r="B958" s="95"/>
      <c r="C958" s="53" t="s">
        <v>1060</v>
      </c>
      <c r="D958" s="53"/>
    </row>
    <row r="959" spans="1:4">
      <c r="A959" s="95"/>
      <c r="B959" s="95"/>
      <c r="C959" s="53" t="s">
        <v>1061</v>
      </c>
      <c r="D959" s="53"/>
    </row>
    <row r="960" spans="1:4">
      <c r="A960" s="95"/>
      <c r="B960" s="95"/>
      <c r="C960" s="53" t="s">
        <v>1062</v>
      </c>
      <c r="D960" s="53"/>
    </row>
    <row r="961" spans="1:5">
      <c r="A961" s="95"/>
      <c r="B961" s="95"/>
      <c r="C961" s="53" t="s">
        <v>1063</v>
      </c>
      <c r="D961" s="53"/>
    </row>
    <row r="962" spans="1:5">
      <c r="A962" s="95"/>
      <c r="B962" s="95"/>
      <c r="C962" s="53" t="s">
        <v>1064</v>
      </c>
      <c r="D962" s="53"/>
    </row>
    <row r="963" spans="1:5">
      <c r="A963" s="95"/>
      <c r="B963" s="95"/>
      <c r="C963" s="53" t="s">
        <v>889</v>
      </c>
      <c r="D963" s="53"/>
      <c r="E963" t="s">
        <v>253</v>
      </c>
    </row>
    <row r="964" spans="1:5">
      <c r="A964" s="96" t="s">
        <v>1065</v>
      </c>
      <c r="B964" s="87" t="s">
        <v>5</v>
      </c>
      <c r="C964" s="51" t="s">
        <v>1023</v>
      </c>
      <c r="D964" s="51"/>
    </row>
    <row r="965" spans="1:5">
      <c r="A965" s="97"/>
      <c r="B965" s="88"/>
      <c r="C965" s="51" t="s">
        <v>1024</v>
      </c>
      <c r="D965" s="51"/>
    </row>
    <row r="966" spans="1:5">
      <c r="A966" s="97"/>
      <c r="B966" s="88"/>
      <c r="C966" s="51" t="s">
        <v>781</v>
      </c>
      <c r="D966" s="51"/>
    </row>
    <row r="967" spans="1:5">
      <c r="A967" s="97"/>
      <c r="B967" s="88"/>
      <c r="C967" s="51" t="s">
        <v>1025</v>
      </c>
      <c r="D967" s="51"/>
    </row>
    <row r="968" spans="1:5">
      <c r="A968" s="97"/>
      <c r="B968" s="88"/>
      <c r="C968" s="51" t="s">
        <v>1026</v>
      </c>
      <c r="D968" s="51"/>
    </row>
    <row r="969" spans="1:5">
      <c r="A969" s="97"/>
      <c r="B969" s="88"/>
      <c r="C969" s="51" t="s">
        <v>1066</v>
      </c>
      <c r="D969" s="51"/>
      <c r="E969" t="s">
        <v>253</v>
      </c>
    </row>
    <row r="970" spans="1:5">
      <c r="A970" s="98" t="s">
        <v>1067</v>
      </c>
      <c r="B970" s="94" t="s">
        <v>5</v>
      </c>
      <c r="C970" s="53" t="s">
        <v>1068</v>
      </c>
      <c r="D970" s="53"/>
    </row>
    <row r="971" spans="1:5">
      <c r="A971" s="99"/>
      <c r="B971" s="95"/>
      <c r="C971" s="53" t="s">
        <v>1069</v>
      </c>
      <c r="D971" s="53"/>
    </row>
    <row r="972" spans="1:5">
      <c r="A972" s="99"/>
      <c r="B972" s="95"/>
      <c r="C972" s="53" t="s">
        <v>1070</v>
      </c>
      <c r="D972" s="53"/>
    </row>
    <row r="973" spans="1:5">
      <c r="A973" s="99"/>
      <c r="B973" s="95"/>
      <c r="C973" s="53" t="s">
        <v>1071</v>
      </c>
      <c r="D973" s="53"/>
    </row>
    <row r="974" spans="1:5">
      <c r="A974" s="99"/>
      <c r="B974" s="95"/>
      <c r="C974" s="53" t="s">
        <v>1072</v>
      </c>
      <c r="D974" s="53"/>
    </row>
    <row r="975" spans="1:5">
      <c r="A975" s="99"/>
      <c r="B975" s="95"/>
      <c r="C975" s="53" t="s">
        <v>1073</v>
      </c>
      <c r="D975" s="53"/>
    </row>
    <row r="976" spans="1:5">
      <c r="A976" s="120"/>
      <c r="B976" s="119"/>
      <c r="C976" s="53" t="s">
        <v>194</v>
      </c>
      <c r="D976" s="53"/>
    </row>
    <row r="977" spans="1:5">
      <c r="A977" s="87" t="s">
        <v>1074</v>
      </c>
      <c r="B977" s="87" t="s">
        <v>5</v>
      </c>
      <c r="C977" s="51" t="s">
        <v>1075</v>
      </c>
      <c r="D977" s="51"/>
      <c r="E977" t="s">
        <v>1076</v>
      </c>
    </row>
    <row r="978" spans="1:5">
      <c r="A978" s="88"/>
      <c r="B978" s="88"/>
      <c r="C978" s="51" t="s">
        <v>1077</v>
      </c>
      <c r="D978" s="51"/>
    </row>
    <row r="979" spans="1:5">
      <c r="A979" s="88"/>
      <c r="B979" s="88"/>
      <c r="C979" s="51" t="s">
        <v>1078</v>
      </c>
      <c r="D979" s="51"/>
    </row>
    <row r="980" spans="1:5">
      <c r="A980" s="88"/>
      <c r="B980" s="88"/>
      <c r="C980" s="51" t="s">
        <v>1079</v>
      </c>
      <c r="D980" s="51"/>
    </row>
    <row r="981" spans="1:5">
      <c r="A981" s="88"/>
      <c r="B981" s="88"/>
      <c r="C981" s="51" t="s">
        <v>1080</v>
      </c>
      <c r="D981" s="51"/>
    </row>
    <row r="982" spans="1:5">
      <c r="A982" s="88"/>
      <c r="B982" s="88"/>
      <c r="C982" s="51" t="s">
        <v>1081</v>
      </c>
      <c r="D982" s="51"/>
    </row>
    <row r="983" spans="1:5">
      <c r="A983" s="88"/>
      <c r="B983" s="88"/>
      <c r="C983" s="51" t="s">
        <v>1082</v>
      </c>
      <c r="D983" s="51"/>
    </row>
    <row r="984" spans="1:5">
      <c r="A984" s="88"/>
      <c r="B984" s="88"/>
      <c r="C984" s="51" t="s">
        <v>1083</v>
      </c>
      <c r="D984" s="51"/>
    </row>
    <row r="985" spans="1:5">
      <c r="A985" s="88"/>
      <c r="B985" s="88"/>
      <c r="C985" s="51" t="s">
        <v>1084</v>
      </c>
      <c r="D985" s="51" t="s">
        <v>1085</v>
      </c>
      <c r="E985" t="s">
        <v>253</v>
      </c>
    </row>
    <row r="986" spans="1:5">
      <c r="A986" s="98" t="s">
        <v>1086</v>
      </c>
      <c r="B986" s="94" t="s">
        <v>5</v>
      </c>
      <c r="C986" s="53" t="s">
        <v>1028</v>
      </c>
      <c r="D986" s="53"/>
    </row>
    <row r="987" spans="1:5">
      <c r="A987" s="99"/>
      <c r="B987" s="95"/>
      <c r="C987" s="53" t="s">
        <v>1029</v>
      </c>
      <c r="D987" s="53"/>
    </row>
    <row r="988" spans="1:5">
      <c r="A988" s="99"/>
      <c r="B988" s="95"/>
      <c r="C988" s="53" t="s">
        <v>1087</v>
      </c>
      <c r="D988" s="53"/>
    </row>
    <row r="989" spans="1:5">
      <c r="A989" s="99"/>
      <c r="B989" s="95"/>
      <c r="C989" s="53" t="s">
        <v>1088</v>
      </c>
      <c r="D989" s="53"/>
    </row>
    <row r="990" spans="1:5">
      <c r="A990" s="99"/>
      <c r="B990" s="95"/>
      <c r="C990" s="53" t="s">
        <v>1089</v>
      </c>
      <c r="D990" s="53"/>
    </row>
    <row r="991" spans="1:5">
      <c r="A991" s="99"/>
      <c r="B991" s="95"/>
      <c r="C991" s="53" t="s">
        <v>1090</v>
      </c>
      <c r="D991" s="53"/>
    </row>
    <row r="992" spans="1:5">
      <c r="A992" s="87" t="s">
        <v>1091</v>
      </c>
      <c r="B992" s="87" t="s">
        <v>5</v>
      </c>
      <c r="C992" s="51" t="s">
        <v>208</v>
      </c>
      <c r="D992" s="51"/>
    </row>
    <row r="993" spans="1:5">
      <c r="A993" s="88"/>
      <c r="B993" s="88"/>
      <c r="C993" s="51" t="s">
        <v>1000</v>
      </c>
      <c r="D993" s="51"/>
    </row>
    <row r="994" spans="1:5">
      <c r="A994" s="88"/>
      <c r="B994" s="88"/>
      <c r="C994" s="51" t="s">
        <v>997</v>
      </c>
      <c r="D994" s="51"/>
    </row>
    <row r="995" spans="1:5">
      <c r="A995" s="88"/>
      <c r="B995" s="88"/>
      <c r="C995" s="51" t="s">
        <v>204</v>
      </c>
      <c r="D995" s="51"/>
    </row>
    <row r="996" spans="1:5">
      <c r="A996" s="88"/>
      <c r="B996" s="88"/>
      <c r="C996" s="51" t="s">
        <v>1092</v>
      </c>
      <c r="D996" s="51" t="s">
        <v>1093</v>
      </c>
    </row>
    <row r="997" spans="1:5">
      <c r="A997" s="88"/>
      <c r="B997" s="88"/>
      <c r="C997" s="51" t="s">
        <v>194</v>
      </c>
      <c r="D997" s="51"/>
    </row>
    <row r="998" spans="1:5">
      <c r="A998" s="94" t="s">
        <v>1094</v>
      </c>
      <c r="B998" s="94" t="s">
        <v>5</v>
      </c>
      <c r="C998" s="53" t="s">
        <v>193</v>
      </c>
      <c r="D998" s="53"/>
      <c r="E998" t="s">
        <v>1076</v>
      </c>
    </row>
    <row r="999" spans="1:5">
      <c r="A999" s="95"/>
      <c r="B999" s="95"/>
      <c r="C999" s="53" t="s">
        <v>1095</v>
      </c>
      <c r="D999" s="53"/>
    </row>
    <row r="1000" spans="1:5">
      <c r="A1000" s="87" t="s">
        <v>1096</v>
      </c>
      <c r="B1000" s="87" t="s">
        <v>5</v>
      </c>
      <c r="C1000" s="51" t="s">
        <v>1097</v>
      </c>
      <c r="D1000" s="51"/>
    </row>
    <row r="1001" spans="1:5">
      <c r="A1001" s="88"/>
      <c r="B1001" s="88"/>
      <c r="C1001" s="51" t="s">
        <v>1098</v>
      </c>
      <c r="D1001" s="51"/>
    </row>
    <row r="1002" spans="1:5">
      <c r="A1002" s="88"/>
      <c r="B1002" s="88"/>
      <c r="C1002" s="51" t="s">
        <v>1099</v>
      </c>
      <c r="D1002" s="51"/>
    </row>
    <row r="1003" spans="1:5">
      <c r="A1003" s="88"/>
      <c r="B1003" s="88"/>
      <c r="C1003" s="51" t="s">
        <v>1100</v>
      </c>
      <c r="D1003" s="51"/>
      <c r="E1003" t="s">
        <v>253</v>
      </c>
    </row>
    <row r="1004" spans="1:5">
      <c r="A1004" s="88"/>
      <c r="B1004" s="88"/>
      <c r="C1004" s="51" t="s">
        <v>1101</v>
      </c>
      <c r="D1004" s="51"/>
    </row>
    <row r="1005" spans="1:5">
      <c r="A1005" s="88"/>
      <c r="B1005" s="88"/>
      <c r="C1005" s="51" t="s">
        <v>1102</v>
      </c>
      <c r="D1005" s="51"/>
    </row>
    <row r="1006" spans="1:5">
      <c r="A1006" s="88"/>
      <c r="B1006" s="88"/>
      <c r="C1006" s="51" t="s">
        <v>1103</v>
      </c>
      <c r="D1006" s="51"/>
      <c r="E1006" t="s">
        <v>253</v>
      </c>
    </row>
    <row r="1007" spans="1:5">
      <c r="A1007" s="88"/>
      <c r="B1007" s="88"/>
      <c r="C1007" s="51" t="s">
        <v>1104</v>
      </c>
      <c r="D1007" s="51"/>
    </row>
    <row r="1008" spans="1:5">
      <c r="A1008" s="88"/>
      <c r="B1008" s="88"/>
      <c r="C1008" s="51" t="s">
        <v>1105</v>
      </c>
      <c r="D1008" s="51"/>
    </row>
    <row r="1009" spans="1:4">
      <c r="A1009" s="88"/>
      <c r="B1009" s="88"/>
      <c r="C1009" s="51" t="s">
        <v>1106</v>
      </c>
      <c r="D1009" s="51"/>
    </row>
    <row r="1010" spans="1:4">
      <c r="A1010" s="88"/>
      <c r="B1010" s="88"/>
      <c r="C1010" s="51" t="s">
        <v>165</v>
      </c>
      <c r="D1010" s="51"/>
    </row>
    <row r="1011" spans="1:4">
      <c r="A1011" s="88"/>
      <c r="B1011" s="88"/>
      <c r="C1011" s="51" t="s">
        <v>1107</v>
      </c>
      <c r="D1011" s="51"/>
    </row>
    <row r="1012" spans="1:4">
      <c r="A1012" s="88"/>
      <c r="B1012" s="88"/>
      <c r="C1012" s="51" t="s">
        <v>1108</v>
      </c>
      <c r="D1012" s="51"/>
    </row>
    <row r="1013" spans="1:4">
      <c r="A1013" s="88"/>
      <c r="B1013" s="88"/>
      <c r="C1013" s="51" t="s">
        <v>1109</v>
      </c>
      <c r="D1013" s="51"/>
    </row>
    <row r="1014" spans="1:4">
      <c r="A1014" s="88"/>
      <c r="B1014" s="88"/>
      <c r="C1014" s="51" t="s">
        <v>1110</v>
      </c>
      <c r="D1014" s="51"/>
    </row>
    <row r="1015" spans="1:4">
      <c r="A1015" s="88"/>
      <c r="B1015" s="88"/>
      <c r="C1015" s="51" t="s">
        <v>154</v>
      </c>
      <c r="D1015" s="51"/>
    </row>
    <row r="1016" spans="1:4">
      <c r="A1016" s="88"/>
      <c r="B1016" s="88"/>
      <c r="C1016" s="51" t="s">
        <v>1111</v>
      </c>
      <c r="D1016" s="51"/>
    </row>
    <row r="1017" spans="1:4">
      <c r="A1017" s="88"/>
      <c r="B1017" s="88"/>
      <c r="C1017" s="51" t="s">
        <v>160</v>
      </c>
      <c r="D1017" s="51"/>
    </row>
    <row r="1018" spans="1:4">
      <c r="A1018" s="88"/>
      <c r="B1018" s="88"/>
      <c r="C1018" s="51" t="s">
        <v>1112</v>
      </c>
      <c r="D1018" s="51"/>
    </row>
    <row r="1019" spans="1:4">
      <c r="A1019" s="88"/>
      <c r="B1019" s="88"/>
      <c r="C1019" s="51" t="s">
        <v>1113</v>
      </c>
      <c r="D1019" s="51"/>
    </row>
    <row r="1020" spans="1:4">
      <c r="A1020" s="88"/>
      <c r="B1020" s="88"/>
      <c r="C1020" s="51" t="s">
        <v>1114</v>
      </c>
      <c r="D1020" s="51"/>
    </row>
    <row r="1021" spans="1:4">
      <c r="A1021" s="88"/>
      <c r="B1021" s="88"/>
      <c r="C1021" s="51" t="s">
        <v>1115</v>
      </c>
      <c r="D1021" s="51"/>
    </row>
    <row r="1022" spans="1:4">
      <c r="A1022" s="88"/>
      <c r="B1022" s="88"/>
      <c r="C1022" s="51" t="s">
        <v>1116</v>
      </c>
      <c r="D1022" s="51"/>
    </row>
    <row r="1023" spans="1:4">
      <c r="A1023" s="88"/>
      <c r="B1023" s="88"/>
      <c r="C1023" s="51" t="s">
        <v>1117</v>
      </c>
      <c r="D1023" s="51"/>
    </row>
    <row r="1024" spans="1:4">
      <c r="A1024" s="88"/>
      <c r="B1024" s="88"/>
      <c r="C1024" s="51" t="s">
        <v>1118</v>
      </c>
      <c r="D1024" s="51"/>
    </row>
    <row r="1025" spans="1:5">
      <c r="A1025" s="88"/>
      <c r="B1025" s="88"/>
      <c r="C1025" s="51" t="s">
        <v>1119</v>
      </c>
      <c r="D1025" s="51"/>
    </row>
    <row r="1026" spans="1:5">
      <c r="A1026" s="88"/>
      <c r="B1026" s="88"/>
      <c r="C1026" s="51" t="s">
        <v>1120</v>
      </c>
      <c r="D1026" s="51"/>
    </row>
    <row r="1027" spans="1:5">
      <c r="A1027" s="88"/>
      <c r="B1027" s="88"/>
      <c r="C1027" s="51" t="s">
        <v>1121</v>
      </c>
      <c r="D1027" s="51"/>
    </row>
    <row r="1028" spans="1:5">
      <c r="A1028" s="88"/>
      <c r="B1028" s="88"/>
      <c r="C1028" s="51" t="s">
        <v>1122</v>
      </c>
      <c r="D1028" s="51"/>
    </row>
    <row r="1029" spans="1:5">
      <c r="A1029" s="88"/>
      <c r="B1029" s="88"/>
      <c r="C1029" s="51" t="s">
        <v>1123</v>
      </c>
      <c r="D1029" s="51"/>
    </row>
    <row r="1030" spans="1:5">
      <c r="A1030" s="88"/>
      <c r="B1030" s="88"/>
      <c r="C1030" s="51" t="s">
        <v>1124</v>
      </c>
      <c r="D1030" s="51"/>
    </row>
    <row r="1031" spans="1:5">
      <c r="A1031" s="88"/>
      <c r="B1031" s="88"/>
      <c r="C1031" s="129" t="s">
        <v>1125</v>
      </c>
      <c r="D1031" s="51"/>
      <c r="E1031" t="s">
        <v>253</v>
      </c>
    </row>
    <row r="1032" spans="1:5">
      <c r="A1032" s="88"/>
      <c r="B1032" s="88"/>
      <c r="C1032" s="51" t="s">
        <v>1126</v>
      </c>
      <c r="D1032" s="51"/>
    </row>
    <row r="1033" spans="1:5">
      <c r="A1033" s="88"/>
      <c r="B1033" s="88"/>
      <c r="C1033" s="51" t="s">
        <v>194</v>
      </c>
      <c r="D1033" s="51"/>
    </row>
    <row r="1034" spans="1:5">
      <c r="A1034" s="64" t="s">
        <v>1127</v>
      </c>
      <c r="B1034" s="64" t="s">
        <v>5</v>
      </c>
      <c r="C1034" s="53" t="s">
        <v>1128</v>
      </c>
      <c r="D1034" s="53"/>
      <c r="E1034" t="s">
        <v>1076</v>
      </c>
    </row>
    <row r="1035" spans="1:5">
      <c r="A1035" s="65"/>
      <c r="B1035" s="65"/>
      <c r="C1035" s="53" t="s">
        <v>1129</v>
      </c>
      <c r="D1035" s="53"/>
    </row>
    <row r="1036" spans="1:5">
      <c r="A1036" s="65"/>
      <c r="B1036" s="65"/>
      <c r="C1036" s="53" t="s">
        <v>194</v>
      </c>
      <c r="D1036" s="53"/>
    </row>
    <row r="1037" spans="1:5">
      <c r="A1037" s="87" t="s">
        <v>1130</v>
      </c>
      <c r="B1037" s="87" t="s">
        <v>5</v>
      </c>
      <c r="C1037" s="51" t="s">
        <v>1131</v>
      </c>
      <c r="D1037" s="51"/>
    </row>
    <row r="1038" spans="1:5">
      <c r="A1038" s="88"/>
      <c r="B1038" s="88"/>
      <c r="C1038" s="51" t="s">
        <v>1132</v>
      </c>
      <c r="D1038" s="51" t="s">
        <v>1133</v>
      </c>
    </row>
    <row r="1039" spans="1:5">
      <c r="A1039" s="88"/>
      <c r="B1039" s="88"/>
      <c r="C1039" s="51" t="s">
        <v>1134</v>
      </c>
      <c r="D1039" s="51" t="s">
        <v>1135</v>
      </c>
    </row>
    <row r="1040" spans="1:5">
      <c r="A1040" s="88"/>
      <c r="B1040" s="88"/>
      <c r="C1040" s="51" t="s">
        <v>1136</v>
      </c>
      <c r="D1040" s="51" t="s">
        <v>1137</v>
      </c>
    </row>
    <row r="1044" spans="4:4">
      <c r="D1044" s="15"/>
    </row>
    <row r="1045" spans="4:4">
      <c r="D1045" s="15"/>
    </row>
    <row r="1046" spans="4:4">
      <c r="D1046" s="15"/>
    </row>
    <row r="1047" spans="4:4">
      <c r="D1047" s="15"/>
    </row>
    <row r="1073" spans="1:3" s="11" customFormat="1"/>
    <row r="1074" spans="1:3" s="11" customFormat="1">
      <c r="A1074" s="40"/>
    </row>
    <row r="1075" spans="1:3" s="11" customFormat="1">
      <c r="C1075" s="15"/>
    </row>
    <row r="1076" spans="1:3" s="11" customFormat="1">
      <c r="C1076" s="15" t="s">
        <v>347</v>
      </c>
    </row>
    <row r="1077" spans="1:3" s="11" customFormat="1">
      <c r="C1077" s="15" t="s">
        <v>173</v>
      </c>
    </row>
    <row r="1078" spans="1:3" s="11" customFormat="1">
      <c r="C1078" s="15" t="s">
        <v>348</v>
      </c>
    </row>
    <row r="1079" spans="1:3" s="11" customFormat="1">
      <c r="C1079" s="15" t="s">
        <v>350</v>
      </c>
    </row>
    <row r="1080" spans="1:3" s="11" customFormat="1">
      <c r="C1080" s="15"/>
    </row>
    <row r="1081" spans="1:3" s="11" customFormat="1">
      <c r="C1081" s="15" t="s">
        <v>347</v>
      </c>
    </row>
    <row r="1082" spans="1:3" s="11" customFormat="1">
      <c r="C1082" s="15" t="s">
        <v>173</v>
      </c>
    </row>
    <row r="1083" spans="1:3" s="11" customFormat="1">
      <c r="C1083" s="15" t="s">
        <v>348</v>
      </c>
    </row>
    <row r="1084" spans="1:3" s="11" customFormat="1">
      <c r="C1084" s="15" t="s">
        <v>350</v>
      </c>
    </row>
    <row r="1085" spans="1:3" s="11" customFormat="1">
      <c r="C1085" s="15" t="s">
        <v>349</v>
      </c>
    </row>
    <row r="1086" spans="1:3" s="11" customFormat="1">
      <c r="C1086" s="15"/>
    </row>
    <row r="1087" spans="1:3" s="11" customFormat="1">
      <c r="C1087" s="15" t="s">
        <v>347</v>
      </c>
    </row>
    <row r="1088" spans="1:3" s="11" customFormat="1">
      <c r="C1088" s="15" t="s">
        <v>173</v>
      </c>
    </row>
    <row r="1089" spans="3:3" s="11" customFormat="1">
      <c r="C1089" s="15" t="s">
        <v>350</v>
      </c>
    </row>
    <row r="1090" spans="3:3" s="11" customFormat="1">
      <c r="C1090" s="15"/>
    </row>
    <row r="1091" spans="3:3" s="11" customFormat="1">
      <c r="C1091" s="15" t="s">
        <v>927</v>
      </c>
    </row>
    <row r="1092" spans="3:3" s="11" customFormat="1">
      <c r="C1092" s="15" t="s">
        <v>194</v>
      </c>
    </row>
    <row r="1093" spans="3:3" s="11" customFormat="1">
      <c r="C1093" s="15"/>
    </row>
    <row r="1094" spans="3:3" s="11" customFormat="1">
      <c r="C1094" s="15" t="s">
        <v>473</v>
      </c>
    </row>
    <row r="1095" spans="3:3" s="11" customFormat="1">
      <c r="C1095" s="15" t="s">
        <v>775</v>
      </c>
    </row>
    <row r="1096" spans="3:3" s="11" customFormat="1">
      <c r="C1096" s="15" t="s">
        <v>776</v>
      </c>
    </row>
    <row r="1097" spans="3:3" s="11" customFormat="1">
      <c r="C1097" s="15" t="s">
        <v>779</v>
      </c>
    </row>
    <row r="1098" spans="3:3" s="11" customFormat="1">
      <c r="C1098" s="15" t="s">
        <v>780</v>
      </c>
    </row>
    <row r="1099" spans="3:3" s="11" customFormat="1">
      <c r="C1099" s="15" t="s">
        <v>781</v>
      </c>
    </row>
    <row r="1100" spans="3:3" s="11" customFormat="1">
      <c r="C1100" s="15" t="s">
        <v>782</v>
      </c>
    </row>
    <row r="1101" spans="3:3" s="11" customFormat="1">
      <c r="C1101" s="15" t="s">
        <v>783</v>
      </c>
    </row>
    <row r="1102" spans="3:3" s="11" customFormat="1">
      <c r="C1102" s="15" t="s">
        <v>784</v>
      </c>
    </row>
    <row r="1103" spans="3:3" s="11" customFormat="1">
      <c r="C1103" s="15" t="s">
        <v>786</v>
      </c>
    </row>
    <row r="1104" spans="3:3" s="11" customFormat="1">
      <c r="C1104" s="15" t="s">
        <v>519</v>
      </c>
    </row>
    <row r="1105" spans="3:3" s="11" customFormat="1">
      <c r="C1105" s="15" t="s">
        <v>194</v>
      </c>
    </row>
    <row r="1106" spans="3:3" s="11" customFormat="1">
      <c r="C1106" s="15"/>
    </row>
    <row r="1107" spans="3:3" s="11" customFormat="1">
      <c r="C1107" s="15"/>
    </row>
    <row r="1108" spans="3:3">
      <c r="C1108" s="15" t="s">
        <v>925</v>
      </c>
    </row>
    <row r="1109" spans="3:3" s="11" customFormat="1">
      <c r="C1109" s="15" t="s">
        <v>926</v>
      </c>
    </row>
    <row r="1110" spans="3:3" s="11" customFormat="1">
      <c r="C1110" s="15" t="s">
        <v>928</v>
      </c>
    </row>
    <row r="1111" spans="3:3" s="11" customFormat="1">
      <c r="C1111" s="15" t="s">
        <v>194</v>
      </c>
    </row>
    <row r="1112" spans="3:3" s="11" customFormat="1">
      <c r="C1112" s="15"/>
    </row>
    <row r="1113" spans="3:3" s="11" customFormat="1">
      <c r="C1113" s="15" t="s">
        <v>356</v>
      </c>
    </row>
    <row r="1114" spans="3:3" s="11" customFormat="1">
      <c r="C1114" s="15" t="s">
        <v>357</v>
      </c>
    </row>
    <row r="1115" spans="3:3" s="11" customFormat="1">
      <c r="C1115" s="15" t="s">
        <v>33</v>
      </c>
    </row>
    <row r="1116" spans="3:3" s="11" customFormat="1">
      <c r="C1116" s="15" t="s">
        <v>194</v>
      </c>
    </row>
    <row r="1117" spans="3:3" s="11" customFormat="1">
      <c r="C1117" s="15"/>
    </row>
    <row r="1118" spans="3:3" s="11" customFormat="1">
      <c r="C1118" s="15" t="s">
        <v>362</v>
      </c>
    </row>
    <row r="1119" spans="3:3" s="11" customFormat="1">
      <c r="C1119" s="15" t="s">
        <v>1138</v>
      </c>
    </row>
    <row r="1120" spans="3:3" s="11" customFormat="1">
      <c r="C1120" s="15"/>
    </row>
    <row r="1121" spans="3:3">
      <c r="C1121" s="15" t="s">
        <v>362</v>
      </c>
    </row>
    <row r="1122" spans="3:3" s="11" customFormat="1">
      <c r="C1122" s="15" t="s">
        <v>364</v>
      </c>
    </row>
    <row r="1123" spans="3:3" s="11" customFormat="1">
      <c r="C1123" s="15" t="s">
        <v>366</v>
      </c>
    </row>
    <row r="1124" spans="3:3" s="11" customFormat="1">
      <c r="C1124" s="15" t="s">
        <v>368</v>
      </c>
    </row>
    <row r="1125" spans="3:3">
      <c r="C1125" s="15" t="s">
        <v>373</v>
      </c>
    </row>
    <row r="1126" spans="3:3">
      <c r="C1126" s="15" t="s">
        <v>194</v>
      </c>
    </row>
    <row r="1129" spans="3:3">
      <c r="C1129" s="15" t="s">
        <v>469</v>
      </c>
    </row>
    <row r="1130" spans="3:3">
      <c r="C1130" s="15" t="s">
        <v>470</v>
      </c>
    </row>
    <row r="1131" spans="3:3">
      <c r="C1131" s="15" t="s">
        <v>472</v>
      </c>
    </row>
    <row r="1132" spans="3:3">
      <c r="C1132" s="15" t="s">
        <v>473</v>
      </c>
    </row>
    <row r="1133" spans="3:3">
      <c r="C1133" s="15" t="s">
        <v>474</v>
      </c>
    </row>
    <row r="1134" spans="3:3">
      <c r="C1134" s="15" t="s">
        <v>476</v>
      </c>
    </row>
    <row r="1135" spans="3:3">
      <c r="C1135" s="15" t="s">
        <v>477</v>
      </c>
    </row>
    <row r="1136" spans="3:3">
      <c r="C1136" s="15" t="s">
        <v>478</v>
      </c>
    </row>
    <row r="1137" spans="3:3">
      <c r="C1137" s="15" t="s">
        <v>479</v>
      </c>
    </row>
    <row r="1138" spans="3:3">
      <c r="C1138" s="15" t="s">
        <v>480</v>
      </c>
    </row>
    <row r="1139" spans="3:3">
      <c r="C1139" s="15" t="s">
        <v>481</v>
      </c>
    </row>
    <row r="1140" spans="3:3">
      <c r="C1140" s="15" t="s">
        <v>482</v>
      </c>
    </row>
    <row r="1141" spans="3:3">
      <c r="C1141" s="15" t="s">
        <v>483</v>
      </c>
    </row>
    <row r="1142" spans="3:3">
      <c r="C1142" s="15" t="s">
        <v>484</v>
      </c>
    </row>
    <row r="1143" spans="3:3">
      <c r="C1143" s="15" t="s">
        <v>485</v>
      </c>
    </row>
    <row r="1144" spans="3:3">
      <c r="C1144" s="15" t="s">
        <v>487</v>
      </c>
    </row>
    <row r="1145" spans="3:3">
      <c r="C1145" s="15" t="s">
        <v>488</v>
      </c>
    </row>
    <row r="1146" spans="3:3">
      <c r="C1146" s="15" t="s">
        <v>489</v>
      </c>
    </row>
    <row r="1147" spans="3:3">
      <c r="C1147" s="15" t="s">
        <v>491</v>
      </c>
    </row>
    <row r="1148" spans="3:3">
      <c r="C1148" s="15" t="s">
        <v>492</v>
      </c>
    </row>
    <row r="1149" spans="3:3">
      <c r="C1149" s="15" t="s">
        <v>493</v>
      </c>
    </row>
    <row r="1150" spans="3:3">
      <c r="C1150" s="15" t="s">
        <v>494</v>
      </c>
    </row>
    <row r="1151" spans="3:3">
      <c r="C1151" s="15" t="s">
        <v>495</v>
      </c>
    </row>
    <row r="1152" spans="3:3">
      <c r="C1152" s="15" t="s">
        <v>496</v>
      </c>
    </row>
    <row r="1153" spans="3:3">
      <c r="C1153" s="15" t="s">
        <v>497</v>
      </c>
    </row>
    <row r="1154" spans="3:3">
      <c r="C1154" s="15" t="s">
        <v>498</v>
      </c>
    </row>
    <row r="1155" spans="3:3">
      <c r="C1155" s="15" t="s">
        <v>499</v>
      </c>
    </row>
    <row r="1156" spans="3:3">
      <c r="C1156" s="15" t="s">
        <v>500</v>
      </c>
    </row>
    <row r="1157" spans="3:3">
      <c r="C1157" s="15" t="s">
        <v>501</v>
      </c>
    </row>
    <row r="1158" spans="3:3">
      <c r="C1158" s="15" t="s">
        <v>502</v>
      </c>
    </row>
    <row r="1159" spans="3:3">
      <c r="C1159" s="15" t="s">
        <v>503</v>
      </c>
    </row>
    <row r="1160" spans="3:3">
      <c r="C1160" s="15" t="s">
        <v>504</v>
      </c>
    </row>
    <row r="1161" spans="3:3">
      <c r="C1161" s="15" t="s">
        <v>505</v>
      </c>
    </row>
    <row r="1162" spans="3:3">
      <c r="C1162" s="15" t="s">
        <v>506</v>
      </c>
    </row>
    <row r="1163" spans="3:3" ht="14.45" customHeight="1">
      <c r="C1163" s="15" t="s">
        <v>507</v>
      </c>
    </row>
    <row r="1164" spans="3:3">
      <c r="C1164" s="15" t="s">
        <v>509</v>
      </c>
    </row>
    <row r="1165" spans="3:3">
      <c r="C1165" s="15" t="s">
        <v>510</v>
      </c>
    </row>
    <row r="1166" spans="3:3">
      <c r="C1166" s="15" t="s">
        <v>511</v>
      </c>
    </row>
    <row r="1167" spans="3:3">
      <c r="C1167" s="15" t="s">
        <v>512</v>
      </c>
    </row>
    <row r="1168" spans="3:3">
      <c r="C1168" s="15" t="s">
        <v>514</v>
      </c>
    </row>
    <row r="1169" spans="3:3">
      <c r="C1169" s="15" t="s">
        <v>518</v>
      </c>
    </row>
    <row r="1170" spans="3:3">
      <c r="C1170" s="15" t="s">
        <v>194</v>
      </c>
    </row>
    <row r="1171" spans="3:3">
      <c r="C1171" s="15" t="s">
        <v>520</v>
      </c>
    </row>
    <row r="1172" spans="3:3">
      <c r="C1172" s="15" t="s">
        <v>521</v>
      </c>
    </row>
    <row r="1173" spans="3:3">
      <c r="C1173" s="15" t="s">
        <v>522</v>
      </c>
    </row>
    <row r="1174" spans="3:3">
      <c r="C1174" s="15" t="s">
        <v>523</v>
      </c>
    </row>
    <row r="1175" spans="3:3">
      <c r="C1175" s="15" t="s">
        <v>524</v>
      </c>
    </row>
    <row r="1176" spans="3:3">
      <c r="C1176" s="15" t="s">
        <v>525</v>
      </c>
    </row>
    <row r="1177" spans="3:3">
      <c r="C1177" s="15" t="s">
        <v>526</v>
      </c>
    </row>
    <row r="1178" spans="3:3">
      <c r="C1178" s="15" t="s">
        <v>527</v>
      </c>
    </row>
    <row r="1179" spans="3:3">
      <c r="C1179" s="15" t="s">
        <v>528</v>
      </c>
    </row>
    <row r="1180" spans="3:3">
      <c r="C1180" s="15" t="s">
        <v>529</v>
      </c>
    </row>
    <row r="1181" spans="3:3">
      <c r="C1181" s="15" t="s">
        <v>530</v>
      </c>
    </row>
    <row r="1182" spans="3:3">
      <c r="C1182" s="15" t="s">
        <v>531</v>
      </c>
    </row>
    <row r="1183" spans="3:3">
      <c r="C1183" s="15" t="s">
        <v>532</v>
      </c>
    </row>
    <row r="1184" spans="3:3">
      <c r="C1184" s="15" t="s">
        <v>533</v>
      </c>
    </row>
    <row r="1185" spans="3:3">
      <c r="C1185" s="15" t="s">
        <v>534</v>
      </c>
    </row>
    <row r="1186" spans="3:3">
      <c r="C1186" s="15" t="s">
        <v>535</v>
      </c>
    </row>
    <row r="1187" spans="3:3">
      <c r="C1187" s="15" t="s">
        <v>536</v>
      </c>
    </row>
    <row r="1188" spans="3:3">
      <c r="C1188" s="15" t="s">
        <v>537</v>
      </c>
    </row>
    <row r="1189" spans="3:3">
      <c r="C1189" s="15" t="s">
        <v>539</v>
      </c>
    </row>
    <row r="1190" spans="3:3">
      <c r="C1190" s="15" t="s">
        <v>541</v>
      </c>
    </row>
    <row r="1191" spans="3:3">
      <c r="C1191" s="15" t="s">
        <v>543</v>
      </c>
    </row>
    <row r="1192" spans="3:3">
      <c r="C1192" s="128" t="s">
        <v>544</v>
      </c>
    </row>
    <row r="1193" spans="3:3">
      <c r="C1193" s="15" t="s">
        <v>546</v>
      </c>
    </row>
    <row r="1194" spans="3:3">
      <c r="C1194" s="15" t="s">
        <v>547</v>
      </c>
    </row>
    <row r="1195" spans="3:3">
      <c r="C1195" s="15" t="s">
        <v>548</v>
      </c>
    </row>
    <row r="1196" spans="3:3">
      <c r="C1196" s="15" t="s">
        <v>549</v>
      </c>
    </row>
    <row r="1197" spans="3:3">
      <c r="C1197" s="15" t="s">
        <v>550</v>
      </c>
    </row>
    <row r="1198" spans="3:3">
      <c r="C1198" s="15" t="s">
        <v>551</v>
      </c>
    </row>
    <row r="1199" spans="3:3">
      <c r="C1199" s="15" t="s">
        <v>552</v>
      </c>
    </row>
    <row r="1200" spans="3:3">
      <c r="C1200" s="15" t="s">
        <v>553</v>
      </c>
    </row>
    <row r="1201" spans="3:3">
      <c r="C1201" s="15" t="s">
        <v>555</v>
      </c>
    </row>
    <row r="1202" spans="3:3">
      <c r="C1202" s="15" t="s">
        <v>556</v>
      </c>
    </row>
    <row r="1203" spans="3:3">
      <c r="C1203" s="15" t="s">
        <v>558</v>
      </c>
    </row>
    <row r="1204" spans="3:3">
      <c r="C1204" s="15" t="s">
        <v>559</v>
      </c>
    </row>
    <row r="1205" spans="3:3">
      <c r="C1205" s="15" t="s">
        <v>560</v>
      </c>
    </row>
    <row r="1206" spans="3:3">
      <c r="C1206" s="15" t="s">
        <v>561</v>
      </c>
    </row>
    <row r="1207" spans="3:3">
      <c r="C1207" s="15" t="s">
        <v>562</v>
      </c>
    </row>
    <row r="1208" spans="3:3">
      <c r="C1208" s="15" t="s">
        <v>564</v>
      </c>
    </row>
    <row r="1209" spans="3:3">
      <c r="C1209" s="15" t="s">
        <v>565</v>
      </c>
    </row>
    <row r="1210" spans="3:3">
      <c r="C1210" s="15" t="s">
        <v>566</v>
      </c>
    </row>
    <row r="1211" spans="3:3">
      <c r="C1211" s="15" t="s">
        <v>567</v>
      </c>
    </row>
    <row r="1212" spans="3:3">
      <c r="C1212" s="15" t="s">
        <v>568</v>
      </c>
    </row>
    <row r="1213" spans="3:3">
      <c r="C1213" s="15" t="s">
        <v>569</v>
      </c>
    </row>
    <row r="1214" spans="3:3">
      <c r="C1214" s="15" t="s">
        <v>570</v>
      </c>
    </row>
    <row r="1215" spans="3:3">
      <c r="C1215" s="15" t="s">
        <v>571</v>
      </c>
    </row>
    <row r="1216" spans="3:3">
      <c r="C1216" s="15" t="s">
        <v>573</v>
      </c>
    </row>
    <row r="1217" spans="3:3">
      <c r="C1217" s="15" t="s">
        <v>574</v>
      </c>
    </row>
    <row r="1218" spans="3:3">
      <c r="C1218" s="15" t="s">
        <v>575</v>
      </c>
    </row>
    <row r="1219" spans="3:3">
      <c r="C1219" s="15" t="s">
        <v>576</v>
      </c>
    </row>
    <row r="1220" spans="3:3">
      <c r="C1220" s="15" t="s">
        <v>577</v>
      </c>
    </row>
    <row r="1221" spans="3:3">
      <c r="C1221" s="15" t="s">
        <v>578</v>
      </c>
    </row>
    <row r="1222" spans="3:3">
      <c r="C1222" s="15" t="s">
        <v>579</v>
      </c>
    </row>
    <row r="1223" spans="3:3">
      <c r="C1223" s="15" t="s">
        <v>580</v>
      </c>
    </row>
    <row r="1224" spans="3:3">
      <c r="C1224" s="15" t="s">
        <v>581</v>
      </c>
    </row>
    <row r="1225" spans="3:3">
      <c r="C1225" s="15" t="s">
        <v>582</v>
      </c>
    </row>
    <row r="1226" spans="3:3">
      <c r="C1226" s="15" t="s">
        <v>583</v>
      </c>
    </row>
    <row r="1227" spans="3:3">
      <c r="C1227" s="15" t="s">
        <v>584</v>
      </c>
    </row>
    <row r="1228" spans="3:3">
      <c r="C1228" s="15" t="s">
        <v>585</v>
      </c>
    </row>
    <row r="1229" spans="3:3">
      <c r="C1229" s="15" t="s">
        <v>586</v>
      </c>
    </row>
    <row r="1230" spans="3:3">
      <c r="C1230" s="15" t="s">
        <v>587</v>
      </c>
    </row>
    <row r="1231" spans="3:3">
      <c r="C1231" s="15" t="s">
        <v>588</v>
      </c>
    </row>
    <row r="1232" spans="3:3">
      <c r="C1232" s="15" t="s">
        <v>589</v>
      </c>
    </row>
    <row r="1233" spans="3:3">
      <c r="C1233" s="15" t="s">
        <v>590</v>
      </c>
    </row>
    <row r="1234" spans="3:3">
      <c r="C1234" s="15" t="s">
        <v>591</v>
      </c>
    </row>
    <row r="1235" spans="3:3">
      <c r="C1235" s="15" t="s">
        <v>592</v>
      </c>
    </row>
    <row r="1236" spans="3:3">
      <c r="C1236" s="15" t="s">
        <v>593</v>
      </c>
    </row>
    <row r="1237" spans="3:3">
      <c r="C1237" s="15" t="s">
        <v>595</v>
      </c>
    </row>
    <row r="1238" spans="3:3">
      <c r="C1238" s="15" t="s">
        <v>596</v>
      </c>
    </row>
    <row r="1239" spans="3:3">
      <c r="C1239" s="15" t="s">
        <v>597</v>
      </c>
    </row>
    <row r="1240" spans="3:3">
      <c r="C1240" s="15" t="s">
        <v>598</v>
      </c>
    </row>
    <row r="1241" spans="3:3">
      <c r="C1241" s="15" t="s">
        <v>599</v>
      </c>
    </row>
    <row r="1242" spans="3:3">
      <c r="C1242" s="15" t="s">
        <v>600</v>
      </c>
    </row>
    <row r="1243" spans="3:3">
      <c r="C1243" s="15" t="s">
        <v>601</v>
      </c>
    </row>
    <row r="1244" spans="3:3">
      <c r="C1244" s="15" t="s">
        <v>602</v>
      </c>
    </row>
    <row r="1245" spans="3:3">
      <c r="C1245" s="15" t="s">
        <v>603</v>
      </c>
    </row>
    <row r="1248" spans="3:3">
      <c r="C1248" s="15" t="s">
        <v>363</v>
      </c>
    </row>
    <row r="1249" spans="3:3">
      <c r="C1249" s="15" t="s">
        <v>364</v>
      </c>
    </row>
    <row r="1250" spans="3:3">
      <c r="C1250" s="15" t="s">
        <v>366</v>
      </c>
    </row>
    <row r="1251" spans="3:3">
      <c r="C1251" s="15" t="s">
        <v>369</v>
      </c>
    </row>
    <row r="1252" spans="3:3">
      <c r="C1252" s="15" t="s">
        <v>371</v>
      </c>
    </row>
    <row r="1253" spans="3:3">
      <c r="C1253" s="15" t="s">
        <v>194</v>
      </c>
    </row>
    <row r="1255" spans="3:3">
      <c r="C1255" s="15" t="s">
        <v>363</v>
      </c>
    </row>
    <row r="1256" spans="3:3">
      <c r="C1256" s="15" t="s">
        <v>368</v>
      </c>
    </row>
    <row r="1257" spans="3:3">
      <c r="C1257" s="15" t="s">
        <v>373</v>
      </c>
    </row>
    <row r="1258" spans="3:3">
      <c r="C1258" s="15" t="s">
        <v>364</v>
      </c>
    </row>
    <row r="1259" spans="3:3">
      <c r="C1259" s="15" t="s">
        <v>194</v>
      </c>
    </row>
    <row r="1261" spans="3:3">
      <c r="C1261" s="15" t="s">
        <v>362</v>
      </c>
    </row>
    <row r="1262" spans="3:3">
      <c r="C1262" s="15" t="s">
        <v>364</v>
      </c>
    </row>
    <row r="1263" spans="3:3">
      <c r="C1263" s="15" t="s">
        <v>371</v>
      </c>
    </row>
    <row r="1264" spans="3:3">
      <c r="C1264" s="15" t="s">
        <v>369</v>
      </c>
    </row>
    <row r="1265" spans="3:3">
      <c r="C1265" s="15" t="s">
        <v>194</v>
      </c>
    </row>
    <row r="1267" spans="3:3">
      <c r="C1267" s="15" t="s">
        <v>363</v>
      </c>
    </row>
    <row r="1268" spans="3:3">
      <c r="C1268" s="15" t="s">
        <v>364</v>
      </c>
    </row>
    <row r="1269" spans="3:3">
      <c r="C1269" s="15" t="s">
        <v>194</v>
      </c>
    </row>
    <row r="1272" spans="3:3">
      <c r="C1272" s="15" t="s">
        <v>362</v>
      </c>
    </row>
    <row r="1273" spans="3:3">
      <c r="C1273" s="15" t="s">
        <v>364</v>
      </c>
    </row>
    <row r="1274" spans="3:3">
      <c r="C1274" s="15" t="s">
        <v>366</v>
      </c>
    </row>
    <row r="1275" spans="3:3">
      <c r="C1275" s="15" t="s">
        <v>368</v>
      </c>
    </row>
    <row r="1276" spans="3:3">
      <c r="C1276" s="15" t="s">
        <v>369</v>
      </c>
    </row>
    <row r="1277" spans="3:3">
      <c r="C1277" s="15" t="s">
        <v>370</v>
      </c>
    </row>
    <row r="1278" spans="3:3">
      <c r="C1278" s="15" t="s">
        <v>371</v>
      </c>
    </row>
    <row r="1279" spans="3:3">
      <c r="C1279" s="15" t="s">
        <v>372</v>
      </c>
    </row>
    <row r="1280" spans="3:3">
      <c r="C1280" s="15" t="s">
        <v>373</v>
      </c>
    </row>
    <row r="1281" spans="3:3">
      <c r="C1281" s="15" t="s">
        <v>194</v>
      </c>
    </row>
    <row r="1283" spans="3:3">
      <c r="C1283" s="15" t="s">
        <v>31</v>
      </c>
    </row>
    <row r="1284" spans="3:3">
      <c r="C1284" s="15" t="s">
        <v>377</v>
      </c>
    </row>
    <row r="1285" spans="3:3">
      <c r="C1285" s="15" t="s">
        <v>379</v>
      </c>
    </row>
    <row r="1286" spans="3:3">
      <c r="C1286" s="15" t="s">
        <v>381</v>
      </c>
    </row>
    <row r="1287" spans="3:3">
      <c r="C1287" s="15" t="s">
        <v>383</v>
      </c>
    </row>
    <row r="1288" spans="3:3">
      <c r="C1288" s="15" t="s">
        <v>385</v>
      </c>
    </row>
    <row r="1289" spans="3:3">
      <c r="C1289" s="15" t="s">
        <v>387</v>
      </c>
    </row>
    <row r="1290" spans="3:3">
      <c r="C1290" s="15" t="s">
        <v>389</v>
      </c>
    </row>
    <row r="1291" spans="3:3">
      <c r="C1291" s="15" t="s">
        <v>391</v>
      </c>
    </row>
    <row r="1292" spans="3:3">
      <c r="C1292" s="15" t="s">
        <v>393</v>
      </c>
    </row>
    <row r="1293" spans="3:3">
      <c r="C1293" s="15" t="s">
        <v>395</v>
      </c>
    </row>
    <row r="1294" spans="3:3">
      <c r="C1294" s="15" t="s">
        <v>397</v>
      </c>
    </row>
    <row r="1295" spans="3:3">
      <c r="C1295" s="15" t="s">
        <v>399</v>
      </c>
    </row>
    <row r="1296" spans="3:3">
      <c r="C1296" s="15" t="s">
        <v>401</v>
      </c>
    </row>
    <row r="1297" spans="3:3">
      <c r="C1297" s="15" t="s">
        <v>403</v>
      </c>
    </row>
    <row r="1298" spans="3:3">
      <c r="C1298" s="15" t="s">
        <v>405</v>
      </c>
    </row>
    <row r="1299" spans="3:3">
      <c r="C1299" s="15" t="s">
        <v>407</v>
      </c>
    </row>
    <row r="1300" spans="3:3">
      <c r="C1300" s="15" t="s">
        <v>409</v>
      </c>
    </row>
    <row r="1301" spans="3:3">
      <c r="C1301" s="15" t="s">
        <v>411</v>
      </c>
    </row>
    <row r="1302" spans="3:3">
      <c r="C1302" s="15" t="s">
        <v>413</v>
      </c>
    </row>
    <row r="1303" spans="3:3">
      <c r="C1303" s="15" t="s">
        <v>415</v>
      </c>
    </row>
    <row r="1304" spans="3:3">
      <c r="C1304" s="15" t="s">
        <v>417</v>
      </c>
    </row>
    <row r="1305" spans="3:3">
      <c r="C1305" s="15" t="s">
        <v>419</v>
      </c>
    </row>
    <row r="1306" spans="3:3">
      <c r="C1306" s="15" t="s">
        <v>421</v>
      </c>
    </row>
    <row r="1307" spans="3:3">
      <c r="C1307" s="15" t="s">
        <v>423</v>
      </c>
    </row>
    <row r="1308" spans="3:3">
      <c r="C1308" s="15" t="s">
        <v>425</v>
      </c>
    </row>
    <row r="1309" spans="3:3">
      <c r="C1309" s="15" t="s">
        <v>427</v>
      </c>
    </row>
    <row r="1310" spans="3:3">
      <c r="C1310" s="15" t="s">
        <v>429</v>
      </c>
    </row>
    <row r="1311" spans="3:3">
      <c r="C1311" s="15" t="s">
        <v>431</v>
      </c>
    </row>
    <row r="1312" spans="3:3">
      <c r="C1312" s="15" t="s">
        <v>433</v>
      </c>
    </row>
    <row r="1313" spans="3:3">
      <c r="C1313" s="15" t="s">
        <v>435</v>
      </c>
    </row>
    <row r="1314" spans="3:3">
      <c r="C1314" s="15" t="s">
        <v>437</v>
      </c>
    </row>
    <row r="1315" spans="3:3">
      <c r="C1315" s="15" t="s">
        <v>194</v>
      </c>
    </row>
  </sheetData>
  <autoFilter ref="A1:D1040" xr:uid="{00000000-0009-0000-0000-00001F000000}"/>
  <sortState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/>
  <dimension ref="A1:E795"/>
  <sheetViews>
    <sheetView showGridLines="0" rightToLeft="1" workbookViewId="0">
      <pane ySplit="1" topLeftCell="A2" activePane="bottomLeft" state="frozen"/>
      <selection pane="bottomLeft"/>
    </sheetView>
  </sheetViews>
  <sheetFormatPr defaultRowHeight="15" outlineLevelRow="1"/>
  <cols>
    <col min="1" max="1" width="25.625" style="57" customWidth="1"/>
    <col min="2" max="2" width="48.75" style="57" customWidth="1"/>
    <col min="3" max="3" width="12" customWidth="1"/>
    <col min="4" max="4" width="23.5" style="1" customWidth="1"/>
    <col min="5" max="5" width="14.25" customWidth="1"/>
  </cols>
  <sheetData>
    <row r="1" spans="1:5" ht="15.75">
      <c r="A1" s="106" t="s">
        <v>1139</v>
      </c>
      <c r="B1" s="107" t="s">
        <v>1140</v>
      </c>
      <c r="C1" s="107" t="s">
        <v>1141</v>
      </c>
      <c r="D1" s="108" t="s">
        <v>1142</v>
      </c>
      <c r="E1" s="122"/>
    </row>
    <row r="2" spans="1:5" ht="15.75" outlineLevel="1">
      <c r="A2" s="36" t="s">
        <v>984</v>
      </c>
      <c r="B2" s="37" t="s">
        <v>0</v>
      </c>
      <c r="C2" s="36">
        <v>5.0999999999999996</v>
      </c>
      <c r="D2" s="110"/>
    </row>
    <row r="3" spans="1:5" ht="15.75" outlineLevel="1">
      <c r="A3" s="36" t="s">
        <v>984</v>
      </c>
      <c r="B3" s="37" t="s">
        <v>1</v>
      </c>
      <c r="C3" s="36">
        <v>5.2</v>
      </c>
      <c r="D3" s="110"/>
    </row>
    <row r="4" spans="1:5" ht="15.75" outlineLevel="1">
      <c r="A4" s="36" t="s">
        <v>984</v>
      </c>
      <c r="B4" s="37" t="s">
        <v>195</v>
      </c>
      <c r="C4" s="36">
        <v>5.4</v>
      </c>
      <c r="D4" s="110"/>
    </row>
    <row r="5" spans="1:5" ht="15.75" outlineLevel="1">
      <c r="A5" s="36" t="s">
        <v>984</v>
      </c>
      <c r="B5" s="37" t="s">
        <v>196</v>
      </c>
      <c r="C5" s="36">
        <v>5.7</v>
      </c>
      <c r="D5" s="110"/>
    </row>
    <row r="6" spans="1:5" ht="15.75" outlineLevel="1">
      <c r="A6" s="36" t="s">
        <v>984</v>
      </c>
      <c r="B6" s="37" t="s">
        <v>197</v>
      </c>
      <c r="C6" s="36">
        <v>5.1100000000000003</v>
      </c>
      <c r="D6" s="110"/>
    </row>
    <row r="7" spans="1:5" ht="15.75" outlineLevel="1">
      <c r="A7" s="36" t="s">
        <v>984</v>
      </c>
      <c r="B7" s="37" t="s">
        <v>5</v>
      </c>
      <c r="C7" s="36">
        <v>5.26</v>
      </c>
      <c r="D7" s="110"/>
    </row>
    <row r="8" spans="1:5" ht="15.75" outlineLevel="1">
      <c r="A8" s="36" t="s">
        <v>984</v>
      </c>
      <c r="B8" s="37" t="s">
        <v>6</v>
      </c>
      <c r="C8" s="36">
        <v>5.27</v>
      </c>
      <c r="D8" s="110"/>
    </row>
    <row r="9" spans="1:5" ht="15.75" outlineLevel="1">
      <c r="A9" s="36" t="s">
        <v>984</v>
      </c>
      <c r="B9" s="37" t="s">
        <v>141</v>
      </c>
      <c r="C9" s="36">
        <v>5.36</v>
      </c>
      <c r="D9" s="110"/>
    </row>
    <row r="10" spans="1:5" ht="15.75" outlineLevel="1">
      <c r="A10" s="36" t="s">
        <v>984</v>
      </c>
      <c r="B10" s="37" t="s">
        <v>199</v>
      </c>
      <c r="C10" s="38">
        <v>5.5</v>
      </c>
      <c r="D10" s="110"/>
    </row>
    <row r="11" spans="1:5" ht="15.75" outlineLevel="1">
      <c r="A11" s="36" t="s">
        <v>984</v>
      </c>
      <c r="B11" s="37" t="s">
        <v>10</v>
      </c>
      <c r="C11" s="36">
        <v>5.51</v>
      </c>
      <c r="D11" s="110"/>
    </row>
    <row r="12" spans="1:5" ht="15.75" outlineLevel="1">
      <c r="A12" s="36" t="s">
        <v>984</v>
      </c>
      <c r="B12" s="37" t="s">
        <v>11</v>
      </c>
      <c r="C12" s="36">
        <v>5.53</v>
      </c>
      <c r="D12" s="110"/>
    </row>
    <row r="13" spans="1:5" ht="15.75" outlineLevel="1">
      <c r="A13" s="36" t="s">
        <v>984</v>
      </c>
      <c r="B13" s="37" t="s">
        <v>151</v>
      </c>
      <c r="C13" s="36">
        <v>5.59</v>
      </c>
      <c r="D13" s="110"/>
    </row>
    <row r="14" spans="1:5" ht="15.75" outlineLevel="1">
      <c r="A14" s="36" t="s">
        <v>984</v>
      </c>
      <c r="B14" s="37" t="s">
        <v>18</v>
      </c>
      <c r="C14" s="36">
        <v>5.54</v>
      </c>
      <c r="D14" s="110"/>
    </row>
    <row r="15" spans="1:5" ht="15.75" outlineLevel="1">
      <c r="A15" s="36" t="s">
        <v>984</v>
      </c>
      <c r="B15" s="37" t="s">
        <v>14</v>
      </c>
      <c r="C15" s="38">
        <v>5.7</v>
      </c>
      <c r="D15" s="109" t="s">
        <v>1143</v>
      </c>
    </row>
    <row r="16" spans="1:5" ht="15.75" outlineLevel="1">
      <c r="A16" s="36" t="s">
        <v>984</v>
      </c>
      <c r="B16" s="37" t="s">
        <v>20</v>
      </c>
      <c r="C16" s="36">
        <v>5.63</v>
      </c>
      <c r="D16" s="110"/>
    </row>
    <row r="17" spans="1:4" ht="15.75" outlineLevel="1">
      <c r="A17" s="36" t="s">
        <v>984</v>
      </c>
      <c r="B17" s="37" t="s">
        <v>24</v>
      </c>
      <c r="C17" s="36">
        <v>5.47</v>
      </c>
      <c r="D17" s="110"/>
    </row>
    <row r="18" spans="1:4" ht="15.75" outlineLevel="1">
      <c r="A18" s="36" t="s">
        <v>984</v>
      </c>
      <c r="B18" s="37" t="s">
        <v>25</v>
      </c>
      <c r="C18" s="36">
        <v>5.48</v>
      </c>
      <c r="D18" s="110"/>
    </row>
    <row r="19" spans="1:4" ht="15.75">
      <c r="A19" s="42" t="s">
        <v>984</v>
      </c>
      <c r="B19" s="37"/>
      <c r="C19" s="36"/>
      <c r="D19" s="110"/>
    </row>
    <row r="20" spans="1:4" ht="15.75" outlineLevel="1">
      <c r="A20" s="36" t="s">
        <v>994</v>
      </c>
      <c r="B20" s="37" t="s">
        <v>0</v>
      </c>
      <c r="C20" s="36">
        <v>5.0999999999999996</v>
      </c>
      <c r="D20" s="110"/>
    </row>
    <row r="21" spans="1:4" ht="15.75" outlineLevel="1">
      <c r="A21" s="36" t="s">
        <v>994</v>
      </c>
      <c r="B21" s="37" t="s">
        <v>1</v>
      </c>
      <c r="C21" s="36">
        <v>5.2</v>
      </c>
      <c r="D21" s="110"/>
    </row>
    <row r="22" spans="1:4" ht="15.75" outlineLevel="1">
      <c r="A22" s="36" t="s">
        <v>994</v>
      </c>
      <c r="B22" s="37" t="s">
        <v>2</v>
      </c>
      <c r="C22" s="36">
        <v>5.3</v>
      </c>
      <c r="D22" s="110"/>
    </row>
    <row r="23" spans="1:4" ht="15.75" outlineLevel="1">
      <c r="A23" s="36" t="s">
        <v>994</v>
      </c>
      <c r="B23" s="37" t="s">
        <v>1144</v>
      </c>
      <c r="C23" s="36">
        <v>5.14</v>
      </c>
      <c r="D23" s="110"/>
    </row>
    <row r="24" spans="1:4" ht="15.75" outlineLevel="1">
      <c r="A24" s="36" t="s">
        <v>994</v>
      </c>
      <c r="B24" s="37" t="s">
        <v>4</v>
      </c>
      <c r="C24" s="36">
        <v>5.19</v>
      </c>
      <c r="D24" s="110"/>
    </row>
    <row r="25" spans="1:4" ht="15.75" outlineLevel="1">
      <c r="A25" s="36" t="s">
        <v>994</v>
      </c>
      <c r="B25" s="37" t="s">
        <v>5</v>
      </c>
      <c r="C25" s="36">
        <v>5.26</v>
      </c>
      <c r="D25" s="110"/>
    </row>
    <row r="26" spans="1:4" ht="15.75" outlineLevel="1">
      <c r="A26" s="36" t="s">
        <v>994</v>
      </c>
      <c r="B26" s="37" t="s">
        <v>6</v>
      </c>
      <c r="C26" s="36">
        <v>5.27</v>
      </c>
      <c r="D26" s="110"/>
    </row>
    <row r="27" spans="1:4" ht="15.75" outlineLevel="1">
      <c r="A27" s="36" t="s">
        <v>994</v>
      </c>
      <c r="B27" s="37" t="s">
        <v>7</v>
      </c>
      <c r="C27" s="36">
        <v>5.28</v>
      </c>
      <c r="D27" s="110"/>
    </row>
    <row r="28" spans="1:4" ht="15.75" outlineLevel="1">
      <c r="A28" s="36" t="s">
        <v>994</v>
      </c>
      <c r="B28" s="37" t="s">
        <v>8</v>
      </c>
      <c r="C28" s="38">
        <v>5.3</v>
      </c>
      <c r="D28" s="110"/>
    </row>
    <row r="29" spans="1:4" ht="15.75" outlineLevel="1">
      <c r="A29" s="36" t="s">
        <v>994</v>
      </c>
      <c r="B29" s="37" t="s">
        <v>9</v>
      </c>
      <c r="C29" s="36">
        <v>5.49</v>
      </c>
      <c r="D29" s="110"/>
    </row>
    <row r="30" spans="1:4" ht="15.75" outlineLevel="1">
      <c r="A30" s="36" t="s">
        <v>994</v>
      </c>
      <c r="B30" s="37" t="s">
        <v>10</v>
      </c>
      <c r="C30" s="36">
        <v>5.51</v>
      </c>
      <c r="D30" s="110"/>
    </row>
    <row r="31" spans="1:4" ht="15.75" outlineLevel="1">
      <c r="A31" s="36" t="s">
        <v>994</v>
      </c>
      <c r="B31" s="37" t="s">
        <v>11</v>
      </c>
      <c r="C31" s="36">
        <v>5.53</v>
      </c>
      <c r="D31" s="110"/>
    </row>
    <row r="32" spans="1:4" ht="15.75" outlineLevel="1">
      <c r="A32" s="36" t="s">
        <v>994</v>
      </c>
      <c r="B32" s="37" t="s">
        <v>12</v>
      </c>
      <c r="C32" s="36">
        <v>5.69</v>
      </c>
      <c r="D32" s="110"/>
    </row>
    <row r="33" spans="1:4" ht="15.75" outlineLevel="1">
      <c r="A33" s="36" t="s">
        <v>994</v>
      </c>
      <c r="B33" s="37" t="s">
        <v>13</v>
      </c>
      <c r="C33" s="36">
        <v>5.75</v>
      </c>
      <c r="D33" s="110"/>
    </row>
    <row r="34" spans="1:4" ht="15.75" outlineLevel="1">
      <c r="A34" s="36" t="s">
        <v>994</v>
      </c>
      <c r="B34" s="37" t="s">
        <v>14</v>
      </c>
      <c r="C34" s="38">
        <v>5.7</v>
      </c>
      <c r="D34" s="110"/>
    </row>
    <row r="35" spans="1:4" ht="15.75" outlineLevel="1">
      <c r="A35" s="36" t="s">
        <v>994</v>
      </c>
      <c r="B35" s="37" t="s">
        <v>15</v>
      </c>
      <c r="C35" s="36">
        <v>5.74</v>
      </c>
      <c r="D35" s="110"/>
    </row>
    <row r="36" spans="1:4" ht="15.75" outlineLevel="1">
      <c r="A36" s="36" t="s">
        <v>994</v>
      </c>
      <c r="B36" s="37" t="s">
        <v>16</v>
      </c>
      <c r="C36" s="36">
        <v>5.62</v>
      </c>
      <c r="D36" s="110"/>
    </row>
    <row r="37" spans="1:4" ht="15.75" outlineLevel="1">
      <c r="A37" s="36" t="s">
        <v>994</v>
      </c>
      <c r="B37" s="37" t="s">
        <v>17</v>
      </c>
      <c r="C37" s="36">
        <v>5.58</v>
      </c>
      <c r="D37" s="110"/>
    </row>
    <row r="38" spans="1:4" ht="15.75" outlineLevel="1">
      <c r="A38" s="36" t="s">
        <v>994</v>
      </c>
      <c r="B38" s="37" t="s">
        <v>18</v>
      </c>
      <c r="C38" s="36">
        <v>5.54</v>
      </c>
      <c r="D38" s="110"/>
    </row>
    <row r="39" spans="1:4" ht="15.75" outlineLevel="1">
      <c r="A39" s="36" t="s">
        <v>994</v>
      </c>
      <c r="B39" s="37" t="s">
        <v>19</v>
      </c>
      <c r="C39" s="36">
        <v>5.55</v>
      </c>
      <c r="D39" s="110"/>
    </row>
    <row r="40" spans="1:4" ht="15.75" outlineLevel="1">
      <c r="A40" s="36" t="s">
        <v>994</v>
      </c>
      <c r="B40" s="37" t="s">
        <v>20</v>
      </c>
      <c r="C40" s="36">
        <v>5.63</v>
      </c>
      <c r="D40" s="110"/>
    </row>
    <row r="41" spans="1:4" ht="15.75" outlineLevel="1">
      <c r="A41" s="36" t="s">
        <v>994</v>
      </c>
      <c r="B41" s="37" t="s">
        <v>21</v>
      </c>
      <c r="C41" s="36">
        <v>5.65</v>
      </c>
      <c r="D41" s="110"/>
    </row>
    <row r="42" spans="1:4" ht="15.75" outlineLevel="1">
      <c r="A42" s="36" t="s">
        <v>994</v>
      </c>
      <c r="B42" s="37" t="s">
        <v>22</v>
      </c>
      <c r="C42" s="36">
        <v>5.68</v>
      </c>
      <c r="D42" s="110"/>
    </row>
    <row r="43" spans="1:4" ht="15.75" outlineLevel="1">
      <c r="A43" s="36" t="s">
        <v>994</v>
      </c>
      <c r="B43" s="37" t="s">
        <v>23</v>
      </c>
      <c r="C43" s="36">
        <v>5.45</v>
      </c>
      <c r="D43" s="110"/>
    </row>
    <row r="44" spans="1:4" ht="15.75" outlineLevel="1">
      <c r="A44" s="36" t="s">
        <v>994</v>
      </c>
      <c r="B44" s="37" t="s">
        <v>24</v>
      </c>
      <c r="C44" s="36">
        <v>5.47</v>
      </c>
      <c r="D44" s="110"/>
    </row>
    <row r="45" spans="1:4" ht="15.75" outlineLevel="1">
      <c r="A45" s="36" t="s">
        <v>994</v>
      </c>
      <c r="B45" s="37" t="s">
        <v>25</v>
      </c>
      <c r="C45" s="36">
        <v>5.48</v>
      </c>
      <c r="D45" s="110"/>
    </row>
    <row r="46" spans="1:4" ht="15.75">
      <c r="A46" s="42" t="s">
        <v>994</v>
      </c>
      <c r="B46" s="37"/>
      <c r="C46" s="36"/>
      <c r="D46" s="110"/>
    </row>
    <row r="47" spans="1:4" ht="15.75" outlineLevel="1">
      <c r="A47" s="36" t="s">
        <v>998</v>
      </c>
      <c r="B47" s="37" t="s">
        <v>0</v>
      </c>
      <c r="C47" s="36">
        <v>5.0999999999999996</v>
      </c>
      <c r="D47" s="110"/>
    </row>
    <row r="48" spans="1:4" ht="15.75" outlineLevel="1">
      <c r="A48" s="36" t="s">
        <v>998</v>
      </c>
      <c r="B48" s="37" t="s">
        <v>1</v>
      </c>
      <c r="C48" s="36">
        <v>5.2</v>
      </c>
      <c r="D48" s="110"/>
    </row>
    <row r="49" spans="1:4" ht="15.75" outlineLevel="1">
      <c r="A49" s="36" t="s">
        <v>998</v>
      </c>
      <c r="B49" s="37" t="s">
        <v>2</v>
      </c>
      <c r="C49" s="36">
        <v>5.3</v>
      </c>
      <c r="D49" s="110"/>
    </row>
    <row r="50" spans="1:4" ht="15.75" outlineLevel="1">
      <c r="A50" s="36" t="s">
        <v>998</v>
      </c>
      <c r="B50" s="37" t="s">
        <v>173</v>
      </c>
      <c r="C50" s="36">
        <v>5.6</v>
      </c>
      <c r="D50" s="110"/>
    </row>
    <row r="51" spans="1:4" ht="15.75" outlineLevel="1">
      <c r="A51" s="36" t="s">
        <v>998</v>
      </c>
      <c r="B51" s="37" t="s">
        <v>1145</v>
      </c>
      <c r="C51" s="38">
        <v>5.0999999999999996</v>
      </c>
      <c r="D51" s="110"/>
    </row>
    <row r="52" spans="1:4" ht="15.75" outlineLevel="1">
      <c r="A52" s="36" t="s">
        <v>998</v>
      </c>
      <c r="B52" s="37" t="s">
        <v>1144</v>
      </c>
      <c r="C52" s="36">
        <v>5.14</v>
      </c>
      <c r="D52" s="110"/>
    </row>
    <row r="53" spans="1:4" ht="15.75" outlineLevel="1">
      <c r="A53" s="36" t="s">
        <v>998</v>
      </c>
      <c r="B53" s="37" t="s">
        <v>4</v>
      </c>
      <c r="C53" s="36">
        <v>5.19</v>
      </c>
      <c r="D53" s="110"/>
    </row>
    <row r="54" spans="1:4" ht="15.75" outlineLevel="1">
      <c r="A54" s="36" t="s">
        <v>998</v>
      </c>
      <c r="B54" s="37" t="s">
        <v>175</v>
      </c>
      <c r="C54" s="36">
        <v>5.24</v>
      </c>
      <c r="D54" s="110"/>
    </row>
    <row r="55" spans="1:4" ht="15.75" outlineLevel="1">
      <c r="A55" s="36" t="s">
        <v>998</v>
      </c>
      <c r="B55" s="37" t="s">
        <v>5</v>
      </c>
      <c r="C55" s="36">
        <v>5.26</v>
      </c>
      <c r="D55" s="110"/>
    </row>
    <row r="56" spans="1:4" ht="15.75" outlineLevel="1">
      <c r="A56" s="36" t="s">
        <v>998</v>
      </c>
      <c r="B56" s="37" t="s">
        <v>6</v>
      </c>
      <c r="C56" s="36">
        <v>5.27</v>
      </c>
      <c r="D56" s="110"/>
    </row>
    <row r="57" spans="1:4" ht="15.75" outlineLevel="1">
      <c r="A57" s="36" t="s">
        <v>998</v>
      </c>
      <c r="B57" s="37" t="s">
        <v>7</v>
      </c>
      <c r="C57" s="36">
        <v>5.28</v>
      </c>
      <c r="D57" s="110"/>
    </row>
    <row r="58" spans="1:4" ht="15.75" outlineLevel="1">
      <c r="A58" s="36" t="s">
        <v>998</v>
      </c>
      <c r="B58" s="37" t="s">
        <v>8</v>
      </c>
      <c r="C58" s="38">
        <v>5.3</v>
      </c>
      <c r="D58" s="110"/>
    </row>
    <row r="59" spans="1:4" ht="15.75" outlineLevel="1">
      <c r="A59" s="36" t="s">
        <v>998</v>
      </c>
      <c r="B59" s="37" t="s">
        <v>176</v>
      </c>
      <c r="C59" s="36">
        <v>5.31</v>
      </c>
      <c r="D59" s="110"/>
    </row>
    <row r="60" spans="1:4" ht="15.75" outlineLevel="1">
      <c r="A60" s="36" t="s">
        <v>998</v>
      </c>
      <c r="B60" s="37" t="s">
        <v>141</v>
      </c>
      <c r="C60" s="36">
        <v>5.36</v>
      </c>
      <c r="D60" s="110"/>
    </row>
    <row r="61" spans="1:4" ht="15.75" outlineLevel="1">
      <c r="A61" s="36" t="s">
        <v>998</v>
      </c>
      <c r="B61" s="37" t="s">
        <v>9</v>
      </c>
      <c r="C61" s="36">
        <v>5.49</v>
      </c>
      <c r="D61" s="110"/>
    </row>
    <row r="62" spans="1:4" ht="15.75" outlineLevel="1">
      <c r="A62" s="36" t="s">
        <v>998</v>
      </c>
      <c r="B62" s="37" t="s">
        <v>10</v>
      </c>
      <c r="C62" s="36">
        <v>5.51</v>
      </c>
      <c r="D62" s="110"/>
    </row>
    <row r="63" spans="1:4" ht="15.75" outlineLevel="1">
      <c r="A63" s="36" t="s">
        <v>998</v>
      </c>
      <c r="B63" s="37" t="s">
        <v>1146</v>
      </c>
      <c r="C63" s="36">
        <v>5.52</v>
      </c>
      <c r="D63" s="110"/>
    </row>
    <row r="64" spans="1:4" ht="15.75" outlineLevel="1">
      <c r="A64" s="36" t="s">
        <v>998</v>
      </c>
      <c r="B64" s="37" t="s">
        <v>11</v>
      </c>
      <c r="C64" s="36">
        <v>5.53</v>
      </c>
      <c r="D64" s="110"/>
    </row>
    <row r="65" spans="1:4" ht="15.75" outlineLevel="1">
      <c r="A65" s="36" t="s">
        <v>998</v>
      </c>
      <c r="B65" s="37" t="s">
        <v>12</v>
      </c>
      <c r="C65" s="36">
        <v>5.69</v>
      </c>
      <c r="D65" s="110"/>
    </row>
    <row r="66" spans="1:4" ht="15.75" outlineLevel="1">
      <c r="A66" s="36" t="s">
        <v>998</v>
      </c>
      <c r="B66" s="37" t="s">
        <v>943</v>
      </c>
      <c r="C66" s="38">
        <v>5.72</v>
      </c>
      <c r="D66" s="110"/>
    </row>
    <row r="67" spans="1:4" ht="15.75" outlineLevel="1">
      <c r="A67" s="36" t="s">
        <v>998</v>
      </c>
      <c r="B67" s="37" t="s">
        <v>13</v>
      </c>
      <c r="C67" s="36">
        <v>5.75</v>
      </c>
      <c r="D67" s="110"/>
    </row>
    <row r="68" spans="1:4" ht="15.75" outlineLevel="1">
      <c r="A68" s="36" t="s">
        <v>998</v>
      </c>
      <c r="B68" s="37" t="s">
        <v>14</v>
      </c>
      <c r="C68" s="38">
        <v>5.7</v>
      </c>
      <c r="D68" s="110"/>
    </row>
    <row r="69" spans="1:4" ht="15.75" outlineLevel="1">
      <c r="A69" s="36" t="s">
        <v>998</v>
      </c>
      <c r="B69" s="37" t="s">
        <v>15</v>
      </c>
      <c r="C69" s="36">
        <v>5.74</v>
      </c>
      <c r="D69" s="110"/>
    </row>
    <row r="70" spans="1:4" ht="15.75" outlineLevel="1">
      <c r="A70" s="36" t="s">
        <v>998</v>
      </c>
      <c r="B70" s="37" t="s">
        <v>445</v>
      </c>
      <c r="C70" s="36">
        <v>5.76</v>
      </c>
      <c r="D70" s="110"/>
    </row>
    <row r="71" spans="1:4" ht="15.75" outlineLevel="1">
      <c r="A71" s="36" t="s">
        <v>998</v>
      </c>
      <c r="B71" s="37" t="s">
        <v>864</v>
      </c>
      <c r="C71" s="36">
        <v>5.89</v>
      </c>
      <c r="D71" s="109" t="s">
        <v>1143</v>
      </c>
    </row>
    <row r="72" spans="1:4" ht="15.75" outlineLevel="1">
      <c r="A72" s="36" t="s">
        <v>998</v>
      </c>
      <c r="B72" s="37" t="s">
        <v>17</v>
      </c>
      <c r="C72" s="36">
        <v>5.58</v>
      </c>
      <c r="D72" s="110"/>
    </row>
    <row r="73" spans="1:4" ht="15.75" outlineLevel="1">
      <c r="A73" s="36" t="s">
        <v>998</v>
      </c>
      <c r="B73" s="37" t="s">
        <v>16</v>
      </c>
      <c r="C73" s="36">
        <v>5.62</v>
      </c>
      <c r="D73" s="110"/>
    </row>
    <row r="74" spans="1:4" ht="15.75" outlineLevel="1">
      <c r="A74" s="36" t="s">
        <v>998</v>
      </c>
      <c r="B74" s="37" t="s">
        <v>18</v>
      </c>
      <c r="C74" s="36">
        <v>5.54</v>
      </c>
      <c r="D74" s="110"/>
    </row>
    <row r="75" spans="1:4" ht="15.75" outlineLevel="1">
      <c r="A75" s="36" t="s">
        <v>998</v>
      </c>
      <c r="B75" s="37" t="s">
        <v>19</v>
      </c>
      <c r="C75" s="36">
        <v>5.55</v>
      </c>
      <c r="D75" s="110"/>
    </row>
    <row r="76" spans="1:4" ht="15.75" outlineLevel="1">
      <c r="A76" s="36" t="s">
        <v>998</v>
      </c>
      <c r="B76" s="37" t="s">
        <v>20</v>
      </c>
      <c r="C76" s="36">
        <v>5.63</v>
      </c>
      <c r="D76" s="110"/>
    </row>
    <row r="77" spans="1:4" ht="15.75" outlineLevel="1">
      <c r="A77" s="36" t="s">
        <v>998</v>
      </c>
      <c r="B77" s="37" t="s">
        <v>21</v>
      </c>
      <c r="C77" s="36">
        <v>5.65</v>
      </c>
      <c r="D77" s="110"/>
    </row>
    <row r="78" spans="1:4" ht="15.75" outlineLevel="1">
      <c r="A78" s="36" t="s">
        <v>998</v>
      </c>
      <c r="B78" s="37" t="s">
        <v>192</v>
      </c>
      <c r="C78" s="36">
        <v>5.66</v>
      </c>
      <c r="D78" s="110"/>
    </row>
    <row r="79" spans="1:4" ht="15.75" outlineLevel="1">
      <c r="A79" s="36" t="s">
        <v>998</v>
      </c>
      <c r="B79" s="37" t="s">
        <v>22</v>
      </c>
      <c r="C79" s="36">
        <v>5.68</v>
      </c>
      <c r="D79" s="110"/>
    </row>
    <row r="80" spans="1:4" ht="15.75" outlineLevel="1">
      <c r="A80" s="36" t="s">
        <v>998</v>
      </c>
      <c r="B80" s="37" t="s">
        <v>23</v>
      </c>
      <c r="C80" s="36">
        <v>5.45</v>
      </c>
      <c r="D80" s="110"/>
    </row>
    <row r="81" spans="1:4" ht="15.75" outlineLevel="1">
      <c r="A81" s="36" t="s">
        <v>998</v>
      </c>
      <c r="B81" s="37" t="s">
        <v>24</v>
      </c>
      <c r="C81" s="36">
        <v>5.47</v>
      </c>
      <c r="D81" s="110"/>
    </row>
    <row r="82" spans="1:4" ht="15.75" outlineLevel="1">
      <c r="A82" s="36" t="s">
        <v>998</v>
      </c>
      <c r="B82" s="37" t="s">
        <v>25</v>
      </c>
      <c r="C82" s="36">
        <v>5.48</v>
      </c>
      <c r="D82" s="110"/>
    </row>
    <row r="83" spans="1:4" ht="15.75">
      <c r="A83" s="42" t="s">
        <v>998</v>
      </c>
      <c r="B83" s="37"/>
      <c r="C83" s="36"/>
      <c r="D83" s="110"/>
    </row>
    <row r="84" spans="1:4" ht="15.75" outlineLevel="1">
      <c r="A84" s="36" t="s">
        <v>999</v>
      </c>
      <c r="B84" s="37" t="s">
        <v>0</v>
      </c>
      <c r="C84" s="36">
        <v>5.0999999999999996</v>
      </c>
      <c r="D84" s="110"/>
    </row>
    <row r="85" spans="1:4" ht="15.75" outlineLevel="1">
      <c r="A85" s="36" t="s">
        <v>999</v>
      </c>
      <c r="B85" s="37" t="s">
        <v>1</v>
      </c>
      <c r="C85" s="36">
        <v>5.2</v>
      </c>
      <c r="D85" s="110"/>
    </row>
    <row r="86" spans="1:4" ht="15.75" outlineLevel="1">
      <c r="A86" s="36" t="s">
        <v>999</v>
      </c>
      <c r="B86" s="37" t="s">
        <v>2</v>
      </c>
      <c r="C86" s="36">
        <v>5.3</v>
      </c>
      <c r="D86" s="110"/>
    </row>
    <row r="87" spans="1:4" ht="15.75" outlineLevel="1">
      <c r="A87" s="36" t="s">
        <v>999</v>
      </c>
      <c r="B87" s="37" t="s">
        <v>173</v>
      </c>
      <c r="C87" s="36">
        <v>5.6</v>
      </c>
      <c r="D87" s="110"/>
    </row>
    <row r="88" spans="1:4" ht="15.75" outlineLevel="1">
      <c r="A88" s="36" t="s">
        <v>999</v>
      </c>
      <c r="B88" s="37" t="s">
        <v>1145</v>
      </c>
      <c r="C88" s="38">
        <v>5.0999999999999996</v>
      </c>
      <c r="D88" s="110"/>
    </row>
    <row r="89" spans="1:4" ht="15.75" outlineLevel="1">
      <c r="A89" s="36" t="s">
        <v>999</v>
      </c>
      <c r="B89" s="37" t="s">
        <v>1144</v>
      </c>
      <c r="C89" s="36">
        <v>5.14</v>
      </c>
      <c r="D89" s="110"/>
    </row>
    <row r="90" spans="1:4" ht="15.75" outlineLevel="1">
      <c r="A90" s="36" t="s">
        <v>999</v>
      </c>
      <c r="B90" s="37" t="s">
        <v>4</v>
      </c>
      <c r="C90" s="36">
        <v>5.19</v>
      </c>
      <c r="D90" s="110"/>
    </row>
    <row r="91" spans="1:4" ht="15.75" outlineLevel="1">
      <c r="A91" s="36" t="s">
        <v>999</v>
      </c>
      <c r="B91" s="37" t="s">
        <v>175</v>
      </c>
      <c r="C91" s="36">
        <v>5.24</v>
      </c>
      <c r="D91" s="110"/>
    </row>
    <row r="92" spans="1:4" ht="15.75" outlineLevel="1">
      <c r="A92" s="36" t="s">
        <v>999</v>
      </c>
      <c r="B92" s="37" t="s">
        <v>5</v>
      </c>
      <c r="C92" s="36">
        <v>5.26</v>
      </c>
      <c r="D92" s="110"/>
    </row>
    <row r="93" spans="1:4" ht="15.75" outlineLevel="1">
      <c r="A93" s="36" t="s">
        <v>999</v>
      </c>
      <c r="B93" s="37" t="s">
        <v>6</v>
      </c>
      <c r="C93" s="36">
        <v>5.27</v>
      </c>
      <c r="D93" s="110"/>
    </row>
    <row r="94" spans="1:4" ht="15.75" outlineLevel="1">
      <c r="A94" s="36" t="s">
        <v>999</v>
      </c>
      <c r="B94" s="37" t="s">
        <v>7</v>
      </c>
      <c r="C94" s="36">
        <v>5.28</v>
      </c>
      <c r="D94" s="110"/>
    </row>
    <row r="95" spans="1:4" ht="15.75" outlineLevel="1">
      <c r="A95" s="36" t="s">
        <v>999</v>
      </c>
      <c r="B95" s="37" t="s">
        <v>361</v>
      </c>
      <c r="C95" s="36">
        <v>5.29</v>
      </c>
      <c r="D95" s="110"/>
    </row>
    <row r="96" spans="1:4" ht="15.75" outlineLevel="1">
      <c r="A96" s="36" t="s">
        <v>999</v>
      </c>
      <c r="B96" s="37" t="s">
        <v>8</v>
      </c>
      <c r="C96" s="38">
        <v>5.3</v>
      </c>
      <c r="D96" s="110"/>
    </row>
    <row r="97" spans="1:4" ht="15.75" outlineLevel="1">
      <c r="A97" s="36" t="s">
        <v>999</v>
      </c>
      <c r="B97" s="37" t="s">
        <v>176</v>
      </c>
      <c r="C97" s="36">
        <v>5.31</v>
      </c>
      <c r="D97" s="110"/>
    </row>
    <row r="98" spans="1:4" ht="15.75" outlineLevel="1">
      <c r="A98" s="36" t="s">
        <v>999</v>
      </c>
      <c r="B98" s="37" t="s">
        <v>141</v>
      </c>
      <c r="C98" s="36">
        <v>5.36</v>
      </c>
      <c r="D98" s="110"/>
    </row>
    <row r="99" spans="1:4" ht="15.75" outlineLevel="1">
      <c r="A99" s="36" t="s">
        <v>999</v>
      </c>
      <c r="B99" s="37" t="s">
        <v>9</v>
      </c>
      <c r="C99" s="36">
        <v>5.49</v>
      </c>
      <c r="D99" s="110"/>
    </row>
    <row r="100" spans="1:4" ht="15.75" outlineLevel="1">
      <c r="A100" s="36" t="s">
        <v>999</v>
      </c>
      <c r="B100" s="37" t="s">
        <v>10</v>
      </c>
      <c r="C100" s="36">
        <v>5.51</v>
      </c>
      <c r="D100" s="110"/>
    </row>
    <row r="101" spans="1:4" ht="15.75" outlineLevel="1">
      <c r="A101" s="36" t="s">
        <v>999</v>
      </c>
      <c r="B101" s="37" t="s">
        <v>1146</v>
      </c>
      <c r="C101" s="36">
        <v>5.52</v>
      </c>
      <c r="D101" s="110"/>
    </row>
    <row r="102" spans="1:4" ht="15.75" outlineLevel="1">
      <c r="A102" s="36" t="s">
        <v>999</v>
      </c>
      <c r="B102" s="37" t="s">
        <v>11</v>
      </c>
      <c r="C102" s="36">
        <v>5.53</v>
      </c>
      <c r="D102" s="110"/>
    </row>
    <row r="103" spans="1:4" ht="15.75" outlineLevel="1">
      <c r="A103" s="36" t="s">
        <v>999</v>
      </c>
      <c r="B103" s="37" t="s">
        <v>12</v>
      </c>
      <c r="C103" s="36">
        <v>5.69</v>
      </c>
      <c r="D103" s="110"/>
    </row>
    <row r="104" spans="1:4" ht="15.75" outlineLevel="1">
      <c r="A104" s="36" t="s">
        <v>999</v>
      </c>
      <c r="B104" s="37" t="s">
        <v>13</v>
      </c>
      <c r="C104" s="36">
        <v>5.75</v>
      </c>
      <c r="D104" s="110"/>
    </row>
    <row r="105" spans="1:4" ht="15.75" outlineLevel="1">
      <c r="A105" s="36" t="s">
        <v>999</v>
      </c>
      <c r="B105" s="37" t="s">
        <v>14</v>
      </c>
      <c r="C105" s="38">
        <v>5.7</v>
      </c>
      <c r="D105" s="110"/>
    </row>
    <row r="106" spans="1:4" ht="15.75" outlineLevel="1">
      <c r="A106" s="36" t="s">
        <v>999</v>
      </c>
      <c r="B106" s="37" t="s">
        <v>15</v>
      </c>
      <c r="C106" s="36">
        <v>5.74</v>
      </c>
      <c r="D106" s="110"/>
    </row>
    <row r="107" spans="1:4" ht="15.75" outlineLevel="1">
      <c r="A107" s="36" t="s">
        <v>999</v>
      </c>
      <c r="B107" s="37" t="s">
        <v>445</v>
      </c>
      <c r="C107" s="36">
        <v>5.76</v>
      </c>
      <c r="D107" s="110"/>
    </row>
    <row r="108" spans="1:4" ht="15.75" outlineLevel="1">
      <c r="A108" s="36" t="s">
        <v>999</v>
      </c>
      <c r="B108" s="37" t="s">
        <v>864</v>
      </c>
      <c r="C108" s="36">
        <v>5.89</v>
      </c>
      <c r="D108" s="109" t="s">
        <v>1143</v>
      </c>
    </row>
    <row r="109" spans="1:4" ht="15.75" outlineLevel="1">
      <c r="A109" s="36" t="s">
        <v>999</v>
      </c>
      <c r="B109" s="37" t="s">
        <v>17</v>
      </c>
      <c r="C109" s="36">
        <v>5.58</v>
      </c>
      <c r="D109" s="110"/>
    </row>
    <row r="110" spans="1:4" ht="15.75" outlineLevel="1">
      <c r="A110" s="36" t="s">
        <v>999</v>
      </c>
      <c r="B110" s="37" t="s">
        <v>16</v>
      </c>
      <c r="C110" s="36">
        <v>5.62</v>
      </c>
      <c r="D110" s="110"/>
    </row>
    <row r="111" spans="1:4" ht="15.75" outlineLevel="1">
      <c r="A111" s="36" t="s">
        <v>999</v>
      </c>
      <c r="B111" s="37" t="s">
        <v>18</v>
      </c>
      <c r="C111" s="36">
        <v>5.54</v>
      </c>
      <c r="D111" s="110"/>
    </row>
    <row r="112" spans="1:4" ht="15.75" outlineLevel="1">
      <c r="A112" s="36" t="s">
        <v>999</v>
      </c>
      <c r="B112" s="37" t="s">
        <v>19</v>
      </c>
      <c r="C112" s="36">
        <v>5.55</v>
      </c>
      <c r="D112" s="110"/>
    </row>
    <row r="113" spans="1:4" ht="15.75" outlineLevel="1">
      <c r="A113" s="36" t="s">
        <v>999</v>
      </c>
      <c r="B113" s="37" t="s">
        <v>21</v>
      </c>
      <c r="C113" s="36">
        <v>5.65</v>
      </c>
      <c r="D113" s="110"/>
    </row>
    <row r="114" spans="1:4" ht="15.75" outlineLevel="1">
      <c r="A114" s="36" t="s">
        <v>999</v>
      </c>
      <c r="B114" s="37" t="s">
        <v>192</v>
      </c>
      <c r="C114" s="36">
        <v>5.66</v>
      </c>
      <c r="D114" s="110"/>
    </row>
    <row r="115" spans="1:4" ht="15.75" outlineLevel="1">
      <c r="A115" s="36" t="s">
        <v>999</v>
      </c>
      <c r="B115" s="37" t="s">
        <v>22</v>
      </c>
      <c r="C115" s="36">
        <v>5.68</v>
      </c>
      <c r="D115" s="110"/>
    </row>
    <row r="116" spans="1:4" ht="15.75" outlineLevel="1">
      <c r="A116" s="36" t="s">
        <v>999</v>
      </c>
      <c r="B116" s="37" t="s">
        <v>23</v>
      </c>
      <c r="C116" s="36">
        <v>5.45</v>
      </c>
      <c r="D116" s="110"/>
    </row>
    <row r="117" spans="1:4" ht="15.75" outlineLevel="1">
      <c r="A117" s="36" t="s">
        <v>999</v>
      </c>
      <c r="B117" s="37" t="s">
        <v>24</v>
      </c>
      <c r="C117" s="36">
        <v>5.47</v>
      </c>
      <c r="D117" s="110"/>
    </row>
    <row r="118" spans="1:4" ht="15.75" outlineLevel="1">
      <c r="A118" s="36" t="s">
        <v>999</v>
      </c>
      <c r="B118" s="37" t="s">
        <v>25</v>
      </c>
      <c r="C118" s="36">
        <v>5.48</v>
      </c>
      <c r="D118" s="110"/>
    </row>
    <row r="119" spans="1:4" ht="15.75">
      <c r="A119" s="42" t="s">
        <v>999</v>
      </c>
      <c r="B119" s="37"/>
      <c r="C119" s="36"/>
      <c r="D119" s="110"/>
    </row>
    <row r="120" spans="1:4" ht="15.75" outlineLevel="1">
      <c r="A120" s="36" t="s">
        <v>1147</v>
      </c>
      <c r="B120" s="37" t="s">
        <v>0</v>
      </c>
      <c r="C120" s="36">
        <v>5.0999999999999996</v>
      </c>
      <c r="D120" s="110"/>
    </row>
    <row r="121" spans="1:4" ht="15.75" outlineLevel="1">
      <c r="A121" s="36" t="s">
        <v>1147</v>
      </c>
      <c r="B121" s="37" t="s">
        <v>1</v>
      </c>
      <c r="C121" s="36">
        <v>5.2</v>
      </c>
      <c r="D121" s="110"/>
    </row>
    <row r="122" spans="1:4" ht="15.75" outlineLevel="1">
      <c r="A122" s="36" t="s">
        <v>1147</v>
      </c>
      <c r="B122" s="37" t="s">
        <v>2</v>
      </c>
      <c r="C122" s="36">
        <v>5.3</v>
      </c>
      <c r="D122" s="110"/>
    </row>
    <row r="123" spans="1:4" ht="15.75" outlineLevel="1">
      <c r="A123" s="36" t="s">
        <v>1147</v>
      </c>
      <c r="B123" s="37" t="s">
        <v>173</v>
      </c>
      <c r="C123" s="36">
        <v>5.6</v>
      </c>
      <c r="D123" s="110"/>
    </row>
    <row r="124" spans="1:4" ht="15.75" outlineLevel="1">
      <c r="A124" s="36" t="s">
        <v>1147</v>
      </c>
      <c r="B124" s="37" t="s">
        <v>1145</v>
      </c>
      <c r="C124" s="38">
        <v>5.0999999999999996</v>
      </c>
      <c r="D124" s="110"/>
    </row>
    <row r="125" spans="1:4" ht="15.75" outlineLevel="1">
      <c r="A125" s="36" t="s">
        <v>1147</v>
      </c>
      <c r="B125" s="37" t="s">
        <v>1144</v>
      </c>
      <c r="C125" s="36">
        <v>5.14</v>
      </c>
      <c r="D125" s="110"/>
    </row>
    <row r="126" spans="1:4" ht="15.75" outlineLevel="1">
      <c r="A126" s="36" t="s">
        <v>1147</v>
      </c>
      <c r="B126" s="37" t="s">
        <v>4</v>
      </c>
      <c r="C126" s="36">
        <v>5.19</v>
      </c>
      <c r="D126" s="110"/>
    </row>
    <row r="127" spans="1:4" ht="15.75" outlineLevel="1">
      <c r="A127" s="36" t="s">
        <v>1147</v>
      </c>
      <c r="B127" s="37" t="s">
        <v>175</v>
      </c>
      <c r="C127" s="36">
        <v>5.24</v>
      </c>
      <c r="D127" s="110"/>
    </row>
    <row r="128" spans="1:4" ht="15.75" outlineLevel="1">
      <c r="A128" s="36" t="s">
        <v>1147</v>
      </c>
      <c r="B128" s="37" t="s">
        <v>5</v>
      </c>
      <c r="C128" s="36">
        <v>5.26</v>
      </c>
      <c r="D128" s="110"/>
    </row>
    <row r="129" spans="1:4" ht="15.75" outlineLevel="1">
      <c r="A129" s="36" t="s">
        <v>1147</v>
      </c>
      <c r="B129" s="37" t="s">
        <v>6</v>
      </c>
      <c r="C129" s="36">
        <v>5.27</v>
      </c>
      <c r="D129" s="110"/>
    </row>
    <row r="130" spans="1:4" ht="15.75" outlineLevel="1">
      <c r="A130" s="36" t="s">
        <v>1147</v>
      </c>
      <c r="B130" s="37" t="s">
        <v>7</v>
      </c>
      <c r="C130" s="36">
        <v>5.28</v>
      </c>
      <c r="D130" s="110"/>
    </row>
    <row r="131" spans="1:4" ht="15.75" outlineLevel="1">
      <c r="A131" s="36" t="s">
        <v>1147</v>
      </c>
      <c r="B131" s="37" t="s">
        <v>361</v>
      </c>
      <c r="C131" s="36">
        <v>5.29</v>
      </c>
      <c r="D131" s="110"/>
    </row>
    <row r="132" spans="1:4" ht="15.75" outlineLevel="1">
      <c r="A132" s="36" t="s">
        <v>1147</v>
      </c>
      <c r="B132" s="37" t="s">
        <v>8</v>
      </c>
      <c r="C132" s="38">
        <v>5.3</v>
      </c>
      <c r="D132" s="110"/>
    </row>
    <row r="133" spans="1:4" ht="15.75" outlineLevel="1">
      <c r="A133" s="36" t="s">
        <v>1147</v>
      </c>
      <c r="B133" s="37" t="s">
        <v>176</v>
      </c>
      <c r="C133" s="36">
        <v>5.31</v>
      </c>
      <c r="D133" s="110"/>
    </row>
    <row r="134" spans="1:4" ht="15.75" outlineLevel="1">
      <c r="A134" s="36" t="s">
        <v>1147</v>
      </c>
      <c r="B134" s="37" t="s">
        <v>141</v>
      </c>
      <c r="C134" s="36">
        <v>5.36</v>
      </c>
      <c r="D134" s="110"/>
    </row>
    <row r="135" spans="1:4" ht="15.75" outlineLevel="1">
      <c r="A135" s="36" t="s">
        <v>1147</v>
      </c>
      <c r="B135" s="37" t="s">
        <v>11</v>
      </c>
      <c r="C135" s="36">
        <v>5.53</v>
      </c>
      <c r="D135" s="110"/>
    </row>
    <row r="136" spans="1:4" ht="15.75" outlineLevel="1">
      <c r="A136" s="36" t="s">
        <v>1147</v>
      </c>
      <c r="B136" s="37" t="s">
        <v>17</v>
      </c>
      <c r="C136" s="36">
        <v>5.58</v>
      </c>
      <c r="D136" s="110"/>
    </row>
    <row r="137" spans="1:4" ht="15.75" outlineLevel="1">
      <c r="A137" s="36" t="s">
        <v>1147</v>
      </c>
      <c r="B137" s="37" t="s">
        <v>16</v>
      </c>
      <c r="C137" s="36">
        <v>5.62</v>
      </c>
      <c r="D137" s="110"/>
    </row>
    <row r="138" spans="1:4" ht="15.75" outlineLevel="1">
      <c r="A138" s="36" t="s">
        <v>1147</v>
      </c>
      <c r="B138" s="37" t="s">
        <v>18</v>
      </c>
      <c r="C138" s="36">
        <v>5.54</v>
      </c>
      <c r="D138" s="110"/>
    </row>
    <row r="139" spans="1:4" ht="15.75" outlineLevel="1">
      <c r="A139" s="36" t="s">
        <v>1147</v>
      </c>
      <c r="B139" s="37" t="s">
        <v>19</v>
      </c>
      <c r="C139" s="36">
        <v>5.55</v>
      </c>
      <c r="D139" s="110"/>
    </row>
    <row r="140" spans="1:4" ht="15.75" outlineLevel="1">
      <c r="A140" s="36" t="s">
        <v>1147</v>
      </c>
      <c r="B140" s="37" t="s">
        <v>20</v>
      </c>
      <c r="C140" s="36">
        <v>5.63</v>
      </c>
      <c r="D140" s="110"/>
    </row>
    <row r="141" spans="1:4" ht="15.75" outlineLevel="1">
      <c r="A141" s="36" t="s">
        <v>1147</v>
      </c>
      <c r="B141" s="37" t="s">
        <v>23</v>
      </c>
      <c r="C141" s="36">
        <v>5.45</v>
      </c>
      <c r="D141" s="110"/>
    </row>
    <row r="142" spans="1:4" ht="15.75" outlineLevel="1">
      <c r="A142" s="36" t="s">
        <v>1147</v>
      </c>
      <c r="B142" s="37" t="s">
        <v>24</v>
      </c>
      <c r="C142" s="36">
        <v>5.47</v>
      </c>
      <c r="D142" s="110"/>
    </row>
    <row r="143" spans="1:4" ht="15.75" outlineLevel="1">
      <c r="A143" s="36" t="s">
        <v>1147</v>
      </c>
      <c r="B143" s="37" t="s">
        <v>25</v>
      </c>
      <c r="C143" s="36">
        <v>5.48</v>
      </c>
      <c r="D143" s="110"/>
    </row>
    <row r="144" spans="1:4" ht="15.75">
      <c r="A144" s="42" t="s">
        <v>1147</v>
      </c>
      <c r="B144" s="37"/>
      <c r="C144" s="36"/>
      <c r="D144" s="110"/>
    </row>
    <row r="145" spans="1:4" ht="15.75" outlineLevel="1">
      <c r="A145" s="36" t="s">
        <v>506</v>
      </c>
      <c r="B145" s="37" t="s">
        <v>0</v>
      </c>
      <c r="C145" s="36">
        <v>5.0999999999999996</v>
      </c>
      <c r="D145" s="110"/>
    </row>
    <row r="146" spans="1:4" ht="15.75" outlineLevel="1">
      <c r="A146" s="36" t="s">
        <v>506</v>
      </c>
      <c r="B146" s="37" t="s">
        <v>1</v>
      </c>
      <c r="C146" s="36">
        <v>5.2</v>
      </c>
      <c r="D146" s="110"/>
    </row>
    <row r="147" spans="1:4" ht="15.75" outlineLevel="1">
      <c r="A147" s="36" t="s">
        <v>506</v>
      </c>
      <c r="B147" s="37" t="s">
        <v>2</v>
      </c>
      <c r="C147" s="36">
        <v>5.3</v>
      </c>
      <c r="D147" s="110"/>
    </row>
    <row r="148" spans="1:4" ht="15.75" outlineLevel="1">
      <c r="A148" s="36" t="s">
        <v>506</v>
      </c>
      <c r="B148" s="37" t="s">
        <v>173</v>
      </c>
      <c r="C148" s="36">
        <v>5.6</v>
      </c>
      <c r="D148" s="110"/>
    </row>
    <row r="149" spans="1:4" ht="15.75" outlineLevel="1">
      <c r="A149" s="36" t="s">
        <v>506</v>
      </c>
      <c r="B149" s="37" t="s">
        <v>1145</v>
      </c>
      <c r="C149" s="38">
        <v>5.0999999999999996</v>
      </c>
      <c r="D149" s="110"/>
    </row>
    <row r="150" spans="1:4" ht="15.75" outlineLevel="1">
      <c r="A150" s="36" t="s">
        <v>506</v>
      </c>
      <c r="B150" s="37" t="s">
        <v>1144</v>
      </c>
      <c r="C150" s="36">
        <v>5.14</v>
      </c>
      <c r="D150" s="110"/>
    </row>
    <row r="151" spans="1:4" ht="15.75" outlineLevel="1">
      <c r="A151" s="36" t="s">
        <v>506</v>
      </c>
      <c r="B151" s="37" t="s">
        <v>4</v>
      </c>
      <c r="C151" s="36">
        <v>5.19</v>
      </c>
      <c r="D151" s="110"/>
    </row>
    <row r="152" spans="1:4" ht="15.75" outlineLevel="1">
      <c r="A152" s="36" t="s">
        <v>506</v>
      </c>
      <c r="B152" s="37" t="s">
        <v>175</v>
      </c>
      <c r="C152" s="36">
        <v>5.24</v>
      </c>
      <c r="D152" s="110"/>
    </row>
    <row r="153" spans="1:4" ht="15.75" outlineLevel="1">
      <c r="A153" s="36" t="s">
        <v>506</v>
      </c>
      <c r="B153" s="37" t="s">
        <v>5</v>
      </c>
      <c r="C153" s="36">
        <v>5.26</v>
      </c>
      <c r="D153" s="110"/>
    </row>
    <row r="154" spans="1:4" ht="15.75" outlineLevel="1">
      <c r="A154" s="36" t="s">
        <v>506</v>
      </c>
      <c r="B154" s="37" t="s">
        <v>6</v>
      </c>
      <c r="C154" s="36">
        <v>5.27</v>
      </c>
      <c r="D154" s="110"/>
    </row>
    <row r="155" spans="1:4" ht="15.75" outlineLevel="1">
      <c r="A155" s="36" t="s">
        <v>506</v>
      </c>
      <c r="B155" s="37" t="s">
        <v>7</v>
      </c>
      <c r="C155" s="36">
        <v>5.28</v>
      </c>
      <c r="D155" s="110"/>
    </row>
    <row r="156" spans="1:4" ht="15.75" outlineLevel="1">
      <c r="A156" s="36" t="s">
        <v>506</v>
      </c>
      <c r="B156" s="37" t="s">
        <v>8</v>
      </c>
      <c r="C156" s="38">
        <v>5.3</v>
      </c>
      <c r="D156" s="110"/>
    </row>
    <row r="157" spans="1:4" ht="15.75" outlineLevel="1">
      <c r="A157" s="36" t="s">
        <v>506</v>
      </c>
      <c r="B157" s="37" t="s">
        <v>604</v>
      </c>
      <c r="C157" s="36">
        <v>5.32</v>
      </c>
      <c r="D157" s="110"/>
    </row>
    <row r="158" spans="1:4" ht="15.75" outlineLevel="1">
      <c r="A158" s="36" t="s">
        <v>506</v>
      </c>
      <c r="B158" s="37" t="s">
        <v>141</v>
      </c>
      <c r="C158" s="36">
        <v>5.36</v>
      </c>
      <c r="D158" s="110"/>
    </row>
    <row r="159" spans="1:4" ht="15.75" outlineLevel="1">
      <c r="A159" s="36" t="s">
        <v>506</v>
      </c>
      <c r="B159" s="37" t="s">
        <v>11</v>
      </c>
      <c r="C159" s="36">
        <v>5.53</v>
      </c>
      <c r="D159" s="110"/>
    </row>
    <row r="160" spans="1:4" ht="15.75" outlineLevel="1">
      <c r="A160" s="36" t="s">
        <v>506</v>
      </c>
      <c r="B160" s="37" t="s">
        <v>17</v>
      </c>
      <c r="C160" s="36">
        <v>5.58</v>
      </c>
      <c r="D160" s="110"/>
    </row>
    <row r="161" spans="1:5" ht="15.75" outlineLevel="1">
      <c r="A161" s="36" t="s">
        <v>506</v>
      </c>
      <c r="B161" s="37" t="s">
        <v>18</v>
      </c>
      <c r="C161" s="36">
        <v>5.54</v>
      </c>
      <c r="D161" s="110"/>
    </row>
    <row r="162" spans="1:5" ht="15.75" outlineLevel="1">
      <c r="A162" s="36" t="s">
        <v>506</v>
      </c>
      <c r="B162" s="37" t="s">
        <v>19</v>
      </c>
      <c r="C162" s="36">
        <v>5.55</v>
      </c>
      <c r="D162" s="110"/>
    </row>
    <row r="163" spans="1:5" ht="15.75" outlineLevel="1">
      <c r="A163" s="36" t="s">
        <v>506</v>
      </c>
      <c r="B163" s="37" t="s">
        <v>16</v>
      </c>
      <c r="C163" s="36">
        <v>5.62</v>
      </c>
      <c r="D163" s="110"/>
      <c r="E163" t="s">
        <v>1148</v>
      </c>
    </row>
    <row r="164" spans="1:5" ht="15.75" outlineLevel="1">
      <c r="A164" s="36" t="s">
        <v>506</v>
      </c>
      <c r="B164" s="37" t="s">
        <v>20</v>
      </c>
      <c r="C164" s="36">
        <v>5.63</v>
      </c>
      <c r="D164" s="110"/>
    </row>
    <row r="165" spans="1:5" ht="15.75" outlineLevel="1">
      <c r="A165" s="36" t="s">
        <v>506</v>
      </c>
      <c r="B165" s="37" t="s">
        <v>23</v>
      </c>
      <c r="C165" s="36">
        <v>5.45</v>
      </c>
      <c r="D165" s="110"/>
    </row>
    <row r="166" spans="1:5" ht="15.75" outlineLevel="1">
      <c r="A166" s="36" t="s">
        <v>506</v>
      </c>
      <c r="B166" s="37" t="s">
        <v>24</v>
      </c>
      <c r="C166" s="36">
        <v>5.47</v>
      </c>
      <c r="D166" s="110"/>
    </row>
    <row r="167" spans="1:5" ht="15.75" outlineLevel="1">
      <c r="A167" s="36" t="s">
        <v>506</v>
      </c>
      <c r="B167" s="37" t="s">
        <v>25</v>
      </c>
      <c r="C167" s="36">
        <v>5.48</v>
      </c>
      <c r="D167" s="110"/>
    </row>
    <row r="168" spans="1:5" ht="15.75">
      <c r="A168" s="42" t="s">
        <v>506</v>
      </c>
      <c r="B168" s="37"/>
      <c r="C168" s="36"/>
      <c r="D168" s="110"/>
    </row>
    <row r="169" spans="1:5" ht="15.75" outlineLevel="1">
      <c r="A169" s="36" t="s">
        <v>1019</v>
      </c>
      <c r="B169" s="37" t="s">
        <v>0</v>
      </c>
      <c r="C169" s="36">
        <v>5.0999999999999996</v>
      </c>
      <c r="D169" s="110"/>
    </row>
    <row r="170" spans="1:5" ht="15.75" outlineLevel="1">
      <c r="A170" s="36" t="s">
        <v>1019</v>
      </c>
      <c r="B170" s="37" t="s">
        <v>1</v>
      </c>
      <c r="C170" s="36">
        <v>5.2</v>
      </c>
      <c r="D170" s="110"/>
    </row>
    <row r="171" spans="1:5" ht="15.75" outlineLevel="1">
      <c r="A171" s="36" t="s">
        <v>1019</v>
      </c>
      <c r="B171" s="37" t="s">
        <v>2</v>
      </c>
      <c r="C171" s="36">
        <v>5.3</v>
      </c>
      <c r="D171" s="110"/>
    </row>
    <row r="172" spans="1:5" ht="15.75" outlineLevel="1">
      <c r="A172" s="36" t="s">
        <v>1019</v>
      </c>
      <c r="B172" s="37" t="s">
        <v>173</v>
      </c>
      <c r="C172" s="36">
        <v>5.6</v>
      </c>
      <c r="D172" s="110"/>
    </row>
    <row r="173" spans="1:5" ht="15.75" outlineLevel="1">
      <c r="A173" s="36" t="s">
        <v>1019</v>
      </c>
      <c r="B173" s="37" t="s">
        <v>1145</v>
      </c>
      <c r="C173" s="38">
        <v>5.0999999999999996</v>
      </c>
      <c r="D173" s="110"/>
    </row>
    <row r="174" spans="1:5" ht="15.75" outlineLevel="1">
      <c r="A174" s="36" t="s">
        <v>1019</v>
      </c>
      <c r="B174" s="37" t="s">
        <v>1144</v>
      </c>
      <c r="C174" s="36">
        <v>5.14</v>
      </c>
      <c r="D174" s="110"/>
    </row>
    <row r="175" spans="1:5" ht="15.75" outlineLevel="1">
      <c r="A175" s="36" t="s">
        <v>1019</v>
      </c>
      <c r="B175" s="37" t="s">
        <v>4</v>
      </c>
      <c r="C175" s="36">
        <v>5.19</v>
      </c>
      <c r="D175" s="110"/>
    </row>
    <row r="176" spans="1:5" ht="15.75" outlineLevel="1">
      <c r="A176" s="36" t="s">
        <v>1019</v>
      </c>
      <c r="B176" s="37" t="s">
        <v>175</v>
      </c>
      <c r="C176" s="36">
        <v>5.24</v>
      </c>
      <c r="D176" s="110"/>
    </row>
    <row r="177" spans="1:4" ht="15.75" outlineLevel="1">
      <c r="A177" s="36" t="s">
        <v>1019</v>
      </c>
      <c r="B177" s="37" t="s">
        <v>5</v>
      </c>
      <c r="C177" s="36">
        <v>5.26</v>
      </c>
      <c r="D177" s="110"/>
    </row>
    <row r="178" spans="1:4" ht="15.75" outlineLevel="1">
      <c r="A178" s="36" t="s">
        <v>1019</v>
      </c>
      <c r="B178" s="37" t="s">
        <v>6</v>
      </c>
      <c r="C178" s="36">
        <v>5.27</v>
      </c>
      <c r="D178" s="110"/>
    </row>
    <row r="179" spans="1:4" ht="15.75" outlineLevel="1">
      <c r="A179" s="36" t="s">
        <v>1019</v>
      </c>
      <c r="B179" s="37" t="s">
        <v>7</v>
      </c>
      <c r="C179" s="36">
        <v>5.28</v>
      </c>
      <c r="D179" s="110"/>
    </row>
    <row r="180" spans="1:4" ht="15.75" outlineLevel="1">
      <c r="A180" s="36" t="s">
        <v>1019</v>
      </c>
      <c r="B180" s="37" t="s">
        <v>361</v>
      </c>
      <c r="C180" s="36">
        <v>5.29</v>
      </c>
      <c r="D180" s="110"/>
    </row>
    <row r="181" spans="1:4" ht="15.75" outlineLevel="1">
      <c r="A181" s="36" t="s">
        <v>1019</v>
      </c>
      <c r="B181" s="37" t="s">
        <v>8</v>
      </c>
      <c r="C181" s="38">
        <v>5.3</v>
      </c>
      <c r="D181" s="110"/>
    </row>
    <row r="182" spans="1:4" ht="15.75" outlineLevel="1">
      <c r="A182" s="36" t="s">
        <v>1019</v>
      </c>
      <c r="B182" s="37" t="s">
        <v>604</v>
      </c>
      <c r="C182" s="36">
        <v>5.32</v>
      </c>
      <c r="D182" s="110"/>
    </row>
    <row r="183" spans="1:4" ht="15.75" outlineLevel="1">
      <c r="A183" s="36" t="s">
        <v>1019</v>
      </c>
      <c r="B183" s="37" t="s">
        <v>141</v>
      </c>
      <c r="C183" s="36">
        <v>5.36</v>
      </c>
      <c r="D183" s="110"/>
    </row>
    <row r="184" spans="1:4" ht="15.75" outlineLevel="1">
      <c r="A184" s="36" t="s">
        <v>1019</v>
      </c>
      <c r="B184" s="37" t="s">
        <v>11</v>
      </c>
      <c r="C184" s="36">
        <v>5.53</v>
      </c>
      <c r="D184" s="110"/>
    </row>
    <row r="185" spans="1:4" ht="15.75" outlineLevel="1">
      <c r="A185" s="36" t="s">
        <v>1019</v>
      </c>
      <c r="B185" s="37" t="s">
        <v>17</v>
      </c>
      <c r="C185" s="36">
        <v>5.58</v>
      </c>
      <c r="D185" s="110"/>
    </row>
    <row r="186" spans="1:4" ht="15.75" outlineLevel="1">
      <c r="A186" s="36" t="s">
        <v>1019</v>
      </c>
      <c r="B186" s="37" t="s">
        <v>18</v>
      </c>
      <c r="C186" s="36">
        <v>5.54</v>
      </c>
      <c r="D186" s="110"/>
    </row>
    <row r="187" spans="1:4" ht="15.75" outlineLevel="1">
      <c r="A187" s="36" t="s">
        <v>1019</v>
      </c>
      <c r="B187" s="37" t="s">
        <v>19</v>
      </c>
      <c r="C187" s="36">
        <v>5.55</v>
      </c>
      <c r="D187" s="110"/>
    </row>
    <row r="188" spans="1:4" ht="15.75" outlineLevel="1">
      <c r="A188" s="36" t="s">
        <v>1019</v>
      </c>
      <c r="B188" s="37" t="s">
        <v>20</v>
      </c>
      <c r="C188" s="36">
        <v>5.63</v>
      </c>
      <c r="D188" s="110"/>
    </row>
    <row r="189" spans="1:4" ht="15.75" outlineLevel="1">
      <c r="A189" s="36" t="s">
        <v>1019</v>
      </c>
      <c r="B189" s="37" t="s">
        <v>23</v>
      </c>
      <c r="C189" s="36">
        <v>5.45</v>
      </c>
      <c r="D189" s="110"/>
    </row>
    <row r="190" spans="1:4" ht="15.75" outlineLevel="1">
      <c r="A190" s="36" t="s">
        <v>1019</v>
      </c>
      <c r="B190" s="37" t="s">
        <v>24</v>
      </c>
      <c r="C190" s="36">
        <v>5.47</v>
      </c>
      <c r="D190" s="110"/>
    </row>
    <row r="191" spans="1:4" ht="15.75" outlineLevel="1">
      <c r="A191" s="36" t="s">
        <v>1019</v>
      </c>
      <c r="B191" s="37" t="s">
        <v>25</v>
      </c>
      <c r="C191" s="36">
        <v>5.48</v>
      </c>
      <c r="D191" s="110"/>
    </row>
    <row r="192" spans="1:4" ht="15.75">
      <c r="A192" s="42" t="s">
        <v>1019</v>
      </c>
      <c r="B192" s="37"/>
      <c r="C192" s="36"/>
      <c r="D192" s="110"/>
    </row>
    <row r="193" spans="1:4" ht="15.75" outlineLevel="1">
      <c r="A193" s="36" t="s">
        <v>1149</v>
      </c>
      <c r="B193" s="37" t="s">
        <v>0</v>
      </c>
      <c r="C193" s="36">
        <v>5.0999999999999996</v>
      </c>
      <c r="D193" s="110"/>
    </row>
    <row r="194" spans="1:4" ht="15.75" outlineLevel="1">
      <c r="A194" s="36" t="s">
        <v>1149</v>
      </c>
      <c r="B194" s="37" t="s">
        <v>1</v>
      </c>
      <c r="C194" s="36">
        <v>5.2</v>
      </c>
      <c r="D194" s="110"/>
    </row>
    <row r="195" spans="1:4" ht="15.75" outlineLevel="1">
      <c r="A195" s="36" t="s">
        <v>1149</v>
      </c>
      <c r="B195" s="37" t="s">
        <v>2</v>
      </c>
      <c r="C195" s="36">
        <v>5.3</v>
      </c>
      <c r="D195" s="110"/>
    </row>
    <row r="196" spans="1:4" ht="15.75" outlineLevel="1">
      <c r="A196" s="36" t="s">
        <v>1149</v>
      </c>
      <c r="B196" s="37" t="s">
        <v>173</v>
      </c>
      <c r="C196" s="36">
        <v>5.6</v>
      </c>
      <c r="D196" s="110"/>
    </row>
    <row r="197" spans="1:4" ht="15.75" outlineLevel="1">
      <c r="A197" s="36" t="s">
        <v>1149</v>
      </c>
      <c r="B197" s="37" t="s">
        <v>1145</v>
      </c>
      <c r="C197" s="38">
        <v>5.0999999999999996</v>
      </c>
      <c r="D197" s="110"/>
    </row>
    <row r="198" spans="1:4" ht="15.75" outlineLevel="1">
      <c r="A198" s="36" t="s">
        <v>1149</v>
      </c>
      <c r="B198" s="37" t="s">
        <v>1144</v>
      </c>
      <c r="C198" s="36">
        <v>5.14</v>
      </c>
      <c r="D198" s="110"/>
    </row>
    <row r="199" spans="1:4" ht="15.75" outlineLevel="1">
      <c r="A199" s="36" t="s">
        <v>1149</v>
      </c>
      <c r="B199" s="37" t="s">
        <v>4</v>
      </c>
      <c r="C199" s="36">
        <v>5.19</v>
      </c>
      <c r="D199" s="110"/>
    </row>
    <row r="200" spans="1:4" ht="15.75" outlineLevel="1">
      <c r="A200" s="36" t="s">
        <v>1149</v>
      </c>
      <c r="B200" s="37" t="s">
        <v>175</v>
      </c>
      <c r="C200" s="36">
        <v>5.24</v>
      </c>
      <c r="D200" s="110"/>
    </row>
    <row r="201" spans="1:4" ht="15.75" outlineLevel="1">
      <c r="A201" s="36" t="s">
        <v>1149</v>
      </c>
      <c r="B201" s="37" t="s">
        <v>6</v>
      </c>
      <c r="C201" s="36">
        <v>5.27</v>
      </c>
      <c r="D201" s="110"/>
    </row>
    <row r="202" spans="1:4" ht="15.75" outlineLevel="1">
      <c r="A202" s="36" t="s">
        <v>1149</v>
      </c>
      <c r="B202" s="37" t="s">
        <v>7</v>
      </c>
      <c r="C202" s="36">
        <v>5.28</v>
      </c>
      <c r="D202" s="110"/>
    </row>
    <row r="203" spans="1:4" ht="15.75" outlineLevel="1">
      <c r="A203" s="36" t="s">
        <v>1149</v>
      </c>
      <c r="B203" s="37" t="s">
        <v>361</v>
      </c>
      <c r="C203" s="36">
        <v>5.29</v>
      </c>
      <c r="D203" s="110"/>
    </row>
    <row r="204" spans="1:4" ht="15.75" outlineLevel="1">
      <c r="A204" s="36" t="s">
        <v>1149</v>
      </c>
      <c r="B204" s="37" t="s">
        <v>8</v>
      </c>
      <c r="C204" s="38">
        <v>5.3</v>
      </c>
      <c r="D204" s="110"/>
    </row>
    <row r="205" spans="1:4" ht="15.75" outlineLevel="1">
      <c r="A205" s="36" t="s">
        <v>1149</v>
      </c>
      <c r="B205" s="37" t="s">
        <v>1150</v>
      </c>
      <c r="C205" s="36">
        <v>5.34</v>
      </c>
      <c r="D205" s="110"/>
    </row>
    <row r="206" spans="1:4" ht="15.75" outlineLevel="1">
      <c r="A206" s="36" t="s">
        <v>1149</v>
      </c>
      <c r="B206" s="37" t="s">
        <v>176</v>
      </c>
      <c r="C206" s="36">
        <v>5.31</v>
      </c>
      <c r="D206" s="110"/>
    </row>
    <row r="207" spans="1:4" ht="15.75" outlineLevel="1">
      <c r="A207" s="36" t="s">
        <v>1149</v>
      </c>
      <c r="B207" s="37" t="s">
        <v>1151</v>
      </c>
      <c r="C207" s="36">
        <v>5.101</v>
      </c>
      <c r="D207" s="110"/>
    </row>
    <row r="208" spans="1:4" ht="15.75" outlineLevel="1">
      <c r="A208" s="36" t="s">
        <v>1149</v>
      </c>
      <c r="B208" s="37" t="s">
        <v>141</v>
      </c>
      <c r="C208" s="36">
        <v>5.36</v>
      </c>
      <c r="D208" s="110"/>
    </row>
    <row r="209" spans="1:4" ht="15.75" outlineLevel="1">
      <c r="A209" s="36" t="s">
        <v>1149</v>
      </c>
      <c r="B209" s="37" t="s">
        <v>11</v>
      </c>
      <c r="C209" s="36">
        <v>5.53</v>
      </c>
      <c r="D209" s="110"/>
    </row>
    <row r="210" spans="1:4" ht="15.75" outlineLevel="1">
      <c r="A210" s="36" t="s">
        <v>1149</v>
      </c>
      <c r="B210" s="37" t="s">
        <v>1152</v>
      </c>
      <c r="C210" s="36">
        <v>5.1020000000000003</v>
      </c>
      <c r="D210" s="110"/>
    </row>
    <row r="211" spans="1:4" ht="15.75" outlineLevel="1">
      <c r="A211" s="36" t="s">
        <v>1149</v>
      </c>
      <c r="B211" s="37" t="s">
        <v>1153</v>
      </c>
      <c r="C211" s="39">
        <v>5.0999999999999996</v>
      </c>
      <c r="D211" s="110"/>
    </row>
    <row r="212" spans="1:4" ht="15.75" outlineLevel="1">
      <c r="A212" s="36" t="s">
        <v>1149</v>
      </c>
      <c r="B212" s="37" t="s">
        <v>17</v>
      </c>
      <c r="C212" s="36">
        <v>5.58</v>
      </c>
      <c r="D212" s="110"/>
    </row>
    <row r="213" spans="1:4" ht="15.75" outlineLevel="1">
      <c r="A213" s="36" t="s">
        <v>1149</v>
      </c>
      <c r="B213" s="37" t="s">
        <v>18</v>
      </c>
      <c r="C213" s="36">
        <v>5.54</v>
      </c>
      <c r="D213" s="110"/>
    </row>
    <row r="214" spans="1:4" ht="15.75" outlineLevel="1">
      <c r="A214" s="36" t="s">
        <v>1149</v>
      </c>
      <c r="B214" s="37" t="s">
        <v>19</v>
      </c>
      <c r="C214" s="36">
        <v>5.55</v>
      </c>
      <c r="D214" s="110"/>
    </row>
    <row r="215" spans="1:4" ht="15.75" outlineLevel="1">
      <c r="A215" s="36" t="s">
        <v>1149</v>
      </c>
      <c r="B215" s="37" t="s">
        <v>20</v>
      </c>
      <c r="C215" s="36">
        <v>5.63</v>
      </c>
      <c r="D215" s="110"/>
    </row>
    <row r="216" spans="1:4" ht="15.75" outlineLevel="1">
      <c r="A216" s="36" t="s">
        <v>1149</v>
      </c>
      <c r="B216" s="37" t="s">
        <v>24</v>
      </c>
      <c r="C216" s="36">
        <v>5.47</v>
      </c>
      <c r="D216" s="110"/>
    </row>
    <row r="217" spans="1:4" ht="15.75" outlineLevel="1">
      <c r="A217" s="36" t="s">
        <v>1149</v>
      </c>
      <c r="B217" s="37" t="s">
        <v>25</v>
      </c>
      <c r="C217" s="36">
        <v>5.48</v>
      </c>
      <c r="D217" s="110"/>
    </row>
    <row r="218" spans="1:4" ht="15.75">
      <c r="A218" s="42" t="s">
        <v>1149</v>
      </c>
      <c r="B218" s="37"/>
      <c r="C218" s="36"/>
      <c r="D218" s="110"/>
    </row>
    <row r="219" spans="1:4" ht="15.75" outlineLevel="1">
      <c r="A219" s="36" t="s">
        <v>1022</v>
      </c>
      <c r="B219" s="37" t="s">
        <v>0</v>
      </c>
      <c r="C219" s="36">
        <v>5.0999999999999996</v>
      </c>
      <c r="D219" s="110"/>
    </row>
    <row r="220" spans="1:4" ht="15.75" outlineLevel="1">
      <c r="A220" s="36" t="s">
        <v>1022</v>
      </c>
      <c r="B220" s="37" t="s">
        <v>1</v>
      </c>
      <c r="C220" s="36">
        <v>5.2</v>
      </c>
      <c r="D220" s="110"/>
    </row>
    <row r="221" spans="1:4" ht="15.75" outlineLevel="1">
      <c r="A221" s="36" t="s">
        <v>1022</v>
      </c>
      <c r="B221" s="37" t="s">
        <v>2</v>
      </c>
      <c r="C221" s="36">
        <v>5.3</v>
      </c>
      <c r="D221" s="110"/>
    </row>
    <row r="222" spans="1:4" ht="15.75" outlineLevel="1">
      <c r="A222" s="36" t="s">
        <v>1022</v>
      </c>
      <c r="B222" s="37" t="s">
        <v>173</v>
      </c>
      <c r="C222" s="36">
        <v>5.6</v>
      </c>
      <c r="D222" s="110"/>
    </row>
    <row r="223" spans="1:4" ht="15.75" outlineLevel="1">
      <c r="A223" s="36" t="s">
        <v>1022</v>
      </c>
      <c r="B223" s="37" t="s">
        <v>1145</v>
      </c>
      <c r="C223" s="38">
        <v>5.0999999999999996</v>
      </c>
      <c r="D223" s="110"/>
    </row>
    <row r="224" spans="1:4" ht="15.75" outlineLevel="1">
      <c r="A224" s="36" t="s">
        <v>1022</v>
      </c>
      <c r="B224" s="37" t="s">
        <v>1144</v>
      </c>
      <c r="C224" s="36">
        <v>5.14</v>
      </c>
      <c r="D224" s="110"/>
    </row>
    <row r="225" spans="1:4" ht="15.75" outlineLevel="1">
      <c r="A225" s="36" t="s">
        <v>1022</v>
      </c>
      <c r="B225" s="37" t="s">
        <v>4</v>
      </c>
      <c r="C225" s="36">
        <v>5.19</v>
      </c>
      <c r="D225" s="110"/>
    </row>
    <row r="226" spans="1:4" ht="15.75" outlineLevel="1">
      <c r="A226" s="36" t="s">
        <v>1022</v>
      </c>
      <c r="B226" s="37" t="s">
        <v>175</v>
      </c>
      <c r="C226" s="36">
        <v>5.24</v>
      </c>
      <c r="D226" s="110"/>
    </row>
    <row r="227" spans="1:4" ht="15.75" outlineLevel="1">
      <c r="A227" s="36" t="s">
        <v>1022</v>
      </c>
      <c r="B227" s="37" t="s">
        <v>5</v>
      </c>
      <c r="C227" s="36">
        <v>5.26</v>
      </c>
      <c r="D227" s="110"/>
    </row>
    <row r="228" spans="1:4" ht="15.75" outlineLevel="1">
      <c r="A228" s="36" t="s">
        <v>1022</v>
      </c>
      <c r="B228" s="37" t="s">
        <v>6</v>
      </c>
      <c r="C228" s="36">
        <v>5.27</v>
      </c>
      <c r="D228" s="110"/>
    </row>
    <row r="229" spans="1:4" ht="15.75" outlineLevel="1">
      <c r="A229" s="36" t="s">
        <v>1022</v>
      </c>
      <c r="B229" s="37" t="s">
        <v>7</v>
      </c>
      <c r="C229" s="36">
        <v>5.28</v>
      </c>
      <c r="D229" s="110"/>
    </row>
    <row r="230" spans="1:4" ht="15.75" outlineLevel="1">
      <c r="A230" s="36" t="s">
        <v>1022</v>
      </c>
      <c r="B230" s="37" t="s">
        <v>361</v>
      </c>
      <c r="C230" s="36">
        <v>5.29</v>
      </c>
      <c r="D230" s="110"/>
    </row>
    <row r="231" spans="1:4" ht="15.75" outlineLevel="1">
      <c r="A231" s="36" t="s">
        <v>1022</v>
      </c>
      <c r="B231" s="37" t="s">
        <v>8</v>
      </c>
      <c r="C231" s="38">
        <v>5.3</v>
      </c>
      <c r="D231" s="110"/>
    </row>
    <row r="232" spans="1:4" ht="15.75" outlineLevel="1">
      <c r="A232" s="36" t="s">
        <v>1022</v>
      </c>
      <c r="B232" s="37" t="s">
        <v>176</v>
      </c>
      <c r="C232" s="36">
        <v>5.31</v>
      </c>
      <c r="D232" s="110"/>
    </row>
    <row r="233" spans="1:4" ht="15.75" outlineLevel="1">
      <c r="A233" s="36" t="s">
        <v>1022</v>
      </c>
      <c r="B233" s="37" t="s">
        <v>210</v>
      </c>
      <c r="C233" s="36">
        <v>5.33</v>
      </c>
      <c r="D233" s="110"/>
    </row>
    <row r="234" spans="1:4" ht="15.75" outlineLevel="1">
      <c r="A234" s="36" t="s">
        <v>1022</v>
      </c>
      <c r="B234" s="37" t="s">
        <v>1151</v>
      </c>
      <c r="C234" s="36">
        <v>5.101</v>
      </c>
      <c r="D234" s="110"/>
    </row>
    <row r="235" spans="1:4" ht="15.75" outlineLevel="1">
      <c r="A235" s="36" t="s">
        <v>1022</v>
      </c>
      <c r="B235" s="37" t="s">
        <v>141</v>
      </c>
      <c r="C235" s="36">
        <v>5.36</v>
      </c>
      <c r="D235" s="110"/>
    </row>
    <row r="236" spans="1:4" ht="15.75" outlineLevel="1">
      <c r="A236" s="36" t="s">
        <v>1022</v>
      </c>
      <c r="B236" s="37" t="s">
        <v>11</v>
      </c>
      <c r="C236" s="36">
        <v>5.53</v>
      </c>
      <c r="D236" s="110"/>
    </row>
    <row r="237" spans="1:4" ht="15.75" outlineLevel="1">
      <c r="A237" s="36" t="s">
        <v>1022</v>
      </c>
      <c r="B237" s="37" t="s">
        <v>1152</v>
      </c>
      <c r="C237" s="36">
        <v>5.1020000000000003</v>
      </c>
      <c r="D237" s="110"/>
    </row>
    <row r="238" spans="1:4" ht="15.75" outlineLevel="1">
      <c r="A238" s="36" t="s">
        <v>1022</v>
      </c>
      <c r="B238" s="37" t="s">
        <v>17</v>
      </c>
      <c r="C238" s="36">
        <v>5.58</v>
      </c>
      <c r="D238" s="110"/>
    </row>
    <row r="239" spans="1:4" ht="15.75" outlineLevel="1">
      <c r="A239" s="36" t="s">
        <v>1022</v>
      </c>
      <c r="B239" s="37" t="s">
        <v>18</v>
      </c>
      <c r="C239" s="36">
        <v>5.54</v>
      </c>
      <c r="D239" s="110"/>
    </row>
    <row r="240" spans="1:4" ht="15.75" outlineLevel="1">
      <c r="A240" s="36" t="s">
        <v>1022</v>
      </c>
      <c r="B240" s="37" t="s">
        <v>19</v>
      </c>
      <c r="C240" s="36">
        <v>5.55</v>
      </c>
      <c r="D240" s="110"/>
    </row>
    <row r="241" spans="1:4" ht="15.75" outlineLevel="1">
      <c r="A241" s="36" t="s">
        <v>1022</v>
      </c>
      <c r="B241" s="37" t="s">
        <v>20</v>
      </c>
      <c r="C241" s="36">
        <v>5.63</v>
      </c>
      <c r="D241" s="110"/>
    </row>
    <row r="242" spans="1:4" ht="15.75" outlineLevel="1">
      <c r="A242" s="36" t="s">
        <v>1022</v>
      </c>
      <c r="B242" s="37" t="s">
        <v>24</v>
      </c>
      <c r="C242" s="36">
        <v>5.47</v>
      </c>
      <c r="D242" s="110"/>
    </row>
    <row r="243" spans="1:4" ht="15.75" outlineLevel="1">
      <c r="A243" s="36" t="s">
        <v>1022</v>
      </c>
      <c r="B243" s="37" t="s">
        <v>25</v>
      </c>
      <c r="C243" s="36">
        <v>5.48</v>
      </c>
      <c r="D243" s="110"/>
    </row>
    <row r="244" spans="1:4" ht="15.75">
      <c r="A244" s="42" t="s">
        <v>1022</v>
      </c>
      <c r="B244" s="37"/>
      <c r="C244" s="36"/>
      <c r="D244" s="110"/>
    </row>
    <row r="245" spans="1:4" ht="15.75" outlineLevel="1">
      <c r="A245" s="36" t="s">
        <v>1154</v>
      </c>
      <c r="B245" s="37" t="s">
        <v>0</v>
      </c>
      <c r="C245" s="36">
        <v>5.0999999999999996</v>
      </c>
      <c r="D245" s="110"/>
    </row>
    <row r="246" spans="1:4" ht="15.75" outlineLevel="1">
      <c r="A246" s="36" t="s">
        <v>1154</v>
      </c>
      <c r="B246" s="37" t="s">
        <v>1</v>
      </c>
      <c r="C246" s="36">
        <v>5.2</v>
      </c>
      <c r="D246" s="110"/>
    </row>
    <row r="247" spans="1:4" ht="15.75" outlineLevel="1">
      <c r="A247" s="36" t="s">
        <v>1154</v>
      </c>
      <c r="B247" s="37" t="s">
        <v>2</v>
      </c>
      <c r="C247" s="36">
        <v>5.3</v>
      </c>
      <c r="D247" s="110"/>
    </row>
    <row r="248" spans="1:4" ht="15.75" outlineLevel="1">
      <c r="A248" s="36" t="s">
        <v>1154</v>
      </c>
      <c r="B248" s="37" t="s">
        <v>173</v>
      </c>
      <c r="C248" s="36">
        <v>5.6</v>
      </c>
      <c r="D248" s="110"/>
    </row>
    <row r="249" spans="1:4" ht="15.75" outlineLevel="1">
      <c r="A249" s="36" t="s">
        <v>1154</v>
      </c>
      <c r="B249" s="37" t="s">
        <v>1145</v>
      </c>
      <c r="C249" s="38">
        <v>5.0999999999999996</v>
      </c>
      <c r="D249" s="110"/>
    </row>
    <row r="250" spans="1:4" ht="15.75" outlineLevel="1">
      <c r="A250" s="36" t="s">
        <v>1154</v>
      </c>
      <c r="B250" s="37" t="s">
        <v>1144</v>
      </c>
      <c r="C250" s="36">
        <v>5.14</v>
      </c>
      <c r="D250" s="110"/>
    </row>
    <row r="251" spans="1:4" ht="15.75" outlineLevel="1">
      <c r="A251" s="36" t="s">
        <v>1154</v>
      </c>
      <c r="B251" s="37" t="s">
        <v>4</v>
      </c>
      <c r="C251" s="36">
        <v>5.19</v>
      </c>
      <c r="D251" s="110"/>
    </row>
    <row r="252" spans="1:4" ht="15.75" outlineLevel="1">
      <c r="A252" s="36" t="s">
        <v>1154</v>
      </c>
      <c r="B252" s="37" t="s">
        <v>175</v>
      </c>
      <c r="C252" s="36">
        <v>5.24</v>
      </c>
      <c r="D252" s="110"/>
    </row>
    <row r="253" spans="1:4" ht="15.75" outlineLevel="1">
      <c r="A253" s="36" t="s">
        <v>1154</v>
      </c>
      <c r="B253" s="37" t="s">
        <v>6</v>
      </c>
      <c r="C253" s="36">
        <v>5.27</v>
      </c>
      <c r="D253" s="110"/>
    </row>
    <row r="254" spans="1:4" ht="15.75" outlineLevel="1">
      <c r="A254" s="36" t="s">
        <v>1154</v>
      </c>
      <c r="B254" s="37" t="s">
        <v>7</v>
      </c>
      <c r="C254" s="36">
        <v>5.28</v>
      </c>
      <c r="D254" s="110"/>
    </row>
    <row r="255" spans="1:4" ht="15.75" outlineLevel="1">
      <c r="A255" s="36" t="s">
        <v>1154</v>
      </c>
      <c r="B255" s="37" t="s">
        <v>8</v>
      </c>
      <c r="C255" s="38">
        <v>5.3</v>
      </c>
      <c r="D255" s="110"/>
    </row>
    <row r="256" spans="1:4" ht="15.75" outlineLevel="1">
      <c r="A256" s="36" t="s">
        <v>1154</v>
      </c>
      <c r="B256" s="37" t="s">
        <v>210</v>
      </c>
      <c r="C256" s="36">
        <v>5.33</v>
      </c>
      <c r="D256" s="110"/>
    </row>
    <row r="257" spans="1:4" ht="15.75" outlineLevel="1">
      <c r="A257" s="36" t="s">
        <v>1154</v>
      </c>
      <c r="B257" s="37" t="s">
        <v>141</v>
      </c>
      <c r="C257" s="36">
        <v>5.36</v>
      </c>
      <c r="D257" s="110"/>
    </row>
    <row r="258" spans="1:4" ht="15.75" outlineLevel="1">
      <c r="A258" s="36" t="s">
        <v>1154</v>
      </c>
      <c r="B258" s="37" t="s">
        <v>11</v>
      </c>
      <c r="C258" s="36">
        <v>5.53</v>
      </c>
      <c r="D258" s="110"/>
    </row>
    <row r="259" spans="1:4" ht="15.75" outlineLevel="1">
      <c r="A259" s="36" t="s">
        <v>1154</v>
      </c>
      <c r="B259" s="37" t="s">
        <v>17</v>
      </c>
      <c r="C259" s="36">
        <v>5.58</v>
      </c>
      <c r="D259" s="110"/>
    </row>
    <row r="260" spans="1:4" ht="15.75" outlineLevel="1">
      <c r="A260" s="36" t="s">
        <v>1154</v>
      </c>
      <c r="B260" s="37" t="s">
        <v>18</v>
      </c>
      <c r="C260" s="36">
        <v>5.54</v>
      </c>
      <c r="D260" s="110"/>
    </row>
    <row r="261" spans="1:4" ht="15.75" outlineLevel="1">
      <c r="A261" s="36" t="s">
        <v>1154</v>
      </c>
      <c r="B261" s="37" t="s">
        <v>19</v>
      </c>
      <c r="C261" s="36">
        <v>5.55</v>
      </c>
      <c r="D261" s="110"/>
    </row>
    <row r="262" spans="1:4" ht="15.75" outlineLevel="1">
      <c r="A262" s="36" t="s">
        <v>1154</v>
      </c>
      <c r="B262" s="37" t="s">
        <v>20</v>
      </c>
      <c r="C262" s="36">
        <v>5.63</v>
      </c>
      <c r="D262" s="110"/>
    </row>
    <row r="263" spans="1:4" ht="15.75" outlineLevel="1">
      <c r="A263" s="36" t="s">
        <v>1154</v>
      </c>
      <c r="B263" s="37" t="s">
        <v>24</v>
      </c>
      <c r="C263" s="36">
        <v>5.47</v>
      </c>
      <c r="D263" s="110"/>
    </row>
    <row r="264" spans="1:4" ht="15.75" outlineLevel="1">
      <c r="A264" s="36" t="s">
        <v>1154</v>
      </c>
      <c r="B264" s="37" t="s">
        <v>25</v>
      </c>
      <c r="C264" s="36">
        <v>5.48</v>
      </c>
      <c r="D264" s="110"/>
    </row>
    <row r="265" spans="1:4" ht="15.75">
      <c r="A265" s="42" t="s">
        <v>1154</v>
      </c>
      <c r="B265" s="37"/>
      <c r="C265" s="36"/>
      <c r="D265" s="110"/>
    </row>
    <row r="266" spans="1:4" ht="15.75" outlineLevel="1">
      <c r="A266" s="36" t="s">
        <v>1027</v>
      </c>
      <c r="B266" s="37" t="s">
        <v>0</v>
      </c>
      <c r="C266" s="36">
        <v>5.0999999999999996</v>
      </c>
      <c r="D266" s="110"/>
    </row>
    <row r="267" spans="1:4" ht="15.75" outlineLevel="1">
      <c r="A267" s="36" t="s">
        <v>1027</v>
      </c>
      <c r="B267" s="37" t="s">
        <v>1</v>
      </c>
      <c r="C267" s="36">
        <v>5.2</v>
      </c>
      <c r="D267" s="110"/>
    </row>
    <row r="268" spans="1:4" ht="15.75" outlineLevel="1">
      <c r="A268" s="36" t="s">
        <v>1027</v>
      </c>
      <c r="B268" s="37" t="s">
        <v>2</v>
      </c>
      <c r="C268" s="36">
        <v>5.3</v>
      </c>
      <c r="D268" s="110"/>
    </row>
    <row r="269" spans="1:4" ht="15.75" outlineLevel="1">
      <c r="A269" s="36" t="s">
        <v>1027</v>
      </c>
      <c r="B269" s="37" t="s">
        <v>173</v>
      </c>
      <c r="C269" s="36">
        <v>5.6</v>
      </c>
      <c r="D269" s="110"/>
    </row>
    <row r="270" spans="1:4" ht="15.75" outlineLevel="1">
      <c r="A270" s="36" t="s">
        <v>1027</v>
      </c>
      <c r="B270" s="37" t="s">
        <v>1145</v>
      </c>
      <c r="C270" s="38">
        <v>5.0999999999999996</v>
      </c>
      <c r="D270" s="110"/>
    </row>
    <row r="271" spans="1:4" ht="15.75" outlineLevel="1">
      <c r="A271" s="36" t="s">
        <v>1027</v>
      </c>
      <c r="B271" s="37" t="s">
        <v>1144</v>
      </c>
      <c r="C271" s="36">
        <v>5.14</v>
      </c>
      <c r="D271" s="110"/>
    </row>
    <row r="272" spans="1:4" ht="15.75" outlineLevel="1">
      <c r="A272" s="36" t="s">
        <v>1027</v>
      </c>
      <c r="B272" s="37" t="s">
        <v>4</v>
      </c>
      <c r="C272" s="36">
        <v>5.19</v>
      </c>
      <c r="D272" s="110"/>
    </row>
    <row r="273" spans="1:4" ht="15.75" outlineLevel="1">
      <c r="A273" s="36" t="s">
        <v>1027</v>
      </c>
      <c r="B273" s="37" t="s">
        <v>175</v>
      </c>
      <c r="C273" s="36">
        <v>5.24</v>
      </c>
      <c r="D273" s="110"/>
    </row>
    <row r="274" spans="1:4" ht="15.75" outlineLevel="1">
      <c r="A274" s="36" t="s">
        <v>1027</v>
      </c>
      <c r="B274" s="37" t="s">
        <v>5</v>
      </c>
      <c r="C274" s="36">
        <v>5.26</v>
      </c>
      <c r="D274" s="110"/>
    </row>
    <row r="275" spans="1:4" ht="15.75" outlineLevel="1">
      <c r="A275" s="36" t="s">
        <v>1027</v>
      </c>
      <c r="B275" s="37" t="s">
        <v>6</v>
      </c>
      <c r="C275" s="36">
        <v>5.27</v>
      </c>
      <c r="D275" s="110"/>
    </row>
    <row r="276" spans="1:4" ht="15.75" outlineLevel="1">
      <c r="A276" s="36" t="s">
        <v>1027</v>
      </c>
      <c r="B276" s="37" t="s">
        <v>7</v>
      </c>
      <c r="C276" s="36">
        <v>5.28</v>
      </c>
      <c r="D276" s="110"/>
    </row>
    <row r="277" spans="1:4" ht="15.75" outlineLevel="1">
      <c r="A277" s="36" t="s">
        <v>1027</v>
      </c>
      <c r="B277" s="37" t="s">
        <v>361</v>
      </c>
      <c r="C277" s="36">
        <v>5.29</v>
      </c>
      <c r="D277" s="110"/>
    </row>
    <row r="278" spans="1:4" ht="15.75" outlineLevel="1">
      <c r="A278" s="36" t="s">
        <v>1027</v>
      </c>
      <c r="B278" s="37" t="s">
        <v>8</v>
      </c>
      <c r="C278" s="38">
        <v>5.3</v>
      </c>
      <c r="D278" s="110"/>
    </row>
    <row r="279" spans="1:4" ht="15.75" outlineLevel="1">
      <c r="A279" s="36" t="s">
        <v>1027</v>
      </c>
      <c r="B279" s="37" t="s">
        <v>210</v>
      </c>
      <c r="C279" s="36">
        <v>5.33</v>
      </c>
      <c r="D279" s="110"/>
    </row>
    <row r="280" spans="1:4" ht="15.75" outlineLevel="1">
      <c r="A280" s="36" t="s">
        <v>1027</v>
      </c>
      <c r="B280" s="37" t="s">
        <v>141</v>
      </c>
      <c r="C280" s="36">
        <v>5.36</v>
      </c>
      <c r="D280" s="110"/>
    </row>
    <row r="281" spans="1:4" ht="15.75" outlineLevel="1">
      <c r="A281" s="36" t="s">
        <v>1027</v>
      </c>
      <c r="B281" s="37" t="s">
        <v>12</v>
      </c>
      <c r="C281" s="36">
        <v>5.69</v>
      </c>
      <c r="D281" s="110"/>
    </row>
    <row r="282" spans="1:4" ht="15.75" outlineLevel="1">
      <c r="A282" s="36" t="s">
        <v>1027</v>
      </c>
      <c r="B282" s="37" t="s">
        <v>14</v>
      </c>
      <c r="C282" s="38">
        <v>5.7</v>
      </c>
      <c r="D282" s="110"/>
    </row>
    <row r="283" spans="1:4" ht="15.75" outlineLevel="1">
      <c r="A283" s="36" t="s">
        <v>1027</v>
      </c>
      <c r="B283" s="37" t="s">
        <v>15</v>
      </c>
      <c r="C283" s="36">
        <v>5.74</v>
      </c>
      <c r="D283" s="110"/>
    </row>
    <row r="284" spans="1:4" ht="15.75" outlineLevel="1">
      <c r="A284" s="36" t="s">
        <v>1027</v>
      </c>
      <c r="B284" s="37" t="s">
        <v>9</v>
      </c>
      <c r="C284" s="36">
        <v>5.49</v>
      </c>
      <c r="D284" s="110"/>
    </row>
    <row r="285" spans="1:4" ht="15.75" outlineLevel="1">
      <c r="A285" s="36" t="s">
        <v>1027</v>
      </c>
      <c r="B285" s="37" t="s">
        <v>10</v>
      </c>
      <c r="C285" s="36">
        <v>5.51</v>
      </c>
      <c r="D285" s="110"/>
    </row>
    <row r="286" spans="1:4" ht="15.75" outlineLevel="1">
      <c r="A286" s="36" t="s">
        <v>1027</v>
      </c>
      <c r="B286" s="37" t="s">
        <v>1146</v>
      </c>
      <c r="C286" s="36">
        <v>5.52</v>
      </c>
      <c r="D286" s="110"/>
    </row>
    <row r="287" spans="1:4" ht="15.75" outlineLevel="1">
      <c r="A287" s="36" t="s">
        <v>1027</v>
      </c>
      <c r="B287" s="37" t="s">
        <v>11</v>
      </c>
      <c r="C287" s="36">
        <v>5.53</v>
      </c>
      <c r="D287" s="110"/>
    </row>
    <row r="288" spans="1:4" ht="15.75" outlineLevel="1">
      <c r="A288" s="36" t="s">
        <v>1027</v>
      </c>
      <c r="B288" s="37" t="s">
        <v>17</v>
      </c>
      <c r="C288" s="36">
        <v>5.58</v>
      </c>
      <c r="D288" s="110"/>
    </row>
    <row r="289" spans="1:4" ht="15.75" outlineLevel="1">
      <c r="A289" s="36" t="s">
        <v>1027</v>
      </c>
      <c r="B289" s="37" t="s">
        <v>18</v>
      </c>
      <c r="C289" s="36">
        <v>5.54</v>
      </c>
      <c r="D289" s="110"/>
    </row>
    <row r="290" spans="1:4" ht="15.75" outlineLevel="1">
      <c r="A290" s="36" t="s">
        <v>1027</v>
      </c>
      <c r="B290" s="37" t="s">
        <v>19</v>
      </c>
      <c r="C290" s="36">
        <v>5.55</v>
      </c>
      <c r="D290" s="110"/>
    </row>
    <row r="291" spans="1:4" ht="15.75" outlineLevel="1">
      <c r="A291" s="36" t="s">
        <v>1027</v>
      </c>
      <c r="B291" s="37" t="s">
        <v>20</v>
      </c>
      <c r="C291" s="36">
        <v>5.63</v>
      </c>
      <c r="D291" s="110"/>
    </row>
    <row r="292" spans="1:4" ht="15.75" outlineLevel="1">
      <c r="A292" s="36" t="s">
        <v>1027</v>
      </c>
      <c r="B292" s="37" t="s">
        <v>24</v>
      </c>
      <c r="C292" s="36">
        <v>5.47</v>
      </c>
      <c r="D292" s="110"/>
    </row>
    <row r="293" spans="1:4" ht="15.75" outlineLevel="1">
      <c r="A293" s="36" t="s">
        <v>1027</v>
      </c>
      <c r="B293" s="37" t="s">
        <v>25</v>
      </c>
      <c r="C293" s="36">
        <v>5.48</v>
      </c>
      <c r="D293" s="110"/>
    </row>
    <row r="294" spans="1:4" ht="15.75">
      <c r="A294" s="42" t="s">
        <v>1027</v>
      </c>
      <c r="B294" s="37"/>
      <c r="C294" s="36"/>
      <c r="D294" s="110"/>
    </row>
    <row r="295" spans="1:4" ht="31.5" outlineLevel="1">
      <c r="A295" s="36" t="s">
        <v>1034</v>
      </c>
      <c r="B295" s="37" t="s">
        <v>0</v>
      </c>
      <c r="C295" s="36">
        <v>5.0999999999999996</v>
      </c>
      <c r="D295" s="110"/>
    </row>
    <row r="296" spans="1:4" ht="31.5" outlineLevel="1">
      <c r="A296" s="36" t="s">
        <v>1034</v>
      </c>
      <c r="B296" s="37" t="s">
        <v>1</v>
      </c>
      <c r="C296" s="36">
        <v>5.2</v>
      </c>
      <c r="D296" s="110"/>
    </row>
    <row r="297" spans="1:4" ht="31.5" outlineLevel="1">
      <c r="A297" s="36" t="s">
        <v>1034</v>
      </c>
      <c r="B297" s="37" t="s">
        <v>2</v>
      </c>
      <c r="C297" s="36">
        <v>5.3</v>
      </c>
      <c r="D297" s="110"/>
    </row>
    <row r="298" spans="1:4" ht="31.5" outlineLevel="1">
      <c r="A298" s="36" t="s">
        <v>1034</v>
      </c>
      <c r="B298" s="37" t="s">
        <v>1144</v>
      </c>
      <c r="C298" s="36">
        <v>5.14</v>
      </c>
      <c r="D298" s="110"/>
    </row>
    <row r="299" spans="1:4" ht="31.5" outlineLevel="1">
      <c r="A299" s="36" t="s">
        <v>1034</v>
      </c>
      <c r="B299" s="37" t="s">
        <v>4</v>
      </c>
      <c r="C299" s="36">
        <v>5.19</v>
      </c>
      <c r="D299" s="110"/>
    </row>
    <row r="300" spans="1:4" ht="31.5" outlineLevel="1">
      <c r="A300" s="36" t="s">
        <v>1034</v>
      </c>
      <c r="B300" s="37" t="s">
        <v>175</v>
      </c>
      <c r="C300" s="36">
        <v>5.24</v>
      </c>
      <c r="D300" s="110"/>
    </row>
    <row r="301" spans="1:4" ht="31.5" outlineLevel="1">
      <c r="A301" s="36" t="s">
        <v>1034</v>
      </c>
      <c r="B301" s="37" t="s">
        <v>5</v>
      </c>
      <c r="C301" s="36">
        <v>5.26</v>
      </c>
      <c r="D301" s="110"/>
    </row>
    <row r="302" spans="1:4" ht="31.5" outlineLevel="1">
      <c r="A302" s="36" t="s">
        <v>1034</v>
      </c>
      <c r="B302" s="37" t="s">
        <v>6</v>
      </c>
      <c r="C302" s="36">
        <v>5.27</v>
      </c>
      <c r="D302" s="110"/>
    </row>
    <row r="303" spans="1:4" ht="31.5" outlineLevel="1">
      <c r="A303" s="36" t="s">
        <v>1034</v>
      </c>
      <c r="B303" s="37" t="s">
        <v>7</v>
      </c>
      <c r="C303" s="36">
        <v>5.28</v>
      </c>
      <c r="D303" s="110"/>
    </row>
    <row r="304" spans="1:4" ht="31.5" outlineLevel="1">
      <c r="A304" s="36" t="s">
        <v>1034</v>
      </c>
      <c r="B304" s="37" t="s">
        <v>184</v>
      </c>
      <c r="C304" s="36">
        <v>5.37</v>
      </c>
      <c r="D304" s="110"/>
    </row>
    <row r="305" spans="1:4" ht="31.5" outlineLevel="1">
      <c r="A305" s="36" t="s">
        <v>1034</v>
      </c>
      <c r="B305" s="37" t="s">
        <v>9</v>
      </c>
      <c r="C305" s="36">
        <v>5.49</v>
      </c>
      <c r="D305" s="110"/>
    </row>
    <row r="306" spans="1:4" ht="31.5" outlineLevel="1">
      <c r="A306" s="36" t="s">
        <v>1034</v>
      </c>
      <c r="B306" s="37" t="s">
        <v>10</v>
      </c>
      <c r="C306" s="36">
        <v>5.51</v>
      </c>
      <c r="D306" s="110"/>
    </row>
    <row r="307" spans="1:4" ht="31.5" outlineLevel="1">
      <c r="A307" s="36" t="s">
        <v>1034</v>
      </c>
      <c r="B307" s="37" t="s">
        <v>11</v>
      </c>
      <c r="C307" s="36">
        <v>5.53</v>
      </c>
      <c r="D307" s="110"/>
    </row>
    <row r="308" spans="1:4" ht="31.5" outlineLevel="1">
      <c r="A308" s="36" t="s">
        <v>1034</v>
      </c>
      <c r="B308" s="37" t="s">
        <v>12</v>
      </c>
      <c r="C308" s="36">
        <v>5.69</v>
      </c>
      <c r="D308" s="110"/>
    </row>
    <row r="309" spans="1:4" ht="31.5" outlineLevel="1">
      <c r="A309" s="36" t="s">
        <v>1034</v>
      </c>
      <c r="B309" s="37" t="s">
        <v>13</v>
      </c>
      <c r="C309" s="36">
        <v>5.75</v>
      </c>
      <c r="D309" s="110"/>
    </row>
    <row r="310" spans="1:4" ht="31.5" outlineLevel="1">
      <c r="A310" s="36" t="s">
        <v>1034</v>
      </c>
      <c r="B310" s="37" t="s">
        <v>14</v>
      </c>
      <c r="C310" s="38">
        <v>5.7</v>
      </c>
      <c r="D310" s="110"/>
    </row>
    <row r="311" spans="1:4" ht="31.5" outlineLevel="1">
      <c r="A311" s="36" t="s">
        <v>1034</v>
      </c>
      <c r="B311" s="37" t="s">
        <v>15</v>
      </c>
      <c r="C311" s="36">
        <v>5.74</v>
      </c>
      <c r="D311" s="110"/>
    </row>
    <row r="312" spans="1:4" ht="31.5" outlineLevel="1">
      <c r="A312" s="36" t="s">
        <v>1034</v>
      </c>
      <c r="B312" s="37" t="s">
        <v>17</v>
      </c>
      <c r="C312" s="36">
        <v>5.58</v>
      </c>
      <c r="D312" s="110"/>
    </row>
    <row r="313" spans="1:4" ht="31.5" outlineLevel="1">
      <c r="A313" s="36" t="s">
        <v>1034</v>
      </c>
      <c r="B313" s="37" t="s">
        <v>18</v>
      </c>
      <c r="C313" s="36">
        <v>5.54</v>
      </c>
      <c r="D313" s="110"/>
    </row>
    <row r="314" spans="1:4" ht="31.5" outlineLevel="1">
      <c r="A314" s="36" t="s">
        <v>1034</v>
      </c>
      <c r="B314" s="37" t="s">
        <v>19</v>
      </c>
      <c r="C314" s="36">
        <v>5.55</v>
      </c>
      <c r="D314" s="110"/>
    </row>
    <row r="315" spans="1:4" ht="31.5" outlineLevel="1">
      <c r="A315" s="36" t="s">
        <v>1034</v>
      </c>
      <c r="B315" s="37" t="s">
        <v>20</v>
      </c>
      <c r="C315" s="36">
        <v>5.63</v>
      </c>
      <c r="D315" s="110"/>
    </row>
    <row r="316" spans="1:4" ht="31.5" outlineLevel="1">
      <c r="A316" s="36" t="s">
        <v>1034</v>
      </c>
      <c r="B316" s="37" t="s">
        <v>21</v>
      </c>
      <c r="C316" s="36">
        <v>5.65</v>
      </c>
      <c r="D316" s="110"/>
    </row>
    <row r="317" spans="1:4" ht="31.5" outlineLevel="1">
      <c r="A317" s="36" t="s">
        <v>1034</v>
      </c>
      <c r="B317" s="37" t="s">
        <v>22</v>
      </c>
      <c r="C317" s="36">
        <v>5.68</v>
      </c>
      <c r="D317" s="110"/>
    </row>
    <row r="318" spans="1:4" ht="31.5" outlineLevel="1">
      <c r="A318" s="36" t="s">
        <v>1034</v>
      </c>
      <c r="B318" s="37" t="s">
        <v>24</v>
      </c>
      <c r="C318" s="36">
        <v>5.47</v>
      </c>
      <c r="D318" s="110"/>
    </row>
    <row r="319" spans="1:4" ht="31.5" outlineLevel="1">
      <c r="A319" s="36" t="s">
        <v>1034</v>
      </c>
      <c r="B319" s="37" t="s">
        <v>25</v>
      </c>
      <c r="C319" s="36">
        <v>5.48</v>
      </c>
      <c r="D319" s="110"/>
    </row>
    <row r="320" spans="1:4" ht="15.75">
      <c r="A320" s="42" t="s">
        <v>1034</v>
      </c>
      <c r="B320" s="37"/>
      <c r="C320" s="36"/>
      <c r="D320" s="110"/>
    </row>
    <row r="321" spans="1:4" ht="31.5" outlineLevel="1">
      <c r="A321" s="36" t="s">
        <v>1035</v>
      </c>
      <c r="B321" s="37" t="s">
        <v>0</v>
      </c>
      <c r="C321" s="36">
        <v>5.0999999999999996</v>
      </c>
      <c r="D321" s="110"/>
    </row>
    <row r="322" spans="1:4" ht="31.5" outlineLevel="1">
      <c r="A322" s="36" t="s">
        <v>1035</v>
      </c>
      <c r="B322" s="37" t="s">
        <v>1</v>
      </c>
      <c r="C322" s="36">
        <v>5.2</v>
      </c>
      <c r="D322" s="110"/>
    </row>
    <row r="323" spans="1:4" ht="31.5" outlineLevel="1">
      <c r="A323" s="36" t="s">
        <v>1035</v>
      </c>
      <c r="B323" s="37" t="s">
        <v>5</v>
      </c>
      <c r="C323" s="36">
        <v>5.26</v>
      </c>
      <c r="D323" s="110"/>
    </row>
    <row r="324" spans="1:4" ht="31.5" outlineLevel="1">
      <c r="A324" s="36" t="s">
        <v>1035</v>
      </c>
      <c r="B324" s="37" t="s">
        <v>1144</v>
      </c>
      <c r="C324" s="36">
        <v>5.14</v>
      </c>
      <c r="D324" s="110"/>
    </row>
    <row r="325" spans="1:4" ht="31.5" outlineLevel="1">
      <c r="A325" s="36" t="s">
        <v>1035</v>
      </c>
      <c r="B325" s="37" t="s">
        <v>4</v>
      </c>
      <c r="C325" s="36">
        <v>5.19</v>
      </c>
      <c r="D325" s="110"/>
    </row>
    <row r="326" spans="1:4" ht="31.5" outlineLevel="1">
      <c r="A326" s="36" t="s">
        <v>1035</v>
      </c>
      <c r="B326" s="37" t="s">
        <v>184</v>
      </c>
      <c r="C326" s="36">
        <v>5.37</v>
      </c>
      <c r="D326" s="110"/>
    </row>
    <row r="327" spans="1:4" ht="31.5" outlineLevel="1">
      <c r="A327" s="36" t="s">
        <v>1035</v>
      </c>
      <c r="B327" s="37" t="s">
        <v>12</v>
      </c>
      <c r="C327" s="36">
        <v>5.69</v>
      </c>
      <c r="D327" s="110"/>
    </row>
    <row r="328" spans="1:4" ht="31.5" outlineLevel="1">
      <c r="A328" s="36" t="s">
        <v>1035</v>
      </c>
      <c r="B328" s="37" t="s">
        <v>788</v>
      </c>
      <c r="C328" s="38">
        <v>5.8</v>
      </c>
      <c r="D328" s="110"/>
    </row>
    <row r="329" spans="1:4" ht="31.5" outlineLevel="1">
      <c r="A329" s="36" t="s">
        <v>1035</v>
      </c>
      <c r="B329" s="37" t="s">
        <v>13</v>
      </c>
      <c r="C329" s="36">
        <v>5.75</v>
      </c>
      <c r="D329" s="110"/>
    </row>
    <row r="330" spans="1:4" ht="31.5" outlineLevel="1">
      <c r="A330" s="36" t="s">
        <v>1035</v>
      </c>
      <c r="B330" s="37" t="s">
        <v>14</v>
      </c>
      <c r="C330" s="38">
        <v>5.7</v>
      </c>
      <c r="D330" s="110"/>
    </row>
    <row r="331" spans="1:4" ht="31.5" outlineLevel="1">
      <c r="A331" s="36" t="s">
        <v>1035</v>
      </c>
      <c r="B331" s="37" t="s">
        <v>15</v>
      </c>
      <c r="C331" s="36">
        <v>5.74</v>
      </c>
      <c r="D331" s="110"/>
    </row>
    <row r="332" spans="1:4" ht="31.5" outlineLevel="1">
      <c r="A332" s="36" t="s">
        <v>1035</v>
      </c>
      <c r="B332" s="37" t="s">
        <v>17</v>
      </c>
      <c r="C332" s="36">
        <v>5.58</v>
      </c>
      <c r="D332" s="110"/>
    </row>
    <row r="333" spans="1:4" ht="31.5" outlineLevel="1">
      <c r="A333" s="36" t="s">
        <v>1035</v>
      </c>
      <c r="B333" s="37" t="s">
        <v>19</v>
      </c>
      <c r="C333" s="36">
        <v>5.55</v>
      </c>
      <c r="D333" s="110"/>
    </row>
    <row r="334" spans="1:4" ht="31.5" outlineLevel="1">
      <c r="A334" s="36" t="s">
        <v>1035</v>
      </c>
      <c r="B334" s="37" t="s">
        <v>20</v>
      </c>
      <c r="C334" s="36">
        <v>5.63</v>
      </c>
      <c r="D334" s="110"/>
    </row>
    <row r="335" spans="1:4" ht="31.5" outlineLevel="1">
      <c r="A335" s="36" t="s">
        <v>1035</v>
      </c>
      <c r="B335" s="37" t="s">
        <v>21</v>
      </c>
      <c r="C335" s="36">
        <v>5.65</v>
      </c>
      <c r="D335" s="110"/>
    </row>
    <row r="336" spans="1:4" ht="31.5" outlineLevel="1">
      <c r="A336" s="36" t="s">
        <v>1035</v>
      </c>
      <c r="B336" s="37" t="s">
        <v>22</v>
      </c>
      <c r="C336" s="36">
        <v>5.68</v>
      </c>
      <c r="D336" s="110"/>
    </row>
    <row r="337" spans="1:4" ht="31.5" outlineLevel="1">
      <c r="A337" s="36" t="s">
        <v>1035</v>
      </c>
      <c r="B337" s="37" t="s">
        <v>24</v>
      </c>
      <c r="C337" s="36">
        <v>5.47</v>
      </c>
      <c r="D337" s="110"/>
    </row>
    <row r="338" spans="1:4" ht="31.5" outlineLevel="1">
      <c r="A338" s="36" t="s">
        <v>1035</v>
      </c>
      <c r="B338" s="37" t="s">
        <v>25</v>
      </c>
      <c r="C338" s="36">
        <v>5.48</v>
      </c>
      <c r="D338" s="110"/>
    </row>
    <row r="339" spans="1:4" ht="15.75">
      <c r="A339" s="42" t="s">
        <v>1035</v>
      </c>
      <c r="B339" s="37"/>
      <c r="C339" s="36"/>
      <c r="D339" s="110"/>
    </row>
    <row r="340" spans="1:4" ht="31.5" outlineLevel="1">
      <c r="A340" s="36" t="s">
        <v>1041</v>
      </c>
      <c r="B340" s="37" t="s">
        <v>1155</v>
      </c>
      <c r="C340" s="36">
        <v>5.0999999999999996</v>
      </c>
      <c r="D340" s="110"/>
    </row>
    <row r="341" spans="1:4" ht="31.5" outlineLevel="1">
      <c r="A341" s="36" t="s">
        <v>1041</v>
      </c>
      <c r="B341" s="37" t="s">
        <v>1</v>
      </c>
      <c r="C341" s="36">
        <v>5.2</v>
      </c>
      <c r="D341" s="110"/>
    </row>
    <row r="342" spans="1:4" ht="31.5" outlineLevel="1">
      <c r="A342" s="36" t="s">
        <v>1041</v>
      </c>
      <c r="B342" s="37" t="s">
        <v>5</v>
      </c>
      <c r="C342" s="36">
        <v>5.26</v>
      </c>
      <c r="D342" s="110"/>
    </row>
    <row r="343" spans="1:4" ht="31.5" outlineLevel="1">
      <c r="A343" s="36" t="s">
        <v>1041</v>
      </c>
      <c r="B343" s="37" t="s">
        <v>1156</v>
      </c>
      <c r="C343" s="36">
        <v>5.38</v>
      </c>
      <c r="D343" s="110"/>
    </row>
    <row r="344" spans="1:4" ht="31.5" outlineLevel="1">
      <c r="A344" s="36" t="s">
        <v>1041</v>
      </c>
      <c r="B344" s="37" t="s">
        <v>1157</v>
      </c>
      <c r="C344" s="36">
        <v>5.39</v>
      </c>
      <c r="D344" s="110"/>
    </row>
    <row r="345" spans="1:4" ht="31.5" outlineLevel="1">
      <c r="A345" s="36" t="s">
        <v>1041</v>
      </c>
      <c r="B345" s="37" t="s">
        <v>1158</v>
      </c>
      <c r="C345" s="38">
        <v>5.6</v>
      </c>
      <c r="D345" s="110"/>
    </row>
    <row r="346" spans="1:4" ht="31.5" outlineLevel="1">
      <c r="A346" s="36" t="s">
        <v>1041</v>
      </c>
      <c r="B346" s="37" t="s">
        <v>25</v>
      </c>
      <c r="C346" s="36">
        <v>5.48</v>
      </c>
      <c r="D346" s="110"/>
    </row>
    <row r="347" spans="1:4" ht="15.75">
      <c r="A347" s="42" t="s">
        <v>1041</v>
      </c>
      <c r="B347" s="37"/>
      <c r="C347" s="36"/>
      <c r="D347" s="110"/>
    </row>
    <row r="348" spans="1:4" ht="31.5" outlineLevel="1">
      <c r="A348" s="36" t="s">
        <v>1045</v>
      </c>
      <c r="B348" s="37" t="s">
        <v>0</v>
      </c>
      <c r="C348" s="36">
        <v>5.0999999999999996</v>
      </c>
      <c r="D348" s="110"/>
    </row>
    <row r="349" spans="1:4" ht="31.5" outlineLevel="1">
      <c r="A349" s="36" t="s">
        <v>1045</v>
      </c>
      <c r="B349" s="37" t="s">
        <v>1</v>
      </c>
      <c r="C349" s="36">
        <v>5.2</v>
      </c>
      <c r="D349" s="110"/>
    </row>
    <row r="350" spans="1:4" ht="31.5" outlineLevel="1">
      <c r="A350" s="36" t="s">
        <v>1045</v>
      </c>
      <c r="B350" s="37" t="s">
        <v>2</v>
      </c>
      <c r="C350" s="36">
        <v>5.3</v>
      </c>
      <c r="D350" s="110"/>
    </row>
    <row r="351" spans="1:4" ht="31.5" outlineLevel="1">
      <c r="A351" s="36" t="s">
        <v>1045</v>
      </c>
      <c r="B351" s="37" t="s">
        <v>173</v>
      </c>
      <c r="C351" s="36">
        <v>5.6</v>
      </c>
      <c r="D351" s="110"/>
    </row>
    <row r="352" spans="1:4" ht="31.5" outlineLevel="1">
      <c r="A352" s="36" t="s">
        <v>1045</v>
      </c>
      <c r="B352" s="37" t="s">
        <v>1145</v>
      </c>
      <c r="C352" s="38">
        <v>5.0999999999999996</v>
      </c>
      <c r="D352" s="110"/>
    </row>
    <row r="353" spans="1:4" ht="31.5" outlineLevel="1">
      <c r="A353" s="36" t="s">
        <v>1045</v>
      </c>
      <c r="B353" s="37" t="s">
        <v>1144</v>
      </c>
      <c r="C353" s="36">
        <v>5.14</v>
      </c>
      <c r="D353" s="110"/>
    </row>
    <row r="354" spans="1:4" ht="31.5" outlineLevel="1">
      <c r="A354" s="36" t="s">
        <v>1045</v>
      </c>
      <c r="B354" s="37" t="s">
        <v>4</v>
      </c>
      <c r="C354" s="36">
        <v>5.19</v>
      </c>
      <c r="D354" s="110"/>
    </row>
    <row r="355" spans="1:4" ht="31.5" outlineLevel="1">
      <c r="A355" s="36" t="s">
        <v>1045</v>
      </c>
      <c r="B355" s="37" t="s">
        <v>175</v>
      </c>
      <c r="C355" s="36">
        <v>5.24</v>
      </c>
      <c r="D355" s="110"/>
    </row>
    <row r="356" spans="1:4" ht="31.5" outlineLevel="1">
      <c r="A356" s="36" t="s">
        <v>1045</v>
      </c>
      <c r="B356" s="37" t="s">
        <v>5</v>
      </c>
      <c r="C356" s="36">
        <v>5.26</v>
      </c>
      <c r="D356" s="110"/>
    </row>
    <row r="357" spans="1:4" ht="31.5" outlineLevel="1">
      <c r="A357" s="36" t="s">
        <v>1045</v>
      </c>
      <c r="B357" s="37" t="s">
        <v>6</v>
      </c>
      <c r="C357" s="36">
        <v>5.27</v>
      </c>
      <c r="D357" s="110"/>
    </row>
    <row r="358" spans="1:4" ht="31.5" outlineLevel="1">
      <c r="A358" s="36" t="s">
        <v>1045</v>
      </c>
      <c r="B358" s="37" t="s">
        <v>7</v>
      </c>
      <c r="C358" s="36">
        <v>5.28</v>
      </c>
      <c r="D358" s="110"/>
    </row>
    <row r="359" spans="1:4" ht="31.5" outlineLevel="1">
      <c r="A359" s="36" t="s">
        <v>1045</v>
      </c>
      <c r="B359" s="37" t="s">
        <v>176</v>
      </c>
      <c r="C359" s="36">
        <v>5.31</v>
      </c>
      <c r="D359" s="110"/>
    </row>
    <row r="360" spans="1:4" ht="31.5" outlineLevel="1">
      <c r="A360" s="36" t="s">
        <v>1045</v>
      </c>
      <c r="B360" s="37" t="s">
        <v>141</v>
      </c>
      <c r="C360" s="36">
        <v>5.36</v>
      </c>
      <c r="D360" s="110"/>
    </row>
    <row r="361" spans="1:4" ht="31.5" outlineLevel="1">
      <c r="A361" s="36" t="s">
        <v>1045</v>
      </c>
      <c r="B361" s="37" t="s">
        <v>184</v>
      </c>
      <c r="C361" s="36">
        <v>5.37</v>
      </c>
      <c r="D361" s="110"/>
    </row>
    <row r="362" spans="1:4" ht="31.5" outlineLevel="1">
      <c r="A362" s="36" t="s">
        <v>1045</v>
      </c>
      <c r="B362" s="37" t="s">
        <v>9</v>
      </c>
      <c r="C362" s="36">
        <v>5.49</v>
      </c>
      <c r="D362" s="110"/>
    </row>
    <row r="363" spans="1:4" ht="31.5" outlineLevel="1">
      <c r="A363" s="36" t="s">
        <v>1045</v>
      </c>
      <c r="B363" s="37" t="s">
        <v>10</v>
      </c>
      <c r="C363" s="36">
        <v>5.51</v>
      </c>
      <c r="D363" s="110"/>
    </row>
    <row r="364" spans="1:4" ht="31.5" outlineLevel="1">
      <c r="A364" s="36" t="s">
        <v>1045</v>
      </c>
      <c r="B364" s="37" t="s">
        <v>1146</v>
      </c>
      <c r="C364" s="36">
        <v>5.52</v>
      </c>
      <c r="D364" s="110"/>
    </row>
    <row r="365" spans="1:4" ht="31.5" outlineLevel="1">
      <c r="A365" s="36" t="s">
        <v>1045</v>
      </c>
      <c r="B365" s="37" t="s">
        <v>11</v>
      </c>
      <c r="C365" s="36">
        <v>5.53</v>
      </c>
      <c r="D365" s="110"/>
    </row>
    <row r="366" spans="1:4" ht="31.5" outlineLevel="1">
      <c r="A366" s="36" t="s">
        <v>1045</v>
      </c>
      <c r="B366" s="37" t="s">
        <v>12</v>
      </c>
      <c r="C366" s="36">
        <v>5.69</v>
      </c>
      <c r="D366" s="110"/>
    </row>
    <row r="367" spans="1:4" ht="31.5" outlineLevel="1">
      <c r="A367" s="36" t="s">
        <v>1045</v>
      </c>
      <c r="B367" s="37" t="s">
        <v>788</v>
      </c>
      <c r="C367" s="38">
        <v>5.8</v>
      </c>
      <c r="D367" s="110"/>
    </row>
    <row r="368" spans="1:4" ht="31.5" outlineLevel="1">
      <c r="A368" s="36" t="s">
        <v>1045</v>
      </c>
      <c r="B368" s="37" t="s">
        <v>943</v>
      </c>
      <c r="C368" s="38">
        <v>5.72</v>
      </c>
      <c r="D368" s="110"/>
    </row>
    <row r="369" spans="1:4" ht="31.5" outlineLevel="1">
      <c r="A369" s="36" t="s">
        <v>1045</v>
      </c>
      <c r="B369" s="37" t="s">
        <v>13</v>
      </c>
      <c r="C369" s="36">
        <v>5.75</v>
      </c>
      <c r="D369" s="110"/>
    </row>
    <row r="370" spans="1:4" ht="31.5" outlineLevel="1">
      <c r="A370" s="36" t="s">
        <v>1045</v>
      </c>
      <c r="B370" s="37" t="s">
        <v>14</v>
      </c>
      <c r="C370" s="38">
        <v>5.7</v>
      </c>
      <c r="D370" s="110"/>
    </row>
    <row r="371" spans="1:4" ht="31.5" outlineLevel="1">
      <c r="A371" s="36" t="s">
        <v>1045</v>
      </c>
      <c r="B371" s="37" t="s">
        <v>15</v>
      </c>
      <c r="C371" s="36">
        <v>5.74</v>
      </c>
      <c r="D371" s="110"/>
    </row>
    <row r="372" spans="1:4" ht="31.5" outlineLevel="1">
      <c r="A372" s="36" t="s">
        <v>1045</v>
      </c>
      <c r="B372" s="37" t="s">
        <v>445</v>
      </c>
      <c r="C372" s="36">
        <v>5.76</v>
      </c>
      <c r="D372" s="110"/>
    </row>
    <row r="373" spans="1:4" ht="31.5" outlineLevel="1">
      <c r="A373" s="36" t="s">
        <v>1045</v>
      </c>
      <c r="B373" s="37" t="s">
        <v>864</v>
      </c>
      <c r="C373" s="36">
        <v>5.89</v>
      </c>
      <c r="D373" s="109" t="s">
        <v>1143</v>
      </c>
    </row>
    <row r="374" spans="1:4" ht="31.5" outlineLevel="1">
      <c r="A374" s="36" t="s">
        <v>1045</v>
      </c>
      <c r="B374" s="37" t="s">
        <v>177</v>
      </c>
      <c r="C374" s="36">
        <v>5.109</v>
      </c>
      <c r="D374" s="109"/>
    </row>
    <row r="375" spans="1:4" ht="31.5" outlineLevel="1">
      <c r="A375" s="36" t="s">
        <v>1045</v>
      </c>
      <c r="B375" s="37" t="s">
        <v>178</v>
      </c>
      <c r="C375" s="36">
        <v>5.1109999999999998</v>
      </c>
      <c r="D375" s="110"/>
    </row>
    <row r="376" spans="1:4" ht="31.5" outlineLevel="1">
      <c r="A376" s="36" t="s">
        <v>1045</v>
      </c>
      <c r="B376" s="37" t="s">
        <v>150</v>
      </c>
      <c r="C376" s="36">
        <v>5.1120000000000001</v>
      </c>
      <c r="D376" s="110"/>
    </row>
    <row r="377" spans="1:4" ht="31.5" outlineLevel="1">
      <c r="A377" s="36" t="s">
        <v>1045</v>
      </c>
      <c r="B377" s="37" t="s">
        <v>1159</v>
      </c>
      <c r="C377" s="36">
        <v>5.1130000000000004</v>
      </c>
      <c r="D377" s="110"/>
    </row>
    <row r="378" spans="1:4" ht="31.5" outlineLevel="1">
      <c r="A378" s="36" t="s">
        <v>1045</v>
      </c>
      <c r="B378" s="37" t="s">
        <v>17</v>
      </c>
      <c r="C378" s="36">
        <v>5.58</v>
      </c>
      <c r="D378" s="110"/>
    </row>
    <row r="379" spans="1:4" ht="31.5" outlineLevel="1">
      <c r="A379" s="36" t="s">
        <v>1045</v>
      </c>
      <c r="B379" s="37" t="s">
        <v>18</v>
      </c>
      <c r="C379" s="36">
        <v>5.54</v>
      </c>
      <c r="D379" s="110"/>
    </row>
    <row r="380" spans="1:4" ht="31.5" outlineLevel="1">
      <c r="A380" s="36" t="s">
        <v>1045</v>
      </c>
      <c r="B380" s="37" t="s">
        <v>19</v>
      </c>
      <c r="C380" s="36">
        <v>5.55</v>
      </c>
      <c r="D380" s="110"/>
    </row>
    <row r="381" spans="1:4" ht="31.5" outlineLevel="1">
      <c r="A381" s="36" t="s">
        <v>1045</v>
      </c>
      <c r="B381" s="37" t="s">
        <v>20</v>
      </c>
      <c r="C381" s="36">
        <v>5.63</v>
      </c>
      <c r="D381" s="110"/>
    </row>
    <row r="382" spans="1:4" ht="31.5" outlineLevel="1">
      <c r="A382" s="36" t="s">
        <v>1045</v>
      </c>
      <c r="B382" s="37" t="s">
        <v>21</v>
      </c>
      <c r="C382" s="36">
        <v>5.65</v>
      </c>
      <c r="D382" s="110"/>
    </row>
    <row r="383" spans="1:4" ht="31.5" outlineLevel="1">
      <c r="A383" s="36" t="s">
        <v>1045</v>
      </c>
      <c r="B383" s="37" t="s">
        <v>192</v>
      </c>
      <c r="C383" s="36">
        <v>5.66</v>
      </c>
      <c r="D383" s="110"/>
    </row>
    <row r="384" spans="1:4" ht="31.5" outlineLevel="1">
      <c r="A384" s="36" t="s">
        <v>1045</v>
      </c>
      <c r="B384" s="37" t="s">
        <v>22</v>
      </c>
      <c r="C384" s="36">
        <v>5.68</v>
      </c>
      <c r="D384" s="110"/>
    </row>
    <row r="385" spans="1:4" ht="31.5" outlineLevel="1">
      <c r="A385" s="36" t="s">
        <v>1045</v>
      </c>
      <c r="B385" s="37" t="s">
        <v>24</v>
      </c>
      <c r="C385" s="36">
        <v>5.47</v>
      </c>
      <c r="D385" s="110"/>
    </row>
    <row r="386" spans="1:4" ht="31.5" outlineLevel="1">
      <c r="A386" s="36" t="s">
        <v>1045</v>
      </c>
      <c r="B386" s="37" t="s">
        <v>25</v>
      </c>
      <c r="C386" s="36">
        <v>5.48</v>
      </c>
      <c r="D386" s="110"/>
    </row>
    <row r="387" spans="1:4" ht="15.75">
      <c r="A387" s="42" t="s">
        <v>1045</v>
      </c>
      <c r="B387" s="37"/>
      <c r="C387" s="36"/>
      <c r="D387" s="110"/>
    </row>
    <row r="388" spans="1:4" ht="15.75" outlineLevel="1">
      <c r="A388" s="36" t="s">
        <v>1047</v>
      </c>
      <c r="B388" s="37" t="s">
        <v>0</v>
      </c>
      <c r="C388" s="36">
        <v>5.0999999999999996</v>
      </c>
      <c r="D388" s="110"/>
    </row>
    <row r="389" spans="1:4" ht="15.75" outlineLevel="1">
      <c r="A389" s="36" t="s">
        <v>1047</v>
      </c>
      <c r="B389" s="37" t="s">
        <v>1</v>
      </c>
      <c r="C389" s="36">
        <v>5.2</v>
      </c>
      <c r="D389" s="110"/>
    </row>
    <row r="390" spans="1:4" ht="15.75" outlineLevel="1">
      <c r="A390" s="36" t="s">
        <v>1047</v>
      </c>
      <c r="B390" s="37" t="s">
        <v>2</v>
      </c>
      <c r="C390" s="36">
        <v>5.3</v>
      </c>
      <c r="D390" s="110"/>
    </row>
    <row r="391" spans="1:4" ht="15.75" outlineLevel="1">
      <c r="A391" s="36" t="s">
        <v>1047</v>
      </c>
      <c r="B391" s="37" t="s">
        <v>173</v>
      </c>
      <c r="C391" s="36">
        <v>5.6</v>
      </c>
      <c r="D391" s="110"/>
    </row>
    <row r="392" spans="1:4" ht="15.75" outlineLevel="1">
      <c r="A392" s="36" t="s">
        <v>1047</v>
      </c>
      <c r="B392" s="37" t="s">
        <v>1145</v>
      </c>
      <c r="C392" s="38">
        <v>5.0999999999999996</v>
      </c>
      <c r="D392" s="110"/>
    </row>
    <row r="393" spans="1:4" ht="15.75" outlineLevel="1">
      <c r="A393" s="36" t="s">
        <v>1047</v>
      </c>
      <c r="B393" s="37" t="s">
        <v>1144</v>
      </c>
      <c r="C393" s="36">
        <v>5.14</v>
      </c>
      <c r="D393" s="110"/>
    </row>
    <row r="394" spans="1:4" ht="15.75" outlineLevel="1">
      <c r="A394" s="36" t="s">
        <v>1047</v>
      </c>
      <c r="B394" s="37" t="s">
        <v>4</v>
      </c>
      <c r="C394" s="36">
        <v>5.19</v>
      </c>
      <c r="D394" s="110"/>
    </row>
    <row r="395" spans="1:4" ht="15.75" outlineLevel="1">
      <c r="A395" s="36" t="s">
        <v>1047</v>
      </c>
      <c r="B395" s="37" t="s">
        <v>175</v>
      </c>
      <c r="C395" s="36">
        <v>5.24</v>
      </c>
      <c r="D395" s="110"/>
    </row>
    <row r="396" spans="1:4" ht="15.75" outlineLevel="1">
      <c r="A396" s="36" t="s">
        <v>1047</v>
      </c>
      <c r="B396" s="37" t="s">
        <v>5</v>
      </c>
      <c r="C396" s="36">
        <v>5.26</v>
      </c>
      <c r="D396" s="110"/>
    </row>
    <row r="397" spans="1:4" ht="15.75" outlineLevel="1">
      <c r="A397" s="36" t="s">
        <v>1047</v>
      </c>
      <c r="B397" s="37" t="s">
        <v>6</v>
      </c>
      <c r="C397" s="36">
        <v>5.27</v>
      </c>
      <c r="D397" s="110"/>
    </row>
    <row r="398" spans="1:4" ht="15.75" outlineLevel="1">
      <c r="A398" s="36" t="s">
        <v>1047</v>
      </c>
      <c r="B398" s="37" t="s">
        <v>7</v>
      </c>
      <c r="C398" s="36">
        <v>5.28</v>
      </c>
      <c r="D398" s="110"/>
    </row>
    <row r="399" spans="1:4" ht="15.75" outlineLevel="1">
      <c r="A399" s="36" t="s">
        <v>1047</v>
      </c>
      <c r="B399" s="37" t="s">
        <v>361</v>
      </c>
      <c r="C399" s="36">
        <v>5.29</v>
      </c>
      <c r="D399" s="110"/>
    </row>
    <row r="400" spans="1:4" ht="15.75" outlineLevel="1">
      <c r="A400" s="36" t="s">
        <v>1047</v>
      </c>
      <c r="B400" s="37" t="s">
        <v>176</v>
      </c>
      <c r="C400" s="36">
        <v>5.31</v>
      </c>
      <c r="D400" s="110"/>
    </row>
    <row r="401" spans="1:4" ht="15.75" outlineLevel="1">
      <c r="A401" s="36" t="s">
        <v>1047</v>
      </c>
      <c r="B401" s="37" t="s">
        <v>141</v>
      </c>
      <c r="C401" s="36">
        <v>5.36</v>
      </c>
      <c r="D401" s="110"/>
    </row>
    <row r="402" spans="1:4" ht="15.75" outlineLevel="1">
      <c r="A402" s="36" t="s">
        <v>1047</v>
      </c>
      <c r="B402" s="37" t="s">
        <v>184</v>
      </c>
      <c r="C402" s="36">
        <v>5.37</v>
      </c>
      <c r="D402" s="110"/>
    </row>
    <row r="403" spans="1:4" ht="15.75" outlineLevel="1">
      <c r="A403" s="36" t="s">
        <v>1047</v>
      </c>
      <c r="B403" s="37" t="s">
        <v>9</v>
      </c>
      <c r="C403" s="36">
        <v>5.49</v>
      </c>
      <c r="D403" s="110"/>
    </row>
    <row r="404" spans="1:4" ht="15.75" outlineLevel="1">
      <c r="A404" s="36" t="s">
        <v>1047</v>
      </c>
      <c r="B404" s="37" t="s">
        <v>10</v>
      </c>
      <c r="C404" s="36">
        <v>5.51</v>
      </c>
      <c r="D404" s="110"/>
    </row>
    <row r="405" spans="1:4" ht="15.75" outlineLevel="1">
      <c r="A405" s="36" t="s">
        <v>1047</v>
      </c>
      <c r="B405" s="37" t="s">
        <v>1146</v>
      </c>
      <c r="C405" s="36">
        <v>5.52</v>
      </c>
      <c r="D405" s="110"/>
    </row>
    <row r="406" spans="1:4" ht="15.75" outlineLevel="1">
      <c r="A406" s="36" t="s">
        <v>1047</v>
      </c>
      <c r="B406" s="37" t="s">
        <v>11</v>
      </c>
      <c r="C406" s="36">
        <v>5.53</v>
      </c>
      <c r="D406" s="110"/>
    </row>
    <row r="407" spans="1:4" ht="15.75" outlineLevel="1">
      <c r="A407" s="36" t="s">
        <v>1047</v>
      </c>
      <c r="B407" s="37" t="s">
        <v>12</v>
      </c>
      <c r="C407" s="36">
        <v>5.69</v>
      </c>
      <c r="D407" s="110"/>
    </row>
    <row r="408" spans="1:4" ht="15.75" outlineLevel="1">
      <c r="A408" s="36" t="s">
        <v>1047</v>
      </c>
      <c r="B408" s="37" t="s">
        <v>13</v>
      </c>
      <c r="C408" s="36">
        <v>5.75</v>
      </c>
      <c r="D408" s="110"/>
    </row>
    <row r="409" spans="1:4" ht="15.75" outlineLevel="1">
      <c r="A409" s="36" t="s">
        <v>1047</v>
      </c>
      <c r="B409" s="37" t="s">
        <v>15</v>
      </c>
      <c r="C409" s="36">
        <v>5.74</v>
      </c>
      <c r="D409" s="110"/>
    </row>
    <row r="410" spans="1:4" ht="15.75" outlineLevel="1">
      <c r="A410" s="36" t="s">
        <v>1047</v>
      </c>
      <c r="B410" s="37" t="s">
        <v>14</v>
      </c>
      <c r="C410" s="38">
        <v>5.7</v>
      </c>
      <c r="D410" s="110"/>
    </row>
    <row r="411" spans="1:4" ht="15.75" outlineLevel="1">
      <c r="A411" s="36" t="s">
        <v>1047</v>
      </c>
      <c r="B411" s="37" t="s">
        <v>445</v>
      </c>
      <c r="C411" s="36">
        <v>5.76</v>
      </c>
      <c r="D411" s="110"/>
    </row>
    <row r="412" spans="1:4" ht="15.75" outlineLevel="1">
      <c r="A412" s="36" t="s">
        <v>1047</v>
      </c>
      <c r="B412" s="37" t="s">
        <v>864</v>
      </c>
      <c r="C412" s="36">
        <v>5.89</v>
      </c>
      <c r="D412" s="109" t="s">
        <v>1143</v>
      </c>
    </row>
    <row r="413" spans="1:4" ht="15.75" outlineLevel="1">
      <c r="A413" s="36" t="s">
        <v>1047</v>
      </c>
      <c r="B413" s="37" t="s">
        <v>177</v>
      </c>
      <c r="C413" s="36">
        <v>5.109</v>
      </c>
      <c r="D413" s="110"/>
    </row>
    <row r="414" spans="1:4" ht="15.75" outlineLevel="1">
      <c r="A414" s="36" t="s">
        <v>1047</v>
      </c>
      <c r="B414" s="37" t="s">
        <v>178</v>
      </c>
      <c r="C414" s="36">
        <v>5.1109999999999998</v>
      </c>
      <c r="D414" s="110"/>
    </row>
    <row r="415" spans="1:4" ht="15.75" outlineLevel="1">
      <c r="A415" s="36" t="s">
        <v>1047</v>
      </c>
      <c r="B415" s="37" t="s">
        <v>150</v>
      </c>
      <c r="C415" s="36">
        <v>5.1120000000000001</v>
      </c>
      <c r="D415" s="110"/>
    </row>
    <row r="416" spans="1:4" ht="15.75" outlineLevel="1">
      <c r="A416" s="36" t="s">
        <v>1047</v>
      </c>
      <c r="B416" s="37" t="s">
        <v>1159</v>
      </c>
      <c r="C416" s="36">
        <v>5.1130000000000004</v>
      </c>
      <c r="D416" s="110"/>
    </row>
    <row r="417" spans="1:4" ht="15.75" outlineLevel="1">
      <c r="A417" s="36" t="s">
        <v>1047</v>
      </c>
      <c r="B417" s="37" t="s">
        <v>17</v>
      </c>
      <c r="C417" s="36">
        <v>5.58</v>
      </c>
      <c r="D417" s="110"/>
    </row>
    <row r="418" spans="1:4" ht="15.75" outlineLevel="1">
      <c r="A418" s="36" t="s">
        <v>1047</v>
      </c>
      <c r="B418" s="37" t="s">
        <v>18</v>
      </c>
      <c r="C418" s="36">
        <v>5.54</v>
      </c>
      <c r="D418" s="110"/>
    </row>
    <row r="419" spans="1:4" ht="15.75" outlineLevel="1">
      <c r="A419" s="36" t="s">
        <v>1047</v>
      </c>
      <c r="B419" s="37" t="s">
        <v>19</v>
      </c>
      <c r="C419" s="36">
        <v>5.55</v>
      </c>
      <c r="D419" s="110"/>
    </row>
    <row r="420" spans="1:4" ht="15.75" outlineLevel="1">
      <c r="A420" s="36" t="s">
        <v>1047</v>
      </c>
      <c r="B420" s="37" t="s">
        <v>20</v>
      </c>
      <c r="C420" s="36">
        <v>5.63</v>
      </c>
      <c r="D420" s="110"/>
    </row>
    <row r="421" spans="1:4" ht="15.75" outlineLevel="1">
      <c r="A421" s="36" t="s">
        <v>1047</v>
      </c>
      <c r="B421" s="37" t="s">
        <v>21</v>
      </c>
      <c r="C421" s="36">
        <v>5.65</v>
      </c>
      <c r="D421" s="110"/>
    </row>
    <row r="422" spans="1:4" ht="15.75" outlineLevel="1">
      <c r="A422" s="36" t="s">
        <v>1047</v>
      </c>
      <c r="B422" s="37" t="s">
        <v>192</v>
      </c>
      <c r="C422" s="36">
        <v>5.66</v>
      </c>
      <c r="D422" s="110"/>
    </row>
    <row r="423" spans="1:4" ht="15.75" outlineLevel="1">
      <c r="A423" s="36" t="s">
        <v>1047</v>
      </c>
      <c r="B423" s="37" t="s">
        <v>22</v>
      </c>
      <c r="C423" s="36">
        <v>5.68</v>
      </c>
      <c r="D423" s="110"/>
    </row>
    <row r="424" spans="1:4" ht="15.75" outlineLevel="1">
      <c r="A424" s="36" t="s">
        <v>1047</v>
      </c>
      <c r="B424" s="37" t="s">
        <v>24</v>
      </c>
      <c r="C424" s="36">
        <v>5.47</v>
      </c>
      <c r="D424" s="110"/>
    </row>
    <row r="425" spans="1:4" ht="15.75" outlineLevel="1">
      <c r="A425" s="36" t="s">
        <v>1047</v>
      </c>
      <c r="B425" s="37" t="s">
        <v>25</v>
      </c>
      <c r="C425" s="36">
        <v>5.48</v>
      </c>
      <c r="D425" s="110"/>
    </row>
    <row r="426" spans="1:4" ht="15.75">
      <c r="A426" s="42" t="s">
        <v>1047</v>
      </c>
      <c r="B426" s="37"/>
      <c r="C426" s="36"/>
      <c r="D426" s="110"/>
    </row>
    <row r="427" spans="1:4" ht="15.75" outlineLevel="1">
      <c r="A427" s="36" t="s">
        <v>1160</v>
      </c>
      <c r="B427" s="37" t="s">
        <v>0</v>
      </c>
      <c r="C427" s="36">
        <v>5.0999999999999996</v>
      </c>
      <c r="D427" s="110"/>
    </row>
    <row r="428" spans="1:4" ht="15.75" outlineLevel="1">
      <c r="A428" s="36" t="s">
        <v>1160</v>
      </c>
      <c r="B428" s="37" t="s">
        <v>1</v>
      </c>
      <c r="C428" s="36">
        <v>5.2</v>
      </c>
      <c r="D428" s="110"/>
    </row>
    <row r="429" spans="1:4" ht="15.75" outlineLevel="1">
      <c r="A429" s="36" t="s">
        <v>1160</v>
      </c>
      <c r="B429" s="37" t="s">
        <v>2</v>
      </c>
      <c r="C429" s="36">
        <v>5.3</v>
      </c>
      <c r="D429" s="110"/>
    </row>
    <row r="430" spans="1:4" ht="15.75" outlineLevel="1">
      <c r="A430" s="36" t="s">
        <v>1160</v>
      </c>
      <c r="B430" s="37" t="s">
        <v>173</v>
      </c>
      <c r="C430" s="36">
        <v>5.6</v>
      </c>
      <c r="D430" s="110"/>
    </row>
    <row r="431" spans="1:4" ht="15.75" outlineLevel="1">
      <c r="A431" s="36" t="s">
        <v>1160</v>
      </c>
      <c r="B431" s="37" t="s">
        <v>1145</v>
      </c>
      <c r="C431" s="38">
        <v>5.0999999999999996</v>
      </c>
      <c r="D431" s="110"/>
    </row>
    <row r="432" spans="1:4" ht="15.75" outlineLevel="1">
      <c r="A432" s="36" t="s">
        <v>1160</v>
      </c>
      <c r="B432" s="37" t="s">
        <v>1144</v>
      </c>
      <c r="C432" s="36">
        <v>5.14</v>
      </c>
      <c r="D432" s="110"/>
    </row>
    <row r="433" spans="1:4" ht="15.75" outlineLevel="1">
      <c r="A433" s="36" t="s">
        <v>1160</v>
      </c>
      <c r="B433" s="37" t="s">
        <v>4</v>
      </c>
      <c r="C433" s="36">
        <v>5.19</v>
      </c>
      <c r="D433" s="110"/>
    </row>
    <row r="434" spans="1:4" ht="15.75" outlineLevel="1">
      <c r="A434" s="36" t="s">
        <v>1160</v>
      </c>
      <c r="B434" s="37" t="s">
        <v>175</v>
      </c>
      <c r="C434" s="36">
        <v>5.24</v>
      </c>
      <c r="D434" s="110"/>
    </row>
    <row r="435" spans="1:4" ht="15.75" outlineLevel="1">
      <c r="A435" s="36" t="s">
        <v>1160</v>
      </c>
      <c r="B435" s="37" t="s">
        <v>5</v>
      </c>
      <c r="C435" s="36">
        <v>5.26</v>
      </c>
      <c r="D435" s="110"/>
    </row>
    <row r="436" spans="1:4" ht="15.75" outlineLevel="1">
      <c r="A436" s="36" t="s">
        <v>1160</v>
      </c>
      <c r="B436" s="37" t="s">
        <v>6</v>
      </c>
      <c r="C436" s="36">
        <v>5.27</v>
      </c>
      <c r="D436" s="110"/>
    </row>
    <row r="437" spans="1:4" ht="15.75" outlineLevel="1">
      <c r="A437" s="36" t="s">
        <v>1160</v>
      </c>
      <c r="B437" s="37" t="s">
        <v>7</v>
      </c>
      <c r="C437" s="36">
        <v>5.28</v>
      </c>
      <c r="D437" s="110"/>
    </row>
    <row r="438" spans="1:4" ht="15.75" outlineLevel="1">
      <c r="A438" s="36" t="s">
        <v>1160</v>
      </c>
      <c r="B438" s="37" t="s">
        <v>361</v>
      </c>
      <c r="C438" s="36">
        <v>5.29</v>
      </c>
      <c r="D438" s="110"/>
    </row>
    <row r="439" spans="1:4" ht="15.75" outlineLevel="1">
      <c r="A439" s="36" t="s">
        <v>1160</v>
      </c>
      <c r="B439" s="37" t="s">
        <v>176</v>
      </c>
      <c r="C439" s="36">
        <v>5.31</v>
      </c>
      <c r="D439" s="110"/>
    </row>
    <row r="440" spans="1:4" ht="15.75" outlineLevel="1">
      <c r="A440" s="36" t="s">
        <v>1160</v>
      </c>
      <c r="B440" s="37" t="s">
        <v>141</v>
      </c>
      <c r="C440" s="36">
        <v>5.36</v>
      </c>
      <c r="D440" s="110"/>
    </row>
    <row r="441" spans="1:4" ht="15.75" outlineLevel="1">
      <c r="A441" s="36" t="s">
        <v>1160</v>
      </c>
      <c r="B441" s="37" t="s">
        <v>184</v>
      </c>
      <c r="C441" s="36">
        <v>5.37</v>
      </c>
      <c r="D441" s="110"/>
    </row>
    <row r="442" spans="1:4" ht="15.75" outlineLevel="1">
      <c r="A442" s="36" t="s">
        <v>1160</v>
      </c>
      <c r="B442" s="37" t="s">
        <v>11</v>
      </c>
      <c r="C442" s="36">
        <v>5.53</v>
      </c>
      <c r="D442" s="110"/>
    </row>
    <row r="443" spans="1:4" ht="15.75" outlineLevel="1">
      <c r="A443" s="36" t="s">
        <v>1160</v>
      </c>
      <c r="B443" s="37" t="s">
        <v>177</v>
      </c>
      <c r="C443" s="36">
        <v>5.109</v>
      </c>
      <c r="D443" s="110"/>
    </row>
    <row r="444" spans="1:4" ht="15.75" outlineLevel="1">
      <c r="A444" s="36" t="s">
        <v>1160</v>
      </c>
      <c r="B444" s="37" t="s">
        <v>178</v>
      </c>
      <c r="C444" s="36">
        <v>5.1109999999999998</v>
      </c>
      <c r="D444" s="110"/>
    </row>
    <row r="445" spans="1:4" ht="15.75" outlineLevel="1">
      <c r="A445" s="36" t="s">
        <v>1160</v>
      </c>
      <c r="B445" s="37" t="s">
        <v>150</v>
      </c>
      <c r="C445" s="36">
        <v>5.1120000000000001</v>
      </c>
      <c r="D445" s="110"/>
    </row>
    <row r="446" spans="1:4" ht="15.75" outlineLevel="1">
      <c r="A446" s="36" t="s">
        <v>1160</v>
      </c>
      <c r="B446" s="37" t="s">
        <v>1159</v>
      </c>
      <c r="C446" s="36">
        <v>5.1130000000000004</v>
      </c>
      <c r="D446" s="110"/>
    </row>
    <row r="447" spans="1:4" ht="15.75" outlineLevel="1">
      <c r="A447" s="36" t="s">
        <v>1160</v>
      </c>
      <c r="B447" s="37" t="s">
        <v>17</v>
      </c>
      <c r="C447" s="36">
        <v>5.58</v>
      </c>
      <c r="D447" s="110"/>
    </row>
    <row r="448" spans="1:4" ht="15.75" outlineLevel="1">
      <c r="A448" s="36" t="s">
        <v>1160</v>
      </c>
      <c r="B448" s="37" t="s">
        <v>18</v>
      </c>
      <c r="C448" s="36">
        <v>5.54</v>
      </c>
      <c r="D448" s="110"/>
    </row>
    <row r="449" spans="1:4" ht="15.75" outlineLevel="1">
      <c r="A449" s="36" t="s">
        <v>1160</v>
      </c>
      <c r="B449" s="37" t="s">
        <v>19</v>
      </c>
      <c r="C449" s="36">
        <v>5.55</v>
      </c>
      <c r="D449" s="110"/>
    </row>
    <row r="450" spans="1:4" ht="15.75" outlineLevel="1">
      <c r="A450" s="36" t="s">
        <v>1160</v>
      </c>
      <c r="B450" s="37" t="s">
        <v>20</v>
      </c>
      <c r="C450" s="36">
        <v>5.63</v>
      </c>
      <c r="D450" s="110"/>
    </row>
    <row r="451" spans="1:4" ht="15.75" outlineLevel="1">
      <c r="A451" s="36" t="s">
        <v>1160</v>
      </c>
      <c r="B451" s="37" t="s">
        <v>24</v>
      </c>
      <c r="C451" s="36">
        <v>5.47</v>
      </c>
      <c r="D451" s="110"/>
    </row>
    <row r="452" spans="1:4" ht="15.75" outlineLevel="1">
      <c r="A452" s="36" t="s">
        <v>1160</v>
      </c>
      <c r="B452" s="37" t="s">
        <v>25</v>
      </c>
      <c r="C452" s="36">
        <v>5.48</v>
      </c>
      <c r="D452" s="110"/>
    </row>
    <row r="453" spans="1:4" ht="15.75">
      <c r="A453" s="42" t="s">
        <v>1160</v>
      </c>
      <c r="B453" s="37"/>
      <c r="C453" s="36"/>
      <c r="D453" s="110"/>
    </row>
    <row r="454" spans="1:4" ht="15.75" outlineLevel="1">
      <c r="A454" s="36" t="s">
        <v>808</v>
      </c>
      <c r="B454" s="37" t="s">
        <v>0</v>
      </c>
      <c r="C454" s="36">
        <v>5.0999999999999996</v>
      </c>
      <c r="D454" s="110"/>
    </row>
    <row r="455" spans="1:4" ht="15.75" outlineLevel="1">
      <c r="A455" s="36" t="s">
        <v>808</v>
      </c>
      <c r="B455" s="37" t="s">
        <v>1</v>
      </c>
      <c r="C455" s="36">
        <v>5.2</v>
      </c>
      <c r="D455" s="110"/>
    </row>
    <row r="456" spans="1:4" ht="15.75" outlineLevel="1">
      <c r="A456" s="36" t="s">
        <v>808</v>
      </c>
      <c r="B456" s="37" t="s">
        <v>227</v>
      </c>
      <c r="C456" s="36">
        <v>5.5</v>
      </c>
      <c r="D456" s="110"/>
    </row>
    <row r="457" spans="1:4" ht="15.75" outlineLevel="1">
      <c r="A457" s="36" t="s">
        <v>808</v>
      </c>
      <c r="B457" s="37" t="s">
        <v>228</v>
      </c>
      <c r="C457" s="36">
        <v>5.8</v>
      </c>
      <c r="D457" s="109" t="s">
        <v>1143</v>
      </c>
    </row>
    <row r="458" spans="1:4" ht="15.75" outlineLevel="1">
      <c r="A458" s="36" t="s">
        <v>808</v>
      </c>
      <c r="B458" s="37" t="s">
        <v>229</v>
      </c>
      <c r="C458" s="36">
        <v>5.12</v>
      </c>
      <c r="D458" s="109" t="s">
        <v>1143</v>
      </c>
    </row>
    <row r="459" spans="1:4" ht="15.75" outlineLevel="1">
      <c r="A459" s="36" t="s">
        <v>808</v>
      </c>
      <c r="B459" s="37" t="s">
        <v>230</v>
      </c>
      <c r="C459" s="36">
        <v>5.15</v>
      </c>
      <c r="D459" s="110"/>
    </row>
    <row r="460" spans="1:4" ht="15.75" outlineLevel="1">
      <c r="A460" s="36" t="s">
        <v>808</v>
      </c>
      <c r="B460" s="37" t="s">
        <v>231</v>
      </c>
      <c r="C460" s="38">
        <v>5.2</v>
      </c>
      <c r="D460" s="109"/>
    </row>
    <row r="461" spans="1:4" ht="15.75" outlineLevel="1">
      <c r="A461" s="36" t="s">
        <v>808</v>
      </c>
      <c r="B461" s="37" t="s">
        <v>232</v>
      </c>
      <c r="C461" s="36">
        <v>5.25</v>
      </c>
      <c r="D461" s="110"/>
    </row>
    <row r="462" spans="1:4" ht="15.75" outlineLevel="1">
      <c r="A462" s="36" t="s">
        <v>808</v>
      </c>
      <c r="B462" s="37" t="s">
        <v>5</v>
      </c>
      <c r="C462" s="36">
        <v>5.26</v>
      </c>
      <c r="D462" s="110"/>
    </row>
    <row r="463" spans="1:4" ht="15.75" outlineLevel="1">
      <c r="A463" s="36" t="s">
        <v>808</v>
      </c>
      <c r="B463" s="37" t="s">
        <v>865</v>
      </c>
      <c r="C463" s="36">
        <v>5.1139999999999999</v>
      </c>
      <c r="D463" s="109" t="s">
        <v>1143</v>
      </c>
    </row>
    <row r="464" spans="1:4" ht="15.75" outlineLevel="1">
      <c r="A464" s="36" t="s">
        <v>808</v>
      </c>
      <c r="B464" s="37" t="s">
        <v>6</v>
      </c>
      <c r="C464" s="36">
        <v>5.27</v>
      </c>
      <c r="D464" s="110"/>
    </row>
    <row r="465" spans="1:4" ht="15.75" outlineLevel="1">
      <c r="A465" s="36" t="s">
        <v>808</v>
      </c>
      <c r="B465" s="37" t="s">
        <v>1161</v>
      </c>
      <c r="C465" s="36">
        <v>5.1150000000000002</v>
      </c>
      <c r="D465" s="109" t="s">
        <v>1143</v>
      </c>
    </row>
    <row r="466" spans="1:4" ht="15.75" outlineLevel="1">
      <c r="A466" s="36" t="s">
        <v>808</v>
      </c>
      <c r="B466" s="37" t="s">
        <v>1162</v>
      </c>
      <c r="C466" s="36">
        <v>5.1159999999999997</v>
      </c>
      <c r="D466" s="109" t="s">
        <v>1143</v>
      </c>
    </row>
    <row r="467" spans="1:4" ht="15.75" outlineLevel="1">
      <c r="A467" s="36" t="s">
        <v>808</v>
      </c>
      <c r="B467" s="37" t="s">
        <v>7</v>
      </c>
      <c r="C467" s="36">
        <v>5.28</v>
      </c>
      <c r="D467" s="110"/>
    </row>
    <row r="468" spans="1:4" ht="15.75" outlineLevel="1">
      <c r="A468" s="36" t="s">
        <v>808</v>
      </c>
      <c r="B468" s="37" t="s">
        <v>141</v>
      </c>
      <c r="C468" s="36">
        <v>5.36</v>
      </c>
      <c r="D468" s="110"/>
    </row>
    <row r="469" spans="1:4" ht="15.75" outlineLevel="1">
      <c r="A469" s="36" t="s">
        <v>808</v>
      </c>
      <c r="B469" s="37" t="s">
        <v>184</v>
      </c>
      <c r="C469" s="36">
        <v>5.37</v>
      </c>
      <c r="D469" s="110"/>
    </row>
    <row r="470" spans="1:4" ht="15.75" outlineLevel="1">
      <c r="A470" s="36" t="s">
        <v>808</v>
      </c>
      <c r="B470" s="37" t="s">
        <v>11</v>
      </c>
      <c r="C470" s="36">
        <v>5.53</v>
      </c>
      <c r="D470" s="110"/>
    </row>
    <row r="471" spans="1:4" ht="15.75" outlineLevel="1">
      <c r="A471" s="36" t="s">
        <v>808</v>
      </c>
      <c r="B471" s="37" t="s">
        <v>177</v>
      </c>
      <c r="C471" s="36">
        <v>5.109</v>
      </c>
      <c r="D471" s="110"/>
    </row>
    <row r="472" spans="1:4" ht="15.75" outlineLevel="1">
      <c r="A472" s="36" t="s">
        <v>808</v>
      </c>
      <c r="B472" s="37" t="s">
        <v>178</v>
      </c>
      <c r="C472" s="36">
        <v>5.1109999999999998</v>
      </c>
      <c r="D472" s="110"/>
    </row>
    <row r="473" spans="1:4" ht="15.75" outlineLevel="1">
      <c r="A473" s="36" t="s">
        <v>808</v>
      </c>
      <c r="B473" s="37" t="s">
        <v>150</v>
      </c>
      <c r="C473" s="36">
        <v>5.1120000000000001</v>
      </c>
      <c r="D473" s="110"/>
    </row>
    <row r="474" spans="1:4" ht="15.75" outlineLevel="1">
      <c r="A474" s="36" t="s">
        <v>808</v>
      </c>
      <c r="B474" s="37" t="s">
        <v>18</v>
      </c>
      <c r="C474" s="36">
        <v>5.54</v>
      </c>
      <c r="D474" s="110"/>
    </row>
    <row r="475" spans="1:4" ht="15.75" outlineLevel="1">
      <c r="A475" s="36" t="s">
        <v>808</v>
      </c>
      <c r="B475" s="37" t="s">
        <v>1163</v>
      </c>
      <c r="C475" s="36">
        <v>5.61</v>
      </c>
      <c r="D475" s="110"/>
    </row>
    <row r="476" spans="1:4" ht="15.75" outlineLevel="1">
      <c r="A476" s="36" t="s">
        <v>808</v>
      </c>
      <c r="B476" s="37" t="s">
        <v>20</v>
      </c>
      <c r="C476" s="36">
        <v>5.63</v>
      </c>
      <c r="D476" s="110"/>
    </row>
    <row r="477" spans="1:4" ht="15.75" outlineLevel="1">
      <c r="A477" s="36" t="s">
        <v>808</v>
      </c>
      <c r="B477" s="37" t="s">
        <v>1164</v>
      </c>
      <c r="C477" s="36">
        <v>5.46</v>
      </c>
      <c r="D477" s="110"/>
    </row>
    <row r="478" spans="1:4" ht="15.75" outlineLevel="1">
      <c r="A478" s="36" t="s">
        <v>808</v>
      </c>
      <c r="B478" s="37" t="s">
        <v>24</v>
      </c>
      <c r="C478" s="36">
        <v>5.47</v>
      </c>
      <c r="D478" s="110"/>
    </row>
    <row r="479" spans="1:4" ht="15.75" outlineLevel="1">
      <c r="A479" s="36" t="s">
        <v>808</v>
      </c>
      <c r="B479" s="37" t="s">
        <v>25</v>
      </c>
      <c r="C479" s="36">
        <v>5.48</v>
      </c>
      <c r="D479" s="110"/>
    </row>
    <row r="480" spans="1:4" ht="15.75">
      <c r="A480" s="42" t="s">
        <v>808</v>
      </c>
      <c r="B480" s="37"/>
      <c r="C480" s="36"/>
      <c r="D480" s="110"/>
    </row>
    <row r="481" spans="1:4" ht="15.75" outlineLevel="1">
      <c r="A481" s="36" t="s">
        <v>1165</v>
      </c>
      <c r="B481" s="37" t="s">
        <v>0</v>
      </c>
      <c r="C481" s="36">
        <v>5.0999999999999996</v>
      </c>
      <c r="D481" s="110"/>
    </row>
    <row r="482" spans="1:4" ht="15.75" outlineLevel="1">
      <c r="A482" s="36" t="s">
        <v>1165</v>
      </c>
      <c r="B482" s="37" t="s">
        <v>1</v>
      </c>
      <c r="C482" s="36">
        <v>5.2</v>
      </c>
      <c r="D482" s="110"/>
    </row>
    <row r="483" spans="1:4" ht="15.75" outlineLevel="1">
      <c r="A483" s="36" t="s">
        <v>1165</v>
      </c>
      <c r="B483" s="37" t="s">
        <v>2</v>
      </c>
      <c r="C483" s="36">
        <v>5.3</v>
      </c>
      <c r="D483" s="110"/>
    </row>
    <row r="484" spans="1:4" ht="15.75" outlineLevel="1">
      <c r="A484" s="36" t="s">
        <v>1165</v>
      </c>
      <c r="B484" s="37" t="s">
        <v>173</v>
      </c>
      <c r="C484" s="36">
        <v>5.6</v>
      </c>
      <c r="D484" s="110"/>
    </row>
    <row r="485" spans="1:4" ht="15.75" outlineLevel="1">
      <c r="A485" s="36" t="s">
        <v>1165</v>
      </c>
      <c r="B485" s="37" t="s">
        <v>1145</v>
      </c>
      <c r="C485" s="38">
        <v>5.0999999999999996</v>
      </c>
      <c r="D485" s="110"/>
    </row>
    <row r="486" spans="1:4" ht="15.75" outlineLevel="1">
      <c r="A486" s="36" t="s">
        <v>1165</v>
      </c>
      <c r="B486" s="37" t="s">
        <v>1144</v>
      </c>
      <c r="C486" s="36">
        <v>5.14</v>
      </c>
      <c r="D486" s="110"/>
    </row>
    <row r="487" spans="1:4" ht="15.75" outlineLevel="1">
      <c r="A487" s="36" t="s">
        <v>1165</v>
      </c>
      <c r="B487" s="37" t="s">
        <v>4</v>
      </c>
      <c r="C487" s="36">
        <v>5.19</v>
      </c>
      <c r="D487" s="110"/>
    </row>
    <row r="488" spans="1:4" ht="15.75" outlineLevel="1">
      <c r="A488" s="36" t="s">
        <v>1165</v>
      </c>
      <c r="B488" s="37" t="s">
        <v>175</v>
      </c>
      <c r="C488" s="36">
        <v>5.24</v>
      </c>
      <c r="D488" s="110"/>
    </row>
    <row r="489" spans="1:4" ht="15.75" outlineLevel="1">
      <c r="A489" s="36" t="s">
        <v>1165</v>
      </c>
      <c r="B489" s="37" t="s">
        <v>6</v>
      </c>
      <c r="C489" s="36">
        <v>5.27</v>
      </c>
      <c r="D489" s="110"/>
    </row>
    <row r="490" spans="1:4" ht="15.75" outlineLevel="1">
      <c r="A490" s="36" t="s">
        <v>1165</v>
      </c>
      <c r="B490" s="37" t="s">
        <v>7</v>
      </c>
      <c r="C490" s="36">
        <v>5.28</v>
      </c>
      <c r="D490" s="110"/>
    </row>
    <row r="491" spans="1:4" ht="15.75" outlineLevel="1">
      <c r="A491" s="36" t="s">
        <v>1165</v>
      </c>
      <c r="B491" s="37" t="s">
        <v>361</v>
      </c>
      <c r="C491" s="36">
        <v>5.29</v>
      </c>
      <c r="D491" s="110"/>
    </row>
    <row r="492" spans="1:4" ht="15.75" outlineLevel="1">
      <c r="A492" s="36" t="s">
        <v>1165</v>
      </c>
      <c r="B492" s="37" t="s">
        <v>1150</v>
      </c>
      <c r="C492" s="36">
        <v>5.34</v>
      </c>
      <c r="D492" s="110"/>
    </row>
    <row r="493" spans="1:4" ht="15.75" outlineLevel="1">
      <c r="A493" s="36" t="s">
        <v>1165</v>
      </c>
      <c r="B493" s="37" t="s">
        <v>176</v>
      </c>
      <c r="C493" s="36">
        <v>5.31</v>
      </c>
      <c r="D493" s="110"/>
    </row>
    <row r="494" spans="1:4" ht="15.75" outlineLevel="1">
      <c r="A494" s="36" t="s">
        <v>1165</v>
      </c>
      <c r="B494" s="37" t="s">
        <v>1151</v>
      </c>
      <c r="C494" s="36">
        <v>5.101</v>
      </c>
      <c r="D494" s="110"/>
    </row>
    <row r="495" spans="1:4" ht="15.75" outlineLevel="1">
      <c r="A495" s="36" t="s">
        <v>1165</v>
      </c>
      <c r="B495" s="37" t="s">
        <v>141</v>
      </c>
      <c r="C495" s="36">
        <v>5.36</v>
      </c>
      <c r="D495" s="110"/>
    </row>
    <row r="496" spans="1:4" ht="15.75" outlineLevel="1">
      <c r="A496" s="36" t="s">
        <v>1165</v>
      </c>
      <c r="B496" s="37" t="s">
        <v>184</v>
      </c>
      <c r="C496" s="36">
        <v>5.37</v>
      </c>
      <c r="D496" s="110"/>
    </row>
    <row r="497" spans="1:4" ht="15.75" outlineLevel="1">
      <c r="A497" s="36" t="s">
        <v>1165</v>
      </c>
      <c r="B497" s="37" t="s">
        <v>11</v>
      </c>
      <c r="C497" s="36">
        <v>5.53</v>
      </c>
      <c r="D497" s="110"/>
    </row>
    <row r="498" spans="1:4" ht="15.75" outlineLevel="1">
      <c r="A498" s="36" t="s">
        <v>1165</v>
      </c>
      <c r="B498" s="37" t="s">
        <v>177</v>
      </c>
      <c r="C498" s="36">
        <v>5.109</v>
      </c>
      <c r="D498" s="110"/>
    </row>
    <row r="499" spans="1:4" ht="15.75" outlineLevel="1">
      <c r="A499" s="36" t="s">
        <v>1165</v>
      </c>
      <c r="B499" s="37" t="s">
        <v>178</v>
      </c>
      <c r="C499" s="36">
        <v>5.1109999999999998</v>
      </c>
      <c r="D499" s="110"/>
    </row>
    <row r="500" spans="1:4" ht="15.75" outlineLevel="1">
      <c r="A500" s="36" t="s">
        <v>1165</v>
      </c>
      <c r="B500" s="37" t="s">
        <v>150</v>
      </c>
      <c r="C500" s="36">
        <v>5.1120000000000001</v>
      </c>
      <c r="D500" s="110"/>
    </row>
    <row r="501" spans="1:4" ht="15.75" outlineLevel="1">
      <c r="A501" s="36" t="s">
        <v>1165</v>
      </c>
      <c r="B501" s="37" t="s">
        <v>1152</v>
      </c>
      <c r="C501" s="36">
        <v>5.1020000000000003</v>
      </c>
      <c r="D501" s="110"/>
    </row>
    <row r="502" spans="1:4" ht="15.75" outlineLevel="1">
      <c r="A502" s="36" t="s">
        <v>1165</v>
      </c>
      <c r="B502" s="37" t="s">
        <v>1153</v>
      </c>
      <c r="C502" s="39">
        <v>5.0999999999999996</v>
      </c>
      <c r="D502" s="110"/>
    </row>
    <row r="503" spans="1:4" ht="15.75" outlineLevel="1">
      <c r="A503" s="36" t="s">
        <v>1165</v>
      </c>
      <c r="B503" s="37" t="s">
        <v>17</v>
      </c>
      <c r="C503" s="36">
        <v>5.58</v>
      </c>
      <c r="D503" s="110"/>
    </row>
    <row r="504" spans="1:4" ht="15.75" outlineLevel="1">
      <c r="A504" s="36" t="s">
        <v>1165</v>
      </c>
      <c r="B504" s="37" t="s">
        <v>19</v>
      </c>
      <c r="C504" s="36">
        <v>5.55</v>
      </c>
      <c r="D504" s="110"/>
    </row>
    <row r="505" spans="1:4" ht="15.75" outlineLevel="1">
      <c r="A505" s="36" t="s">
        <v>1165</v>
      </c>
      <c r="B505" s="37" t="s">
        <v>18</v>
      </c>
      <c r="C505" s="36">
        <v>5.54</v>
      </c>
      <c r="D505" s="110"/>
    </row>
    <row r="506" spans="1:4" ht="15.75" outlineLevel="1">
      <c r="A506" s="36" t="s">
        <v>1165</v>
      </c>
      <c r="B506" s="37" t="s">
        <v>20</v>
      </c>
      <c r="C506" s="36">
        <v>5.63</v>
      </c>
      <c r="D506" s="110"/>
    </row>
    <row r="507" spans="1:4" ht="15.75" outlineLevel="1">
      <c r="A507" s="36" t="s">
        <v>1165</v>
      </c>
      <c r="B507" s="37" t="s">
        <v>24</v>
      </c>
      <c r="C507" s="36">
        <v>5.47</v>
      </c>
      <c r="D507" s="110"/>
    </row>
    <row r="508" spans="1:4" ht="15.75" outlineLevel="1">
      <c r="A508" s="36" t="s">
        <v>1165</v>
      </c>
      <c r="B508" s="37" t="s">
        <v>25</v>
      </c>
      <c r="C508" s="36">
        <v>5.48</v>
      </c>
      <c r="D508" s="110"/>
    </row>
    <row r="509" spans="1:4" ht="15.75">
      <c r="A509" s="42" t="s">
        <v>1165</v>
      </c>
      <c r="B509" s="37"/>
      <c r="C509" s="36"/>
      <c r="D509" s="110"/>
    </row>
    <row r="510" spans="1:4" ht="15.75" outlineLevel="1">
      <c r="A510" s="36" t="s">
        <v>1065</v>
      </c>
      <c r="B510" s="37" t="s">
        <v>0</v>
      </c>
      <c r="C510" s="36">
        <v>5.0999999999999996</v>
      </c>
      <c r="D510" s="110"/>
    </row>
    <row r="511" spans="1:4" ht="15.75" outlineLevel="1">
      <c r="A511" s="36" t="s">
        <v>1065</v>
      </c>
      <c r="B511" s="37" t="s">
        <v>1</v>
      </c>
      <c r="C511" s="36">
        <v>5.2</v>
      </c>
      <c r="D511" s="110"/>
    </row>
    <row r="512" spans="1:4" ht="15.75" outlineLevel="1">
      <c r="A512" s="36" t="s">
        <v>1065</v>
      </c>
      <c r="B512" s="37" t="s">
        <v>2</v>
      </c>
      <c r="C512" s="36">
        <v>5.3</v>
      </c>
      <c r="D512" s="110"/>
    </row>
    <row r="513" spans="1:4" ht="15.75" outlineLevel="1">
      <c r="A513" s="36" t="s">
        <v>1065</v>
      </c>
      <c r="B513" s="37" t="s">
        <v>173</v>
      </c>
      <c r="C513" s="36">
        <v>5.6</v>
      </c>
      <c r="D513" s="110"/>
    </row>
    <row r="514" spans="1:4" ht="15.75" outlineLevel="1">
      <c r="A514" s="36" t="s">
        <v>1065</v>
      </c>
      <c r="B514" s="37" t="s">
        <v>1145</v>
      </c>
      <c r="C514" s="38">
        <v>5.0999999999999996</v>
      </c>
      <c r="D514" s="110"/>
    </row>
    <row r="515" spans="1:4" ht="15.75" outlineLevel="1">
      <c r="A515" s="36" t="s">
        <v>1065</v>
      </c>
      <c r="B515" s="37" t="s">
        <v>1144</v>
      </c>
      <c r="C515" s="36">
        <v>5.14</v>
      </c>
      <c r="D515" s="110"/>
    </row>
    <row r="516" spans="1:4" ht="15.75" outlineLevel="1">
      <c r="A516" s="36" t="s">
        <v>1065</v>
      </c>
      <c r="B516" s="37" t="s">
        <v>4</v>
      </c>
      <c r="C516" s="36">
        <v>5.19</v>
      </c>
      <c r="D516" s="110"/>
    </row>
    <row r="517" spans="1:4" ht="15.75" outlineLevel="1">
      <c r="A517" s="36" t="s">
        <v>1065</v>
      </c>
      <c r="B517" s="37" t="s">
        <v>175</v>
      </c>
      <c r="C517" s="36">
        <v>5.24</v>
      </c>
      <c r="D517" s="110"/>
    </row>
    <row r="518" spans="1:4" ht="15.75" outlineLevel="1">
      <c r="A518" s="36" t="s">
        <v>1065</v>
      </c>
      <c r="B518" s="37" t="s">
        <v>5</v>
      </c>
      <c r="C518" s="36">
        <v>5.26</v>
      </c>
      <c r="D518" s="110"/>
    </row>
    <row r="519" spans="1:4" ht="15.75" outlineLevel="1">
      <c r="A519" s="36" t="s">
        <v>1065</v>
      </c>
      <c r="B519" s="37" t="s">
        <v>6</v>
      </c>
      <c r="C519" s="36">
        <v>5.27</v>
      </c>
      <c r="D519" s="110"/>
    </row>
    <row r="520" spans="1:4" ht="15.75" outlineLevel="1">
      <c r="A520" s="36" t="s">
        <v>1065</v>
      </c>
      <c r="B520" s="37" t="s">
        <v>7</v>
      </c>
      <c r="C520" s="36">
        <v>5.28</v>
      </c>
      <c r="D520" s="110"/>
    </row>
    <row r="521" spans="1:4" ht="15.75" outlineLevel="1">
      <c r="A521" s="36" t="s">
        <v>1065</v>
      </c>
      <c r="B521" s="37" t="s">
        <v>176</v>
      </c>
      <c r="C521" s="36">
        <v>5.31</v>
      </c>
      <c r="D521" s="110"/>
    </row>
    <row r="522" spans="1:4" ht="15.75" outlineLevel="1">
      <c r="A522" s="36" t="s">
        <v>1065</v>
      </c>
      <c r="B522" s="37" t="s">
        <v>210</v>
      </c>
      <c r="C522" s="36">
        <v>5.33</v>
      </c>
      <c r="D522" s="110"/>
    </row>
    <row r="523" spans="1:4" ht="15.75" outlineLevel="1">
      <c r="A523" s="36" t="s">
        <v>1065</v>
      </c>
      <c r="B523" s="37" t="s">
        <v>1151</v>
      </c>
      <c r="C523" s="36">
        <v>5.101</v>
      </c>
      <c r="D523" s="110"/>
    </row>
    <row r="524" spans="1:4" ht="15.75" outlineLevel="1">
      <c r="A524" s="36" t="s">
        <v>1065</v>
      </c>
      <c r="B524" s="37" t="s">
        <v>141</v>
      </c>
      <c r="C524" s="36">
        <v>5.36</v>
      </c>
      <c r="D524" s="110"/>
    </row>
    <row r="525" spans="1:4" ht="15.75" outlineLevel="1">
      <c r="A525" s="36" t="s">
        <v>1065</v>
      </c>
      <c r="B525" s="37" t="s">
        <v>184</v>
      </c>
      <c r="C525" s="36">
        <v>5.37</v>
      </c>
      <c r="D525" s="110"/>
    </row>
    <row r="526" spans="1:4" ht="15.75" outlineLevel="1">
      <c r="A526" s="36" t="s">
        <v>1065</v>
      </c>
      <c r="B526" s="37" t="s">
        <v>11</v>
      </c>
      <c r="C526" s="36">
        <v>5.53</v>
      </c>
      <c r="D526" s="110"/>
    </row>
    <row r="527" spans="1:4" ht="15.75" outlineLevel="1">
      <c r="A527" s="36" t="s">
        <v>1065</v>
      </c>
      <c r="B527" s="37" t="s">
        <v>177</v>
      </c>
      <c r="C527" s="36">
        <v>5.109</v>
      </c>
      <c r="D527" s="110"/>
    </row>
    <row r="528" spans="1:4" ht="15.75" outlineLevel="1">
      <c r="A528" s="36" t="s">
        <v>1065</v>
      </c>
      <c r="B528" s="37" t="s">
        <v>178</v>
      </c>
      <c r="C528" s="36">
        <v>5.1109999999999998</v>
      </c>
      <c r="D528" s="110"/>
    </row>
    <row r="529" spans="1:4" ht="15.75" outlineLevel="1">
      <c r="A529" s="36" t="s">
        <v>1065</v>
      </c>
      <c r="B529" s="37" t="s">
        <v>150</v>
      </c>
      <c r="C529" s="36">
        <v>5.1120000000000001</v>
      </c>
      <c r="D529" s="110"/>
    </row>
    <row r="530" spans="1:4" ht="15.75" outlineLevel="1">
      <c r="A530" s="36" t="s">
        <v>1065</v>
      </c>
      <c r="B530" s="37" t="s">
        <v>1152</v>
      </c>
      <c r="C530" s="36">
        <v>5.1020000000000003</v>
      </c>
      <c r="D530" s="110"/>
    </row>
    <row r="531" spans="1:4" ht="15.75" outlineLevel="1">
      <c r="A531" s="36" t="s">
        <v>1065</v>
      </c>
      <c r="B531" s="37" t="s">
        <v>1153</v>
      </c>
      <c r="C531" s="39">
        <v>5.0999999999999996</v>
      </c>
      <c r="D531" s="110"/>
    </row>
    <row r="532" spans="1:4" ht="15.75" outlineLevel="1">
      <c r="A532" s="36" t="s">
        <v>1065</v>
      </c>
      <c r="B532" s="37" t="s">
        <v>17</v>
      </c>
      <c r="C532" s="36">
        <v>5.58</v>
      </c>
      <c r="D532" s="110"/>
    </row>
    <row r="533" spans="1:4" ht="15.75" outlineLevel="1">
      <c r="A533" s="36" t="s">
        <v>1065</v>
      </c>
      <c r="B533" s="37" t="s">
        <v>19</v>
      </c>
      <c r="C533" s="36">
        <v>5.55</v>
      </c>
      <c r="D533" s="110"/>
    </row>
    <row r="534" spans="1:4" ht="15.75" outlineLevel="1">
      <c r="A534" s="36" t="s">
        <v>1065</v>
      </c>
      <c r="B534" s="37" t="s">
        <v>18</v>
      </c>
      <c r="C534" s="36">
        <v>5.54</v>
      </c>
      <c r="D534" s="110"/>
    </row>
    <row r="535" spans="1:4" ht="15.75" outlineLevel="1">
      <c r="A535" s="36" t="s">
        <v>1065</v>
      </c>
      <c r="B535" s="37" t="s">
        <v>20</v>
      </c>
      <c r="C535" s="36">
        <v>5.63</v>
      </c>
      <c r="D535" s="110"/>
    </row>
    <row r="536" spans="1:4" ht="15.75" outlineLevel="1">
      <c r="A536" s="36" t="s">
        <v>1065</v>
      </c>
      <c r="B536" s="37" t="s">
        <v>24</v>
      </c>
      <c r="C536" s="36">
        <v>5.47</v>
      </c>
      <c r="D536" s="110"/>
    </row>
    <row r="537" spans="1:4" ht="15.75" outlineLevel="1">
      <c r="A537" s="36" t="s">
        <v>1065</v>
      </c>
      <c r="B537" s="37" t="s">
        <v>25</v>
      </c>
      <c r="C537" s="36">
        <v>5.48</v>
      </c>
      <c r="D537" s="110"/>
    </row>
    <row r="538" spans="1:4" ht="15.75">
      <c r="A538" s="42" t="s">
        <v>1065</v>
      </c>
      <c r="B538" s="37"/>
      <c r="C538" s="36"/>
      <c r="D538" s="110"/>
    </row>
    <row r="539" spans="1:4" ht="15.75" outlineLevel="1">
      <c r="A539" s="36" t="s">
        <v>1074</v>
      </c>
      <c r="B539" s="37" t="s">
        <v>0</v>
      </c>
      <c r="C539" s="36">
        <v>5.0999999999999996</v>
      </c>
      <c r="D539" s="110"/>
    </row>
    <row r="540" spans="1:4" ht="15.75" outlineLevel="1">
      <c r="A540" s="36" t="s">
        <v>1074</v>
      </c>
      <c r="B540" s="37" t="s">
        <v>1</v>
      </c>
      <c r="C540" s="36">
        <v>5.2</v>
      </c>
      <c r="D540" s="110"/>
    </row>
    <row r="541" spans="1:4" ht="15.75" outlineLevel="1">
      <c r="A541" s="36" t="s">
        <v>1074</v>
      </c>
      <c r="B541" s="37" t="s">
        <v>5</v>
      </c>
      <c r="C541" s="36">
        <v>5.26</v>
      </c>
      <c r="D541" s="110"/>
    </row>
    <row r="542" spans="1:4" ht="15.75" outlineLevel="1">
      <c r="A542" s="36" t="s">
        <v>1074</v>
      </c>
      <c r="B542" s="37" t="s">
        <v>1166</v>
      </c>
      <c r="C542" s="36">
        <v>5.21</v>
      </c>
      <c r="D542" s="110"/>
    </row>
    <row r="543" spans="1:4" ht="15.75" outlineLevel="1">
      <c r="A543" s="36" t="s">
        <v>1074</v>
      </c>
      <c r="B543" s="37" t="s">
        <v>1167</v>
      </c>
      <c r="C543" s="36">
        <v>5.53</v>
      </c>
      <c r="D543" s="110"/>
    </row>
    <row r="544" spans="1:4" ht="15.75" outlineLevel="1">
      <c r="A544" s="36" t="s">
        <v>1074</v>
      </c>
      <c r="B544" s="37" t="s">
        <v>18</v>
      </c>
      <c r="C544" s="36">
        <v>5.54</v>
      </c>
      <c r="D544" s="110"/>
    </row>
    <row r="545" spans="1:4" ht="15.75" outlineLevel="1">
      <c r="A545" s="36" t="s">
        <v>1074</v>
      </c>
      <c r="B545" s="37" t="s">
        <v>1168</v>
      </c>
      <c r="C545" s="36">
        <v>5.58</v>
      </c>
      <c r="D545" s="110"/>
    </row>
    <row r="546" spans="1:4" ht="15.75" outlineLevel="1">
      <c r="A546" s="36" t="s">
        <v>1074</v>
      </c>
      <c r="B546" s="37" t="s">
        <v>1169</v>
      </c>
      <c r="C546" s="36">
        <v>5.1180000000000003</v>
      </c>
      <c r="D546" s="110"/>
    </row>
    <row r="547" spans="1:4" ht="15.75" outlineLevel="1">
      <c r="A547" s="36" t="s">
        <v>1074</v>
      </c>
      <c r="B547" s="37" t="s">
        <v>1170</v>
      </c>
      <c r="C547" s="36">
        <v>5.47</v>
      </c>
      <c r="D547" s="110"/>
    </row>
    <row r="548" spans="1:4" ht="15.75" outlineLevel="1">
      <c r="A548" s="36" t="s">
        <v>1074</v>
      </c>
      <c r="B548" s="37" t="s">
        <v>1171</v>
      </c>
      <c r="C548" s="36">
        <v>5.48</v>
      </c>
      <c r="D548" s="110"/>
    </row>
    <row r="549" spans="1:4" ht="15.75" outlineLevel="1">
      <c r="A549" s="36" t="s">
        <v>1074</v>
      </c>
      <c r="B549" s="37" t="s">
        <v>1172</v>
      </c>
      <c r="C549" s="36">
        <v>5.21</v>
      </c>
      <c r="D549" s="110"/>
    </row>
    <row r="550" spans="1:4" ht="15.75" outlineLevel="1">
      <c r="A550" s="36" t="s">
        <v>1074</v>
      </c>
      <c r="B550" s="37" t="s">
        <v>1173</v>
      </c>
      <c r="C550" s="36">
        <v>5.53</v>
      </c>
      <c r="D550" s="110"/>
    </row>
    <row r="551" spans="1:4" ht="15.75" outlineLevel="1">
      <c r="A551" s="36" t="s">
        <v>1074</v>
      </c>
      <c r="B551" s="37" t="s">
        <v>18</v>
      </c>
      <c r="C551" s="36">
        <v>5.54</v>
      </c>
      <c r="D551" s="110"/>
    </row>
    <row r="552" spans="1:4" ht="15.75" outlineLevel="1">
      <c r="A552" s="36" t="s">
        <v>1074</v>
      </c>
      <c r="B552" s="37" t="s">
        <v>1174</v>
      </c>
      <c r="C552" s="36">
        <v>5.58</v>
      </c>
      <c r="D552" s="110"/>
    </row>
    <row r="553" spans="1:4" ht="15.75" outlineLevel="1">
      <c r="A553" s="36" t="s">
        <v>1074</v>
      </c>
      <c r="B553" s="37" t="s">
        <v>1175</v>
      </c>
      <c r="C553" s="36">
        <v>5.1180000000000003</v>
      </c>
      <c r="D553" s="110"/>
    </row>
    <row r="554" spans="1:4" ht="15.75" outlineLevel="1">
      <c r="A554" s="36" t="s">
        <v>1074</v>
      </c>
      <c r="B554" s="37" t="s">
        <v>1176</v>
      </c>
      <c r="C554" s="36">
        <v>5.47</v>
      </c>
      <c r="D554" s="110"/>
    </row>
    <row r="555" spans="1:4" ht="15.75" outlineLevel="1">
      <c r="A555" s="36" t="s">
        <v>1074</v>
      </c>
      <c r="B555" s="37" t="s">
        <v>1177</v>
      </c>
      <c r="C555" s="36">
        <v>5.48</v>
      </c>
      <c r="D555" s="110"/>
    </row>
    <row r="556" spans="1:4" ht="15.75" outlineLevel="1">
      <c r="A556" s="36" t="s">
        <v>1074</v>
      </c>
      <c r="B556" s="37" t="s">
        <v>1178</v>
      </c>
      <c r="C556" s="36">
        <v>5.63</v>
      </c>
      <c r="D556" s="110"/>
    </row>
    <row r="557" spans="1:4" ht="15.75" outlineLevel="1">
      <c r="A557" s="36" t="s">
        <v>1074</v>
      </c>
      <c r="B557" s="37" t="s">
        <v>6</v>
      </c>
      <c r="C557" s="36">
        <v>5.27</v>
      </c>
      <c r="D557" s="110"/>
    </row>
    <row r="558" spans="1:4" ht="15.75" outlineLevel="1">
      <c r="A558" s="36" t="s">
        <v>1074</v>
      </c>
      <c r="B558" s="37" t="s">
        <v>7</v>
      </c>
      <c r="C558" s="36">
        <v>5.28</v>
      </c>
      <c r="D558" s="110"/>
    </row>
    <row r="559" spans="1:4" ht="15.75" outlineLevel="1">
      <c r="A559" s="36" t="s">
        <v>1074</v>
      </c>
      <c r="B559" s="37" t="s">
        <v>1179</v>
      </c>
      <c r="C559" s="36">
        <v>5.35</v>
      </c>
      <c r="D559" s="110"/>
    </row>
    <row r="560" spans="1:4" ht="15.75" outlineLevel="1">
      <c r="A560" s="36" t="s">
        <v>1074</v>
      </c>
      <c r="B560" s="37" t="s">
        <v>961</v>
      </c>
      <c r="C560" s="36">
        <v>5.1189999999999998</v>
      </c>
      <c r="D560" s="110"/>
    </row>
    <row r="561" spans="1:4" ht="15.75" outlineLevel="1">
      <c r="A561" s="36" t="s">
        <v>1074</v>
      </c>
      <c r="B561" s="37" t="s">
        <v>968</v>
      </c>
      <c r="C561" s="39">
        <v>5.12</v>
      </c>
      <c r="D561" s="110"/>
    </row>
    <row r="562" spans="1:4" ht="15.75" outlineLevel="1">
      <c r="A562" s="36" t="s">
        <v>1074</v>
      </c>
      <c r="B562" s="37" t="s">
        <v>359</v>
      </c>
      <c r="C562" s="36">
        <v>5.1210000000000004</v>
      </c>
      <c r="D562" s="110"/>
    </row>
    <row r="563" spans="1:4" ht="15.75" outlineLevel="1">
      <c r="A563" s="36" t="s">
        <v>1074</v>
      </c>
      <c r="B563" s="37" t="s">
        <v>141</v>
      </c>
      <c r="C563" s="36">
        <v>5.36</v>
      </c>
      <c r="D563" s="110"/>
    </row>
    <row r="564" spans="1:4" ht="15.75" outlineLevel="1">
      <c r="A564" s="36" t="s">
        <v>1074</v>
      </c>
      <c r="B564" s="37" t="s">
        <v>1180</v>
      </c>
      <c r="C564" s="36">
        <v>5.1219999999999999</v>
      </c>
      <c r="D564" s="110"/>
    </row>
    <row r="565" spans="1:4" ht="15.75" outlineLevel="1">
      <c r="A565" s="36" t="s">
        <v>1074</v>
      </c>
      <c r="B565" s="37" t="s">
        <v>1181</v>
      </c>
      <c r="C565" s="36">
        <v>5.1230000000000002</v>
      </c>
      <c r="D565" s="110"/>
    </row>
    <row r="566" spans="1:4" ht="15.75" outlineLevel="1">
      <c r="A566" s="36" t="s">
        <v>1074</v>
      </c>
      <c r="B566" s="37" t="s">
        <v>932</v>
      </c>
      <c r="C566" s="36">
        <v>5.1239999999999997</v>
      </c>
      <c r="D566" s="110"/>
    </row>
    <row r="567" spans="1:4" ht="15.75" outlineLevel="1">
      <c r="A567" s="36" t="s">
        <v>1074</v>
      </c>
      <c r="B567" s="37" t="s">
        <v>940</v>
      </c>
      <c r="C567" s="36">
        <v>5.125</v>
      </c>
      <c r="D567" s="110"/>
    </row>
    <row r="568" spans="1:4" ht="15.75" outlineLevel="1">
      <c r="A568" s="36" t="s">
        <v>1074</v>
      </c>
      <c r="B568" s="37" t="s">
        <v>1182</v>
      </c>
      <c r="C568" s="36">
        <v>5.1260000000000003</v>
      </c>
      <c r="D568" s="110"/>
    </row>
    <row r="569" spans="1:4" ht="15.75" outlineLevel="1">
      <c r="A569" s="36" t="s">
        <v>1074</v>
      </c>
      <c r="B569" s="37" t="s">
        <v>958</v>
      </c>
      <c r="C569" s="36">
        <v>5.1269999999999998</v>
      </c>
      <c r="D569" s="110"/>
    </row>
    <row r="570" spans="1:4" ht="15.75" outlineLevel="1">
      <c r="A570" s="36" t="s">
        <v>1074</v>
      </c>
      <c r="B570" s="37" t="s">
        <v>943</v>
      </c>
      <c r="C570" s="38">
        <v>5.72</v>
      </c>
      <c r="D570" s="110"/>
    </row>
    <row r="571" spans="1:4" ht="15.75" outlineLevel="1">
      <c r="A571" s="36" t="s">
        <v>1074</v>
      </c>
      <c r="B571" s="37" t="s">
        <v>954</v>
      </c>
      <c r="C571" s="36">
        <v>5.1280000000000001</v>
      </c>
      <c r="D571" s="110"/>
    </row>
    <row r="572" spans="1:4" ht="15.75" outlineLevel="1">
      <c r="A572" s="36" t="s">
        <v>1074</v>
      </c>
      <c r="B572" s="37" t="s">
        <v>1183</v>
      </c>
      <c r="C572" s="36">
        <v>5.1289999999999996</v>
      </c>
      <c r="D572" s="109" t="s">
        <v>1143</v>
      </c>
    </row>
    <row r="573" spans="1:4" ht="15.75" outlineLevel="1">
      <c r="A573" s="36" t="s">
        <v>1074</v>
      </c>
      <c r="B573" s="37" t="s">
        <v>1184</v>
      </c>
      <c r="C573" s="36">
        <v>5.1310000000000002</v>
      </c>
      <c r="D573" s="110"/>
    </row>
    <row r="574" spans="1:4" ht="15.75" outlineLevel="1">
      <c r="A574" s="36" t="s">
        <v>1074</v>
      </c>
      <c r="B574" s="37" t="s">
        <v>1185</v>
      </c>
      <c r="C574" s="36">
        <v>5.1319999999999997</v>
      </c>
      <c r="D574" s="109" t="s">
        <v>1143</v>
      </c>
    </row>
    <row r="575" spans="1:4" ht="15.75" outlineLevel="1">
      <c r="A575" s="36" t="s">
        <v>1074</v>
      </c>
      <c r="B575" s="37" t="s">
        <v>983</v>
      </c>
      <c r="C575" s="36">
        <v>5.133</v>
      </c>
      <c r="D575" s="109" t="s">
        <v>1143</v>
      </c>
    </row>
    <row r="576" spans="1:4" ht="15.75" outlineLevel="1">
      <c r="A576" s="36" t="s">
        <v>1074</v>
      </c>
      <c r="B576" s="37" t="s">
        <v>1186</v>
      </c>
      <c r="C576" s="36">
        <v>5.1340000000000003</v>
      </c>
      <c r="D576" s="109" t="s">
        <v>1143</v>
      </c>
    </row>
    <row r="577" spans="1:4" ht="15.75" outlineLevel="1">
      <c r="A577" s="36" t="s">
        <v>1074</v>
      </c>
      <c r="B577" s="37" t="s">
        <v>1187</v>
      </c>
      <c r="C577" s="39">
        <v>5.13</v>
      </c>
      <c r="D577" s="110"/>
    </row>
    <row r="578" spans="1:4" ht="15.75" outlineLevel="1">
      <c r="A578" s="36" t="s">
        <v>1074</v>
      </c>
      <c r="B578" s="37" t="s">
        <v>24</v>
      </c>
      <c r="C578" s="36">
        <v>5.47</v>
      </c>
      <c r="D578" s="110"/>
    </row>
    <row r="579" spans="1:4" ht="15.75" outlineLevel="1">
      <c r="A579" s="36" t="s">
        <v>1074</v>
      </c>
      <c r="B579" s="37" t="s">
        <v>25</v>
      </c>
      <c r="C579" s="36">
        <v>5.48</v>
      </c>
      <c r="D579" s="110"/>
    </row>
    <row r="580" spans="1:4" ht="15.75">
      <c r="A580" s="42" t="s">
        <v>1074</v>
      </c>
      <c r="B580" s="37"/>
      <c r="C580" s="36"/>
      <c r="D580" s="110"/>
    </row>
    <row r="581" spans="1:4" ht="15.75" outlineLevel="1">
      <c r="A581" s="36" t="s">
        <v>1067</v>
      </c>
      <c r="B581" s="37" t="s">
        <v>0</v>
      </c>
      <c r="C581" s="36">
        <v>5.0999999999999996</v>
      </c>
      <c r="D581" s="110"/>
    </row>
    <row r="582" spans="1:4" ht="15.75" outlineLevel="1">
      <c r="A582" s="36" t="s">
        <v>1067</v>
      </c>
      <c r="B582" s="37" t="s">
        <v>1</v>
      </c>
      <c r="C582" s="36">
        <v>5.2</v>
      </c>
      <c r="D582" s="110"/>
    </row>
    <row r="583" spans="1:4" ht="15.75" outlineLevel="1">
      <c r="A583" s="36" t="s">
        <v>1067</v>
      </c>
      <c r="B583" s="37" t="s">
        <v>136</v>
      </c>
      <c r="C583" s="36">
        <v>5.9</v>
      </c>
      <c r="D583" s="109" t="s">
        <v>1143</v>
      </c>
    </row>
    <row r="584" spans="1:4" ht="15.75" outlineLevel="1">
      <c r="A584" s="36" t="s">
        <v>1067</v>
      </c>
      <c r="B584" s="37" t="s">
        <v>137</v>
      </c>
      <c r="C584" s="36">
        <v>5.13</v>
      </c>
      <c r="D584" s="109" t="s">
        <v>1143</v>
      </c>
    </row>
    <row r="585" spans="1:4" ht="15.75" outlineLevel="1">
      <c r="A585" s="36" t="s">
        <v>1067</v>
      </c>
      <c r="B585" s="37" t="s">
        <v>138</v>
      </c>
      <c r="C585" s="36">
        <v>5.16</v>
      </c>
      <c r="D585" s="109" t="s">
        <v>1143</v>
      </c>
    </row>
    <row r="586" spans="1:4" ht="15.75" outlineLevel="1">
      <c r="A586" s="36" t="s">
        <v>1067</v>
      </c>
      <c r="B586" s="37" t="s">
        <v>139</v>
      </c>
      <c r="C586" s="36">
        <v>5.22</v>
      </c>
      <c r="D586" s="109"/>
    </row>
    <row r="587" spans="1:4" ht="15.75" outlineLevel="1">
      <c r="A587" s="36" t="s">
        <v>1067</v>
      </c>
      <c r="B587" s="37" t="s">
        <v>5</v>
      </c>
      <c r="C587" s="36">
        <v>5.26</v>
      </c>
      <c r="D587" s="110"/>
    </row>
    <row r="588" spans="1:4" ht="15.75" outlineLevel="1">
      <c r="A588" s="36" t="s">
        <v>1067</v>
      </c>
      <c r="B588" s="37" t="s">
        <v>1188</v>
      </c>
      <c r="C588" s="36">
        <v>5.77</v>
      </c>
      <c r="D588" s="110"/>
    </row>
    <row r="589" spans="1:4" ht="15.75" outlineLevel="1">
      <c r="A589" s="36" t="s">
        <v>1067</v>
      </c>
      <c r="B589" s="37" t="s">
        <v>6</v>
      </c>
      <c r="C589" s="36">
        <v>5.27</v>
      </c>
      <c r="D589" s="110"/>
    </row>
    <row r="590" spans="1:4" ht="15.75" outlineLevel="1">
      <c r="A590" s="36" t="s">
        <v>1067</v>
      </c>
      <c r="B590" s="37" t="s">
        <v>7</v>
      </c>
      <c r="C590" s="36">
        <v>5.28</v>
      </c>
      <c r="D590" s="109" t="s">
        <v>1143</v>
      </c>
    </row>
    <row r="591" spans="1:4" ht="15.75" outlineLevel="1">
      <c r="A591" s="36" t="s">
        <v>1067</v>
      </c>
      <c r="B591" s="37" t="s">
        <v>176</v>
      </c>
      <c r="C591" s="36">
        <v>5.31</v>
      </c>
      <c r="D591" s="110"/>
    </row>
    <row r="592" spans="1:4" ht="15.75" outlineLevel="1">
      <c r="A592" s="36" t="s">
        <v>1067</v>
      </c>
      <c r="B592" s="37" t="s">
        <v>141</v>
      </c>
      <c r="C592" s="36">
        <v>5.36</v>
      </c>
      <c r="D592" s="110"/>
    </row>
    <row r="593" spans="1:4" ht="15.75" outlineLevel="1">
      <c r="A593" s="36" t="s">
        <v>1067</v>
      </c>
      <c r="B593" s="37" t="s">
        <v>1189</v>
      </c>
      <c r="C593" s="36">
        <v>5.78</v>
      </c>
      <c r="D593" s="110"/>
    </row>
    <row r="594" spans="1:4" ht="15.75" outlineLevel="1">
      <c r="A594" s="36" t="s">
        <v>1067</v>
      </c>
      <c r="B594" s="37" t="s">
        <v>1190</v>
      </c>
      <c r="C594" s="36">
        <v>5.79</v>
      </c>
      <c r="D594" s="109" t="s">
        <v>1143</v>
      </c>
    </row>
    <row r="595" spans="1:4" ht="15.75" outlineLevel="1">
      <c r="A595" s="36" t="s">
        <v>1067</v>
      </c>
      <c r="B595" s="37" t="s">
        <v>1191</v>
      </c>
      <c r="C595" s="36">
        <v>5.41</v>
      </c>
      <c r="D595" s="110"/>
    </row>
    <row r="596" spans="1:4" ht="15.75" outlineLevel="1">
      <c r="A596" s="36" t="s">
        <v>1067</v>
      </c>
      <c r="B596" s="37" t="s">
        <v>9</v>
      </c>
      <c r="C596" s="36">
        <v>5.49</v>
      </c>
      <c r="D596" s="110"/>
    </row>
    <row r="597" spans="1:4" ht="15.75" outlineLevel="1">
      <c r="A597" s="36" t="s">
        <v>1067</v>
      </c>
      <c r="B597" s="37" t="s">
        <v>10</v>
      </c>
      <c r="C597" s="36">
        <v>5.51</v>
      </c>
      <c r="D597" s="110"/>
    </row>
    <row r="598" spans="1:4" ht="15.75" outlineLevel="1">
      <c r="A598" s="36" t="s">
        <v>1067</v>
      </c>
      <c r="B598" s="37" t="s">
        <v>1192</v>
      </c>
      <c r="C598" s="36">
        <v>5.52</v>
      </c>
      <c r="D598" s="110"/>
    </row>
    <row r="599" spans="1:4" ht="15.75" outlineLevel="1">
      <c r="A599" s="36" t="s">
        <v>1067</v>
      </c>
      <c r="B599" s="37" t="s">
        <v>11</v>
      </c>
      <c r="C599" s="36">
        <v>5.53</v>
      </c>
      <c r="D599" s="110"/>
    </row>
    <row r="600" spans="1:4" ht="15.75" outlineLevel="1">
      <c r="A600" s="36" t="s">
        <v>1067</v>
      </c>
      <c r="B600" s="37" t="s">
        <v>12</v>
      </c>
      <c r="C600" s="36">
        <v>5.69</v>
      </c>
      <c r="D600" s="110"/>
    </row>
    <row r="601" spans="1:4" ht="15.75" outlineLevel="1">
      <c r="A601" s="36" t="s">
        <v>1067</v>
      </c>
      <c r="B601" s="37" t="s">
        <v>143</v>
      </c>
      <c r="C601" s="36">
        <v>5.71</v>
      </c>
      <c r="D601" s="110"/>
    </row>
    <row r="602" spans="1:4" ht="15.75" outlineLevel="1">
      <c r="A602" s="36" t="s">
        <v>1067</v>
      </c>
      <c r="B602" s="37" t="s">
        <v>14</v>
      </c>
      <c r="C602" s="38">
        <v>5.7</v>
      </c>
      <c r="D602" s="110"/>
    </row>
    <row r="603" spans="1:4" ht="15.75" outlineLevel="1">
      <c r="A603" s="36" t="s">
        <v>1067</v>
      </c>
      <c r="B603" s="37" t="s">
        <v>788</v>
      </c>
      <c r="C603" s="38">
        <v>5.8</v>
      </c>
      <c r="D603" s="109" t="s">
        <v>1143</v>
      </c>
    </row>
    <row r="604" spans="1:4" ht="15.75" outlineLevel="1">
      <c r="A604" s="36" t="s">
        <v>1067</v>
      </c>
      <c r="B604" s="37" t="s">
        <v>943</v>
      </c>
      <c r="C604" s="38">
        <v>5.72</v>
      </c>
      <c r="D604" s="109" t="s">
        <v>1143</v>
      </c>
    </row>
    <row r="605" spans="1:4" ht="15.75" outlineLevel="1">
      <c r="A605" s="36" t="s">
        <v>1067</v>
      </c>
      <c r="B605" s="37" t="s">
        <v>1193</v>
      </c>
      <c r="C605" s="36">
        <v>5.73</v>
      </c>
      <c r="D605" s="109" t="s">
        <v>1143</v>
      </c>
    </row>
    <row r="606" spans="1:4" ht="15.75" outlineLevel="1">
      <c r="A606" s="36" t="s">
        <v>1067</v>
      </c>
      <c r="B606" s="37" t="s">
        <v>15</v>
      </c>
      <c r="C606" s="36">
        <v>5.74</v>
      </c>
      <c r="D606" s="110"/>
    </row>
    <row r="607" spans="1:4" ht="15.75" outlineLevel="1">
      <c r="A607" s="36" t="s">
        <v>1067</v>
      </c>
      <c r="B607" s="37" t="s">
        <v>13</v>
      </c>
      <c r="C607" s="36">
        <v>5.75</v>
      </c>
      <c r="D607" s="110"/>
    </row>
    <row r="608" spans="1:4" ht="15.75" outlineLevel="1">
      <c r="A608" s="36" t="s">
        <v>1067</v>
      </c>
      <c r="B608" s="37" t="s">
        <v>445</v>
      </c>
      <c r="C608" s="36">
        <v>5.76</v>
      </c>
      <c r="D608" s="110"/>
    </row>
    <row r="609" spans="1:4" ht="15.75" outlineLevel="1">
      <c r="A609" s="36" t="s">
        <v>1067</v>
      </c>
      <c r="B609" s="37" t="s">
        <v>791</v>
      </c>
      <c r="C609" s="36">
        <v>5.81</v>
      </c>
      <c r="D609" s="109" t="s">
        <v>1143</v>
      </c>
    </row>
    <row r="610" spans="1:4" ht="15.75" outlineLevel="1">
      <c r="A610" s="36" t="s">
        <v>1067</v>
      </c>
      <c r="B610" s="37" t="s">
        <v>1194</v>
      </c>
      <c r="C610" s="36">
        <v>5.82</v>
      </c>
      <c r="D610" s="109" t="s">
        <v>1143</v>
      </c>
    </row>
    <row r="611" spans="1:4" ht="15.75" outlineLevel="1">
      <c r="A611" s="36" t="s">
        <v>1067</v>
      </c>
      <c r="B611" s="37" t="s">
        <v>1195</v>
      </c>
      <c r="C611" s="36">
        <v>5.83</v>
      </c>
      <c r="D611" s="109" t="s">
        <v>1143</v>
      </c>
    </row>
    <row r="612" spans="1:4" ht="15.75" outlineLevel="1">
      <c r="A612" s="36" t="s">
        <v>1067</v>
      </c>
      <c r="B612" s="37" t="s">
        <v>1196</v>
      </c>
      <c r="C612" s="36">
        <v>5.84</v>
      </c>
      <c r="D612" s="110"/>
    </row>
    <row r="613" spans="1:4" ht="15.75" outlineLevel="1">
      <c r="A613" s="36" t="s">
        <v>1067</v>
      </c>
      <c r="B613" s="37" t="s">
        <v>814</v>
      </c>
      <c r="C613" s="36">
        <v>5.85</v>
      </c>
      <c r="D613" s="109" t="s">
        <v>1143</v>
      </c>
    </row>
    <row r="614" spans="1:4" ht="15.75" outlineLevel="1">
      <c r="A614" s="36" t="s">
        <v>1067</v>
      </c>
      <c r="B614" s="37" t="s">
        <v>815</v>
      </c>
      <c r="C614" s="36">
        <v>5.86</v>
      </c>
      <c r="D614" s="109" t="s">
        <v>1143</v>
      </c>
    </row>
    <row r="615" spans="1:4" ht="15.75" outlineLevel="1">
      <c r="A615" s="36" t="s">
        <v>1067</v>
      </c>
      <c r="B615" s="37" t="s">
        <v>1197</v>
      </c>
      <c r="C615" s="36">
        <v>5.88</v>
      </c>
      <c r="D615" s="109" t="s">
        <v>1143</v>
      </c>
    </row>
    <row r="616" spans="1:4" ht="15.75" outlineLevel="1">
      <c r="A616" s="36" t="s">
        <v>1067</v>
      </c>
      <c r="B616" s="37" t="s">
        <v>821</v>
      </c>
      <c r="C616" s="36">
        <v>5.87</v>
      </c>
      <c r="D616" s="110"/>
    </row>
    <row r="617" spans="1:4" ht="15.75" outlineLevel="1">
      <c r="A617" s="36" t="s">
        <v>1067</v>
      </c>
      <c r="B617" s="37" t="s">
        <v>177</v>
      </c>
      <c r="C617" s="36">
        <v>5.109</v>
      </c>
      <c r="D617" s="110"/>
    </row>
    <row r="618" spans="1:4" ht="15.75" outlineLevel="1">
      <c r="A618" s="36" t="s">
        <v>1067</v>
      </c>
      <c r="B618" s="37" t="s">
        <v>190</v>
      </c>
      <c r="C618" s="39">
        <v>5.1100000000000003</v>
      </c>
      <c r="D618" s="109" t="s">
        <v>1143</v>
      </c>
    </row>
    <row r="619" spans="1:4" ht="15.75" outlineLevel="1">
      <c r="A619" s="36" t="s">
        <v>1067</v>
      </c>
      <c r="B619" s="37" t="s">
        <v>178</v>
      </c>
      <c r="C619" s="36">
        <v>5.1109999999999998</v>
      </c>
      <c r="D619" s="110"/>
    </row>
    <row r="620" spans="1:4" ht="15.75" outlineLevel="1">
      <c r="A620" s="36" t="s">
        <v>1067</v>
      </c>
      <c r="B620" s="37" t="s">
        <v>150</v>
      </c>
      <c r="C620" s="36">
        <v>5.1120000000000001</v>
      </c>
      <c r="D620" s="110"/>
    </row>
    <row r="621" spans="1:4" ht="15.75" outlineLevel="1">
      <c r="A621" s="36" t="s">
        <v>1067</v>
      </c>
      <c r="B621" s="37" t="s">
        <v>1159</v>
      </c>
      <c r="C621" s="36">
        <v>5.1130000000000004</v>
      </c>
      <c r="D621" s="110"/>
    </row>
    <row r="622" spans="1:4" ht="15.75" outlineLevel="1">
      <c r="A622" s="36" t="s">
        <v>1067</v>
      </c>
      <c r="B622" s="37" t="s">
        <v>1198</v>
      </c>
      <c r="C622" s="36">
        <v>5.99</v>
      </c>
      <c r="D622" s="109" t="s">
        <v>1143</v>
      </c>
    </row>
    <row r="623" spans="1:4" ht="15.75" outlineLevel="1">
      <c r="A623" s="36" t="s">
        <v>1067</v>
      </c>
      <c r="B623" s="37" t="s">
        <v>1199</v>
      </c>
      <c r="C623" s="36">
        <v>5.58</v>
      </c>
      <c r="D623" s="109"/>
    </row>
    <row r="624" spans="1:4" ht="15.75" outlineLevel="1">
      <c r="A624" s="36" t="s">
        <v>1067</v>
      </c>
      <c r="B624" s="37" t="s">
        <v>18</v>
      </c>
      <c r="C624" s="36">
        <v>5.54</v>
      </c>
      <c r="D624" s="110"/>
    </row>
    <row r="625" spans="1:4" ht="15.75" outlineLevel="1">
      <c r="A625" s="36" t="s">
        <v>1067</v>
      </c>
      <c r="B625" s="37" t="s">
        <v>1200</v>
      </c>
      <c r="C625" s="36">
        <v>5.56</v>
      </c>
      <c r="D625" s="110"/>
    </row>
    <row r="626" spans="1:4" ht="15.75" outlineLevel="1">
      <c r="A626" s="36" t="s">
        <v>1067</v>
      </c>
      <c r="B626" s="37" t="s">
        <v>20</v>
      </c>
      <c r="C626" s="36">
        <v>5.63</v>
      </c>
      <c r="D626" s="110"/>
    </row>
    <row r="627" spans="1:4" ht="15.75" outlineLevel="1">
      <c r="A627" s="36" t="s">
        <v>1067</v>
      </c>
      <c r="B627" s="37" t="s">
        <v>191</v>
      </c>
      <c r="C627" s="36">
        <v>5.64</v>
      </c>
      <c r="D627" s="110"/>
    </row>
    <row r="628" spans="1:4" ht="15.75" outlineLevel="1">
      <c r="A628" s="36" t="s">
        <v>1067</v>
      </c>
      <c r="B628" s="37" t="s">
        <v>21</v>
      </c>
      <c r="C628" s="36">
        <v>5.65</v>
      </c>
      <c r="D628" s="110"/>
    </row>
    <row r="629" spans="1:4" ht="15.75" outlineLevel="1">
      <c r="A629" s="36" t="s">
        <v>1067</v>
      </c>
      <c r="B629" s="37" t="s">
        <v>192</v>
      </c>
      <c r="C629" s="36">
        <v>5.66</v>
      </c>
      <c r="D629" s="110"/>
    </row>
    <row r="630" spans="1:4" ht="15.75" outlineLevel="1">
      <c r="A630" s="36" t="s">
        <v>1067</v>
      </c>
      <c r="B630" s="37" t="s">
        <v>864</v>
      </c>
      <c r="C630" s="36">
        <v>5.89</v>
      </c>
      <c r="D630" s="109" t="s">
        <v>1143</v>
      </c>
    </row>
    <row r="631" spans="1:4" ht="15.75" outlineLevel="1">
      <c r="A631" s="36" t="s">
        <v>1067</v>
      </c>
      <c r="B631" s="37" t="s">
        <v>22</v>
      </c>
      <c r="C631" s="36">
        <v>5.68</v>
      </c>
      <c r="D631" s="110"/>
    </row>
    <row r="632" spans="1:4" ht="15.75" outlineLevel="1">
      <c r="A632" s="36" t="s">
        <v>1067</v>
      </c>
      <c r="B632" s="37" t="s">
        <v>24</v>
      </c>
      <c r="C632" s="36">
        <v>5.47</v>
      </c>
      <c r="D632" s="110"/>
    </row>
    <row r="633" spans="1:4" ht="15.75" outlineLevel="1">
      <c r="A633" s="36" t="s">
        <v>1067</v>
      </c>
      <c r="B633" s="37" t="s">
        <v>25</v>
      </c>
      <c r="C633" s="36">
        <v>5.48</v>
      </c>
      <c r="D633" s="110"/>
    </row>
    <row r="634" spans="1:4" ht="15.75">
      <c r="A634" s="42" t="s">
        <v>1067</v>
      </c>
      <c r="B634" s="37"/>
      <c r="C634" s="36"/>
      <c r="D634" s="110"/>
    </row>
    <row r="635" spans="1:4" ht="15.75" outlineLevel="1">
      <c r="A635" s="36" t="s">
        <v>1086</v>
      </c>
      <c r="B635" s="37" t="s">
        <v>0</v>
      </c>
      <c r="C635" s="36">
        <v>5.0999999999999996</v>
      </c>
      <c r="D635" s="110"/>
    </row>
    <row r="636" spans="1:4" ht="15.75" outlineLevel="1">
      <c r="A636" s="36" t="s">
        <v>1086</v>
      </c>
      <c r="B636" s="37" t="s">
        <v>1</v>
      </c>
      <c r="C636" s="36">
        <v>5.2</v>
      </c>
      <c r="D636" s="110"/>
    </row>
    <row r="637" spans="1:4" ht="15.75" outlineLevel="1">
      <c r="A637" s="36" t="s">
        <v>1086</v>
      </c>
      <c r="B637" s="37" t="s">
        <v>2</v>
      </c>
      <c r="C637" s="36">
        <v>5.3</v>
      </c>
      <c r="D637" s="110"/>
    </row>
    <row r="638" spans="1:4" ht="15.75" outlineLevel="1">
      <c r="A638" s="36" t="s">
        <v>1086</v>
      </c>
      <c r="B638" s="37" t="s">
        <v>173</v>
      </c>
      <c r="C638" s="36">
        <v>5.6</v>
      </c>
      <c r="D638" s="110"/>
    </row>
    <row r="639" spans="1:4" ht="15.75" outlineLevel="1">
      <c r="A639" s="36" t="s">
        <v>1086</v>
      </c>
      <c r="B639" s="37" t="s">
        <v>1145</v>
      </c>
      <c r="C639" s="38">
        <v>5.0999999999999996</v>
      </c>
      <c r="D639" s="110"/>
    </row>
    <row r="640" spans="1:4" ht="15.75" outlineLevel="1">
      <c r="A640" s="36" t="s">
        <v>1086</v>
      </c>
      <c r="B640" s="37" t="s">
        <v>1144</v>
      </c>
      <c r="C640" s="36">
        <v>5.14</v>
      </c>
      <c r="D640" s="110"/>
    </row>
    <row r="641" spans="1:4" ht="15.75" outlineLevel="1">
      <c r="A641" s="36" t="s">
        <v>1086</v>
      </c>
      <c r="B641" s="37" t="s">
        <v>4</v>
      </c>
      <c r="C641" s="36">
        <v>5.19</v>
      </c>
      <c r="D641" s="110"/>
    </row>
    <row r="642" spans="1:4" ht="15.75" outlineLevel="1">
      <c r="A642" s="36" t="s">
        <v>1086</v>
      </c>
      <c r="B642" s="37" t="s">
        <v>175</v>
      </c>
      <c r="C642" s="36">
        <v>5.24</v>
      </c>
      <c r="D642" s="110"/>
    </row>
    <row r="643" spans="1:4" ht="15.75" outlineLevel="1">
      <c r="A643" s="36" t="s">
        <v>1086</v>
      </c>
      <c r="B643" s="37" t="s">
        <v>5</v>
      </c>
      <c r="C643" s="36">
        <v>5.26</v>
      </c>
      <c r="D643" s="110"/>
    </row>
    <row r="644" spans="1:4" ht="15.75" outlineLevel="1">
      <c r="A644" s="36" t="s">
        <v>1086</v>
      </c>
      <c r="B644" s="37" t="s">
        <v>6</v>
      </c>
      <c r="C644" s="36">
        <v>5.27</v>
      </c>
      <c r="D644" s="110"/>
    </row>
    <row r="645" spans="1:4" ht="15.75" outlineLevel="1">
      <c r="A645" s="36" t="s">
        <v>1086</v>
      </c>
      <c r="B645" s="37" t="s">
        <v>7</v>
      </c>
      <c r="C645" s="36">
        <v>5.28</v>
      </c>
      <c r="D645" s="110"/>
    </row>
    <row r="646" spans="1:4" ht="15.75" outlineLevel="1">
      <c r="A646" s="36" t="s">
        <v>1086</v>
      </c>
      <c r="B646" s="37" t="s">
        <v>141</v>
      </c>
      <c r="C646" s="36">
        <v>5.36</v>
      </c>
      <c r="D646" s="110"/>
    </row>
    <row r="647" spans="1:4" ht="15.75" outlineLevel="1">
      <c r="A647" s="36" t="s">
        <v>1086</v>
      </c>
      <c r="B647" s="37" t="s">
        <v>210</v>
      </c>
      <c r="C647" s="36">
        <v>5.33</v>
      </c>
      <c r="D647" s="110"/>
    </row>
    <row r="648" spans="1:4" ht="15.75" outlineLevel="1">
      <c r="A648" s="36" t="s">
        <v>1086</v>
      </c>
      <c r="B648" s="37" t="s">
        <v>184</v>
      </c>
      <c r="C648" s="36">
        <v>5.37</v>
      </c>
      <c r="D648" s="110"/>
    </row>
    <row r="649" spans="1:4" ht="15.75" outlineLevel="1">
      <c r="A649" s="36" t="s">
        <v>1086</v>
      </c>
      <c r="B649" s="37" t="s">
        <v>9</v>
      </c>
      <c r="C649" s="36">
        <v>5.49</v>
      </c>
      <c r="D649" s="110"/>
    </row>
    <row r="650" spans="1:4" ht="15.75" outlineLevel="1">
      <c r="A650" s="36" t="s">
        <v>1086</v>
      </c>
      <c r="B650" s="37" t="s">
        <v>10</v>
      </c>
      <c r="C650" s="36">
        <v>5.51</v>
      </c>
      <c r="D650" s="110"/>
    </row>
    <row r="651" spans="1:4" ht="15.75" outlineLevel="1">
      <c r="A651" s="36" t="s">
        <v>1086</v>
      </c>
      <c r="B651" s="37" t="s">
        <v>1146</v>
      </c>
      <c r="C651" s="36">
        <v>5.52</v>
      </c>
      <c r="D651" s="110"/>
    </row>
    <row r="652" spans="1:4" ht="15.75" outlineLevel="1">
      <c r="A652" s="36" t="s">
        <v>1086</v>
      </c>
      <c r="B652" s="37" t="s">
        <v>11</v>
      </c>
      <c r="C652" s="36">
        <v>5.53</v>
      </c>
      <c r="D652" s="110"/>
    </row>
    <row r="653" spans="1:4" ht="15.75" outlineLevel="1">
      <c r="A653" s="36" t="s">
        <v>1086</v>
      </c>
      <c r="B653" s="37" t="s">
        <v>12</v>
      </c>
      <c r="C653" s="36">
        <v>5.69</v>
      </c>
      <c r="D653" s="110"/>
    </row>
    <row r="654" spans="1:4" ht="15.75" outlineLevel="1">
      <c r="A654" s="36" t="s">
        <v>1086</v>
      </c>
      <c r="B654" s="37" t="s">
        <v>14</v>
      </c>
      <c r="C654" s="38">
        <v>5.7</v>
      </c>
      <c r="D654" s="110"/>
    </row>
    <row r="655" spans="1:4" ht="15.75" outlineLevel="1">
      <c r="A655" s="36" t="s">
        <v>1086</v>
      </c>
      <c r="B655" s="37" t="s">
        <v>15</v>
      </c>
      <c r="C655" s="36">
        <v>5.74</v>
      </c>
      <c r="D655" s="110"/>
    </row>
    <row r="656" spans="1:4" ht="15.75" outlineLevel="1">
      <c r="A656" s="36" t="s">
        <v>1086</v>
      </c>
      <c r="B656" s="37" t="s">
        <v>177</v>
      </c>
      <c r="C656" s="36">
        <v>5.109</v>
      </c>
      <c r="D656" s="110"/>
    </row>
    <row r="657" spans="1:4" ht="15.75" outlineLevel="1">
      <c r="A657" s="36" t="s">
        <v>1086</v>
      </c>
      <c r="B657" s="37" t="s">
        <v>178</v>
      </c>
      <c r="C657" s="36">
        <v>5.1109999999999998</v>
      </c>
      <c r="D657" s="110"/>
    </row>
    <row r="658" spans="1:4" ht="15.75" outlineLevel="1">
      <c r="A658" s="36" t="s">
        <v>1086</v>
      </c>
      <c r="B658" s="37" t="s">
        <v>150</v>
      </c>
      <c r="C658" s="36">
        <v>5.1120000000000001</v>
      </c>
      <c r="D658" s="110"/>
    </row>
    <row r="659" spans="1:4" ht="15.75" outlineLevel="1">
      <c r="A659" s="36" t="s">
        <v>1086</v>
      </c>
      <c r="B659" s="37" t="s">
        <v>17</v>
      </c>
      <c r="C659" s="36">
        <v>5.58</v>
      </c>
      <c r="D659" s="110"/>
    </row>
    <row r="660" spans="1:4" ht="15.75" outlineLevel="1">
      <c r="A660" s="36" t="s">
        <v>1086</v>
      </c>
      <c r="B660" s="37" t="s">
        <v>18</v>
      </c>
      <c r="C660" s="36">
        <v>5.54</v>
      </c>
      <c r="D660" s="110"/>
    </row>
    <row r="661" spans="1:4" ht="15.75" outlineLevel="1">
      <c r="A661" s="36" t="s">
        <v>1086</v>
      </c>
      <c r="B661" s="37" t="s">
        <v>19</v>
      </c>
      <c r="C661" s="36">
        <v>5.55</v>
      </c>
      <c r="D661" s="110"/>
    </row>
    <row r="662" spans="1:4" ht="15.75" outlineLevel="1">
      <c r="A662" s="36" t="s">
        <v>1086</v>
      </c>
      <c r="B662" s="37" t="s">
        <v>20</v>
      </c>
      <c r="C662" s="36">
        <v>5.63</v>
      </c>
      <c r="D662" s="110"/>
    </row>
    <row r="663" spans="1:4" ht="15.75" outlineLevel="1">
      <c r="A663" s="36" t="s">
        <v>1086</v>
      </c>
      <c r="B663" s="37" t="s">
        <v>24</v>
      </c>
      <c r="C663" s="36">
        <v>5.47</v>
      </c>
      <c r="D663" s="110"/>
    </row>
    <row r="664" spans="1:4" ht="15.75" outlineLevel="1">
      <c r="A664" s="36" t="s">
        <v>1086</v>
      </c>
      <c r="B664" s="37" t="s">
        <v>25</v>
      </c>
      <c r="C664" s="36">
        <v>5.48</v>
      </c>
      <c r="D664" s="110"/>
    </row>
    <row r="665" spans="1:4" ht="15.75">
      <c r="A665" s="42" t="s">
        <v>1086</v>
      </c>
      <c r="B665" s="37"/>
      <c r="C665" s="36"/>
      <c r="D665" s="110"/>
    </row>
    <row r="666" spans="1:4" ht="15.75" outlineLevel="1">
      <c r="A666" s="36" t="s">
        <v>1091</v>
      </c>
      <c r="B666" s="37" t="s">
        <v>0</v>
      </c>
      <c r="C666" s="36">
        <v>5.0999999999999996</v>
      </c>
      <c r="D666" s="110"/>
    </row>
    <row r="667" spans="1:4" ht="15.75" outlineLevel="1">
      <c r="A667" s="36" t="s">
        <v>1091</v>
      </c>
      <c r="B667" s="37" t="s">
        <v>1</v>
      </c>
      <c r="C667" s="36">
        <v>5.2</v>
      </c>
      <c r="D667" s="110"/>
    </row>
    <row r="668" spans="1:4" ht="15.75" outlineLevel="1">
      <c r="A668" s="36" t="s">
        <v>1091</v>
      </c>
      <c r="B668" s="37" t="s">
        <v>195</v>
      </c>
      <c r="C668" s="36">
        <v>5.4</v>
      </c>
      <c r="D668" s="110"/>
    </row>
    <row r="669" spans="1:4" ht="15.75" outlineLevel="1">
      <c r="A669" s="36" t="s">
        <v>1091</v>
      </c>
      <c r="B669" s="37" t="s">
        <v>196</v>
      </c>
      <c r="C669" s="36">
        <v>5.7</v>
      </c>
      <c r="D669" s="110"/>
    </row>
    <row r="670" spans="1:4" ht="15.75" outlineLevel="1">
      <c r="A670" s="36" t="s">
        <v>1091</v>
      </c>
      <c r="B670" s="37" t="s">
        <v>197</v>
      </c>
      <c r="C670" s="36">
        <v>5.1100000000000003</v>
      </c>
      <c r="D670" s="110"/>
    </row>
    <row r="671" spans="1:4" ht="15.75" outlineLevel="1">
      <c r="A671" s="36" t="s">
        <v>1091</v>
      </c>
      <c r="B671" s="37" t="s">
        <v>5</v>
      </c>
      <c r="C671" s="36">
        <v>5.26</v>
      </c>
      <c r="D671" s="110"/>
    </row>
    <row r="672" spans="1:4" ht="15.75" outlineLevel="1">
      <c r="A672" s="36" t="s">
        <v>1091</v>
      </c>
      <c r="B672" s="37" t="s">
        <v>198</v>
      </c>
      <c r="C672" s="36">
        <v>5.43</v>
      </c>
      <c r="D672" s="110"/>
    </row>
    <row r="673" spans="1:4" ht="15.75" outlineLevel="1">
      <c r="A673" s="36" t="s">
        <v>1091</v>
      </c>
      <c r="B673" s="37" t="s">
        <v>6</v>
      </c>
      <c r="C673" s="36">
        <v>5.27</v>
      </c>
      <c r="D673" s="110"/>
    </row>
    <row r="674" spans="1:4" ht="15.75" outlineLevel="1">
      <c r="A674" s="36" t="s">
        <v>1091</v>
      </c>
      <c r="B674" s="37" t="s">
        <v>7</v>
      </c>
      <c r="C674" s="36">
        <v>5.28</v>
      </c>
      <c r="D674" s="110"/>
    </row>
    <row r="675" spans="1:4" ht="15.75" outlineLevel="1">
      <c r="A675" s="36" t="s">
        <v>1091</v>
      </c>
      <c r="B675" s="37" t="s">
        <v>141</v>
      </c>
      <c r="C675" s="36">
        <v>5.36</v>
      </c>
      <c r="D675" s="110"/>
    </row>
    <row r="676" spans="1:4" ht="15.75" outlineLevel="1">
      <c r="A676" s="36" t="s">
        <v>1091</v>
      </c>
      <c r="B676" s="37" t="s">
        <v>199</v>
      </c>
      <c r="C676" s="38">
        <v>5.5</v>
      </c>
      <c r="D676" s="110"/>
    </row>
    <row r="677" spans="1:4" ht="15.75" outlineLevel="1">
      <c r="A677" s="36" t="s">
        <v>1091</v>
      </c>
      <c r="B677" s="37" t="s">
        <v>10</v>
      </c>
      <c r="C677" s="36">
        <v>5.51</v>
      </c>
      <c r="D677" s="110"/>
    </row>
    <row r="678" spans="1:4" ht="15.75" outlineLevel="1">
      <c r="A678" s="36" t="s">
        <v>1091</v>
      </c>
      <c r="B678" s="37" t="s">
        <v>11</v>
      </c>
      <c r="C678" s="36">
        <v>5.53</v>
      </c>
      <c r="D678" s="110"/>
    </row>
    <row r="679" spans="1:4" ht="15.75" outlineLevel="1">
      <c r="A679" s="36" t="s">
        <v>1091</v>
      </c>
      <c r="B679" s="37" t="s">
        <v>12</v>
      </c>
      <c r="C679" s="36">
        <v>5.69</v>
      </c>
      <c r="D679" s="110"/>
    </row>
    <row r="680" spans="1:4" ht="15.75" outlineLevel="1">
      <c r="A680" s="36" t="s">
        <v>1091</v>
      </c>
      <c r="B680" s="37" t="s">
        <v>14</v>
      </c>
      <c r="C680" s="38">
        <v>5.7</v>
      </c>
      <c r="D680" s="109" t="s">
        <v>1143</v>
      </c>
    </row>
    <row r="681" spans="1:4" ht="15.75" outlineLevel="1">
      <c r="A681" s="36" t="s">
        <v>1091</v>
      </c>
      <c r="B681" s="37" t="s">
        <v>15</v>
      </c>
      <c r="C681" s="36">
        <v>5.74</v>
      </c>
      <c r="D681" s="110"/>
    </row>
    <row r="682" spans="1:4" ht="15.75" outlineLevel="1">
      <c r="A682" s="36" t="s">
        <v>1091</v>
      </c>
      <c r="B682" s="37" t="s">
        <v>151</v>
      </c>
      <c r="C682" s="36">
        <v>5.59</v>
      </c>
      <c r="D682" s="110"/>
    </row>
    <row r="683" spans="1:4" ht="15.75" outlineLevel="1">
      <c r="A683" s="36" t="s">
        <v>1091</v>
      </c>
      <c r="B683" s="37" t="s">
        <v>18</v>
      </c>
      <c r="C683" s="36">
        <v>5.54</v>
      </c>
      <c r="D683" s="110"/>
    </row>
    <row r="684" spans="1:4" ht="15.75" outlineLevel="1">
      <c r="A684" s="36" t="s">
        <v>1091</v>
      </c>
      <c r="B684" s="37" t="s">
        <v>200</v>
      </c>
      <c r="C684" s="36">
        <v>5.57</v>
      </c>
      <c r="D684" s="110"/>
    </row>
    <row r="685" spans="1:4" ht="15.75" outlineLevel="1">
      <c r="A685" s="36" t="s">
        <v>1091</v>
      </c>
      <c r="B685" s="37" t="s">
        <v>20</v>
      </c>
      <c r="C685" s="36">
        <v>5.63</v>
      </c>
      <c r="D685" s="110"/>
    </row>
    <row r="686" spans="1:4" ht="15.75" outlineLevel="1">
      <c r="A686" s="36" t="s">
        <v>1091</v>
      </c>
      <c r="B686" s="37" t="s">
        <v>24</v>
      </c>
      <c r="C686" s="36">
        <v>5.47</v>
      </c>
      <c r="D686" s="110"/>
    </row>
    <row r="687" spans="1:4" ht="15.75" outlineLevel="1">
      <c r="A687" s="36" t="s">
        <v>1091</v>
      </c>
      <c r="B687" s="37" t="s">
        <v>25</v>
      </c>
      <c r="C687" s="36">
        <v>5.48</v>
      </c>
      <c r="D687" s="110"/>
    </row>
    <row r="688" spans="1:4" ht="15.75">
      <c r="A688" s="42" t="s">
        <v>1091</v>
      </c>
      <c r="B688" s="37"/>
      <c r="C688" s="36"/>
      <c r="D688" s="110"/>
    </row>
    <row r="689" spans="1:4" ht="15.75" outlineLevel="1">
      <c r="A689" s="36" t="s">
        <v>1094</v>
      </c>
      <c r="B689" s="37" t="s">
        <v>0</v>
      </c>
      <c r="C689" s="36">
        <v>5.0999999999999996</v>
      </c>
      <c r="D689" s="110"/>
    </row>
    <row r="690" spans="1:4" ht="15.75" outlineLevel="1">
      <c r="A690" s="36" t="s">
        <v>1094</v>
      </c>
      <c r="B690" s="37" t="s">
        <v>1</v>
      </c>
      <c r="C690" s="36">
        <v>5.2</v>
      </c>
      <c r="D690" s="110"/>
    </row>
    <row r="691" spans="1:4" ht="15.75" outlineLevel="1">
      <c r="A691" s="36" t="s">
        <v>1094</v>
      </c>
      <c r="B691" s="37" t="s">
        <v>182</v>
      </c>
      <c r="C691" s="36">
        <v>5.17</v>
      </c>
      <c r="D691" s="110"/>
    </row>
    <row r="692" spans="1:4" ht="15.75" outlineLevel="1">
      <c r="A692" s="36" t="s">
        <v>1094</v>
      </c>
      <c r="B692" s="37" t="s">
        <v>5</v>
      </c>
      <c r="C692" s="36">
        <v>5.26</v>
      </c>
      <c r="D692" s="110"/>
    </row>
    <row r="693" spans="1:4" ht="15.75" outlineLevel="1">
      <c r="A693" s="36" t="s">
        <v>1094</v>
      </c>
      <c r="B693" s="37" t="s">
        <v>183</v>
      </c>
      <c r="C693" s="36">
        <v>5.1029999999999998</v>
      </c>
      <c r="D693" s="110"/>
    </row>
    <row r="694" spans="1:4" ht="15.75" outlineLevel="1">
      <c r="A694" s="36" t="s">
        <v>1094</v>
      </c>
      <c r="B694" s="37" t="s">
        <v>141</v>
      </c>
      <c r="C694" s="36">
        <v>5.36</v>
      </c>
      <c r="D694" s="110"/>
    </row>
    <row r="695" spans="1:4" ht="15.75" outlineLevel="1">
      <c r="A695" s="36" t="s">
        <v>1094</v>
      </c>
      <c r="B695" s="37" t="s">
        <v>184</v>
      </c>
      <c r="C695" s="36">
        <v>5.37</v>
      </c>
      <c r="D695" s="110"/>
    </row>
    <row r="696" spans="1:4" ht="15.75" outlineLevel="1">
      <c r="A696" s="36" t="s">
        <v>1094</v>
      </c>
      <c r="B696" s="37" t="s">
        <v>185</v>
      </c>
      <c r="C696" s="36">
        <v>5.1040000000000001</v>
      </c>
      <c r="D696" s="110"/>
    </row>
    <row r="697" spans="1:4" ht="15.75" outlineLevel="1">
      <c r="A697" s="36" t="s">
        <v>1094</v>
      </c>
      <c r="B697" s="37" t="s">
        <v>186</v>
      </c>
      <c r="C697" s="36">
        <v>5.1050000000000004</v>
      </c>
      <c r="D697" s="110"/>
    </row>
    <row r="698" spans="1:4" ht="15.75" outlineLevel="1">
      <c r="A698" s="36" t="s">
        <v>1094</v>
      </c>
      <c r="B698" s="37" t="s">
        <v>187</v>
      </c>
      <c r="C698" s="36">
        <v>5.1059999999999999</v>
      </c>
      <c r="D698" s="110"/>
    </row>
    <row r="699" spans="1:4" ht="15.75" outlineLevel="1">
      <c r="A699" s="36" t="s">
        <v>1094</v>
      </c>
      <c r="B699" s="37" t="s">
        <v>188</v>
      </c>
      <c r="C699" s="36">
        <v>5.1070000000000002</v>
      </c>
      <c r="D699" s="110"/>
    </row>
    <row r="700" spans="1:4" ht="15.75" outlineLevel="1">
      <c r="A700" s="36" t="s">
        <v>1094</v>
      </c>
      <c r="B700" s="37" t="s">
        <v>915</v>
      </c>
      <c r="C700" s="36">
        <v>5.1079999999999997</v>
      </c>
      <c r="D700" s="109" t="s">
        <v>1143</v>
      </c>
    </row>
    <row r="701" spans="1:4" ht="15.75" outlineLevel="1">
      <c r="A701" s="36" t="s">
        <v>1094</v>
      </c>
      <c r="B701" s="37" t="s">
        <v>177</v>
      </c>
      <c r="C701" s="36">
        <v>5.109</v>
      </c>
      <c r="D701" s="110"/>
    </row>
    <row r="702" spans="1:4" ht="15.75" outlineLevel="1">
      <c r="A702" s="36" t="s">
        <v>1094</v>
      </c>
      <c r="B702" s="37" t="s">
        <v>190</v>
      </c>
      <c r="C702" s="39">
        <v>5.1100000000000003</v>
      </c>
      <c r="D702" s="109" t="s">
        <v>1143</v>
      </c>
    </row>
    <row r="703" spans="1:4" ht="15.75" outlineLevel="1">
      <c r="A703" s="36" t="s">
        <v>1094</v>
      </c>
      <c r="B703" s="37" t="s">
        <v>178</v>
      </c>
      <c r="C703" s="36">
        <v>5.1109999999999998</v>
      </c>
      <c r="D703" s="110"/>
    </row>
    <row r="704" spans="1:4" ht="15.75" outlineLevel="1">
      <c r="A704" s="36" t="s">
        <v>1094</v>
      </c>
      <c r="B704" s="37" t="s">
        <v>150</v>
      </c>
      <c r="C704" s="36">
        <v>5.1120000000000001</v>
      </c>
      <c r="D704" s="110"/>
    </row>
    <row r="705" spans="1:4" ht="15.75" outlineLevel="1">
      <c r="A705" s="36" t="s">
        <v>1094</v>
      </c>
      <c r="B705" s="37" t="s">
        <v>11</v>
      </c>
      <c r="C705" s="36">
        <v>5.53</v>
      </c>
      <c r="D705" s="110"/>
    </row>
    <row r="706" spans="1:4" ht="15.75" outlineLevel="1">
      <c r="A706" s="36" t="s">
        <v>1094</v>
      </c>
      <c r="B706" s="37" t="s">
        <v>191</v>
      </c>
      <c r="C706" s="36">
        <v>5.64</v>
      </c>
      <c r="D706" s="110"/>
    </row>
    <row r="707" spans="1:4" ht="15.75" outlineLevel="1">
      <c r="A707" s="36" t="s">
        <v>1094</v>
      </c>
      <c r="B707" s="37" t="s">
        <v>20</v>
      </c>
      <c r="C707" s="36">
        <v>5.63</v>
      </c>
      <c r="D707" s="110"/>
    </row>
    <row r="708" spans="1:4" ht="15.75" outlineLevel="1">
      <c r="A708" s="36" t="s">
        <v>1094</v>
      </c>
      <c r="B708" s="37" t="s">
        <v>21</v>
      </c>
      <c r="C708" s="36">
        <v>5.65</v>
      </c>
      <c r="D708" s="110"/>
    </row>
    <row r="709" spans="1:4" ht="15.75" outlineLevel="1">
      <c r="A709" s="36" t="s">
        <v>1094</v>
      </c>
      <c r="B709" s="37" t="s">
        <v>192</v>
      </c>
      <c r="C709" s="36">
        <v>5.66</v>
      </c>
      <c r="D709" s="110"/>
    </row>
    <row r="710" spans="1:4" ht="15.75" outlineLevel="1">
      <c r="A710" s="36" t="s">
        <v>1094</v>
      </c>
      <c r="B710" s="37" t="s">
        <v>22</v>
      </c>
      <c r="C710" s="36">
        <v>5.68</v>
      </c>
      <c r="D710" s="110"/>
    </row>
    <row r="711" spans="1:4" ht="15.75" outlineLevel="1">
      <c r="A711" s="36" t="s">
        <v>1094</v>
      </c>
      <c r="B711" s="37" t="s">
        <v>24</v>
      </c>
      <c r="C711" s="36">
        <v>5.47</v>
      </c>
      <c r="D711" s="110"/>
    </row>
    <row r="712" spans="1:4" ht="15.75" outlineLevel="1">
      <c r="A712" s="36" t="s">
        <v>1094</v>
      </c>
      <c r="B712" s="37" t="s">
        <v>25</v>
      </c>
      <c r="C712" s="36">
        <v>5.48</v>
      </c>
      <c r="D712" s="110"/>
    </row>
    <row r="713" spans="1:4" ht="15.75">
      <c r="A713" s="42" t="s">
        <v>1094</v>
      </c>
      <c r="B713" s="37"/>
      <c r="C713" s="36"/>
      <c r="D713" s="110"/>
    </row>
    <row r="714" spans="1:4" ht="15.75" outlineLevel="1">
      <c r="A714" s="36" t="s">
        <v>1201</v>
      </c>
      <c r="B714" s="37" t="s">
        <v>0</v>
      </c>
      <c r="C714" s="36">
        <v>5.0999999999999996</v>
      </c>
      <c r="D714" s="110"/>
    </row>
    <row r="715" spans="1:4" ht="15.75" outlineLevel="1">
      <c r="A715" s="36" t="s">
        <v>1201</v>
      </c>
      <c r="B715" s="37" t="s">
        <v>1</v>
      </c>
      <c r="C715" s="36">
        <v>5.2</v>
      </c>
      <c r="D715" s="110"/>
    </row>
    <row r="716" spans="1:4" ht="15.75" outlineLevel="1">
      <c r="A716" s="36" t="s">
        <v>1201</v>
      </c>
      <c r="B716" s="37" t="s">
        <v>2</v>
      </c>
      <c r="C716" s="36">
        <v>5.3</v>
      </c>
      <c r="D716" s="110"/>
    </row>
    <row r="717" spans="1:4" ht="15.75" outlineLevel="1">
      <c r="A717" s="36" t="s">
        <v>1201</v>
      </c>
      <c r="B717" s="37" t="s">
        <v>173</v>
      </c>
      <c r="C717" s="36">
        <v>5.6</v>
      </c>
      <c r="D717" s="110"/>
    </row>
    <row r="718" spans="1:4" ht="15.75" outlineLevel="1">
      <c r="A718" s="36" t="s">
        <v>1201</v>
      </c>
      <c r="B718" s="37" t="s">
        <v>1145</v>
      </c>
      <c r="C718" s="38">
        <v>5.0999999999999996</v>
      </c>
      <c r="D718" s="110"/>
    </row>
    <row r="719" spans="1:4" ht="15.75" outlineLevel="1">
      <c r="A719" s="36" t="s">
        <v>1201</v>
      </c>
      <c r="B719" s="37" t="s">
        <v>1144</v>
      </c>
      <c r="C719" s="36">
        <v>5.14</v>
      </c>
      <c r="D719" s="110"/>
    </row>
    <row r="720" spans="1:4" ht="15.75" outlineLevel="1">
      <c r="A720" s="36" t="s">
        <v>1201</v>
      </c>
      <c r="B720" s="37" t="s">
        <v>4</v>
      </c>
      <c r="C720" s="36">
        <v>5.19</v>
      </c>
      <c r="D720" s="110"/>
    </row>
    <row r="721" spans="1:4" ht="15.75" outlineLevel="1">
      <c r="A721" s="36" t="s">
        <v>1201</v>
      </c>
      <c r="B721" s="37" t="s">
        <v>175</v>
      </c>
      <c r="C721" s="36">
        <v>5.24</v>
      </c>
      <c r="D721" s="110"/>
    </row>
    <row r="722" spans="1:4" ht="15.75" outlineLevel="1">
      <c r="A722" s="36" t="s">
        <v>1201</v>
      </c>
      <c r="B722" s="37" t="s">
        <v>5</v>
      </c>
      <c r="C722" s="36">
        <v>5.26</v>
      </c>
      <c r="D722" s="110"/>
    </row>
    <row r="723" spans="1:4" ht="15.75" outlineLevel="1">
      <c r="A723" s="36" t="s">
        <v>1201</v>
      </c>
      <c r="B723" s="37" t="s">
        <v>6</v>
      </c>
      <c r="C723" s="36">
        <v>5.27</v>
      </c>
      <c r="D723" s="110"/>
    </row>
    <row r="724" spans="1:4" ht="15.75" outlineLevel="1">
      <c r="A724" s="36" t="s">
        <v>1201</v>
      </c>
      <c r="B724" s="37" t="s">
        <v>7</v>
      </c>
      <c r="C724" s="36">
        <v>5.28</v>
      </c>
      <c r="D724" s="110"/>
    </row>
    <row r="725" spans="1:4" ht="15.75" outlineLevel="1">
      <c r="A725" s="36" t="s">
        <v>1201</v>
      </c>
      <c r="B725" s="37" t="s">
        <v>176</v>
      </c>
      <c r="C725" s="36">
        <v>5.31</v>
      </c>
      <c r="D725" s="110"/>
    </row>
    <row r="726" spans="1:4" ht="15.75" outlineLevel="1">
      <c r="A726" s="36" t="s">
        <v>1201</v>
      </c>
      <c r="B726" s="37" t="s">
        <v>141</v>
      </c>
      <c r="C726" s="36">
        <v>5.36</v>
      </c>
      <c r="D726" s="110"/>
    </row>
    <row r="727" spans="1:4" ht="15.75" outlineLevel="1">
      <c r="A727" s="36" t="s">
        <v>1201</v>
      </c>
      <c r="B727" s="37" t="s">
        <v>11</v>
      </c>
      <c r="C727" s="36">
        <v>5.53</v>
      </c>
      <c r="D727" s="110"/>
    </row>
    <row r="728" spans="1:4" ht="15.75" outlineLevel="1">
      <c r="A728" s="36" t="s">
        <v>1201</v>
      </c>
      <c r="B728" s="37" t="s">
        <v>177</v>
      </c>
      <c r="C728" s="36">
        <v>5.109</v>
      </c>
      <c r="D728" s="110"/>
    </row>
    <row r="729" spans="1:4" ht="15.75" outlineLevel="1">
      <c r="A729" s="36" t="s">
        <v>1201</v>
      </c>
      <c r="B729" s="37" t="s">
        <v>178</v>
      </c>
      <c r="C729" s="36">
        <v>5.1109999999999998</v>
      </c>
      <c r="D729" s="110"/>
    </row>
    <row r="730" spans="1:4" ht="15.75" outlineLevel="1">
      <c r="A730" s="36" t="s">
        <v>1201</v>
      </c>
      <c r="B730" s="37" t="s">
        <v>150</v>
      </c>
      <c r="C730" s="36">
        <v>5.1120000000000001</v>
      </c>
      <c r="D730" s="110"/>
    </row>
    <row r="731" spans="1:4" ht="15.75" outlineLevel="1">
      <c r="A731" s="36" t="s">
        <v>1201</v>
      </c>
      <c r="B731" s="37" t="s">
        <v>1159</v>
      </c>
      <c r="C731" s="36">
        <v>5.1130000000000004</v>
      </c>
      <c r="D731" s="110"/>
    </row>
    <row r="732" spans="1:4" ht="15.75" outlineLevel="1">
      <c r="A732" s="36" t="s">
        <v>1201</v>
      </c>
      <c r="B732" s="37" t="s">
        <v>180</v>
      </c>
      <c r="C732" s="36">
        <v>5.117</v>
      </c>
      <c r="D732" s="110"/>
    </row>
    <row r="733" spans="1:4" ht="15.75" outlineLevel="1">
      <c r="A733" s="36" t="s">
        <v>1201</v>
      </c>
      <c r="B733" s="37" t="s">
        <v>181</v>
      </c>
      <c r="C733" s="36">
        <v>5.67</v>
      </c>
      <c r="D733" s="110"/>
    </row>
    <row r="734" spans="1:4" ht="15.75" outlineLevel="1">
      <c r="A734" s="36" t="s">
        <v>1201</v>
      </c>
      <c r="B734" s="37" t="s">
        <v>20</v>
      </c>
      <c r="C734" s="36">
        <v>5.63</v>
      </c>
      <c r="D734" s="110"/>
    </row>
    <row r="735" spans="1:4" ht="15.75" outlineLevel="1">
      <c r="A735" s="36" t="s">
        <v>1201</v>
      </c>
      <c r="B735" s="37" t="s">
        <v>24</v>
      </c>
      <c r="C735" s="36">
        <v>5.47</v>
      </c>
      <c r="D735" s="110"/>
    </row>
    <row r="736" spans="1:4" ht="15.75" outlineLevel="1">
      <c r="A736" s="36" t="s">
        <v>1201</v>
      </c>
      <c r="B736" s="37" t="s">
        <v>25</v>
      </c>
      <c r="C736" s="36">
        <v>5.48</v>
      </c>
      <c r="D736" s="110"/>
    </row>
    <row r="737" spans="1:4" ht="15.75">
      <c r="A737" s="42" t="s">
        <v>1202</v>
      </c>
      <c r="B737" s="37"/>
      <c r="C737" s="36"/>
      <c r="D737" s="110"/>
    </row>
    <row r="738" spans="1:4" ht="15.75" outlineLevel="1">
      <c r="A738" s="36" t="s">
        <v>1096</v>
      </c>
      <c r="B738" s="37" t="s">
        <v>0</v>
      </c>
      <c r="C738" s="36">
        <v>5.0999999999999996</v>
      </c>
      <c r="D738" s="110"/>
    </row>
    <row r="739" spans="1:4" ht="15.75" outlineLevel="1">
      <c r="A739" s="36" t="s">
        <v>1096</v>
      </c>
      <c r="B739" s="37" t="s">
        <v>1</v>
      </c>
      <c r="C739" s="36">
        <v>5.2</v>
      </c>
      <c r="D739" s="110"/>
    </row>
    <row r="740" spans="1:4" ht="15.75" outlineLevel="1">
      <c r="A740" s="36" t="s">
        <v>1096</v>
      </c>
      <c r="B740" s="37" t="s">
        <v>147</v>
      </c>
      <c r="C740" s="36">
        <v>5.18</v>
      </c>
      <c r="D740" s="110"/>
    </row>
    <row r="741" spans="1:4" ht="15.75" outlineLevel="1">
      <c r="A741" s="36" t="s">
        <v>1096</v>
      </c>
      <c r="B741" s="37" t="s">
        <v>148</v>
      </c>
      <c r="C741" s="36">
        <v>5.23</v>
      </c>
      <c r="D741" s="110"/>
    </row>
    <row r="742" spans="1:4" ht="15.75" outlineLevel="1">
      <c r="A742" s="36" t="s">
        <v>1096</v>
      </c>
      <c r="B742" s="37" t="s">
        <v>5</v>
      </c>
      <c r="C742" s="36">
        <v>5.26</v>
      </c>
      <c r="D742" s="110"/>
    </row>
    <row r="743" spans="1:4" ht="15.75" outlineLevel="1">
      <c r="A743" s="36" t="s">
        <v>1096</v>
      </c>
      <c r="B743" s="37" t="s">
        <v>6</v>
      </c>
      <c r="C743" s="36">
        <v>5.27</v>
      </c>
      <c r="D743" s="110"/>
    </row>
    <row r="744" spans="1:4" ht="15.75" outlineLevel="1">
      <c r="A744" s="36" t="s">
        <v>1096</v>
      </c>
      <c r="B744" s="37" t="s">
        <v>7</v>
      </c>
      <c r="C744" s="36">
        <v>5.28</v>
      </c>
      <c r="D744" s="110"/>
    </row>
    <row r="745" spans="1:4" ht="15.75" outlineLevel="1">
      <c r="A745" s="36" t="s">
        <v>1096</v>
      </c>
      <c r="B745" s="37" t="s">
        <v>141</v>
      </c>
      <c r="C745" s="36">
        <v>5.36</v>
      </c>
      <c r="D745" s="110"/>
    </row>
    <row r="746" spans="1:4" ht="15.75" outlineLevel="1">
      <c r="A746" s="36" t="s">
        <v>1096</v>
      </c>
      <c r="B746" s="37" t="s">
        <v>149</v>
      </c>
      <c r="C746" s="36">
        <v>5.44</v>
      </c>
      <c r="D746" s="110"/>
    </row>
    <row r="747" spans="1:4" ht="15.75" outlineLevel="1">
      <c r="A747" s="36" t="s">
        <v>1096</v>
      </c>
      <c r="B747" s="37" t="s">
        <v>11</v>
      </c>
      <c r="C747" s="36">
        <v>5.53</v>
      </c>
      <c r="D747" s="110"/>
    </row>
    <row r="748" spans="1:4" ht="15.75" outlineLevel="1">
      <c r="A748" s="36" t="s">
        <v>1096</v>
      </c>
      <c r="B748" s="37" t="s">
        <v>150</v>
      </c>
      <c r="C748" s="36">
        <v>5.1120000000000001</v>
      </c>
      <c r="D748" s="110"/>
    </row>
    <row r="749" spans="1:4" ht="15.75" outlineLevel="1">
      <c r="A749" s="36" t="s">
        <v>1096</v>
      </c>
      <c r="B749" s="37" t="s">
        <v>151</v>
      </c>
      <c r="C749" s="36">
        <v>5.59</v>
      </c>
      <c r="D749" s="110"/>
    </row>
    <row r="750" spans="1:4" ht="15.75" outlineLevel="1">
      <c r="A750" s="36" t="s">
        <v>1096</v>
      </c>
      <c r="B750" s="37" t="s">
        <v>18</v>
      </c>
      <c r="C750" s="36">
        <v>5.54</v>
      </c>
      <c r="D750" s="110"/>
    </row>
    <row r="751" spans="1:4" ht="15.75" outlineLevel="1">
      <c r="A751" s="36" t="s">
        <v>1096</v>
      </c>
      <c r="B751" s="37" t="s">
        <v>20</v>
      </c>
      <c r="C751" s="36">
        <v>5.63</v>
      </c>
      <c r="D751" s="110"/>
    </row>
    <row r="752" spans="1:4" ht="15.75" outlineLevel="1">
      <c r="A752" s="36" t="s">
        <v>1096</v>
      </c>
      <c r="B752" s="37" t="s">
        <v>21</v>
      </c>
      <c r="C752" s="36">
        <v>5.65</v>
      </c>
      <c r="D752" s="110"/>
    </row>
    <row r="753" spans="1:4" ht="15.75" outlineLevel="1">
      <c r="A753" s="36" t="s">
        <v>1096</v>
      </c>
      <c r="B753" s="37" t="s">
        <v>22</v>
      </c>
      <c r="C753" s="36">
        <v>5.68</v>
      </c>
      <c r="D753" s="110"/>
    </row>
    <row r="754" spans="1:4" ht="15.75" outlineLevel="1">
      <c r="A754" s="36" t="s">
        <v>1096</v>
      </c>
      <c r="B754" s="37" t="s">
        <v>24</v>
      </c>
      <c r="C754" s="36">
        <v>5.47</v>
      </c>
      <c r="D754" s="110"/>
    </row>
    <row r="755" spans="1:4" ht="15.75" outlineLevel="1">
      <c r="A755" s="36" t="s">
        <v>1096</v>
      </c>
      <c r="B755" s="37" t="s">
        <v>25</v>
      </c>
      <c r="C755" s="36">
        <v>5.48</v>
      </c>
      <c r="D755" s="110"/>
    </row>
    <row r="756" spans="1:4" ht="15.75">
      <c r="A756" s="42" t="s">
        <v>1096</v>
      </c>
      <c r="B756" s="37"/>
      <c r="C756" s="36"/>
      <c r="D756" s="110"/>
    </row>
    <row r="757" spans="1:4" ht="15.75" outlineLevel="1">
      <c r="A757" s="36" t="s">
        <v>1203</v>
      </c>
      <c r="B757" s="37" t="s">
        <v>0</v>
      </c>
      <c r="C757" s="36">
        <v>5.0999999999999996</v>
      </c>
      <c r="D757" s="110"/>
    </row>
    <row r="758" spans="1:4" ht="15.75" outlineLevel="1">
      <c r="A758" s="36" t="s">
        <v>1203</v>
      </c>
      <c r="B758" s="37" t="s">
        <v>1</v>
      </c>
      <c r="C758" s="36">
        <v>5.2</v>
      </c>
      <c r="D758" s="110"/>
    </row>
    <row r="759" spans="1:4" ht="15.75" outlineLevel="1">
      <c r="A759" s="36" t="s">
        <v>1203</v>
      </c>
      <c r="B759" s="37" t="s">
        <v>136</v>
      </c>
      <c r="C759" s="36">
        <v>5.9</v>
      </c>
      <c r="D759" s="109" t="s">
        <v>1143</v>
      </c>
    </row>
    <row r="760" spans="1:4" ht="15.75" outlineLevel="1">
      <c r="A760" s="36" t="s">
        <v>1203</v>
      </c>
      <c r="B760" s="37" t="s">
        <v>137</v>
      </c>
      <c r="C760" s="36">
        <v>5.13</v>
      </c>
      <c r="D760" s="110"/>
    </row>
    <row r="761" spans="1:4" ht="15.75" outlineLevel="1">
      <c r="A761" s="36" t="s">
        <v>1203</v>
      </c>
      <c r="B761" s="37" t="s">
        <v>138</v>
      </c>
      <c r="C761" s="36">
        <v>5.16</v>
      </c>
      <c r="D761" s="109" t="s">
        <v>1143</v>
      </c>
    </row>
    <row r="762" spans="1:4" ht="15.75" outlineLevel="1">
      <c r="A762" s="36" t="s">
        <v>1203</v>
      </c>
      <c r="B762" s="37" t="s">
        <v>139</v>
      </c>
      <c r="C762" s="36">
        <v>5.22</v>
      </c>
      <c r="D762" s="109"/>
    </row>
    <row r="763" spans="1:4" ht="15.75" outlineLevel="1">
      <c r="A763" s="36" t="s">
        <v>1203</v>
      </c>
      <c r="B763" s="37" t="s">
        <v>140</v>
      </c>
      <c r="C763" s="36">
        <v>5.42</v>
      </c>
      <c r="D763" s="110"/>
    </row>
    <row r="764" spans="1:4" ht="15.75" outlineLevel="1">
      <c r="A764" s="36" t="s">
        <v>1203</v>
      </c>
      <c r="B764" s="37" t="s">
        <v>6</v>
      </c>
      <c r="C764" s="36">
        <v>5.27</v>
      </c>
      <c r="D764" s="110"/>
    </row>
    <row r="765" spans="1:4" ht="15.75" outlineLevel="1">
      <c r="A765" s="36" t="s">
        <v>1203</v>
      </c>
      <c r="B765" s="37" t="s">
        <v>7</v>
      </c>
      <c r="C765" s="36">
        <v>5.28</v>
      </c>
      <c r="D765" s="109" t="s">
        <v>1143</v>
      </c>
    </row>
    <row r="766" spans="1:4" ht="15.75" outlineLevel="1">
      <c r="A766" s="36" t="s">
        <v>1203</v>
      </c>
      <c r="B766" s="37" t="s">
        <v>141</v>
      </c>
      <c r="C766" s="36">
        <v>5.36</v>
      </c>
      <c r="D766" s="110"/>
    </row>
    <row r="767" spans="1:4" ht="15.75" outlineLevel="1">
      <c r="A767" s="36" t="s">
        <v>1203</v>
      </c>
      <c r="B767" s="37" t="s">
        <v>9</v>
      </c>
      <c r="C767" s="36">
        <v>5.49</v>
      </c>
      <c r="D767" s="110"/>
    </row>
    <row r="768" spans="1:4" ht="15.75" outlineLevel="1">
      <c r="A768" s="36" t="s">
        <v>1203</v>
      </c>
      <c r="B768" s="37" t="s">
        <v>10</v>
      </c>
      <c r="C768" s="36">
        <v>5.51</v>
      </c>
      <c r="D768" s="110"/>
    </row>
    <row r="769" spans="1:4" ht="15.75" outlineLevel="1">
      <c r="A769" s="36" t="s">
        <v>1203</v>
      </c>
      <c r="B769" s="37" t="s">
        <v>1192</v>
      </c>
      <c r="C769" s="36">
        <v>5.52</v>
      </c>
      <c r="D769" s="110"/>
    </row>
    <row r="770" spans="1:4" ht="15.75" outlineLevel="1">
      <c r="A770" s="36" t="s">
        <v>1203</v>
      </c>
      <c r="B770" s="37" t="s">
        <v>11</v>
      </c>
      <c r="C770" s="36">
        <v>5.53</v>
      </c>
      <c r="D770" s="110"/>
    </row>
    <row r="771" spans="1:4" ht="15.75" outlineLevel="1">
      <c r="A771" s="36" t="s">
        <v>1203</v>
      </c>
      <c r="B771" s="37" t="s">
        <v>18</v>
      </c>
      <c r="C771" s="36">
        <v>5.54</v>
      </c>
      <c r="D771" s="110"/>
    </row>
    <row r="772" spans="1:4" ht="15.75" outlineLevel="1">
      <c r="A772" s="36" t="s">
        <v>1203</v>
      </c>
      <c r="B772" s="37" t="s">
        <v>14</v>
      </c>
      <c r="C772" s="38">
        <v>5.7</v>
      </c>
      <c r="D772" s="110"/>
    </row>
    <row r="773" spans="1:4" ht="15.75" outlineLevel="1">
      <c r="A773" s="36" t="s">
        <v>1203</v>
      </c>
      <c r="B773" s="37" t="s">
        <v>143</v>
      </c>
      <c r="C773" s="36">
        <v>5.71</v>
      </c>
      <c r="D773" s="110"/>
    </row>
    <row r="774" spans="1:4" ht="15.75" outlineLevel="1">
      <c r="A774" s="36" t="s">
        <v>1203</v>
      </c>
      <c r="B774" s="37" t="s">
        <v>144</v>
      </c>
      <c r="C774" s="38">
        <v>5.9</v>
      </c>
      <c r="D774" s="110"/>
    </row>
    <row r="775" spans="1:4" ht="15.75" outlineLevel="1">
      <c r="A775" s="36" t="s">
        <v>1203</v>
      </c>
      <c r="B775" s="37" t="s">
        <v>145</v>
      </c>
      <c r="C775" s="36">
        <v>5.91</v>
      </c>
      <c r="D775" s="110"/>
    </row>
    <row r="776" spans="1:4" ht="15.75" outlineLevel="1">
      <c r="A776" s="36" t="s">
        <v>1203</v>
      </c>
      <c r="B776" s="37" t="s">
        <v>146</v>
      </c>
      <c r="C776" s="36">
        <v>5.97</v>
      </c>
      <c r="D776" s="110"/>
    </row>
    <row r="777" spans="1:4" ht="15.75">
      <c r="A777" s="42" t="s">
        <v>1203</v>
      </c>
      <c r="B777" s="37"/>
      <c r="C777" s="36"/>
      <c r="D777" s="110"/>
    </row>
    <row r="778" spans="1:4" ht="15.75" outlineLevel="1">
      <c r="A778" s="36" t="s">
        <v>1130</v>
      </c>
      <c r="B778" s="37" t="s">
        <v>0</v>
      </c>
      <c r="C778" s="36">
        <v>5.0999999999999996</v>
      </c>
      <c r="D778" s="110"/>
    </row>
    <row r="779" spans="1:4" ht="15.75" outlineLevel="1">
      <c r="A779" s="36" t="s">
        <v>1130</v>
      </c>
      <c r="B779" s="37" t="s">
        <v>1</v>
      </c>
      <c r="C779" s="36">
        <v>5.2</v>
      </c>
      <c r="D779" s="110"/>
    </row>
    <row r="780" spans="1:4" ht="15.75" outlineLevel="1">
      <c r="A780" s="36" t="s">
        <v>1130</v>
      </c>
      <c r="B780" s="37" t="s">
        <v>5</v>
      </c>
      <c r="C780" s="36">
        <v>5.26</v>
      </c>
      <c r="D780" s="110"/>
    </row>
    <row r="781" spans="1:4" ht="15.75" outlineLevel="1">
      <c r="A781" s="36" t="s">
        <v>1130</v>
      </c>
      <c r="B781" s="37" t="s">
        <v>227</v>
      </c>
      <c r="C781" s="36">
        <v>5.5</v>
      </c>
      <c r="D781" s="110"/>
    </row>
    <row r="782" spans="1:4" ht="15.75" outlineLevel="1">
      <c r="A782" s="36" t="s">
        <v>1130</v>
      </c>
      <c r="B782" s="37" t="s">
        <v>228</v>
      </c>
      <c r="C782" s="36">
        <v>5.8</v>
      </c>
      <c r="D782" s="109" t="s">
        <v>1143</v>
      </c>
    </row>
    <row r="783" spans="1:4" ht="15.75" outlineLevel="1">
      <c r="A783" s="36" t="s">
        <v>1130</v>
      </c>
      <c r="B783" s="37" t="s">
        <v>229</v>
      </c>
      <c r="C783" s="36">
        <v>5.12</v>
      </c>
      <c r="D783" s="36"/>
    </row>
    <row r="784" spans="1:4" ht="15.75" outlineLevel="1">
      <c r="A784" s="36" t="s">
        <v>1130</v>
      </c>
      <c r="B784" s="37" t="s">
        <v>230</v>
      </c>
      <c r="C784" s="36">
        <v>5.15</v>
      </c>
      <c r="D784" s="36"/>
    </row>
    <row r="785" spans="1:4" ht="15.75" outlineLevel="1">
      <c r="A785" s="36" t="s">
        <v>1130</v>
      </c>
      <c r="B785" s="37" t="s">
        <v>231</v>
      </c>
      <c r="C785" s="38">
        <v>5.2</v>
      </c>
      <c r="D785" s="109"/>
    </row>
    <row r="786" spans="1:4" ht="15.75" outlineLevel="1">
      <c r="A786" s="36" t="s">
        <v>1130</v>
      </c>
      <c r="B786" s="37" t="s">
        <v>232</v>
      </c>
      <c r="C786" s="36">
        <v>5.25</v>
      </c>
      <c r="D786" s="36"/>
    </row>
    <row r="787" spans="1:4" ht="15.75" outlineLevel="1">
      <c r="A787" s="36" t="s">
        <v>1130</v>
      </c>
      <c r="B787" s="37" t="s">
        <v>11</v>
      </c>
      <c r="C787" s="36">
        <v>5.53</v>
      </c>
      <c r="D787" s="36"/>
    </row>
    <row r="788" spans="1:4" ht="15.75" outlineLevel="1">
      <c r="A788" s="36" t="s">
        <v>1130</v>
      </c>
      <c r="B788" s="37" t="s">
        <v>233</v>
      </c>
      <c r="C788" s="38">
        <v>5.4</v>
      </c>
      <c r="D788" s="36"/>
    </row>
    <row r="789" spans="1:4" ht="31.5" outlineLevel="1">
      <c r="A789" s="36" t="s">
        <v>1130</v>
      </c>
      <c r="B789" s="37" t="s">
        <v>234</v>
      </c>
      <c r="C789" s="36">
        <v>5.92</v>
      </c>
      <c r="D789" s="36"/>
    </row>
    <row r="790" spans="1:4" ht="15.75" outlineLevel="1">
      <c r="A790" s="36" t="s">
        <v>1130</v>
      </c>
      <c r="B790" s="37" t="s">
        <v>235</v>
      </c>
      <c r="C790" s="36">
        <v>5.93</v>
      </c>
      <c r="D790" s="36"/>
    </row>
    <row r="791" spans="1:4" ht="31.5" outlineLevel="1">
      <c r="A791" s="36" t="s">
        <v>1130</v>
      </c>
      <c r="B791" s="37" t="s">
        <v>236</v>
      </c>
      <c r="C791" s="36">
        <v>5.94</v>
      </c>
      <c r="D791" s="36"/>
    </row>
    <row r="792" spans="1:4" ht="15.75" outlineLevel="1">
      <c r="A792" s="36" t="s">
        <v>1130</v>
      </c>
      <c r="B792" s="37" t="s">
        <v>237</v>
      </c>
      <c r="C792" s="36">
        <v>5.95</v>
      </c>
      <c r="D792" s="36"/>
    </row>
    <row r="793" spans="1:4" ht="15.75" outlineLevel="1">
      <c r="A793" s="36" t="s">
        <v>1130</v>
      </c>
      <c r="B793" s="37" t="s">
        <v>238</v>
      </c>
      <c r="C793" s="36">
        <v>5.98</v>
      </c>
      <c r="D793" s="36"/>
    </row>
    <row r="794" spans="1:4" ht="15.75" outlineLevel="1">
      <c r="A794" s="36" t="s">
        <v>1130</v>
      </c>
      <c r="B794" s="37" t="s">
        <v>239</v>
      </c>
      <c r="C794" s="36">
        <v>5.96</v>
      </c>
      <c r="D794" s="36"/>
    </row>
    <row r="795" spans="1:4" ht="15.75">
      <c r="A795" s="42" t="s">
        <v>1130</v>
      </c>
      <c r="B795" s="37"/>
      <c r="C795" s="36"/>
      <c r="D795" s="36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21"/>
  <sheetViews>
    <sheetView rightToLeft="1" workbookViewId="0"/>
  </sheetViews>
  <sheetFormatPr defaultRowHeight="14.25"/>
  <cols>
    <col min="1" max="1" width="63.25" bestFit="1" customWidth="1"/>
    <col min="2" max="2" width="13.75" customWidth="1"/>
  </cols>
  <sheetData>
    <row r="2" spans="1:2" ht="15">
      <c r="A2" s="23" t="s">
        <v>1220</v>
      </c>
    </row>
    <row r="3" spans="1:2">
      <c r="A3" t="s">
        <v>1221</v>
      </c>
      <c r="B3" t="s">
        <v>1222</v>
      </c>
    </row>
    <row r="4" spans="1:2">
      <c r="A4" t="s">
        <v>214</v>
      </c>
      <c r="B4" t="s">
        <v>1223</v>
      </c>
    </row>
    <row r="5" spans="1:2">
      <c r="A5" t="s">
        <v>1224</v>
      </c>
      <c r="B5" t="s">
        <v>1225</v>
      </c>
    </row>
    <row r="6" spans="1:2">
      <c r="A6" t="s">
        <v>1226</v>
      </c>
      <c r="B6" t="s">
        <v>1227</v>
      </c>
    </row>
    <row r="7" spans="1:2">
      <c r="A7" t="s">
        <v>1228</v>
      </c>
      <c r="B7" t="s">
        <v>1229</v>
      </c>
    </row>
    <row r="8" spans="1:2">
      <c r="A8" t="s">
        <v>1230</v>
      </c>
      <c r="B8" t="s">
        <v>1231</v>
      </c>
    </row>
    <row r="10" spans="1:2" ht="15">
      <c r="A10" s="23" t="s">
        <v>1232</v>
      </c>
    </row>
    <row r="11" spans="1:2">
      <c r="A11" t="s">
        <v>1233</v>
      </c>
    </row>
    <row r="12" spans="1:2">
      <c r="A12" t="s">
        <v>1234</v>
      </c>
      <c r="B12" t="s">
        <v>1235</v>
      </c>
    </row>
    <row r="14" spans="1:2">
      <c r="A14" s="35"/>
    </row>
    <row r="15" spans="1:2" ht="15">
      <c r="A15" s="23" t="s">
        <v>1236</v>
      </c>
    </row>
    <row r="16" spans="1:2">
      <c r="A16" s="33" t="s">
        <v>1237</v>
      </c>
    </row>
    <row r="17" spans="1:2">
      <c r="A17" s="33" t="s">
        <v>1238</v>
      </c>
    </row>
    <row r="18" spans="1:2">
      <c r="A18" s="33" t="s">
        <v>1239</v>
      </c>
    </row>
    <row r="19" spans="1:2">
      <c r="A19" s="33" t="s">
        <v>1240</v>
      </c>
    </row>
    <row r="21" spans="1:2" ht="15">
      <c r="A21" s="34" t="s">
        <v>1241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23" t="s">
        <v>1242</v>
      </c>
      <c r="B34" s="23" t="s">
        <v>347</v>
      </c>
    </row>
    <row r="35" spans="1:2">
      <c r="A35" s="15" t="s">
        <v>1243</v>
      </c>
      <c r="B35" s="41">
        <v>512310509</v>
      </c>
    </row>
    <row r="36" spans="1:2">
      <c r="A36" t="s">
        <v>1244</v>
      </c>
      <c r="B36" s="41">
        <v>513910703</v>
      </c>
    </row>
    <row r="37" spans="1:2">
      <c r="A37" t="s">
        <v>1245</v>
      </c>
      <c r="B37" s="41">
        <v>512304882</v>
      </c>
    </row>
    <row r="38" spans="1:2">
      <c r="A38" t="s">
        <v>1246</v>
      </c>
      <c r="B38" s="41">
        <v>520030677</v>
      </c>
    </row>
    <row r="39" spans="1:2">
      <c r="A39" t="s">
        <v>1247</v>
      </c>
      <c r="B39" s="41">
        <v>513621110</v>
      </c>
    </row>
    <row r="40" spans="1:2">
      <c r="A40" t="s">
        <v>1248</v>
      </c>
      <c r="B40" s="15">
        <v>513173393</v>
      </c>
    </row>
    <row r="41" spans="1:2">
      <c r="A41" t="s">
        <v>1249</v>
      </c>
      <c r="B41" s="15">
        <v>511880460</v>
      </c>
    </row>
    <row r="42" spans="1:2">
      <c r="A42" t="s">
        <v>1250</v>
      </c>
      <c r="B42" s="15">
        <v>510773922</v>
      </c>
    </row>
    <row r="43" spans="1:2">
      <c r="A43" t="s">
        <v>1251</v>
      </c>
      <c r="B43">
        <v>520021916</v>
      </c>
    </row>
    <row r="44" spans="1:2">
      <c r="A44" t="s">
        <v>1252</v>
      </c>
      <c r="B44">
        <v>520044025</v>
      </c>
    </row>
    <row r="45" spans="1:2">
      <c r="A45" t="s">
        <v>1253</v>
      </c>
      <c r="B45">
        <v>570003152</v>
      </c>
    </row>
    <row r="46" spans="1:2">
      <c r="A46" t="s">
        <v>1254</v>
      </c>
      <c r="B46" s="15">
        <v>520023094</v>
      </c>
    </row>
    <row r="47" spans="1:2">
      <c r="A47" t="s">
        <v>1255</v>
      </c>
      <c r="B47" s="15">
        <v>512711409</v>
      </c>
    </row>
    <row r="48" spans="1:2">
      <c r="A48" t="s">
        <v>1256</v>
      </c>
      <c r="B48">
        <v>515859379</v>
      </c>
    </row>
    <row r="49" spans="1:2">
      <c r="A49" t="s">
        <v>1257</v>
      </c>
      <c r="B49" s="15">
        <v>520030990</v>
      </c>
    </row>
    <row r="50" spans="1:2">
      <c r="A50" t="s">
        <v>1258</v>
      </c>
      <c r="B50" s="15">
        <v>520028812</v>
      </c>
    </row>
    <row r="51" spans="1:2">
      <c r="A51" t="s">
        <v>1259</v>
      </c>
      <c r="B51" s="15">
        <v>520034968</v>
      </c>
    </row>
    <row r="52" spans="1:2">
      <c r="A52" t="s">
        <v>1260</v>
      </c>
      <c r="B52" s="15">
        <v>520031824</v>
      </c>
    </row>
    <row r="53" spans="1:2">
      <c r="A53" t="s">
        <v>1261</v>
      </c>
      <c r="B53" s="15">
        <v>520005497</v>
      </c>
    </row>
    <row r="54" spans="1:2">
      <c r="A54" t="s">
        <v>1262</v>
      </c>
      <c r="B54" s="15">
        <v>520022518</v>
      </c>
    </row>
    <row r="55" spans="1:2">
      <c r="A55" t="s">
        <v>1263</v>
      </c>
      <c r="B55" s="15">
        <v>520028556</v>
      </c>
    </row>
    <row r="56" spans="1:2">
      <c r="A56" t="s">
        <v>1264</v>
      </c>
      <c r="B56" s="15">
        <v>520032269</v>
      </c>
    </row>
    <row r="57" spans="1:2">
      <c r="A57" t="s">
        <v>1265</v>
      </c>
      <c r="B57" s="15">
        <v>520027954</v>
      </c>
    </row>
    <row r="58" spans="1:2">
      <c r="A58" t="s">
        <v>1266</v>
      </c>
      <c r="B58">
        <v>520029620</v>
      </c>
    </row>
    <row r="59" spans="1:2">
      <c r="A59" t="s">
        <v>1267</v>
      </c>
      <c r="B59" s="15">
        <v>520028861</v>
      </c>
    </row>
    <row r="60" spans="1:2">
      <c r="A60" t="s">
        <v>1268</v>
      </c>
      <c r="B60" s="15">
        <v>520030743</v>
      </c>
    </row>
    <row r="61" spans="1:2">
      <c r="A61" t="s">
        <v>1269</v>
      </c>
      <c r="B61">
        <v>520042177</v>
      </c>
    </row>
    <row r="62" spans="1:2">
      <c r="A62" t="s">
        <v>1270</v>
      </c>
      <c r="B62" s="15">
        <v>515447035</v>
      </c>
    </row>
    <row r="63" spans="1:2">
      <c r="A63" t="s">
        <v>1271</v>
      </c>
      <c r="B63" s="15">
        <v>520042607</v>
      </c>
    </row>
    <row r="64" spans="1:2">
      <c r="A64" t="s">
        <v>1272</v>
      </c>
      <c r="B64" s="15">
        <v>513026484</v>
      </c>
    </row>
    <row r="65" spans="1:2">
      <c r="A65" t="s">
        <v>1273</v>
      </c>
      <c r="B65">
        <v>520023185</v>
      </c>
    </row>
    <row r="66" spans="1:2">
      <c r="A66" t="s">
        <v>1274</v>
      </c>
      <c r="B66">
        <v>520004078</v>
      </c>
    </row>
    <row r="67" spans="1:2">
      <c r="A67" t="s">
        <v>1275</v>
      </c>
      <c r="B67" s="15">
        <v>512267592</v>
      </c>
    </row>
    <row r="68" spans="1:2">
      <c r="A68" t="s">
        <v>1276</v>
      </c>
      <c r="B68">
        <v>515764868</v>
      </c>
    </row>
    <row r="69" spans="1:2">
      <c r="A69" t="s">
        <v>1277</v>
      </c>
      <c r="B69" s="15">
        <v>513452003</v>
      </c>
    </row>
    <row r="70" spans="1:2">
      <c r="A70" t="s">
        <v>1278</v>
      </c>
      <c r="B70" s="15">
        <v>510142789</v>
      </c>
    </row>
    <row r="71" spans="1:2">
      <c r="A71" t="s">
        <v>1279</v>
      </c>
      <c r="B71" s="15">
        <v>510960586</v>
      </c>
    </row>
    <row r="72" spans="1:2">
      <c r="A72" t="s">
        <v>1280</v>
      </c>
      <c r="B72" s="15">
        <v>510930670</v>
      </c>
    </row>
    <row r="73" spans="1:2">
      <c r="A73" t="s">
        <v>1281</v>
      </c>
      <c r="B73" s="15">
        <v>510927536</v>
      </c>
    </row>
    <row r="74" spans="1:2">
      <c r="A74" t="s">
        <v>1282</v>
      </c>
      <c r="B74" s="15">
        <v>510930654</v>
      </c>
    </row>
    <row r="75" spans="1:2">
      <c r="A75" t="s">
        <v>1283</v>
      </c>
      <c r="B75" s="15">
        <v>520032566</v>
      </c>
    </row>
    <row r="76" spans="1:2">
      <c r="A76" t="s">
        <v>1284</v>
      </c>
      <c r="B76" s="15">
        <v>513611509</v>
      </c>
    </row>
    <row r="77" spans="1:2">
      <c r="A77" t="s">
        <v>1285</v>
      </c>
      <c r="B77">
        <v>510888985</v>
      </c>
    </row>
    <row r="78" spans="1:2">
      <c r="A78" t="s">
        <v>1286</v>
      </c>
      <c r="B78">
        <v>520024647</v>
      </c>
    </row>
    <row r="79" spans="1:2">
      <c r="A79" t="s">
        <v>1287</v>
      </c>
      <c r="B79" s="15">
        <v>512244146</v>
      </c>
    </row>
    <row r="80" spans="1:2">
      <c r="A80" t="s">
        <v>1288</v>
      </c>
      <c r="B80" s="15">
        <v>510694821</v>
      </c>
    </row>
    <row r="81" spans="1:2">
      <c r="A81" t="s">
        <v>1289</v>
      </c>
      <c r="B81">
        <v>515761625</v>
      </c>
    </row>
    <row r="82" spans="1:2">
      <c r="A82" t="s">
        <v>1290</v>
      </c>
      <c r="B82" s="15">
        <v>511423048</v>
      </c>
    </row>
    <row r="83" spans="1:2">
      <c r="A83" t="s">
        <v>1291</v>
      </c>
      <c r="B83" s="15">
        <v>520019688</v>
      </c>
    </row>
    <row r="84" spans="1:2">
      <c r="A84" t="s">
        <v>1292</v>
      </c>
      <c r="B84">
        <v>520004896</v>
      </c>
    </row>
    <row r="85" spans="1:2">
      <c r="A85" t="s">
        <v>1293</v>
      </c>
      <c r="B85" s="15">
        <v>512237744</v>
      </c>
    </row>
    <row r="86" spans="1:2">
      <c r="A86" t="s">
        <v>1294</v>
      </c>
      <c r="B86" s="15">
        <v>514956465</v>
      </c>
    </row>
    <row r="87" spans="1:2">
      <c r="A87" t="s">
        <v>1295</v>
      </c>
      <c r="B87" s="15">
        <v>512362914</v>
      </c>
    </row>
    <row r="88" spans="1:2">
      <c r="A88" t="s">
        <v>1296</v>
      </c>
      <c r="B88" s="15">
        <v>520042615</v>
      </c>
    </row>
    <row r="89" spans="1:2">
      <c r="A89" t="s">
        <v>1297</v>
      </c>
      <c r="B89" s="15">
        <v>512065202</v>
      </c>
    </row>
    <row r="90" spans="1:2">
      <c r="A90" t="s">
        <v>1298</v>
      </c>
      <c r="B90">
        <v>520042540</v>
      </c>
    </row>
    <row r="91" spans="1:2">
      <c r="A91" t="s">
        <v>1299</v>
      </c>
      <c r="B91" s="15">
        <v>520027715</v>
      </c>
    </row>
    <row r="92" spans="1:2">
      <c r="A92" t="s">
        <v>1300</v>
      </c>
      <c r="B92" s="15">
        <v>512245812</v>
      </c>
    </row>
    <row r="93" spans="1:2">
      <c r="A93" t="s">
        <v>1301</v>
      </c>
      <c r="B93" s="15">
        <v>520022351</v>
      </c>
    </row>
    <row r="94" spans="1:2">
      <c r="A94" t="s">
        <v>1302</v>
      </c>
      <c r="B94" s="15">
        <v>514767490</v>
      </c>
    </row>
    <row r="95" spans="1:2">
      <c r="A95" t="s">
        <v>1303</v>
      </c>
      <c r="B95" s="15">
        <v>520024985</v>
      </c>
    </row>
    <row r="96" spans="1:2">
      <c r="A96" t="s">
        <v>1304</v>
      </c>
      <c r="B96" s="15">
        <v>520042573</v>
      </c>
    </row>
    <row r="97" spans="1:2">
      <c r="A97" t="s">
        <v>1305</v>
      </c>
      <c r="B97" s="15">
        <v>570009449</v>
      </c>
    </row>
    <row r="98" spans="1:2">
      <c r="A98" t="s">
        <v>1306</v>
      </c>
      <c r="B98" s="15">
        <v>520031659</v>
      </c>
    </row>
    <row r="99" spans="1:2">
      <c r="A99" t="s">
        <v>1307</v>
      </c>
      <c r="B99" s="15">
        <v>520042581</v>
      </c>
    </row>
    <row r="100" spans="1:2">
      <c r="A100" t="s">
        <v>1308</v>
      </c>
      <c r="B100">
        <v>520031030</v>
      </c>
    </row>
    <row r="101" spans="1:2">
      <c r="A101" t="s">
        <v>1309</v>
      </c>
      <c r="B101" s="15">
        <v>520030941</v>
      </c>
    </row>
    <row r="102" spans="1:2">
      <c r="A102" t="s">
        <v>1310</v>
      </c>
      <c r="B102" s="15">
        <v>512008335</v>
      </c>
    </row>
    <row r="103" spans="1:2">
      <c r="A103" t="s">
        <v>1311</v>
      </c>
      <c r="B103" s="15">
        <v>520022963</v>
      </c>
    </row>
    <row r="104" spans="1:2">
      <c r="A104" t="s">
        <v>1312</v>
      </c>
      <c r="B104" s="15">
        <v>570011767</v>
      </c>
    </row>
    <row r="105" spans="1:2">
      <c r="A105" t="s">
        <v>1313</v>
      </c>
      <c r="B105" s="15">
        <v>570014928</v>
      </c>
    </row>
    <row r="106" spans="1:2">
      <c r="A106" t="s">
        <v>1314</v>
      </c>
      <c r="B106" s="15">
        <v>570005959</v>
      </c>
    </row>
    <row r="107" spans="1:2">
      <c r="A107" t="s">
        <v>1315</v>
      </c>
      <c r="B107" s="15">
        <v>510800402</v>
      </c>
    </row>
    <row r="108" spans="1:2">
      <c r="A108" t="s">
        <v>1316</v>
      </c>
      <c r="B108" s="15">
        <v>570007476</v>
      </c>
    </row>
    <row r="109" spans="1:2">
      <c r="A109" t="s">
        <v>1317</v>
      </c>
      <c r="B109" s="15">
        <v>570005850</v>
      </c>
    </row>
    <row r="110" spans="1:2">
      <c r="A110" t="s">
        <v>1318</v>
      </c>
      <c r="B110" s="15">
        <v>520020504</v>
      </c>
    </row>
    <row r="111" spans="1:2">
      <c r="A111" t="s">
        <v>1319</v>
      </c>
      <c r="B111" s="15">
        <v>520020447</v>
      </c>
    </row>
    <row r="112" spans="1:2">
      <c r="A112" t="s">
        <v>1320</v>
      </c>
      <c r="B112" s="15">
        <v>511033060</v>
      </c>
    </row>
    <row r="113" spans="1:2">
      <c r="A113" t="s">
        <v>1321</v>
      </c>
      <c r="B113">
        <v>520027848</v>
      </c>
    </row>
    <row r="114" spans="1:2">
      <c r="A114" t="s">
        <v>1322</v>
      </c>
      <c r="B114" s="15">
        <v>570009852</v>
      </c>
    </row>
    <row r="115" spans="1:2">
      <c r="A115" t="s">
        <v>1323</v>
      </c>
      <c r="B115" s="15">
        <v>520027251</v>
      </c>
    </row>
    <row r="116" spans="1:2">
      <c r="A116" t="s">
        <v>1324</v>
      </c>
      <c r="B116" s="15">
        <v>520028390</v>
      </c>
    </row>
    <row r="117" spans="1:2">
      <c r="A117" t="s">
        <v>1325</v>
      </c>
      <c r="B117" s="15">
        <v>510806870</v>
      </c>
    </row>
    <row r="118" spans="1:2">
      <c r="A118" t="s">
        <v>1326</v>
      </c>
      <c r="B118">
        <v>513879189</v>
      </c>
    </row>
    <row r="119" spans="1:2">
      <c r="A119" t="s">
        <v>1327</v>
      </c>
      <c r="B119">
        <v>510015951</v>
      </c>
    </row>
    <row r="120" spans="1:2">
      <c r="A120" t="s">
        <v>1328</v>
      </c>
      <c r="B120" s="15">
        <v>520030693</v>
      </c>
    </row>
    <row r="121" spans="1:2">
      <c r="A121" t="s">
        <v>1329</v>
      </c>
      <c r="B121" s="15">
        <v>570002618</v>
      </c>
    </row>
  </sheetData>
  <sortState ref="A34:B124">
    <sortCondition ref="A34:A124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Hila Sharabi</cp:lastModifiedBy>
  <cp:lastPrinted>2022-08-08T09:16:18Z</cp:lastPrinted>
  <dcterms:created xsi:type="dcterms:W3CDTF">2021-05-03T04:41:48Z</dcterms:created>
  <dcterms:modified xsi:type="dcterms:W3CDTF">2024-11-04T08:06:22Z</dcterms:modified>
</cp:coreProperties>
</file>