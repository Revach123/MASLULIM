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codeName="ThisWorkbook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4אקסל\אקסל רשימות ניע 092024\Bld _discount\"/>
    </mc:Choice>
  </mc:AlternateContent>
  <xr:revisionPtr revIDLastSave="0" documentId="13_ncr:1_{D796AD78-6D86-47A4-B566-F5CA55C083E4}" xr6:coauthVersionLast="36" xr6:coauthVersionMax="36" xr10:uidLastSave="{00000000-0000-0000-0000-000000000000}"/>
  <bookViews>
    <workbookView xWindow="-120" yWindow="-120" windowWidth="29040" windowHeight="1572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  <externalReference r:id="rId36"/>
  </externalReference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6" i="40" l="1"/>
  <c r="R3" i="40"/>
  <c r="R4" i="40"/>
  <c r="R5" i="40"/>
  <c r="R2" i="40"/>
  <c r="Y11" i="7" l="1"/>
  <c r="Y12" i="7"/>
  <c r="Y13" i="7"/>
  <c r="Y14" i="7"/>
  <c r="Y15" i="7"/>
  <c r="Y16" i="7"/>
  <c r="Y17" i="7"/>
  <c r="Y18" i="7"/>
  <c r="Y19" i="7"/>
  <c r="Y20" i="7"/>
  <c r="Y21" i="7"/>
  <c r="Y22" i="7"/>
  <c r="Y23" i="7"/>
  <c r="Y24" i="7"/>
  <c r="Y25" i="7"/>
  <c r="Y26" i="7"/>
  <c r="Y27" i="7"/>
  <c r="Y28" i="7"/>
  <c r="Y29" i="7"/>
  <c r="Y30" i="7"/>
  <c r="Y31" i="7"/>
  <c r="Y32" i="7"/>
  <c r="Y33" i="7"/>
  <c r="Y34" i="7"/>
  <c r="Y35" i="7"/>
  <c r="Y36" i="7"/>
  <c r="Y37" i="7"/>
  <c r="Y38" i="7"/>
  <c r="Y39" i="7"/>
  <c r="Y40" i="7"/>
  <c r="Y41" i="7"/>
  <c r="Y42" i="7"/>
  <c r="Y43" i="7"/>
  <c r="Y44" i="7"/>
  <c r="Y8" i="7"/>
  <c r="Y9" i="7"/>
  <c r="Y10" i="7"/>
  <c r="Y3" i="7"/>
  <c r="Y4" i="7"/>
  <c r="Y5" i="7"/>
  <c r="Y6" i="7"/>
  <c r="Y7" i="7"/>
  <c r="Y2" i="7"/>
  <c r="O6" i="40" l="1"/>
  <c r="N6" i="40"/>
  <c r="B32" i="2"/>
  <c r="C30" i="2"/>
  <c r="B29" i="2"/>
  <c r="D29" i="2" s="1"/>
  <c r="B28" i="2"/>
  <c r="D28" i="2" s="1"/>
  <c r="B27" i="2"/>
  <c r="D27" i="2" s="1"/>
  <c r="B26" i="2"/>
  <c r="D26" i="2" s="1"/>
  <c r="D25" i="2"/>
  <c r="B25" i="2"/>
  <c r="B24" i="2"/>
  <c r="D24" i="2" s="1"/>
  <c r="B23" i="2"/>
  <c r="D23" i="2" s="1"/>
  <c r="B22" i="2"/>
  <c r="D22" i="2" s="1"/>
  <c r="B21" i="2"/>
  <c r="D21" i="2" s="1"/>
  <c r="B20" i="2"/>
  <c r="D20" i="2" s="1"/>
  <c r="D19" i="2"/>
  <c r="B19" i="2"/>
  <c r="B18" i="2"/>
  <c r="D18" i="2" s="1"/>
  <c r="B17" i="2"/>
  <c r="D17" i="2" s="1"/>
  <c r="B16" i="2"/>
  <c r="D16" i="2" s="1"/>
  <c r="B15" i="2"/>
  <c r="D15" i="2" s="1"/>
  <c r="B14" i="2"/>
  <c r="D14" i="2" s="1"/>
  <c r="B13" i="2"/>
  <c r="D13" i="2" s="1"/>
  <c r="B12" i="2"/>
  <c r="D12" i="2" s="1"/>
  <c r="D11" i="2"/>
  <c r="B11" i="2"/>
  <c r="B10" i="2"/>
  <c r="D10" i="2" s="1"/>
  <c r="B9" i="2"/>
  <c r="D9" i="2" s="1"/>
  <c r="B8" i="2"/>
  <c r="D8" i="2" s="1"/>
  <c r="B7" i="2"/>
  <c r="D7" i="2" s="1"/>
  <c r="B6" i="2"/>
  <c r="D6" i="2" s="1"/>
  <c r="B5" i="2"/>
  <c r="D5" i="2" s="1"/>
  <c r="B4" i="2"/>
  <c r="D4" i="2" s="1"/>
  <c r="B3" i="2"/>
  <c r="D3" i="2" s="1"/>
  <c r="D13" i="38"/>
  <c r="D15" i="38" s="1"/>
  <c r="D30" i="2" l="1"/>
  <c r="B30" i="2"/>
  <c r="E29" i="2" l="1"/>
  <c r="E25" i="2"/>
  <c r="E21" i="2"/>
  <c r="E17" i="2"/>
  <c r="E13" i="2"/>
  <c r="E9" i="2"/>
  <c r="E5" i="2"/>
  <c r="E18" i="2"/>
  <c r="E14" i="2"/>
  <c r="E10" i="2"/>
  <c r="E6" i="2"/>
  <c r="E7" i="2"/>
  <c r="E26" i="2"/>
  <c r="E22" i="2"/>
  <c r="E28" i="2"/>
  <c r="E24" i="2"/>
  <c r="E20" i="2"/>
  <c r="E16" i="2"/>
  <c r="E12" i="2"/>
  <c r="E8" i="2"/>
  <c r="E4" i="2"/>
  <c r="E27" i="2"/>
  <c r="E23" i="2"/>
  <c r="E19" i="2"/>
  <c r="E15" i="2"/>
  <c r="E11" i="2"/>
  <c r="E3" i="2"/>
  <c r="E30" i="2" l="1"/>
</calcChain>
</file>

<file path=xl/sharedStrings.xml><?xml version="1.0" encoding="utf-8"?>
<sst xmlns="http://schemas.openxmlformats.org/spreadsheetml/2006/main" count="7032" uniqueCount="1828">
  <si>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</si>
  <si>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</si>
  <si>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</si>
  <si>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</si>
  <si>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</si>
  <si>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</si>
  <si>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</si>
  <si>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</si>
  <si>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</si>
  <si>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</si>
  <si>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</si>
  <si>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</si>
  <si>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</si>
  <si>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</si>
  <si>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</si>
  <si>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</si>
  <si>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</si>
  <si>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</si>
  <si>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</si>
  <si>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</si>
  <si>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</si>
  <si>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</si>
  <si>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</si>
  <si>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</si>
  <si>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</si>
  <si>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</si>
  <si>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גליל</t>
  </si>
  <si>
    <t>ממשל צמודה 0527</t>
  </si>
  <si>
    <t>IL0011408478</t>
  </si>
  <si>
    <t>צמוד למדד המחירים לצרכן בריבית קבועה</t>
  </si>
  <si>
    <t>ישראל</t>
  </si>
  <si>
    <t>TASE</t>
  </si>
  <si>
    <t>RF</t>
  </si>
  <si>
    <t>פנימי</t>
  </si>
  <si>
    <t>ILS</t>
  </si>
  <si>
    <t>31/05/2027</t>
  </si>
  <si>
    <t>שווי הוגן</t>
  </si>
  <si>
    <t>ממשל צמודה 1131</t>
  </si>
  <si>
    <t>IL0011722209</t>
  </si>
  <si>
    <t>30/11/2031</t>
  </si>
  <si>
    <t>שחר</t>
  </si>
  <si>
    <t>ממשל שיקלית 0928</t>
  </si>
  <si>
    <t>IL0011508798</t>
  </si>
  <si>
    <t>לא צמוד למדד המחירים לצרכן ריבית קבועה</t>
  </si>
  <si>
    <t>28/09/2028</t>
  </si>
  <si>
    <t>ממשל שקלית  0927</t>
  </si>
  <si>
    <t>IL0012035791</t>
  </si>
  <si>
    <t>30/09/2027</t>
  </si>
  <si>
    <t>ממשל שקלית 0825</t>
  </si>
  <si>
    <t>IL0011355570</t>
  </si>
  <si>
    <t>31/08/2025</t>
  </si>
  <si>
    <t>ממשלתי שקלית 0142</t>
  </si>
  <si>
    <t>IL0011254005</t>
  </si>
  <si>
    <t>31/01/2042</t>
  </si>
  <si>
    <t>ממשלתית צמודה 0.5% 0529</t>
  </si>
  <si>
    <t>IL0011570236</t>
  </si>
  <si>
    <t>31/05/2029</t>
  </si>
  <si>
    <t>ממשלתית צמודה 1.10% 1028</t>
  </si>
  <si>
    <t>IL0011973265</t>
  </si>
  <si>
    <t>31/10/2028</t>
  </si>
  <si>
    <t>ממשלתית שקלית 1.3% 04/32</t>
  </si>
  <si>
    <t>IL0011806606</t>
  </si>
  <si>
    <t>30/04/2032</t>
  </si>
  <si>
    <t>State of Israel,3416</t>
  </si>
  <si>
    <t>STATE OF ISAREL 5.5% 12/03/2034</t>
  </si>
  <si>
    <t>US46514BRL35</t>
  </si>
  <si>
    <t>צמוד מט"ח בריבית קבועה</t>
  </si>
  <si>
    <t>חו"ל</t>
  </si>
  <si>
    <t>אחר</t>
  </si>
  <si>
    <t>A</t>
  </si>
  <si>
    <t>Moodys</t>
  </si>
  <si>
    <t>USD</t>
  </si>
  <si>
    <t>12/03/2034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</si>
  <si>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</si>
  <si>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</si>
  <si>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</si>
  <si>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</si>
  <si>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</si>
  <si>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</si>
  <si>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</si>
  <si>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</si>
  <si>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</si>
  <si>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</si>
  <si>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</si>
  <si>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</si>
  <si>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</si>
  <si>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</si>
  <si>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</si>
  <si>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</si>
  <si>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</t>
  </si>
  <si>
    <t>28080000</t>
  </si>
  <si>
    <t>חייבים וזכאים</t>
  </si>
  <si>
    <t>לא</t>
  </si>
  <si>
    <t>NA</t>
  </si>
  <si>
    <t>30/09/2024</t>
  </si>
  <si>
    <t>חייבים</t>
  </si>
  <si>
    <t>27960000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</si>
  <si>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</si>
  <si>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</si>
  <si>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</si>
  <si>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</si>
  <si>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</si>
  <si>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</si>
  <si>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</si>
  <si>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</si>
  <si>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</si>
  <si>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</si>
  <si>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</si>
  <si>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</si>
  <si>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</si>
  <si>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</si>
  <si>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</si>
  <si>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</si>
  <si>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</si>
  <si>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</si>
  <si>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</si>
  <si>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</si>
  <si>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</si>
  <si>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</si>
  <si>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</si>
  <si>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</si>
  <si>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</si>
  <si>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</si>
  <si>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נכס בסיס</t>
  </si>
  <si>
    <t>דירוג נייר הערך/המנפיק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</si>
  <si>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</si>
  <si>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</si>
  <si>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</si>
  <si>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</si>
  <si>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</si>
  <si>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</si>
  <si>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</si>
  <si>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</si>
  <si>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</si>
  <si>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</si>
  <si>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</si>
  <si>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</si>
  <si>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</si>
  <si>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</si>
  <si>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</si>
  <si>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</si>
  <si>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</si>
  <si>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</si>
  <si>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</si>
  <si>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</si>
  <si>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</si>
  <si>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</si>
  <si>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</si>
  <si>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</si>
  <si>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</si>
  <si>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</si>
  <si>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</si>
  <si>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</si>
  <si>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</si>
  <si>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</si>
  <si>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</si>
  <si>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</si>
  <si>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</si>
  <si>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</si>
  <si>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</si>
  <si>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</si>
  <si>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</si>
  <si>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</si>
  <si>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</si>
  <si>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</si>
  <si>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</si>
  <si>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</si>
  <si>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</si>
  <si>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</si>
  <si>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</si>
  <si>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</si>
  <si>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</si>
  <si>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</si>
  <si>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</si>
  <si>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</si>
  <si>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</si>
  <si>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</si>
  <si>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</si>
  <si>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</si>
  <si>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</si>
  <si>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</si>
  <si>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</si>
  <si>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</si>
  <si>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</si>
  <si>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</si>
  <si>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</si>
  <si>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</si>
  <si>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</si>
  <si>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</si>
  <si>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</si>
  <si>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</si>
  <si>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</si>
  <si>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</si>
  <si>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</si>
  <si>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</si>
  <si>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</si>
  <si>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</si>
  <si>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</si>
  <si>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</si>
  <si>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</si>
  <si>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</si>
  <si>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</si>
  <si>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</si>
  <si>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</si>
  <si>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</si>
  <si>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</si>
  <si>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</si>
  <si>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</si>
  <si>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</si>
  <si>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</si>
  <si>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</si>
  <si>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</si>
  <si>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</si>
  <si>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</si>
  <si>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</si>
  <si>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</si>
  <si>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</si>
  <si>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</si>
  <si>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</si>
  <si>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</si>
  <si>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</si>
  <si>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</si>
  <si>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</si>
  <si>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</si>
  <si>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</si>
  <si>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</si>
  <si>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</si>
  <si>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</si>
  <si>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</si>
  <si>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</si>
  <si>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</si>
  <si>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</si>
  <si>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</si>
  <si>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</si>
  <si>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</si>
  <si>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</si>
  <si>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</si>
  <si>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</si>
  <si>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</si>
  <si>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</si>
  <si>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</si>
  <si>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</si>
  <si>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</si>
  <si>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</si>
  <si>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</si>
  <si>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</si>
  <si>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</si>
  <si>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</si>
  <si>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</si>
  <si>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</si>
  <si>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</si>
  <si>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</si>
  <si>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</si>
  <si>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</si>
  <si>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</si>
  <si>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</si>
  <si>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</si>
  <si>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</si>
  <si>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</si>
  <si>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</si>
  <si>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</si>
  <si>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</si>
  <si>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LEI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</si>
  <si>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</si>
  <si>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</si>
  <si>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</si>
  <si>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</si>
  <si>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</si>
  <si>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</si>
  <si>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</si>
  <si>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</si>
  <si>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</si>
  <si>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</si>
  <si>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</si>
  <si>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</si>
  <si>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</si>
  <si>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</si>
  <si>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</si>
  <si>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</si>
  <si>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</si>
  <si>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</si>
  <si>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</si>
  <si>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</si>
  <si>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</si>
  <si>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</si>
  <si>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</si>
  <si>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</si>
  <si>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</si>
  <si>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</si>
  <si>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</si>
  <si>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</si>
  <si>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</si>
  <si>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</si>
  <si>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</si>
  <si>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</si>
  <si>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</si>
  <si>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</si>
  <si>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</si>
  <si>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</si>
  <si>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</si>
  <si>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</si>
  <si>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</si>
  <si>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</si>
  <si>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</si>
  <si>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</si>
  <si>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</si>
  <si>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</si>
  <si>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</si>
  <si>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</si>
  <si>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</si>
  <si>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</si>
  <si>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</si>
  <si>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</si>
  <si>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</si>
  <si>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</si>
  <si>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</si>
  <si>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</si>
  <si>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</si>
  <si>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</si>
  <si>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</si>
  <si>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</si>
  <si>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</si>
  <si>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</si>
  <si>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</si>
  <si>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</si>
  <si>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</si>
  <si>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</si>
  <si>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</si>
  <si>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</si>
  <si>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</si>
  <si>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</si>
  <si>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</si>
  <si>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</si>
  <si>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</si>
  <si>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</si>
  <si>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</si>
  <si>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</si>
  <si>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</si>
  <si>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</si>
  <si>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</si>
  <si>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</si>
  <si>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</si>
  <si>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</si>
  <si>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</si>
  <si>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</si>
  <si>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</si>
  <si>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</si>
  <si>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</si>
  <si>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</si>
  <si>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</si>
  <si>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</si>
  <si>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</si>
  <si>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</si>
  <si>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</si>
  <si>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</si>
  <si>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</si>
  <si>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</si>
  <si>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</si>
  <si>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</si>
  <si>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נחיתות חוזית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</si>
  <si>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</si>
  <si>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</si>
  <si>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</si>
  <si>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</si>
  <si>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</si>
  <si>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</si>
  <si>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</si>
  <si>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</si>
  <si>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</si>
  <si>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</si>
  <si>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</si>
  <si>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</si>
  <si>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</si>
  <si>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</si>
  <si>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</si>
  <si>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</si>
  <si>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</si>
  <si>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</si>
  <si>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</si>
  <si>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</si>
  <si>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</si>
  <si>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</si>
  <si>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</si>
  <si>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</si>
  <si>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</si>
  <si>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</si>
  <si>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</si>
  <si>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</si>
  <si>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</si>
  <si>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</si>
  <si>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</si>
  <si>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</si>
  <si>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</si>
  <si>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</si>
  <si>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</si>
  <si>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</si>
  <si>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</si>
  <si>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</si>
  <si>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</si>
  <si>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</si>
  <si>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</si>
  <si>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</si>
  <si>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</si>
  <si>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</si>
  <si>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</si>
  <si>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</si>
  <si>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</si>
  <si>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</si>
  <si>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</si>
  <si>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</si>
  <si>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</si>
  <si>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</si>
  <si>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</si>
  <si>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</si>
  <si>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</si>
  <si>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</si>
  <si>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</si>
  <si>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</si>
  <si>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</si>
  <si>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</si>
  <si>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</si>
  <si>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</si>
  <si>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</si>
  <si>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</si>
  <si>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</si>
  <si>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</si>
  <si>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</si>
  <si>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</si>
  <si>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</si>
  <si>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</si>
  <si>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</si>
  <si>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</si>
  <si>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</si>
  <si>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</si>
  <si>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</si>
  <si>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</si>
  <si>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</si>
  <si>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</si>
  <si>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</si>
  <si>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</si>
  <si>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</si>
  <si>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</si>
  <si>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</si>
  <si>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</si>
  <si>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</si>
  <si>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</si>
  <si>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</si>
  <si>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</si>
  <si>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</si>
  <si>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</si>
  <si>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</si>
  <si>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</si>
  <si>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</si>
  <si>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</si>
  <si>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</si>
  <si>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</si>
  <si>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</si>
  <si>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</si>
  <si>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</si>
  <si>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</si>
  <si>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</si>
  <si>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</si>
  <si>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</si>
  <si>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</si>
  <si>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</si>
  <si>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</si>
  <si>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</si>
  <si>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</si>
  <si>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</si>
  <si>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</si>
  <si>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</si>
  <si>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</si>
  <si>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</si>
  <si>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</si>
  <si>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</si>
  <si>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</si>
  <si>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</si>
  <si>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</si>
  <si>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</si>
  <si>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</si>
  <si>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</si>
  <si>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</si>
  <si>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</si>
  <si>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</si>
  <si>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</si>
  <si>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</si>
  <si>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</si>
  <si>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</si>
  <si>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</si>
  <si>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</si>
  <si>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</si>
  <si>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</si>
  <si>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</si>
  <si>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</si>
  <si>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</si>
  <si>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</si>
  <si>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</si>
  <si>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</si>
  <si>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</si>
  <si>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</si>
  <si>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</si>
  <si>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</si>
  <si>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</si>
  <si>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</si>
  <si>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</si>
  <si>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</si>
  <si>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</si>
  <si>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</si>
  <si>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</si>
  <si>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</si>
  <si>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</si>
  <si>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</si>
  <si>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</si>
  <si>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</si>
  <si>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</si>
  <si>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</si>
  <si>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</si>
  <si>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</si>
  <si>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</si>
  <si>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</si>
  <si>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</si>
  <si>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</si>
  <si>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</si>
  <si>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</si>
  <si>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</si>
  <si>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</si>
  <si>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</si>
  <si>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</si>
  <si>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</si>
  <si>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</si>
  <si>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</si>
  <si>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</si>
  <si>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</si>
  <si>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</si>
  <si>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</si>
  <si>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</si>
  <si>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</si>
  <si>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</si>
  <si>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</si>
  <si>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</si>
  <si>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</si>
  <si>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</si>
  <si>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</si>
  <si>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</si>
  <si>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</si>
  <si>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</si>
  <si>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</si>
  <si>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</si>
  <si>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</si>
  <si>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</si>
  <si>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</si>
  <si>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</si>
  <si>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</si>
  <si>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</si>
  <si>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</si>
  <si>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</si>
  <si>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</si>
  <si>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</si>
  <si>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</si>
  <si>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</si>
  <si>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</si>
  <si>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</si>
  <si>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</si>
  <si>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</si>
  <si>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</si>
  <si>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</si>
  <si>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</si>
  <si>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</si>
  <si>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</si>
  <si>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</si>
  <si>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</si>
  <si>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</si>
  <si>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</si>
  <si>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</si>
  <si>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</si>
  <si>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</si>
  <si>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</si>
  <si>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</si>
  <si>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</si>
  <si>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</si>
  <si>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</si>
  <si>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</si>
  <si>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</si>
  <si>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</si>
  <si>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</si>
  <si>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</si>
  <si>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</si>
  <si>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</si>
  <si>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</si>
  <si>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</si>
  <si>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</si>
  <si>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</si>
  <si>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</si>
  <si>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</si>
  <si>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</si>
  <si>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</si>
  <si>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</si>
  <si>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</si>
  <si>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</si>
  <si>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</si>
  <si>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</si>
  <si>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</si>
  <si>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</si>
  <si>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</si>
  <si>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</si>
  <si>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</si>
  <si>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</si>
  <si>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</si>
  <si>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</si>
  <si>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</si>
  <si>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</si>
  <si>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</si>
  <si>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</si>
  <si>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</si>
  <si>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</si>
  <si>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</si>
  <si>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</si>
  <si>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</si>
  <si>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</si>
  <si>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</si>
  <si>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</si>
  <si>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</si>
  <si>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</si>
  <si>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</si>
  <si>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</si>
  <si>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</si>
  <si>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</si>
  <si>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</si>
  <si>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</si>
  <si>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</si>
  <si>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</si>
  <si>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</si>
  <si>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</si>
  <si>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</si>
  <si>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</si>
  <si>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</si>
  <si>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</si>
  <si>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</si>
  <si>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</si>
  <si>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</si>
  <si>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</si>
  <si>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</si>
  <si>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</si>
  <si>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</si>
  <si>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</si>
  <si>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</si>
  <si>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</si>
  <si>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</si>
  <si>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</si>
  <si>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</si>
  <si>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</si>
  <si>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</si>
  <si>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</si>
  <si>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</si>
  <si>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</si>
  <si>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</si>
  <si>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</si>
  <si>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</si>
  <si>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</si>
  <si>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</si>
  <si>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</si>
  <si>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</si>
  <si>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</si>
  <si>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</si>
  <si>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</si>
  <si>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</si>
  <si>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</si>
  <si>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</si>
  <si>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</si>
  <si>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</si>
  <si>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</si>
  <si>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</si>
  <si>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</si>
  <si>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</si>
  <si>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</si>
  <si>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</si>
  <si>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</si>
  <si>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</si>
  <si>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</si>
  <si>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</si>
  <si>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</si>
  <si>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</si>
  <si>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</si>
  <si>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</si>
  <si>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</si>
  <si>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</si>
  <si>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</si>
  <si>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</si>
  <si>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</si>
  <si>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</si>
  <si>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</si>
  <si>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</si>
  <si>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</si>
  <si>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</si>
  <si>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</si>
  <si>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</si>
  <si>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</si>
  <si>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</si>
  <si>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</si>
  <si>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</si>
  <si>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</si>
  <si>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</si>
  <si>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</si>
  <si>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</si>
  <si>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</si>
  <si>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</si>
  <si>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למט"ח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</si>
  <si>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</si>
  <si>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</si>
  <si>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</si>
  <si>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</si>
  <si>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</si>
  <si>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</si>
  <si>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</si>
  <si>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</si>
  <si>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</si>
  <si>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</si>
  <si>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</si>
  <si>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</si>
  <si>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</si>
  <si>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</si>
  <si>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</si>
  <si>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</si>
  <si>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</si>
  <si>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</si>
  <si>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</si>
  <si>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</si>
  <si>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</si>
  <si>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</si>
  <si>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</si>
  <si>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</si>
  <si>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</si>
  <si>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</si>
  <si>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</si>
  <si>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</si>
  <si>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</si>
  <si>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</si>
  <si>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</si>
  <si>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</si>
  <si>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</si>
  <si>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</si>
  <si>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</si>
  <si>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</si>
  <si>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</si>
  <si>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</si>
  <si>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</si>
  <si>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</si>
  <si>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</si>
  <si>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</si>
  <si>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</si>
  <si>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</si>
  <si>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</si>
  <si>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</si>
  <si>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</si>
  <si>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</si>
  <si>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</si>
  <si>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</si>
  <si>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</si>
  <si>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</si>
  <si>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</si>
  <si>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</si>
  <si>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</si>
  <si>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</si>
  <si>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</si>
  <si>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</si>
  <si>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</si>
  <si>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</si>
  <si>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</si>
  <si>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</si>
  <si>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</si>
  <si>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</si>
  <si>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</si>
  <si>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</si>
  <si>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</si>
  <si>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</si>
  <si>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</si>
  <si>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</si>
  <si>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</si>
  <si>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</si>
  <si>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</si>
  <si>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</si>
  <si>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</si>
  <si>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</si>
  <si>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</si>
  <si>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</si>
  <si>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</si>
  <si>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</si>
  <si>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</si>
  <si>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</si>
  <si>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</si>
  <si>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</si>
  <si>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</si>
  <si>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</si>
  <si>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</si>
  <si>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</si>
  <si>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</si>
  <si>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</si>
  <si>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</si>
  <si>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</si>
  <si>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</si>
  <si>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</si>
  <si>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</si>
  <si>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</si>
  <si>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</si>
  <si>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</si>
  <si>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</si>
  <si>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</si>
  <si>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</si>
  <si>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</si>
  <si>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</si>
  <si>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</si>
  <si>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</si>
  <si>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</si>
  <si>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</si>
  <si>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</si>
  <si>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</si>
  <si>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</si>
  <si>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</si>
  <si>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</si>
  <si>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</si>
  <si>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</si>
  <si>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</si>
  <si>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</si>
  <si>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</si>
  <si>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</si>
  <si>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</si>
  <si>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</si>
  <si>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</si>
  <si>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</si>
  <si>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</si>
  <si>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</si>
  <si>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</si>
  <si>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</si>
  <si>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</si>
  <si>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</si>
  <si>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</si>
  <si>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</si>
  <si>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</si>
  <si>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</si>
  <si>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</si>
  <si>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</si>
  <si>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</si>
  <si>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</si>
  <si>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</si>
  <si>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</si>
  <si>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</si>
  <si>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</si>
  <si>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</si>
  <si>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</si>
  <si>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</si>
  <si>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</si>
  <si>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</si>
  <si>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</si>
  <si>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</si>
  <si>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</si>
  <si>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</si>
  <si>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</si>
  <si>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</si>
  <si>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</si>
  <si>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</si>
  <si>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</si>
  <si>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</si>
  <si>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</si>
  <si>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</si>
  <si>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</si>
  <si>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</si>
  <si>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</si>
  <si>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</si>
  <si>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</si>
  <si>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</si>
  <si>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</si>
  <si>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</si>
  <si>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</si>
  <si>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</si>
  <si>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</si>
  <si>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</si>
  <si>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</si>
  <si>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</si>
  <si>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</si>
  <si>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</si>
  <si>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</si>
  <si>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</si>
  <si>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</si>
  <si>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</si>
  <si>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</si>
  <si>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</si>
  <si>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</si>
  <si>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</si>
  <si>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</si>
  <si>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</si>
  <si>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</si>
  <si>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</si>
  <si>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</si>
  <si>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</si>
  <si>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</si>
  <si>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</si>
  <si>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</si>
  <si>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</si>
  <si>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</si>
  <si>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</si>
  <si>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</si>
  <si>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</si>
  <si>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</si>
  <si>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</si>
  <si>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</si>
  <si>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</si>
  <si>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</si>
  <si>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</si>
  <si>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</si>
  <si>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</si>
  <si>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</si>
  <si>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</si>
  <si>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</si>
  <si>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לא צמוד למדד המחירים לצרכן ריבית משתנה</t>
  </si>
  <si>
    <t>צמוד מט"ח בריבית משתנה</t>
  </si>
  <si>
    <t>מק"מ קצר משנים עשר חודשים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</si>
  <si>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</si>
  <si>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</si>
  <si>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</si>
  <si>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</si>
  <si>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</si>
  <si>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</si>
  <si>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</si>
  <si>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</si>
  <si>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</si>
  <si>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</si>
  <si>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</si>
  <si>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</si>
  <si>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</si>
  <si>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</si>
  <si>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</si>
  <si>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</si>
  <si>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</si>
  <si>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</si>
  <si>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</si>
  <si>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</si>
  <si>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</si>
  <si>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</si>
  <si>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</si>
  <si>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</si>
  <si>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</si>
  <si>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</si>
  <si>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</si>
  <si>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</si>
  <si>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</si>
  <si>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</si>
  <si>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</si>
  <si>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</si>
  <si>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</si>
  <si>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</si>
  <si>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</si>
  <si>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</si>
  <si>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</si>
  <si>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</si>
  <si>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</si>
  <si>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</si>
  <si>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</si>
  <si>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</si>
  <si>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</si>
  <si>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</si>
  <si>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</si>
  <si>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</si>
  <si>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</si>
  <si>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</si>
  <si>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</si>
  <si>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</si>
  <si>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</si>
  <si>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</si>
  <si>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</si>
  <si>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</si>
  <si>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</si>
  <si>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</si>
  <si>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</si>
  <si>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</si>
  <si>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</si>
  <si>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</si>
  <si>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</si>
  <si>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</si>
  <si>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</si>
  <si>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</si>
  <si>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</si>
  <si>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</si>
  <si>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</si>
  <si>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</si>
  <si>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</si>
  <si>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</si>
  <si>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</si>
  <si>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</si>
  <si>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</si>
  <si>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</si>
  <si>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</si>
  <si>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</si>
  <si>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</si>
  <si>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</si>
  <si>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</si>
  <si>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</si>
  <si>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</si>
  <si>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</si>
  <si>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</si>
  <si>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</si>
  <si>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</si>
  <si>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</si>
  <si>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</si>
  <si>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</si>
  <si>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</si>
  <si>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</si>
  <si>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</si>
  <si>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</si>
  <si>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</si>
  <si>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</si>
  <si>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</si>
  <si>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</si>
  <si>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</si>
  <si>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</si>
  <si>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</si>
  <si>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</si>
  <si>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</si>
  <si>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</si>
  <si>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</si>
  <si>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</si>
  <si>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</si>
  <si>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</si>
  <si>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</si>
  <si>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</si>
  <si>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</si>
  <si>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</si>
  <si>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</si>
  <si>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</si>
  <si>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</si>
  <si>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</si>
  <si>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</si>
  <si>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</si>
  <si>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</si>
  <si>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</si>
  <si>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</si>
  <si>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</si>
  <si>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</si>
  <si>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</si>
  <si>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</si>
  <si>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</si>
  <si>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</si>
  <si>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</si>
  <si>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</si>
  <si>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</si>
  <si>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</si>
  <si>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</si>
  <si>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</si>
  <si>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</si>
  <si>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</si>
  <si>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</si>
  <si>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</si>
  <si>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</si>
  <si>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</si>
  <si>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</si>
  <si>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</si>
  <si>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</si>
  <si>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</si>
  <si>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</si>
  <si>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</si>
  <si>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</si>
  <si>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</si>
  <si>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</si>
  <si>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</si>
  <si>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</si>
  <si>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</si>
  <si>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</si>
  <si>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</si>
  <si>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</si>
  <si>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</si>
  <si>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</si>
  <si>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</si>
  <si>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</si>
  <si>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</si>
  <si>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</si>
  <si>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</si>
  <si>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</si>
  <si>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</si>
  <si>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</si>
  <si>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</si>
  <si>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</si>
  <si>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</si>
  <si>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</si>
  <si>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</si>
  <si>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</si>
  <si>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</si>
  <si>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</si>
  <si>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</si>
  <si>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</si>
  <si>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</si>
  <si>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</si>
  <si>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</si>
  <si>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</si>
  <si>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</si>
  <si>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</si>
  <si>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</si>
  <si>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</si>
  <si>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</si>
  <si>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</si>
  <si>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</si>
  <si>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</si>
  <si>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</si>
  <si>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</si>
  <si>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</si>
  <si>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</si>
  <si>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</si>
  <si>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</si>
  <si>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</si>
  <si>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</si>
  <si>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</si>
  <si>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</si>
  <si>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</si>
  <si>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</si>
  <si>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</si>
  <si>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</si>
  <si>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</si>
  <si>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</si>
  <si>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</si>
  <si>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</si>
  <si>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</si>
  <si>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</si>
  <si>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</si>
  <si>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</si>
  <si>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</si>
  <si>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</si>
  <si>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</si>
  <si>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</si>
  <si>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</si>
  <si>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</si>
  <si>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</si>
  <si>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</si>
  <si>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בנק דיסקונט לישראל בע"מ</t>
  </si>
  <si>
    <t>11-10</t>
  </si>
  <si>
    <t>AAA</t>
  </si>
  <si>
    <t>HKD</t>
  </si>
  <si>
    <t>EUR</t>
  </si>
  <si>
    <t>JPY</t>
  </si>
  <si>
    <t>GBP</t>
  </si>
  <si>
    <t>בנק לאומי לישראל בע"מ</t>
  </si>
  <si>
    <t>10-800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</si>
  <si>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</si>
  <si>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</si>
  <si>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</si>
  <si>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</si>
  <si>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</si>
  <si>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</si>
  <si>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</si>
  <si>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</si>
  <si>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</si>
  <si>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</si>
  <si>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</si>
  <si>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</si>
  <si>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</si>
  <si>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</si>
  <si>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</si>
  <si>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</si>
  <si>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</si>
  <si>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</si>
  <si>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</si>
  <si>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</si>
  <si>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</si>
  <si>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</si>
  <si>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</si>
  <si>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</si>
  <si>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</si>
  <si>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</si>
  <si>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</si>
  <si>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</si>
  <si>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</si>
  <si>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</si>
  <si>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</si>
  <si>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</si>
  <si>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</si>
  <si>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</si>
  <si>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</si>
  <si>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</si>
  <si>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</si>
  <si>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</si>
  <si>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</si>
  <si>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</si>
  <si>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</si>
  <si>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</si>
  <si>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</si>
  <si>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</si>
  <si>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</si>
  <si>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</si>
  <si>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</si>
  <si>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</si>
  <si>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</si>
  <si>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</si>
  <si>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</si>
  <si>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</si>
  <si>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</si>
  <si>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</si>
  <si>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</si>
  <si>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</si>
  <si>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</si>
  <si>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</si>
  <si>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</si>
  <si>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</si>
  <si>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</si>
  <si>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</si>
  <si>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</si>
  <si>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</si>
  <si>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</si>
  <si>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</si>
  <si>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</si>
  <si>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</si>
  <si>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</si>
  <si>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</si>
  <si>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</si>
  <si>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</si>
  <si>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</si>
  <si>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</si>
  <si>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</si>
  <si>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</si>
  <si>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</si>
  <si>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</si>
  <si>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</si>
  <si>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</si>
  <si>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</si>
  <si>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</si>
  <si>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</si>
  <si>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</si>
  <si>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</si>
  <si>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</si>
  <si>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</si>
  <si>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</si>
  <si>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</si>
  <si>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</si>
  <si>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</si>
  <si>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</si>
  <si>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</si>
  <si>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</si>
  <si>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</si>
  <si>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</si>
  <si>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</si>
  <si>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</si>
  <si>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</si>
  <si>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</si>
  <si>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</si>
  <si>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</si>
  <si>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</si>
  <si>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</si>
  <si>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</si>
  <si>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</si>
  <si>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</si>
  <si>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</si>
  <si>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</si>
  <si>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</si>
  <si>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</si>
  <si>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</si>
  <si>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</si>
  <si>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שווי הוגן (בש"ח)</t>
  </si>
  <si>
    <t>מגדל קרנות נאמנות בע"מ</t>
  </si>
  <si>
    <t>511303661</t>
  </si>
  <si>
    <t>ח.פ</t>
  </si>
  <si>
    <t>MTF סל תא 90</t>
  </si>
  <si>
    <t>IL0011502593</t>
  </si>
  <si>
    <t>מניות בישראל</t>
  </si>
  <si>
    <t>הראל קרנות נאמנות בע"מ</t>
  </si>
  <si>
    <t>511776783</t>
  </si>
  <si>
    <t>הראל סל תא בנקים</t>
  </si>
  <si>
    <t>IL0011489494</t>
  </si>
  <si>
    <t>הראל סל תל בונד שקלי</t>
  </si>
  <si>
    <t>IL0011505232</t>
  </si>
  <si>
    <t xml:space="preserve">אג"ח בישראל - חברות והמרה  </t>
  </si>
  <si>
    <t>State Street Corp</t>
  </si>
  <si>
    <t>07F5H7W3ET8ZLWNMFP29</t>
  </si>
  <si>
    <t>Amex tech sel indx</t>
  </si>
  <si>
    <t>US81369Y8030</t>
  </si>
  <si>
    <t>DEUTSCHE BANK AG</t>
  </si>
  <si>
    <t>549300L70BS183Y6ML67</t>
  </si>
  <si>
    <t>DBX MSCI EMU 1D ETF</t>
  </si>
  <si>
    <t>LU0846194776</t>
  </si>
  <si>
    <t>Global X Management Co LLc</t>
  </si>
  <si>
    <t>5493003RA4QUTSYF1N15</t>
  </si>
  <si>
    <t>GLOBAL X CLOUD COMPUTING ETF</t>
  </si>
  <si>
    <t>US37954Y4420</t>
  </si>
  <si>
    <t>INDUSTRIAL SELECT SECT FUND</t>
  </si>
  <si>
    <t>US81369Y7040</t>
  </si>
  <si>
    <t>Invesco investment management limited</t>
  </si>
  <si>
    <t>549300FEA3DT84FOZ304</t>
  </si>
  <si>
    <t>INVESCO AT1 CAPITAL BOND ETF</t>
  </si>
  <si>
    <t>IE00BFZPF322</t>
  </si>
  <si>
    <t xml:space="preserve">BlackRock  Asset Managment </t>
  </si>
  <si>
    <t>5493004330BCAPB3GT42</t>
  </si>
  <si>
    <t>ISHARES CORE S&amp;P 500 ETF</t>
  </si>
  <si>
    <t>US4642872000</t>
  </si>
  <si>
    <t>Ishares ftse china25</t>
  </si>
  <si>
    <t>US4642871846</t>
  </si>
  <si>
    <t>ISHARES NASDAQ 100 ETF</t>
  </si>
  <si>
    <t>IE00B53SZB19</t>
  </si>
  <si>
    <t>LSE </t>
  </si>
  <si>
    <t>ITB US Equity</t>
  </si>
  <si>
    <t>US4642887529</t>
  </si>
  <si>
    <t>KRANESHARES</t>
  </si>
  <si>
    <t>549300VLDRC0RUX0E553</t>
  </si>
  <si>
    <t>KRANESHARES CSI CHINA INTERNET</t>
  </si>
  <si>
    <t>US5007673065</t>
  </si>
  <si>
    <t>SHARES DJ EURO STOXX 50 DE</t>
  </si>
  <si>
    <t>DE0005933956</t>
  </si>
  <si>
    <t>SPDR S&amp;P TECH SELECT ETF</t>
  </si>
  <si>
    <t>IE00BWBXM948</t>
  </si>
  <si>
    <t>SSGA UK</t>
  </si>
  <si>
    <t>SPDR S&amp;P US ENERGY SELECT</t>
  </si>
  <si>
    <t>IE00BWBXM492</t>
  </si>
  <si>
    <t>SPDR S&amp;P US FINANCIAL SELECT</t>
  </si>
  <si>
    <t>IE00BWBXM500</t>
  </si>
  <si>
    <t>SPDR S&amp;P500 UCITS ETF</t>
  </si>
  <si>
    <t>IE00B6YX5C33</t>
  </si>
  <si>
    <t>SPDR SP CHINA ETF</t>
  </si>
  <si>
    <t>US78463X4007</t>
  </si>
  <si>
    <t>Source Markets</t>
  </si>
  <si>
    <t>3379V8ZPZKCNZWO8YR10</t>
  </si>
  <si>
    <t>SPXS L_sorce sp 500 etf</t>
  </si>
  <si>
    <t>IE00B3YCGJ38</t>
  </si>
  <si>
    <t xml:space="preserve"> Ubs Fund Management</t>
  </si>
  <si>
    <t>549300TBYE6SH20B4I40</t>
  </si>
  <si>
    <t>UBS ETF B. US LIQ CORP 1-5</t>
  </si>
  <si>
    <t>LU1048315086</t>
  </si>
  <si>
    <t>Vanguard Group</t>
  </si>
  <si>
    <t>549300Y88GQ3VLJIBX57</t>
  </si>
  <si>
    <t>VANG FTSE EM</t>
  </si>
  <si>
    <t>IE00BK5BR733</t>
  </si>
  <si>
    <t>שווקים מתעוררים</t>
  </si>
  <si>
    <t>VANG FTSE EM Etf usd</t>
  </si>
  <si>
    <t>VOO US-Vanguard s&amp;p 500 etf</t>
  </si>
  <si>
    <t>US9229083632</t>
  </si>
  <si>
    <t>אלביט מערכות בע"מ</t>
  </si>
  <si>
    <t>520043027</t>
  </si>
  <si>
    <t>אלביט מערכות</t>
  </si>
  <si>
    <t>IL0010811243</t>
  </si>
  <si>
    <t>אלוני-חץ נכסים והשקעות בע"מ</t>
  </si>
  <si>
    <t>520038506</t>
  </si>
  <si>
    <t>אלוני חץ</t>
  </si>
  <si>
    <t>IL0003900136</t>
  </si>
  <si>
    <t>אמות השקעות בע"מ</t>
  </si>
  <si>
    <t>520026683</t>
  </si>
  <si>
    <t>אמות</t>
  </si>
  <si>
    <t>IL0010972789</t>
  </si>
  <si>
    <t>אנלייט אנרגיה מתחדשת בע"מ</t>
  </si>
  <si>
    <t>520041146</t>
  </si>
  <si>
    <t>אנלייט אנרגיה</t>
  </si>
  <si>
    <t>IL0007200111</t>
  </si>
  <si>
    <t>אנרג'יקס אנרגיות מתחדשות בע"מ</t>
  </si>
  <si>
    <t>513901371</t>
  </si>
  <si>
    <t>אנרג'יקס</t>
  </si>
  <si>
    <t>IL0011233553</t>
  </si>
  <si>
    <t>אפריקה ישראל מגורים בע"מ</t>
  </si>
  <si>
    <t>520034760</t>
  </si>
  <si>
    <t>אפריקה מגורים</t>
  </si>
  <si>
    <t>IL0010979487</t>
  </si>
  <si>
    <t>בזק החברה הישראלית לתקשורת בע"מ</t>
  </si>
  <si>
    <t>520031931</t>
  </si>
  <si>
    <t>בזק</t>
  </si>
  <si>
    <t>IL0002300114</t>
  </si>
  <si>
    <t>י.ח.דמרי בניה ופיתוח בע"מ</t>
  </si>
  <si>
    <t>511399388</t>
  </si>
  <si>
    <t>דמרי</t>
  </si>
  <si>
    <t>IL0010903156</t>
  </si>
  <si>
    <t>הפניקס אחזקות בע"מ</t>
  </si>
  <si>
    <t>520017450</t>
  </si>
  <si>
    <t>הפניקס</t>
  </si>
  <si>
    <t>IL0007670123</t>
  </si>
  <si>
    <t>טבע תעשיות פרמצבטיות בע"מ</t>
  </si>
  <si>
    <t>520013954</t>
  </si>
  <si>
    <t>טבע</t>
  </si>
  <si>
    <t>IL0006290147</t>
  </si>
  <si>
    <t>טרמינל איקס אונליין בע"מ</t>
  </si>
  <si>
    <t>515722536</t>
  </si>
  <si>
    <t>טרמינל איקס אונליין בעמ</t>
  </si>
  <si>
    <t>IL0011787145</t>
  </si>
  <si>
    <t>ישראל קנדה (ט.ר) בעמ</t>
  </si>
  <si>
    <t>520039298</t>
  </si>
  <si>
    <t>ישראל קנדה</t>
  </si>
  <si>
    <t>IL0004340191</t>
  </si>
  <si>
    <t>כלל החזקות עסקי ביטוח בע"מ</t>
  </si>
  <si>
    <t>520036120</t>
  </si>
  <si>
    <t>כלל ביטוח</t>
  </si>
  <si>
    <t>IL0002240146</t>
  </si>
  <si>
    <t>520018078</t>
  </si>
  <si>
    <t>לאומי</t>
  </si>
  <si>
    <t>IL0006046119</t>
  </si>
  <si>
    <t>בנק מזרחי טפחות בע"מ</t>
  </si>
  <si>
    <t>520000522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</si>
  <si>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</si>
  <si>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</si>
  <si>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</si>
  <si>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</si>
  <si>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</si>
  <si>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</si>
  <si>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מליסרון בע"מ</t>
  </si>
  <si>
    <t>520037789</t>
  </si>
  <si>
    <t>מליסרון</t>
  </si>
  <si>
    <t>IL0003230146</t>
  </si>
  <si>
    <t>מניבים קרן הריט החדשה בע"מ</t>
  </si>
  <si>
    <t>515327120</t>
  </si>
  <si>
    <t>מניבים ריט</t>
  </si>
  <si>
    <t>IL0011405730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</si>
  <si>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</si>
  <si>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</si>
  <si>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</si>
  <si>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</si>
  <si>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</si>
  <si>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</si>
  <si>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</si>
  <si>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</si>
  <si>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נקסט ויז'ן</t>
  </si>
  <si>
    <t>514259019</t>
  </si>
  <si>
    <t>IL0011765935</t>
  </si>
  <si>
    <t>קבוצת עזריאלי בע"מ (לשעבר קנית מימון)</t>
  </si>
  <si>
    <t>510960719</t>
  </si>
  <si>
    <t>עזריאלי קבוצה</t>
  </si>
  <si>
    <t>IL0011194789</t>
  </si>
  <si>
    <t>בנק הפועלים בע"מ</t>
  </si>
  <si>
    <t>520000118</t>
  </si>
  <si>
    <t>פועלים</t>
  </si>
  <si>
    <t>IL0006625771</t>
  </si>
  <si>
    <t>פוקס-ויזל בע"מ</t>
  </si>
  <si>
    <t>512157603</t>
  </si>
  <si>
    <t>פוקס- ויזל</t>
  </si>
  <si>
    <t>IL0010870223</t>
  </si>
  <si>
    <t>amazon.com</t>
  </si>
  <si>
    <t>ZXTILKJKG63JELOEG630</t>
  </si>
  <si>
    <t>AMAZON COM INC</t>
  </si>
  <si>
    <t>US0231351067</t>
  </si>
  <si>
    <t>Advanced Micro Devices inc</t>
  </si>
  <si>
    <t>R2I72C950HOYXII45366</t>
  </si>
  <si>
    <t>AMD</t>
  </si>
  <si>
    <t>US007931078</t>
  </si>
  <si>
    <t>ASML HOLDING NV-NY</t>
  </si>
  <si>
    <t>724500Y6DUVHQD6OXN27</t>
  </si>
  <si>
    <t>ASML Holding NV</t>
  </si>
  <si>
    <t>NL0010273215</t>
  </si>
  <si>
    <t>ASML_ASML HOLDING NV-NY REG</t>
  </si>
  <si>
    <t>USN070592100</t>
  </si>
  <si>
    <t>Broadcom Inc</t>
  </si>
  <si>
    <t>549300WV6GIDOZJTV909</t>
  </si>
  <si>
    <t>BROADCOM LTD</t>
  </si>
  <si>
    <t>US11135F1012</t>
  </si>
  <si>
    <t>קמטק בע"מ</t>
  </si>
  <si>
    <t>511235434</t>
  </si>
  <si>
    <t>CAMTEK LTD</t>
  </si>
  <si>
    <t>IL0010952641</t>
  </si>
  <si>
    <t>Cellebrite Di Ltd</t>
  </si>
  <si>
    <t>512766577</t>
  </si>
  <si>
    <t>CELLEBRITE DI LTD</t>
  </si>
  <si>
    <t>IL0011794802</t>
  </si>
  <si>
    <t>COSTCO WHOLESAL</t>
  </si>
  <si>
    <t>29DX7H14B9S6O3FD6V18</t>
  </si>
  <si>
    <t>COSTCO WHOLESALE CORP</t>
  </si>
  <si>
    <t>US22160K1051</t>
  </si>
  <si>
    <t>Food &amp; Staples Retailing Consumer Staples Distribution &amp; Retail</t>
  </si>
  <si>
    <t>פייבר אינטרנשיונל בע"מ</t>
  </si>
  <si>
    <t>514440874</t>
  </si>
  <si>
    <t>FIVERR INTERNATIONAL LTD</t>
  </si>
  <si>
    <t>IL0011582033</t>
  </si>
  <si>
    <t>JD.com Inc</t>
  </si>
  <si>
    <t>549300HVTWB0GJZ16V92</t>
  </si>
  <si>
    <t>JD.COM INC -CL A</t>
  </si>
  <si>
    <t>KYG8208B1014</t>
  </si>
  <si>
    <t>MASTERCARD INC</t>
  </si>
  <si>
    <t>AR5L2ODV9HN37376R084</t>
  </si>
  <si>
    <t>MA US _MASTERCARD</t>
  </si>
  <si>
    <t>US57636Q1040</t>
  </si>
  <si>
    <t>Diversified Financial Services Financial Services</t>
  </si>
  <si>
    <t>MICROSOFT CORP</t>
  </si>
  <si>
    <t>INR2EJN1ERAN0W5ZP974</t>
  </si>
  <si>
    <t>Microsoft crop</t>
  </si>
  <si>
    <t>US5949181045</t>
  </si>
  <si>
    <t>NVIDIA CORP</t>
  </si>
  <si>
    <t>549300S4KLFTLO7GSQ80</t>
  </si>
  <si>
    <t>NVDA_NVIDIA CORP</t>
  </si>
  <si>
    <t>US67066G1040</t>
  </si>
  <si>
    <t>נובה מכשירי מדידה בע"מ</t>
  </si>
  <si>
    <t>511812463</t>
  </si>
  <si>
    <t>NVMI US-NOVA MEASURING</t>
  </si>
  <si>
    <t>IL0010845571</t>
  </si>
  <si>
    <t xml:space="preserve">אורמת טכנולגיות אינק </t>
  </si>
  <si>
    <t>5493000TSHHWY24VHM09</t>
  </si>
  <si>
    <t>ORA US Equity</t>
  </si>
  <si>
    <t>US6866881021</t>
  </si>
  <si>
    <t>Samsung Electronics co ltd</t>
  </si>
  <si>
    <t>9884007ER46L6N7EI764</t>
  </si>
  <si>
    <t>SAMSUNG ELEC</t>
  </si>
  <si>
    <t>US7960508882</t>
  </si>
  <si>
    <t>TESLA MOTORS INC</t>
  </si>
  <si>
    <t>54930043XZGB27CTOV49</t>
  </si>
  <si>
    <t>TESLA MOTROS INC</t>
  </si>
  <si>
    <t>US88160R1014</t>
  </si>
  <si>
    <t>VISA  Inc - CLASS  A</t>
  </si>
  <si>
    <t>549300JZ4OKEHW3DPJ59</t>
  </si>
  <si>
    <t>V US Equity</t>
  </si>
  <si>
    <t>US92826C8394</t>
  </si>
  <si>
    <t>Wal-Mart Stores</t>
  </si>
  <si>
    <t>Y87794H0US1R65VBXU25</t>
  </si>
  <si>
    <t>WAL MART STORES INC</t>
  </si>
  <si>
    <t>US9311421039</t>
  </si>
  <si>
    <t>אלבר שירותי מימונית בע"מ</t>
  </si>
  <si>
    <t>512025891</t>
  </si>
  <si>
    <t>אלבר אגח יט</t>
  </si>
  <si>
    <t>IL0011918245</t>
  </si>
  <si>
    <t>A+</t>
  </si>
  <si>
    <t>15/05/2028</t>
  </si>
  <si>
    <t>אלוני חץ אגח טו</t>
  </si>
  <si>
    <t>IL0011894149</t>
  </si>
  <si>
    <t>AA-</t>
  </si>
  <si>
    <t>01/03/2037</t>
  </si>
  <si>
    <t>אמות אגח ד</t>
  </si>
  <si>
    <t>IL0011331498</t>
  </si>
  <si>
    <t>AA</t>
  </si>
  <si>
    <t>02/07/2028</t>
  </si>
  <si>
    <t>אנלייט אנר אגח ו</t>
  </si>
  <si>
    <t>IL0072001733</t>
  </si>
  <si>
    <t>01/09/2026</t>
  </si>
  <si>
    <t>אנרג'יקס אגח א</t>
  </si>
  <si>
    <t>IL0011617516</t>
  </si>
  <si>
    <t>01/08/2030</t>
  </si>
  <si>
    <t>קבוצת אשטרום</t>
  </si>
  <si>
    <t>510381601</t>
  </si>
  <si>
    <t>אשטרום קב אגח א</t>
  </si>
  <si>
    <t>IL0011323230</t>
  </si>
  <si>
    <t>10/11/2025</t>
  </si>
  <si>
    <t>אשטרום קב אגח ג</t>
  </si>
  <si>
    <t>IL0011401028</t>
  </si>
  <si>
    <t>15/01/2029</t>
  </si>
  <si>
    <t>בתי זקוק לנפט בע"מ</t>
  </si>
  <si>
    <t>520036658</t>
  </si>
  <si>
    <t>בזן אגח י</t>
  </si>
  <si>
    <t>IL0025905113</t>
  </si>
  <si>
    <t>25/09/2031</t>
  </si>
  <si>
    <t>פז בית זיקוק לנפט-אשדוד בע"מ</t>
  </si>
  <si>
    <t>513775163</t>
  </si>
  <si>
    <t>בית זיקוק אשדוד אגח 2</t>
  </si>
  <si>
    <t>IL0011994881</t>
  </si>
  <si>
    <t>A-</t>
  </si>
  <si>
    <t>30/04/2029</t>
  </si>
  <si>
    <t>חברת גב-ים לקרקעות בע"מ</t>
  </si>
  <si>
    <t>520001736</t>
  </si>
  <si>
    <t>גב ים אגח ט</t>
  </si>
  <si>
    <t>IL0075902192</t>
  </si>
  <si>
    <t>30/06/2033</t>
  </si>
  <si>
    <t>דמרי אגח ט</t>
  </si>
  <si>
    <t>IL0011683682</t>
  </si>
  <si>
    <t>31/12/2027</t>
  </si>
  <si>
    <t>הראל ביטוח מימון והנפקות בע"מ</t>
  </si>
  <si>
    <t>513834200</t>
  </si>
  <si>
    <t>הראל הנפקות אגח יט</t>
  </si>
  <si>
    <t>IL0011927725</t>
  </si>
  <si>
    <t>31/12/2029</t>
  </si>
  <si>
    <t>הראל השקעות בביטוח ושרותים פיננסים בע"מ</t>
  </si>
  <si>
    <t>520033986</t>
  </si>
  <si>
    <t>הראל השקעות אגח א</t>
  </si>
  <si>
    <t>IL0058501102</t>
  </si>
  <si>
    <t>31/12/2035</t>
  </si>
  <si>
    <t>ויתניה בע"מ</t>
  </si>
  <si>
    <t>512096793</t>
  </si>
  <si>
    <t>ויתניה אגח ה</t>
  </si>
  <si>
    <t>IL0011509036</t>
  </si>
  <si>
    <t>30/06/2027</t>
  </si>
  <si>
    <t>חברת החשמל לישראל בע"מ</t>
  </si>
  <si>
    <t>520000472</t>
  </si>
  <si>
    <t>חשמל אגח 31</t>
  </si>
  <si>
    <t>IL0060002859</t>
  </si>
  <si>
    <t>AA+</t>
  </si>
  <si>
    <t>21/09/2031</t>
  </si>
  <si>
    <t>חשמל אגח 33</t>
  </si>
  <si>
    <t>IL0060003923</t>
  </si>
  <si>
    <t>30/05/2036</t>
  </si>
  <si>
    <t>יוניברסל מוטורס  ישראל בע"מ</t>
  </si>
  <si>
    <t>511809071</t>
  </si>
  <si>
    <t>יוניברסל אגח ד</t>
  </si>
  <si>
    <t>IL0011722530</t>
  </si>
  <si>
    <t>11/02/2029</t>
  </si>
  <si>
    <t>ישרס חברה להשקעות בע"מ</t>
  </si>
  <si>
    <t>520017807</t>
  </si>
  <si>
    <t>ישרס אגח טז</t>
  </si>
  <si>
    <t>IL0061302233</t>
  </si>
  <si>
    <t>30/07/2031</t>
  </si>
  <si>
    <t>ישרס אגח יד</t>
  </si>
  <si>
    <t>IL0061301995</t>
  </si>
  <si>
    <t>01/03/2027</t>
  </si>
  <si>
    <t>לאומי   אגח 179</t>
  </si>
  <si>
    <t>IL0060403727</t>
  </si>
  <si>
    <t>30/06/2026</t>
  </si>
  <si>
    <t>לאומי אגח 186</t>
  </si>
  <si>
    <t>IL0012018391</t>
  </si>
  <si>
    <t>30/11/2033</t>
  </si>
  <si>
    <t>לאומי התח נד 403</t>
  </si>
  <si>
    <t>IL0060404303</t>
  </si>
  <si>
    <t>28/02/2025</t>
  </si>
  <si>
    <t>לאומי התח נדח' סד' 405</t>
  </si>
  <si>
    <t>IL0060406209</t>
  </si>
  <si>
    <t>27/03/2028</t>
  </si>
  <si>
    <t>לאומי כתבי התח נד סד' 402</t>
  </si>
  <si>
    <t>IL0060403982</t>
  </si>
  <si>
    <t>31/07/2028</t>
  </si>
  <si>
    <t>מבנה נדל"ן (כ.ד)  בע"מ</t>
  </si>
  <si>
    <t>520024126</t>
  </si>
  <si>
    <t>מבני תעש אגח כג</t>
  </si>
  <si>
    <t>IL0022605450</t>
  </si>
  <si>
    <t>30/09/2026</t>
  </si>
  <si>
    <t>מבני תעשיה אגח יז</t>
  </si>
  <si>
    <t>IL0022604461</t>
  </si>
  <si>
    <t>30/06/2028</t>
  </si>
  <si>
    <t>מגה אור החזקות בע"מ</t>
  </si>
  <si>
    <t>513257873</t>
  </si>
  <si>
    <t>מגה אור אגח ז</t>
  </si>
  <si>
    <t>IL0011416968</t>
  </si>
  <si>
    <t>30/08/2027</t>
  </si>
  <si>
    <t>מזרחי טפחות חברה להנפקות בע"מ</t>
  </si>
  <si>
    <t>520032046</t>
  </si>
  <si>
    <t>מז טפ הנ אגח 68</t>
  </si>
  <si>
    <t>IL0012021429</t>
  </si>
  <si>
    <t>25/12/2033</t>
  </si>
  <si>
    <t>מז טפ הנפ אגח61</t>
  </si>
  <si>
    <t>IL0023104644</t>
  </si>
  <si>
    <t>04/12/2026</t>
  </si>
  <si>
    <t>מז טפ הנפק כתבי הת50 coco</t>
  </si>
  <si>
    <t>IL0023102903</t>
  </si>
  <si>
    <t>23/12/2024</t>
  </si>
  <si>
    <t xml:space="preserve">מימון ישיר מקבוצת ישיר 2006 בע"מ </t>
  </si>
  <si>
    <t>513893123</t>
  </si>
  <si>
    <t>מימון ישיר אגח ה</t>
  </si>
  <si>
    <t>IL0011828311</t>
  </si>
  <si>
    <t>31/07/2031</t>
  </si>
  <si>
    <t>מימון ישיר אגח ו</t>
  </si>
  <si>
    <t>IL0011916595</t>
  </si>
  <si>
    <t>31/03/2027</t>
  </si>
  <si>
    <t>מליסרון  אגח יט</t>
  </si>
  <si>
    <t>IL0032303989</t>
  </si>
  <si>
    <t>01/07/2029</t>
  </si>
  <si>
    <t>מליסרון אגח יד</t>
  </si>
  <si>
    <t>IL0032302320</t>
  </si>
  <si>
    <t>27/04/2026</t>
  </si>
  <si>
    <t>מליסרון אגח יז</t>
  </si>
  <si>
    <t>IL0032302734</t>
  </si>
  <si>
    <t>01/01/2032</t>
  </si>
  <si>
    <t>מליסרון אגח כ</t>
  </si>
  <si>
    <t>IL0032304227</t>
  </si>
  <si>
    <t>01/07/2030</t>
  </si>
  <si>
    <t>חברה לנכסים ולבנין בע"מ</t>
  </si>
  <si>
    <t>520025438</t>
  </si>
  <si>
    <t>נכסים ובנין ד</t>
  </si>
  <si>
    <t>IL0069901549</t>
  </si>
  <si>
    <t>31/12/2025</t>
  </si>
  <si>
    <t>סלקום ישראל בע"מ</t>
  </si>
  <si>
    <t>511930125</t>
  </si>
  <si>
    <t>סלקום אגח יב</t>
  </si>
  <si>
    <t>IL0011430803</t>
  </si>
  <si>
    <t>05/01/2028</t>
  </si>
  <si>
    <t>עזריאלי אגח ה</t>
  </si>
  <si>
    <t>IL0011566036</t>
  </si>
  <si>
    <t>עזריאלי אגח ז</t>
  </si>
  <si>
    <t>IL0011786725</t>
  </si>
  <si>
    <t>02/07/2036</t>
  </si>
  <si>
    <t>פועלים  י קוקו צמוד</t>
  </si>
  <si>
    <t>IL0011998924</t>
  </si>
  <si>
    <t>17/05/2026</t>
  </si>
  <si>
    <t>הפניקס גיוסי הון (2009) בע"מ</t>
  </si>
  <si>
    <t>514290345</t>
  </si>
  <si>
    <t>פניקס הון אגח טו</t>
  </si>
  <si>
    <t>IL0012019530</t>
  </si>
  <si>
    <t>30/06/2030</t>
  </si>
  <si>
    <t>רבוע כחול נדל"ן בע"מ</t>
  </si>
  <si>
    <t>513765859</t>
  </si>
  <si>
    <t>רבוע נדלן אגח ו</t>
  </si>
  <si>
    <t>IL0011406076</t>
  </si>
  <si>
    <t>30/11/2026</t>
  </si>
  <si>
    <t>שיכון ובינוי בע"מ</t>
  </si>
  <si>
    <t>520036104</t>
  </si>
  <si>
    <t>שיכון ובינוי אגח 6</t>
  </si>
  <si>
    <t>IL0011297335</t>
  </si>
  <si>
    <t>01/04/2025</t>
  </si>
  <si>
    <t>שיכון ובינוי אנרגיה בע"מ</t>
  </si>
  <si>
    <t>510459928</t>
  </si>
  <si>
    <t>שיכון ובינוי אנרגיה אגח א'</t>
  </si>
  <si>
    <t>IL0011985715</t>
  </si>
  <si>
    <t>30/06/2034</t>
  </si>
  <si>
    <t>ש.שלמה החזקות בע"מ</t>
  </si>
  <si>
    <t>520034372</t>
  </si>
  <si>
    <t>שלמה החז אגח יח</t>
  </si>
  <si>
    <t>IL0014103076</t>
  </si>
  <si>
    <t>21/06/2026</t>
  </si>
  <si>
    <t>BANK HAPOALIM 3.255 21.01.32</t>
  </si>
  <si>
    <t>IL0066204707</t>
  </si>
  <si>
    <t>21/01/2032</t>
  </si>
  <si>
    <t>LUMIIT 3.275 01/29/2031</t>
  </si>
  <si>
    <t>IL0060404899</t>
  </si>
  <si>
    <t>29/01/2031</t>
  </si>
  <si>
    <t>MIZRAHIT 3.077 04/07/31</t>
  </si>
  <si>
    <t>IL0069508369</t>
  </si>
  <si>
    <t>07/04/2031</t>
  </si>
  <si>
    <t>NAV
(במטבע הדיווח של קרן ההשקעה)</t>
  </si>
  <si>
    <t>Fimi Israel Opportunity</t>
  </si>
  <si>
    <t>530278548</t>
  </si>
  <si>
    <t>Fimi Apportunity 7 l.p</t>
  </si>
  <si>
    <t>כתובת: יגאל אלון 94 , תל אביב</t>
  </si>
  <si>
    <t>31/05/2021</t>
  </si>
  <si>
    <t>08/09/2024</t>
  </si>
  <si>
    <t>IGP</t>
  </si>
  <si>
    <t>540281839</t>
  </si>
  <si>
    <t>IGP Investments II</t>
  </si>
  <si>
    <t>כתובת:  אריק איינשטיין 3 , הרצליה</t>
  </si>
  <si>
    <t>19/07/2018</t>
  </si>
  <si>
    <t>קומרה קפיטל</t>
  </si>
  <si>
    <t>540310885</t>
  </si>
  <si>
    <t>Qumra Capital</t>
  </si>
  <si>
    <t>כתובת: הנביאים 4 , תל אביב</t>
  </si>
  <si>
    <t>07/03/2021</t>
  </si>
  <si>
    <t>29/07/2024</t>
  </si>
  <si>
    <t>Vertex 2 Fund</t>
  </si>
  <si>
    <t>27370</t>
  </si>
  <si>
    <t>Vertex II Fund</t>
  </si>
  <si>
    <t>10/02/2019</t>
  </si>
  <si>
    <t>15/04/2019</t>
  </si>
  <si>
    <t>Vertex</t>
  </si>
  <si>
    <t>540283272</t>
  </si>
  <si>
    <t>Vertex VI Fund</t>
  </si>
  <si>
    <t>כתובת: השיקמה 1 , סביון</t>
  </si>
  <si>
    <t>04/01/2021</t>
  </si>
  <si>
    <t>ויטהלייף</t>
  </si>
  <si>
    <t>550226906</t>
  </si>
  <si>
    <t>VITALIFE</t>
  </si>
  <si>
    <t>כתובת: הברזל 32 , רמת החייל , תל אביב</t>
  </si>
  <si>
    <t>15/12/2020</t>
  </si>
  <si>
    <t>גולדן גייט קרן הון סיכון ב</t>
  </si>
  <si>
    <t>512875410</t>
  </si>
  <si>
    <t>גולדן גייט</t>
  </si>
  <si>
    <t>31/10/2017</t>
  </si>
  <si>
    <t>aMoon</t>
  </si>
  <si>
    <t>540278827</t>
  </si>
  <si>
    <t>Amoon 2 Fund  L.p</t>
  </si>
  <si>
    <t>כתובת:  שד' ירושלים 34, רעננה</t>
  </si>
  <si>
    <t>20/03/2019</t>
  </si>
  <si>
    <t>15/08/2024</t>
  </si>
  <si>
    <t>Electra</t>
  </si>
  <si>
    <t>89410</t>
  </si>
  <si>
    <t>Electra Capital PM II  Feeder 3</t>
  </si>
  <si>
    <t>Address: 4890 West Kennedy blvd. Tampa, FL 33609 USA</t>
  </si>
  <si>
    <t>29/12/2022</t>
  </si>
  <si>
    <t>11/09/2024</t>
  </si>
  <si>
    <t>IBI</t>
  </si>
  <si>
    <t>550270045</t>
  </si>
  <si>
    <t>IBI CCF</t>
  </si>
  <si>
    <t>כתובת:  אחד העם 9 תל אביב</t>
  </si>
  <si>
    <t>30/01/2022</t>
  </si>
  <si>
    <t>Millennium International</t>
  </si>
  <si>
    <t>10285</t>
  </si>
  <si>
    <t>Address: 399 Park Avenue, New York, NY 10022</t>
  </si>
  <si>
    <t>30/12/2021</t>
  </si>
  <si>
    <t>פאגאיה</t>
  </si>
  <si>
    <t>28593</t>
  </si>
  <si>
    <t>PAGAYA OPP OF FE I SER 10.21</t>
  </si>
  <si>
    <t>Address: P.O. Box 309, Ugland House, Grand Cayman, KY1-1104, Cayman Islands</t>
  </si>
  <si>
    <t>02/11/2021</t>
  </si>
  <si>
    <t>Pagaya Opportunity</t>
  </si>
  <si>
    <t>04/10/2021</t>
  </si>
  <si>
    <t>04/01/2022</t>
  </si>
  <si>
    <t>בוימלגרין קפיטל בע"מ</t>
  </si>
  <si>
    <t>520038555</t>
  </si>
  <si>
    <t>בוימלגרין</t>
  </si>
  <si>
    <t>IL0004020165</t>
  </si>
  <si>
    <t>19/10/2021</t>
  </si>
  <si>
    <t>אלון חברת הדלק לישראל בע"מ</t>
  </si>
  <si>
    <t>520041690</t>
  </si>
  <si>
    <t>אלון חברת הדלק אגח סד' א דיסקונט</t>
  </si>
  <si>
    <t>IL0011015679</t>
  </si>
  <si>
    <t>30/06/2025</t>
  </si>
  <si>
    <t>אמפל-אמריקן ישראל קורפוריישן</t>
  </si>
  <si>
    <t>130435685</t>
  </si>
  <si>
    <t>אמפל אמריקן אגח ב (מחוקה )</t>
  </si>
  <si>
    <t>IL0011103780</t>
  </si>
  <si>
    <t>01/01/2018</t>
  </si>
  <si>
    <t>31/12/2022</t>
  </si>
  <si>
    <t>04/05/2018</t>
  </si>
  <si>
    <t>אמפל אמריקן אגח ב חש 1/12</t>
  </si>
  <si>
    <t>אמפל אמריקן חש 01/13</t>
  </si>
  <si>
    <t>28/03/2018</t>
  </si>
  <si>
    <t>אמפל אמריקן חש 01/14</t>
  </si>
  <si>
    <t>אמפל אמריקן חש 1/15</t>
  </si>
  <si>
    <t>בולוס גד תיירות ומלונאות בע"מ</t>
  </si>
  <si>
    <t>512559824</t>
  </si>
  <si>
    <t>בולוס גד תיירות  אג"ח מחוקה</t>
  </si>
  <si>
    <t>IL0010851173</t>
  </si>
  <si>
    <t>N/R</t>
  </si>
  <si>
    <t>05/05/2008</t>
  </si>
  <si>
    <t>15/03/2018</t>
  </si>
  <si>
    <t>בולוס גד תיירות ומלונאות אג"ח(מחוקה)</t>
  </si>
  <si>
    <t>il1087816</t>
  </si>
  <si>
    <t>31/08/2020</t>
  </si>
  <si>
    <t>בנק לאומי ש.ה  6.6%</t>
  </si>
  <si>
    <t>80006929</t>
  </si>
  <si>
    <t>23/01/2019</t>
  </si>
  <si>
    <t>24/01/2027</t>
  </si>
  <si>
    <t>אי תלות</t>
  </si>
  <si>
    <t>בסר לאס וגאס</t>
  </si>
  <si>
    <t>513751610</t>
  </si>
  <si>
    <t>בסר לאס וגס סידרה 1</t>
  </si>
  <si>
    <t>800068835</t>
  </si>
  <si>
    <t>30/09/2008</t>
  </si>
  <si>
    <t>דרך ארץ הייווייז (1997) בע"מ</t>
  </si>
  <si>
    <t>512475203</t>
  </si>
  <si>
    <t>דרך ארץ א מאוחדת A2</t>
  </si>
  <si>
    <t>800068801</t>
  </si>
  <si>
    <t>03/12/2017</t>
  </si>
  <si>
    <t>קאר אנד גו (סדרה א) בע"מ</t>
  </si>
  <si>
    <t>513406835</t>
  </si>
  <si>
    <t>מחוקה _קאר אנד גו %7.4 (חודשי+קרן) 07</t>
  </si>
  <si>
    <t>IL0010882020</t>
  </si>
  <si>
    <t>10/08/2007</t>
  </si>
  <si>
    <t>28/12/2014</t>
  </si>
  <si>
    <t>NIS</t>
  </si>
  <si>
    <t>EURO</t>
  </si>
  <si>
    <t>בנק דיסקונט</t>
  </si>
  <si>
    <t>3126828</t>
  </si>
  <si>
    <t>3126850</t>
  </si>
  <si>
    <t>3196042</t>
  </si>
  <si>
    <t>CPI</t>
  </si>
  <si>
    <t>Fimi Israel Opportunity 7</t>
  </si>
  <si>
    <t>usd</t>
  </si>
  <si>
    <t>IGP II</t>
  </si>
  <si>
    <t>קומרה קפיטל III</t>
  </si>
  <si>
    <t>Vertex VI</t>
  </si>
  <si>
    <t>aMoon 2</t>
  </si>
  <si>
    <t>עינת מאיר , מנכ"ל</t>
  </si>
  <si>
    <t>einat.meir@dbank.co.il</t>
  </si>
  <si>
    <t>Baa1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</si>
</sst>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 * #,##0.00_ ;_ * \-#,##0.00_ ;_ * &quot;-&quot;??_ ;_ @_ "/>
    <numFmt numFmtId="164" formatCode="#,##0.00%"/>
    <numFmt numFmtId="165" formatCode="0.000"/>
    <numFmt numFmtId="166" formatCode="0.000000"/>
    <numFmt numFmtId="167" formatCode="0.000%"/>
    <numFmt numFmtId="168" formatCode="0.0"/>
  </numFmts>
  <fonts count="28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7">
    <xf numFmtId="0" fontId="0" fillId="0" borderId="0"/>
    <xf numFmtId="43" fontId="10" fillId="0" borderId="0"/>
    <xf numFmtId="0" fontId="10" fillId="0" borderId="0"/>
    <xf numFmtId="0" fontId="10" fillId="0" borderId="0"/>
    <xf numFmtId="9" fontId="10" fillId="0" borderId="0"/>
    <xf numFmtId="0" fontId="2" fillId="0" borderId="0"/>
    <xf numFmtId="0" fontId="2" fillId="0" borderId="0"/>
  </cellStyleXfs>
  <cellXfs count="197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/>
    <xf numFmtId="0" fontId="5" fillId="0" borderId="0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/>
    <xf numFmtId="0" fontId="5" fillId="0" borderId="1" xfId="0" applyNumberFormat="1" applyFont="1" applyFill="1" applyBorder="1" applyProtection="1">
      <protection locked="0"/>
    </xf>
    <xf numFmtId="0" fontId="4" fillId="0" borderId="2" xfId="0" applyNumberFormat="1" applyFont="1" applyFill="1" applyBorder="1" applyProtection="1">
      <protection locked="0"/>
    </xf>
    <xf numFmtId="0" fontId="4" fillId="0" borderId="1" xfId="0" applyNumberFormat="1" applyFont="1" applyFill="1" applyBorder="1" applyProtection="1">
      <protection locked="0"/>
    </xf>
    <xf numFmtId="0" fontId="4" fillId="0" borderId="0" xfId="0" applyNumberFormat="1" applyFont="1" applyFill="1" applyBorder="1" applyAlignment="1">
      <alignment horizontal="right" readingOrder="1"/>
    </xf>
    <xf numFmtId="0" fontId="9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4" fontId="3" fillId="0" borderId="0" xfId="0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11" fillId="4" borderId="0" xfId="0" applyNumberFormat="1" applyFont="1" applyFill="1" applyBorder="1"/>
    <xf numFmtId="0" fontId="12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6" fillId="4" borderId="0" xfId="0" applyNumberFormat="1" applyFont="1" applyFill="1" applyBorder="1"/>
    <xf numFmtId="0" fontId="4" fillId="0" borderId="0" xfId="0" applyNumberFormat="1" applyFont="1" applyFill="1" applyBorder="1" applyProtection="1">
      <protection locked="0"/>
    </xf>
    <xf numFmtId="0" fontId="8" fillId="3" borderId="3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Protection="1">
      <protection locked="0"/>
    </xf>
    <xf numFmtId="0" fontId="4" fillId="2" borderId="4" xfId="0" applyNumberFormat="1" applyFont="1" applyFill="1" applyBorder="1" applyAlignment="1">
      <alignment horizontal="right"/>
    </xf>
    <xf numFmtId="0" fontId="4" fillId="0" borderId="4" xfId="0" applyNumberFormat="1" applyFont="1" applyFill="1" applyBorder="1" applyAlignment="1">
      <alignment horizontal="right"/>
    </xf>
    <xf numFmtId="0" fontId="14" fillId="0" borderId="0" xfId="0" applyNumberFormat="1" applyFont="1" applyFill="1" applyBorder="1"/>
    <xf numFmtId="14" fontId="3" fillId="0" borderId="0" xfId="0" applyNumberFormat="1" applyFont="1" applyFill="1" applyBorder="1" applyAlignment="1">
      <alignment horizontal="center"/>
    </xf>
    <xf numFmtId="0" fontId="14" fillId="0" borderId="0" xfId="0" applyNumberFormat="1" applyFont="1" applyFill="1" applyBorder="1" applyAlignment="1">
      <alignment horizontal="right" vertical="top"/>
    </xf>
    <xf numFmtId="0" fontId="0" fillId="0" borderId="0" xfId="0" applyNumberFormat="1" applyFont="1" applyFill="1" applyBorder="1" applyAlignment="1">
      <alignment horizontal="right" vertical="top" wrapText="1"/>
    </xf>
    <xf numFmtId="0" fontId="3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Alignment="1">
      <alignment horizontal="right" vertical="top"/>
    </xf>
    <xf numFmtId="0" fontId="8" fillId="3" borderId="9" xfId="0" applyNumberFormat="1" applyFont="1" applyFill="1" applyBorder="1" applyAlignment="1">
      <alignment horizontal="center" vertical="center" wrapText="1"/>
    </xf>
    <xf numFmtId="0" fontId="14" fillId="0" borderId="0" xfId="0" applyNumberFormat="1" applyFont="1" applyFill="1" applyBorder="1" applyProtection="1">
      <protection locked="0"/>
    </xf>
    <xf numFmtId="0" fontId="13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5" fillId="3" borderId="8" xfId="0" applyNumberFormat="1" applyFont="1" applyFill="1" applyBorder="1" applyAlignment="1">
      <alignment vertical="center"/>
    </xf>
    <xf numFmtId="0" fontId="15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4" fillId="0" borderId="0" xfId="0" applyNumberFormat="1" applyFont="1" applyFill="1" applyBorder="1" applyAlignment="1">
      <alignment horizontal="right"/>
    </xf>
    <xf numFmtId="0" fontId="17" fillId="0" borderId="0" xfId="0" applyNumberFormat="1" applyFont="1" applyFill="1" applyBorder="1"/>
    <xf numFmtId="0" fontId="18" fillId="0" borderId="1" xfId="0" applyNumberFormat="1" applyFont="1" applyFill="1" applyBorder="1" applyAlignment="1">
      <alignment vertical="center" wrapText="1" readingOrder="2"/>
    </xf>
    <xf numFmtId="0" fontId="18" fillId="0" borderId="1" xfId="0" applyNumberFormat="1" applyFont="1" applyFill="1" applyBorder="1" applyAlignment="1">
      <alignment horizontal="right" vertical="center" wrapText="1" readingOrder="2"/>
    </xf>
    <xf numFmtId="2" fontId="18" fillId="0" borderId="1" xfId="0" applyNumberFormat="1" applyFont="1" applyFill="1" applyBorder="1" applyAlignment="1">
      <alignment vertical="center" wrapText="1" readingOrder="2"/>
    </xf>
    <xf numFmtId="165" fontId="18" fillId="0" borderId="1" xfId="0" applyNumberFormat="1" applyFont="1" applyFill="1" applyBorder="1" applyAlignment="1">
      <alignment vertical="center" wrapText="1" readingOrder="2"/>
    </xf>
    <xf numFmtId="0" fontId="3" fillId="6" borderId="0" xfId="0" applyNumberFormat="1" applyFont="1" applyFill="1" applyBorder="1"/>
    <xf numFmtId="1" fontId="0" fillId="0" borderId="0" xfId="0" applyNumberFormat="1" applyFont="1" applyFill="1" applyBorder="1" applyAlignment="1">
      <alignment horizontal="right"/>
    </xf>
    <xf numFmtId="0" fontId="19" fillId="0" borderId="1" xfId="0" applyNumberFormat="1" applyFont="1" applyFill="1" applyBorder="1" applyAlignment="1">
      <alignment vertical="center" wrapText="1" readingOrder="2"/>
    </xf>
    <xf numFmtId="0" fontId="7" fillId="3" borderId="11" xfId="0" applyNumberFormat="1" applyFont="1" applyFill="1" applyBorder="1" applyAlignment="1">
      <alignment horizontal="center" vertical="center" wrapText="1"/>
    </xf>
    <xf numFmtId="0" fontId="8" fillId="3" borderId="11" xfId="0" applyNumberFormat="1" applyFont="1" applyFill="1" applyBorder="1" applyAlignment="1">
      <alignment horizontal="center" vertical="center" wrapText="1"/>
    </xf>
    <xf numFmtId="0" fontId="8" fillId="3" borderId="11" xfId="0" applyNumberFormat="1" applyFont="1" applyFill="1" applyBorder="1" applyAlignment="1">
      <alignment horizontal="right" vertical="center" wrapText="1"/>
    </xf>
    <xf numFmtId="0" fontId="9" fillId="0" borderId="11" xfId="0" applyNumberFormat="1" applyFont="1" applyFill="1" applyBorder="1"/>
    <xf numFmtId="0" fontId="9" fillId="0" borderId="11" xfId="0" applyNumberFormat="1" applyFont="1" applyFill="1" applyBorder="1" applyAlignment="1">
      <alignment horizontal="center" vertical="center" wrapText="1"/>
    </xf>
    <xf numFmtId="0" fontId="16" fillId="0" borderId="11" xfId="0" applyNumberFormat="1" applyFont="1" applyFill="1" applyBorder="1" applyAlignment="1">
      <alignment horizontal="center" vertical="center" wrapText="1"/>
    </xf>
    <xf numFmtId="0" fontId="20" fillId="3" borderId="4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/>
    <xf numFmtId="0" fontId="0" fillId="0" borderId="4" xfId="0" applyNumberFormat="1" applyFont="1" applyFill="1" applyBorder="1" applyAlignment="1">
      <alignment horizontal="right"/>
    </xf>
    <xf numFmtId="0" fontId="0" fillId="0" borderId="5" xfId="0" applyNumberFormat="1" applyFont="1" applyFill="1" applyBorder="1" applyAlignment="1">
      <alignment horizontal="right"/>
    </xf>
    <xf numFmtId="0" fontId="0" fillId="2" borderId="5" xfId="0" applyNumberFormat="1" applyFont="1" applyFill="1" applyBorder="1" applyAlignment="1">
      <alignment horizontal="right"/>
    </xf>
    <xf numFmtId="0" fontId="0" fillId="2" borderId="7" xfId="0" applyNumberFormat="1" applyFont="1" applyFill="1" applyBorder="1" applyAlignment="1">
      <alignment horizontal="right"/>
    </xf>
    <xf numFmtId="0" fontId="21" fillId="0" borderId="0" xfId="0" applyNumberFormat="1" applyFont="1" applyFill="1" applyBorder="1"/>
    <xf numFmtId="0" fontId="0" fillId="0" borderId="7" xfId="0" applyNumberFormat="1" applyFont="1" applyFill="1" applyBorder="1" applyAlignment="1">
      <alignment horizontal="right"/>
    </xf>
    <xf numFmtId="0" fontId="3" fillId="2" borderId="5" xfId="0" applyNumberFormat="1" applyFont="1" applyFill="1" applyBorder="1" applyAlignment="1">
      <alignment horizontal="center"/>
    </xf>
    <xf numFmtId="0" fontId="3" fillId="2" borderId="6" xfId="0" applyNumberFormat="1" applyFont="1" applyFill="1" applyBorder="1" applyAlignment="1">
      <alignment horizontal="center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7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0" fillId="0" borderId="7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3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2" borderId="7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center"/>
    </xf>
    <xf numFmtId="0" fontId="3" fillId="0" borderId="5" xfId="0" applyNumberFormat="1" applyFont="1" applyFill="1" applyBorder="1" applyAlignment="1">
      <alignment horizontal="center"/>
    </xf>
    <xf numFmtId="0" fontId="3" fillId="0" borderId="6" xfId="0" applyNumberFormat="1" applyFont="1" applyFill="1" applyBorder="1" applyAlignment="1">
      <alignment horizontal="center"/>
    </xf>
    <xf numFmtId="0" fontId="3" fillId="0" borderId="7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6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vertical="center" wrapText="1"/>
    </xf>
    <xf numFmtId="0" fontId="0" fillId="2" borderId="7" xfId="0" applyNumberFormat="1" applyFont="1" applyFill="1" applyBorder="1" applyAlignment="1">
      <alignment vertical="center" wrapText="1"/>
    </xf>
    <xf numFmtId="0" fontId="3" fillId="0" borderId="10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 wrapText="1"/>
    </xf>
    <xf numFmtId="0" fontId="0" fillId="2" borderId="6" xfId="0" applyNumberFormat="1" applyFont="1" applyFill="1" applyBorder="1" applyAlignment="1">
      <alignment horizontal="right" vertical="top" wrapText="1"/>
    </xf>
    <xf numFmtId="0" fontId="3" fillId="2" borderId="5" xfId="0" applyNumberFormat="1" applyFont="1" applyFill="1" applyBorder="1" applyAlignment="1">
      <alignment horizontal="right" vertical="top"/>
    </xf>
    <xf numFmtId="0" fontId="3" fillId="2" borderId="10" xfId="0" applyNumberFormat="1" applyFont="1" applyFill="1" applyBorder="1" applyAlignment="1">
      <alignment horizontal="right" vertical="top"/>
    </xf>
    <xf numFmtId="0" fontId="3" fillId="2" borderId="6" xfId="0" applyNumberFormat="1" applyFont="1" applyFill="1" applyBorder="1" applyAlignment="1">
      <alignment horizontal="right" vertical="top"/>
    </xf>
    <xf numFmtId="0" fontId="4" fillId="0" borderId="5" xfId="0" applyNumberFormat="1" applyFont="1" applyFill="1" applyBorder="1" applyAlignment="1">
      <alignment horizontal="right" vertical="top"/>
    </xf>
    <xf numFmtId="0" fontId="4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2" borderId="6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13" fillId="5" borderId="12" xfId="2" applyNumberFormat="1" applyFont="1" applyFill="1" applyBorder="1" applyAlignment="1" applyProtection="1">
      <alignment horizontal="right" vertical="center" wrapText="1"/>
      <protection locked="0"/>
    </xf>
    <xf numFmtId="0" fontId="13" fillId="5" borderId="12" xfId="2" applyNumberFormat="1" applyFont="1" applyFill="1" applyBorder="1" applyAlignment="1">
      <alignment horizontal="right" vertical="center" wrapText="1"/>
    </xf>
    <xf numFmtId="0" fontId="13" fillId="5" borderId="12" xfId="2" applyNumberFormat="1" applyFont="1" applyFill="1" applyBorder="1" applyAlignment="1" applyProtection="1">
      <alignment horizontal="left" vertical="center" wrapText="1" indent="1"/>
      <protection locked="0"/>
    </xf>
    <xf numFmtId="0" fontId="13" fillId="5" borderId="12" xfId="2" applyNumberFormat="1" applyFont="1" applyFill="1" applyBorder="1" applyAlignment="1" applyProtection="1">
      <alignment vertical="center" wrapText="1"/>
      <protection locked="0"/>
    </xf>
    <xf numFmtId="0" fontId="8" fillId="3" borderId="13" xfId="0" applyNumberFormat="1" applyFont="1" applyFill="1" applyBorder="1" applyAlignment="1">
      <alignment horizontal="right" vertical="center"/>
    </xf>
    <xf numFmtId="0" fontId="8" fillId="3" borderId="3" xfId="0" applyNumberFormat="1" applyFont="1" applyFill="1" applyBorder="1" applyAlignment="1">
      <alignment horizontal="center" vertical="center" wrapText="1" readingOrder="2"/>
    </xf>
    <xf numFmtId="0" fontId="19" fillId="0" borderId="15" xfId="0" applyNumberFormat="1" applyFont="1" applyFill="1" applyBorder="1"/>
    <xf numFmtId="0" fontId="19" fillId="0" borderId="16" xfId="0" applyNumberFormat="1" applyFont="1" applyFill="1" applyBorder="1"/>
    <xf numFmtId="0" fontId="19" fillId="0" borderId="17" xfId="0" applyNumberFormat="1" applyFont="1" applyFill="1" applyBorder="1" applyAlignment="1">
      <alignment horizontal="right"/>
    </xf>
    <xf numFmtId="0" fontId="22" fillId="0" borderId="1" xfId="0" applyNumberFormat="1" applyFont="1" applyFill="1" applyBorder="1" applyAlignment="1">
      <alignment horizontal="center" vertical="center" wrapText="1" readingOrder="2"/>
    </xf>
    <xf numFmtId="0" fontId="23" fillId="0" borderId="1" xfId="0" applyNumberFormat="1" applyFont="1" applyFill="1" applyBorder="1" applyAlignment="1">
      <alignment vertical="center" wrapText="1" readingOrder="2"/>
    </xf>
    <xf numFmtId="0" fontId="3" fillId="2" borderId="5" xfId="0" applyNumberFormat="1" applyFont="1" applyFill="1" applyBorder="1" applyAlignment="1">
      <alignment horizontal="right"/>
    </xf>
    <xf numFmtId="0" fontId="4" fillId="0" borderId="18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right"/>
    </xf>
    <xf numFmtId="0" fontId="3" fillId="2" borderId="6" xfId="0" applyNumberFormat="1" applyFont="1" applyFill="1" applyBorder="1" applyAlignment="1">
      <alignment horizontal="right"/>
    </xf>
    <xf numFmtId="0" fontId="0" fillId="0" borderId="19" xfId="0" applyNumberFormat="1" applyFont="1" applyFill="1" applyBorder="1" applyAlignment="1">
      <alignment horizontal="right" vertical="top"/>
    </xf>
    <xf numFmtId="0" fontId="0" fillId="0" borderId="2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horizontal="right" vertical="top" wrapText="1"/>
    </xf>
    <xf numFmtId="0" fontId="0" fillId="0" borderId="7" xfId="0" applyNumberFormat="1" applyFont="1" applyFill="1" applyBorder="1" applyAlignment="1">
      <alignment vertical="top" wrapText="1"/>
    </xf>
    <xf numFmtId="0" fontId="14" fillId="2" borderId="4" xfId="0" applyNumberFormat="1" applyFont="1" applyFill="1" applyBorder="1" applyAlignment="1">
      <alignment horizontal="right"/>
    </xf>
    <xf numFmtId="0" fontId="19" fillId="0" borderId="0" xfId="0" applyNumberFormat="1" applyFont="1" applyFill="1" applyBorder="1"/>
    <xf numFmtId="0" fontId="3" fillId="2" borderId="4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4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 readingOrder="1"/>
    </xf>
    <xf numFmtId="0" fontId="0" fillId="0" borderId="4" xfId="0" applyNumberFormat="1" applyFont="1" applyFill="1" applyBorder="1" applyAlignment="1">
      <alignment readingOrder="1"/>
    </xf>
    <xf numFmtId="0" fontId="3" fillId="0" borderId="0" xfId="0" applyNumberFormat="1" applyFont="1" applyFill="1" applyBorder="1" applyAlignment="1">
      <alignment horizontal="right"/>
    </xf>
    <xf numFmtId="0" fontId="25" fillId="2" borderId="4" xfId="0" applyNumberFormat="1" applyFont="1" applyFill="1" applyBorder="1" applyAlignment="1">
      <alignment horizontal="right"/>
    </xf>
    <xf numFmtId="0" fontId="4" fillId="6" borderId="4" xfId="0" applyNumberFormat="1" applyFont="1" applyFill="1" applyBorder="1" applyAlignment="1">
      <alignment horizontal="right"/>
    </xf>
    <xf numFmtId="0" fontId="26" fillId="0" borderId="0" xfId="0" applyNumberFormat="1" applyFont="1" applyFill="1" applyBorder="1" applyProtection="1">
      <protection locked="0"/>
    </xf>
    <xf numFmtId="0" fontId="26" fillId="0" borderId="0" xfId="0" applyNumberFormat="1" applyFont="1" applyFill="1" applyBorder="1"/>
    <xf numFmtId="43" fontId="8" fillId="3" borderId="11" xfId="1" applyNumberFormat="1" applyFont="1" applyFill="1" applyBorder="1" applyAlignment="1">
      <alignment horizontal="center" vertical="center" wrapText="1"/>
    </xf>
    <xf numFmtId="43" fontId="9" fillId="0" borderId="11" xfId="1" applyNumberFormat="1" applyFont="1" applyFill="1" applyBorder="1" applyAlignment="1">
      <alignment horizontal="center" vertical="center" wrapText="1"/>
    </xf>
    <xf numFmtId="43" fontId="16" fillId="0" borderId="11" xfId="1" applyNumberFormat="1" applyFont="1" applyFill="1" applyBorder="1" applyAlignment="1">
      <alignment horizontal="center" vertical="center" wrapText="1"/>
    </xf>
    <xf numFmtId="43" fontId="9" fillId="0" borderId="0" xfId="1" applyNumberFormat="1" applyFont="1" applyFill="1" applyBorder="1" applyAlignment="1">
      <alignment horizontal="center" vertical="center" wrapText="1"/>
    </xf>
    <xf numFmtId="43" fontId="8" fillId="3" borderId="14" xfId="1" applyNumberFormat="1" applyFont="1" applyFill="1" applyBorder="1" applyAlignment="1">
      <alignment horizontal="center" vertical="center"/>
    </xf>
    <xf numFmtId="9" fontId="8" fillId="3" borderId="11" xfId="4" applyNumberFormat="1" applyFont="1" applyFill="1" applyBorder="1" applyAlignment="1">
      <alignment horizontal="center" vertical="center" wrapText="1"/>
    </xf>
    <xf numFmtId="9" fontId="9" fillId="0" borderId="11" xfId="4" applyNumberFormat="1" applyFont="1" applyFill="1" applyBorder="1" applyAlignment="1">
      <alignment horizontal="center" vertical="center" wrapText="1"/>
    </xf>
    <xf numFmtId="9" fontId="16" fillId="0" borderId="11" xfId="4" applyNumberFormat="1" applyFont="1" applyFill="1" applyBorder="1" applyAlignment="1">
      <alignment horizontal="center" vertical="center" wrapText="1"/>
    </xf>
    <xf numFmtId="9" fontId="9" fillId="0" borderId="0" xfId="4" applyNumberFormat="1" applyFont="1" applyFill="1" applyBorder="1" applyAlignment="1">
      <alignment horizontal="center" vertical="center" wrapText="1"/>
    </xf>
    <xf numFmtId="10" fontId="8" fillId="3" borderId="3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10" fontId="5" fillId="0" borderId="0" xfId="4" applyNumberFormat="1" applyFont="1" applyFill="1" applyBorder="1"/>
    <xf numFmtId="10" fontId="4" fillId="0" borderId="0" xfId="4" applyNumberFormat="1" applyFont="1" applyFill="1" applyBorder="1"/>
    <xf numFmtId="10" fontId="4" fillId="0" borderId="0" xfId="4" applyNumberFormat="1" applyFont="1" applyFill="1" applyBorder="1" applyProtection="1">
      <protection locked="0"/>
    </xf>
    <xf numFmtId="10" fontId="5" fillId="0" borderId="0" xfId="4" applyNumberFormat="1" applyFont="1" applyFill="1" applyBorder="1" applyProtection="1">
      <protection locked="0"/>
    </xf>
    <xf numFmtId="10" fontId="5" fillId="0" borderId="0" xfId="0" applyNumberFormat="1" applyFont="1" applyFill="1" applyBorder="1" applyProtection="1">
      <protection locked="0"/>
    </xf>
    <xf numFmtId="10" fontId="5" fillId="0" borderId="0" xfId="0" applyNumberFormat="1" applyFont="1" applyFill="1" applyBorder="1"/>
    <xf numFmtId="10" fontId="0" fillId="0" borderId="0" xfId="0" applyNumberFormat="1" applyFont="1" applyFill="1" applyBorder="1"/>
    <xf numFmtId="10" fontId="4" fillId="0" borderId="0" xfId="0" applyNumberFormat="1" applyFont="1" applyFill="1" applyBorder="1"/>
    <xf numFmtId="4" fontId="0" fillId="0" borderId="0" xfId="0" applyNumberFormat="1" applyFont="1" applyFill="1" applyBorder="1" applyAlignment="1">
      <alignment horizontal="center"/>
    </xf>
    <xf numFmtId="4" fontId="5" fillId="0" borderId="0" xfId="0" applyNumberFormat="1" applyFont="1" applyFill="1" applyBorder="1"/>
    <xf numFmtId="4" fontId="4" fillId="0" borderId="0" xfId="0" applyNumberFormat="1" applyFont="1" applyFill="1" applyBorder="1"/>
    <xf numFmtId="4" fontId="5" fillId="0" borderId="0" xfId="0" applyNumberFormat="1" applyFont="1" applyFill="1" applyBorder="1" applyProtection="1">
      <protection locked="0"/>
    </xf>
    <xf numFmtId="4" fontId="4" fillId="0" borderId="0" xfId="0" applyNumberFormat="1" applyFont="1" applyFill="1" applyBorder="1" applyProtection="1">
      <protection locked="0"/>
    </xf>
    <xf numFmtId="166" fontId="8" fillId="3" borderId="3" xfId="0" applyNumberFormat="1" applyFont="1" applyFill="1" applyBorder="1" applyAlignment="1">
      <alignment horizontal="center" vertical="center" wrapText="1"/>
    </xf>
    <xf numFmtId="166" fontId="5" fillId="0" borderId="0" xfId="0" applyNumberFormat="1" applyFont="1" applyFill="1" applyBorder="1"/>
    <xf numFmtId="167" fontId="8" fillId="3" borderId="3" xfId="4" applyNumberFormat="1" applyFont="1" applyFill="1" applyBorder="1" applyAlignment="1">
      <alignment horizontal="center" vertical="center" wrapText="1"/>
    </xf>
    <xf numFmtId="167" fontId="0" fillId="0" borderId="0" xfId="4" applyNumberFormat="1" applyFont="1" applyFill="1" applyBorder="1"/>
    <xf numFmtId="167" fontId="8" fillId="3" borderId="3" xfId="0" applyNumberFormat="1" applyFont="1" applyFill="1" applyBorder="1" applyAlignment="1">
      <alignment horizontal="center" vertical="center" wrapText="1"/>
    </xf>
    <xf numFmtId="167" fontId="5" fillId="0" borderId="0" xfId="0" applyNumberFormat="1" applyFont="1" applyFill="1" applyBorder="1"/>
    <xf numFmtId="167" fontId="4" fillId="0" borderId="0" xfId="0" applyNumberFormat="1" applyFont="1" applyFill="1" applyBorder="1"/>
    <xf numFmtId="166" fontId="4" fillId="0" borderId="0" xfId="0" applyNumberFormat="1" applyFont="1" applyFill="1" applyBorder="1"/>
    <xf numFmtId="165" fontId="8" fillId="3" borderId="3" xfId="0" applyNumberFormat="1" applyFont="1" applyFill="1" applyBorder="1" applyAlignment="1">
      <alignment horizontal="center" vertical="center" wrapText="1"/>
    </xf>
    <xf numFmtId="165" fontId="4" fillId="0" borderId="0" xfId="0" applyNumberFormat="1" applyFont="1" applyFill="1" applyBorder="1"/>
    <xf numFmtId="167" fontId="0" fillId="0" borderId="0" xfId="0" applyNumberFormat="1" applyFont="1" applyFill="1" applyBorder="1"/>
    <xf numFmtId="167" fontId="5" fillId="0" borderId="0" xfId="4" applyNumberFormat="1" applyFont="1" applyFill="1" applyBorder="1" applyProtection="1">
      <protection locked="0"/>
    </xf>
    <xf numFmtId="167" fontId="5" fillId="0" borderId="0" xfId="4" applyNumberFormat="1" applyFont="1" applyFill="1" applyBorder="1"/>
    <xf numFmtId="167" fontId="5" fillId="0" borderId="0" xfId="0" applyNumberFormat="1" applyFont="1" applyFill="1" applyBorder="1" applyProtection="1">
      <protection locked="0"/>
    </xf>
    <xf numFmtId="166" fontId="5" fillId="0" borderId="0" xfId="0" applyNumberFormat="1" applyFont="1" applyFill="1" applyBorder="1" applyProtection="1">
      <protection locked="0"/>
    </xf>
    <xf numFmtId="165" fontId="5" fillId="0" borderId="0" xfId="0" applyNumberFormat="1" applyFont="1" applyFill="1" applyBorder="1" applyProtection="1">
      <protection locked="0"/>
    </xf>
    <xf numFmtId="165" fontId="5" fillId="0" borderId="0" xfId="0" applyNumberFormat="1" applyFont="1" applyFill="1" applyBorder="1"/>
    <xf numFmtId="166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7" fontId="4" fillId="0" borderId="0" xfId="0" applyNumberFormat="1" applyFont="1" applyFill="1" applyBorder="1" applyProtection="1">
      <protection locked="0"/>
    </xf>
    <xf numFmtId="167" fontId="3" fillId="0" borderId="0" xfId="0" applyNumberFormat="1" applyFont="1" applyFill="1" applyBorder="1" applyProtection="1">
      <protection locked="0"/>
    </xf>
    <xf numFmtId="0" fontId="2" fillId="0" borderId="0" xfId="5" applyAlignment="1">
      <alignment horizontal="right"/>
    </xf>
    <xf numFmtId="0" fontId="2" fillId="0" borderId="0" xfId="5"/>
    <xf numFmtId="43" fontId="10" fillId="0" borderId="0" xfId="1"/>
    <xf numFmtId="4" fontId="2" fillId="0" borderId="0" xfId="6" applyNumberFormat="1"/>
    <xf numFmtId="14" fontId="0" fillId="0" borderId="0" xfId="0" applyNumberFormat="1" applyFont="1" applyFill="1" applyBorder="1" applyAlignment="1">
      <alignment horizontal="center"/>
    </xf>
    <xf numFmtId="165" fontId="0" fillId="0" borderId="0" xfId="4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14" fontId="3" fillId="0" borderId="0" xfId="0" applyNumberFormat="1" applyFont="1" applyFill="1" applyBorder="1"/>
    <xf numFmtId="2" fontId="3" fillId="0" borderId="0" xfId="0" applyNumberFormat="1" applyFont="1" applyFill="1" applyBorder="1"/>
    <xf numFmtId="14" fontId="5" fillId="0" borderId="0" xfId="0" applyNumberFormat="1" applyFont="1" applyFill="1" applyBorder="1" applyProtection="1">
      <protection locked="0"/>
    </xf>
    <xf numFmtId="0" fontId="5" fillId="0" borderId="0" xfId="0" applyNumberFormat="1" applyFont="1" applyFill="1" applyBorder="1" applyAlignment="1" applyProtection="1">
      <alignment horizontal="right"/>
      <protection locked="0"/>
    </xf>
    <xf numFmtId="168" fontId="4" fillId="0" borderId="0" xfId="0" applyNumberFormat="1" applyFont="1" applyFill="1" applyBorder="1"/>
    <xf numFmtId="10" fontId="10" fillId="0" borderId="0" xfId="4" applyNumberFormat="1"/>
    <xf numFmtId="9" fontId="10" fillId="0" borderId="0" xfId="4"/>
    <xf numFmtId="2" fontId="2" fillId="0" borderId="0" xfId="5" applyNumberFormat="1"/>
  </cellXfs>
  <cellStyles count="7">
    <cellStyle name="Comma" xfId="1" builtinId="3"/>
    <cellStyle name="Normal" xfId="0" builtinId="0"/>
    <cellStyle name="Normal 2" xfId="6" xr:uid="{D5CD51CE-E625-410A-BAED-04E3C0B29193}"/>
    <cellStyle name="Normal 3" xfId="2" xr:uid="{00000000-0005-0000-0000-000002000000}"/>
    <cellStyle name="Normal 4" xfId="5" xr:uid="{97358253-99BF-44E8-AC59-AFA26269A9DD}"/>
    <cellStyle name="Normal 9" xfId="3" xr:uid="{00000000-0005-0000-0000-000003000000}"/>
    <cellStyle name="Percent" xfId="4" builtinId="5"/>
  </cellStyles>
  <dxfs count="9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/account/Name/ALL/PDF%20&#1491;&#1493;&#1495;&#1493;&#1514;%20&#1500;&#1488;&#1493;&#1510;&#1512;%202024&#1488;&#1511;&#1505;&#1500;/&#1488;&#1511;&#1505;&#1500;%20&#1512;&#1513;&#1497;&#1502;&#1493;&#1514;%20&#1504;&#1497;&#1506;%20032024/Bld%20_discount/510142789_gm_01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showGridLines="0" rightToLeft="1" tabSelected="1" workbookViewId="0">
      <selection activeCell="D28" sqref="D28"/>
    </sheetView>
  </sheetViews>
  <sheetFormatPr defaultRowHeight="14.25"/>
  <cols>
    <col min="1" max="1" width="29.5" bestFit="1" customWidth="1"/>
    <col min="2" max="2" width="11" customWidth="1"/>
    <col min="3" max="3" width="4.625" customWidth="1"/>
    <col min="4" max="4" width="67.5" customWidth="1"/>
    <col min="10" max="10" width="34.75" customWidth="1"/>
    <col min="11" max="11" width="25.875" customWidth="1"/>
    <col min="12" max="12" width="21.5" customWidth="1"/>
  </cols>
  <sheetData>
    <row r="1" spans="1:8" ht="18">
      <c r="A1" s="35" t="s">
        <v>125</v>
      </c>
      <c r="B1" s="36"/>
      <c r="C1" s="36"/>
      <c r="D1" s="36"/>
    </row>
    <row r="3" spans="1:8">
      <c r="A3" t="s">
        <v>126</v>
      </c>
      <c r="D3" s="104" t="s">
        <v>127</v>
      </c>
    </row>
    <row r="5" spans="1:8">
      <c r="A5" t="s">
        <v>128</v>
      </c>
      <c r="D5" s="104" t="s">
        <v>1153</v>
      </c>
    </row>
    <row r="7" spans="1:8">
      <c r="A7" t="s">
        <v>129</v>
      </c>
      <c r="D7" s="104" t="s">
        <v>1158</v>
      </c>
    </row>
    <row r="8" spans="1:8">
      <c r="D8" s="34"/>
      <c r="E8" s="34"/>
      <c r="F8" s="34"/>
      <c r="G8" s="34"/>
      <c r="H8" s="34"/>
    </row>
    <row r="9" spans="1:8">
      <c r="A9" t="s">
        <v>130</v>
      </c>
      <c r="D9" s="104">
        <v>2024</v>
      </c>
    </row>
    <row r="11" spans="1:8">
      <c r="A11" t="s">
        <v>131</v>
      </c>
      <c r="D11" s="104" t="s">
        <v>1197</v>
      </c>
    </row>
    <row r="13" spans="1:8">
      <c r="A13" t="s">
        <v>132</v>
      </c>
      <c r="D13" s="105">
        <f>IFERROR(VLOOKUP(D11,'File Name Info'!A35:B121,2,0),"תא מחושב")</f>
        <v>510142789</v>
      </c>
    </row>
    <row r="15" spans="1:8" ht="15">
      <c r="A15" s="20" t="s">
        <v>133</v>
      </c>
      <c r="D15" s="105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510142789_gm_p_0324.xlsx</v>
      </c>
    </row>
    <row r="16" spans="1:8" ht="15">
      <c r="A16" s="20"/>
      <c r="D16" s="34"/>
      <c r="E16" s="34"/>
      <c r="F16" s="34"/>
      <c r="G16" s="34"/>
      <c r="H16" s="34"/>
    </row>
    <row r="17" spans="1:8" ht="15">
      <c r="A17" s="20" t="s">
        <v>134</v>
      </c>
      <c r="B17" s="18" t="s">
        <v>135</v>
      </c>
      <c r="C17" s="18"/>
      <c r="D17" s="106" t="s">
        <v>1825</v>
      </c>
    </row>
    <row r="18" spans="1:8">
      <c r="A18" s="16"/>
      <c r="D18" s="19"/>
      <c r="E18" s="19"/>
      <c r="F18" s="19"/>
      <c r="G18" s="19"/>
      <c r="H18" s="19"/>
    </row>
    <row r="19" spans="1:8">
      <c r="A19" s="16"/>
      <c r="B19" s="18" t="s">
        <v>136</v>
      </c>
      <c r="C19" s="18"/>
      <c r="D19" s="106"/>
    </row>
    <row r="20" spans="1:8">
      <c r="A20" s="16"/>
      <c r="D20" s="19"/>
      <c r="E20" s="19"/>
      <c r="F20" s="19"/>
      <c r="G20" s="19"/>
      <c r="H20" s="19"/>
    </row>
    <row r="21" spans="1:8">
      <c r="A21" s="16"/>
      <c r="B21" s="18" t="s">
        <v>137</v>
      </c>
      <c r="C21" s="18"/>
      <c r="D21" s="107" t="s">
        <v>1826</v>
      </c>
    </row>
    <row r="22" spans="1:8">
      <c r="A22" s="16"/>
      <c r="B22" s="17"/>
      <c r="C22" s="17"/>
    </row>
    <row r="23" spans="1:8" ht="15">
      <c r="A23" s="20"/>
    </row>
    <row r="25" spans="1:8">
      <c r="D25" s="1"/>
    </row>
    <row r="28" spans="1:8" ht="14.1" customHeight="1">
      <c r="A28" s="28"/>
      <c r="D28" s="29"/>
      <c r="E28" s="31"/>
      <c r="F28" s="31"/>
      <c r="G28" s="31"/>
      <c r="H28" s="31"/>
    </row>
    <row r="29" spans="1:8">
      <c r="D29" s="18"/>
      <c r="E29" s="18"/>
      <c r="F29" s="18"/>
      <c r="G29" s="18"/>
      <c r="H29" s="18"/>
    </row>
  </sheetData>
  <conditionalFormatting sqref="D3">
    <cfRule type="containsText" dxfId="8" priority="15" operator="containsText" text="Please fill in data">
      <formula>NOT(ISERROR(SEARCH("Please fill in data",D3)))</formula>
    </cfRule>
  </conditionalFormatting>
  <conditionalFormatting sqref="D5">
    <cfRule type="containsText" dxfId="7" priority="9" operator="containsText" text="Please fill in data">
      <formula>NOT(ISERROR(SEARCH("Please fill in data",D5)))</formula>
    </cfRule>
  </conditionalFormatting>
  <conditionalFormatting sqref="D7:D9">
    <cfRule type="containsText" dxfId="6" priority="7" operator="containsText" text="Please fill in data">
      <formula>NOT(ISERROR(SEARCH("Please fill in data",D7)))</formula>
    </cfRule>
  </conditionalFormatting>
  <conditionalFormatting sqref="D11">
    <cfRule type="containsText" dxfId="5" priority="6" operator="containsText" text="Please fill in data">
      <formula>NOT(ISERROR(SEARCH("Please fill in data",D11)))</formula>
    </cfRule>
  </conditionalFormatting>
  <conditionalFormatting sqref="D13">
    <cfRule type="containsText" dxfId="4" priority="5" operator="containsText" text="Please fill in data">
      <formula>NOT(ISERROR(SEARCH("Please fill in data",D13)))</formula>
    </cfRule>
  </conditionalFormatting>
  <conditionalFormatting sqref="D15:D16">
    <cfRule type="containsText" dxfId="3" priority="3" operator="containsText" text="Please fill in data">
      <formula>NOT(ISERROR(SEARCH("Please fill in data",D15)))</formula>
    </cfRule>
  </conditionalFormatting>
  <conditionalFormatting sqref="D19">
    <cfRule type="containsText" dxfId="2" priority="22" operator="containsText" text="Please fill in data">
      <formula>NOT(ISERROR(SEARCH("Please fill in data",D19)))</formula>
    </cfRule>
  </conditionalFormatting>
  <conditionalFormatting sqref="D17">
    <cfRule type="containsText" dxfId="1" priority="2" operator="containsText" text="Please fill in data">
      <formula>NOT(ISERROR(SEARCH("Please fill in data",D17)))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32"/>
  <sheetViews>
    <sheetView showGridLines="0" rightToLeft="1" topLeftCell="A9" workbookViewId="0">
      <selection activeCell="C39" sqref="C39"/>
    </sheetView>
  </sheetViews>
  <sheetFormatPr defaultColWidth="9" defaultRowHeight="12.75"/>
  <cols>
    <col min="1" max="1" width="42.75" style="9" customWidth="1"/>
    <col min="2" max="2" width="13" style="140" customWidth="1"/>
    <col min="3" max="3" width="13" style="10" customWidth="1"/>
    <col min="4" max="4" width="13" style="140" customWidth="1"/>
    <col min="5" max="5" width="13" style="145" customWidth="1"/>
    <col min="6" max="6" width="11.125" style="9" customWidth="1"/>
    <col min="7" max="8" width="8.625" style="9" customWidth="1"/>
    <col min="9" max="10" width="9" style="9" customWidth="1"/>
    <col min="11" max="12" width="8.625" style="9" customWidth="1"/>
    <col min="13" max="13" width="9" style="9" customWidth="1"/>
    <col min="14" max="16384" width="9" style="9"/>
  </cols>
  <sheetData>
    <row r="1" spans="1:5" ht="18.75" customHeight="1">
      <c r="A1" s="47"/>
      <c r="B1" s="137"/>
      <c r="C1" s="108" t="s">
        <v>1126</v>
      </c>
      <c r="D1" s="141"/>
      <c r="E1" s="142"/>
    </row>
    <row r="2" spans="1:5" ht="39.75" customHeight="1">
      <c r="A2" s="47"/>
      <c r="B2" s="137" t="s">
        <v>36</v>
      </c>
      <c r="C2" s="48" t="s">
        <v>848</v>
      </c>
      <c r="D2" s="137" t="s">
        <v>22</v>
      </c>
      <c r="E2" s="142" t="s">
        <v>1127</v>
      </c>
    </row>
    <row r="3" spans="1:5">
      <c r="A3" s="50" t="s">
        <v>901</v>
      </c>
      <c r="B3" s="138">
        <f>SUM('מזומנים ושווי מזומנים'!O:O)</f>
        <v>45530.567999999992</v>
      </c>
      <c r="C3" s="51"/>
      <c r="D3" s="138">
        <f>B3+C3</f>
        <v>45530.567999999992</v>
      </c>
      <c r="E3" s="143">
        <f>SUM('מזומנים ושווי מזומנים'!O:O)/B30</f>
        <v>4.8343440519105788E-2</v>
      </c>
    </row>
    <row r="4" spans="1:5">
      <c r="A4" s="50" t="s">
        <v>911</v>
      </c>
      <c r="B4" s="138">
        <f>SUM('איגרות חוב ממשלתיות'!U:U)</f>
        <v>253570.51400000002</v>
      </c>
      <c r="C4" s="51"/>
      <c r="D4" s="138">
        <f t="shared" ref="D4:D29" si="0">B4+C4</f>
        <v>253570.51400000002</v>
      </c>
      <c r="E4" s="143">
        <f>SUM('איגרות חוב ממשלתיות'!U:U)/B30</f>
        <v>0.26923606709580439</v>
      </c>
    </row>
    <row r="5" spans="1:5">
      <c r="A5" s="50" t="s">
        <v>917</v>
      </c>
      <c r="B5" s="138">
        <f>SUM('ניירות ערך מסחריים'!AD:AD)</f>
        <v>0</v>
      </c>
      <c r="C5" s="51"/>
      <c r="D5" s="138">
        <f t="shared" si="0"/>
        <v>0</v>
      </c>
      <c r="E5" s="143">
        <f>SUM('ניירות ערך מסחריים'!AD:AD)/B30</f>
        <v>0</v>
      </c>
    </row>
    <row r="6" spans="1:5">
      <c r="A6" s="50" t="s">
        <v>918</v>
      </c>
      <c r="B6" s="138">
        <f>SUM('איגרות חוב'!AD:AD)</f>
        <v>171226.15700000001</v>
      </c>
      <c r="C6" s="51"/>
      <c r="D6" s="138">
        <f t="shared" si="0"/>
        <v>171226.15700000001</v>
      </c>
      <c r="E6" s="143">
        <f>SUM('איגרות חוב'!AD:AD)/B30</f>
        <v>0.18180448652089232</v>
      </c>
    </row>
    <row r="7" spans="1:5">
      <c r="A7" s="50" t="s">
        <v>925</v>
      </c>
      <c r="B7" s="138">
        <f>SUM('מניות מבכ ויהש'!U:U)</f>
        <v>131532.28699999998</v>
      </c>
      <c r="C7" s="51"/>
      <c r="D7" s="138">
        <f t="shared" si="0"/>
        <v>131532.28699999998</v>
      </c>
      <c r="E7" s="143">
        <f>SUM('מניות מבכ ויהש'!U:U)/B30</f>
        <v>0.1396583344386666</v>
      </c>
    </row>
    <row r="8" spans="1:5">
      <c r="A8" s="50" t="s">
        <v>421</v>
      </c>
      <c r="B8" s="138">
        <f>SUM('קרנות סל'!T:T)</f>
        <v>230708.00177559518</v>
      </c>
      <c r="C8" s="51"/>
      <c r="D8" s="138">
        <f t="shared" si="0"/>
        <v>230708.00177559518</v>
      </c>
      <c r="E8" s="143">
        <f>SUM('קרנות סל'!T:T)/B30</f>
        <v>0.24496111186489569</v>
      </c>
    </row>
    <row r="9" spans="1:5">
      <c r="A9" s="50" t="s">
        <v>938</v>
      </c>
      <c r="B9" s="138">
        <f>SUM('קרנות נאמנות'!T:T)</f>
        <v>0</v>
      </c>
      <c r="C9" s="51"/>
      <c r="D9" s="138">
        <f t="shared" si="0"/>
        <v>0</v>
      </c>
      <c r="E9" s="143">
        <f>SUM('קרנות נאמנות'!T:T)/B30</f>
        <v>0</v>
      </c>
    </row>
    <row r="10" spans="1:5">
      <c r="A10" s="50" t="s">
        <v>1071</v>
      </c>
      <c r="B10" s="138">
        <f>SUM('כתבי אופציה'!W:W)</f>
        <v>0</v>
      </c>
      <c r="C10" s="51"/>
      <c r="D10" s="138">
        <f t="shared" si="0"/>
        <v>0</v>
      </c>
      <c r="E10" s="143">
        <f>SUM('כתבי אופציה'!W:W)/B30</f>
        <v>0</v>
      </c>
    </row>
    <row r="11" spans="1:5">
      <c r="A11" s="50" t="s">
        <v>941</v>
      </c>
      <c r="B11" s="138">
        <f>SUM(אופציות!V:V)</f>
        <v>0</v>
      </c>
      <c r="C11" s="51"/>
      <c r="D11" s="138">
        <f t="shared" si="0"/>
        <v>0</v>
      </c>
      <c r="E11" s="143">
        <f>SUM(אופציות!V:V)/B30</f>
        <v>0</v>
      </c>
    </row>
    <row r="12" spans="1:5">
      <c r="A12" s="50" t="s">
        <v>1076</v>
      </c>
      <c r="B12" s="138">
        <f>SUM('חוזים עתידיים'!R:R)</f>
        <v>0</v>
      </c>
      <c r="C12" s="51"/>
      <c r="D12" s="138">
        <f t="shared" si="0"/>
        <v>0</v>
      </c>
      <c r="E12" s="143">
        <f>SUM('חוזים עתידיים'!R:R)/B30</f>
        <v>0</v>
      </c>
    </row>
    <row r="13" spans="1:5">
      <c r="A13" s="50" t="s">
        <v>946</v>
      </c>
      <c r="B13" s="138">
        <f>SUM('מוצרים מובנים'!Z:Z)</f>
        <v>0</v>
      </c>
      <c r="C13" s="51"/>
      <c r="D13" s="138">
        <f t="shared" si="0"/>
        <v>0</v>
      </c>
      <c r="E13" s="143">
        <f>SUM('מוצרים מובנים'!Z:Z)/B30</f>
        <v>0</v>
      </c>
    </row>
    <row r="14" spans="1:5">
      <c r="A14" s="50" t="s">
        <v>953</v>
      </c>
      <c r="B14" s="138">
        <f>SUM('לא סחיר איגרות חוב ממשלתיות'!U:U)</f>
        <v>0</v>
      </c>
      <c r="C14" s="51"/>
      <c r="D14" s="138">
        <f t="shared" si="0"/>
        <v>0</v>
      </c>
      <c r="E14" s="143">
        <f>SUM('לא סחיר איגרות חוב ממשלתיות'!U:U)/B30</f>
        <v>0</v>
      </c>
    </row>
    <row r="15" spans="1:5">
      <c r="A15" s="50" t="s">
        <v>954</v>
      </c>
      <c r="B15" s="138">
        <f>SUM('לא סחיר איגרות חוב מיועדות'!N:N)</f>
        <v>0</v>
      </c>
      <c r="C15" s="51"/>
      <c r="D15" s="138">
        <f t="shared" si="0"/>
        <v>0</v>
      </c>
      <c r="E15" s="143">
        <f>SUM('לא סחיר איגרות חוב מיועדות'!N:N)/B30</f>
        <v>0</v>
      </c>
    </row>
    <row r="16" spans="1:5">
      <c r="A16" s="50" t="s">
        <v>960</v>
      </c>
      <c r="B16" s="138">
        <f>SUM('אפיק השקעה מובטח תשואה'!F:F)</f>
        <v>0</v>
      </c>
      <c r="C16" s="51"/>
      <c r="D16" s="138">
        <f t="shared" si="0"/>
        <v>0</v>
      </c>
      <c r="E16" s="143">
        <f>SUM('אפיק השקעה מובטח תשואה'!F:F)/B30</f>
        <v>0</v>
      </c>
    </row>
    <row r="17" spans="1:5">
      <c r="A17" s="50" t="s">
        <v>964</v>
      </c>
      <c r="B17" s="138">
        <f>SUM('לא סחיר ניירות ערך מסחריים'!AI:AI)</f>
        <v>0</v>
      </c>
      <c r="C17" s="51"/>
      <c r="D17" s="138">
        <f t="shared" si="0"/>
        <v>0</v>
      </c>
      <c r="E17" s="143">
        <f>SUM('לא סחיר ניירות ערך מסחריים'!AI:AI)/B30</f>
        <v>0</v>
      </c>
    </row>
    <row r="18" spans="1:5">
      <c r="A18" s="50" t="s">
        <v>966</v>
      </c>
      <c r="B18" s="138">
        <f>SUM('לא סחיר איגרות חוב'!AG:AG)</f>
        <v>10866.955</v>
      </c>
      <c r="C18" s="51"/>
      <c r="D18" s="138">
        <f t="shared" si="0"/>
        <v>10866.955</v>
      </c>
      <c r="E18" s="143">
        <f>SUM('לא סחיר איגרות חוב'!AG:AG)/B30</f>
        <v>1.1538314054555597E-2</v>
      </c>
    </row>
    <row r="19" spans="1:5">
      <c r="A19" s="50" t="s">
        <v>969</v>
      </c>
      <c r="B19" s="138">
        <f>SUM('לא סחיר מניות מבכ ויהש'!X:X)</f>
        <v>0</v>
      </c>
      <c r="C19" s="51"/>
      <c r="D19" s="138">
        <f t="shared" si="0"/>
        <v>0</v>
      </c>
      <c r="E19" s="143">
        <f>SUM('לא סחיר מניות מבכ ויהש'!X:X)/B30</f>
        <v>0</v>
      </c>
    </row>
    <row r="20" spans="1:5">
      <c r="A20" s="50" t="s">
        <v>725</v>
      </c>
      <c r="B20" s="138">
        <f>SUM('קרנות השקעה'!W:W)</f>
        <v>95775.561000000002</v>
      </c>
      <c r="C20" s="51"/>
      <c r="D20" s="138">
        <f t="shared" si="0"/>
        <v>95775.561000000002</v>
      </c>
      <c r="E20" s="143">
        <f>SUM('קרנות השקעה'!W:W)/B30</f>
        <v>0.10169256259635261</v>
      </c>
    </row>
    <row r="21" spans="1:5">
      <c r="A21" s="50" t="s">
        <v>1087</v>
      </c>
      <c r="B21" s="138">
        <f>SUM('לא סחיר כתבי אופציה'!Z:Z)</f>
        <v>0</v>
      </c>
      <c r="C21" s="51"/>
      <c r="D21" s="138">
        <f t="shared" si="0"/>
        <v>0</v>
      </c>
      <c r="E21" s="143">
        <f>SUM('לא סחיר כתבי אופציה'!Z:Z)/B30</f>
        <v>0</v>
      </c>
    </row>
    <row r="22" spans="1:5">
      <c r="A22" s="50" t="s">
        <v>984</v>
      </c>
      <c r="B22" s="138">
        <f>SUM('לא סחיר אופציות'!Z:Z)</f>
        <v>0</v>
      </c>
      <c r="C22" s="51"/>
      <c r="D22" s="138">
        <f t="shared" si="0"/>
        <v>0</v>
      </c>
      <c r="E22" s="143">
        <f>SUM('לא סחיר אופציות'!Z:Z)/B30</f>
        <v>0</v>
      </c>
    </row>
    <row r="23" spans="1:5">
      <c r="A23" s="50" t="s">
        <v>993</v>
      </c>
      <c r="B23" s="138">
        <f>SUM('לא סחיר נגזרים אחרים'!R:R)</f>
        <v>2623.8501100000067</v>
      </c>
      <c r="C23" s="51"/>
      <c r="D23" s="138">
        <f t="shared" si="0"/>
        <v>2623.8501100000067</v>
      </c>
      <c r="E23" s="143">
        <f>SUM('לא סחיר נגזרים אחרים'!R:R)/B30</f>
        <v>2.7859512256432763E-3</v>
      </c>
    </row>
    <row r="24" spans="1:5">
      <c r="A24" s="50" t="s">
        <v>986</v>
      </c>
      <c r="B24" s="138">
        <f>SUM(הלוואות!AT:AT)</f>
        <v>0</v>
      </c>
      <c r="C24" s="51"/>
      <c r="D24" s="138">
        <f t="shared" si="0"/>
        <v>0</v>
      </c>
      <c r="E24" s="143">
        <f>SUM(הלוואות!AT:AT)/B30</f>
        <v>0</v>
      </c>
    </row>
    <row r="25" spans="1:5">
      <c r="A25" s="50" t="s">
        <v>1005</v>
      </c>
      <c r="B25" s="138">
        <f>SUM('לא סחיר מוצרים מובנים'!AB:AB)</f>
        <v>0</v>
      </c>
      <c r="C25" s="51"/>
      <c r="D25" s="138">
        <f t="shared" si="0"/>
        <v>0</v>
      </c>
      <c r="E25" s="143">
        <f>SUM('לא סחיר מוצרים מובנים'!AB:AB)/B30</f>
        <v>0</v>
      </c>
    </row>
    <row r="26" spans="1:5">
      <c r="A26" s="50" t="s">
        <v>1010</v>
      </c>
      <c r="B26" s="138">
        <f>SUM('פיקדונות מעל 3 חודשים'!T:T)</f>
        <v>0</v>
      </c>
      <c r="C26" s="51"/>
      <c r="D26" s="138">
        <f t="shared" si="0"/>
        <v>0</v>
      </c>
      <c r="E26" s="143">
        <f>SUM('פיקדונות מעל 3 חודשים'!T:T)/B30</f>
        <v>0</v>
      </c>
    </row>
    <row r="27" spans="1:5">
      <c r="A27" s="50" t="s">
        <v>1013</v>
      </c>
      <c r="B27" s="138">
        <f>SUM('זכויות מקרקעין'!S:S)</f>
        <v>0</v>
      </c>
      <c r="C27" s="51"/>
      <c r="D27" s="138">
        <f t="shared" si="0"/>
        <v>0</v>
      </c>
      <c r="E27" s="143">
        <f>SUM('זכויות מקרקעין'!S:S)/B30</f>
        <v>0</v>
      </c>
    </row>
    <row r="28" spans="1:5">
      <c r="A28" s="50" t="s">
        <v>1049</v>
      </c>
      <c r="B28" s="138">
        <f>SUM('השקעה בחברות מוחזקות'!U:U)</f>
        <v>0</v>
      </c>
      <c r="C28" s="51"/>
      <c r="D28" s="138">
        <f t="shared" si="0"/>
        <v>0</v>
      </c>
      <c r="E28" s="143">
        <f>SUM('השקעה בחברות מוחזקות'!U:U)/B30</f>
        <v>0</v>
      </c>
    </row>
    <row r="29" spans="1:5">
      <c r="A29" s="50" t="s">
        <v>1016</v>
      </c>
      <c r="B29" s="138">
        <f>SUM('נכסים אחרים'!N:N)</f>
        <v>-19.088999999999999</v>
      </c>
      <c r="C29" s="51"/>
      <c r="D29" s="138">
        <f t="shared" si="0"/>
        <v>-19.088999999999999</v>
      </c>
      <c r="E29" s="143">
        <f>SUM('נכסים אחרים'!N:N)/B30</f>
        <v>-2.0268315916226006E-5</v>
      </c>
    </row>
    <row r="30" spans="1:5">
      <c r="A30" s="49" t="s">
        <v>1128</v>
      </c>
      <c r="B30" s="139">
        <f>IF(SUM(B3:B29)=0,0.0001,SUM(B3:B29))</f>
        <v>941814.80488559511</v>
      </c>
      <c r="C30" s="52">
        <f t="shared" ref="C30:E30" si="1">SUM(C3:C29)</f>
        <v>0</v>
      </c>
      <c r="D30" s="139">
        <f t="shared" si="1"/>
        <v>941814.80488559511</v>
      </c>
      <c r="E30" s="144">
        <f t="shared" si="1"/>
        <v>1</v>
      </c>
    </row>
    <row r="31" spans="1:5">
      <c r="A31" s="50" t="s">
        <v>1125</v>
      </c>
      <c r="B31" s="138"/>
      <c r="C31" s="51"/>
      <c r="D31" s="138"/>
      <c r="E31" s="143"/>
    </row>
    <row r="32" spans="1:5">
      <c r="A32" s="50" t="s">
        <v>1129</v>
      </c>
      <c r="B32" s="138">
        <f>SUM('יתרות התחייבות להשקעה'!O:O)</f>
        <v>28082.006539999998</v>
      </c>
      <c r="C32" s="51"/>
      <c r="D32" s="138"/>
      <c r="E32" s="143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U19"/>
  <sheetViews>
    <sheetView rightToLeft="1" zoomScale="70" zoomScaleNormal="70" workbookViewId="0">
      <selection activeCell="O13" sqref="O13"/>
    </sheetView>
  </sheetViews>
  <sheetFormatPr defaultColWidth="9" defaultRowHeight="14.25"/>
  <cols>
    <col min="1" max="2" width="11.625" style="2" customWidth="1"/>
    <col min="3" max="3" width="20.5" style="2" customWidth="1"/>
    <col min="4" max="4" width="11.625" style="2" customWidth="1"/>
    <col min="5" max="5" width="11.625" style="4" customWidth="1"/>
    <col min="6" max="6" width="21.75" style="2" customWidth="1"/>
    <col min="7" max="13" width="11.625" style="2" customWidth="1"/>
    <col min="14" max="14" width="11.625" style="148" customWidth="1"/>
    <col min="15" max="18" width="11.625" style="2" customWidth="1"/>
    <col min="19" max="19" width="9" style="2" customWidth="1"/>
    <col min="20" max="16384" width="9" style="2"/>
  </cols>
  <sheetData>
    <row r="1" spans="1:21" s="3" customFormat="1" ht="66.75" customHeight="1">
      <c r="A1" s="22" t="s">
        <v>0</v>
      </c>
      <c r="B1" s="22" t="s">
        <v>1</v>
      </c>
      <c r="C1" s="22" t="s">
        <v>117</v>
      </c>
      <c r="D1" s="22" t="s">
        <v>118</v>
      </c>
      <c r="E1" s="22" t="s">
        <v>119</v>
      </c>
      <c r="F1" s="22" t="s">
        <v>5</v>
      </c>
      <c r="G1" s="22" t="s">
        <v>6</v>
      </c>
      <c r="H1" s="22" t="s">
        <v>78</v>
      </c>
      <c r="I1" s="22" t="s">
        <v>121</v>
      </c>
      <c r="J1" s="22" t="s">
        <v>10</v>
      </c>
      <c r="K1" s="22" t="s">
        <v>11</v>
      </c>
      <c r="L1" s="22" t="s">
        <v>88</v>
      </c>
      <c r="M1" s="161" t="s">
        <v>18</v>
      </c>
      <c r="N1" s="163" t="s">
        <v>14</v>
      </c>
      <c r="O1" s="22" t="s">
        <v>20</v>
      </c>
      <c r="P1" s="165" t="s">
        <v>24</v>
      </c>
      <c r="Q1" s="165" t="s">
        <v>25</v>
      </c>
    </row>
    <row r="2" spans="1:21">
      <c r="A2" s="2">
        <v>233</v>
      </c>
      <c r="B2" s="2">
        <v>233</v>
      </c>
      <c r="C2" s="2" t="s">
        <v>1130</v>
      </c>
      <c r="D2" s="2" t="s">
        <v>1131</v>
      </c>
      <c r="E2" s="4" t="s">
        <v>263</v>
      </c>
      <c r="F2" s="2" t="s">
        <v>904</v>
      </c>
      <c r="G2" s="2" t="s">
        <v>30</v>
      </c>
      <c r="H2" s="2" t="s">
        <v>288</v>
      </c>
      <c r="I2" s="2" t="s">
        <v>1132</v>
      </c>
      <c r="J2" s="2" t="s">
        <v>362</v>
      </c>
      <c r="K2" s="2" t="s">
        <v>71</v>
      </c>
      <c r="L2" s="156">
        <v>4898.1170000000002</v>
      </c>
      <c r="M2" s="162">
        <v>3.71</v>
      </c>
      <c r="N2" s="164">
        <v>3.8600000000000002E-2</v>
      </c>
      <c r="O2" s="157">
        <v>18172.016</v>
      </c>
      <c r="P2" s="166">
        <v>0.39911682580998997</v>
      </c>
      <c r="Q2" s="166">
        <v>1.9348584361471799E-2</v>
      </c>
    </row>
    <row r="3" spans="1:21">
      <c r="A3" s="2">
        <v>233</v>
      </c>
      <c r="B3" s="2">
        <v>233</v>
      </c>
      <c r="C3" s="2" t="s">
        <v>1130</v>
      </c>
      <c r="D3" s="2" t="s">
        <v>1131</v>
      </c>
      <c r="E3" s="21" t="s">
        <v>263</v>
      </c>
      <c r="F3" s="2" t="s">
        <v>904</v>
      </c>
      <c r="G3" s="2" t="s">
        <v>30</v>
      </c>
      <c r="H3" s="2" t="s">
        <v>288</v>
      </c>
      <c r="I3" s="2" t="s">
        <v>1132</v>
      </c>
      <c r="J3" s="2" t="s">
        <v>362</v>
      </c>
      <c r="K3" s="2" t="s">
        <v>1133</v>
      </c>
      <c r="L3" s="157">
        <v>54.886000000000003</v>
      </c>
      <c r="M3" s="162">
        <v>0.47660000000000002</v>
      </c>
      <c r="N3" s="164">
        <v>0</v>
      </c>
      <c r="O3" s="157">
        <v>26.158999999999999</v>
      </c>
      <c r="P3" s="166">
        <v>5.7452749377325202E-4</v>
      </c>
      <c r="Q3" s="166">
        <v>2.7852230130104599E-5</v>
      </c>
    </row>
    <row r="4" spans="1:21">
      <c r="A4" s="2">
        <v>233</v>
      </c>
      <c r="B4" s="2">
        <v>233</v>
      </c>
      <c r="C4" s="2" t="s">
        <v>1130</v>
      </c>
      <c r="D4" s="2" t="s">
        <v>1131</v>
      </c>
      <c r="E4" s="21" t="s">
        <v>263</v>
      </c>
      <c r="F4" s="2" t="s">
        <v>904</v>
      </c>
      <c r="G4" s="2" t="s">
        <v>30</v>
      </c>
      <c r="H4" s="2" t="s">
        <v>288</v>
      </c>
      <c r="I4" s="2" t="s">
        <v>1132</v>
      </c>
      <c r="J4" s="2" t="s">
        <v>362</v>
      </c>
      <c r="K4" s="2" t="s">
        <v>1134</v>
      </c>
      <c r="L4" s="157">
        <v>184.71299999999999</v>
      </c>
      <c r="M4" s="162">
        <v>4.1524000000000001</v>
      </c>
      <c r="N4" s="164">
        <v>0</v>
      </c>
      <c r="O4" s="157">
        <v>767.00400000000002</v>
      </c>
      <c r="P4" s="166">
        <v>1.6845902689349199E-2</v>
      </c>
      <c r="Q4" s="166">
        <v>8.1666406488508096E-4</v>
      </c>
    </row>
    <row r="5" spans="1:21">
      <c r="A5" s="2">
        <v>233</v>
      </c>
      <c r="B5" s="2">
        <v>233</v>
      </c>
      <c r="C5" s="2" t="s">
        <v>1130</v>
      </c>
      <c r="D5" s="2" t="s">
        <v>1131</v>
      </c>
      <c r="E5" s="21" t="s">
        <v>263</v>
      </c>
      <c r="F5" s="2" t="s">
        <v>904</v>
      </c>
      <c r="G5" s="2" t="s">
        <v>30</v>
      </c>
      <c r="H5" s="2" t="s">
        <v>288</v>
      </c>
      <c r="I5" s="2" t="s">
        <v>1132</v>
      </c>
      <c r="J5" s="2" t="s">
        <v>362</v>
      </c>
      <c r="K5" s="2" t="s">
        <v>1135</v>
      </c>
      <c r="L5" s="157">
        <v>0.35299999999999998</v>
      </c>
      <c r="M5" s="162">
        <v>2.6029E-2</v>
      </c>
      <c r="N5" s="164">
        <v>0</v>
      </c>
      <c r="O5" s="157">
        <v>8.9999999999999993E-3</v>
      </c>
      <c r="P5" s="166">
        <v>2.0158074508566101E-7</v>
      </c>
      <c r="Q5" s="166">
        <v>9.7723318079180305E-9</v>
      </c>
    </row>
    <row r="6" spans="1:21">
      <c r="A6" s="2">
        <v>233</v>
      </c>
      <c r="B6" s="2">
        <v>233</v>
      </c>
      <c r="C6" s="2" t="s">
        <v>1130</v>
      </c>
      <c r="D6" s="2" t="s">
        <v>1131</v>
      </c>
      <c r="E6" s="21" t="s">
        <v>263</v>
      </c>
      <c r="F6" s="2" t="s">
        <v>904</v>
      </c>
      <c r="G6" s="2" t="s">
        <v>30</v>
      </c>
      <c r="H6" s="2" t="s">
        <v>288</v>
      </c>
      <c r="I6" s="2" t="s">
        <v>1132</v>
      </c>
      <c r="J6" s="2" t="s">
        <v>362</v>
      </c>
      <c r="K6" s="2" t="s">
        <v>1136</v>
      </c>
      <c r="L6" s="157">
        <v>0</v>
      </c>
      <c r="M6" s="162">
        <v>4.9748000000000001</v>
      </c>
      <c r="N6" s="164">
        <v>0</v>
      </c>
      <c r="O6" s="157">
        <v>1E-3</v>
      </c>
      <c r="P6" s="166">
        <v>3.2778857962007501E-8</v>
      </c>
      <c r="Q6" s="166">
        <v>1.58906980998226E-9</v>
      </c>
    </row>
    <row r="7" spans="1:21">
      <c r="A7" s="2">
        <v>233</v>
      </c>
      <c r="B7" s="2">
        <v>233</v>
      </c>
      <c r="C7" s="2" t="s">
        <v>1130</v>
      </c>
      <c r="D7" s="2" t="s">
        <v>1131</v>
      </c>
      <c r="E7" s="21" t="s">
        <v>263</v>
      </c>
      <c r="F7" s="2" t="s">
        <v>902</v>
      </c>
      <c r="G7" s="2" t="s">
        <v>30</v>
      </c>
      <c r="H7" s="2" t="s">
        <v>288</v>
      </c>
      <c r="I7" s="2" t="s">
        <v>1132</v>
      </c>
      <c r="J7" s="2" t="s">
        <v>362</v>
      </c>
      <c r="K7" s="2" t="s">
        <v>34</v>
      </c>
      <c r="L7" s="157">
        <v>26564.691999999999</v>
      </c>
      <c r="M7" s="162">
        <v>1</v>
      </c>
      <c r="N7" s="164">
        <v>4.1399999999999999E-2</v>
      </c>
      <c r="O7" s="157">
        <v>26564.691999999999</v>
      </c>
      <c r="P7" s="166">
        <v>0.58344741780810905</v>
      </c>
      <c r="Q7" s="166">
        <v>2.8284654652263201E-2</v>
      </c>
    </row>
    <row r="8" spans="1:21">
      <c r="A8" s="2">
        <v>233</v>
      </c>
      <c r="B8" s="2">
        <v>233</v>
      </c>
      <c r="C8" s="2" t="s">
        <v>1137</v>
      </c>
      <c r="D8" s="2" t="s">
        <v>1138</v>
      </c>
      <c r="E8" s="21" t="s">
        <v>263</v>
      </c>
      <c r="F8" s="2" t="s">
        <v>902</v>
      </c>
      <c r="G8" s="2" t="s">
        <v>30</v>
      </c>
      <c r="H8" s="2" t="s">
        <v>92</v>
      </c>
      <c r="I8" s="2" t="s">
        <v>1132</v>
      </c>
      <c r="J8" s="2" t="s">
        <v>362</v>
      </c>
      <c r="K8" s="2" t="s">
        <v>34</v>
      </c>
      <c r="L8" s="157">
        <v>0.68700000000000006</v>
      </c>
      <c r="M8" s="162">
        <v>1</v>
      </c>
      <c r="N8" s="164">
        <v>0</v>
      </c>
      <c r="O8" s="157">
        <v>0.68700000000000006</v>
      </c>
      <c r="P8" s="166">
        <v>1.50916195434552E-5</v>
      </c>
      <c r="Q8" s="166">
        <v>7.3161905237939801E-7</v>
      </c>
    </row>
    <row r="9" spans="1:21">
      <c r="E9" s="21"/>
      <c r="N9" s="147"/>
    </row>
    <row r="10" spans="1:21">
      <c r="E10" s="21"/>
      <c r="N10" s="147"/>
    </row>
    <row r="11" spans="1:21">
      <c r="E11" s="21"/>
      <c r="N11" s="147"/>
    </row>
    <row r="12" spans="1:21">
      <c r="E12" s="21"/>
      <c r="N12" s="147"/>
      <c r="U12" s="195"/>
    </row>
    <row r="13" spans="1:21">
      <c r="E13" s="21"/>
      <c r="N13" s="147"/>
    </row>
    <row r="14" spans="1:21">
      <c r="E14" s="21"/>
      <c r="N14" s="147"/>
    </row>
    <row r="15" spans="1:21">
      <c r="E15" s="21"/>
      <c r="N15" s="147"/>
    </row>
    <row r="16" spans="1:21">
      <c r="E16" s="21"/>
      <c r="N16" s="147"/>
    </row>
    <row r="17" spans="5:14">
      <c r="E17" s="21"/>
      <c r="N17" s="147"/>
    </row>
    <row r="18" spans="5:14">
      <c r="E18" s="21"/>
      <c r="N18" s="147"/>
    </row>
    <row r="19" spans="5:14">
      <c r="E19" s="21"/>
      <c r="N19" s="147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19" xr:uid="{00000000-0002-0000-0200-000000000000}">
      <formula1>israel_abroad</formula1>
    </dataValidation>
    <dataValidation type="list" allowBlank="1" showInputMessage="1" showErrorMessage="1" sqref="H2:H19" xr:uid="{00000000-0002-0000-0200-000001000000}">
      <formula1>Holding_interest</formula1>
    </dataValidation>
    <dataValidation type="list" allowBlank="1" showInputMessage="1" showErrorMessage="1" sqref="J2:J20" xr:uid="{00000000-0002-0000-0200-000002000000}">
      <formula1>Rating_Agency</formula1>
    </dataValidation>
    <dataValidation type="list" allowBlank="1" showInputMessage="1" showErrorMessage="1" sqref="E2:E19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F2:F19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844"/>
  <sheetViews>
    <sheetView rightToLeft="1" topLeftCell="C1" zoomScale="70" zoomScaleNormal="70" workbookViewId="0">
      <selection activeCell="F18" sqref="F18"/>
    </sheetView>
  </sheetViews>
  <sheetFormatPr defaultColWidth="9" defaultRowHeight="14.25"/>
  <cols>
    <col min="1" max="2" width="11.625" style="4" customWidth="1"/>
    <col min="3" max="3" width="25.5" style="4" customWidth="1"/>
    <col min="4" max="4" width="17.875" style="4" customWidth="1"/>
    <col min="5" max="5" width="27.875" style="4" customWidth="1"/>
    <col min="6" max="14" width="11.625" style="4" customWidth="1"/>
    <col min="15" max="15" width="11.625" style="149" customWidth="1"/>
    <col min="16" max="30" width="11.625" style="4" customWidth="1"/>
    <col min="31" max="31" width="9" style="4" customWidth="1"/>
    <col min="32" max="16384" width="9" style="4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163" t="s">
        <v>14</v>
      </c>
      <c r="P1" s="165" t="s">
        <v>15</v>
      </c>
      <c r="Q1" s="22" t="s">
        <v>16</v>
      </c>
      <c r="R1" s="22" t="s">
        <v>17</v>
      </c>
      <c r="S1" s="161" t="s">
        <v>18</v>
      </c>
      <c r="T1" s="169" t="s">
        <v>19</v>
      </c>
      <c r="U1" s="22" t="s">
        <v>20</v>
      </c>
      <c r="V1" s="22" t="s">
        <v>21</v>
      </c>
      <c r="W1" s="22" t="s">
        <v>22</v>
      </c>
      <c r="X1" s="165" t="s">
        <v>23</v>
      </c>
      <c r="Y1" s="165" t="s">
        <v>24</v>
      </c>
      <c r="Z1" s="165" t="s">
        <v>25</v>
      </c>
    </row>
    <row r="2" spans="1:26">
      <c r="A2" s="21">
        <v>233</v>
      </c>
      <c r="B2" s="21">
        <v>233</v>
      </c>
      <c r="C2" s="21" t="s">
        <v>26</v>
      </c>
      <c r="D2" s="21" t="s">
        <v>27</v>
      </c>
      <c r="E2" s="21" t="s">
        <v>28</v>
      </c>
      <c r="F2" s="21" t="s">
        <v>29</v>
      </c>
      <c r="G2" s="21" t="s">
        <v>30</v>
      </c>
      <c r="H2" s="21" t="s">
        <v>30</v>
      </c>
      <c r="I2" s="21" t="s">
        <v>31</v>
      </c>
      <c r="J2" s="21" t="s">
        <v>32</v>
      </c>
      <c r="K2" s="21" t="s">
        <v>33</v>
      </c>
      <c r="L2" s="4" t="s">
        <v>34</v>
      </c>
      <c r="M2" s="158">
        <v>2.64</v>
      </c>
      <c r="N2" s="4" t="s">
        <v>35</v>
      </c>
      <c r="O2" s="164">
        <v>7.4999999999999997E-3</v>
      </c>
      <c r="P2" s="167">
        <v>1.6299999999999999E-2</v>
      </c>
      <c r="R2" s="158">
        <v>34481553</v>
      </c>
      <c r="S2" s="168">
        <v>1</v>
      </c>
      <c r="T2" s="170">
        <v>114.25</v>
      </c>
      <c r="U2" s="158">
        <v>39395.173999999999</v>
      </c>
      <c r="W2" s="21" t="s">
        <v>36</v>
      </c>
      <c r="X2" s="171">
        <v>1.547E-3</v>
      </c>
      <c r="Y2" s="167">
        <v>0.155361810695614</v>
      </c>
      <c r="Z2" s="167">
        <v>4.1945861906067701E-2</v>
      </c>
    </row>
    <row r="3" spans="1:26">
      <c r="A3" s="21">
        <v>233</v>
      </c>
      <c r="B3" s="21">
        <v>233</v>
      </c>
      <c r="C3" s="21" t="s">
        <v>26</v>
      </c>
      <c r="D3" s="21" t="s">
        <v>37</v>
      </c>
      <c r="E3" s="21" t="s">
        <v>38</v>
      </c>
      <c r="F3" s="21" t="s">
        <v>29</v>
      </c>
      <c r="G3" s="21" t="s">
        <v>30</v>
      </c>
      <c r="H3" s="21" t="s">
        <v>30</v>
      </c>
      <c r="I3" s="21" t="s">
        <v>31</v>
      </c>
      <c r="J3" s="21" t="s">
        <v>32</v>
      </c>
      <c r="K3" s="21" t="s">
        <v>33</v>
      </c>
      <c r="L3" s="4" t="s">
        <v>34</v>
      </c>
      <c r="M3" s="158">
        <v>7.1340000000000003</v>
      </c>
      <c r="N3" s="4" t="s">
        <v>39</v>
      </c>
      <c r="O3" s="164">
        <v>1E-3</v>
      </c>
      <c r="P3" s="167">
        <v>1.9910000000000001E-2</v>
      </c>
      <c r="R3" s="158">
        <v>2325000</v>
      </c>
      <c r="S3" s="168">
        <v>1</v>
      </c>
      <c r="T3" s="170">
        <v>101.1</v>
      </c>
      <c r="U3" s="158">
        <v>2350.5749999999998</v>
      </c>
      <c r="W3" s="21" t="s">
        <v>36</v>
      </c>
      <c r="X3" s="171">
        <v>7.6000000000000004E-5</v>
      </c>
      <c r="Y3" s="167">
        <v>9.2699066482532892E-3</v>
      </c>
      <c r="Z3" s="167">
        <v>2.5027657852905601E-3</v>
      </c>
    </row>
    <row r="4" spans="1:26">
      <c r="A4" s="21">
        <v>233</v>
      </c>
      <c r="B4" s="21">
        <v>233</v>
      </c>
      <c r="C4" s="21" t="s">
        <v>40</v>
      </c>
      <c r="D4" s="21" t="s">
        <v>41</v>
      </c>
      <c r="E4" s="21" t="s">
        <v>42</v>
      </c>
      <c r="F4" s="21" t="s">
        <v>43</v>
      </c>
      <c r="G4" s="21" t="s">
        <v>30</v>
      </c>
      <c r="H4" s="21" t="s">
        <v>30</v>
      </c>
      <c r="I4" s="21" t="s">
        <v>31</v>
      </c>
      <c r="J4" s="21" t="s">
        <v>32</v>
      </c>
      <c r="K4" s="21" t="s">
        <v>33</v>
      </c>
      <c r="L4" s="4" t="s">
        <v>34</v>
      </c>
      <c r="M4" s="158">
        <v>3.86</v>
      </c>
      <c r="N4" s="4" t="s">
        <v>44</v>
      </c>
      <c r="O4" s="164">
        <v>2.2499999999999999E-2</v>
      </c>
      <c r="P4" s="167">
        <v>4.5159999999999999E-2</v>
      </c>
      <c r="R4" s="158">
        <v>73000000</v>
      </c>
      <c r="S4" s="168">
        <v>1</v>
      </c>
      <c r="T4" s="170">
        <v>91.9</v>
      </c>
      <c r="U4" s="158">
        <v>67087</v>
      </c>
      <c r="W4" s="21" t="s">
        <v>36</v>
      </c>
      <c r="X4" s="171">
        <v>2.1779999999999998E-3</v>
      </c>
      <c r="Y4" s="167">
        <v>0.26456940421444503</v>
      </c>
      <c r="Z4" s="167">
        <v>7.1430627926268295E-2</v>
      </c>
    </row>
    <row r="5" spans="1:26">
      <c r="A5" s="21">
        <v>233</v>
      </c>
      <c r="B5" s="21">
        <v>233</v>
      </c>
      <c r="C5" s="21" t="s">
        <v>40</v>
      </c>
      <c r="D5" s="21" t="s">
        <v>45</v>
      </c>
      <c r="E5" s="21" t="s">
        <v>46</v>
      </c>
      <c r="F5" s="21" t="s">
        <v>43</v>
      </c>
      <c r="G5" s="21" t="s">
        <v>30</v>
      </c>
      <c r="H5" s="21" t="s">
        <v>30</v>
      </c>
      <c r="I5" s="21" t="s">
        <v>31</v>
      </c>
      <c r="J5" s="21" t="s">
        <v>32</v>
      </c>
      <c r="K5" s="21" t="s">
        <v>33</v>
      </c>
      <c r="L5" s="4" t="s">
        <v>34</v>
      </c>
      <c r="M5" s="158">
        <v>2.89</v>
      </c>
      <c r="N5" s="4" t="s">
        <v>47</v>
      </c>
      <c r="O5" s="164">
        <v>3.7499999999999999E-2</v>
      </c>
      <c r="P5" s="167">
        <v>4.453E-2</v>
      </c>
      <c r="R5" s="158">
        <v>5000000</v>
      </c>
      <c r="S5" s="168">
        <v>1</v>
      </c>
      <c r="T5" s="170">
        <v>98.09</v>
      </c>
      <c r="U5" s="158">
        <v>4904.5</v>
      </c>
      <c r="W5" s="21" t="s">
        <v>36</v>
      </c>
      <c r="X5" s="171">
        <v>2.9700000000000001E-4</v>
      </c>
      <c r="Y5" s="167">
        <v>1.93417598487001E-2</v>
      </c>
      <c r="Z5" s="167">
        <v>5.2220477091594903E-3</v>
      </c>
    </row>
    <row r="6" spans="1:26">
      <c r="A6" s="21">
        <v>233</v>
      </c>
      <c r="B6" s="21">
        <v>233</v>
      </c>
      <c r="C6" s="21" t="s">
        <v>40</v>
      </c>
      <c r="D6" s="21" t="s">
        <v>48</v>
      </c>
      <c r="E6" s="21" t="s">
        <v>49</v>
      </c>
      <c r="F6" s="21" t="s">
        <v>43</v>
      </c>
      <c r="G6" s="21" t="s">
        <v>30</v>
      </c>
      <c r="H6" s="21" t="s">
        <v>30</v>
      </c>
      <c r="I6" s="21" t="s">
        <v>31</v>
      </c>
      <c r="J6" s="21" t="s">
        <v>32</v>
      </c>
      <c r="K6" s="21" t="s">
        <v>33</v>
      </c>
      <c r="L6" s="4" t="s">
        <v>34</v>
      </c>
      <c r="M6" s="158">
        <v>0.92</v>
      </c>
      <c r="N6" s="4" t="s">
        <v>50</v>
      </c>
      <c r="O6" s="164">
        <v>1.7500000000000002E-2</v>
      </c>
      <c r="P6" s="167">
        <v>4.1840000000000002E-2</v>
      </c>
      <c r="R6" s="158">
        <v>25160000</v>
      </c>
      <c r="S6" s="168">
        <v>1</v>
      </c>
      <c r="T6" s="170">
        <v>98.02</v>
      </c>
      <c r="U6" s="158">
        <v>24661.831999999999</v>
      </c>
      <c r="W6" s="21" t="s">
        <v>36</v>
      </c>
      <c r="X6" s="171">
        <v>1.0579999999999999E-3</v>
      </c>
      <c r="Y6" s="167">
        <v>9.7258279533690997E-2</v>
      </c>
      <c r="Z6" s="167">
        <v>2.62585917625194E-2</v>
      </c>
    </row>
    <row r="7" spans="1:26">
      <c r="A7" s="21">
        <v>233</v>
      </c>
      <c r="B7" s="21">
        <v>233</v>
      </c>
      <c r="C7" s="21" t="s">
        <v>40</v>
      </c>
      <c r="D7" s="21" t="s">
        <v>51</v>
      </c>
      <c r="E7" s="21" t="s">
        <v>52</v>
      </c>
      <c r="F7" s="21" t="s">
        <v>43</v>
      </c>
      <c r="G7" s="21" t="s">
        <v>30</v>
      </c>
      <c r="H7" s="21" t="s">
        <v>30</v>
      </c>
      <c r="I7" s="21" t="s">
        <v>31</v>
      </c>
      <c r="J7" s="21" t="s">
        <v>32</v>
      </c>
      <c r="K7" s="21" t="s">
        <v>33</v>
      </c>
      <c r="L7" s="4" t="s">
        <v>34</v>
      </c>
      <c r="M7" s="158">
        <v>11.238</v>
      </c>
      <c r="N7" s="4" t="s">
        <v>53</v>
      </c>
      <c r="O7" s="164">
        <v>5.5E-2</v>
      </c>
      <c r="P7" s="167">
        <v>5.1729999999999998E-2</v>
      </c>
      <c r="R7" s="158">
        <v>5400000</v>
      </c>
      <c r="S7" s="168">
        <v>1</v>
      </c>
      <c r="T7" s="170">
        <v>107.34</v>
      </c>
      <c r="U7" s="158">
        <v>5796.36</v>
      </c>
      <c r="W7" s="21" t="s">
        <v>36</v>
      </c>
      <c r="X7" s="171">
        <v>2.5099999999999998E-4</v>
      </c>
      <c r="Y7" s="167">
        <v>2.2858966890939199E-2</v>
      </c>
      <c r="Z7" s="167">
        <v>6.1716522498651604E-3</v>
      </c>
    </row>
    <row r="8" spans="1:26">
      <c r="A8" s="21">
        <v>233</v>
      </c>
      <c r="B8" s="21">
        <v>233</v>
      </c>
      <c r="C8" s="21" t="s">
        <v>26</v>
      </c>
      <c r="D8" s="21" t="s">
        <v>54</v>
      </c>
      <c r="E8" s="21" t="s">
        <v>55</v>
      </c>
      <c r="F8" s="21" t="s">
        <v>29</v>
      </c>
      <c r="G8" s="21" t="s">
        <v>30</v>
      </c>
      <c r="H8" s="21" t="s">
        <v>30</v>
      </c>
      <c r="I8" s="21" t="s">
        <v>31</v>
      </c>
      <c r="J8" s="21" t="s">
        <v>32</v>
      </c>
      <c r="K8" s="21" t="s">
        <v>33</v>
      </c>
      <c r="L8" s="4" t="s">
        <v>34</v>
      </c>
      <c r="M8" s="158">
        <v>4.6100000000000003</v>
      </c>
      <c r="N8" s="4" t="s">
        <v>56</v>
      </c>
      <c r="O8" s="164">
        <v>5.0000000000000001E-3</v>
      </c>
      <c r="P8" s="167">
        <v>1.8280000000000001E-2</v>
      </c>
      <c r="R8" s="158">
        <v>34300103</v>
      </c>
      <c r="S8" s="168">
        <v>1</v>
      </c>
      <c r="T8" s="170">
        <v>108.85</v>
      </c>
      <c r="U8" s="158">
        <v>37335.661999999997</v>
      </c>
      <c r="W8" s="21" t="s">
        <v>36</v>
      </c>
      <c r="X8" s="171">
        <v>1.2719999999999999E-3</v>
      </c>
      <c r="Y8" s="167">
        <v>0.14723976153129001</v>
      </c>
      <c r="Z8" s="167">
        <v>3.9753004143174502E-2</v>
      </c>
    </row>
    <row r="9" spans="1:26">
      <c r="A9" s="21">
        <v>233</v>
      </c>
      <c r="B9" s="21">
        <v>233</v>
      </c>
      <c r="C9" s="21" t="s">
        <v>26</v>
      </c>
      <c r="D9" s="21" t="s">
        <v>57</v>
      </c>
      <c r="E9" s="21" t="s">
        <v>58</v>
      </c>
      <c r="F9" s="21" t="s">
        <v>29</v>
      </c>
      <c r="G9" s="21" t="s">
        <v>30</v>
      </c>
      <c r="H9" s="21" t="s">
        <v>30</v>
      </c>
      <c r="I9" s="21" t="s">
        <v>31</v>
      </c>
      <c r="J9" s="21" t="s">
        <v>32</v>
      </c>
      <c r="K9" s="21" t="s">
        <v>33</v>
      </c>
      <c r="L9" s="4" t="s">
        <v>34</v>
      </c>
      <c r="M9" s="158">
        <v>3.972</v>
      </c>
      <c r="N9" s="4" t="s">
        <v>59</v>
      </c>
      <c r="O9" s="164">
        <v>1.0999999999999999E-2</v>
      </c>
      <c r="P9" s="167">
        <v>1.806E-2</v>
      </c>
      <c r="R9" s="158">
        <v>44080000</v>
      </c>
      <c r="S9" s="168">
        <v>1</v>
      </c>
      <c r="T9" s="170">
        <v>102.6</v>
      </c>
      <c r="U9" s="158">
        <v>45226.080000000002</v>
      </c>
      <c r="W9" s="21" t="s">
        <v>36</v>
      </c>
      <c r="X9" s="171">
        <v>2.1610000000000002E-3</v>
      </c>
      <c r="Y9" s="167">
        <v>0.17835701463107301</v>
      </c>
      <c r="Z9" s="167">
        <v>4.8154296555869898E-2</v>
      </c>
    </row>
    <row r="10" spans="1:26">
      <c r="A10" s="21">
        <v>233</v>
      </c>
      <c r="B10" s="21">
        <v>233</v>
      </c>
      <c r="C10" s="21" t="s">
        <v>40</v>
      </c>
      <c r="D10" s="21" t="s">
        <v>60</v>
      </c>
      <c r="E10" s="21" t="s">
        <v>61</v>
      </c>
      <c r="F10" s="21" t="s">
        <v>43</v>
      </c>
      <c r="G10" s="21" t="s">
        <v>30</v>
      </c>
      <c r="H10" s="21" t="s">
        <v>30</v>
      </c>
      <c r="I10" s="21" t="s">
        <v>31</v>
      </c>
      <c r="J10" s="21" t="s">
        <v>32</v>
      </c>
      <c r="K10" s="21" t="s">
        <v>33</v>
      </c>
      <c r="L10" s="4" t="s">
        <v>34</v>
      </c>
      <c r="M10" s="158">
        <v>7.1239999999999997</v>
      </c>
      <c r="N10" s="4" t="s">
        <v>62</v>
      </c>
      <c r="O10" s="164">
        <v>1.2999999999999999E-2</v>
      </c>
      <c r="P10" s="167">
        <v>4.7539999999999999E-2</v>
      </c>
      <c r="R10" s="158">
        <v>20750000</v>
      </c>
      <c r="S10" s="168">
        <v>1</v>
      </c>
      <c r="T10" s="170">
        <v>78.98</v>
      </c>
      <c r="U10" s="158">
        <v>16388.349999999999</v>
      </c>
      <c r="W10" s="21" t="s">
        <v>36</v>
      </c>
      <c r="X10" s="171">
        <v>6.9200000000000002E-4</v>
      </c>
      <c r="Y10" s="167">
        <v>6.4630345604331604E-2</v>
      </c>
      <c r="Z10" s="167">
        <v>1.7449433290733798E-2</v>
      </c>
    </row>
    <row r="11" spans="1:26">
      <c r="A11" s="21">
        <v>233</v>
      </c>
      <c r="B11" s="21">
        <v>233</v>
      </c>
      <c r="C11" s="21" t="s">
        <v>63</v>
      </c>
      <c r="D11" s="21" t="s">
        <v>64</v>
      </c>
      <c r="E11" s="21" t="s">
        <v>65</v>
      </c>
      <c r="F11" s="21" t="s">
        <v>66</v>
      </c>
      <c r="G11" s="21" t="s">
        <v>67</v>
      </c>
      <c r="H11" s="21" t="s">
        <v>30</v>
      </c>
      <c r="I11" s="21" t="s">
        <v>68</v>
      </c>
      <c r="J11" s="21" t="s">
        <v>1827</v>
      </c>
      <c r="K11" s="21" t="s">
        <v>70</v>
      </c>
      <c r="L11" s="4" t="s">
        <v>71</v>
      </c>
      <c r="M11" s="158">
        <v>7.49</v>
      </c>
      <c r="N11" s="4" t="s">
        <v>72</v>
      </c>
      <c r="O11" s="164">
        <v>5.5E-2</v>
      </c>
      <c r="P11" s="167">
        <v>5.8720000000000001E-2</v>
      </c>
      <c r="R11" s="158">
        <v>2800000</v>
      </c>
      <c r="S11" s="168">
        <v>3.71</v>
      </c>
      <c r="T11" s="170">
        <v>100.35599999999999</v>
      </c>
      <c r="U11" s="158">
        <v>10424.981</v>
      </c>
      <c r="W11" s="21" t="s">
        <v>36</v>
      </c>
      <c r="X11" s="171">
        <v>9.3300000000000002E-4</v>
      </c>
      <c r="Y11" s="167">
        <v>4.1112750401662602E-2</v>
      </c>
      <c r="Z11" s="167">
        <v>1.10999591418604E-2</v>
      </c>
    </row>
    <row r="12" spans="1:2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O12" s="147"/>
      <c r="W12" s="21"/>
      <c r="X12" s="154"/>
    </row>
    <row r="13" spans="1:2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O13" s="147"/>
      <c r="W13" s="21"/>
      <c r="X13" s="154"/>
    </row>
    <row r="14" spans="1:2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O14" s="147"/>
      <c r="W14" s="21"/>
      <c r="X14" s="154"/>
    </row>
    <row r="15" spans="1:2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O15" s="147"/>
      <c r="W15" s="21"/>
      <c r="X15" s="154"/>
    </row>
    <row r="16" spans="1:2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O16" s="147"/>
      <c r="W16" s="21"/>
      <c r="X16" s="154"/>
    </row>
    <row r="17" spans="1:24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O17" s="147"/>
      <c r="W17" s="21"/>
      <c r="X17" s="154"/>
    </row>
    <row r="18" spans="1:24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O18" s="147"/>
      <c r="W18" s="21"/>
      <c r="X18" s="154"/>
    </row>
    <row r="19" spans="1:24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O19" s="147"/>
      <c r="W19" s="21"/>
      <c r="X19" s="154"/>
    </row>
    <row r="20" spans="1:24">
      <c r="F20" s="21"/>
      <c r="G20" s="21"/>
      <c r="H20" s="21"/>
      <c r="I20" s="21"/>
      <c r="K20" s="21"/>
      <c r="O20" s="147"/>
      <c r="W20" s="21"/>
      <c r="X20" s="154"/>
    </row>
    <row r="21" spans="1:24">
      <c r="L21" s="21"/>
      <c r="X21" s="155"/>
    </row>
    <row r="22" spans="1:24">
      <c r="L22" s="21"/>
      <c r="X22" s="155"/>
    </row>
    <row r="23" spans="1:24">
      <c r="L23" s="21"/>
      <c r="X23" s="155"/>
    </row>
    <row r="24" spans="1:24">
      <c r="L24" s="21"/>
      <c r="X24" s="155"/>
    </row>
    <row r="25" spans="1:24">
      <c r="L25" s="21"/>
      <c r="X25" s="155"/>
    </row>
    <row r="26" spans="1:24">
      <c r="L26" s="21"/>
      <c r="X26" s="155"/>
    </row>
    <row r="27" spans="1:24">
      <c r="X27" s="155"/>
    </row>
    <row r="28" spans="1:24">
      <c r="X28" s="155"/>
    </row>
    <row r="29" spans="1:24">
      <c r="X29" s="155"/>
    </row>
    <row r="30" spans="1:24">
      <c r="X30" s="155"/>
    </row>
    <row r="31" spans="1:24">
      <c r="X31" s="155"/>
    </row>
    <row r="32" spans="1:24">
      <c r="X32" s="155"/>
    </row>
    <row r="33" spans="24:24">
      <c r="X33" s="155"/>
    </row>
    <row r="34" spans="24:24">
      <c r="X34" s="155"/>
    </row>
    <row r="35" spans="24:24">
      <c r="X35" s="155"/>
    </row>
    <row r="36" spans="24:24">
      <c r="X36" s="155"/>
    </row>
    <row r="37" spans="24:24">
      <c r="X37" s="155"/>
    </row>
    <row r="38" spans="24:24">
      <c r="X38" s="155"/>
    </row>
    <row r="39" spans="24:24">
      <c r="X39" s="155"/>
    </row>
    <row r="40" spans="24:24">
      <c r="X40" s="155"/>
    </row>
    <row r="41" spans="24:24">
      <c r="X41" s="155"/>
    </row>
    <row r="42" spans="24:24">
      <c r="X42" s="155"/>
    </row>
    <row r="43" spans="24:24">
      <c r="X43" s="155"/>
    </row>
    <row r="44" spans="24:24">
      <c r="X44" s="155"/>
    </row>
    <row r="45" spans="24:24">
      <c r="X45" s="155"/>
    </row>
    <row r="46" spans="24:24">
      <c r="X46" s="155"/>
    </row>
    <row r="47" spans="24:24">
      <c r="X47" s="155"/>
    </row>
    <row r="48" spans="24:24">
      <c r="X48" s="155"/>
    </row>
    <row r="49" spans="24:24">
      <c r="X49" s="155"/>
    </row>
    <row r="50" spans="24:24">
      <c r="X50" s="155"/>
    </row>
    <row r="51" spans="24:24">
      <c r="X51" s="155"/>
    </row>
    <row r="52" spans="24:24">
      <c r="X52" s="155"/>
    </row>
    <row r="53" spans="24:24">
      <c r="X53" s="155"/>
    </row>
    <row r="54" spans="24:24">
      <c r="X54" s="155"/>
    </row>
    <row r="55" spans="24:24">
      <c r="X55" s="155"/>
    </row>
    <row r="56" spans="24:24">
      <c r="X56" s="155"/>
    </row>
    <row r="57" spans="24:24">
      <c r="X57" s="155"/>
    </row>
    <row r="58" spans="24:24">
      <c r="X58" s="155"/>
    </row>
    <row r="59" spans="24:24">
      <c r="X59" s="155"/>
    </row>
    <row r="60" spans="24:24">
      <c r="X60" s="155"/>
    </row>
    <row r="61" spans="24:24">
      <c r="X61" s="155"/>
    </row>
    <row r="62" spans="24:24">
      <c r="X62" s="155"/>
    </row>
    <row r="63" spans="24:24">
      <c r="X63" s="155"/>
    </row>
    <row r="64" spans="24:24">
      <c r="X64" s="155"/>
    </row>
    <row r="65" spans="24:24">
      <c r="X65" s="155"/>
    </row>
    <row r="66" spans="24:24">
      <c r="X66" s="155"/>
    </row>
    <row r="67" spans="24:24">
      <c r="X67" s="155"/>
    </row>
    <row r="68" spans="24:24">
      <c r="X68" s="155"/>
    </row>
    <row r="69" spans="24:24">
      <c r="X69" s="155"/>
    </row>
    <row r="70" spans="24:24">
      <c r="X70" s="155"/>
    </row>
    <row r="71" spans="24:24">
      <c r="X71" s="155"/>
    </row>
    <row r="72" spans="24:24">
      <c r="X72" s="155"/>
    </row>
    <row r="73" spans="24:24">
      <c r="X73" s="155"/>
    </row>
    <row r="74" spans="24:24">
      <c r="X74" s="155"/>
    </row>
    <row r="75" spans="24:24">
      <c r="X75" s="155"/>
    </row>
    <row r="76" spans="24:24">
      <c r="X76" s="155"/>
    </row>
    <row r="77" spans="24:24">
      <c r="X77" s="155"/>
    </row>
    <row r="78" spans="24:24">
      <c r="X78" s="155"/>
    </row>
    <row r="79" spans="24:24">
      <c r="X79" s="155"/>
    </row>
    <row r="80" spans="24:24">
      <c r="X80" s="155"/>
    </row>
    <row r="81" spans="24:24">
      <c r="X81" s="155"/>
    </row>
    <row r="82" spans="24:24">
      <c r="X82" s="155"/>
    </row>
    <row r="83" spans="24:24">
      <c r="X83" s="155"/>
    </row>
    <row r="84" spans="24:24">
      <c r="X84" s="155"/>
    </row>
    <row r="85" spans="24:24">
      <c r="X85" s="155"/>
    </row>
    <row r="86" spans="24:24">
      <c r="X86" s="155"/>
    </row>
    <row r="87" spans="24:24">
      <c r="X87" s="155"/>
    </row>
    <row r="88" spans="24:24">
      <c r="X88" s="155"/>
    </row>
    <row r="89" spans="24:24">
      <c r="X89" s="155"/>
    </row>
    <row r="90" spans="24:24">
      <c r="X90" s="155"/>
    </row>
    <row r="91" spans="24:24">
      <c r="X91" s="155"/>
    </row>
    <row r="92" spans="24:24">
      <c r="X92" s="155"/>
    </row>
    <row r="93" spans="24:24">
      <c r="X93" s="155"/>
    </row>
    <row r="94" spans="24:24">
      <c r="X94" s="155"/>
    </row>
    <row r="95" spans="24:24">
      <c r="X95" s="155"/>
    </row>
    <row r="96" spans="24:24">
      <c r="X96" s="155"/>
    </row>
    <row r="97" spans="24:24">
      <c r="X97" s="155"/>
    </row>
    <row r="98" spans="24:24">
      <c r="X98" s="155"/>
    </row>
    <row r="99" spans="24:24">
      <c r="X99" s="155"/>
    </row>
    <row r="100" spans="24:24">
      <c r="X100" s="155"/>
    </row>
    <row r="101" spans="24:24">
      <c r="X101" s="155"/>
    </row>
    <row r="102" spans="24:24">
      <c r="X102" s="155"/>
    </row>
    <row r="103" spans="24:24">
      <c r="X103" s="155"/>
    </row>
    <row r="104" spans="24:24">
      <c r="X104" s="155"/>
    </row>
    <row r="105" spans="24:24">
      <c r="X105" s="155"/>
    </row>
    <row r="106" spans="24:24">
      <c r="X106" s="155"/>
    </row>
    <row r="107" spans="24:24">
      <c r="X107" s="155"/>
    </row>
    <row r="108" spans="24:24">
      <c r="X108" s="155"/>
    </row>
    <row r="109" spans="24:24">
      <c r="X109" s="155"/>
    </row>
    <row r="110" spans="24:24">
      <c r="X110" s="155"/>
    </row>
    <row r="111" spans="24:24">
      <c r="X111" s="155"/>
    </row>
    <row r="112" spans="24:24">
      <c r="X112" s="155"/>
    </row>
    <row r="113" spans="24:24">
      <c r="X113" s="155"/>
    </row>
    <row r="114" spans="24:24">
      <c r="X114" s="155"/>
    </row>
    <row r="115" spans="24:24">
      <c r="X115" s="155"/>
    </row>
    <row r="116" spans="24:24">
      <c r="X116" s="155"/>
    </row>
    <row r="117" spans="24:24">
      <c r="X117" s="155"/>
    </row>
    <row r="118" spans="24:24">
      <c r="X118" s="155"/>
    </row>
    <row r="119" spans="24:24">
      <c r="X119" s="155"/>
    </row>
    <row r="120" spans="24:24">
      <c r="X120" s="155"/>
    </row>
    <row r="121" spans="24:24">
      <c r="X121" s="155"/>
    </row>
    <row r="122" spans="24:24">
      <c r="X122" s="155"/>
    </row>
    <row r="123" spans="24:24">
      <c r="X123" s="155"/>
    </row>
    <row r="124" spans="24:24">
      <c r="X124" s="155"/>
    </row>
    <row r="125" spans="24:24">
      <c r="X125" s="155"/>
    </row>
    <row r="126" spans="24:24">
      <c r="X126" s="155"/>
    </row>
    <row r="127" spans="24:24">
      <c r="X127" s="155"/>
    </row>
    <row r="128" spans="24:24">
      <c r="X128" s="155"/>
    </row>
    <row r="129" spans="24:24">
      <c r="X129" s="155"/>
    </row>
    <row r="130" spans="24:24">
      <c r="X130" s="155"/>
    </row>
    <row r="131" spans="24:24">
      <c r="X131" s="155"/>
    </row>
    <row r="132" spans="24:24">
      <c r="X132" s="155"/>
    </row>
    <row r="133" spans="24:24">
      <c r="X133" s="155"/>
    </row>
    <row r="134" spans="24:24">
      <c r="X134" s="155"/>
    </row>
    <row r="135" spans="24:24">
      <c r="X135" s="155"/>
    </row>
    <row r="136" spans="24:24">
      <c r="X136" s="155"/>
    </row>
    <row r="137" spans="24:24">
      <c r="X137" s="155"/>
    </row>
    <row r="138" spans="24:24">
      <c r="X138" s="155"/>
    </row>
    <row r="139" spans="24:24">
      <c r="X139" s="155"/>
    </row>
    <row r="140" spans="24:24">
      <c r="X140" s="155"/>
    </row>
    <row r="141" spans="24:24">
      <c r="X141" s="155"/>
    </row>
    <row r="142" spans="24:24">
      <c r="X142" s="155"/>
    </row>
    <row r="143" spans="24:24">
      <c r="X143" s="155"/>
    </row>
    <row r="144" spans="24:24">
      <c r="X144" s="155"/>
    </row>
    <row r="145" spans="24:24">
      <c r="X145" s="155"/>
    </row>
    <row r="146" spans="24:24">
      <c r="X146" s="155"/>
    </row>
    <row r="147" spans="24:24">
      <c r="X147" s="155"/>
    </row>
    <row r="148" spans="24:24">
      <c r="X148" s="155"/>
    </row>
    <row r="149" spans="24:24">
      <c r="X149" s="155"/>
    </row>
    <row r="150" spans="24:24">
      <c r="X150" s="155"/>
    </row>
    <row r="151" spans="24:24">
      <c r="X151" s="155"/>
    </row>
    <row r="152" spans="24:24">
      <c r="X152" s="155"/>
    </row>
    <row r="153" spans="24:24">
      <c r="X153" s="155"/>
    </row>
    <row r="154" spans="24:24">
      <c r="X154" s="155"/>
    </row>
    <row r="155" spans="24:24">
      <c r="X155" s="155"/>
    </row>
    <row r="156" spans="24:24">
      <c r="X156" s="155"/>
    </row>
    <row r="157" spans="24:24">
      <c r="X157" s="155"/>
    </row>
    <row r="158" spans="24:24">
      <c r="X158" s="155"/>
    </row>
    <row r="159" spans="24:24">
      <c r="X159" s="155"/>
    </row>
    <row r="160" spans="24:24">
      <c r="X160" s="155"/>
    </row>
    <row r="161" spans="24:24">
      <c r="X161" s="155"/>
    </row>
    <row r="162" spans="24:24">
      <c r="X162" s="155"/>
    </row>
    <row r="163" spans="24:24">
      <c r="X163" s="155"/>
    </row>
    <row r="164" spans="24:24">
      <c r="X164" s="155"/>
    </row>
    <row r="165" spans="24:24">
      <c r="X165" s="155"/>
    </row>
    <row r="166" spans="24:24">
      <c r="X166" s="155"/>
    </row>
    <row r="167" spans="24:24">
      <c r="X167" s="155"/>
    </row>
    <row r="168" spans="24:24">
      <c r="X168" s="155"/>
    </row>
    <row r="169" spans="24:24">
      <c r="X169" s="155"/>
    </row>
    <row r="170" spans="24:24">
      <c r="X170" s="155"/>
    </row>
    <row r="171" spans="24:24">
      <c r="X171" s="155"/>
    </row>
    <row r="172" spans="24:24">
      <c r="X172" s="155"/>
    </row>
    <row r="173" spans="24:24">
      <c r="X173" s="155"/>
    </row>
    <row r="174" spans="24:24">
      <c r="X174" s="155"/>
    </row>
    <row r="175" spans="24:24">
      <c r="X175" s="155"/>
    </row>
    <row r="176" spans="24:24">
      <c r="X176" s="155"/>
    </row>
    <row r="177" spans="24:24">
      <c r="X177" s="155"/>
    </row>
    <row r="178" spans="24:24">
      <c r="X178" s="155"/>
    </row>
    <row r="179" spans="24:24">
      <c r="X179" s="155"/>
    </row>
    <row r="180" spans="24:24">
      <c r="X180" s="155"/>
    </row>
    <row r="181" spans="24:24">
      <c r="X181" s="155"/>
    </row>
    <row r="182" spans="24:24">
      <c r="X182" s="155"/>
    </row>
    <row r="183" spans="24:24">
      <c r="X183" s="155"/>
    </row>
    <row r="184" spans="24:24">
      <c r="X184" s="155"/>
    </row>
    <row r="185" spans="24:24">
      <c r="X185" s="155"/>
    </row>
    <row r="186" spans="24:24">
      <c r="X186" s="155"/>
    </row>
    <row r="187" spans="24:24">
      <c r="X187" s="155"/>
    </row>
    <row r="188" spans="24:24">
      <c r="X188" s="155"/>
    </row>
    <row r="189" spans="24:24">
      <c r="X189" s="155"/>
    </row>
    <row r="190" spans="24:24">
      <c r="X190" s="155"/>
    </row>
    <row r="191" spans="24:24">
      <c r="X191" s="155"/>
    </row>
    <row r="192" spans="24:24">
      <c r="X192" s="155"/>
    </row>
    <row r="193" spans="24:24">
      <c r="X193" s="155"/>
    </row>
    <row r="194" spans="24:24">
      <c r="X194" s="155"/>
    </row>
    <row r="195" spans="24:24">
      <c r="X195" s="155"/>
    </row>
    <row r="196" spans="24:24">
      <c r="X196" s="155"/>
    </row>
    <row r="197" spans="24:24">
      <c r="X197" s="155"/>
    </row>
    <row r="198" spans="24:24">
      <c r="X198" s="155"/>
    </row>
    <row r="199" spans="24:24">
      <c r="X199" s="155"/>
    </row>
    <row r="200" spans="24:24">
      <c r="X200" s="155"/>
    </row>
    <row r="201" spans="24:24">
      <c r="X201" s="155"/>
    </row>
    <row r="202" spans="24:24">
      <c r="X202" s="155"/>
    </row>
    <row r="203" spans="24:24">
      <c r="X203" s="155"/>
    </row>
    <row r="204" spans="24:24">
      <c r="X204" s="155"/>
    </row>
    <row r="205" spans="24:24">
      <c r="X205" s="155"/>
    </row>
    <row r="206" spans="24:24">
      <c r="X206" s="155"/>
    </row>
    <row r="207" spans="24:24">
      <c r="X207" s="155"/>
    </row>
    <row r="208" spans="24:24">
      <c r="X208" s="155"/>
    </row>
    <row r="209" spans="24:24">
      <c r="X209" s="155"/>
    </row>
    <row r="210" spans="24:24">
      <c r="X210" s="155"/>
    </row>
    <row r="211" spans="24:24">
      <c r="X211" s="155"/>
    </row>
    <row r="212" spans="24:24">
      <c r="X212" s="155"/>
    </row>
    <row r="213" spans="24:24">
      <c r="X213" s="155"/>
    </row>
    <row r="214" spans="24:24">
      <c r="X214" s="155"/>
    </row>
    <row r="215" spans="24:24">
      <c r="X215" s="155"/>
    </row>
    <row r="216" spans="24:24">
      <c r="X216" s="155"/>
    </row>
    <row r="217" spans="24:24">
      <c r="X217" s="155"/>
    </row>
    <row r="218" spans="24:24">
      <c r="X218" s="155"/>
    </row>
    <row r="219" spans="24:24">
      <c r="X219" s="155"/>
    </row>
    <row r="220" spans="24:24">
      <c r="X220" s="155"/>
    </row>
    <row r="221" spans="24:24">
      <c r="X221" s="155"/>
    </row>
    <row r="222" spans="24:24">
      <c r="X222" s="155"/>
    </row>
    <row r="223" spans="24:24">
      <c r="X223" s="155"/>
    </row>
    <row r="224" spans="24:24">
      <c r="X224" s="155"/>
    </row>
    <row r="225" spans="24:24">
      <c r="X225" s="155"/>
    </row>
    <row r="226" spans="24:24">
      <c r="X226" s="155"/>
    </row>
    <row r="227" spans="24:24">
      <c r="X227" s="155"/>
    </row>
    <row r="228" spans="24:24">
      <c r="X228" s="155"/>
    </row>
    <row r="229" spans="24:24">
      <c r="X229" s="155"/>
    </row>
    <row r="230" spans="24:24">
      <c r="X230" s="155"/>
    </row>
    <row r="231" spans="24:24">
      <c r="X231" s="155"/>
    </row>
    <row r="232" spans="24:24">
      <c r="X232" s="155"/>
    </row>
    <row r="233" spans="24:24">
      <c r="X233" s="155"/>
    </row>
    <row r="234" spans="24:24">
      <c r="X234" s="155"/>
    </row>
    <row r="235" spans="24:24">
      <c r="X235" s="155"/>
    </row>
    <row r="236" spans="24:24">
      <c r="X236" s="155"/>
    </row>
    <row r="237" spans="24:24">
      <c r="X237" s="155"/>
    </row>
    <row r="238" spans="24:24">
      <c r="X238" s="155"/>
    </row>
    <row r="239" spans="24:24">
      <c r="X239" s="155"/>
    </row>
    <row r="240" spans="24:24">
      <c r="X240" s="155"/>
    </row>
    <row r="241" spans="24:24">
      <c r="X241" s="155"/>
    </row>
    <row r="242" spans="24:24">
      <c r="X242" s="155"/>
    </row>
    <row r="243" spans="24:24">
      <c r="X243" s="155"/>
    </row>
    <row r="244" spans="24:24">
      <c r="X244" s="155"/>
    </row>
    <row r="245" spans="24:24">
      <c r="X245" s="155"/>
    </row>
    <row r="246" spans="24:24">
      <c r="X246" s="155"/>
    </row>
    <row r="247" spans="24:24">
      <c r="X247" s="155"/>
    </row>
    <row r="248" spans="24:24">
      <c r="X248" s="155"/>
    </row>
    <row r="249" spans="24:24">
      <c r="X249" s="155"/>
    </row>
    <row r="250" spans="24:24">
      <c r="X250" s="155"/>
    </row>
    <row r="251" spans="24:24">
      <c r="X251" s="155"/>
    </row>
    <row r="252" spans="24:24">
      <c r="X252" s="155"/>
    </row>
    <row r="253" spans="24:24">
      <c r="X253" s="155"/>
    </row>
    <row r="254" spans="24:24">
      <c r="X254" s="155"/>
    </row>
    <row r="255" spans="24:24">
      <c r="X255" s="155"/>
    </row>
    <row r="256" spans="24:24">
      <c r="X256" s="155"/>
    </row>
    <row r="257" spans="24:24">
      <c r="X257" s="155"/>
    </row>
    <row r="258" spans="24:24">
      <c r="X258" s="155"/>
    </row>
    <row r="259" spans="24:24">
      <c r="X259" s="155"/>
    </row>
    <row r="260" spans="24:24">
      <c r="X260" s="155"/>
    </row>
    <row r="261" spans="24:24">
      <c r="X261" s="155"/>
    </row>
    <row r="262" spans="24:24">
      <c r="X262" s="155"/>
    </row>
    <row r="263" spans="24:24">
      <c r="X263" s="155"/>
    </row>
    <row r="264" spans="24:24">
      <c r="X264" s="155"/>
    </row>
    <row r="265" spans="24:24">
      <c r="X265" s="155"/>
    </row>
    <row r="266" spans="24:24">
      <c r="X266" s="155"/>
    </row>
    <row r="267" spans="24:24">
      <c r="X267" s="155"/>
    </row>
    <row r="268" spans="24:24">
      <c r="X268" s="155"/>
    </row>
    <row r="269" spans="24:24">
      <c r="X269" s="155"/>
    </row>
    <row r="270" spans="24:24">
      <c r="X270" s="155"/>
    </row>
    <row r="271" spans="24:24">
      <c r="X271" s="155"/>
    </row>
    <row r="272" spans="24:24">
      <c r="X272" s="155"/>
    </row>
    <row r="273" spans="24:24">
      <c r="X273" s="155"/>
    </row>
    <row r="274" spans="24:24">
      <c r="X274" s="155"/>
    </row>
    <row r="275" spans="24:24">
      <c r="X275" s="155"/>
    </row>
    <row r="276" spans="24:24">
      <c r="X276" s="155"/>
    </row>
    <row r="277" spans="24:24">
      <c r="X277" s="155"/>
    </row>
    <row r="278" spans="24:24">
      <c r="X278" s="155"/>
    </row>
    <row r="279" spans="24:24">
      <c r="X279" s="155"/>
    </row>
    <row r="280" spans="24:24">
      <c r="X280" s="155"/>
    </row>
    <row r="281" spans="24:24">
      <c r="X281" s="155"/>
    </row>
    <row r="282" spans="24:24">
      <c r="X282" s="155"/>
    </row>
    <row r="283" spans="24:24">
      <c r="X283" s="155"/>
    </row>
    <row r="284" spans="24:24">
      <c r="X284" s="155"/>
    </row>
    <row r="285" spans="24:24">
      <c r="X285" s="155"/>
    </row>
    <row r="286" spans="24:24">
      <c r="X286" s="155"/>
    </row>
    <row r="287" spans="24:24">
      <c r="X287" s="155"/>
    </row>
    <row r="288" spans="24:24">
      <c r="X288" s="155"/>
    </row>
    <row r="289" spans="24:24">
      <c r="X289" s="155"/>
    </row>
    <row r="290" spans="24:24">
      <c r="X290" s="155"/>
    </row>
    <row r="291" spans="24:24">
      <c r="X291" s="155"/>
    </row>
    <row r="292" spans="24:24">
      <c r="X292" s="155"/>
    </row>
    <row r="293" spans="24:24">
      <c r="X293" s="155"/>
    </row>
    <row r="294" spans="24:24">
      <c r="X294" s="155"/>
    </row>
    <row r="295" spans="24:24">
      <c r="X295" s="155"/>
    </row>
    <row r="296" spans="24:24">
      <c r="X296" s="155"/>
    </row>
    <row r="297" spans="24:24">
      <c r="X297" s="155"/>
    </row>
    <row r="298" spans="24:24">
      <c r="X298" s="155"/>
    </row>
    <row r="299" spans="24:24">
      <c r="X299" s="155"/>
    </row>
    <row r="300" spans="24:24">
      <c r="X300" s="155"/>
    </row>
    <row r="301" spans="24:24">
      <c r="X301" s="155"/>
    </row>
    <row r="302" spans="24:24">
      <c r="X302" s="155"/>
    </row>
    <row r="303" spans="24:24">
      <c r="X303" s="155"/>
    </row>
    <row r="304" spans="24:24">
      <c r="X304" s="155"/>
    </row>
    <row r="305" spans="24:24">
      <c r="X305" s="155"/>
    </row>
    <row r="306" spans="24:24">
      <c r="X306" s="155"/>
    </row>
    <row r="307" spans="24:24">
      <c r="X307" s="155"/>
    </row>
    <row r="308" spans="24:24">
      <c r="X308" s="155"/>
    </row>
    <row r="309" spans="24:24">
      <c r="X309" s="155"/>
    </row>
    <row r="310" spans="24:24">
      <c r="X310" s="155"/>
    </row>
    <row r="311" spans="24:24">
      <c r="X311" s="155"/>
    </row>
    <row r="312" spans="24:24">
      <c r="X312" s="155"/>
    </row>
    <row r="313" spans="24:24">
      <c r="X313" s="155"/>
    </row>
    <row r="314" spans="24:24">
      <c r="X314" s="155"/>
    </row>
    <row r="315" spans="24:24">
      <c r="X315" s="155"/>
    </row>
    <row r="316" spans="24:24">
      <c r="X316" s="155"/>
    </row>
    <row r="317" spans="24:24">
      <c r="X317" s="155"/>
    </row>
    <row r="318" spans="24:24">
      <c r="X318" s="155"/>
    </row>
    <row r="319" spans="24:24">
      <c r="X319" s="155"/>
    </row>
    <row r="320" spans="24:24">
      <c r="X320" s="155"/>
    </row>
    <row r="321" spans="24:24">
      <c r="X321" s="155"/>
    </row>
    <row r="322" spans="24:24">
      <c r="X322" s="155"/>
    </row>
    <row r="323" spans="24:24">
      <c r="X323" s="155"/>
    </row>
    <row r="324" spans="24:24">
      <c r="X324" s="155"/>
    </row>
    <row r="325" spans="24:24">
      <c r="X325" s="155"/>
    </row>
    <row r="326" spans="24:24">
      <c r="X326" s="155"/>
    </row>
    <row r="327" spans="24:24">
      <c r="X327" s="155"/>
    </row>
    <row r="328" spans="24:24">
      <c r="X328" s="155"/>
    </row>
    <row r="329" spans="24:24">
      <c r="X329" s="155"/>
    </row>
    <row r="330" spans="24:24">
      <c r="X330" s="155"/>
    </row>
    <row r="331" spans="24:24">
      <c r="X331" s="155"/>
    </row>
    <row r="332" spans="24:24">
      <c r="X332" s="155"/>
    </row>
    <row r="333" spans="24:24">
      <c r="X333" s="155"/>
    </row>
    <row r="334" spans="24:24">
      <c r="X334" s="155"/>
    </row>
    <row r="335" spans="24:24">
      <c r="X335" s="155"/>
    </row>
    <row r="336" spans="24:24">
      <c r="X336" s="155"/>
    </row>
    <row r="337" spans="24:24">
      <c r="X337" s="155"/>
    </row>
    <row r="338" spans="24:24">
      <c r="X338" s="155"/>
    </row>
    <row r="339" spans="24:24">
      <c r="X339" s="155"/>
    </row>
    <row r="340" spans="24:24">
      <c r="X340" s="155"/>
    </row>
    <row r="341" spans="24:24">
      <c r="X341" s="155"/>
    </row>
    <row r="342" spans="24:24">
      <c r="X342" s="155"/>
    </row>
    <row r="343" spans="24:24">
      <c r="X343" s="155"/>
    </row>
    <row r="344" spans="24:24">
      <c r="X344" s="155"/>
    </row>
    <row r="345" spans="24:24">
      <c r="X345" s="155"/>
    </row>
    <row r="346" spans="24:24">
      <c r="X346" s="155"/>
    </row>
    <row r="347" spans="24:24">
      <c r="X347" s="155"/>
    </row>
    <row r="348" spans="24:24">
      <c r="X348" s="155"/>
    </row>
    <row r="349" spans="24:24">
      <c r="X349" s="155"/>
    </row>
    <row r="350" spans="24:24">
      <c r="X350" s="155"/>
    </row>
    <row r="351" spans="24:24">
      <c r="X351" s="155"/>
    </row>
    <row r="352" spans="24:24">
      <c r="X352" s="155"/>
    </row>
    <row r="353" spans="24:24">
      <c r="X353" s="155"/>
    </row>
    <row r="354" spans="24:24">
      <c r="X354" s="155"/>
    </row>
    <row r="355" spans="24:24">
      <c r="X355" s="155"/>
    </row>
    <row r="356" spans="24:24">
      <c r="X356" s="155"/>
    </row>
    <row r="357" spans="24:24">
      <c r="X357" s="155"/>
    </row>
    <row r="358" spans="24:24">
      <c r="X358" s="155"/>
    </row>
    <row r="359" spans="24:24">
      <c r="X359" s="155"/>
    </row>
    <row r="360" spans="24:24">
      <c r="X360" s="155"/>
    </row>
    <row r="361" spans="24:24">
      <c r="X361" s="155"/>
    </row>
    <row r="362" spans="24:24">
      <c r="X362" s="155"/>
    </row>
    <row r="363" spans="24:24">
      <c r="X363" s="155"/>
    </row>
    <row r="364" spans="24:24">
      <c r="X364" s="155"/>
    </row>
    <row r="365" spans="24:24">
      <c r="X365" s="155"/>
    </row>
    <row r="366" spans="24:24">
      <c r="X366" s="155"/>
    </row>
    <row r="367" spans="24:24">
      <c r="X367" s="155"/>
    </row>
    <row r="368" spans="24:24">
      <c r="X368" s="155"/>
    </row>
    <row r="369" spans="24:24">
      <c r="X369" s="155"/>
    </row>
    <row r="370" spans="24:24">
      <c r="X370" s="155"/>
    </row>
    <row r="371" spans="24:24">
      <c r="X371" s="155"/>
    </row>
    <row r="372" spans="24:24">
      <c r="X372" s="155"/>
    </row>
    <row r="373" spans="24:24">
      <c r="X373" s="155"/>
    </row>
    <row r="374" spans="24:24">
      <c r="X374" s="155"/>
    </row>
    <row r="375" spans="24:24">
      <c r="X375" s="155"/>
    </row>
    <row r="376" spans="24:24">
      <c r="X376" s="155"/>
    </row>
    <row r="377" spans="24:24">
      <c r="X377" s="155"/>
    </row>
    <row r="378" spans="24:24">
      <c r="X378" s="155"/>
    </row>
    <row r="379" spans="24:24">
      <c r="X379" s="155"/>
    </row>
    <row r="380" spans="24:24">
      <c r="X380" s="155"/>
    </row>
    <row r="381" spans="24:24">
      <c r="X381" s="155"/>
    </row>
    <row r="382" spans="24:24">
      <c r="X382" s="155"/>
    </row>
    <row r="383" spans="24:24">
      <c r="X383" s="155"/>
    </row>
    <row r="384" spans="24:24">
      <c r="X384" s="155"/>
    </row>
    <row r="385" spans="24:24">
      <c r="X385" s="155"/>
    </row>
    <row r="386" spans="24:24">
      <c r="X386" s="155"/>
    </row>
    <row r="387" spans="24:24">
      <c r="X387" s="155"/>
    </row>
    <row r="388" spans="24:24">
      <c r="X388" s="155"/>
    </row>
    <row r="389" spans="24:24">
      <c r="X389" s="155"/>
    </row>
    <row r="390" spans="24:24">
      <c r="X390" s="155"/>
    </row>
    <row r="391" spans="24:24">
      <c r="X391" s="155"/>
    </row>
    <row r="392" spans="24:24">
      <c r="X392" s="155"/>
    </row>
    <row r="393" spans="24:24">
      <c r="X393" s="155"/>
    </row>
    <row r="394" spans="24:24">
      <c r="X394" s="155"/>
    </row>
    <row r="395" spans="24:24">
      <c r="X395" s="155"/>
    </row>
    <row r="396" spans="24:24">
      <c r="X396" s="155"/>
    </row>
    <row r="397" spans="24:24">
      <c r="X397" s="155"/>
    </row>
    <row r="398" spans="24:24">
      <c r="X398" s="155"/>
    </row>
    <row r="399" spans="24:24">
      <c r="X399" s="155"/>
    </row>
    <row r="400" spans="24:24">
      <c r="X400" s="155"/>
    </row>
    <row r="401" spans="24:24">
      <c r="X401" s="155"/>
    </row>
    <row r="402" spans="24:24">
      <c r="X402" s="155"/>
    </row>
    <row r="403" spans="24:24">
      <c r="X403" s="155"/>
    </row>
    <row r="404" spans="24:24">
      <c r="X404" s="155"/>
    </row>
    <row r="405" spans="24:24">
      <c r="X405" s="155"/>
    </row>
    <row r="406" spans="24:24">
      <c r="X406" s="155"/>
    </row>
    <row r="407" spans="24:24">
      <c r="X407" s="155"/>
    </row>
    <row r="408" spans="24:24">
      <c r="X408" s="155"/>
    </row>
    <row r="409" spans="24:24">
      <c r="X409" s="155"/>
    </row>
    <row r="410" spans="24:24">
      <c r="X410" s="155"/>
    </row>
    <row r="411" spans="24:24">
      <c r="X411" s="155"/>
    </row>
    <row r="412" spans="24:24">
      <c r="X412" s="155"/>
    </row>
    <row r="413" spans="24:24">
      <c r="X413" s="155"/>
    </row>
    <row r="414" spans="24:24">
      <c r="X414" s="155"/>
    </row>
    <row r="415" spans="24:24">
      <c r="X415" s="155"/>
    </row>
    <row r="416" spans="24:24">
      <c r="X416" s="155"/>
    </row>
    <row r="417" spans="24:24">
      <c r="X417" s="155"/>
    </row>
    <row r="418" spans="24:24">
      <c r="X418" s="155"/>
    </row>
    <row r="419" spans="24:24">
      <c r="X419" s="155"/>
    </row>
    <row r="420" spans="24:24">
      <c r="X420" s="155"/>
    </row>
    <row r="421" spans="24:24">
      <c r="X421" s="155"/>
    </row>
    <row r="422" spans="24:24">
      <c r="X422" s="155"/>
    </row>
    <row r="423" spans="24:24">
      <c r="X423" s="155"/>
    </row>
    <row r="424" spans="24:24">
      <c r="X424" s="155"/>
    </row>
    <row r="425" spans="24:24">
      <c r="X425" s="155"/>
    </row>
    <row r="426" spans="24:24">
      <c r="X426" s="155"/>
    </row>
    <row r="427" spans="24:24">
      <c r="X427" s="155"/>
    </row>
    <row r="428" spans="24:24">
      <c r="X428" s="155"/>
    </row>
    <row r="429" spans="24:24">
      <c r="X429" s="155"/>
    </row>
    <row r="430" spans="24:24">
      <c r="X430" s="155"/>
    </row>
    <row r="431" spans="24:24">
      <c r="X431" s="155"/>
    </row>
    <row r="432" spans="24:24">
      <c r="X432" s="155"/>
    </row>
    <row r="433" spans="24:24">
      <c r="X433" s="155"/>
    </row>
    <row r="434" spans="24:24">
      <c r="X434" s="155"/>
    </row>
    <row r="435" spans="24:24">
      <c r="X435" s="155"/>
    </row>
    <row r="436" spans="24:24">
      <c r="X436" s="155"/>
    </row>
    <row r="437" spans="24:24">
      <c r="X437" s="155"/>
    </row>
    <row r="438" spans="24:24">
      <c r="X438" s="155"/>
    </row>
    <row r="439" spans="24:24">
      <c r="X439" s="155"/>
    </row>
    <row r="440" spans="24:24">
      <c r="X440" s="155"/>
    </row>
    <row r="441" spans="24:24">
      <c r="X441" s="155"/>
    </row>
    <row r="442" spans="24:24">
      <c r="X442" s="155"/>
    </row>
    <row r="443" spans="24:24">
      <c r="X443" s="155"/>
    </row>
    <row r="444" spans="24:24">
      <c r="X444" s="155"/>
    </row>
    <row r="445" spans="24:24">
      <c r="X445" s="155"/>
    </row>
    <row r="446" spans="24:24">
      <c r="X446" s="155"/>
    </row>
    <row r="447" spans="24:24">
      <c r="X447" s="155"/>
    </row>
    <row r="448" spans="24:24">
      <c r="X448" s="155"/>
    </row>
    <row r="449" spans="24:24">
      <c r="X449" s="155"/>
    </row>
    <row r="450" spans="24:24">
      <c r="X450" s="155"/>
    </row>
    <row r="451" spans="24:24">
      <c r="X451" s="155"/>
    </row>
    <row r="452" spans="24:24">
      <c r="X452" s="155"/>
    </row>
    <row r="453" spans="24:24">
      <c r="X453" s="155"/>
    </row>
    <row r="454" spans="24:24">
      <c r="X454" s="155"/>
    </row>
    <row r="455" spans="24:24">
      <c r="X455" s="155"/>
    </row>
    <row r="456" spans="24:24">
      <c r="X456" s="155"/>
    </row>
    <row r="457" spans="24:24">
      <c r="X457" s="155"/>
    </row>
    <row r="458" spans="24:24">
      <c r="X458" s="155"/>
    </row>
    <row r="459" spans="24:24">
      <c r="X459" s="155"/>
    </row>
    <row r="460" spans="24:24">
      <c r="X460" s="155"/>
    </row>
    <row r="461" spans="24:24">
      <c r="X461" s="155"/>
    </row>
    <row r="462" spans="24:24">
      <c r="X462" s="155"/>
    </row>
    <row r="463" spans="24:24">
      <c r="X463" s="155"/>
    </row>
    <row r="464" spans="24:24">
      <c r="X464" s="155"/>
    </row>
    <row r="465" spans="24:24">
      <c r="X465" s="155"/>
    </row>
    <row r="466" spans="24:24">
      <c r="X466" s="155"/>
    </row>
    <row r="467" spans="24:24">
      <c r="X467" s="155"/>
    </row>
    <row r="468" spans="24:24">
      <c r="X468" s="155"/>
    </row>
    <row r="469" spans="24:24">
      <c r="X469" s="155"/>
    </row>
    <row r="470" spans="24:24">
      <c r="X470" s="155"/>
    </row>
    <row r="471" spans="24:24">
      <c r="X471" s="155"/>
    </row>
    <row r="472" spans="24:24">
      <c r="X472" s="155"/>
    </row>
    <row r="473" spans="24:24">
      <c r="X473" s="155"/>
    </row>
    <row r="474" spans="24:24">
      <c r="X474" s="155"/>
    </row>
    <row r="475" spans="24:24">
      <c r="X475" s="155"/>
    </row>
    <row r="476" spans="24:24">
      <c r="X476" s="155"/>
    </row>
    <row r="477" spans="24:24">
      <c r="X477" s="155"/>
    </row>
    <row r="478" spans="24:24">
      <c r="X478" s="155"/>
    </row>
    <row r="479" spans="24:24">
      <c r="X479" s="155"/>
    </row>
    <row r="480" spans="24:24">
      <c r="X480" s="155"/>
    </row>
    <row r="481" spans="24:24">
      <c r="X481" s="155"/>
    </row>
    <row r="482" spans="24:24">
      <c r="X482" s="155"/>
    </row>
    <row r="483" spans="24:24">
      <c r="X483" s="155"/>
    </row>
    <row r="484" spans="24:24">
      <c r="X484" s="155"/>
    </row>
    <row r="485" spans="24:24">
      <c r="X485" s="155"/>
    </row>
    <row r="486" spans="24:24">
      <c r="X486" s="155"/>
    </row>
    <row r="487" spans="24:24">
      <c r="X487" s="155"/>
    </row>
    <row r="488" spans="24:24">
      <c r="X488" s="155"/>
    </row>
    <row r="489" spans="24:24">
      <c r="X489" s="155"/>
    </row>
    <row r="490" spans="24:24">
      <c r="X490" s="155"/>
    </row>
    <row r="491" spans="24:24">
      <c r="X491" s="155"/>
    </row>
    <row r="492" spans="24:24">
      <c r="X492" s="155"/>
    </row>
    <row r="493" spans="24:24">
      <c r="X493" s="155"/>
    </row>
    <row r="494" spans="24:24">
      <c r="X494" s="155"/>
    </row>
    <row r="495" spans="24:24">
      <c r="X495" s="155"/>
    </row>
    <row r="496" spans="24:24">
      <c r="X496" s="155"/>
    </row>
    <row r="497" spans="24:24">
      <c r="X497" s="155"/>
    </row>
    <row r="498" spans="24:24">
      <c r="X498" s="155"/>
    </row>
    <row r="499" spans="24:24">
      <c r="X499" s="155"/>
    </row>
    <row r="500" spans="24:24">
      <c r="X500" s="155"/>
    </row>
    <row r="501" spans="24:24">
      <c r="X501" s="155"/>
    </row>
    <row r="502" spans="24:24">
      <c r="X502" s="155"/>
    </row>
    <row r="503" spans="24:24">
      <c r="X503" s="155"/>
    </row>
    <row r="504" spans="24:24">
      <c r="X504" s="155"/>
    </row>
    <row r="505" spans="24:24">
      <c r="X505" s="155"/>
    </row>
    <row r="506" spans="24:24">
      <c r="X506" s="155"/>
    </row>
    <row r="507" spans="24:24">
      <c r="X507" s="155"/>
    </row>
    <row r="508" spans="24:24">
      <c r="X508" s="155"/>
    </row>
    <row r="509" spans="24:24">
      <c r="X509" s="155"/>
    </row>
    <row r="510" spans="24:24">
      <c r="X510" s="155"/>
    </row>
    <row r="511" spans="24:24">
      <c r="X511" s="155"/>
    </row>
    <row r="512" spans="24:24">
      <c r="X512" s="155"/>
    </row>
    <row r="513" spans="24:24">
      <c r="X513" s="155"/>
    </row>
    <row r="514" spans="24:24">
      <c r="X514" s="155"/>
    </row>
    <row r="515" spans="24:24">
      <c r="X515" s="155"/>
    </row>
    <row r="516" spans="24:24">
      <c r="X516" s="155"/>
    </row>
    <row r="517" spans="24:24">
      <c r="X517" s="155"/>
    </row>
    <row r="518" spans="24:24">
      <c r="X518" s="155"/>
    </row>
    <row r="519" spans="24:24">
      <c r="X519" s="155"/>
    </row>
    <row r="520" spans="24:24">
      <c r="X520" s="155"/>
    </row>
    <row r="521" spans="24:24">
      <c r="X521" s="155"/>
    </row>
    <row r="522" spans="24:24">
      <c r="X522" s="155"/>
    </row>
    <row r="523" spans="24:24">
      <c r="X523" s="155"/>
    </row>
    <row r="524" spans="24:24">
      <c r="X524" s="155"/>
    </row>
    <row r="525" spans="24:24">
      <c r="X525" s="155"/>
    </row>
    <row r="526" spans="24:24">
      <c r="X526" s="155"/>
    </row>
    <row r="527" spans="24:24">
      <c r="X527" s="155"/>
    </row>
    <row r="528" spans="24:24">
      <c r="X528" s="155"/>
    </row>
    <row r="529" spans="24:24">
      <c r="X529" s="155"/>
    </row>
    <row r="530" spans="24:24">
      <c r="X530" s="155"/>
    </row>
    <row r="531" spans="24:24">
      <c r="X531" s="155"/>
    </row>
    <row r="532" spans="24:24">
      <c r="X532" s="155"/>
    </row>
    <row r="533" spans="24:24">
      <c r="X533" s="155"/>
    </row>
    <row r="534" spans="24:24">
      <c r="X534" s="155"/>
    </row>
    <row r="535" spans="24:24">
      <c r="X535" s="155"/>
    </row>
    <row r="536" spans="24:24">
      <c r="X536" s="155"/>
    </row>
    <row r="537" spans="24:24">
      <c r="X537" s="155"/>
    </row>
    <row r="538" spans="24:24">
      <c r="X538" s="155"/>
    </row>
    <row r="539" spans="24:24">
      <c r="X539" s="155"/>
    </row>
    <row r="540" spans="24:24">
      <c r="X540" s="155"/>
    </row>
    <row r="541" spans="24:24">
      <c r="X541" s="155"/>
    </row>
    <row r="542" spans="24:24">
      <c r="X542" s="155"/>
    </row>
    <row r="543" spans="24:24">
      <c r="X543" s="155"/>
    </row>
    <row r="544" spans="24:24">
      <c r="X544" s="155"/>
    </row>
    <row r="545" spans="24:24">
      <c r="X545" s="155"/>
    </row>
    <row r="546" spans="24:24">
      <c r="X546" s="155"/>
    </row>
    <row r="547" spans="24:24">
      <c r="X547" s="155"/>
    </row>
    <row r="548" spans="24:24">
      <c r="X548" s="155"/>
    </row>
    <row r="549" spans="24:24">
      <c r="X549" s="155"/>
    </row>
    <row r="550" spans="24:24">
      <c r="X550" s="155"/>
    </row>
    <row r="551" spans="24:24">
      <c r="X551" s="155"/>
    </row>
    <row r="552" spans="24:24">
      <c r="X552" s="155"/>
    </row>
    <row r="553" spans="24:24">
      <c r="X553" s="155"/>
    </row>
    <row r="554" spans="24:24">
      <c r="X554" s="155"/>
    </row>
    <row r="555" spans="24:24">
      <c r="X555" s="155"/>
    </row>
    <row r="556" spans="24:24">
      <c r="X556" s="155"/>
    </row>
    <row r="557" spans="24:24">
      <c r="X557" s="155"/>
    </row>
    <row r="558" spans="24:24">
      <c r="X558" s="155"/>
    </row>
    <row r="559" spans="24:24">
      <c r="X559" s="155"/>
    </row>
    <row r="560" spans="24:24">
      <c r="X560" s="155"/>
    </row>
    <row r="561" spans="24:24">
      <c r="X561" s="155"/>
    </row>
    <row r="562" spans="24:24">
      <c r="X562" s="155"/>
    </row>
    <row r="563" spans="24:24">
      <c r="X563" s="155"/>
    </row>
    <row r="564" spans="24:24">
      <c r="X564" s="155"/>
    </row>
    <row r="565" spans="24:24">
      <c r="X565" s="155"/>
    </row>
    <row r="566" spans="24:24">
      <c r="X566" s="155"/>
    </row>
    <row r="567" spans="24:24">
      <c r="X567" s="155"/>
    </row>
    <row r="568" spans="24:24">
      <c r="X568" s="155"/>
    </row>
    <row r="569" spans="24:24">
      <c r="X569" s="155"/>
    </row>
    <row r="570" spans="24:24">
      <c r="X570" s="155"/>
    </row>
    <row r="571" spans="24:24">
      <c r="X571" s="155"/>
    </row>
    <row r="572" spans="24:24">
      <c r="X572" s="155"/>
    </row>
    <row r="573" spans="24:24">
      <c r="X573" s="155"/>
    </row>
    <row r="574" spans="24:24">
      <c r="X574" s="155"/>
    </row>
    <row r="575" spans="24:24">
      <c r="X575" s="155"/>
    </row>
    <row r="576" spans="24:24">
      <c r="X576" s="155"/>
    </row>
    <row r="577" spans="24:24">
      <c r="X577" s="155"/>
    </row>
    <row r="578" spans="24:24">
      <c r="X578" s="155"/>
    </row>
    <row r="579" spans="24:24">
      <c r="X579" s="155"/>
    </row>
    <row r="580" spans="24:24">
      <c r="X580" s="155"/>
    </row>
    <row r="581" spans="24:24">
      <c r="X581" s="155"/>
    </row>
    <row r="582" spans="24:24">
      <c r="X582" s="155"/>
    </row>
    <row r="583" spans="24:24">
      <c r="X583" s="155"/>
    </row>
    <row r="584" spans="24:24">
      <c r="X584" s="155"/>
    </row>
    <row r="585" spans="24:24">
      <c r="X585" s="155"/>
    </row>
    <row r="586" spans="24:24">
      <c r="X586" s="155"/>
    </row>
    <row r="587" spans="24:24">
      <c r="X587" s="155"/>
    </row>
    <row r="588" spans="24:24">
      <c r="X588" s="155"/>
    </row>
    <row r="589" spans="24:24">
      <c r="X589" s="155"/>
    </row>
    <row r="590" spans="24:24">
      <c r="X590" s="155"/>
    </row>
    <row r="591" spans="24:24">
      <c r="X591" s="155"/>
    </row>
    <row r="592" spans="24:24">
      <c r="X592" s="155"/>
    </row>
    <row r="593" spans="24:24">
      <c r="X593" s="155"/>
    </row>
    <row r="594" spans="24:24">
      <c r="X594" s="155"/>
    </row>
    <row r="595" spans="24:24">
      <c r="X595" s="155"/>
    </row>
    <row r="596" spans="24:24">
      <c r="X596" s="155"/>
    </row>
    <row r="597" spans="24:24">
      <c r="X597" s="155"/>
    </row>
    <row r="598" spans="24:24">
      <c r="X598" s="155"/>
    </row>
    <row r="599" spans="24:24">
      <c r="X599" s="155"/>
    </row>
    <row r="600" spans="24:24">
      <c r="X600" s="155"/>
    </row>
    <row r="601" spans="24:24">
      <c r="X601" s="155"/>
    </row>
    <row r="602" spans="24:24">
      <c r="X602" s="155"/>
    </row>
    <row r="603" spans="24:24">
      <c r="X603" s="155"/>
    </row>
    <row r="604" spans="24:24">
      <c r="X604" s="155"/>
    </row>
    <row r="605" spans="24:24">
      <c r="X605" s="155"/>
    </row>
    <row r="606" spans="24:24">
      <c r="X606" s="155"/>
    </row>
    <row r="607" spans="24:24">
      <c r="X607" s="155"/>
    </row>
    <row r="608" spans="24:24">
      <c r="X608" s="155"/>
    </row>
    <row r="609" spans="24:24">
      <c r="X609" s="155"/>
    </row>
    <row r="610" spans="24:24">
      <c r="X610" s="155"/>
    </row>
    <row r="611" spans="24:24">
      <c r="X611" s="155"/>
    </row>
    <row r="612" spans="24:24">
      <c r="X612" s="155"/>
    </row>
    <row r="613" spans="24:24">
      <c r="X613" s="155"/>
    </row>
    <row r="614" spans="24:24">
      <c r="X614" s="155"/>
    </row>
    <row r="615" spans="24:24">
      <c r="X615" s="155"/>
    </row>
    <row r="616" spans="24:24">
      <c r="X616" s="155"/>
    </row>
    <row r="617" spans="24:24">
      <c r="X617" s="155"/>
    </row>
    <row r="618" spans="24:24">
      <c r="X618" s="155"/>
    </row>
    <row r="619" spans="24:24">
      <c r="X619" s="155"/>
    </row>
    <row r="620" spans="24:24">
      <c r="X620" s="155"/>
    </row>
    <row r="621" spans="24:24">
      <c r="X621" s="155"/>
    </row>
    <row r="622" spans="24:24">
      <c r="X622" s="155"/>
    </row>
    <row r="623" spans="24:24">
      <c r="X623" s="155"/>
    </row>
    <row r="624" spans="24:24">
      <c r="X624" s="155"/>
    </row>
    <row r="625" spans="24:24">
      <c r="X625" s="155"/>
    </row>
    <row r="626" spans="24:24">
      <c r="X626" s="155"/>
    </row>
    <row r="627" spans="24:24">
      <c r="X627" s="155"/>
    </row>
    <row r="628" spans="24:24">
      <c r="X628" s="155"/>
    </row>
    <row r="629" spans="24:24">
      <c r="X629" s="155"/>
    </row>
    <row r="630" spans="24:24">
      <c r="X630" s="155"/>
    </row>
    <row r="631" spans="24:24">
      <c r="X631" s="155"/>
    </row>
    <row r="632" spans="24:24">
      <c r="X632" s="155"/>
    </row>
    <row r="633" spans="24:24">
      <c r="X633" s="155"/>
    </row>
    <row r="634" spans="24:24">
      <c r="X634" s="155"/>
    </row>
    <row r="635" spans="24:24">
      <c r="X635" s="155"/>
    </row>
    <row r="636" spans="24:24">
      <c r="X636" s="155"/>
    </row>
    <row r="637" spans="24:24">
      <c r="X637" s="155"/>
    </row>
    <row r="638" spans="24:24">
      <c r="X638" s="155"/>
    </row>
    <row r="639" spans="24:24">
      <c r="X639" s="155"/>
    </row>
    <row r="640" spans="24:24">
      <c r="X640" s="155"/>
    </row>
    <row r="641" spans="24:24">
      <c r="X641" s="155"/>
    </row>
    <row r="642" spans="24:24">
      <c r="X642" s="155"/>
    </row>
    <row r="643" spans="24:24">
      <c r="X643" s="155"/>
    </row>
    <row r="644" spans="24:24">
      <c r="X644" s="155"/>
    </row>
    <row r="645" spans="24:24">
      <c r="X645" s="155"/>
    </row>
    <row r="646" spans="24:24">
      <c r="X646" s="155"/>
    </row>
    <row r="647" spans="24:24">
      <c r="X647" s="155"/>
    </row>
    <row r="648" spans="24:24">
      <c r="X648" s="155"/>
    </row>
    <row r="649" spans="24:24">
      <c r="X649" s="155"/>
    </row>
    <row r="650" spans="24:24">
      <c r="X650" s="155"/>
    </row>
    <row r="651" spans="24:24">
      <c r="X651" s="155"/>
    </row>
    <row r="652" spans="24:24">
      <c r="X652" s="155"/>
    </row>
    <row r="653" spans="24:24">
      <c r="X653" s="155"/>
    </row>
    <row r="654" spans="24:24">
      <c r="X654" s="155"/>
    </row>
    <row r="655" spans="24:24">
      <c r="X655" s="155"/>
    </row>
    <row r="656" spans="24:24">
      <c r="X656" s="155"/>
    </row>
    <row r="657" spans="24:24">
      <c r="X657" s="155"/>
    </row>
    <row r="658" spans="24:24">
      <c r="X658" s="155"/>
    </row>
    <row r="659" spans="24:24">
      <c r="X659" s="155"/>
    </row>
    <row r="660" spans="24:24">
      <c r="X660" s="155"/>
    </row>
    <row r="661" spans="24:24">
      <c r="X661" s="155"/>
    </row>
    <row r="662" spans="24:24">
      <c r="X662" s="155"/>
    </row>
    <row r="663" spans="24:24">
      <c r="X663" s="155"/>
    </row>
    <row r="664" spans="24:24">
      <c r="X664" s="155"/>
    </row>
    <row r="665" spans="24:24">
      <c r="X665" s="155"/>
    </row>
    <row r="666" spans="24:24">
      <c r="X666" s="155"/>
    </row>
    <row r="667" spans="24:24">
      <c r="X667" s="155"/>
    </row>
    <row r="668" spans="24:24">
      <c r="X668" s="155"/>
    </row>
    <row r="669" spans="24:24">
      <c r="X669" s="155"/>
    </row>
    <row r="670" spans="24:24">
      <c r="X670" s="155"/>
    </row>
    <row r="671" spans="24:24">
      <c r="X671" s="155"/>
    </row>
    <row r="672" spans="24:24">
      <c r="X672" s="155"/>
    </row>
    <row r="673" spans="24:24">
      <c r="X673" s="155"/>
    </row>
    <row r="674" spans="24:24">
      <c r="X674" s="155"/>
    </row>
    <row r="675" spans="24:24">
      <c r="X675" s="155"/>
    </row>
    <row r="676" spans="24:24">
      <c r="X676" s="155"/>
    </row>
    <row r="677" spans="24:24">
      <c r="X677" s="155"/>
    </row>
    <row r="678" spans="24:24">
      <c r="X678" s="155"/>
    </row>
    <row r="679" spans="24:24">
      <c r="X679" s="155"/>
    </row>
    <row r="680" spans="24:24">
      <c r="X680" s="155"/>
    </row>
    <row r="681" spans="24:24">
      <c r="X681" s="155"/>
    </row>
    <row r="682" spans="24:24">
      <c r="X682" s="155"/>
    </row>
    <row r="683" spans="24:24">
      <c r="X683" s="155"/>
    </row>
    <row r="684" spans="24:24">
      <c r="X684" s="155"/>
    </row>
    <row r="685" spans="24:24">
      <c r="X685" s="155"/>
    </row>
    <row r="686" spans="24:24">
      <c r="X686" s="155"/>
    </row>
    <row r="687" spans="24:24">
      <c r="X687" s="155"/>
    </row>
    <row r="688" spans="24:24">
      <c r="X688" s="155"/>
    </row>
    <row r="689" spans="24:24">
      <c r="X689" s="155"/>
    </row>
    <row r="690" spans="24:24">
      <c r="X690" s="155"/>
    </row>
    <row r="691" spans="24:24">
      <c r="X691" s="155"/>
    </row>
    <row r="692" spans="24:24">
      <c r="X692" s="155"/>
    </row>
    <row r="693" spans="24:24">
      <c r="X693" s="155"/>
    </row>
    <row r="694" spans="24:24">
      <c r="X694" s="155"/>
    </row>
    <row r="695" spans="24:24">
      <c r="X695" s="155"/>
    </row>
    <row r="696" spans="24:24">
      <c r="X696" s="155"/>
    </row>
    <row r="697" spans="24:24">
      <c r="X697" s="155"/>
    </row>
    <row r="698" spans="24:24">
      <c r="X698" s="155"/>
    </row>
    <row r="699" spans="24:24">
      <c r="X699" s="155"/>
    </row>
    <row r="700" spans="24:24">
      <c r="X700" s="155"/>
    </row>
    <row r="701" spans="24:24">
      <c r="X701" s="155"/>
    </row>
    <row r="702" spans="24:24">
      <c r="X702" s="155"/>
    </row>
    <row r="703" spans="24:24">
      <c r="X703" s="155"/>
    </row>
    <row r="704" spans="24:24">
      <c r="X704" s="155"/>
    </row>
    <row r="705" spans="24:24">
      <c r="X705" s="155"/>
    </row>
    <row r="706" spans="24:24">
      <c r="X706" s="155"/>
    </row>
    <row r="707" spans="24:24">
      <c r="X707" s="155"/>
    </row>
    <row r="708" spans="24:24">
      <c r="X708" s="155"/>
    </row>
    <row r="709" spans="24:24">
      <c r="X709" s="155"/>
    </row>
    <row r="710" spans="24:24">
      <c r="X710" s="155"/>
    </row>
    <row r="711" spans="24:24">
      <c r="X711" s="155"/>
    </row>
    <row r="712" spans="24:24">
      <c r="X712" s="155"/>
    </row>
    <row r="713" spans="24:24">
      <c r="X713" s="155"/>
    </row>
    <row r="714" spans="24:24">
      <c r="X714" s="155"/>
    </row>
    <row r="715" spans="24:24">
      <c r="X715" s="155"/>
    </row>
    <row r="716" spans="24:24">
      <c r="X716" s="155"/>
    </row>
    <row r="717" spans="24:24">
      <c r="X717" s="155"/>
    </row>
    <row r="718" spans="24:24">
      <c r="X718" s="155"/>
    </row>
    <row r="719" spans="24:24">
      <c r="X719" s="155"/>
    </row>
    <row r="720" spans="24:24">
      <c r="X720" s="155"/>
    </row>
    <row r="721" spans="24:24">
      <c r="X721" s="155"/>
    </row>
    <row r="722" spans="24:24">
      <c r="X722" s="155"/>
    </row>
    <row r="723" spans="24:24">
      <c r="X723" s="155"/>
    </row>
    <row r="724" spans="24:24">
      <c r="X724" s="155"/>
    </row>
    <row r="725" spans="24:24">
      <c r="X725" s="155"/>
    </row>
    <row r="726" spans="24:24">
      <c r="X726" s="155"/>
    </row>
    <row r="727" spans="24:24">
      <c r="X727" s="155"/>
    </row>
    <row r="728" spans="24:24">
      <c r="X728" s="155"/>
    </row>
    <row r="729" spans="24:24">
      <c r="X729" s="155"/>
    </row>
    <row r="730" spans="24:24">
      <c r="X730" s="155"/>
    </row>
    <row r="731" spans="24:24">
      <c r="X731" s="155"/>
    </row>
    <row r="732" spans="24:24">
      <c r="X732" s="155"/>
    </row>
    <row r="733" spans="24:24">
      <c r="X733" s="155"/>
    </row>
    <row r="734" spans="24:24">
      <c r="X734" s="155"/>
    </row>
    <row r="735" spans="24:24">
      <c r="X735" s="155"/>
    </row>
    <row r="736" spans="24:24">
      <c r="X736" s="155"/>
    </row>
    <row r="737" spans="24:24">
      <c r="X737" s="155"/>
    </row>
    <row r="738" spans="24:24">
      <c r="X738" s="155"/>
    </row>
    <row r="739" spans="24:24">
      <c r="X739" s="155"/>
    </row>
    <row r="740" spans="24:24">
      <c r="X740" s="155"/>
    </row>
    <row r="741" spans="24:24">
      <c r="X741" s="155"/>
    </row>
    <row r="742" spans="24:24">
      <c r="X742" s="155"/>
    </row>
    <row r="743" spans="24:24">
      <c r="X743" s="155"/>
    </row>
    <row r="744" spans="24:24">
      <c r="X744" s="155"/>
    </row>
    <row r="745" spans="24:24">
      <c r="X745" s="155"/>
    </row>
    <row r="746" spans="24:24">
      <c r="X746" s="155"/>
    </row>
    <row r="747" spans="24:24">
      <c r="X747" s="155"/>
    </row>
    <row r="748" spans="24:24">
      <c r="X748" s="155"/>
    </row>
    <row r="749" spans="24:24">
      <c r="X749" s="155"/>
    </row>
    <row r="750" spans="24:24">
      <c r="X750" s="155"/>
    </row>
    <row r="751" spans="24:24">
      <c r="X751" s="155"/>
    </row>
    <row r="752" spans="24:24">
      <c r="X752" s="155"/>
    </row>
    <row r="753" spans="24:24">
      <c r="X753" s="155"/>
    </row>
    <row r="754" spans="24:24">
      <c r="X754" s="155"/>
    </row>
    <row r="755" spans="24:24">
      <c r="X755" s="155"/>
    </row>
    <row r="756" spans="24:24">
      <c r="X756" s="155"/>
    </row>
    <row r="757" spans="24:24">
      <c r="X757" s="155"/>
    </row>
    <row r="758" spans="24:24">
      <c r="X758" s="155"/>
    </row>
    <row r="759" spans="24:24">
      <c r="X759" s="155"/>
    </row>
    <row r="760" spans="24:24">
      <c r="X760" s="155"/>
    </row>
    <row r="761" spans="24:24">
      <c r="X761" s="155"/>
    </row>
    <row r="762" spans="24:24">
      <c r="X762" s="155"/>
    </row>
    <row r="763" spans="24:24">
      <c r="X763" s="155"/>
    </row>
    <row r="764" spans="24:24">
      <c r="X764" s="155"/>
    </row>
    <row r="765" spans="24:24">
      <c r="X765" s="155"/>
    </row>
    <row r="766" spans="24:24">
      <c r="X766" s="155"/>
    </row>
    <row r="767" spans="24:24">
      <c r="X767" s="155"/>
    </row>
    <row r="768" spans="24:24">
      <c r="X768" s="155"/>
    </row>
    <row r="769" spans="24:24">
      <c r="X769" s="155"/>
    </row>
    <row r="770" spans="24:24">
      <c r="X770" s="155"/>
    </row>
    <row r="771" spans="24:24">
      <c r="X771" s="155"/>
    </row>
    <row r="772" spans="24:24">
      <c r="X772" s="155"/>
    </row>
    <row r="773" spans="24:24">
      <c r="X773" s="155"/>
    </row>
    <row r="774" spans="24:24">
      <c r="X774" s="155"/>
    </row>
    <row r="775" spans="24:24">
      <c r="X775" s="155"/>
    </row>
    <row r="776" spans="24:24">
      <c r="X776" s="155"/>
    </row>
    <row r="777" spans="24:24">
      <c r="X777" s="155"/>
    </row>
    <row r="778" spans="24:24">
      <c r="X778" s="155"/>
    </row>
    <row r="779" spans="24:24">
      <c r="X779" s="155"/>
    </row>
    <row r="780" spans="24:24">
      <c r="X780" s="155"/>
    </row>
    <row r="781" spans="24:24">
      <c r="X781" s="155"/>
    </row>
    <row r="782" spans="24:24">
      <c r="X782" s="155"/>
    </row>
    <row r="783" spans="24:24">
      <c r="X783" s="155"/>
    </row>
    <row r="784" spans="24:24">
      <c r="X784" s="155"/>
    </row>
    <row r="785" spans="24:24">
      <c r="X785" s="155"/>
    </row>
    <row r="786" spans="24:24">
      <c r="X786" s="155"/>
    </row>
    <row r="787" spans="24:24">
      <c r="X787" s="155"/>
    </row>
    <row r="788" spans="24:24">
      <c r="X788" s="155"/>
    </row>
    <row r="789" spans="24:24">
      <c r="X789" s="155"/>
    </row>
    <row r="790" spans="24:24">
      <c r="X790" s="155"/>
    </row>
    <row r="791" spans="24:24">
      <c r="X791" s="155"/>
    </row>
    <row r="792" spans="24:24">
      <c r="X792" s="155"/>
    </row>
    <row r="793" spans="24:24">
      <c r="X793" s="155"/>
    </row>
    <row r="794" spans="24:24">
      <c r="X794" s="155"/>
    </row>
    <row r="795" spans="24:24">
      <c r="X795" s="155"/>
    </row>
    <row r="796" spans="24:24">
      <c r="X796" s="155"/>
    </row>
    <row r="797" spans="24:24">
      <c r="X797" s="155"/>
    </row>
    <row r="798" spans="24:24">
      <c r="X798" s="155"/>
    </row>
    <row r="799" spans="24:24">
      <c r="X799" s="155"/>
    </row>
    <row r="800" spans="24:24">
      <c r="X800" s="155"/>
    </row>
    <row r="801" spans="24:24">
      <c r="X801" s="155"/>
    </row>
    <row r="802" spans="24:24">
      <c r="X802" s="155"/>
    </row>
    <row r="803" spans="24:24">
      <c r="X803" s="155"/>
    </row>
    <row r="804" spans="24:24">
      <c r="X804" s="155"/>
    </row>
    <row r="805" spans="24:24">
      <c r="X805" s="155"/>
    </row>
    <row r="806" spans="24:24">
      <c r="X806" s="155"/>
    </row>
    <row r="807" spans="24:24">
      <c r="X807" s="155"/>
    </row>
    <row r="808" spans="24:24">
      <c r="X808" s="155"/>
    </row>
    <row r="809" spans="24:24">
      <c r="X809" s="155"/>
    </row>
    <row r="810" spans="24:24">
      <c r="X810" s="155"/>
    </row>
    <row r="811" spans="24:24">
      <c r="X811" s="155"/>
    </row>
    <row r="812" spans="24:24">
      <c r="X812" s="155"/>
    </row>
    <row r="813" spans="24:24">
      <c r="X813" s="155"/>
    </row>
    <row r="814" spans="24:24">
      <c r="X814" s="155"/>
    </row>
    <row r="815" spans="24:24">
      <c r="X815" s="155"/>
    </row>
    <row r="816" spans="24:24">
      <c r="X816" s="155"/>
    </row>
    <row r="817" spans="24:24">
      <c r="X817" s="155"/>
    </row>
    <row r="818" spans="24:24">
      <c r="X818" s="155"/>
    </row>
    <row r="819" spans="24:24">
      <c r="X819" s="155"/>
    </row>
    <row r="820" spans="24:24">
      <c r="X820" s="155"/>
    </row>
    <row r="821" spans="24:24">
      <c r="X821" s="155"/>
    </row>
    <row r="822" spans="24:24">
      <c r="X822" s="155"/>
    </row>
    <row r="823" spans="24:24">
      <c r="X823" s="155"/>
    </row>
    <row r="824" spans="24:24">
      <c r="X824" s="155"/>
    </row>
    <row r="825" spans="24:24">
      <c r="X825" s="155"/>
    </row>
    <row r="826" spans="24:24">
      <c r="X826" s="155"/>
    </row>
    <row r="827" spans="24:24">
      <c r="X827" s="155"/>
    </row>
    <row r="828" spans="24:24">
      <c r="X828" s="155"/>
    </row>
    <row r="829" spans="24:24">
      <c r="X829" s="155"/>
    </row>
    <row r="830" spans="24:24">
      <c r="X830" s="155"/>
    </row>
    <row r="831" spans="24:24">
      <c r="X831" s="155"/>
    </row>
    <row r="832" spans="24:24">
      <c r="X832" s="155"/>
    </row>
    <row r="833" spans="24:24">
      <c r="X833" s="155"/>
    </row>
    <row r="834" spans="24:24">
      <c r="X834" s="155"/>
    </row>
    <row r="835" spans="24:24">
      <c r="X835" s="155"/>
    </row>
    <row r="836" spans="24:24">
      <c r="X836" s="155"/>
    </row>
    <row r="837" spans="24:24">
      <c r="X837" s="155"/>
    </row>
    <row r="838" spans="24:24">
      <c r="X838" s="155"/>
    </row>
    <row r="839" spans="24:24">
      <c r="X839" s="155"/>
    </row>
    <row r="840" spans="24:24">
      <c r="X840" s="155"/>
    </row>
    <row r="841" spans="24:24">
      <c r="X841" s="155"/>
    </row>
    <row r="842" spans="24:24">
      <c r="X842" s="155"/>
    </row>
    <row r="843" spans="24:24">
      <c r="X843" s="155"/>
    </row>
    <row r="844" spans="24:24">
      <c r="X844" s="155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topLeftCell="X1" zoomScale="70" zoomScaleNormal="70" workbookViewId="0">
      <selection activeCell="AH14" sqref="AH14"/>
    </sheetView>
  </sheetViews>
  <sheetFormatPr defaultColWidth="11.625" defaultRowHeight="14.25"/>
  <cols>
    <col min="1" max="21" width="11.625" style="4" customWidth="1"/>
    <col min="22" max="22" width="11.625" style="149" customWidth="1"/>
    <col min="23" max="32" width="11.625" style="4" customWidth="1"/>
    <col min="33" max="16384" width="11.625" style="4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97</v>
      </c>
      <c r="E1" s="22" t="s">
        <v>98</v>
      </c>
      <c r="F1" s="22" t="s">
        <v>3</v>
      </c>
      <c r="G1" s="22" t="s">
        <v>4</v>
      </c>
      <c r="H1" s="22" t="s">
        <v>99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100</v>
      </c>
      <c r="N1" s="22" t="s">
        <v>78</v>
      </c>
      <c r="O1" s="22" t="s">
        <v>9</v>
      </c>
      <c r="P1" s="22" t="s">
        <v>10</v>
      </c>
      <c r="Q1" s="22" t="s">
        <v>124</v>
      </c>
      <c r="R1" s="22" t="s">
        <v>11</v>
      </c>
      <c r="S1" s="22" t="s">
        <v>12</v>
      </c>
      <c r="T1" s="22" t="s">
        <v>860</v>
      </c>
      <c r="U1" s="22" t="s">
        <v>13</v>
      </c>
      <c r="V1" s="146" t="s">
        <v>14</v>
      </c>
      <c r="W1" s="22" t="s">
        <v>15</v>
      </c>
      <c r="X1" s="22" t="s">
        <v>359</v>
      </c>
      <c r="Y1" s="22" t="s">
        <v>781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116</v>
      </c>
      <c r="AG1" s="22" t="s">
        <v>22</v>
      </c>
      <c r="AH1" s="22" t="s">
        <v>23</v>
      </c>
      <c r="AI1" s="22" t="s">
        <v>24</v>
      </c>
      <c r="AJ1" s="22" t="s">
        <v>25</v>
      </c>
    </row>
    <row r="2" spans="1:36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P2" s="21"/>
      <c r="Q2" s="21"/>
      <c r="R2" s="21"/>
      <c r="S2" s="21"/>
      <c r="T2" s="23"/>
      <c r="U2" s="21"/>
      <c r="V2" s="150"/>
      <c r="X2" s="21"/>
      <c r="Y2" s="21"/>
      <c r="Z2" s="21"/>
      <c r="AA2" s="21"/>
      <c r="AB2" s="21"/>
      <c r="AC2" s="21"/>
      <c r="AD2" s="21"/>
      <c r="AE2" s="21"/>
      <c r="AG2" s="21"/>
    </row>
    <row r="3" spans="1:36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P3" s="21"/>
      <c r="Q3" s="21"/>
      <c r="R3" s="21"/>
      <c r="S3" s="21"/>
      <c r="T3" s="23"/>
      <c r="U3" s="21"/>
      <c r="V3" s="150"/>
      <c r="W3" s="21"/>
      <c r="X3" s="21"/>
      <c r="Y3" s="21"/>
      <c r="Z3" s="21"/>
      <c r="AA3" s="21"/>
      <c r="AB3" s="21"/>
      <c r="AC3" s="21"/>
      <c r="AD3" s="21"/>
      <c r="AE3" s="21"/>
      <c r="AG3" s="21"/>
    </row>
    <row r="4" spans="1:36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P4" s="21"/>
      <c r="Q4" s="21"/>
      <c r="R4" s="21"/>
      <c r="S4" s="21"/>
      <c r="T4" s="23"/>
      <c r="U4" s="21"/>
      <c r="V4" s="150"/>
      <c r="W4" s="21"/>
      <c r="X4" s="21"/>
      <c r="Y4" s="21"/>
      <c r="Z4" s="21"/>
      <c r="AA4" s="21"/>
      <c r="AB4" s="21"/>
      <c r="AC4" s="21"/>
      <c r="AD4" s="21"/>
      <c r="AE4" s="21"/>
      <c r="AG4" s="21"/>
    </row>
    <row r="5" spans="1:36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P5" s="21"/>
      <c r="Q5" s="21"/>
      <c r="R5" s="21"/>
      <c r="S5" s="21"/>
      <c r="T5" s="23"/>
      <c r="U5" s="21"/>
      <c r="V5" s="150"/>
      <c r="W5" s="21"/>
      <c r="X5" s="21"/>
      <c r="Y5" s="21"/>
      <c r="Z5" s="21"/>
      <c r="AA5" s="21"/>
      <c r="AB5" s="21"/>
      <c r="AC5" s="21"/>
      <c r="AD5" s="21"/>
      <c r="AE5" s="21"/>
      <c r="AG5" s="21"/>
    </row>
    <row r="6" spans="1:3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P6" s="21"/>
      <c r="Q6" s="21"/>
      <c r="R6" s="21"/>
      <c r="S6" s="21"/>
      <c r="T6" s="23"/>
      <c r="U6" s="21"/>
      <c r="V6" s="150"/>
      <c r="W6" s="21"/>
      <c r="X6" s="21"/>
      <c r="Y6" s="21"/>
      <c r="Z6" s="21"/>
      <c r="AA6" s="21"/>
      <c r="AB6" s="21"/>
      <c r="AC6" s="21"/>
      <c r="AD6" s="21"/>
      <c r="AE6" s="21"/>
      <c r="AG6" s="21"/>
    </row>
    <row r="7" spans="1:36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P7" s="21"/>
      <c r="Q7" s="21"/>
      <c r="R7" s="21"/>
      <c r="S7" s="21"/>
      <c r="T7" s="23"/>
      <c r="U7" s="21"/>
      <c r="V7" s="150"/>
      <c r="W7" s="21"/>
      <c r="X7" s="21"/>
      <c r="Y7" s="21"/>
      <c r="Z7" s="21"/>
      <c r="AA7" s="21"/>
      <c r="AB7" s="21"/>
      <c r="AC7" s="21"/>
      <c r="AD7" s="21"/>
      <c r="AE7" s="21"/>
    </row>
    <row r="8" spans="1:36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P8" s="21"/>
      <c r="Q8" s="21"/>
      <c r="R8" s="21"/>
      <c r="S8" s="21"/>
      <c r="T8" s="23"/>
      <c r="U8" s="21"/>
      <c r="V8" s="150"/>
      <c r="W8" s="21"/>
      <c r="X8" s="21"/>
      <c r="Y8" s="21"/>
      <c r="Z8" s="21"/>
    </row>
    <row r="9" spans="1:36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P9" s="21"/>
      <c r="Q9" s="21"/>
      <c r="R9" s="21"/>
      <c r="S9" s="21"/>
      <c r="T9" s="23"/>
      <c r="U9" s="21"/>
      <c r="V9" s="150"/>
      <c r="W9" s="21"/>
      <c r="X9" s="21"/>
      <c r="Y9" s="21"/>
      <c r="Z9" s="21"/>
      <c r="AB9" s="23"/>
      <c r="AC9" s="23"/>
      <c r="AD9" s="30"/>
      <c r="AG9" s="21"/>
    </row>
    <row r="10" spans="1:36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P10" s="21"/>
      <c r="Q10" s="21"/>
      <c r="R10" s="21"/>
      <c r="S10" s="21"/>
      <c r="T10" s="23"/>
      <c r="U10" s="21"/>
      <c r="V10" s="150"/>
      <c r="W10" s="21"/>
      <c r="X10" s="21"/>
      <c r="Y10" s="21"/>
      <c r="Z10" s="21"/>
      <c r="AA10" s="21"/>
      <c r="AB10" s="21"/>
      <c r="AC10" s="21"/>
      <c r="AD10" s="21"/>
      <c r="AE10" s="21"/>
      <c r="AG10" s="21"/>
    </row>
    <row r="11" spans="1:3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P11" s="21"/>
      <c r="Q11" s="21"/>
      <c r="R11" s="21"/>
      <c r="S11" s="21"/>
      <c r="T11" s="23"/>
      <c r="U11" s="21"/>
      <c r="V11" s="150"/>
      <c r="W11" s="21"/>
      <c r="X11" s="21"/>
      <c r="Y11" s="21"/>
      <c r="Z11" s="21"/>
      <c r="AA11" s="21"/>
      <c r="AB11" s="21"/>
      <c r="AC11" s="21"/>
      <c r="AD11" s="21"/>
      <c r="AE11" s="21"/>
      <c r="AG11" s="21"/>
    </row>
    <row r="12" spans="1:3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P12" s="21"/>
      <c r="Q12" s="21"/>
      <c r="R12" s="21"/>
      <c r="S12" s="21"/>
      <c r="T12" s="23"/>
      <c r="U12" s="21"/>
      <c r="V12" s="150"/>
      <c r="W12" s="21"/>
      <c r="X12" s="21"/>
      <c r="Y12" s="21"/>
      <c r="Z12" s="21"/>
      <c r="AA12" s="21"/>
      <c r="AB12" s="21"/>
      <c r="AC12" s="21"/>
      <c r="AD12" s="21"/>
      <c r="AE12" s="21"/>
      <c r="AG12" s="21"/>
    </row>
    <row r="13" spans="1:3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P13" s="21"/>
      <c r="Q13" s="21"/>
      <c r="R13" s="21"/>
      <c r="S13" s="21"/>
      <c r="T13" s="23"/>
      <c r="U13" s="21"/>
      <c r="V13" s="150"/>
      <c r="W13" s="21"/>
      <c r="X13" s="21"/>
      <c r="Y13" s="21"/>
      <c r="Z13" s="21"/>
      <c r="AA13" s="21"/>
      <c r="AB13" s="21"/>
      <c r="AC13" s="21"/>
      <c r="AD13" s="21"/>
      <c r="AE13" s="21"/>
      <c r="AG13" s="21"/>
    </row>
    <row r="14" spans="1:3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P14" s="21"/>
      <c r="Q14" s="21"/>
      <c r="R14" s="21"/>
      <c r="S14" s="21"/>
      <c r="T14" s="23"/>
      <c r="U14" s="21"/>
      <c r="V14" s="150"/>
      <c r="W14" s="21"/>
      <c r="X14" s="21"/>
      <c r="Y14" s="21"/>
      <c r="Z14" s="21"/>
      <c r="AA14" s="21"/>
      <c r="AB14" s="21"/>
      <c r="AC14" s="21"/>
      <c r="AD14" s="21"/>
      <c r="AE14" s="21"/>
      <c r="AG14" s="21"/>
    </row>
    <row r="15" spans="1:3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P15" s="21"/>
      <c r="Q15" s="21"/>
      <c r="R15" s="21"/>
      <c r="S15" s="21"/>
      <c r="T15" s="23"/>
      <c r="U15" s="21"/>
      <c r="V15" s="150"/>
      <c r="W15" s="21"/>
      <c r="X15" s="21"/>
      <c r="Y15" s="21"/>
      <c r="Z15" s="21"/>
      <c r="AA15" s="21"/>
      <c r="AB15" s="21"/>
      <c r="AC15" s="21"/>
      <c r="AD15" s="21"/>
      <c r="AE15" s="21"/>
      <c r="AG15" s="21"/>
    </row>
    <row r="16" spans="1:3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P16" s="21"/>
      <c r="Q16" s="21"/>
      <c r="R16" s="21"/>
      <c r="S16" s="21"/>
      <c r="T16" s="23"/>
      <c r="U16" s="21"/>
      <c r="V16" s="150"/>
      <c r="W16" s="21"/>
      <c r="X16" s="21"/>
      <c r="Y16" s="21"/>
      <c r="Z16" s="21"/>
      <c r="AA16" s="21"/>
      <c r="AB16" s="21"/>
      <c r="AC16" s="21"/>
      <c r="AD16" s="21"/>
      <c r="AE16" s="21"/>
      <c r="AG16" s="21"/>
    </row>
    <row r="17" spans="1:3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P17" s="21"/>
      <c r="Q17" s="21"/>
      <c r="R17" s="21"/>
      <c r="S17" s="21"/>
      <c r="T17" s="23"/>
      <c r="U17" s="21"/>
      <c r="V17" s="150"/>
      <c r="W17" s="21"/>
      <c r="X17" s="21"/>
      <c r="Y17" s="21"/>
      <c r="Z17" s="21"/>
      <c r="AA17" s="21"/>
      <c r="AB17" s="21"/>
      <c r="AC17" s="21"/>
      <c r="AD17" s="21"/>
      <c r="AE17" s="21"/>
      <c r="AG17" s="21"/>
    </row>
    <row r="18" spans="1:3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P18" s="21"/>
      <c r="Q18" s="21"/>
      <c r="R18" s="21"/>
      <c r="S18" s="21"/>
      <c r="T18" s="23"/>
      <c r="U18" s="21"/>
      <c r="V18" s="150"/>
      <c r="W18" s="21"/>
      <c r="X18" s="21"/>
      <c r="Y18" s="21"/>
      <c r="Z18" s="21"/>
      <c r="AA18" s="21"/>
      <c r="AB18" s="21"/>
      <c r="AC18" s="21"/>
      <c r="AD18" s="21"/>
      <c r="AE18" s="21"/>
      <c r="AG18" s="21"/>
    </row>
    <row r="19" spans="1:3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P19" s="21"/>
      <c r="Q19" s="21"/>
      <c r="R19" s="21"/>
      <c r="S19" s="21"/>
      <c r="T19" s="23"/>
      <c r="U19" s="21"/>
      <c r="V19" s="150"/>
      <c r="W19" s="21"/>
      <c r="X19" s="21"/>
      <c r="Y19" s="21"/>
      <c r="Z19" s="21"/>
      <c r="AA19" s="21"/>
      <c r="AB19" s="21"/>
      <c r="AC19" s="21"/>
      <c r="AD19" s="21"/>
      <c r="AE19" s="21"/>
      <c r="AG19" s="21"/>
    </row>
    <row r="20" spans="1:33">
      <c r="E20" s="21"/>
      <c r="H20" s="21"/>
      <c r="I20" s="21"/>
      <c r="J20" s="21"/>
      <c r="K20" s="21"/>
      <c r="L20" s="21"/>
      <c r="M20" s="21"/>
      <c r="N20" s="21"/>
      <c r="P20" s="21"/>
      <c r="Q20" s="21"/>
      <c r="T20" s="23"/>
      <c r="X20" s="21"/>
      <c r="Y20" s="21"/>
      <c r="AG20" s="21"/>
    </row>
    <row r="21" spans="1:33">
      <c r="T21" s="2"/>
    </row>
    <row r="22" spans="1:33">
      <c r="T22" s="2"/>
    </row>
    <row r="23" spans="1:33">
      <c r="T23" s="2"/>
    </row>
    <row r="24" spans="1:33">
      <c r="T24" s="2"/>
    </row>
    <row r="1048572" spans="12:14">
      <c r="L1048572" s="7"/>
      <c r="N104857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50"/>
  <sheetViews>
    <sheetView rightToLeft="1" topLeftCell="D7" zoomScale="70" zoomScaleNormal="70" workbookViewId="0">
      <selection activeCell="H55" sqref="H55"/>
    </sheetView>
  </sheetViews>
  <sheetFormatPr defaultColWidth="11.625" defaultRowHeight="14.25"/>
  <cols>
    <col min="1" max="2" width="11.625" style="2" customWidth="1"/>
    <col min="3" max="3" width="35.375" style="2" customWidth="1"/>
    <col min="4" max="4" width="11.625" style="2" customWidth="1"/>
    <col min="5" max="5" width="11.625" style="4" customWidth="1"/>
    <col min="6" max="6" width="35" style="2" customWidth="1"/>
    <col min="7" max="7" width="22.75" style="2" customWidth="1"/>
    <col min="8" max="21" width="11.625" style="2" customWidth="1"/>
    <col min="22" max="22" width="11.625" style="148" customWidth="1"/>
    <col min="23" max="23" width="11.625" style="2" customWidth="1"/>
    <col min="24" max="25" width="11.625" style="4" customWidth="1"/>
    <col min="26" max="26" width="19.25" style="2" customWidth="1"/>
    <col min="27" max="16384" width="11.625" style="2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97</v>
      </c>
      <c r="E1" s="22" t="s">
        <v>98</v>
      </c>
      <c r="F1" s="22" t="s">
        <v>3</v>
      </c>
      <c r="G1" s="22" t="s">
        <v>4</v>
      </c>
      <c r="H1" s="22" t="s">
        <v>99</v>
      </c>
      <c r="I1" s="22" t="s">
        <v>5</v>
      </c>
      <c r="J1" s="22" t="s">
        <v>6</v>
      </c>
      <c r="K1" s="22" t="s">
        <v>7</v>
      </c>
      <c r="L1" s="22" t="s">
        <v>274</v>
      </c>
      <c r="M1" s="22" t="s">
        <v>8</v>
      </c>
      <c r="N1" s="22" t="s">
        <v>100</v>
      </c>
      <c r="O1" s="22" t="s">
        <v>78</v>
      </c>
      <c r="P1" s="22" t="s">
        <v>9</v>
      </c>
      <c r="Q1" s="22" t="s">
        <v>10</v>
      </c>
      <c r="R1" s="22" t="s">
        <v>124</v>
      </c>
      <c r="S1" s="22" t="s">
        <v>11</v>
      </c>
      <c r="T1" s="22" t="s">
        <v>12</v>
      </c>
      <c r="U1" s="22" t="s">
        <v>13</v>
      </c>
      <c r="V1" s="163" t="s">
        <v>14</v>
      </c>
      <c r="W1" s="165" t="s">
        <v>15</v>
      </c>
      <c r="X1" s="22" t="s">
        <v>359</v>
      </c>
      <c r="Y1" s="22" t="s">
        <v>781</v>
      </c>
      <c r="Z1" s="22" t="s">
        <v>17</v>
      </c>
      <c r="AA1" s="161" t="s">
        <v>18</v>
      </c>
      <c r="AB1" s="169" t="s">
        <v>19</v>
      </c>
      <c r="AC1" s="22" t="s">
        <v>16</v>
      </c>
      <c r="AD1" s="22" t="s">
        <v>20</v>
      </c>
      <c r="AE1" s="22" t="s">
        <v>21</v>
      </c>
      <c r="AF1" s="22" t="s">
        <v>116</v>
      </c>
      <c r="AG1" s="22" t="s">
        <v>22</v>
      </c>
      <c r="AH1" s="165" t="s">
        <v>23</v>
      </c>
      <c r="AI1" s="165" t="s">
        <v>24</v>
      </c>
      <c r="AJ1" s="165" t="s">
        <v>25</v>
      </c>
    </row>
    <row r="2" spans="1:36">
      <c r="A2" s="2">
        <v>233</v>
      </c>
      <c r="B2" s="23">
        <v>233</v>
      </c>
      <c r="C2" s="23" t="s">
        <v>1498</v>
      </c>
      <c r="D2" s="23" t="s">
        <v>1499</v>
      </c>
      <c r="E2" s="21" t="s">
        <v>1255</v>
      </c>
      <c r="F2" s="23" t="s">
        <v>1500</v>
      </c>
      <c r="G2" s="23" t="s">
        <v>1501</v>
      </c>
      <c r="H2" s="21" t="s">
        <v>269</v>
      </c>
      <c r="I2" s="30" t="s">
        <v>705</v>
      </c>
      <c r="J2" s="21" t="s">
        <v>30</v>
      </c>
      <c r="K2" s="21" t="s">
        <v>30</v>
      </c>
      <c r="L2" s="23" t="s">
        <v>275</v>
      </c>
      <c r="M2" s="21" t="s">
        <v>31</v>
      </c>
      <c r="N2" s="23" t="s">
        <v>426</v>
      </c>
      <c r="O2" s="23" t="s">
        <v>92</v>
      </c>
      <c r="P2" s="23" t="s">
        <v>1502</v>
      </c>
      <c r="Q2" s="23" t="s">
        <v>362</v>
      </c>
      <c r="R2" s="23" t="s">
        <v>355</v>
      </c>
      <c r="S2" s="21" t="s">
        <v>34</v>
      </c>
      <c r="T2" s="159">
        <v>1.802</v>
      </c>
      <c r="U2" s="23" t="s">
        <v>1503</v>
      </c>
      <c r="V2" s="172">
        <v>3.2000000000000001E-2</v>
      </c>
      <c r="W2" s="174">
        <v>3.1350000000000003E-2</v>
      </c>
      <c r="X2" s="21" t="s">
        <v>361</v>
      </c>
      <c r="Y2" s="21" t="s">
        <v>92</v>
      </c>
      <c r="Z2" s="159">
        <v>3125000</v>
      </c>
      <c r="AA2" s="175">
        <v>1</v>
      </c>
      <c r="AB2" s="176">
        <v>107.71</v>
      </c>
      <c r="AC2" s="23"/>
      <c r="AD2" s="159">
        <v>3365.9380000000001</v>
      </c>
      <c r="AE2" s="23"/>
      <c r="AF2" s="30"/>
      <c r="AG2" s="21" t="s">
        <v>36</v>
      </c>
      <c r="AH2" s="166">
        <v>3.7980000000000002E-3</v>
      </c>
      <c r="AI2" s="166">
        <v>1.9657846625157498E-2</v>
      </c>
      <c r="AJ2" s="166">
        <v>3.58386914283801E-3</v>
      </c>
    </row>
    <row r="3" spans="1:36">
      <c r="A3" s="23">
        <v>233</v>
      </c>
      <c r="B3" s="23">
        <v>233</v>
      </c>
      <c r="C3" s="23" t="s">
        <v>1332</v>
      </c>
      <c r="D3" s="23" t="s">
        <v>1333</v>
      </c>
      <c r="E3" s="21" t="s">
        <v>1255</v>
      </c>
      <c r="F3" s="23" t="s">
        <v>1504</v>
      </c>
      <c r="G3" s="23" t="s">
        <v>1505</v>
      </c>
      <c r="H3" s="21" t="s">
        <v>269</v>
      </c>
      <c r="I3" s="23" t="s">
        <v>705</v>
      </c>
      <c r="J3" s="21" t="s">
        <v>30</v>
      </c>
      <c r="K3" s="21" t="s">
        <v>30</v>
      </c>
      <c r="L3" s="23" t="s">
        <v>275</v>
      </c>
      <c r="M3" s="21" t="s">
        <v>31</v>
      </c>
      <c r="N3" s="23" t="s">
        <v>412</v>
      </c>
      <c r="O3" s="23" t="s">
        <v>92</v>
      </c>
      <c r="P3" s="23" t="s">
        <v>1506</v>
      </c>
      <c r="Q3" s="23" t="s">
        <v>362</v>
      </c>
      <c r="R3" s="23" t="s">
        <v>355</v>
      </c>
      <c r="S3" s="21" t="s">
        <v>34</v>
      </c>
      <c r="T3" s="159">
        <v>6.9109999999999996</v>
      </c>
      <c r="U3" s="23" t="s">
        <v>1507</v>
      </c>
      <c r="V3" s="172">
        <v>2.5600000000000001E-2</v>
      </c>
      <c r="W3" s="174">
        <v>4.2349999999999999E-2</v>
      </c>
      <c r="X3" s="21" t="s">
        <v>361</v>
      </c>
      <c r="Y3" s="21" t="s">
        <v>92</v>
      </c>
      <c r="Z3" s="159">
        <v>950000</v>
      </c>
      <c r="AA3" s="175">
        <v>1</v>
      </c>
      <c r="AB3" s="176">
        <v>97.49</v>
      </c>
      <c r="AC3" s="23"/>
      <c r="AD3" s="159">
        <v>926.15499999999997</v>
      </c>
      <c r="AE3" s="23"/>
      <c r="AG3" s="21" t="s">
        <v>36</v>
      </c>
      <c r="AH3" s="166">
        <v>9.0399999999999996E-4</v>
      </c>
      <c r="AI3" s="166">
        <v>5.4089575166273102E-3</v>
      </c>
      <c r="AJ3" s="166">
        <v>9.8612001143370495E-4</v>
      </c>
    </row>
    <row r="4" spans="1:36">
      <c r="A4" s="23">
        <v>233</v>
      </c>
      <c r="B4" s="23">
        <v>233</v>
      </c>
      <c r="C4" s="23" t="s">
        <v>1336</v>
      </c>
      <c r="D4" s="23" t="s">
        <v>1337</v>
      </c>
      <c r="E4" s="21" t="s">
        <v>1255</v>
      </c>
      <c r="F4" s="23" t="s">
        <v>1508</v>
      </c>
      <c r="G4" s="23" t="s">
        <v>1509</v>
      </c>
      <c r="H4" s="21" t="s">
        <v>269</v>
      </c>
      <c r="I4" s="23" t="s">
        <v>705</v>
      </c>
      <c r="J4" s="21" t="s">
        <v>30</v>
      </c>
      <c r="K4" s="21" t="s">
        <v>30</v>
      </c>
      <c r="L4" s="23" t="s">
        <v>275</v>
      </c>
      <c r="M4" s="21" t="s">
        <v>31</v>
      </c>
      <c r="N4" s="23" t="s">
        <v>412</v>
      </c>
      <c r="O4" s="23" t="s">
        <v>92</v>
      </c>
      <c r="P4" s="23" t="s">
        <v>1510</v>
      </c>
      <c r="Q4" s="23" t="s">
        <v>362</v>
      </c>
      <c r="R4" s="23" t="s">
        <v>355</v>
      </c>
      <c r="S4" s="21" t="s">
        <v>34</v>
      </c>
      <c r="T4" s="159">
        <v>2.1819999999999999</v>
      </c>
      <c r="U4" s="23" t="s">
        <v>1511</v>
      </c>
      <c r="V4" s="172">
        <v>3.2000000000000001E-2</v>
      </c>
      <c r="W4" s="174">
        <v>2.647E-2</v>
      </c>
      <c r="X4" s="21" t="s">
        <v>361</v>
      </c>
      <c r="Y4" s="21" t="s">
        <v>92</v>
      </c>
      <c r="Z4" s="159">
        <v>918000</v>
      </c>
      <c r="AA4" s="175">
        <v>1</v>
      </c>
      <c r="AB4" s="176">
        <v>117.37</v>
      </c>
      <c r="AC4" s="23"/>
      <c r="AD4" s="159">
        <v>1077.4570000000001</v>
      </c>
      <c r="AE4" s="23"/>
      <c r="AG4" s="21" t="s">
        <v>36</v>
      </c>
      <c r="AH4" s="166">
        <v>8.7299999999999997E-4</v>
      </c>
      <c r="AI4" s="166">
        <v>6.2925935457992504E-3</v>
      </c>
      <c r="AJ4" s="166">
        <v>1.1472178142009899E-3</v>
      </c>
    </row>
    <row r="5" spans="1:36">
      <c r="A5" s="23">
        <v>233</v>
      </c>
      <c r="B5" s="23">
        <v>233</v>
      </c>
      <c r="C5" s="23" t="s">
        <v>1340</v>
      </c>
      <c r="D5" s="23" t="s">
        <v>1341</v>
      </c>
      <c r="E5" s="21" t="s">
        <v>1255</v>
      </c>
      <c r="F5" s="23" t="s">
        <v>1512</v>
      </c>
      <c r="G5" s="23" t="s">
        <v>1513</v>
      </c>
      <c r="H5" s="21" t="s">
        <v>269</v>
      </c>
      <c r="I5" s="23" t="s">
        <v>919</v>
      </c>
      <c r="J5" s="21" t="s">
        <v>30</v>
      </c>
      <c r="K5" s="21" t="s">
        <v>174</v>
      </c>
      <c r="L5" s="23" t="s">
        <v>275</v>
      </c>
      <c r="M5" s="21" t="s">
        <v>31</v>
      </c>
      <c r="N5" s="23" t="s">
        <v>389</v>
      </c>
      <c r="O5" s="23" t="s">
        <v>92</v>
      </c>
      <c r="P5" s="23" t="s">
        <v>69</v>
      </c>
      <c r="Q5" s="23" t="s">
        <v>364</v>
      </c>
      <c r="R5" s="23" t="s">
        <v>355</v>
      </c>
      <c r="S5" s="21" t="s">
        <v>34</v>
      </c>
      <c r="T5" s="159">
        <v>1.736</v>
      </c>
      <c r="U5" s="23" t="s">
        <v>1514</v>
      </c>
      <c r="V5" s="172">
        <v>3.4500000000000003E-2</v>
      </c>
      <c r="W5" s="174">
        <v>5.7250000000000002E-2</v>
      </c>
      <c r="X5" s="21" t="s">
        <v>361</v>
      </c>
      <c r="Y5" s="21" t="s">
        <v>92</v>
      </c>
      <c r="Z5" s="159">
        <v>6000051.7599999998</v>
      </c>
      <c r="AA5" s="175">
        <v>1</v>
      </c>
      <c r="AB5" s="176">
        <v>96.61</v>
      </c>
      <c r="AC5" s="23"/>
      <c r="AD5" s="159">
        <v>5796.65</v>
      </c>
      <c r="AE5" s="23"/>
      <c r="AG5" s="21" t="s">
        <v>36</v>
      </c>
      <c r="AH5" s="166">
        <v>9.3349999999999995E-3</v>
      </c>
      <c r="AI5" s="166">
        <v>3.3853764885596799E-2</v>
      </c>
      <c r="AJ5" s="166">
        <v>6.1719610319429501E-3</v>
      </c>
    </row>
    <row r="6" spans="1:36">
      <c r="A6" s="23">
        <v>233</v>
      </c>
      <c r="B6" s="23">
        <v>233</v>
      </c>
      <c r="C6" s="23" t="s">
        <v>1344</v>
      </c>
      <c r="D6" s="23" t="s">
        <v>1345</v>
      </c>
      <c r="E6" s="21" t="s">
        <v>1255</v>
      </c>
      <c r="F6" s="23" t="s">
        <v>1515</v>
      </c>
      <c r="G6" s="23" t="s">
        <v>1516</v>
      </c>
      <c r="H6" s="21" t="s">
        <v>269</v>
      </c>
      <c r="I6" s="23" t="s">
        <v>919</v>
      </c>
      <c r="J6" s="21" t="s">
        <v>30</v>
      </c>
      <c r="K6" s="21" t="s">
        <v>30</v>
      </c>
      <c r="L6" s="23" t="s">
        <v>275</v>
      </c>
      <c r="M6" s="21" t="s">
        <v>31</v>
      </c>
      <c r="N6" s="23" t="s">
        <v>389</v>
      </c>
      <c r="O6" s="23" t="s">
        <v>92</v>
      </c>
      <c r="P6" s="23" t="s">
        <v>69</v>
      </c>
      <c r="Q6" s="23" t="s">
        <v>362</v>
      </c>
      <c r="R6" s="23" t="s">
        <v>355</v>
      </c>
      <c r="S6" s="21" t="s">
        <v>34</v>
      </c>
      <c r="T6" s="159">
        <v>2.859</v>
      </c>
      <c r="U6" s="23" t="s">
        <v>1517</v>
      </c>
      <c r="V6" s="172">
        <v>2.0500000000000001E-2</v>
      </c>
      <c r="W6" s="174">
        <v>5.9229999999999998E-2</v>
      </c>
      <c r="X6" s="21" t="s">
        <v>361</v>
      </c>
      <c r="Y6" s="21" t="s">
        <v>92</v>
      </c>
      <c r="Z6" s="157">
        <v>6606199.3200000003</v>
      </c>
      <c r="AA6" s="162">
        <v>1</v>
      </c>
      <c r="AB6" s="177">
        <v>90.04</v>
      </c>
      <c r="AC6" s="23"/>
      <c r="AD6" s="157">
        <v>5948.2219999999998</v>
      </c>
      <c r="AG6" s="2" t="s">
        <v>36</v>
      </c>
      <c r="AH6" s="166">
        <v>1.478E-2</v>
      </c>
      <c r="AI6" s="166">
        <v>3.4738979309094399E-2</v>
      </c>
      <c r="AJ6" s="166">
        <v>6.3333465955635396E-3</v>
      </c>
    </row>
    <row r="7" spans="1:36">
      <c r="A7" s="23">
        <v>233</v>
      </c>
      <c r="B7" s="23">
        <v>233</v>
      </c>
      <c r="C7" s="23" t="s">
        <v>1518</v>
      </c>
      <c r="D7" s="23" t="s">
        <v>1519</v>
      </c>
      <c r="E7" s="21" t="s">
        <v>1255</v>
      </c>
      <c r="F7" s="23" t="s">
        <v>1520</v>
      </c>
      <c r="G7" s="23" t="s">
        <v>1521</v>
      </c>
      <c r="H7" s="21" t="s">
        <v>269</v>
      </c>
      <c r="I7" s="23" t="s">
        <v>705</v>
      </c>
      <c r="J7" s="21" t="s">
        <v>30</v>
      </c>
      <c r="K7" s="21" t="s">
        <v>30</v>
      </c>
      <c r="L7" s="23" t="s">
        <v>275</v>
      </c>
      <c r="M7" s="21" t="s">
        <v>31</v>
      </c>
      <c r="N7" s="23" t="s">
        <v>395</v>
      </c>
      <c r="O7" s="23" t="s">
        <v>92</v>
      </c>
      <c r="P7" s="23" t="s">
        <v>69</v>
      </c>
      <c r="Q7" s="23" t="s">
        <v>362</v>
      </c>
      <c r="R7" s="23" t="s">
        <v>355</v>
      </c>
      <c r="S7" s="21" t="s">
        <v>34</v>
      </c>
      <c r="T7" s="159">
        <v>0.6</v>
      </c>
      <c r="U7" s="23" t="s">
        <v>1522</v>
      </c>
      <c r="V7" s="172">
        <v>2.4E-2</v>
      </c>
      <c r="W7" s="174">
        <v>3.4049999999999997E-2</v>
      </c>
      <c r="X7" s="21" t="s">
        <v>361</v>
      </c>
      <c r="Y7" s="21" t="s">
        <v>92</v>
      </c>
      <c r="Z7" s="157">
        <v>1338855.94</v>
      </c>
      <c r="AA7" s="162">
        <v>1</v>
      </c>
      <c r="AB7" s="177">
        <v>115.96</v>
      </c>
      <c r="AC7" s="23"/>
      <c r="AD7" s="157">
        <v>1552.537</v>
      </c>
      <c r="AG7" s="2" t="s">
        <v>36</v>
      </c>
      <c r="AH7" s="166">
        <v>1.3313999999999999E-2</v>
      </c>
      <c r="AI7" s="166">
        <v>9.06717402426057E-3</v>
      </c>
      <c r="AJ7" s="166">
        <v>1.6530582325687199E-3</v>
      </c>
    </row>
    <row r="8" spans="1:36">
      <c r="A8" s="23">
        <v>233</v>
      </c>
      <c r="B8" s="23">
        <v>233</v>
      </c>
      <c r="C8" s="23" t="s">
        <v>1518</v>
      </c>
      <c r="D8" s="23" t="s">
        <v>1519</v>
      </c>
      <c r="E8" s="21" t="s">
        <v>1255</v>
      </c>
      <c r="F8" s="23" t="s">
        <v>1523</v>
      </c>
      <c r="G8" s="23" t="s">
        <v>1524</v>
      </c>
      <c r="H8" s="21" t="s">
        <v>269</v>
      </c>
      <c r="I8" s="23" t="s">
        <v>919</v>
      </c>
      <c r="J8" s="21" t="s">
        <v>30</v>
      </c>
      <c r="K8" s="21" t="s">
        <v>30</v>
      </c>
      <c r="L8" s="23" t="s">
        <v>275</v>
      </c>
      <c r="M8" s="21" t="s">
        <v>31</v>
      </c>
      <c r="N8" s="23" t="s">
        <v>395</v>
      </c>
      <c r="O8" s="23" t="s">
        <v>92</v>
      </c>
      <c r="P8" s="23" t="s">
        <v>69</v>
      </c>
      <c r="Q8" s="23" t="s">
        <v>362</v>
      </c>
      <c r="R8" s="23" t="s">
        <v>355</v>
      </c>
      <c r="S8" s="21" t="s">
        <v>34</v>
      </c>
      <c r="T8" s="159">
        <v>1.61</v>
      </c>
      <c r="U8" s="23" t="s">
        <v>1525</v>
      </c>
      <c r="V8" s="172">
        <v>4.2999999999999997E-2</v>
      </c>
      <c r="W8" s="174">
        <v>6.1170000000000002E-2</v>
      </c>
      <c r="X8" s="21" t="s">
        <v>361</v>
      </c>
      <c r="Y8" s="21" t="s">
        <v>92</v>
      </c>
      <c r="Z8" s="159">
        <v>2606173</v>
      </c>
      <c r="AA8" s="175">
        <v>1</v>
      </c>
      <c r="AB8" s="176">
        <v>97.33</v>
      </c>
      <c r="AC8" s="23"/>
      <c r="AD8" s="159">
        <v>2536.5880000000002</v>
      </c>
      <c r="AE8" s="23"/>
      <c r="AG8" s="21" t="s">
        <v>36</v>
      </c>
      <c r="AH8" s="166">
        <v>2.869E-3</v>
      </c>
      <c r="AI8" s="166">
        <v>1.4814256477228E-2</v>
      </c>
      <c r="AJ8" s="166">
        <v>2.7008226117137099E-3</v>
      </c>
    </row>
    <row r="9" spans="1:36">
      <c r="A9" s="23">
        <v>233</v>
      </c>
      <c r="B9" s="23">
        <v>233</v>
      </c>
      <c r="C9" s="23" t="s">
        <v>1526</v>
      </c>
      <c r="D9" s="23" t="s">
        <v>1527</v>
      </c>
      <c r="E9" s="21" t="s">
        <v>1255</v>
      </c>
      <c r="F9" s="23" t="s">
        <v>1528</v>
      </c>
      <c r="G9" s="23" t="s">
        <v>1529</v>
      </c>
      <c r="H9" s="21" t="s">
        <v>269</v>
      </c>
      <c r="I9" s="23" t="s">
        <v>919</v>
      </c>
      <c r="J9" s="21" t="s">
        <v>30</v>
      </c>
      <c r="K9" s="21" t="s">
        <v>30</v>
      </c>
      <c r="L9" s="23" t="s">
        <v>275</v>
      </c>
      <c r="M9" s="21" t="s">
        <v>31</v>
      </c>
      <c r="N9" s="23" t="s">
        <v>388</v>
      </c>
      <c r="O9" s="23" t="s">
        <v>92</v>
      </c>
      <c r="P9" s="23" t="s">
        <v>1502</v>
      </c>
      <c r="Q9" s="23" t="s">
        <v>362</v>
      </c>
      <c r="R9" s="23" t="s">
        <v>355</v>
      </c>
      <c r="S9" s="21" t="s">
        <v>34</v>
      </c>
      <c r="T9" s="159">
        <v>2.3109999999999999</v>
      </c>
      <c r="U9" s="23" t="s">
        <v>1530</v>
      </c>
      <c r="V9" s="172">
        <v>2.7E-2</v>
      </c>
      <c r="W9" s="174">
        <v>5.9020000000000003E-2</v>
      </c>
      <c r="X9" s="21" t="s">
        <v>361</v>
      </c>
      <c r="Y9" s="21" t="s">
        <v>92</v>
      </c>
      <c r="Z9" s="159">
        <v>5541462.7699999996</v>
      </c>
      <c r="AA9" s="175">
        <v>1</v>
      </c>
      <c r="AB9" s="176">
        <v>93.07</v>
      </c>
      <c r="AC9" s="23"/>
      <c r="AD9" s="159">
        <v>5157.4390000000003</v>
      </c>
      <c r="AE9" s="23"/>
      <c r="AG9" s="21" t="s">
        <v>36</v>
      </c>
      <c r="AH9" s="166">
        <v>8.1279999999999998E-3</v>
      </c>
      <c r="AI9" s="166">
        <v>3.01206284146723E-2</v>
      </c>
      <c r="AJ9" s="166">
        <v>5.4913639726990602E-3</v>
      </c>
    </row>
    <row r="10" spans="1:36">
      <c r="A10" s="23">
        <v>233</v>
      </c>
      <c r="B10" s="23">
        <v>233</v>
      </c>
      <c r="C10" s="23" t="s">
        <v>1531</v>
      </c>
      <c r="D10" s="23" t="s">
        <v>1532</v>
      </c>
      <c r="E10" s="21" t="s">
        <v>1255</v>
      </c>
      <c r="F10" s="23" t="s">
        <v>1533</v>
      </c>
      <c r="G10" s="23" t="s">
        <v>1534</v>
      </c>
      <c r="H10" s="21" t="s">
        <v>269</v>
      </c>
      <c r="I10" s="23" t="s">
        <v>919</v>
      </c>
      <c r="J10" s="21" t="s">
        <v>30</v>
      </c>
      <c r="K10" s="21" t="s">
        <v>30</v>
      </c>
      <c r="L10" s="23" t="s">
        <v>275</v>
      </c>
      <c r="M10" s="21" t="s">
        <v>31</v>
      </c>
      <c r="N10" s="23" t="s">
        <v>388</v>
      </c>
      <c r="O10" s="23" t="s">
        <v>92</v>
      </c>
      <c r="P10" s="23" t="s">
        <v>1535</v>
      </c>
      <c r="Q10" s="23" t="s">
        <v>364</v>
      </c>
      <c r="R10" s="23" t="s">
        <v>355</v>
      </c>
      <c r="S10" s="21" t="s">
        <v>34</v>
      </c>
      <c r="T10" s="159">
        <v>3.0009999999999999</v>
      </c>
      <c r="U10" s="23" t="s">
        <v>1536</v>
      </c>
      <c r="V10" s="172">
        <v>7.2499999999999995E-2</v>
      </c>
      <c r="W10" s="174">
        <v>6.3950000000000007E-2</v>
      </c>
      <c r="X10" s="21" t="s">
        <v>361</v>
      </c>
      <c r="Y10" s="21" t="s">
        <v>92</v>
      </c>
      <c r="Z10" s="159">
        <v>2661400</v>
      </c>
      <c r="AA10" s="175">
        <v>1</v>
      </c>
      <c r="AB10" s="176">
        <v>105.92</v>
      </c>
      <c r="AC10" s="23"/>
      <c r="AD10" s="159">
        <v>2818.9549999999999</v>
      </c>
      <c r="AE10" s="23"/>
      <c r="AG10" s="21" t="s">
        <v>36</v>
      </c>
      <c r="AH10" s="166">
        <v>3.6960000000000001E-3</v>
      </c>
      <c r="AI10" s="166">
        <v>1.6463342731194298E-2</v>
      </c>
      <c r="AJ10" s="166">
        <v>3.0014714799323E-3</v>
      </c>
    </row>
    <row r="11" spans="1:36">
      <c r="A11" s="23">
        <v>233</v>
      </c>
      <c r="B11" s="23">
        <v>233</v>
      </c>
      <c r="C11" s="23" t="s">
        <v>1537</v>
      </c>
      <c r="D11" s="23" t="s">
        <v>1538</v>
      </c>
      <c r="E11" s="21" t="s">
        <v>1255</v>
      </c>
      <c r="F11" s="23" t="s">
        <v>1539</v>
      </c>
      <c r="G11" s="23" t="s">
        <v>1540</v>
      </c>
      <c r="H11" s="21" t="s">
        <v>269</v>
      </c>
      <c r="I11" s="23" t="s">
        <v>705</v>
      </c>
      <c r="J11" s="21" t="s">
        <v>30</v>
      </c>
      <c r="K11" s="21" t="s">
        <v>30</v>
      </c>
      <c r="L11" s="23" t="s">
        <v>275</v>
      </c>
      <c r="M11" s="21" t="s">
        <v>31</v>
      </c>
      <c r="N11" s="23" t="s">
        <v>412</v>
      </c>
      <c r="O11" s="23" t="s">
        <v>92</v>
      </c>
      <c r="P11" s="23" t="s">
        <v>1510</v>
      </c>
      <c r="Q11" s="23" t="s">
        <v>362</v>
      </c>
      <c r="R11" s="23" t="s">
        <v>355</v>
      </c>
      <c r="S11" s="21" t="s">
        <v>34</v>
      </c>
      <c r="T11" s="159">
        <v>3.9689999999999999</v>
      </c>
      <c r="U11" s="23" t="s">
        <v>1541</v>
      </c>
      <c r="V11" s="172">
        <v>5.0000000000000001E-3</v>
      </c>
      <c r="W11" s="174">
        <v>3.1890000000000002E-2</v>
      </c>
      <c r="X11" s="21" t="s">
        <v>361</v>
      </c>
      <c r="Y11" s="21" t="s">
        <v>92</v>
      </c>
      <c r="Z11" s="159">
        <v>4162179.12</v>
      </c>
      <c r="AA11" s="175">
        <v>1</v>
      </c>
      <c r="AB11" s="176">
        <v>103.53</v>
      </c>
      <c r="AC11" s="23"/>
      <c r="AD11" s="159">
        <v>4309.1040000000003</v>
      </c>
      <c r="AE11" s="23"/>
      <c r="AG11" s="21" t="s">
        <v>36</v>
      </c>
      <c r="AH11" s="166">
        <v>2.5860000000000002E-3</v>
      </c>
      <c r="AI11" s="166">
        <v>2.5166155452346298E-2</v>
      </c>
      <c r="AJ11" s="166">
        <v>4.58810212986927E-3</v>
      </c>
    </row>
    <row r="12" spans="1:36">
      <c r="A12" s="23">
        <v>233</v>
      </c>
      <c r="B12" s="23">
        <v>233</v>
      </c>
      <c r="C12" s="23" t="s">
        <v>1356</v>
      </c>
      <c r="D12" s="23" t="s">
        <v>1357</v>
      </c>
      <c r="E12" s="21" t="s">
        <v>1255</v>
      </c>
      <c r="F12" s="23" t="s">
        <v>1542</v>
      </c>
      <c r="G12" s="23" t="s">
        <v>1543</v>
      </c>
      <c r="H12" s="21" t="s">
        <v>269</v>
      </c>
      <c r="I12" s="23" t="s">
        <v>919</v>
      </c>
      <c r="J12" s="21" t="s">
        <v>30</v>
      </c>
      <c r="K12" s="21" t="s">
        <v>30</v>
      </c>
      <c r="L12" s="23" t="s">
        <v>275</v>
      </c>
      <c r="M12" s="21" t="s">
        <v>31</v>
      </c>
      <c r="N12" s="23" t="s">
        <v>395</v>
      </c>
      <c r="O12" s="23" t="s">
        <v>92</v>
      </c>
      <c r="P12" s="23" t="s">
        <v>1502</v>
      </c>
      <c r="Q12" s="23" t="s">
        <v>364</v>
      </c>
      <c r="R12" s="23" t="s">
        <v>355</v>
      </c>
      <c r="S12" s="21" t="s">
        <v>34</v>
      </c>
      <c r="T12" s="159">
        <v>2.0790000000000002</v>
      </c>
      <c r="U12" s="23" t="s">
        <v>1544</v>
      </c>
      <c r="V12" s="172">
        <v>2.58E-2</v>
      </c>
      <c r="W12" s="174">
        <v>5.5160000000000001E-2</v>
      </c>
      <c r="X12" s="21" t="s">
        <v>361</v>
      </c>
      <c r="Y12" s="21" t="s">
        <v>92</v>
      </c>
      <c r="Z12" s="159">
        <v>3900000</v>
      </c>
      <c r="AA12" s="175">
        <v>1</v>
      </c>
      <c r="AB12" s="176">
        <v>94.9</v>
      </c>
      <c r="AC12" s="23"/>
      <c r="AD12" s="159">
        <v>3701.1</v>
      </c>
      <c r="AE12" s="23"/>
      <c r="AG12" s="21" t="s">
        <v>36</v>
      </c>
      <c r="AH12" s="166">
        <v>1.4552000000000001E-2</v>
      </c>
      <c r="AI12" s="166">
        <v>2.1615272459566001E-2</v>
      </c>
      <c r="AJ12" s="166">
        <v>3.94073213913145E-3</v>
      </c>
    </row>
    <row r="13" spans="1:36">
      <c r="A13" s="23">
        <v>233</v>
      </c>
      <c r="B13" s="23">
        <v>233</v>
      </c>
      <c r="C13" s="23" t="s">
        <v>1545</v>
      </c>
      <c r="D13" s="23" t="s">
        <v>1546</v>
      </c>
      <c r="E13" s="21" t="s">
        <v>1255</v>
      </c>
      <c r="F13" s="23" t="s">
        <v>1547</v>
      </c>
      <c r="G13" s="23" t="s">
        <v>1548</v>
      </c>
      <c r="H13" s="21" t="s">
        <v>269</v>
      </c>
      <c r="I13" s="23" t="s">
        <v>919</v>
      </c>
      <c r="J13" s="21" t="s">
        <v>30</v>
      </c>
      <c r="K13" s="21" t="s">
        <v>30</v>
      </c>
      <c r="L13" s="23" t="s">
        <v>275</v>
      </c>
      <c r="M13" s="21" t="s">
        <v>31</v>
      </c>
      <c r="N13" s="23" t="s">
        <v>393</v>
      </c>
      <c r="O13" s="23" t="s">
        <v>92</v>
      </c>
      <c r="P13" s="23" t="s">
        <v>1506</v>
      </c>
      <c r="Q13" s="23" t="s">
        <v>362</v>
      </c>
      <c r="R13" s="23" t="s">
        <v>355</v>
      </c>
      <c r="S13" s="21" t="s">
        <v>34</v>
      </c>
      <c r="T13" s="159">
        <v>4.681</v>
      </c>
      <c r="U13" s="23" t="s">
        <v>1549</v>
      </c>
      <c r="V13" s="172">
        <v>4.3799999999999999E-2</v>
      </c>
      <c r="W13" s="174">
        <v>5.527E-2</v>
      </c>
      <c r="X13" s="21" t="s">
        <v>361</v>
      </c>
      <c r="Y13" s="21" t="s">
        <v>92</v>
      </c>
      <c r="Z13" s="159">
        <v>4240000</v>
      </c>
      <c r="AA13" s="175">
        <v>1</v>
      </c>
      <c r="AB13" s="176">
        <v>96.24</v>
      </c>
      <c r="AC13" s="23"/>
      <c r="AD13" s="159">
        <v>4080.576</v>
      </c>
      <c r="AE13" s="23"/>
      <c r="AG13" s="21" t="s">
        <v>36</v>
      </c>
      <c r="AH13" s="166">
        <v>8.4799999999999997E-3</v>
      </c>
      <c r="AI13" s="166">
        <v>2.38314992926335E-2</v>
      </c>
      <c r="AJ13" s="166">
        <v>4.3447777658989096E-3</v>
      </c>
    </row>
    <row r="14" spans="1:36">
      <c r="A14" s="23">
        <v>233</v>
      </c>
      <c r="B14" s="23">
        <v>233</v>
      </c>
      <c r="C14" s="23" t="s">
        <v>1550</v>
      </c>
      <c r="D14" s="23" t="s">
        <v>1551</v>
      </c>
      <c r="E14" s="21" t="s">
        <v>1255</v>
      </c>
      <c r="F14" s="23" t="s">
        <v>1552</v>
      </c>
      <c r="G14" s="23" t="s">
        <v>1553</v>
      </c>
      <c r="H14" s="21" t="s">
        <v>269</v>
      </c>
      <c r="I14" s="23" t="s">
        <v>919</v>
      </c>
      <c r="J14" s="21" t="s">
        <v>30</v>
      </c>
      <c r="K14" s="21" t="s">
        <v>30</v>
      </c>
      <c r="L14" s="23" t="s">
        <v>275</v>
      </c>
      <c r="M14" s="21" t="s">
        <v>31</v>
      </c>
      <c r="N14" s="23" t="s">
        <v>393</v>
      </c>
      <c r="O14" s="23" t="s">
        <v>92</v>
      </c>
      <c r="P14" s="23" t="s">
        <v>1510</v>
      </c>
      <c r="Q14" s="23" t="s">
        <v>364</v>
      </c>
      <c r="R14" s="23" t="s">
        <v>355</v>
      </c>
      <c r="S14" s="21" t="s">
        <v>34</v>
      </c>
      <c r="T14" s="159">
        <v>4.95</v>
      </c>
      <c r="U14" s="23" t="s">
        <v>1554</v>
      </c>
      <c r="V14" s="172">
        <v>1.95E-2</v>
      </c>
      <c r="W14" s="174">
        <v>5.7970000000000001E-2</v>
      </c>
      <c r="X14" s="21" t="s">
        <v>361</v>
      </c>
      <c r="Y14" s="21" t="s">
        <v>92</v>
      </c>
      <c r="Z14" s="159">
        <v>3937744.99</v>
      </c>
      <c r="AA14" s="175">
        <v>1</v>
      </c>
      <c r="AB14" s="176">
        <v>83.08</v>
      </c>
      <c r="AC14" s="23"/>
      <c r="AD14" s="159">
        <v>3271.4789999999998</v>
      </c>
      <c r="AE14" s="23"/>
      <c r="AG14" s="21" t="s">
        <v>36</v>
      </c>
      <c r="AH14" s="166">
        <v>3.754E-3</v>
      </c>
      <c r="AI14" s="166">
        <v>1.9106184631011099E-2</v>
      </c>
      <c r="AJ14" s="166">
        <v>3.4832943222181602E-3</v>
      </c>
    </row>
    <row r="15" spans="1:36">
      <c r="A15" s="23">
        <v>233</v>
      </c>
      <c r="B15" s="23">
        <v>233</v>
      </c>
      <c r="C15" s="23" t="s">
        <v>1555</v>
      </c>
      <c r="D15" s="23" t="s">
        <v>1556</v>
      </c>
      <c r="E15" s="21" t="s">
        <v>1255</v>
      </c>
      <c r="F15" s="23" t="s">
        <v>1557</v>
      </c>
      <c r="G15" s="23" t="s">
        <v>1558</v>
      </c>
      <c r="H15" s="21" t="s">
        <v>269</v>
      </c>
      <c r="I15" s="23" t="s">
        <v>705</v>
      </c>
      <c r="J15" s="21" t="s">
        <v>30</v>
      </c>
      <c r="K15" s="21" t="s">
        <v>30</v>
      </c>
      <c r="L15" s="23" t="s">
        <v>275</v>
      </c>
      <c r="M15" s="21" t="s">
        <v>31</v>
      </c>
      <c r="N15" s="23" t="s">
        <v>412</v>
      </c>
      <c r="O15" s="23" t="s">
        <v>92</v>
      </c>
      <c r="P15" s="23" t="s">
        <v>69</v>
      </c>
      <c r="Q15" s="23" t="s">
        <v>364</v>
      </c>
      <c r="R15" s="23" t="s">
        <v>355</v>
      </c>
      <c r="S15" s="21" t="s">
        <v>34</v>
      </c>
      <c r="T15" s="159">
        <v>1.6950000000000001</v>
      </c>
      <c r="U15" s="23" t="s">
        <v>1559</v>
      </c>
      <c r="V15" s="172">
        <v>2.8500000000000001E-2</v>
      </c>
      <c r="W15" s="174">
        <v>2.8080000000000001E-2</v>
      </c>
      <c r="X15" s="21" t="s">
        <v>361</v>
      </c>
      <c r="Y15" s="21" t="s">
        <v>92</v>
      </c>
      <c r="Z15" s="159">
        <v>1125000</v>
      </c>
      <c r="AA15" s="175">
        <v>1</v>
      </c>
      <c r="AB15" s="176">
        <v>116.29</v>
      </c>
      <c r="AC15" s="23"/>
      <c r="AD15" s="159">
        <v>1308.2629999999999</v>
      </c>
      <c r="AE15" s="23"/>
      <c r="AG15" s="21" t="s">
        <v>36</v>
      </c>
      <c r="AH15" s="166">
        <v>7.8490000000000001E-3</v>
      </c>
      <c r="AI15" s="166">
        <v>7.6405529129536997E-3</v>
      </c>
      <c r="AJ15" s="166">
        <v>1.3929675178110401E-3</v>
      </c>
    </row>
    <row r="16" spans="1:36">
      <c r="A16" s="23">
        <v>233</v>
      </c>
      <c r="B16" s="23">
        <v>233</v>
      </c>
      <c r="C16" s="23" t="s">
        <v>1560</v>
      </c>
      <c r="D16" s="23" t="s">
        <v>1561</v>
      </c>
      <c r="E16" s="21" t="s">
        <v>1255</v>
      </c>
      <c r="F16" s="23" t="s">
        <v>1562</v>
      </c>
      <c r="G16" s="23" t="s">
        <v>1563</v>
      </c>
      <c r="H16" s="21" t="s">
        <v>269</v>
      </c>
      <c r="I16" s="23" t="s">
        <v>705</v>
      </c>
      <c r="J16" s="21" t="s">
        <v>30</v>
      </c>
      <c r="K16" s="21" t="s">
        <v>30</v>
      </c>
      <c r="L16" s="23" t="s">
        <v>275</v>
      </c>
      <c r="M16" s="21" t="s">
        <v>31</v>
      </c>
      <c r="N16" s="23" t="s">
        <v>388</v>
      </c>
      <c r="O16" s="23" t="s">
        <v>92</v>
      </c>
      <c r="P16" s="23" t="s">
        <v>1564</v>
      </c>
      <c r="Q16" s="23" t="s">
        <v>362</v>
      </c>
      <c r="R16" s="23" t="s">
        <v>355</v>
      </c>
      <c r="S16" s="21" t="s">
        <v>34</v>
      </c>
      <c r="T16" s="159">
        <v>5.798</v>
      </c>
      <c r="U16" s="23" t="s">
        <v>1565</v>
      </c>
      <c r="V16" s="172">
        <v>2.3900000000000001E-2</v>
      </c>
      <c r="W16" s="174">
        <v>2.9239999999999999E-2</v>
      </c>
      <c r="X16" s="21" t="s">
        <v>361</v>
      </c>
      <c r="Y16" s="21" t="s">
        <v>92</v>
      </c>
      <c r="Z16" s="159">
        <v>4100000</v>
      </c>
      <c r="AA16" s="175">
        <v>1</v>
      </c>
      <c r="AB16" s="176">
        <v>111.74</v>
      </c>
      <c r="AC16" s="23"/>
      <c r="AD16" s="159">
        <v>4581.34</v>
      </c>
      <c r="AE16" s="23"/>
      <c r="AG16" s="21" t="s">
        <v>36</v>
      </c>
      <c r="AH16" s="166">
        <v>1.054E-3</v>
      </c>
      <c r="AI16" s="166">
        <v>2.6756075850397999E-2</v>
      </c>
      <c r="AJ16" s="166">
        <v>4.8779643290612204E-3</v>
      </c>
    </row>
    <row r="17" spans="1:36">
      <c r="A17" s="23">
        <v>233</v>
      </c>
      <c r="B17" s="23">
        <v>233</v>
      </c>
      <c r="C17" s="23" t="s">
        <v>1560</v>
      </c>
      <c r="D17" s="23" t="s">
        <v>1561</v>
      </c>
      <c r="E17" s="21" t="s">
        <v>1255</v>
      </c>
      <c r="F17" s="23" t="s">
        <v>1566</v>
      </c>
      <c r="G17" s="23" t="s">
        <v>1567</v>
      </c>
      <c r="H17" s="21" t="s">
        <v>269</v>
      </c>
      <c r="I17" s="23" t="s">
        <v>705</v>
      </c>
      <c r="J17" s="21" t="s">
        <v>30</v>
      </c>
      <c r="K17" s="21" t="s">
        <v>30</v>
      </c>
      <c r="L17" s="23" t="s">
        <v>275</v>
      </c>
      <c r="M17" s="21" t="s">
        <v>31</v>
      </c>
      <c r="N17" s="23" t="s">
        <v>388</v>
      </c>
      <c r="O17" s="23" t="s">
        <v>92</v>
      </c>
      <c r="P17" s="23" t="s">
        <v>1564</v>
      </c>
      <c r="Q17" s="23" t="s">
        <v>362</v>
      </c>
      <c r="R17" s="23" t="s">
        <v>355</v>
      </c>
      <c r="S17" s="21" t="s">
        <v>34</v>
      </c>
      <c r="T17" s="159">
        <v>10.627000000000001</v>
      </c>
      <c r="U17" s="23" t="s">
        <v>1568</v>
      </c>
      <c r="V17" s="172">
        <v>1.2500000000000001E-2</v>
      </c>
      <c r="W17" s="174">
        <v>3.4939999999999999E-2</v>
      </c>
      <c r="X17" s="21" t="s">
        <v>361</v>
      </c>
      <c r="Y17" s="21" t="s">
        <v>92</v>
      </c>
      <c r="Z17" s="159">
        <v>1400000</v>
      </c>
      <c r="AA17" s="175">
        <v>1</v>
      </c>
      <c r="AB17" s="176">
        <v>90</v>
      </c>
      <c r="AC17" s="23"/>
      <c r="AD17" s="159">
        <v>1260</v>
      </c>
      <c r="AE17" s="23"/>
      <c r="AG17" s="21" t="s">
        <v>36</v>
      </c>
      <c r="AH17" s="166">
        <v>3.2600000000000001E-4</v>
      </c>
      <c r="AI17" s="166">
        <v>7.3586888490051999E-3</v>
      </c>
      <c r="AJ17" s="166">
        <v>1.3415802046163601E-3</v>
      </c>
    </row>
    <row r="18" spans="1:36">
      <c r="A18" s="23">
        <v>233</v>
      </c>
      <c r="B18" s="23">
        <v>233</v>
      </c>
      <c r="C18" s="23" t="s">
        <v>1569</v>
      </c>
      <c r="D18" s="23" t="s">
        <v>1570</v>
      </c>
      <c r="E18" s="21" t="s">
        <v>1255</v>
      </c>
      <c r="F18" s="23" t="s">
        <v>1571</v>
      </c>
      <c r="G18" s="23" t="s">
        <v>1572</v>
      </c>
      <c r="H18" s="21" t="s">
        <v>269</v>
      </c>
      <c r="I18" s="23" t="s">
        <v>919</v>
      </c>
      <c r="J18" s="21" t="s">
        <v>30</v>
      </c>
      <c r="K18" s="21" t="s">
        <v>30</v>
      </c>
      <c r="L18" s="23" t="s">
        <v>275</v>
      </c>
      <c r="M18" s="21" t="s">
        <v>31</v>
      </c>
      <c r="N18" s="23" t="s">
        <v>410</v>
      </c>
      <c r="O18" s="23" t="s">
        <v>92</v>
      </c>
      <c r="P18" s="23" t="s">
        <v>1506</v>
      </c>
      <c r="Q18" s="23" t="s">
        <v>362</v>
      </c>
      <c r="R18" s="23" t="s">
        <v>355</v>
      </c>
      <c r="S18" s="21" t="s">
        <v>34</v>
      </c>
      <c r="T18" s="159">
        <v>2.1070000000000002</v>
      </c>
      <c r="U18" s="23" t="s">
        <v>1573</v>
      </c>
      <c r="V18" s="172">
        <v>2.18E-2</v>
      </c>
      <c r="W18" s="174">
        <v>5.6860000000000001E-2</v>
      </c>
      <c r="X18" s="21" t="s">
        <v>361</v>
      </c>
      <c r="Y18" s="21" t="s">
        <v>92</v>
      </c>
      <c r="Z18" s="159">
        <v>5280556.22</v>
      </c>
      <c r="AA18" s="175">
        <v>1</v>
      </c>
      <c r="AB18" s="176">
        <v>93.37</v>
      </c>
      <c r="AC18" s="23"/>
      <c r="AD18" s="159">
        <v>4930.4549999999999</v>
      </c>
      <c r="AE18" s="23"/>
      <c r="AG18" s="21" t="s">
        <v>36</v>
      </c>
      <c r="AH18" s="166">
        <v>1.5414000000000001E-2</v>
      </c>
      <c r="AI18" s="166">
        <v>2.8794989484295E-2</v>
      </c>
      <c r="AJ18" s="166">
        <v>5.24968356142534E-3</v>
      </c>
    </row>
    <row r="19" spans="1:36">
      <c r="A19" s="23">
        <v>233</v>
      </c>
      <c r="B19" s="23">
        <v>233</v>
      </c>
      <c r="C19" s="23" t="s">
        <v>1574</v>
      </c>
      <c r="D19" s="23" t="s">
        <v>1575</v>
      </c>
      <c r="E19" s="21" t="s">
        <v>1255</v>
      </c>
      <c r="F19" s="23" t="s">
        <v>1576</v>
      </c>
      <c r="G19" s="23" t="s">
        <v>1577</v>
      </c>
      <c r="H19" s="21" t="s">
        <v>269</v>
      </c>
      <c r="I19" s="23" t="s">
        <v>705</v>
      </c>
      <c r="J19" s="21" t="s">
        <v>30</v>
      </c>
      <c r="K19" s="21" t="s">
        <v>30</v>
      </c>
      <c r="L19" s="23" t="s">
        <v>275</v>
      </c>
      <c r="M19" s="21" t="s">
        <v>31</v>
      </c>
      <c r="N19" s="23" t="s">
        <v>412</v>
      </c>
      <c r="O19" s="23" t="s">
        <v>92</v>
      </c>
      <c r="P19" s="23" t="s">
        <v>1506</v>
      </c>
      <c r="Q19" s="23" t="s">
        <v>362</v>
      </c>
      <c r="R19" s="23" t="s">
        <v>355</v>
      </c>
      <c r="S19" s="21" t="s">
        <v>34</v>
      </c>
      <c r="T19" s="159">
        <v>3.6829999999999998</v>
      </c>
      <c r="U19" s="23" t="s">
        <v>1578</v>
      </c>
      <c r="V19" s="172">
        <v>2.4E-2</v>
      </c>
      <c r="W19" s="174">
        <v>2.9899999999999999E-2</v>
      </c>
      <c r="X19" s="21" t="s">
        <v>361</v>
      </c>
      <c r="Y19" s="21" t="s">
        <v>92</v>
      </c>
      <c r="Z19" s="159">
        <v>2906290.38</v>
      </c>
      <c r="AA19" s="175">
        <v>1</v>
      </c>
      <c r="AB19" s="176">
        <v>114.45</v>
      </c>
      <c r="AC19" s="23"/>
      <c r="AD19" s="159">
        <v>3326.2489999999998</v>
      </c>
      <c r="AE19" s="23"/>
      <c r="AG19" s="21" t="s">
        <v>36</v>
      </c>
      <c r="AH19" s="166">
        <v>2.4429999999999999E-3</v>
      </c>
      <c r="AI19" s="166">
        <v>1.9426058671909999E-2</v>
      </c>
      <c r="AJ19" s="166">
        <v>3.54161132542976E-3</v>
      </c>
    </row>
    <row r="20" spans="1:36">
      <c r="A20" s="2">
        <v>233</v>
      </c>
      <c r="B20" s="2">
        <v>233</v>
      </c>
      <c r="C20" s="2" t="s">
        <v>1574</v>
      </c>
      <c r="D20" s="2" t="s">
        <v>1575</v>
      </c>
      <c r="E20" s="21" t="s">
        <v>1255</v>
      </c>
      <c r="F20" s="2" t="s">
        <v>1579</v>
      </c>
      <c r="G20" s="2" t="s">
        <v>1580</v>
      </c>
      <c r="H20" s="21" t="s">
        <v>269</v>
      </c>
      <c r="I20" s="23" t="s">
        <v>919</v>
      </c>
      <c r="J20" s="21" t="s">
        <v>30</v>
      </c>
      <c r="K20" s="21" t="s">
        <v>30</v>
      </c>
      <c r="L20" s="23" t="s">
        <v>275</v>
      </c>
      <c r="M20" s="21" t="s">
        <v>31</v>
      </c>
      <c r="N20" s="23" t="s">
        <v>412</v>
      </c>
      <c r="O20" s="23" t="s">
        <v>92</v>
      </c>
      <c r="P20" s="2" t="s">
        <v>1506</v>
      </c>
      <c r="Q20" s="23" t="s">
        <v>362</v>
      </c>
      <c r="R20" s="23" t="s">
        <v>355</v>
      </c>
      <c r="S20" s="2" t="s">
        <v>34</v>
      </c>
      <c r="T20" s="157">
        <v>1.3620000000000001</v>
      </c>
      <c r="U20" s="2" t="s">
        <v>1581</v>
      </c>
      <c r="V20" s="173">
        <v>5.0500000000000003E-2</v>
      </c>
      <c r="W20" s="166">
        <v>5.2260000000000001E-2</v>
      </c>
      <c r="X20" s="21" t="s">
        <v>361</v>
      </c>
      <c r="Y20" s="21" t="s">
        <v>92</v>
      </c>
      <c r="Z20" s="157">
        <v>3346108.4</v>
      </c>
      <c r="AA20" s="162">
        <v>1</v>
      </c>
      <c r="AB20" s="177">
        <v>100.28</v>
      </c>
      <c r="AD20" s="157">
        <v>3355.4780000000001</v>
      </c>
      <c r="AG20" s="2" t="s">
        <v>36</v>
      </c>
      <c r="AH20" s="166">
        <v>1.2035000000000001E-2</v>
      </c>
      <c r="AI20" s="166">
        <v>1.9596757847809902E-2</v>
      </c>
      <c r="AJ20" s="166">
        <v>3.5727319013952102E-3</v>
      </c>
    </row>
    <row r="21" spans="1:36">
      <c r="A21" s="2">
        <v>233</v>
      </c>
      <c r="B21" s="2">
        <v>233</v>
      </c>
      <c r="C21" s="2" t="s">
        <v>1137</v>
      </c>
      <c r="D21" s="2" t="s">
        <v>1380</v>
      </c>
      <c r="E21" s="4" t="s">
        <v>1255</v>
      </c>
      <c r="F21" s="2" t="s">
        <v>1582</v>
      </c>
      <c r="G21" s="2" t="s">
        <v>1583</v>
      </c>
      <c r="H21" s="4" t="s">
        <v>269</v>
      </c>
      <c r="I21" s="2" t="s">
        <v>705</v>
      </c>
      <c r="J21" s="2" t="s">
        <v>30</v>
      </c>
      <c r="K21" s="2" t="s">
        <v>30</v>
      </c>
      <c r="L21" s="2" t="s">
        <v>275</v>
      </c>
      <c r="M21" s="4" t="s">
        <v>31</v>
      </c>
      <c r="N21" s="2" t="s">
        <v>396</v>
      </c>
      <c r="O21" s="2" t="s">
        <v>92</v>
      </c>
      <c r="P21" s="2" t="s">
        <v>1132</v>
      </c>
      <c r="Q21" s="2" t="s">
        <v>362</v>
      </c>
      <c r="R21" s="2" t="s">
        <v>355</v>
      </c>
      <c r="S21" s="2" t="s">
        <v>34</v>
      </c>
      <c r="T21" s="157">
        <v>1.7370000000000001</v>
      </c>
      <c r="U21" s="2" t="s">
        <v>1584</v>
      </c>
      <c r="V21" s="173">
        <v>8.3000000000000001E-3</v>
      </c>
      <c r="W21" s="166">
        <v>2.0449999999999999E-2</v>
      </c>
      <c r="X21" s="4" t="s">
        <v>361</v>
      </c>
      <c r="Y21" s="4" t="s">
        <v>92</v>
      </c>
      <c r="Z21" s="157">
        <v>1795215.5</v>
      </c>
      <c r="AA21" s="162">
        <v>1</v>
      </c>
      <c r="AB21" s="177">
        <v>113.2</v>
      </c>
      <c r="AD21" s="157">
        <v>2032.184</v>
      </c>
      <c r="AG21" s="2" t="s">
        <v>36</v>
      </c>
      <c r="AH21" s="166">
        <v>1.1800000000000001E-3</v>
      </c>
      <c r="AI21" s="166">
        <v>1.18684201131409E-2</v>
      </c>
      <c r="AJ21" s="166">
        <v>2.1637601222958499E-3</v>
      </c>
    </row>
    <row r="22" spans="1:36">
      <c r="A22" s="2">
        <v>233</v>
      </c>
      <c r="B22" s="2">
        <v>233</v>
      </c>
      <c r="C22" s="2" t="s">
        <v>1137</v>
      </c>
      <c r="D22" s="2" t="s">
        <v>1380</v>
      </c>
      <c r="E22" s="4" t="s">
        <v>1255</v>
      </c>
      <c r="F22" s="2" t="s">
        <v>1585</v>
      </c>
      <c r="G22" s="2" t="s">
        <v>1586</v>
      </c>
      <c r="H22" s="4" t="s">
        <v>269</v>
      </c>
      <c r="I22" s="2" t="s">
        <v>705</v>
      </c>
      <c r="J22" s="2" t="s">
        <v>30</v>
      </c>
      <c r="K22" s="2" t="s">
        <v>30</v>
      </c>
      <c r="L22" s="2" t="s">
        <v>275</v>
      </c>
      <c r="M22" s="4" t="s">
        <v>31</v>
      </c>
      <c r="N22" s="2" t="s">
        <v>396</v>
      </c>
      <c r="O22" s="2" t="s">
        <v>92</v>
      </c>
      <c r="P22" s="2" t="s">
        <v>1132</v>
      </c>
      <c r="Q22" s="2" t="s">
        <v>362</v>
      </c>
      <c r="R22" s="2" t="s">
        <v>355</v>
      </c>
      <c r="S22" s="2" t="s">
        <v>34</v>
      </c>
      <c r="T22" s="157">
        <v>5.0449999999999999</v>
      </c>
      <c r="U22" s="2" t="s">
        <v>1587</v>
      </c>
      <c r="V22" s="173">
        <v>2.0199999999999999E-2</v>
      </c>
      <c r="W22" s="166">
        <v>2.5940000000000001E-2</v>
      </c>
      <c r="X22" s="4" t="s">
        <v>361</v>
      </c>
      <c r="Y22" s="4" t="s">
        <v>92</v>
      </c>
      <c r="Z22" s="157">
        <v>2700000</v>
      </c>
      <c r="AA22" s="162">
        <v>1</v>
      </c>
      <c r="AB22" s="177">
        <v>101.35</v>
      </c>
      <c r="AD22" s="157">
        <v>2736.45</v>
      </c>
      <c r="AG22" s="2" t="s">
        <v>36</v>
      </c>
      <c r="AH22" s="166">
        <v>7.5699999999999997E-4</v>
      </c>
      <c r="AI22" s="166">
        <v>1.59814953181431E-2</v>
      </c>
      <c r="AJ22" s="166">
        <v>2.9136247229543202E-3</v>
      </c>
    </row>
    <row r="23" spans="1:36">
      <c r="A23" s="2">
        <v>233</v>
      </c>
      <c r="B23" s="2">
        <v>233</v>
      </c>
      <c r="C23" s="2" t="s">
        <v>1137</v>
      </c>
      <c r="D23" s="2" t="s">
        <v>1380</v>
      </c>
      <c r="E23" s="4" t="s">
        <v>1255</v>
      </c>
      <c r="F23" s="2" t="s">
        <v>1588</v>
      </c>
      <c r="G23" s="2" t="s">
        <v>1589</v>
      </c>
      <c r="H23" s="4" t="s">
        <v>269</v>
      </c>
      <c r="I23" s="2" t="s">
        <v>705</v>
      </c>
      <c r="J23" s="2" t="s">
        <v>30</v>
      </c>
      <c r="K23" s="2" t="s">
        <v>30</v>
      </c>
      <c r="L23" s="2" t="s">
        <v>275</v>
      </c>
      <c r="M23" s="2" t="s">
        <v>31</v>
      </c>
      <c r="N23" s="2" t="s">
        <v>396</v>
      </c>
      <c r="O23" s="2" t="s">
        <v>92</v>
      </c>
      <c r="P23" s="2" t="s">
        <v>1506</v>
      </c>
      <c r="Q23" s="2" t="s">
        <v>362</v>
      </c>
      <c r="R23" s="2" t="s">
        <v>355</v>
      </c>
      <c r="S23" s="2" t="s">
        <v>34</v>
      </c>
      <c r="T23" s="157">
        <v>0.41099999999999998</v>
      </c>
      <c r="U23" s="2" t="s">
        <v>1590</v>
      </c>
      <c r="V23" s="173">
        <v>2.4199999999999999E-2</v>
      </c>
      <c r="W23" s="166">
        <v>3.585E-2</v>
      </c>
      <c r="X23" s="4" t="s">
        <v>361</v>
      </c>
      <c r="Y23" s="4" t="s">
        <v>92</v>
      </c>
      <c r="Z23" s="157">
        <v>12550000</v>
      </c>
      <c r="AA23" s="162">
        <v>1</v>
      </c>
      <c r="AB23" s="177">
        <v>116.43</v>
      </c>
      <c r="AD23" s="157">
        <v>14611.965</v>
      </c>
      <c r="AG23" s="2" t="s">
        <v>36</v>
      </c>
      <c r="AH23" s="166">
        <v>8.7080000000000005E-3</v>
      </c>
      <c r="AI23" s="166">
        <v>8.5337225323455806E-2</v>
      </c>
      <c r="AJ23" s="166">
        <v>1.55580341226565E-2</v>
      </c>
    </row>
    <row r="24" spans="1:36">
      <c r="A24" s="2">
        <v>233</v>
      </c>
      <c r="B24" s="2">
        <v>233</v>
      </c>
      <c r="C24" s="2" t="s">
        <v>1137</v>
      </c>
      <c r="D24" s="2" t="s">
        <v>1380</v>
      </c>
      <c r="E24" s="4" t="s">
        <v>1255</v>
      </c>
      <c r="F24" s="2" t="s">
        <v>1591</v>
      </c>
      <c r="G24" s="2" t="s">
        <v>1592</v>
      </c>
      <c r="H24" s="2" t="s">
        <v>269</v>
      </c>
      <c r="I24" s="2" t="s">
        <v>705</v>
      </c>
      <c r="J24" s="2" t="s">
        <v>30</v>
      </c>
      <c r="K24" s="2" t="s">
        <v>30</v>
      </c>
      <c r="L24" s="2" t="s">
        <v>275</v>
      </c>
      <c r="M24" s="2" t="s">
        <v>31</v>
      </c>
      <c r="N24" s="2" t="s">
        <v>396</v>
      </c>
      <c r="O24" s="2" t="s">
        <v>92</v>
      </c>
      <c r="P24" s="2" t="s">
        <v>1506</v>
      </c>
      <c r="Q24" s="2" t="s">
        <v>362</v>
      </c>
      <c r="R24" s="2" t="s">
        <v>355</v>
      </c>
      <c r="S24" s="2" t="s">
        <v>34</v>
      </c>
      <c r="T24" s="157">
        <v>3.3969999999999998</v>
      </c>
      <c r="U24" s="2" t="s">
        <v>1593</v>
      </c>
      <c r="V24" s="173">
        <v>1.4999999999999999E-2</v>
      </c>
      <c r="W24" s="166">
        <v>3.1109999999999999E-2</v>
      </c>
      <c r="X24" s="4" t="s">
        <v>361</v>
      </c>
      <c r="Y24" s="4" t="s">
        <v>92</v>
      </c>
      <c r="Z24" s="157">
        <v>1300000</v>
      </c>
      <c r="AA24" s="162">
        <v>1</v>
      </c>
      <c r="AB24" s="177">
        <v>106.33</v>
      </c>
      <c r="AD24" s="157">
        <v>1382.29</v>
      </c>
      <c r="AG24" s="2" t="s">
        <v>36</v>
      </c>
      <c r="AH24" s="166">
        <v>9.2599999999999996E-4</v>
      </c>
      <c r="AI24" s="166">
        <v>8.0728904834058701E-3</v>
      </c>
      <c r="AJ24" s="166">
        <v>1.4717880166977399E-3</v>
      </c>
    </row>
    <row r="25" spans="1:36">
      <c r="A25" s="2">
        <v>233</v>
      </c>
      <c r="B25" s="2">
        <v>233</v>
      </c>
      <c r="C25" s="2" t="s">
        <v>1137</v>
      </c>
      <c r="D25" s="2" t="s">
        <v>1380</v>
      </c>
      <c r="E25" s="4" t="s">
        <v>1255</v>
      </c>
      <c r="F25" s="2" t="s">
        <v>1594</v>
      </c>
      <c r="G25" s="2" t="s">
        <v>1595</v>
      </c>
      <c r="H25" s="2" t="s">
        <v>269</v>
      </c>
      <c r="I25" s="2" t="s">
        <v>705</v>
      </c>
      <c r="J25" s="2" t="s">
        <v>30</v>
      </c>
      <c r="K25" s="2" t="s">
        <v>30</v>
      </c>
      <c r="L25" s="2" t="s">
        <v>275</v>
      </c>
      <c r="M25" s="2" t="s">
        <v>31</v>
      </c>
      <c r="N25" s="2" t="s">
        <v>396</v>
      </c>
      <c r="O25" s="2" t="s">
        <v>92</v>
      </c>
      <c r="P25" s="2" t="s">
        <v>1506</v>
      </c>
      <c r="Q25" s="2" t="s">
        <v>362</v>
      </c>
      <c r="R25" s="2" t="s">
        <v>355</v>
      </c>
      <c r="S25" s="2" t="s">
        <v>34</v>
      </c>
      <c r="T25" s="157">
        <v>3.6320000000000001</v>
      </c>
      <c r="U25" s="2" t="s">
        <v>1596</v>
      </c>
      <c r="V25" s="173">
        <v>2.7799999999999998E-2</v>
      </c>
      <c r="W25" s="166">
        <v>2.9170000000000001E-2</v>
      </c>
      <c r="X25" s="4" t="s">
        <v>361</v>
      </c>
      <c r="Y25" s="4" t="s">
        <v>92</v>
      </c>
      <c r="Z25" s="157">
        <v>700000</v>
      </c>
      <c r="AA25" s="162">
        <v>1</v>
      </c>
      <c r="AB25" s="177">
        <v>115.43</v>
      </c>
      <c r="AD25" s="157">
        <v>808.01</v>
      </c>
      <c r="AG25" s="2" t="s">
        <v>36</v>
      </c>
      <c r="AH25" s="166">
        <v>3.3479999999999998E-3</v>
      </c>
      <c r="AI25" s="166">
        <v>4.7189636324481699E-3</v>
      </c>
      <c r="AJ25" s="166">
        <v>8.6032557232703798E-4</v>
      </c>
    </row>
    <row r="26" spans="1:36">
      <c r="A26" s="2">
        <v>233</v>
      </c>
      <c r="B26" s="2">
        <v>233</v>
      </c>
      <c r="C26" s="2" t="s">
        <v>1597</v>
      </c>
      <c r="D26" s="2" t="s">
        <v>1598</v>
      </c>
      <c r="E26" s="4" t="s">
        <v>1255</v>
      </c>
      <c r="F26" s="2" t="s">
        <v>1599</v>
      </c>
      <c r="G26" s="2" t="s">
        <v>1600</v>
      </c>
      <c r="H26" s="2" t="s">
        <v>269</v>
      </c>
      <c r="I26" s="2" t="s">
        <v>705</v>
      </c>
      <c r="J26" s="2" t="s">
        <v>30</v>
      </c>
      <c r="K26" s="2" t="s">
        <v>30</v>
      </c>
      <c r="L26" s="2" t="s">
        <v>275</v>
      </c>
      <c r="M26" s="2" t="s">
        <v>31</v>
      </c>
      <c r="N26" s="2" t="s">
        <v>412</v>
      </c>
      <c r="O26" s="2" t="s">
        <v>92</v>
      </c>
      <c r="P26" s="2" t="s">
        <v>1510</v>
      </c>
      <c r="Q26" s="2" t="s">
        <v>362</v>
      </c>
      <c r="R26" s="2" t="s">
        <v>355</v>
      </c>
      <c r="S26" s="2" t="s">
        <v>34</v>
      </c>
      <c r="T26" s="157">
        <v>1.89</v>
      </c>
      <c r="U26" s="2" t="s">
        <v>1601</v>
      </c>
      <c r="V26" s="173">
        <v>2.4E-2</v>
      </c>
      <c r="W26" s="166">
        <v>2.487E-2</v>
      </c>
      <c r="X26" s="4" t="s">
        <v>361</v>
      </c>
      <c r="Y26" s="4" t="s">
        <v>92</v>
      </c>
      <c r="Z26" s="157">
        <v>1390909.08</v>
      </c>
      <c r="AA26" s="162">
        <v>1</v>
      </c>
      <c r="AB26" s="177">
        <v>115.87</v>
      </c>
      <c r="AD26" s="157">
        <v>1611.646</v>
      </c>
      <c r="AG26" s="2" t="s">
        <v>36</v>
      </c>
      <c r="AH26" s="166">
        <v>2.4109999999999999E-3</v>
      </c>
      <c r="AI26" s="166">
        <v>9.4123841520747497E-3</v>
      </c>
      <c r="AJ26" s="166">
        <v>1.7159943185225601E-3</v>
      </c>
    </row>
    <row r="27" spans="1:36">
      <c r="A27" s="2">
        <v>233</v>
      </c>
      <c r="B27" s="2">
        <v>233</v>
      </c>
      <c r="C27" s="2" t="s">
        <v>1597</v>
      </c>
      <c r="D27" s="2" t="s">
        <v>1598</v>
      </c>
      <c r="E27" s="4" t="s">
        <v>1255</v>
      </c>
      <c r="F27" s="2" t="s">
        <v>1602</v>
      </c>
      <c r="G27" s="2" t="s">
        <v>1603</v>
      </c>
      <c r="H27" s="2" t="s">
        <v>269</v>
      </c>
      <c r="I27" s="2" t="s">
        <v>705</v>
      </c>
      <c r="J27" s="2" t="s">
        <v>30</v>
      </c>
      <c r="K27" s="2" t="s">
        <v>30</v>
      </c>
      <c r="L27" s="2" t="s">
        <v>275</v>
      </c>
      <c r="M27" s="2" t="s">
        <v>31</v>
      </c>
      <c r="N27" s="2" t="s">
        <v>412</v>
      </c>
      <c r="O27" s="2" t="s">
        <v>92</v>
      </c>
      <c r="P27" s="2" t="s">
        <v>1510</v>
      </c>
      <c r="Q27" s="2" t="s">
        <v>362</v>
      </c>
      <c r="R27" s="2" t="s">
        <v>355</v>
      </c>
      <c r="S27" s="2" t="s">
        <v>34</v>
      </c>
      <c r="T27" s="157">
        <v>2.024</v>
      </c>
      <c r="U27" s="2" t="s">
        <v>1604</v>
      </c>
      <c r="V27" s="173">
        <v>3.6999999999999998E-2</v>
      </c>
      <c r="W27" s="166">
        <v>2.6419999999999999E-2</v>
      </c>
      <c r="X27" s="4" t="s">
        <v>361</v>
      </c>
      <c r="Y27" s="4" t="s">
        <v>92</v>
      </c>
      <c r="Z27" s="157">
        <v>1762747.3</v>
      </c>
      <c r="AA27" s="162">
        <v>1</v>
      </c>
      <c r="AB27" s="177">
        <v>119.19</v>
      </c>
      <c r="AD27" s="157">
        <v>2101.0189999999998</v>
      </c>
      <c r="AG27" s="2" t="s">
        <v>36</v>
      </c>
      <c r="AH27" s="166">
        <v>5.8609999999999999E-3</v>
      </c>
      <c r="AI27" s="166">
        <v>1.22704297286173E-2</v>
      </c>
      <c r="AJ27" s="166">
        <v>2.2370514590074799E-3</v>
      </c>
    </row>
    <row r="28" spans="1:36">
      <c r="A28" s="2">
        <v>233</v>
      </c>
      <c r="B28" s="2">
        <v>233</v>
      </c>
      <c r="C28" s="2" t="s">
        <v>1605</v>
      </c>
      <c r="D28" s="2" t="s">
        <v>1606</v>
      </c>
      <c r="E28" s="4" t="s">
        <v>1255</v>
      </c>
      <c r="F28" s="2" t="s">
        <v>1607</v>
      </c>
      <c r="G28" s="2" t="s">
        <v>1608</v>
      </c>
      <c r="H28" s="2" t="s">
        <v>269</v>
      </c>
      <c r="I28" s="2" t="s">
        <v>705</v>
      </c>
      <c r="J28" s="2" t="s">
        <v>30</v>
      </c>
      <c r="K28" s="2" t="s">
        <v>30</v>
      </c>
      <c r="L28" s="2" t="s">
        <v>275</v>
      </c>
      <c r="M28" s="2" t="s">
        <v>31</v>
      </c>
      <c r="N28" s="2" t="s">
        <v>412</v>
      </c>
      <c r="O28" s="2" t="s">
        <v>92</v>
      </c>
      <c r="P28" s="2" t="s">
        <v>1502</v>
      </c>
      <c r="Q28" s="2" t="s">
        <v>362</v>
      </c>
      <c r="R28" s="2" t="s">
        <v>355</v>
      </c>
      <c r="S28" s="2" t="s">
        <v>34</v>
      </c>
      <c r="T28" s="157">
        <v>1.8720000000000001</v>
      </c>
      <c r="U28" s="2" t="s">
        <v>1609</v>
      </c>
      <c r="V28" s="173">
        <v>2.0500000000000001E-2</v>
      </c>
      <c r="W28" s="166">
        <v>2.6960000000000001E-2</v>
      </c>
      <c r="X28" s="4" t="s">
        <v>361</v>
      </c>
      <c r="Y28" s="4" t="s">
        <v>92</v>
      </c>
      <c r="Z28" s="157">
        <v>698571.43</v>
      </c>
      <c r="AA28" s="162">
        <v>1</v>
      </c>
      <c r="AB28" s="177">
        <v>115.69</v>
      </c>
      <c r="AD28" s="157">
        <v>808.17700000000002</v>
      </c>
      <c r="AG28" s="2" t="s">
        <v>36</v>
      </c>
      <c r="AH28" s="166">
        <v>9.2500000000000004E-4</v>
      </c>
      <c r="AI28" s="166">
        <v>4.7199406290212801E-3</v>
      </c>
      <c r="AJ28" s="166">
        <v>8.6050369091437897E-4</v>
      </c>
    </row>
    <row r="29" spans="1:36">
      <c r="A29" s="2">
        <v>233</v>
      </c>
      <c r="B29" s="2">
        <v>233</v>
      </c>
      <c r="C29" s="2" t="s">
        <v>1610</v>
      </c>
      <c r="D29" s="2" t="s">
        <v>1611</v>
      </c>
      <c r="E29" s="4" t="s">
        <v>1255</v>
      </c>
      <c r="F29" s="2" t="s">
        <v>1612</v>
      </c>
      <c r="G29" s="2" t="s">
        <v>1613</v>
      </c>
      <c r="H29" s="2" t="s">
        <v>269</v>
      </c>
      <c r="I29" s="2" t="s">
        <v>705</v>
      </c>
      <c r="J29" s="2" t="s">
        <v>30</v>
      </c>
      <c r="K29" s="2" t="s">
        <v>30</v>
      </c>
      <c r="L29" s="2" t="s">
        <v>275</v>
      </c>
      <c r="M29" s="2" t="s">
        <v>31</v>
      </c>
      <c r="N29" s="2" t="s">
        <v>396</v>
      </c>
      <c r="O29" s="2" t="s">
        <v>92</v>
      </c>
      <c r="P29" s="2" t="s">
        <v>1132</v>
      </c>
      <c r="Q29" s="2" t="s">
        <v>362</v>
      </c>
      <c r="R29" s="2" t="s">
        <v>355</v>
      </c>
      <c r="S29" s="2" t="s">
        <v>34</v>
      </c>
      <c r="T29" s="157">
        <v>4.3789999999999996</v>
      </c>
      <c r="U29" s="2" t="s">
        <v>1614</v>
      </c>
      <c r="V29" s="173">
        <v>1.9900000000000001E-2</v>
      </c>
      <c r="W29" s="166">
        <v>2.5700000000000001E-2</v>
      </c>
      <c r="X29" s="4" t="s">
        <v>361</v>
      </c>
      <c r="Y29" s="4" t="s">
        <v>92</v>
      </c>
      <c r="Z29" s="157">
        <v>2700000</v>
      </c>
      <c r="AA29" s="162">
        <v>1</v>
      </c>
      <c r="AB29" s="177">
        <v>102.5</v>
      </c>
      <c r="AD29" s="157">
        <v>2767.5</v>
      </c>
      <c r="AG29" s="2" t="s">
        <v>36</v>
      </c>
      <c r="AH29" s="166">
        <v>1E-3</v>
      </c>
      <c r="AI29" s="166">
        <v>1.61628344362078E-2</v>
      </c>
      <c r="AJ29" s="166">
        <v>2.9466850922823702E-3</v>
      </c>
    </row>
    <row r="30" spans="1:36">
      <c r="A30" s="2">
        <v>233</v>
      </c>
      <c r="B30" s="2">
        <v>233</v>
      </c>
      <c r="C30" s="2" t="s">
        <v>1610</v>
      </c>
      <c r="D30" s="2" t="s">
        <v>1611</v>
      </c>
      <c r="E30" s="4" t="s">
        <v>1255</v>
      </c>
      <c r="F30" s="2" t="s">
        <v>1615</v>
      </c>
      <c r="G30" s="2" t="s">
        <v>1616</v>
      </c>
      <c r="H30" s="2" t="s">
        <v>269</v>
      </c>
      <c r="I30" s="2" t="s">
        <v>705</v>
      </c>
      <c r="J30" s="2" t="s">
        <v>30</v>
      </c>
      <c r="K30" s="2" t="s">
        <v>30</v>
      </c>
      <c r="L30" s="2" t="s">
        <v>275</v>
      </c>
      <c r="M30" s="2" t="s">
        <v>31</v>
      </c>
      <c r="N30" s="2" t="s">
        <v>396</v>
      </c>
      <c r="O30" s="2" t="s">
        <v>92</v>
      </c>
      <c r="P30" s="2" t="s">
        <v>1132</v>
      </c>
      <c r="Q30" s="2" t="s">
        <v>364</v>
      </c>
      <c r="R30" s="2" t="s">
        <v>355</v>
      </c>
      <c r="S30" s="2" t="s">
        <v>34</v>
      </c>
      <c r="T30" s="157">
        <v>2.16</v>
      </c>
      <c r="U30" s="2" t="s">
        <v>1617</v>
      </c>
      <c r="V30" s="173">
        <v>5.0000000000000001E-3</v>
      </c>
      <c r="W30" s="166">
        <v>2.1420000000000002E-2</v>
      </c>
      <c r="X30" s="4" t="s">
        <v>361</v>
      </c>
      <c r="Y30" s="4" t="s">
        <v>92</v>
      </c>
      <c r="Z30" s="157">
        <v>2208678</v>
      </c>
      <c r="AA30" s="162">
        <v>1</v>
      </c>
      <c r="AB30" s="177">
        <v>110.72</v>
      </c>
      <c r="AD30" s="157">
        <v>2445.4479999999999</v>
      </c>
      <c r="AG30" s="2" t="s">
        <v>36</v>
      </c>
      <c r="AH30" s="166">
        <v>2.8939999999999999E-3</v>
      </c>
      <c r="AI30" s="166">
        <v>1.42819785719277E-2</v>
      </c>
      <c r="AJ30" s="166">
        <v>2.60378175079973E-3</v>
      </c>
    </row>
    <row r="31" spans="1:36">
      <c r="A31" s="2">
        <v>233</v>
      </c>
      <c r="B31" s="2">
        <v>233</v>
      </c>
      <c r="C31" s="2" t="s">
        <v>1610</v>
      </c>
      <c r="D31" s="2" t="s">
        <v>1611</v>
      </c>
      <c r="E31" s="4" t="s">
        <v>1255</v>
      </c>
      <c r="F31" s="2" t="s">
        <v>1618</v>
      </c>
      <c r="G31" s="2" t="s">
        <v>1619</v>
      </c>
      <c r="H31" s="2" t="s">
        <v>269</v>
      </c>
      <c r="I31" s="2" t="s">
        <v>705</v>
      </c>
      <c r="J31" s="2" t="s">
        <v>30</v>
      </c>
      <c r="K31" s="2" t="s">
        <v>30</v>
      </c>
      <c r="L31" s="2" t="s">
        <v>275</v>
      </c>
      <c r="M31" s="2" t="s">
        <v>31</v>
      </c>
      <c r="N31" s="2" t="s">
        <v>396</v>
      </c>
      <c r="O31" s="2" t="s">
        <v>92</v>
      </c>
      <c r="P31" s="2" t="s">
        <v>1506</v>
      </c>
      <c r="Q31" s="2" t="s">
        <v>362</v>
      </c>
      <c r="R31" s="2" t="s">
        <v>355</v>
      </c>
      <c r="S31" s="2" t="s">
        <v>34</v>
      </c>
      <c r="T31" s="157">
        <v>4.87</v>
      </c>
      <c r="U31" s="2" t="s">
        <v>1620</v>
      </c>
      <c r="V31" s="173">
        <v>1.89E-2</v>
      </c>
      <c r="W31" s="166">
        <v>4.1309999999999999E-2</v>
      </c>
      <c r="X31" s="4" t="s">
        <v>361</v>
      </c>
      <c r="Y31" s="4" t="s">
        <v>92</v>
      </c>
      <c r="Z31" s="157">
        <v>3700000</v>
      </c>
      <c r="AA31" s="162">
        <v>1</v>
      </c>
      <c r="AB31" s="177">
        <v>114.72</v>
      </c>
      <c r="AD31" s="157">
        <v>4244.6400000000003</v>
      </c>
      <c r="AG31" s="2" t="s">
        <v>36</v>
      </c>
      <c r="AH31" s="166">
        <v>3.395E-3</v>
      </c>
      <c r="AI31" s="166">
        <v>2.4789670663524901E-2</v>
      </c>
      <c r="AJ31" s="166">
        <v>4.5194642854942896E-3</v>
      </c>
    </row>
    <row r="32" spans="1:36">
      <c r="A32" s="2">
        <v>233</v>
      </c>
      <c r="B32" s="2">
        <v>233</v>
      </c>
      <c r="C32" s="2" t="s">
        <v>1621</v>
      </c>
      <c r="D32" s="2" t="s">
        <v>1622</v>
      </c>
      <c r="E32" s="4" t="s">
        <v>1255</v>
      </c>
      <c r="F32" s="2" t="s">
        <v>1623</v>
      </c>
      <c r="G32" s="2" t="s">
        <v>1624</v>
      </c>
      <c r="H32" s="2" t="s">
        <v>269</v>
      </c>
      <c r="I32" s="2" t="s">
        <v>705</v>
      </c>
      <c r="J32" s="2" t="s">
        <v>30</v>
      </c>
      <c r="K32" s="2" t="s">
        <v>30</v>
      </c>
      <c r="L32" s="2" t="s">
        <v>275</v>
      </c>
      <c r="M32" s="2" t="s">
        <v>31</v>
      </c>
      <c r="N32" s="2" t="s">
        <v>391</v>
      </c>
      <c r="O32" s="2" t="s">
        <v>92</v>
      </c>
      <c r="P32" s="2" t="s">
        <v>1502</v>
      </c>
      <c r="Q32" s="2" t="s">
        <v>364</v>
      </c>
      <c r="R32" s="2" t="s">
        <v>355</v>
      </c>
      <c r="S32" s="2" t="s">
        <v>34</v>
      </c>
      <c r="T32" s="157">
        <v>3.2530000000000001</v>
      </c>
      <c r="U32" s="2" t="s">
        <v>1625</v>
      </c>
      <c r="V32" s="173">
        <v>0.01</v>
      </c>
      <c r="W32" s="166">
        <v>3.3340000000000002E-2</v>
      </c>
      <c r="X32" s="4" t="s">
        <v>361</v>
      </c>
      <c r="Y32" s="4" t="s">
        <v>92</v>
      </c>
      <c r="Z32" s="157">
        <v>3604000</v>
      </c>
      <c r="AA32" s="162">
        <v>1</v>
      </c>
      <c r="AB32" s="177">
        <v>104.54</v>
      </c>
      <c r="AD32" s="157">
        <v>3767.6219999999998</v>
      </c>
      <c r="AG32" s="2" t="s">
        <v>36</v>
      </c>
      <c r="AH32" s="166">
        <v>2.2790000000000002E-3</v>
      </c>
      <c r="AI32" s="166">
        <v>2.2003773853326299E-2</v>
      </c>
      <c r="AJ32" s="166">
        <v>4.0115607595595498E-3</v>
      </c>
    </row>
    <row r="33" spans="1:36">
      <c r="A33" s="2">
        <v>233</v>
      </c>
      <c r="B33" s="2">
        <v>233</v>
      </c>
      <c r="C33" s="2" t="s">
        <v>1621</v>
      </c>
      <c r="D33" s="2" t="s">
        <v>1622</v>
      </c>
      <c r="E33" s="4" t="s">
        <v>1255</v>
      </c>
      <c r="F33" s="2" t="s">
        <v>1626</v>
      </c>
      <c r="G33" s="2" t="s">
        <v>1627</v>
      </c>
      <c r="H33" s="2" t="s">
        <v>269</v>
      </c>
      <c r="I33" s="2" t="s">
        <v>705</v>
      </c>
      <c r="J33" s="2" t="s">
        <v>30</v>
      </c>
      <c r="K33" s="2" t="s">
        <v>30</v>
      </c>
      <c r="L33" s="2" t="s">
        <v>275</v>
      </c>
      <c r="M33" s="2" t="s">
        <v>31</v>
      </c>
      <c r="N33" s="2" t="s">
        <v>391</v>
      </c>
      <c r="O33" s="2" t="s">
        <v>92</v>
      </c>
      <c r="P33" s="2" t="s">
        <v>1502</v>
      </c>
      <c r="Q33" s="2" t="s">
        <v>364</v>
      </c>
      <c r="R33" s="2" t="s">
        <v>355</v>
      </c>
      <c r="S33" s="2" t="s">
        <v>34</v>
      </c>
      <c r="T33" s="157">
        <v>1.6559999999999999</v>
      </c>
      <c r="U33" s="2" t="s">
        <v>1628</v>
      </c>
      <c r="V33" s="173">
        <v>3.5400000000000001E-2</v>
      </c>
      <c r="W33" s="166">
        <v>3.2190000000000003E-2</v>
      </c>
      <c r="X33" s="4" t="s">
        <v>361</v>
      </c>
      <c r="Y33" s="4" t="s">
        <v>92</v>
      </c>
      <c r="Z33" s="157">
        <v>2600000</v>
      </c>
      <c r="AA33" s="162">
        <v>1</v>
      </c>
      <c r="AB33" s="177">
        <v>107.7</v>
      </c>
      <c r="AD33" s="157">
        <v>2800.2</v>
      </c>
      <c r="AG33" s="2" t="s">
        <v>36</v>
      </c>
      <c r="AH33" s="166">
        <v>2.3280000000000002E-3</v>
      </c>
      <c r="AI33" s="166">
        <v>1.6353809932527299E-2</v>
      </c>
      <c r="AJ33" s="166">
        <v>2.9815022928307501E-3</v>
      </c>
    </row>
    <row r="34" spans="1:36">
      <c r="A34" s="2">
        <v>233</v>
      </c>
      <c r="B34" s="2">
        <v>233</v>
      </c>
      <c r="C34" s="2" t="s">
        <v>1391</v>
      </c>
      <c r="D34" s="2" t="s">
        <v>1392</v>
      </c>
      <c r="E34" s="4" t="s">
        <v>1255</v>
      </c>
      <c r="F34" s="2" t="s">
        <v>1629</v>
      </c>
      <c r="G34" s="2" t="s">
        <v>1630</v>
      </c>
      <c r="H34" s="2" t="s">
        <v>269</v>
      </c>
      <c r="I34" s="2" t="s">
        <v>705</v>
      </c>
      <c r="J34" s="2" t="s">
        <v>30</v>
      </c>
      <c r="K34" s="2" t="s">
        <v>30</v>
      </c>
      <c r="L34" s="2" t="s">
        <v>275</v>
      </c>
      <c r="M34" s="2" t="s">
        <v>31</v>
      </c>
      <c r="N34" s="2" t="s">
        <v>412</v>
      </c>
      <c r="O34" s="2" t="s">
        <v>92</v>
      </c>
      <c r="P34" s="2" t="s">
        <v>1510</v>
      </c>
      <c r="Q34" s="2" t="s">
        <v>362</v>
      </c>
      <c r="R34" s="2" t="s">
        <v>355</v>
      </c>
      <c r="S34" s="2" t="s">
        <v>34</v>
      </c>
      <c r="T34" s="157">
        <v>4.3440000000000003</v>
      </c>
      <c r="U34" s="2" t="s">
        <v>1631</v>
      </c>
      <c r="V34" s="173">
        <v>1.43E-2</v>
      </c>
      <c r="W34" s="166">
        <v>2.938E-2</v>
      </c>
      <c r="X34" s="4" t="s">
        <v>361</v>
      </c>
      <c r="Y34" s="4" t="s">
        <v>92</v>
      </c>
      <c r="Z34" s="157">
        <v>3680645.16</v>
      </c>
      <c r="AA34" s="162">
        <v>1</v>
      </c>
      <c r="AB34" s="177">
        <v>108.57</v>
      </c>
      <c r="AD34" s="157">
        <v>3996.076</v>
      </c>
      <c r="AG34" s="2" t="s">
        <v>36</v>
      </c>
      <c r="AH34" s="166">
        <v>3.274E-3</v>
      </c>
      <c r="AI34" s="166">
        <v>2.3338002550751798E-2</v>
      </c>
      <c r="AJ34" s="166">
        <v>4.2548071918555898E-3</v>
      </c>
    </row>
    <row r="35" spans="1:36">
      <c r="A35" s="2">
        <v>233</v>
      </c>
      <c r="B35" s="2">
        <v>233</v>
      </c>
      <c r="C35" s="2" t="s">
        <v>1391</v>
      </c>
      <c r="D35" s="2" t="s">
        <v>1392</v>
      </c>
      <c r="E35" s="4" t="s">
        <v>1255</v>
      </c>
      <c r="F35" s="2" t="s">
        <v>1632</v>
      </c>
      <c r="G35" s="2" t="s">
        <v>1633</v>
      </c>
      <c r="H35" s="2" t="s">
        <v>269</v>
      </c>
      <c r="I35" s="2" t="s">
        <v>705</v>
      </c>
      <c r="J35" s="2" t="s">
        <v>30</v>
      </c>
      <c r="K35" s="2" t="s">
        <v>30</v>
      </c>
      <c r="L35" s="2" t="s">
        <v>275</v>
      </c>
      <c r="M35" s="2" t="s">
        <v>31</v>
      </c>
      <c r="N35" s="2" t="s">
        <v>412</v>
      </c>
      <c r="O35" s="2" t="s">
        <v>92</v>
      </c>
      <c r="P35" s="2" t="s">
        <v>1510</v>
      </c>
      <c r="Q35" s="2" t="s">
        <v>362</v>
      </c>
      <c r="R35" s="2" t="s">
        <v>355</v>
      </c>
      <c r="S35" s="2" t="s">
        <v>34</v>
      </c>
      <c r="T35" s="157">
        <v>1.5029999999999999</v>
      </c>
      <c r="U35" s="2" t="s">
        <v>1634</v>
      </c>
      <c r="V35" s="173">
        <v>2.1499999999999998E-2</v>
      </c>
      <c r="W35" s="166">
        <v>2.529E-2</v>
      </c>
      <c r="X35" s="4" t="s">
        <v>361</v>
      </c>
      <c r="Y35" s="4" t="s">
        <v>92</v>
      </c>
      <c r="Z35" s="157">
        <v>5912618.5300000003</v>
      </c>
      <c r="AA35" s="162">
        <v>1</v>
      </c>
      <c r="AB35" s="177">
        <v>117.88</v>
      </c>
      <c r="AD35" s="157">
        <v>6969.7950000000001</v>
      </c>
      <c r="AG35" s="2" t="s">
        <v>36</v>
      </c>
      <c r="AH35" s="166">
        <v>4.9569999999999996E-3</v>
      </c>
      <c r="AI35" s="166">
        <v>4.07051989755573E-2</v>
      </c>
      <c r="AJ35" s="166">
        <v>7.4210624054257199E-3</v>
      </c>
    </row>
    <row r="36" spans="1:36">
      <c r="A36" s="2">
        <v>233</v>
      </c>
      <c r="B36" s="2">
        <v>233</v>
      </c>
      <c r="C36" s="2" t="s">
        <v>1391</v>
      </c>
      <c r="D36" s="2" t="s">
        <v>1392</v>
      </c>
      <c r="E36" s="4" t="s">
        <v>1255</v>
      </c>
      <c r="F36" s="2" t="s">
        <v>1635</v>
      </c>
      <c r="G36" s="2" t="s">
        <v>1636</v>
      </c>
      <c r="H36" s="2" t="s">
        <v>269</v>
      </c>
      <c r="I36" s="2" t="s">
        <v>705</v>
      </c>
      <c r="J36" s="2" t="s">
        <v>30</v>
      </c>
      <c r="K36" s="2" t="s">
        <v>30</v>
      </c>
      <c r="L36" s="2" t="s">
        <v>275</v>
      </c>
      <c r="M36" s="2" t="s">
        <v>31</v>
      </c>
      <c r="N36" s="2" t="s">
        <v>412</v>
      </c>
      <c r="O36" s="2" t="s">
        <v>92</v>
      </c>
      <c r="P36" s="2" t="s">
        <v>1510</v>
      </c>
      <c r="Q36" s="2" t="s">
        <v>362</v>
      </c>
      <c r="R36" s="2" t="s">
        <v>355</v>
      </c>
      <c r="S36" s="2" t="s">
        <v>34</v>
      </c>
      <c r="T36" s="157">
        <v>3.8889999999999998</v>
      </c>
      <c r="U36" s="2" t="s">
        <v>1637</v>
      </c>
      <c r="V36" s="173">
        <v>2.2499999999999999E-2</v>
      </c>
      <c r="W36" s="166">
        <v>2.9579999999999999E-2</v>
      </c>
      <c r="X36" s="4" t="s">
        <v>361</v>
      </c>
      <c r="Y36" s="4" t="s">
        <v>92</v>
      </c>
      <c r="Z36" s="157">
        <v>2982423.88</v>
      </c>
      <c r="AA36" s="162">
        <v>1</v>
      </c>
      <c r="AB36" s="177">
        <v>114.42</v>
      </c>
      <c r="AD36" s="157">
        <v>3412.489</v>
      </c>
      <c r="AG36" s="2" t="s">
        <v>36</v>
      </c>
      <c r="AH36" s="166">
        <v>2.5349999999999999E-3</v>
      </c>
      <c r="AI36" s="166">
        <v>1.9929720413376501E-2</v>
      </c>
      <c r="AJ36" s="166">
        <v>3.6334351049153498E-3</v>
      </c>
    </row>
    <row r="37" spans="1:36">
      <c r="A37" s="2">
        <v>233</v>
      </c>
      <c r="B37" s="2">
        <v>233</v>
      </c>
      <c r="C37" s="2" t="s">
        <v>1391</v>
      </c>
      <c r="D37" s="2" t="s">
        <v>1392</v>
      </c>
      <c r="E37" s="4" t="s">
        <v>1255</v>
      </c>
      <c r="F37" s="2" t="s">
        <v>1638</v>
      </c>
      <c r="G37" s="2" t="s">
        <v>1639</v>
      </c>
      <c r="H37" s="2" t="s">
        <v>269</v>
      </c>
      <c r="I37" s="2" t="s">
        <v>705</v>
      </c>
      <c r="J37" s="2" t="s">
        <v>30</v>
      </c>
      <c r="K37" s="2" t="s">
        <v>30</v>
      </c>
      <c r="L37" s="2" t="s">
        <v>275</v>
      </c>
      <c r="M37" s="2" t="s">
        <v>31</v>
      </c>
      <c r="N37" s="2" t="s">
        <v>412</v>
      </c>
      <c r="O37" s="2" t="s">
        <v>92</v>
      </c>
      <c r="P37" s="2" t="s">
        <v>1510</v>
      </c>
      <c r="Q37" s="2" t="s">
        <v>362</v>
      </c>
      <c r="R37" s="2" t="s">
        <v>355</v>
      </c>
      <c r="S37" s="2" t="s">
        <v>34</v>
      </c>
      <c r="T37" s="157">
        <v>5.298</v>
      </c>
      <c r="U37" s="2" t="s">
        <v>1640</v>
      </c>
      <c r="V37" s="173">
        <v>2.5000000000000001E-3</v>
      </c>
      <c r="W37" s="166">
        <v>3.0300000000000001E-2</v>
      </c>
      <c r="X37" s="4" t="s">
        <v>361</v>
      </c>
      <c r="Y37" s="4" t="s">
        <v>92</v>
      </c>
      <c r="Z37" s="157">
        <v>1628000</v>
      </c>
      <c r="AA37" s="162">
        <v>1</v>
      </c>
      <c r="AB37" s="177">
        <v>97.92</v>
      </c>
      <c r="AD37" s="157">
        <v>1594.1379999999999</v>
      </c>
      <c r="AG37" s="2" t="s">
        <v>36</v>
      </c>
      <c r="AH37" s="166">
        <v>1.312E-3</v>
      </c>
      <c r="AI37" s="166">
        <v>9.3101290324602501E-3</v>
      </c>
      <c r="AJ37" s="166">
        <v>1.6973519425354301E-3</v>
      </c>
    </row>
    <row r="38" spans="1:36">
      <c r="A38" s="2">
        <v>233</v>
      </c>
      <c r="B38" s="2">
        <v>233</v>
      </c>
      <c r="C38" s="2" t="s">
        <v>1641</v>
      </c>
      <c r="D38" s="2" t="s">
        <v>1642</v>
      </c>
      <c r="E38" s="4" t="s">
        <v>1255</v>
      </c>
      <c r="F38" s="2" t="s">
        <v>1643</v>
      </c>
      <c r="G38" s="2" t="s">
        <v>1644</v>
      </c>
      <c r="H38" s="2" t="s">
        <v>269</v>
      </c>
      <c r="I38" s="2" t="s">
        <v>705</v>
      </c>
      <c r="J38" s="2" t="s">
        <v>30</v>
      </c>
      <c r="K38" s="2" t="s">
        <v>30</v>
      </c>
      <c r="L38" s="2" t="s">
        <v>275</v>
      </c>
      <c r="M38" s="2" t="s">
        <v>31</v>
      </c>
      <c r="N38" s="2" t="s">
        <v>412</v>
      </c>
      <c r="O38" s="2" t="s">
        <v>92</v>
      </c>
      <c r="P38" s="2" t="s">
        <v>69</v>
      </c>
      <c r="Q38" s="2" t="s">
        <v>362</v>
      </c>
      <c r="R38" s="2" t="s">
        <v>355</v>
      </c>
      <c r="S38" s="2" t="s">
        <v>34</v>
      </c>
      <c r="T38" s="157">
        <v>0.73499999999999999</v>
      </c>
      <c r="U38" s="2" t="s">
        <v>1645</v>
      </c>
      <c r="V38" s="173">
        <v>4.9500000000000002E-2</v>
      </c>
      <c r="W38" s="166">
        <v>3.3619999999999997E-2</v>
      </c>
      <c r="X38" s="4" t="s">
        <v>361</v>
      </c>
      <c r="Y38" s="4" t="s">
        <v>92</v>
      </c>
      <c r="Z38" s="157">
        <v>1604784.28</v>
      </c>
      <c r="AA38" s="162">
        <v>1</v>
      </c>
      <c r="AB38" s="177">
        <v>142.69999999999999</v>
      </c>
      <c r="AD38" s="157">
        <v>2290.027</v>
      </c>
      <c r="AG38" s="2" t="s">
        <v>36</v>
      </c>
      <c r="AH38" s="166">
        <v>3.6540000000000001E-3</v>
      </c>
      <c r="AI38" s="166">
        <v>1.33742836363831E-2</v>
      </c>
      <c r="AJ38" s="166">
        <v>2.4382977111366499E-3</v>
      </c>
    </row>
    <row r="39" spans="1:36">
      <c r="A39" s="2">
        <v>233</v>
      </c>
      <c r="B39" s="2">
        <v>233</v>
      </c>
      <c r="C39" s="2" t="s">
        <v>1646</v>
      </c>
      <c r="D39" s="2" t="s">
        <v>1647</v>
      </c>
      <c r="E39" s="4" t="s">
        <v>1255</v>
      </c>
      <c r="F39" s="2" t="s">
        <v>1648</v>
      </c>
      <c r="G39" s="2" t="s">
        <v>1649</v>
      </c>
      <c r="H39" s="2" t="s">
        <v>269</v>
      </c>
      <c r="I39" s="2" t="s">
        <v>919</v>
      </c>
      <c r="J39" s="2" t="s">
        <v>30</v>
      </c>
      <c r="K39" s="2" t="s">
        <v>30</v>
      </c>
      <c r="L39" s="2" t="s">
        <v>275</v>
      </c>
      <c r="M39" s="2" t="s">
        <v>31</v>
      </c>
      <c r="N39" s="2" t="s">
        <v>433</v>
      </c>
      <c r="O39" s="2" t="s">
        <v>92</v>
      </c>
      <c r="P39" s="2" t="s">
        <v>1502</v>
      </c>
      <c r="Q39" s="2" t="s">
        <v>362</v>
      </c>
      <c r="R39" s="2" t="s">
        <v>355</v>
      </c>
      <c r="S39" s="2" t="s">
        <v>34</v>
      </c>
      <c r="T39" s="157">
        <v>1.8009999999999999</v>
      </c>
      <c r="U39" s="2" t="s">
        <v>1650</v>
      </c>
      <c r="V39" s="173">
        <v>2.5000000000000001E-2</v>
      </c>
      <c r="W39" s="166">
        <v>5.6730000000000003E-2</v>
      </c>
      <c r="X39" s="4" t="s">
        <v>361</v>
      </c>
      <c r="Y39" s="4" t="s">
        <v>92</v>
      </c>
      <c r="Z39" s="157">
        <v>6003890.2999999998</v>
      </c>
      <c r="AA39" s="162">
        <v>1</v>
      </c>
      <c r="AB39" s="177">
        <v>96.34</v>
      </c>
      <c r="AD39" s="157">
        <v>5784.1480000000001</v>
      </c>
      <c r="AG39" s="2" t="s">
        <v>36</v>
      </c>
      <c r="AH39" s="166">
        <v>6.4489999999999999E-3</v>
      </c>
      <c r="AI39" s="166">
        <v>3.3780749812106603E-2</v>
      </c>
      <c r="AJ39" s="166">
        <v>6.1586494788602002E-3</v>
      </c>
    </row>
    <row r="40" spans="1:36">
      <c r="A40" s="2">
        <v>233</v>
      </c>
      <c r="B40" s="2">
        <v>233</v>
      </c>
      <c r="C40" s="2" t="s">
        <v>1410</v>
      </c>
      <c r="D40" s="2" t="s">
        <v>1411</v>
      </c>
      <c r="E40" s="4" t="s">
        <v>1255</v>
      </c>
      <c r="F40" s="2" t="s">
        <v>1651</v>
      </c>
      <c r="G40" s="2" t="s">
        <v>1652</v>
      </c>
      <c r="H40" s="2" t="s">
        <v>269</v>
      </c>
      <c r="I40" s="2" t="s">
        <v>705</v>
      </c>
      <c r="J40" s="2" t="s">
        <v>30</v>
      </c>
      <c r="K40" s="2" t="s">
        <v>30</v>
      </c>
      <c r="L40" s="2" t="s">
        <v>275</v>
      </c>
      <c r="M40" s="2" t="s">
        <v>31</v>
      </c>
      <c r="N40" s="2" t="s">
        <v>412</v>
      </c>
      <c r="O40" s="2" t="s">
        <v>92</v>
      </c>
      <c r="P40" s="2" t="s">
        <v>1564</v>
      </c>
      <c r="Q40" s="2" t="s">
        <v>364</v>
      </c>
      <c r="R40" s="2" t="s">
        <v>355</v>
      </c>
      <c r="S40" s="2" t="s">
        <v>34</v>
      </c>
      <c r="T40" s="157">
        <v>2.456</v>
      </c>
      <c r="U40" s="2" t="s">
        <v>1604</v>
      </c>
      <c r="V40" s="173">
        <v>1.77E-2</v>
      </c>
      <c r="W40" s="166">
        <v>2.7099999999999999E-2</v>
      </c>
      <c r="X40" s="4" t="s">
        <v>361</v>
      </c>
      <c r="Y40" s="4" t="s">
        <v>92</v>
      </c>
      <c r="Z40" s="157">
        <v>1600000</v>
      </c>
      <c r="AA40" s="162">
        <v>1</v>
      </c>
      <c r="AB40" s="177">
        <v>113.19</v>
      </c>
      <c r="AD40" s="157">
        <v>1811.04</v>
      </c>
      <c r="AG40" s="2" t="s">
        <v>36</v>
      </c>
      <c r="AH40" s="166">
        <v>6.1700000000000004E-4</v>
      </c>
      <c r="AI40" s="166">
        <v>1.05768887723035E-2</v>
      </c>
      <c r="AJ40" s="166">
        <v>1.9282979474352501E-3</v>
      </c>
    </row>
    <row r="41" spans="1:36">
      <c r="A41" s="2">
        <v>233</v>
      </c>
      <c r="B41" s="2">
        <v>233</v>
      </c>
      <c r="C41" s="2" t="s">
        <v>1410</v>
      </c>
      <c r="D41" s="2" t="s">
        <v>1411</v>
      </c>
      <c r="E41" s="4" t="s">
        <v>1255</v>
      </c>
      <c r="F41" s="2" t="s">
        <v>1653</v>
      </c>
      <c r="G41" s="2" t="s">
        <v>1654</v>
      </c>
      <c r="H41" s="2" t="s">
        <v>269</v>
      </c>
      <c r="I41" s="2" t="s">
        <v>705</v>
      </c>
      <c r="J41" s="2" t="s">
        <v>30</v>
      </c>
      <c r="K41" s="2" t="s">
        <v>30</v>
      </c>
      <c r="L41" s="2" t="s">
        <v>275</v>
      </c>
      <c r="M41" s="2" t="s">
        <v>31</v>
      </c>
      <c r="N41" s="2" t="s">
        <v>412</v>
      </c>
      <c r="O41" s="2" t="s">
        <v>92</v>
      </c>
      <c r="P41" s="2" t="s">
        <v>1564</v>
      </c>
      <c r="Q41" s="2" t="s">
        <v>362</v>
      </c>
      <c r="R41" s="2" t="s">
        <v>355</v>
      </c>
      <c r="S41" s="2" t="s">
        <v>34</v>
      </c>
      <c r="T41" s="157">
        <v>6.7329999999999997</v>
      </c>
      <c r="U41" s="2" t="s">
        <v>1655</v>
      </c>
      <c r="V41" s="173">
        <v>8.9999999999999993E-3</v>
      </c>
      <c r="W41" s="166">
        <v>3.3419999999999998E-2</v>
      </c>
      <c r="X41" s="4" t="s">
        <v>361</v>
      </c>
      <c r="Y41" s="4" t="s">
        <v>92</v>
      </c>
      <c r="Z41" s="157">
        <v>1862000</v>
      </c>
      <c r="AA41" s="162">
        <v>1</v>
      </c>
      <c r="AB41" s="177">
        <v>96.33</v>
      </c>
      <c r="AD41" s="157">
        <v>1793.665</v>
      </c>
      <c r="AG41" s="2" t="s">
        <v>36</v>
      </c>
      <c r="AH41" s="166">
        <v>6.7699999999999998E-4</v>
      </c>
      <c r="AI41" s="166">
        <v>1.04754124530757E-2</v>
      </c>
      <c r="AJ41" s="166">
        <v>1.9097975564135901E-3</v>
      </c>
    </row>
    <row r="42" spans="1:36">
      <c r="A42" s="2">
        <v>233</v>
      </c>
      <c r="B42" s="2">
        <v>233</v>
      </c>
      <c r="C42" s="2" t="s">
        <v>1414</v>
      </c>
      <c r="D42" s="2" t="s">
        <v>1415</v>
      </c>
      <c r="E42" s="4" t="s">
        <v>1255</v>
      </c>
      <c r="F42" s="2" t="s">
        <v>1656</v>
      </c>
      <c r="G42" s="2" t="s">
        <v>1657</v>
      </c>
      <c r="H42" s="2" t="s">
        <v>269</v>
      </c>
      <c r="I42" s="2" t="s">
        <v>705</v>
      </c>
      <c r="J42" s="2" t="s">
        <v>30</v>
      </c>
      <c r="K42" s="2" t="s">
        <v>30</v>
      </c>
      <c r="L42" s="2" t="s">
        <v>275</v>
      </c>
      <c r="M42" s="2" t="s">
        <v>31</v>
      </c>
      <c r="N42" s="2" t="s">
        <v>396</v>
      </c>
      <c r="O42" s="2" t="s">
        <v>92</v>
      </c>
      <c r="P42" s="2" t="s">
        <v>1506</v>
      </c>
      <c r="Q42" s="2" t="s">
        <v>362</v>
      </c>
      <c r="R42" s="2" t="s">
        <v>355</v>
      </c>
      <c r="S42" s="2" t="s">
        <v>34</v>
      </c>
      <c r="T42" s="157">
        <v>5.9710000000000001</v>
      </c>
      <c r="U42" s="2" t="s">
        <v>1658</v>
      </c>
      <c r="V42" s="173">
        <v>2.5899999999999999E-2</v>
      </c>
      <c r="W42" s="166">
        <v>2.3779999999999999E-2</v>
      </c>
      <c r="X42" s="4" t="s">
        <v>361</v>
      </c>
      <c r="Y42" s="4" t="s">
        <v>92</v>
      </c>
      <c r="Z42" s="157">
        <v>3900000</v>
      </c>
      <c r="AA42" s="162">
        <v>1</v>
      </c>
      <c r="AB42" s="177">
        <v>116.6</v>
      </c>
      <c r="AD42" s="157">
        <v>4547.3999999999996</v>
      </c>
      <c r="AG42" s="2" t="s">
        <v>36</v>
      </c>
      <c r="AH42" s="166">
        <v>3.6930000000000001E-3</v>
      </c>
      <c r="AI42" s="166">
        <v>2.65578584698145E-2</v>
      </c>
      <c r="AJ42" s="166">
        <v>4.8418268432321001E-3</v>
      </c>
    </row>
    <row r="43" spans="1:36">
      <c r="A43" s="2">
        <v>233</v>
      </c>
      <c r="B43" s="2">
        <v>233</v>
      </c>
      <c r="C43" s="2" t="s">
        <v>1659</v>
      </c>
      <c r="D43" s="2" t="s">
        <v>1660</v>
      </c>
      <c r="E43" s="4" t="s">
        <v>1255</v>
      </c>
      <c r="F43" s="2" t="s">
        <v>1661</v>
      </c>
      <c r="G43" s="2" t="s">
        <v>1662</v>
      </c>
      <c r="H43" s="2" t="s">
        <v>269</v>
      </c>
      <c r="I43" s="2" t="s">
        <v>919</v>
      </c>
      <c r="J43" s="2" t="s">
        <v>30</v>
      </c>
      <c r="K43" s="2" t="s">
        <v>30</v>
      </c>
      <c r="L43" s="2" t="s">
        <v>275</v>
      </c>
      <c r="M43" s="2" t="s">
        <v>31</v>
      </c>
      <c r="N43" s="2" t="s">
        <v>393</v>
      </c>
      <c r="O43" s="2" t="s">
        <v>92</v>
      </c>
      <c r="P43" s="2" t="s">
        <v>1510</v>
      </c>
      <c r="Q43" s="2" t="s">
        <v>362</v>
      </c>
      <c r="R43" s="2" t="s">
        <v>355</v>
      </c>
      <c r="S43" s="2" t="s">
        <v>34</v>
      </c>
      <c r="T43" s="157">
        <v>7.141</v>
      </c>
      <c r="U43" s="2" t="s">
        <v>1663</v>
      </c>
      <c r="V43" s="173">
        <v>4.6899999999999997E-2</v>
      </c>
      <c r="W43" s="166">
        <v>5.654E-2</v>
      </c>
      <c r="X43" s="4" t="s">
        <v>361</v>
      </c>
      <c r="Y43" s="4" t="s">
        <v>92</v>
      </c>
      <c r="Z43" s="157">
        <v>2799000</v>
      </c>
      <c r="AA43" s="162">
        <v>1</v>
      </c>
      <c r="AB43" s="177">
        <v>95.86</v>
      </c>
      <c r="AD43" s="157">
        <v>2683.1210000000001</v>
      </c>
      <c r="AG43" s="2" t="s">
        <v>36</v>
      </c>
      <c r="AH43" s="166">
        <v>5.5979999999999997E-3</v>
      </c>
      <c r="AI43" s="166">
        <v>1.5670044068815302E-2</v>
      </c>
      <c r="AJ43" s="166">
        <v>2.8568432990655102E-3</v>
      </c>
    </row>
    <row r="44" spans="1:36">
      <c r="A44" s="2">
        <v>233</v>
      </c>
      <c r="B44" s="2">
        <v>233</v>
      </c>
      <c r="C44" s="2" t="s">
        <v>1664</v>
      </c>
      <c r="D44" s="2" t="s">
        <v>1665</v>
      </c>
      <c r="E44" s="4" t="s">
        <v>1255</v>
      </c>
      <c r="F44" s="2" t="s">
        <v>1666</v>
      </c>
      <c r="G44" s="2" t="s">
        <v>1667</v>
      </c>
      <c r="H44" s="2" t="s">
        <v>269</v>
      </c>
      <c r="I44" s="2" t="s">
        <v>705</v>
      </c>
      <c r="J44" s="2" t="s">
        <v>30</v>
      </c>
      <c r="K44" s="2" t="s">
        <v>30</v>
      </c>
      <c r="L44" s="2" t="s">
        <v>275</v>
      </c>
      <c r="M44" s="2" t="s">
        <v>31</v>
      </c>
      <c r="N44" s="2" t="s">
        <v>412</v>
      </c>
      <c r="O44" s="2" t="s">
        <v>92</v>
      </c>
      <c r="P44" s="2" t="s">
        <v>1506</v>
      </c>
      <c r="Q44" s="2" t="s">
        <v>362</v>
      </c>
      <c r="R44" s="2" t="s">
        <v>355</v>
      </c>
      <c r="S44" s="2" t="s">
        <v>34</v>
      </c>
      <c r="T44" s="157">
        <v>1.2090000000000001</v>
      </c>
      <c r="U44" s="2" t="s">
        <v>1668</v>
      </c>
      <c r="V44" s="173">
        <v>2.1499999999999998E-2</v>
      </c>
      <c r="W44" s="166">
        <v>2.6550000000000001E-2</v>
      </c>
      <c r="X44" s="4" t="s">
        <v>361</v>
      </c>
      <c r="Y44" s="4" t="s">
        <v>92</v>
      </c>
      <c r="Z44" s="157">
        <v>2426974</v>
      </c>
      <c r="AA44" s="162">
        <v>1</v>
      </c>
      <c r="AB44" s="177">
        <v>117.11</v>
      </c>
      <c r="AD44" s="157">
        <v>2842.2289999999998</v>
      </c>
      <c r="AG44" s="2" t="s">
        <v>36</v>
      </c>
      <c r="AH44" s="166">
        <v>1.237E-3</v>
      </c>
      <c r="AI44" s="166">
        <v>1.6599270395709201E-2</v>
      </c>
      <c r="AJ44" s="166">
        <v>3.0262527783014499E-3</v>
      </c>
    </row>
    <row r="45" spans="1:36">
      <c r="A45" s="2">
        <v>233</v>
      </c>
      <c r="B45" s="2">
        <v>233</v>
      </c>
      <c r="C45" s="2" t="s">
        <v>1669</v>
      </c>
      <c r="D45" s="2" t="s">
        <v>1670</v>
      </c>
      <c r="E45" s="4" t="s">
        <v>1255</v>
      </c>
      <c r="F45" s="2" t="s">
        <v>1671</v>
      </c>
      <c r="G45" s="2" t="s">
        <v>1672</v>
      </c>
      <c r="H45" s="2" t="s">
        <v>269</v>
      </c>
      <c r="I45" s="2" t="s">
        <v>705</v>
      </c>
      <c r="J45" s="2" t="s">
        <v>30</v>
      </c>
      <c r="K45" s="2" t="s">
        <v>30</v>
      </c>
      <c r="L45" s="2" t="s">
        <v>275</v>
      </c>
      <c r="M45" s="2" t="s">
        <v>31</v>
      </c>
      <c r="N45" s="2" t="s">
        <v>395</v>
      </c>
      <c r="O45" s="2" t="s">
        <v>92</v>
      </c>
      <c r="P45" s="2" t="s">
        <v>69</v>
      </c>
      <c r="Q45" s="2" t="s">
        <v>362</v>
      </c>
      <c r="R45" s="2" t="s">
        <v>355</v>
      </c>
      <c r="S45" s="2" t="s">
        <v>34</v>
      </c>
      <c r="T45" s="157">
        <v>0.499</v>
      </c>
      <c r="U45" s="2" t="s">
        <v>1673</v>
      </c>
      <c r="V45" s="173">
        <v>4.3400000000000001E-2</v>
      </c>
      <c r="W45" s="166">
        <v>3.4680000000000002E-2</v>
      </c>
      <c r="X45" s="4" t="s">
        <v>361</v>
      </c>
      <c r="Y45" s="4" t="s">
        <v>92</v>
      </c>
      <c r="Z45" s="157">
        <v>656653</v>
      </c>
      <c r="AA45" s="162">
        <v>1</v>
      </c>
      <c r="AB45" s="177">
        <v>115.84</v>
      </c>
      <c r="AC45" s="157">
        <v>16.433</v>
      </c>
      <c r="AD45" s="157">
        <v>777.1</v>
      </c>
      <c r="AG45" s="2" t="s">
        <v>36</v>
      </c>
      <c r="AH45" s="166">
        <v>1.5100000000000001E-3</v>
      </c>
      <c r="AI45" s="166">
        <v>4.5384404247781496E-3</v>
      </c>
      <c r="AJ45" s="166">
        <v>8.2741395357899402E-4</v>
      </c>
    </row>
    <row r="46" spans="1:36">
      <c r="A46" s="2">
        <v>233</v>
      </c>
      <c r="B46" s="2">
        <v>233</v>
      </c>
      <c r="C46" s="2" t="s">
        <v>1674</v>
      </c>
      <c r="D46" s="2" t="s">
        <v>1675</v>
      </c>
      <c r="E46" s="4" t="s">
        <v>1255</v>
      </c>
      <c r="F46" s="2" t="s">
        <v>1676</v>
      </c>
      <c r="G46" s="2" t="s">
        <v>1677</v>
      </c>
      <c r="H46" s="2" t="s">
        <v>269</v>
      </c>
      <c r="I46" s="2" t="s">
        <v>919</v>
      </c>
      <c r="J46" s="2" t="s">
        <v>30</v>
      </c>
      <c r="K46" s="2" t="s">
        <v>30</v>
      </c>
      <c r="L46" s="2" t="s">
        <v>275</v>
      </c>
      <c r="M46" s="2" t="s">
        <v>31</v>
      </c>
      <c r="N46" s="2" t="s">
        <v>388</v>
      </c>
      <c r="O46" s="2" t="s">
        <v>92</v>
      </c>
      <c r="P46" s="2" t="s">
        <v>1535</v>
      </c>
      <c r="Q46" s="2" t="s">
        <v>364</v>
      </c>
      <c r="R46" s="2" t="s">
        <v>355</v>
      </c>
      <c r="S46" s="2" t="s">
        <v>34</v>
      </c>
      <c r="T46" s="157">
        <v>4.2539999999999996</v>
      </c>
      <c r="U46" s="2" t="s">
        <v>1678</v>
      </c>
      <c r="V46" s="173">
        <v>6.7699999999999996E-2</v>
      </c>
      <c r="W46" s="166">
        <v>6.6390000000000005E-2</v>
      </c>
      <c r="X46" s="4" t="s">
        <v>361</v>
      </c>
      <c r="Y46" s="4" t="s">
        <v>92</v>
      </c>
      <c r="Z46" s="157">
        <v>3710000</v>
      </c>
      <c r="AA46" s="162">
        <v>1</v>
      </c>
      <c r="AB46" s="177">
        <v>102.69</v>
      </c>
      <c r="AD46" s="157">
        <v>3809.799</v>
      </c>
      <c r="AG46" s="2" t="s">
        <v>36</v>
      </c>
      <c r="AH46" s="166">
        <v>4.947E-3</v>
      </c>
      <c r="AI46" s="166">
        <v>2.2250099538294599E-2</v>
      </c>
      <c r="AJ46" s="166">
        <v>4.0564689856882703E-3</v>
      </c>
    </row>
    <row r="47" spans="1:36">
      <c r="A47" s="2">
        <v>233</v>
      </c>
      <c r="B47" s="2">
        <v>233</v>
      </c>
      <c r="C47" s="2" t="s">
        <v>1679</v>
      </c>
      <c r="D47" s="2" t="s">
        <v>1680</v>
      </c>
      <c r="E47" s="4" t="s">
        <v>1255</v>
      </c>
      <c r="F47" s="2" t="s">
        <v>1681</v>
      </c>
      <c r="G47" s="2" t="s">
        <v>1682</v>
      </c>
      <c r="H47" s="2" t="s">
        <v>269</v>
      </c>
      <c r="I47" s="2" t="s">
        <v>705</v>
      </c>
      <c r="J47" s="2" t="s">
        <v>30</v>
      </c>
      <c r="K47" s="2" t="s">
        <v>30</v>
      </c>
      <c r="L47" s="2" t="s">
        <v>275</v>
      </c>
      <c r="M47" s="2" t="s">
        <v>31</v>
      </c>
      <c r="N47" s="2" t="s">
        <v>426</v>
      </c>
      <c r="O47" s="2" t="s">
        <v>92</v>
      </c>
      <c r="P47" s="2" t="s">
        <v>1510</v>
      </c>
      <c r="Q47" s="2" t="s">
        <v>362</v>
      </c>
      <c r="R47" s="2" t="s">
        <v>355</v>
      </c>
      <c r="S47" s="2" t="s">
        <v>34</v>
      </c>
      <c r="T47" s="157">
        <v>0.95899999999999996</v>
      </c>
      <c r="U47" s="2" t="s">
        <v>1683</v>
      </c>
      <c r="V47" s="173">
        <v>1.7999999999999999E-2</v>
      </c>
      <c r="W47" s="166">
        <v>2.2749999999999999E-2</v>
      </c>
      <c r="X47" s="4" t="s">
        <v>361</v>
      </c>
      <c r="Y47" s="4" t="s">
        <v>92</v>
      </c>
      <c r="Z47" s="157">
        <v>1890383.31</v>
      </c>
      <c r="AA47" s="162">
        <v>1</v>
      </c>
      <c r="AB47" s="177">
        <v>115.47</v>
      </c>
      <c r="AD47" s="157">
        <v>2182.826</v>
      </c>
      <c r="AG47" s="2" t="s">
        <v>36</v>
      </c>
      <c r="AH47" s="166">
        <v>3.3249999999999998E-3</v>
      </c>
      <c r="AI47" s="166">
        <v>1.27482019534381E-2</v>
      </c>
      <c r="AJ47" s="166">
        <v>2.32415525864996E-3</v>
      </c>
    </row>
    <row r="48" spans="1:36">
      <c r="A48" s="2">
        <v>233</v>
      </c>
      <c r="B48" s="2">
        <v>233</v>
      </c>
      <c r="C48" s="2" t="s">
        <v>1414</v>
      </c>
      <c r="D48" s="2" t="s">
        <v>1415</v>
      </c>
      <c r="E48" s="4" t="s">
        <v>1255</v>
      </c>
      <c r="F48" s="2" t="s">
        <v>1684</v>
      </c>
      <c r="G48" s="2" t="s">
        <v>1685</v>
      </c>
      <c r="H48" s="2" t="s">
        <v>269</v>
      </c>
      <c r="I48" s="2" t="s">
        <v>706</v>
      </c>
      <c r="J48" s="2" t="s">
        <v>67</v>
      </c>
      <c r="K48" s="2" t="s">
        <v>30</v>
      </c>
      <c r="L48" s="2" t="s">
        <v>275</v>
      </c>
      <c r="M48" s="2" t="s">
        <v>68</v>
      </c>
      <c r="N48" s="2" t="s">
        <v>396</v>
      </c>
      <c r="O48" s="2" t="s">
        <v>92</v>
      </c>
      <c r="P48" s="2" t="s">
        <v>1132</v>
      </c>
      <c r="Q48" s="2" t="s">
        <v>362</v>
      </c>
      <c r="R48" s="2" t="s">
        <v>355</v>
      </c>
      <c r="S48" s="2" t="s">
        <v>71</v>
      </c>
      <c r="T48" s="157">
        <v>6.21</v>
      </c>
      <c r="U48" s="2" t="s">
        <v>1686</v>
      </c>
      <c r="V48" s="173">
        <v>3.2550000000000003E-2</v>
      </c>
      <c r="W48" s="166">
        <v>6.3950000000000007E-2</v>
      </c>
      <c r="X48" s="4" t="s">
        <v>361</v>
      </c>
      <c r="Y48" s="4" t="s">
        <v>92</v>
      </c>
      <c r="Z48" s="157">
        <v>2800000</v>
      </c>
      <c r="AA48" s="162">
        <v>3.71</v>
      </c>
      <c r="AB48" s="177">
        <v>92.936999999999998</v>
      </c>
      <c r="AD48" s="157">
        <v>9654.2960000000003</v>
      </c>
      <c r="AG48" s="2" t="s">
        <v>36</v>
      </c>
      <c r="AH48" s="166">
        <v>2.8E-3</v>
      </c>
      <c r="AI48" s="166">
        <v>5.6383299271724099E-2</v>
      </c>
      <c r="AJ48" s="166">
        <v>1.0279374454612401E-2</v>
      </c>
    </row>
    <row r="49" spans="1:36">
      <c r="A49" s="2">
        <v>233</v>
      </c>
      <c r="B49" s="2">
        <v>233</v>
      </c>
      <c r="C49" s="2" t="s">
        <v>1137</v>
      </c>
      <c r="D49" s="2" t="s">
        <v>1380</v>
      </c>
      <c r="E49" s="4" t="s">
        <v>1255</v>
      </c>
      <c r="F49" s="2" t="s">
        <v>1687</v>
      </c>
      <c r="G49" s="2" t="s">
        <v>1688</v>
      </c>
      <c r="H49" s="2" t="s">
        <v>269</v>
      </c>
      <c r="I49" s="2" t="s">
        <v>706</v>
      </c>
      <c r="J49" s="2" t="s">
        <v>67</v>
      </c>
      <c r="K49" s="2" t="s">
        <v>30</v>
      </c>
      <c r="L49" s="2" t="s">
        <v>275</v>
      </c>
      <c r="M49" s="2" t="s">
        <v>68</v>
      </c>
      <c r="N49" s="2" t="s">
        <v>396</v>
      </c>
      <c r="O49" s="2" t="s">
        <v>92</v>
      </c>
      <c r="P49" s="2" t="s">
        <v>1132</v>
      </c>
      <c r="Q49" s="2" t="s">
        <v>362</v>
      </c>
      <c r="R49" s="2" t="s">
        <v>355</v>
      </c>
      <c r="S49" s="2" t="s">
        <v>71</v>
      </c>
      <c r="T49" s="157">
        <v>5.4939999999999998</v>
      </c>
      <c r="U49" s="2" t="s">
        <v>1689</v>
      </c>
      <c r="V49" s="173">
        <v>3.2750000000000001E-2</v>
      </c>
      <c r="W49" s="166">
        <v>6.0199999999999997E-2</v>
      </c>
      <c r="X49" s="4" t="s">
        <v>361</v>
      </c>
      <c r="Y49" s="4" t="s">
        <v>92</v>
      </c>
      <c r="Z49" s="157">
        <v>2700000</v>
      </c>
      <c r="AA49" s="162">
        <v>3.71</v>
      </c>
      <c r="AB49" s="177">
        <v>95.256</v>
      </c>
      <c r="AD49" s="157">
        <v>9541.7939999999999</v>
      </c>
      <c r="AG49" s="2" t="s">
        <v>36</v>
      </c>
      <c r="AH49" s="166">
        <v>3.5999999999999999E-3</v>
      </c>
      <c r="AI49" s="166">
        <v>5.5726261567566701E-2</v>
      </c>
      <c r="AJ49" s="166">
        <v>1.0159588335689401E-2</v>
      </c>
    </row>
    <row r="50" spans="1:36">
      <c r="A50" s="2">
        <v>233</v>
      </c>
      <c r="B50" s="2">
        <v>233</v>
      </c>
      <c r="C50" s="2" t="s">
        <v>1383</v>
      </c>
      <c r="D50" s="2" t="s">
        <v>1384</v>
      </c>
      <c r="E50" s="4" t="s">
        <v>1255</v>
      </c>
      <c r="F50" s="2" t="s">
        <v>1690</v>
      </c>
      <c r="G50" s="2" t="s">
        <v>1691</v>
      </c>
      <c r="H50" s="2" t="s">
        <v>269</v>
      </c>
      <c r="I50" s="2" t="s">
        <v>706</v>
      </c>
      <c r="J50" s="2" t="s">
        <v>67</v>
      </c>
      <c r="K50" s="2" t="s">
        <v>30</v>
      </c>
      <c r="L50" s="2" t="s">
        <v>275</v>
      </c>
      <c r="M50" s="2" t="s">
        <v>68</v>
      </c>
      <c r="N50" s="2" t="s">
        <v>396</v>
      </c>
      <c r="O50" s="2" t="s">
        <v>92</v>
      </c>
      <c r="P50" s="2" t="s">
        <v>1132</v>
      </c>
      <c r="Q50" s="2" t="s">
        <v>362</v>
      </c>
      <c r="R50" s="2" t="s">
        <v>355</v>
      </c>
      <c r="S50" s="2" t="s">
        <v>71</v>
      </c>
      <c r="T50" s="157">
        <v>5.6210000000000004</v>
      </c>
      <c r="U50" s="2" t="s">
        <v>1692</v>
      </c>
      <c r="V50" s="173">
        <v>3.0769999999999999E-2</v>
      </c>
      <c r="W50" s="166">
        <v>6.5729999999999997E-2</v>
      </c>
      <c r="X50" s="4" t="s">
        <v>361</v>
      </c>
      <c r="Y50" s="4" t="s">
        <v>92</v>
      </c>
      <c r="Z50" s="157">
        <v>600000</v>
      </c>
      <c r="AA50" s="162">
        <v>3.71</v>
      </c>
      <c r="AB50" s="177">
        <v>95.016999999999996</v>
      </c>
      <c r="AD50" s="157">
        <v>2115.078</v>
      </c>
      <c r="AG50" s="2" t="s">
        <v>36</v>
      </c>
      <c r="AH50" s="166">
        <v>1E-3</v>
      </c>
      <c r="AI50" s="166">
        <v>1.2352542844464701E-2</v>
      </c>
      <c r="AJ50" s="166">
        <v>2.2520216980025801E-3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44"/>
  <sheetViews>
    <sheetView rightToLeft="1" topLeftCell="J1" zoomScale="70" zoomScaleNormal="70" workbookViewId="0">
      <selection activeCell="Z2" sqref="Z2:Z44"/>
    </sheetView>
  </sheetViews>
  <sheetFormatPr defaultColWidth="9" defaultRowHeight="14.25"/>
  <cols>
    <col min="1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6" width="11.625" style="4" customWidth="1"/>
    <col min="27" max="27" width="9" style="4" customWidth="1"/>
    <col min="28" max="16384" width="9" style="4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97</v>
      </c>
      <c r="E1" s="22" t="s">
        <v>98</v>
      </c>
      <c r="F1" s="22" t="s">
        <v>3</v>
      </c>
      <c r="G1" s="22" t="s">
        <v>4</v>
      </c>
      <c r="H1" s="22" t="s">
        <v>99</v>
      </c>
      <c r="I1" s="22" t="s">
        <v>5</v>
      </c>
      <c r="J1" s="22" t="s">
        <v>6</v>
      </c>
      <c r="K1" s="22" t="s">
        <v>7</v>
      </c>
      <c r="L1" s="22" t="s">
        <v>274</v>
      </c>
      <c r="M1" s="22" t="s">
        <v>8</v>
      </c>
      <c r="N1" s="22" t="s">
        <v>100</v>
      </c>
      <c r="O1" s="22" t="s">
        <v>78</v>
      </c>
      <c r="P1" s="22" t="s">
        <v>11</v>
      </c>
      <c r="Q1" s="22" t="s">
        <v>17</v>
      </c>
      <c r="R1" s="161" t="s">
        <v>18</v>
      </c>
      <c r="S1" s="169" t="s">
        <v>19</v>
      </c>
      <c r="T1" s="22" t="s">
        <v>16</v>
      </c>
      <c r="U1" s="22" t="s">
        <v>20</v>
      </c>
      <c r="V1" s="165" t="s">
        <v>23</v>
      </c>
      <c r="W1" s="165" t="s">
        <v>24</v>
      </c>
      <c r="X1" s="165" t="s">
        <v>25</v>
      </c>
    </row>
    <row r="2" spans="1:26">
      <c r="A2" s="21">
        <v>233</v>
      </c>
      <c r="B2" s="21">
        <v>233</v>
      </c>
      <c r="C2" s="21" t="s">
        <v>1328</v>
      </c>
      <c r="D2" s="21" t="s">
        <v>1329</v>
      </c>
      <c r="E2" s="21" t="s">
        <v>1255</v>
      </c>
      <c r="F2" s="21" t="s">
        <v>1330</v>
      </c>
      <c r="G2" s="21" t="s">
        <v>1331</v>
      </c>
      <c r="H2" s="21" t="s">
        <v>269</v>
      </c>
      <c r="I2" s="21" t="s">
        <v>882</v>
      </c>
      <c r="J2" s="21" t="s">
        <v>30</v>
      </c>
      <c r="K2" s="21" t="s">
        <v>30</v>
      </c>
      <c r="L2" s="23" t="s">
        <v>275</v>
      </c>
      <c r="M2" s="21" t="s">
        <v>31</v>
      </c>
      <c r="N2" s="23" t="s">
        <v>394</v>
      </c>
      <c r="O2" s="23" t="s">
        <v>92</v>
      </c>
      <c r="P2" s="21" t="s">
        <v>34</v>
      </c>
      <c r="Q2" s="160">
        <v>3867</v>
      </c>
      <c r="R2" s="178">
        <v>1</v>
      </c>
      <c r="S2" s="179">
        <v>74080</v>
      </c>
      <c r="T2" s="23"/>
      <c r="U2" s="160">
        <v>2864.674</v>
      </c>
      <c r="V2" s="180">
        <v>8.7000000000000001E-5</v>
      </c>
      <c r="W2" s="180">
        <v>2.1779242738346399E-2</v>
      </c>
      <c r="X2" s="180">
        <v>3.0501503130532502E-3</v>
      </c>
      <c r="Y2" s="193">
        <f>(U2/R2-T2)/Q2*100000</f>
        <v>74080.010343935865</v>
      </c>
      <c r="Z2" s="170"/>
    </row>
    <row r="3" spans="1:26">
      <c r="A3" s="21">
        <v>233</v>
      </c>
      <c r="B3" s="21">
        <v>233</v>
      </c>
      <c r="C3" s="21" t="s">
        <v>1332</v>
      </c>
      <c r="D3" s="21" t="s">
        <v>1333</v>
      </c>
      <c r="E3" s="21" t="s">
        <v>1255</v>
      </c>
      <c r="F3" s="21" t="s">
        <v>1334</v>
      </c>
      <c r="G3" s="21" t="s">
        <v>1335</v>
      </c>
      <c r="H3" s="21" t="s">
        <v>269</v>
      </c>
      <c r="I3" s="21" t="s">
        <v>882</v>
      </c>
      <c r="J3" s="21" t="s">
        <v>30</v>
      </c>
      <c r="K3" s="21" t="s">
        <v>30</v>
      </c>
      <c r="L3" s="23" t="s">
        <v>275</v>
      </c>
      <c r="M3" s="21" t="s">
        <v>31</v>
      </c>
      <c r="N3" s="23" t="s">
        <v>412</v>
      </c>
      <c r="O3" s="23" t="s">
        <v>92</v>
      </c>
      <c r="P3" s="21" t="s">
        <v>34</v>
      </c>
      <c r="Q3" s="160">
        <v>116736</v>
      </c>
      <c r="R3" s="178">
        <v>1</v>
      </c>
      <c r="S3" s="179">
        <v>2855</v>
      </c>
      <c r="T3" s="23"/>
      <c r="U3" s="160">
        <v>3332.8130000000001</v>
      </c>
      <c r="V3" s="180">
        <v>6.0499999999999996E-4</v>
      </c>
      <c r="W3" s="180">
        <v>2.5338362797307199E-2</v>
      </c>
      <c r="X3" s="180">
        <v>3.5485997445809801E-3</v>
      </c>
      <c r="Y3" s="193">
        <f t="shared" ref="Y3:Y44" si="0">(U3/R3-T3)/Q3*100000</f>
        <v>2855.0001713267543</v>
      </c>
      <c r="Z3" s="170"/>
    </row>
    <row r="4" spans="1:26">
      <c r="A4" s="21">
        <v>233</v>
      </c>
      <c r="B4" s="21">
        <v>233</v>
      </c>
      <c r="C4" s="21" t="s">
        <v>1336</v>
      </c>
      <c r="D4" s="21" t="s">
        <v>1337</v>
      </c>
      <c r="E4" s="21" t="s">
        <v>1255</v>
      </c>
      <c r="F4" s="21" t="s">
        <v>1338</v>
      </c>
      <c r="G4" s="21" t="s">
        <v>1339</v>
      </c>
      <c r="H4" s="21" t="s">
        <v>269</v>
      </c>
      <c r="I4" s="21" t="s">
        <v>882</v>
      </c>
      <c r="J4" s="21" t="s">
        <v>30</v>
      </c>
      <c r="K4" s="21" t="s">
        <v>30</v>
      </c>
      <c r="L4" s="23" t="s">
        <v>275</v>
      </c>
      <c r="M4" s="21" t="s">
        <v>31</v>
      </c>
      <c r="N4" s="23" t="s">
        <v>412</v>
      </c>
      <c r="O4" s="23" t="s">
        <v>92</v>
      </c>
      <c r="P4" s="21" t="s">
        <v>34</v>
      </c>
      <c r="Q4" s="160">
        <v>62200</v>
      </c>
      <c r="R4" s="178">
        <v>1</v>
      </c>
      <c r="S4" s="179">
        <v>1609</v>
      </c>
      <c r="T4" s="23"/>
      <c r="U4" s="160">
        <v>1000.798</v>
      </c>
      <c r="V4" s="180">
        <v>1.3200000000000001E-4</v>
      </c>
      <c r="W4" s="180">
        <v>7.6087630276802298E-3</v>
      </c>
      <c r="X4" s="180">
        <v>1.0655958616029E-3</v>
      </c>
      <c r="Y4" s="193">
        <f t="shared" si="0"/>
        <v>1609</v>
      </c>
      <c r="Z4" s="170"/>
    </row>
    <row r="5" spans="1:26">
      <c r="A5" s="21">
        <v>233</v>
      </c>
      <c r="B5" s="21">
        <v>233</v>
      </c>
      <c r="C5" s="21" t="s">
        <v>1340</v>
      </c>
      <c r="D5" s="21" t="s">
        <v>1341</v>
      </c>
      <c r="E5" s="21" t="s">
        <v>1255</v>
      </c>
      <c r="F5" s="21" t="s">
        <v>1342</v>
      </c>
      <c r="G5" s="21" t="s">
        <v>1343</v>
      </c>
      <c r="H5" s="21" t="s">
        <v>269</v>
      </c>
      <c r="I5" s="21" t="s">
        <v>882</v>
      </c>
      <c r="J5" s="21" t="s">
        <v>30</v>
      </c>
      <c r="K5" s="21" t="s">
        <v>174</v>
      </c>
      <c r="L5" s="23" t="s">
        <v>275</v>
      </c>
      <c r="M5" s="21" t="s">
        <v>31</v>
      </c>
      <c r="N5" s="23" t="s">
        <v>389</v>
      </c>
      <c r="O5" s="23" t="s">
        <v>92</v>
      </c>
      <c r="P5" s="21" t="s">
        <v>34</v>
      </c>
      <c r="Q5" s="160">
        <v>29706.1</v>
      </c>
      <c r="R5" s="178">
        <v>1</v>
      </c>
      <c r="S5" s="179">
        <v>6254</v>
      </c>
      <c r="T5" s="23"/>
      <c r="U5" s="160">
        <v>1857.819</v>
      </c>
      <c r="V5" s="180">
        <v>2.5099999999999998E-4</v>
      </c>
      <c r="W5" s="180">
        <v>1.41244369773429E-2</v>
      </c>
      <c r="X5" s="180">
        <v>1.97810623563555E-3</v>
      </c>
      <c r="Y5" s="193">
        <f t="shared" si="0"/>
        <v>6253.9983370418868</v>
      </c>
      <c r="Z5" s="170"/>
    </row>
    <row r="6" spans="1:26">
      <c r="A6" s="21">
        <v>233</v>
      </c>
      <c r="B6" s="21">
        <v>233</v>
      </c>
      <c r="C6" s="21" t="s">
        <v>1344</v>
      </c>
      <c r="D6" s="21" t="s">
        <v>1345</v>
      </c>
      <c r="E6" s="21" t="s">
        <v>1255</v>
      </c>
      <c r="F6" s="21" t="s">
        <v>1346</v>
      </c>
      <c r="G6" s="21" t="s">
        <v>1347</v>
      </c>
      <c r="H6" s="21" t="s">
        <v>269</v>
      </c>
      <c r="I6" s="21" t="s">
        <v>882</v>
      </c>
      <c r="J6" s="21" t="s">
        <v>30</v>
      </c>
      <c r="K6" s="21" t="s">
        <v>30</v>
      </c>
      <c r="L6" s="23" t="s">
        <v>275</v>
      </c>
      <c r="M6" s="21" t="s">
        <v>31</v>
      </c>
      <c r="N6" s="23" t="s">
        <v>389</v>
      </c>
      <c r="O6" s="23" t="s">
        <v>92</v>
      </c>
      <c r="P6" s="21" t="s">
        <v>34</v>
      </c>
      <c r="Q6" s="160">
        <v>462305</v>
      </c>
      <c r="R6" s="178">
        <v>1</v>
      </c>
      <c r="S6" s="179">
        <v>1348</v>
      </c>
      <c r="T6" s="23"/>
      <c r="U6" s="160">
        <v>6231.8710000000001</v>
      </c>
      <c r="V6" s="180">
        <v>8.4099999999999995E-4</v>
      </c>
      <c r="W6" s="180">
        <v>4.7379024240234102E-2</v>
      </c>
      <c r="X6" s="180">
        <v>6.6353613555197397E-3</v>
      </c>
      <c r="Y6" s="193">
        <f t="shared" si="0"/>
        <v>1347.9999134770335</v>
      </c>
      <c r="Z6" s="170"/>
    </row>
    <row r="7" spans="1:26">
      <c r="A7" s="21">
        <v>233</v>
      </c>
      <c r="B7" s="21">
        <v>233</v>
      </c>
      <c r="C7" s="21" t="s">
        <v>1348</v>
      </c>
      <c r="D7" s="21" t="s">
        <v>1349</v>
      </c>
      <c r="E7" s="21" t="s">
        <v>1255</v>
      </c>
      <c r="F7" s="21" t="s">
        <v>1350</v>
      </c>
      <c r="G7" s="21" t="s">
        <v>1351</v>
      </c>
      <c r="H7" s="21" t="s">
        <v>269</v>
      </c>
      <c r="I7" s="21" t="s">
        <v>882</v>
      </c>
      <c r="J7" s="21" t="s">
        <v>30</v>
      </c>
      <c r="K7" s="21" t="s">
        <v>30</v>
      </c>
      <c r="L7" s="23" t="s">
        <v>275</v>
      </c>
      <c r="M7" s="21" t="s">
        <v>31</v>
      </c>
      <c r="N7" s="23" t="s">
        <v>395</v>
      </c>
      <c r="O7" s="23" t="s">
        <v>92</v>
      </c>
      <c r="P7" s="21" t="s">
        <v>34</v>
      </c>
      <c r="Q7" s="160">
        <v>6080</v>
      </c>
      <c r="R7" s="178">
        <v>1</v>
      </c>
      <c r="S7" s="179">
        <v>24250</v>
      </c>
      <c r="T7" s="23"/>
      <c r="U7" s="160">
        <v>1474.4</v>
      </c>
      <c r="V7" s="180">
        <v>4.8099999999999998E-4</v>
      </c>
      <c r="W7" s="180">
        <v>1.12094150947661E-2</v>
      </c>
      <c r="X7" s="180">
        <v>1.56986178863997E-3</v>
      </c>
      <c r="Y7" s="193">
        <f t="shared" si="0"/>
        <v>24250.000000000004</v>
      </c>
      <c r="Z7" s="170"/>
    </row>
    <row r="8" spans="1:26">
      <c r="A8" s="21">
        <v>233</v>
      </c>
      <c r="B8" s="21">
        <v>233</v>
      </c>
      <c r="C8" s="21" t="s">
        <v>1352</v>
      </c>
      <c r="D8" s="21" t="s">
        <v>1353</v>
      </c>
      <c r="E8" s="21" t="s">
        <v>1255</v>
      </c>
      <c r="F8" s="21" t="s">
        <v>1354</v>
      </c>
      <c r="G8" s="21" t="s">
        <v>1355</v>
      </c>
      <c r="H8" s="21" t="s">
        <v>269</v>
      </c>
      <c r="I8" s="21" t="s">
        <v>882</v>
      </c>
      <c r="J8" s="21" t="s">
        <v>30</v>
      </c>
      <c r="K8" s="21" t="s">
        <v>30</v>
      </c>
      <c r="L8" s="23" t="s">
        <v>275</v>
      </c>
      <c r="M8" s="21" t="s">
        <v>31</v>
      </c>
      <c r="N8" s="23" t="s">
        <v>433</v>
      </c>
      <c r="O8" s="23" t="s">
        <v>92</v>
      </c>
      <c r="P8" s="21" t="s">
        <v>34</v>
      </c>
      <c r="Q8" s="160">
        <v>437025</v>
      </c>
      <c r="R8" s="178">
        <v>1</v>
      </c>
      <c r="S8" s="179">
        <v>428.6</v>
      </c>
      <c r="T8" s="159">
        <v>64.260000000000005</v>
      </c>
      <c r="U8" s="160">
        <v>1937.3489999999999</v>
      </c>
      <c r="V8" s="180">
        <v>1.5799999999999999E-4</v>
      </c>
      <c r="W8" s="180">
        <v>1.4729073283716299E-2</v>
      </c>
      <c r="X8" s="180">
        <v>2.06278464439956E-3</v>
      </c>
      <c r="Y8" s="193">
        <f>(U8/R8-T8)/Q8*100000</f>
        <v>428.59996567702075</v>
      </c>
      <c r="Z8" s="170"/>
    </row>
    <row r="9" spans="1:26">
      <c r="A9" s="21">
        <v>233</v>
      </c>
      <c r="B9" s="21">
        <v>233</v>
      </c>
      <c r="C9" s="21" t="s">
        <v>1356</v>
      </c>
      <c r="D9" s="21" t="s">
        <v>1357</v>
      </c>
      <c r="E9" s="21" t="s">
        <v>1255</v>
      </c>
      <c r="F9" s="21" t="s">
        <v>1358</v>
      </c>
      <c r="G9" s="21" t="s">
        <v>1359</v>
      </c>
      <c r="H9" s="21" t="s">
        <v>269</v>
      </c>
      <c r="I9" s="21" t="s">
        <v>882</v>
      </c>
      <c r="J9" s="21" t="s">
        <v>30</v>
      </c>
      <c r="K9" s="21" t="s">
        <v>30</v>
      </c>
      <c r="L9" s="23" t="s">
        <v>275</v>
      </c>
      <c r="M9" s="21" t="s">
        <v>31</v>
      </c>
      <c r="N9" s="23" t="s">
        <v>395</v>
      </c>
      <c r="O9" s="23" t="s">
        <v>92</v>
      </c>
      <c r="P9" s="21" t="s">
        <v>34</v>
      </c>
      <c r="Q9" s="160">
        <v>8346</v>
      </c>
      <c r="R9" s="178">
        <v>1</v>
      </c>
      <c r="S9" s="179">
        <v>33200</v>
      </c>
      <c r="T9" s="23"/>
      <c r="U9" s="160">
        <v>2770.8719999999998</v>
      </c>
      <c r="V9" s="180">
        <v>4.2499999999999998E-4</v>
      </c>
      <c r="W9" s="180">
        <v>2.10660976820841E-2</v>
      </c>
      <c r="X9" s="180">
        <v>2.9502754164490099E-3</v>
      </c>
      <c r="Y9" s="193">
        <f t="shared" si="0"/>
        <v>33199.999999999993</v>
      </c>
      <c r="Z9" s="170"/>
    </row>
    <row r="10" spans="1:26">
      <c r="A10" s="21">
        <v>233</v>
      </c>
      <c r="B10" s="21">
        <v>233</v>
      </c>
      <c r="C10" s="21" t="s">
        <v>1360</v>
      </c>
      <c r="D10" s="21" t="s">
        <v>1361</v>
      </c>
      <c r="E10" s="21" t="s">
        <v>1255</v>
      </c>
      <c r="F10" s="21" t="s">
        <v>1362</v>
      </c>
      <c r="G10" s="21" t="s">
        <v>1363</v>
      </c>
      <c r="H10" s="21" t="s">
        <v>269</v>
      </c>
      <c r="I10" s="21" t="s">
        <v>882</v>
      </c>
      <c r="J10" s="21" t="s">
        <v>30</v>
      </c>
      <c r="K10" s="21" t="s">
        <v>30</v>
      </c>
      <c r="L10" s="23" t="s">
        <v>275</v>
      </c>
      <c r="M10" s="21" t="s">
        <v>31</v>
      </c>
      <c r="N10" s="23" t="s">
        <v>393</v>
      </c>
      <c r="O10" s="23" t="s">
        <v>92</v>
      </c>
      <c r="P10" s="21" t="s">
        <v>34</v>
      </c>
      <c r="Q10" s="160">
        <v>40425</v>
      </c>
      <c r="R10" s="178">
        <v>1</v>
      </c>
      <c r="S10" s="179">
        <v>4200</v>
      </c>
      <c r="T10" s="23"/>
      <c r="U10" s="160">
        <v>1697.85</v>
      </c>
      <c r="V10" s="180">
        <v>1.6100000000000001E-4</v>
      </c>
      <c r="W10" s="180">
        <v>1.29082375329955E-2</v>
      </c>
      <c r="X10" s="180">
        <v>1.80777932572055E-3</v>
      </c>
      <c r="Y10" s="193">
        <f t="shared" si="0"/>
        <v>4200</v>
      </c>
      <c r="Z10" s="170"/>
    </row>
    <row r="11" spans="1:26">
      <c r="A11" s="21">
        <v>233</v>
      </c>
      <c r="B11" s="21">
        <v>233</v>
      </c>
      <c r="C11" s="21" t="s">
        <v>1364</v>
      </c>
      <c r="D11" s="21" t="s">
        <v>1365</v>
      </c>
      <c r="E11" s="21" t="s">
        <v>1255</v>
      </c>
      <c r="F11" s="21" t="s">
        <v>1366</v>
      </c>
      <c r="G11" s="21" t="s">
        <v>1367</v>
      </c>
      <c r="H11" s="21" t="s">
        <v>269</v>
      </c>
      <c r="I11" s="21" t="s">
        <v>882</v>
      </c>
      <c r="J11" s="21" t="s">
        <v>30</v>
      </c>
      <c r="K11" s="21" t="s">
        <v>174</v>
      </c>
      <c r="L11" s="23" t="s">
        <v>275</v>
      </c>
      <c r="M11" s="21" t="s">
        <v>31</v>
      </c>
      <c r="N11" s="23" t="s">
        <v>415</v>
      </c>
      <c r="O11" s="23" t="s">
        <v>92</v>
      </c>
      <c r="P11" s="21" t="s">
        <v>34</v>
      </c>
      <c r="Q11" s="160">
        <v>23000</v>
      </c>
      <c r="R11" s="178">
        <v>1</v>
      </c>
      <c r="S11" s="179">
        <v>6629</v>
      </c>
      <c r="T11" s="23"/>
      <c r="U11" s="160">
        <v>1524.67</v>
      </c>
      <c r="V11" s="180">
        <v>2.0000000000000002E-5</v>
      </c>
      <c r="W11" s="180">
        <v>1.1591602626517299E-2</v>
      </c>
      <c r="X11" s="180">
        <v>1.6233865798193901E-3</v>
      </c>
      <c r="Y11" s="193">
        <f t="shared" si="0"/>
        <v>6629</v>
      </c>
      <c r="Z11" s="170"/>
    </row>
    <row r="12" spans="1:26">
      <c r="A12" s="21">
        <v>233</v>
      </c>
      <c r="B12" s="21">
        <v>233</v>
      </c>
      <c r="C12" s="21" t="s">
        <v>1368</v>
      </c>
      <c r="D12" s="21" t="s">
        <v>1369</v>
      </c>
      <c r="E12" s="21" t="s">
        <v>1255</v>
      </c>
      <c r="F12" s="21" t="s">
        <v>1370</v>
      </c>
      <c r="G12" s="21" t="s">
        <v>1371</v>
      </c>
      <c r="H12" s="21" t="s">
        <v>269</v>
      </c>
      <c r="I12" s="21" t="s">
        <v>882</v>
      </c>
      <c r="J12" s="21" t="s">
        <v>30</v>
      </c>
      <c r="K12" s="21" t="s">
        <v>30</v>
      </c>
      <c r="L12" s="23" t="s">
        <v>275</v>
      </c>
      <c r="M12" s="21" t="s">
        <v>31</v>
      </c>
      <c r="N12" s="23" t="s">
        <v>424</v>
      </c>
      <c r="O12" s="23" t="s">
        <v>92</v>
      </c>
      <c r="P12" s="21" t="s">
        <v>34</v>
      </c>
      <c r="Q12" s="160">
        <v>102000</v>
      </c>
      <c r="R12" s="178">
        <v>1</v>
      </c>
      <c r="S12" s="179">
        <v>332.4</v>
      </c>
      <c r="T12" s="23"/>
      <c r="U12" s="160">
        <v>339.048</v>
      </c>
      <c r="V12" s="180">
        <v>8.1099999999999998E-4</v>
      </c>
      <c r="W12" s="180">
        <v>2.5776788992473302E-3</v>
      </c>
      <c r="X12" s="180">
        <v>3.6100006763076898E-4</v>
      </c>
      <c r="Y12" s="193">
        <f t="shared" si="0"/>
        <v>332.40000000000003</v>
      </c>
      <c r="Z12" s="170"/>
    </row>
    <row r="13" spans="1:26">
      <c r="A13" s="21">
        <v>233</v>
      </c>
      <c r="B13" s="21">
        <v>233</v>
      </c>
      <c r="C13" s="21" t="s">
        <v>1372</v>
      </c>
      <c r="D13" s="21" t="s">
        <v>1373</v>
      </c>
      <c r="E13" s="21" t="s">
        <v>1255</v>
      </c>
      <c r="F13" s="21" t="s">
        <v>1374</v>
      </c>
      <c r="G13" s="21" t="s">
        <v>1375</v>
      </c>
      <c r="H13" s="21" t="s">
        <v>269</v>
      </c>
      <c r="I13" s="21" t="s">
        <v>882</v>
      </c>
      <c r="J13" s="21" t="s">
        <v>30</v>
      </c>
      <c r="K13" s="21" t="s">
        <v>30</v>
      </c>
      <c r="L13" s="23" t="s">
        <v>275</v>
      </c>
      <c r="M13" s="21" t="s">
        <v>31</v>
      </c>
      <c r="N13" s="23" t="s">
        <v>395</v>
      </c>
      <c r="O13" s="23" t="s">
        <v>92</v>
      </c>
      <c r="P13" s="21" t="s">
        <v>34</v>
      </c>
      <c r="Q13" s="160">
        <v>170000</v>
      </c>
      <c r="R13" s="178">
        <v>1</v>
      </c>
      <c r="S13" s="179">
        <v>1373</v>
      </c>
      <c r="T13" s="23"/>
      <c r="U13" s="160">
        <v>2334.1</v>
      </c>
      <c r="V13" s="180">
        <v>5.2700000000000002E-4</v>
      </c>
      <c r="W13" s="180">
        <v>1.7745452911485101E-2</v>
      </c>
      <c r="X13" s="180">
        <v>2.4852240917421099E-3</v>
      </c>
      <c r="Y13" s="193">
        <f t="shared" si="0"/>
        <v>1373</v>
      </c>
      <c r="Z13" s="170"/>
    </row>
    <row r="14" spans="1:26">
      <c r="A14" s="21">
        <v>233</v>
      </c>
      <c r="B14" s="21">
        <v>233</v>
      </c>
      <c r="C14" s="21" t="s">
        <v>1376</v>
      </c>
      <c r="D14" s="21" t="s">
        <v>1377</v>
      </c>
      <c r="E14" s="21" t="s">
        <v>1255</v>
      </c>
      <c r="F14" s="21" t="s">
        <v>1378</v>
      </c>
      <c r="G14" s="21" t="s">
        <v>1379</v>
      </c>
      <c r="H14" s="21" t="s">
        <v>269</v>
      </c>
      <c r="I14" s="21" t="s">
        <v>882</v>
      </c>
      <c r="J14" s="21" t="s">
        <v>30</v>
      </c>
      <c r="K14" s="21" t="s">
        <v>30</v>
      </c>
      <c r="L14" s="23" t="s">
        <v>275</v>
      </c>
      <c r="M14" s="21" t="s">
        <v>31</v>
      </c>
      <c r="N14" s="23" t="s">
        <v>393</v>
      </c>
      <c r="O14" s="23" t="s">
        <v>92</v>
      </c>
      <c r="P14" s="21" t="s">
        <v>34</v>
      </c>
      <c r="Q14" s="160">
        <v>15372</v>
      </c>
      <c r="R14" s="178">
        <v>1</v>
      </c>
      <c r="S14" s="179">
        <v>6329</v>
      </c>
      <c r="T14" s="23"/>
      <c r="U14" s="160">
        <v>972.89400000000001</v>
      </c>
      <c r="V14" s="180">
        <v>1.94E-4</v>
      </c>
      <c r="W14" s="180">
        <v>7.3966164840461E-3</v>
      </c>
      <c r="X14" s="180">
        <v>1.0358850560320701E-3</v>
      </c>
      <c r="Y14" s="193">
        <f t="shared" si="0"/>
        <v>6329.0007806401245</v>
      </c>
      <c r="Z14" s="170"/>
    </row>
    <row r="15" spans="1:26">
      <c r="A15" s="21">
        <v>233</v>
      </c>
      <c r="B15" s="21">
        <v>233</v>
      </c>
      <c r="C15" s="21" t="s">
        <v>1137</v>
      </c>
      <c r="D15" s="21" t="s">
        <v>1380</v>
      </c>
      <c r="E15" s="21" t="s">
        <v>1255</v>
      </c>
      <c r="F15" s="21" t="s">
        <v>1381</v>
      </c>
      <c r="G15" s="21" t="s">
        <v>1382</v>
      </c>
      <c r="H15" s="21" t="s">
        <v>269</v>
      </c>
      <c r="I15" s="21" t="s">
        <v>882</v>
      </c>
      <c r="J15" s="21" t="s">
        <v>30</v>
      </c>
      <c r="K15" s="21" t="s">
        <v>30</v>
      </c>
      <c r="L15" s="23" t="s">
        <v>275</v>
      </c>
      <c r="M15" s="21" t="s">
        <v>31</v>
      </c>
      <c r="N15" s="23" t="s">
        <v>396</v>
      </c>
      <c r="O15" s="23" t="s">
        <v>92</v>
      </c>
      <c r="P15" s="21" t="s">
        <v>34</v>
      </c>
      <c r="Q15" s="160">
        <v>165110</v>
      </c>
      <c r="R15" s="178">
        <v>1</v>
      </c>
      <c r="S15" s="179">
        <v>3644</v>
      </c>
      <c r="T15" s="23"/>
      <c r="U15" s="160">
        <v>6016.6080000000002</v>
      </c>
      <c r="V15" s="180">
        <v>1.0900000000000001E-4</v>
      </c>
      <c r="W15" s="180">
        <v>4.5742445074780598E-2</v>
      </c>
      <c r="X15" s="180">
        <v>6.4061608955305804E-3</v>
      </c>
      <c r="Y15" s="193">
        <f t="shared" si="0"/>
        <v>3643.999757737266</v>
      </c>
      <c r="Z15" s="170"/>
    </row>
    <row r="16" spans="1:26">
      <c r="A16" s="21">
        <v>233</v>
      </c>
      <c r="B16" s="21">
        <v>233</v>
      </c>
      <c r="C16" s="21" t="s">
        <v>1383</v>
      </c>
      <c r="D16" s="21" t="s">
        <v>1384</v>
      </c>
      <c r="E16" s="21" t="s">
        <v>1255</v>
      </c>
      <c r="F16" s="21" t="s">
        <v>1385</v>
      </c>
      <c r="G16" s="21" t="s">
        <v>1386</v>
      </c>
      <c r="H16" s="21" t="s">
        <v>269</v>
      </c>
      <c r="I16" s="21" t="s">
        <v>882</v>
      </c>
      <c r="J16" s="21" t="s">
        <v>30</v>
      </c>
      <c r="K16" s="21" t="s">
        <v>30</v>
      </c>
      <c r="L16" s="23" t="s">
        <v>275</v>
      </c>
      <c r="M16" s="21" t="s">
        <v>31</v>
      </c>
      <c r="N16" s="23" t="s">
        <v>396</v>
      </c>
      <c r="O16" s="23" t="s">
        <v>92</v>
      </c>
      <c r="P16" s="21" t="s">
        <v>34</v>
      </c>
      <c r="Q16" s="160">
        <v>29059</v>
      </c>
      <c r="R16" s="178">
        <v>1</v>
      </c>
      <c r="S16" s="179">
        <v>14550</v>
      </c>
      <c r="T16" s="23"/>
      <c r="U16" s="160">
        <v>4228.0839999999998</v>
      </c>
      <c r="V16" s="180">
        <v>1.12E-4</v>
      </c>
      <c r="W16" s="180">
        <v>3.2144841438040299E-2</v>
      </c>
      <c r="X16" s="180">
        <v>4.5018368798772001E-3</v>
      </c>
      <c r="Y16" s="193">
        <f t="shared" si="0"/>
        <v>14549.998279362675</v>
      </c>
      <c r="Z16" s="170"/>
    </row>
    <row r="17" spans="1:26">
      <c r="A17" s="21">
        <v>233</v>
      </c>
      <c r="B17" s="21">
        <v>233</v>
      </c>
      <c r="C17" s="21" t="s">
        <v>1387</v>
      </c>
      <c r="D17" s="21" t="s">
        <v>1388</v>
      </c>
      <c r="E17" s="21" t="s">
        <v>1255</v>
      </c>
      <c r="F17" s="21" t="s">
        <v>1389</v>
      </c>
      <c r="G17" s="21" t="s">
        <v>1390</v>
      </c>
      <c r="H17" s="21" t="s">
        <v>269</v>
      </c>
      <c r="I17" s="21" t="s">
        <v>882</v>
      </c>
      <c r="J17" s="21" t="s">
        <v>30</v>
      </c>
      <c r="K17" s="21" t="s">
        <v>30</v>
      </c>
      <c r="L17" s="23" t="s">
        <v>275</v>
      </c>
      <c r="M17" s="21" t="s">
        <v>31</v>
      </c>
      <c r="N17" s="23" t="s">
        <v>425</v>
      </c>
      <c r="O17" s="23" t="s">
        <v>92</v>
      </c>
      <c r="P17" s="21" t="s">
        <v>34</v>
      </c>
      <c r="Q17" s="160">
        <v>21808</v>
      </c>
      <c r="R17" s="178">
        <v>1</v>
      </c>
      <c r="S17" s="179">
        <v>7125</v>
      </c>
      <c r="T17" s="159">
        <v>17.882999999999999</v>
      </c>
      <c r="U17" s="160">
        <v>1571.703</v>
      </c>
      <c r="V17" s="180">
        <v>3.4299999999999999E-4</v>
      </c>
      <c r="W17" s="180">
        <v>1.19491768858834E-2</v>
      </c>
      <c r="X17" s="180">
        <v>1.6734643190800501E-3</v>
      </c>
      <c r="Y17" s="193">
        <f t="shared" si="0"/>
        <v>7124.9999999999991</v>
      </c>
      <c r="Z17" s="170"/>
    </row>
    <row r="18" spans="1:26">
      <c r="A18" s="21">
        <v>233</v>
      </c>
      <c r="B18" s="21">
        <v>233</v>
      </c>
      <c r="C18" s="21" t="s">
        <v>1391</v>
      </c>
      <c r="D18" s="21" t="s">
        <v>1392</v>
      </c>
      <c r="E18" s="21" t="s">
        <v>1255</v>
      </c>
      <c r="F18" s="21" t="s">
        <v>1393</v>
      </c>
      <c r="G18" s="21" t="s">
        <v>1394</v>
      </c>
      <c r="H18" s="21" t="s">
        <v>269</v>
      </c>
      <c r="I18" s="21" t="s">
        <v>882</v>
      </c>
      <c r="J18" s="21" t="s">
        <v>30</v>
      </c>
      <c r="K18" s="21" t="s">
        <v>30</v>
      </c>
      <c r="L18" s="23" t="s">
        <v>275</v>
      </c>
      <c r="M18" s="21" t="s">
        <v>31</v>
      </c>
      <c r="N18" s="23" t="s">
        <v>412</v>
      </c>
      <c r="O18" s="23" t="s">
        <v>92</v>
      </c>
      <c r="P18" s="21" t="s">
        <v>34</v>
      </c>
      <c r="Q18" s="160">
        <v>9081</v>
      </c>
      <c r="R18" s="178">
        <v>1</v>
      </c>
      <c r="S18" s="179">
        <v>28210</v>
      </c>
      <c r="T18" s="23"/>
      <c r="U18" s="160">
        <v>2561.75</v>
      </c>
      <c r="V18" s="180">
        <v>1.9100000000000001E-4</v>
      </c>
      <c r="W18" s="180">
        <v>1.94762074335042E-2</v>
      </c>
      <c r="X18" s="180">
        <v>2.7276136693126902E-3</v>
      </c>
      <c r="Y18" s="193">
        <f t="shared" si="0"/>
        <v>28209.998898799691</v>
      </c>
      <c r="Z18" s="170"/>
    </row>
    <row r="19" spans="1:26">
      <c r="A19" s="21">
        <v>233</v>
      </c>
      <c r="B19" s="21">
        <v>233</v>
      </c>
      <c r="C19" s="21" t="s">
        <v>1395</v>
      </c>
      <c r="D19" s="21" t="s">
        <v>1396</v>
      </c>
      <c r="E19" s="21" t="s">
        <v>1255</v>
      </c>
      <c r="F19" s="21" t="s">
        <v>1397</v>
      </c>
      <c r="G19" s="21" t="s">
        <v>1398</v>
      </c>
      <c r="H19" s="21" t="s">
        <v>269</v>
      </c>
      <c r="I19" s="21" t="s">
        <v>882</v>
      </c>
      <c r="J19" s="21" t="s">
        <v>30</v>
      </c>
      <c r="K19" s="21" t="s">
        <v>30</v>
      </c>
      <c r="L19" s="23" t="s">
        <v>275</v>
      </c>
      <c r="M19" s="21" t="s">
        <v>31</v>
      </c>
      <c r="N19" s="23" t="s">
        <v>412</v>
      </c>
      <c r="O19" s="23" t="s">
        <v>92</v>
      </c>
      <c r="P19" s="21" t="s">
        <v>34</v>
      </c>
      <c r="Q19" s="160">
        <v>507422</v>
      </c>
      <c r="R19" s="178">
        <v>1</v>
      </c>
      <c r="S19" s="179">
        <v>177.8</v>
      </c>
      <c r="T19" s="23"/>
      <c r="U19" s="160">
        <v>902.19600000000003</v>
      </c>
      <c r="V19" s="180">
        <v>6.8000000000000005E-4</v>
      </c>
      <c r="W19" s="180">
        <v>6.8591243916255899E-3</v>
      </c>
      <c r="X19" s="180">
        <v>9.6061009382810304E-4</v>
      </c>
      <c r="Y19" s="193">
        <f t="shared" si="0"/>
        <v>177.79993772441875</v>
      </c>
      <c r="Z19" s="170"/>
    </row>
    <row r="20" spans="1:26">
      <c r="A20" s="4">
        <v>233</v>
      </c>
      <c r="B20" s="4">
        <v>233</v>
      </c>
      <c r="C20" s="4" t="s">
        <v>1399</v>
      </c>
      <c r="D20" s="4" t="s">
        <v>1400</v>
      </c>
      <c r="E20" s="21" t="s">
        <v>260</v>
      </c>
      <c r="F20" s="4" t="s">
        <v>1401</v>
      </c>
      <c r="G20" s="4" t="s">
        <v>1402</v>
      </c>
      <c r="H20" s="21" t="s">
        <v>269</v>
      </c>
      <c r="I20" s="4" t="s">
        <v>882</v>
      </c>
      <c r="J20" s="4" t="s">
        <v>30</v>
      </c>
      <c r="K20" s="21" t="s">
        <v>30</v>
      </c>
      <c r="L20" s="23" t="s">
        <v>275</v>
      </c>
      <c r="M20" s="21" t="s">
        <v>31</v>
      </c>
      <c r="N20" s="23" t="s">
        <v>402</v>
      </c>
      <c r="O20" s="4" t="s">
        <v>92</v>
      </c>
      <c r="P20" s="4" t="s">
        <v>34</v>
      </c>
      <c r="Q20" s="158">
        <v>165000</v>
      </c>
      <c r="R20" s="168">
        <v>1</v>
      </c>
      <c r="S20" s="170">
        <v>1025</v>
      </c>
      <c r="U20" s="158">
        <v>1691.25</v>
      </c>
      <c r="V20" s="167">
        <v>1.4100000000000001E-4</v>
      </c>
      <c r="W20" s="167">
        <v>1.28580597388926E-2</v>
      </c>
      <c r="X20" s="167">
        <v>1.80075200083923E-3</v>
      </c>
      <c r="Y20" s="193">
        <f t="shared" si="0"/>
        <v>1025</v>
      </c>
      <c r="Z20" s="170"/>
    </row>
    <row r="21" spans="1:26">
      <c r="A21" s="4">
        <v>233</v>
      </c>
      <c r="B21" s="4">
        <v>233</v>
      </c>
      <c r="C21" s="4" t="s">
        <v>1403</v>
      </c>
      <c r="D21" s="4" t="s">
        <v>1404</v>
      </c>
      <c r="E21" s="4" t="s">
        <v>1255</v>
      </c>
      <c r="F21" s="4" t="s">
        <v>1405</v>
      </c>
      <c r="G21" s="4" t="s">
        <v>1406</v>
      </c>
      <c r="H21" s="4" t="s">
        <v>269</v>
      </c>
      <c r="I21" s="4" t="s">
        <v>882</v>
      </c>
      <c r="J21" s="4" t="s">
        <v>30</v>
      </c>
      <c r="K21" s="4" t="s">
        <v>174</v>
      </c>
      <c r="L21" s="2" t="s">
        <v>275</v>
      </c>
      <c r="M21" s="4" t="s">
        <v>31</v>
      </c>
      <c r="N21" s="23" t="s">
        <v>429</v>
      </c>
      <c r="O21" s="4" t="s">
        <v>92</v>
      </c>
      <c r="P21" s="4" t="s">
        <v>34</v>
      </c>
      <c r="Q21" s="158">
        <v>3756</v>
      </c>
      <c r="R21" s="168">
        <v>1</v>
      </c>
      <c r="S21" s="170">
        <v>64880</v>
      </c>
      <c r="U21" s="158">
        <v>2436.893</v>
      </c>
      <c r="V21" s="167">
        <v>6.0000000000000002E-5</v>
      </c>
      <c r="W21" s="167">
        <v>1.8526955328707798E-2</v>
      </c>
      <c r="X21" s="167">
        <v>2.5946723343271E-3</v>
      </c>
      <c r="Y21" s="193">
        <f t="shared" si="0"/>
        <v>64880.005324813625</v>
      </c>
      <c r="Z21" s="170"/>
    </row>
    <row r="22" spans="1:26">
      <c r="A22" s="4">
        <v>233</v>
      </c>
      <c r="B22" s="4">
        <v>233</v>
      </c>
      <c r="C22" s="4" t="s">
        <v>1407</v>
      </c>
      <c r="D22" s="4" t="s">
        <v>1408</v>
      </c>
      <c r="E22" s="4" t="s">
        <v>1255</v>
      </c>
      <c r="F22" s="4" t="s">
        <v>1407</v>
      </c>
      <c r="G22" s="4" t="s">
        <v>1409</v>
      </c>
      <c r="H22" s="4" t="s">
        <v>269</v>
      </c>
      <c r="I22" s="4" t="s">
        <v>882</v>
      </c>
      <c r="J22" s="4" t="s">
        <v>30</v>
      </c>
      <c r="K22" s="4" t="s">
        <v>30</v>
      </c>
      <c r="L22" s="2" t="s">
        <v>275</v>
      </c>
      <c r="M22" s="4" t="s">
        <v>31</v>
      </c>
      <c r="N22" s="4" t="s">
        <v>387</v>
      </c>
      <c r="O22" s="4" t="s">
        <v>92</v>
      </c>
      <c r="P22" s="4" t="s">
        <v>34</v>
      </c>
      <c r="Q22" s="158">
        <v>37000</v>
      </c>
      <c r="R22" s="168">
        <v>1</v>
      </c>
      <c r="S22" s="170">
        <v>3950</v>
      </c>
      <c r="U22" s="158">
        <v>1461.5</v>
      </c>
      <c r="V22" s="167">
        <v>4.6200000000000001E-4</v>
      </c>
      <c r="W22" s="167">
        <v>1.1111340315383E-2</v>
      </c>
      <c r="X22" s="167">
        <v>1.5561265627355701E-3</v>
      </c>
      <c r="Y22" s="193">
        <f t="shared" si="0"/>
        <v>3950</v>
      </c>
      <c r="Z22" s="170"/>
    </row>
    <row r="23" spans="1:26">
      <c r="A23" s="4">
        <v>233</v>
      </c>
      <c r="B23" s="4">
        <v>233</v>
      </c>
      <c r="C23" s="4" t="s">
        <v>1410</v>
      </c>
      <c r="D23" s="4" t="s">
        <v>1411</v>
      </c>
      <c r="E23" s="4" t="s">
        <v>1255</v>
      </c>
      <c r="F23" s="4" t="s">
        <v>1412</v>
      </c>
      <c r="G23" s="4" t="s">
        <v>1413</v>
      </c>
      <c r="H23" s="4" t="s">
        <v>269</v>
      </c>
      <c r="I23" s="4" t="s">
        <v>882</v>
      </c>
      <c r="J23" s="4" t="s">
        <v>30</v>
      </c>
      <c r="K23" s="4" t="s">
        <v>30</v>
      </c>
      <c r="L23" s="2" t="s">
        <v>275</v>
      </c>
      <c r="M23" s="2" t="s">
        <v>31</v>
      </c>
      <c r="N23" s="4" t="s">
        <v>412</v>
      </c>
      <c r="O23" s="4" t="s">
        <v>92</v>
      </c>
      <c r="P23" s="4" t="s">
        <v>34</v>
      </c>
      <c r="Q23" s="158">
        <v>14625</v>
      </c>
      <c r="R23" s="168">
        <v>1</v>
      </c>
      <c r="S23" s="170">
        <v>25940</v>
      </c>
      <c r="U23" s="158">
        <v>3793.7249999999999</v>
      </c>
      <c r="V23" s="167">
        <v>1.21E-4</v>
      </c>
      <c r="W23" s="167">
        <v>2.88425381717251E-2</v>
      </c>
      <c r="X23" s="167">
        <v>4.0393542553636601E-3</v>
      </c>
      <c r="Y23" s="193">
        <f t="shared" si="0"/>
        <v>25940.000000000004</v>
      </c>
      <c r="Z23" s="170"/>
    </row>
    <row r="24" spans="1:26">
      <c r="A24" s="4">
        <v>233</v>
      </c>
      <c r="B24" s="4">
        <v>233</v>
      </c>
      <c r="C24" s="4" t="s">
        <v>1414</v>
      </c>
      <c r="D24" s="4" t="s">
        <v>1415</v>
      </c>
      <c r="E24" s="4" t="s">
        <v>1255</v>
      </c>
      <c r="F24" s="4" t="s">
        <v>1416</v>
      </c>
      <c r="G24" s="4" t="s">
        <v>1417</v>
      </c>
      <c r="H24" s="4" t="s">
        <v>269</v>
      </c>
      <c r="I24" s="4" t="s">
        <v>882</v>
      </c>
      <c r="J24" s="4" t="s">
        <v>30</v>
      </c>
      <c r="K24" s="4" t="s">
        <v>30</v>
      </c>
      <c r="L24" s="2" t="s">
        <v>275</v>
      </c>
      <c r="M24" s="2" t="s">
        <v>31</v>
      </c>
      <c r="N24" s="4" t="s">
        <v>396</v>
      </c>
      <c r="O24" s="4" t="s">
        <v>92</v>
      </c>
      <c r="P24" s="4" t="s">
        <v>34</v>
      </c>
      <c r="Q24" s="158">
        <v>189815</v>
      </c>
      <c r="R24" s="168">
        <v>1</v>
      </c>
      <c r="S24" s="170">
        <v>3729</v>
      </c>
      <c r="U24" s="158">
        <v>7078.201</v>
      </c>
      <c r="V24" s="167">
        <v>1.4200000000000001E-4</v>
      </c>
      <c r="W24" s="167">
        <v>5.3813413630279298E-2</v>
      </c>
      <c r="X24" s="167">
        <v>7.5364879487689104E-3</v>
      </c>
      <c r="Y24" s="193">
        <f t="shared" si="0"/>
        <v>3728.9998156099359</v>
      </c>
      <c r="Z24" s="170"/>
    </row>
    <row r="25" spans="1:26">
      <c r="A25" s="4">
        <v>233</v>
      </c>
      <c r="B25" s="4">
        <v>233</v>
      </c>
      <c r="C25" s="4" t="s">
        <v>1418</v>
      </c>
      <c r="D25" s="4" t="s">
        <v>1419</v>
      </c>
      <c r="E25" s="4" t="s">
        <v>1255</v>
      </c>
      <c r="F25" s="4" t="s">
        <v>1420</v>
      </c>
      <c r="G25" s="4" t="s">
        <v>1421</v>
      </c>
      <c r="H25" s="4" t="s">
        <v>269</v>
      </c>
      <c r="I25" s="4" t="s">
        <v>882</v>
      </c>
      <c r="J25" s="4" t="s">
        <v>30</v>
      </c>
      <c r="K25" s="4" t="s">
        <v>30</v>
      </c>
      <c r="L25" s="2" t="s">
        <v>275</v>
      </c>
      <c r="M25" s="2" t="s">
        <v>31</v>
      </c>
      <c r="N25" s="4" t="s">
        <v>424</v>
      </c>
      <c r="O25" s="4" t="s">
        <v>92</v>
      </c>
      <c r="P25" s="4" t="s">
        <v>34</v>
      </c>
      <c r="Q25" s="158">
        <v>3574</v>
      </c>
      <c r="R25" s="168">
        <v>1</v>
      </c>
      <c r="S25" s="170">
        <v>28150</v>
      </c>
      <c r="U25" s="158">
        <v>1006.081</v>
      </c>
      <c r="V25" s="167">
        <v>2.5900000000000001E-4</v>
      </c>
      <c r="W25" s="167">
        <v>7.6489280710508502E-3</v>
      </c>
      <c r="X25" s="167">
        <v>1.0712209157465399E-3</v>
      </c>
      <c r="Y25" s="193">
        <f t="shared" si="0"/>
        <v>28150.000000000004</v>
      </c>
      <c r="Z25" s="170"/>
    </row>
    <row r="26" spans="1:26">
      <c r="A26" s="4">
        <v>233</v>
      </c>
      <c r="B26" s="4">
        <v>233</v>
      </c>
      <c r="C26" s="4" t="s">
        <v>1422</v>
      </c>
      <c r="D26" s="4" t="s">
        <v>1423</v>
      </c>
      <c r="E26" s="4" t="s">
        <v>262</v>
      </c>
      <c r="F26" s="4" t="s">
        <v>1424</v>
      </c>
      <c r="G26" s="4" t="s">
        <v>1425</v>
      </c>
      <c r="H26" s="4" t="s">
        <v>269</v>
      </c>
      <c r="I26" s="4" t="s">
        <v>882</v>
      </c>
      <c r="J26" s="4" t="s">
        <v>67</v>
      </c>
      <c r="K26" s="4" t="s">
        <v>174</v>
      </c>
      <c r="L26" s="2" t="s">
        <v>275</v>
      </c>
      <c r="M26" s="2" t="s">
        <v>294</v>
      </c>
      <c r="N26" s="4" t="s">
        <v>464</v>
      </c>
      <c r="O26" s="4" t="s">
        <v>92</v>
      </c>
      <c r="P26" s="4" t="s">
        <v>71</v>
      </c>
      <c r="Q26" s="158">
        <v>9600</v>
      </c>
      <c r="R26" s="168">
        <v>3.71</v>
      </c>
      <c r="S26" s="170">
        <v>18633</v>
      </c>
      <c r="U26" s="158">
        <v>6636.3289999999997</v>
      </c>
      <c r="V26" s="167">
        <v>9.9999999999999995E-7</v>
      </c>
      <c r="W26" s="167">
        <v>5.0453994577502902E-2</v>
      </c>
      <c r="X26" s="167">
        <v>7.0660063439396603E-3</v>
      </c>
      <c r="Y26" s="193">
        <f t="shared" si="0"/>
        <v>18632.999213836476</v>
      </c>
      <c r="Z26" s="170"/>
    </row>
    <row r="27" spans="1:26">
      <c r="A27" s="4">
        <v>233</v>
      </c>
      <c r="B27" s="4">
        <v>233</v>
      </c>
      <c r="C27" s="4" t="s">
        <v>1426</v>
      </c>
      <c r="D27" s="4" t="s">
        <v>1427</v>
      </c>
      <c r="E27" s="4" t="s">
        <v>262</v>
      </c>
      <c r="F27" s="4" t="s">
        <v>1428</v>
      </c>
      <c r="G27" s="4" t="s">
        <v>1429</v>
      </c>
      <c r="H27" s="4" t="s">
        <v>269</v>
      </c>
      <c r="I27" s="4" t="s">
        <v>882</v>
      </c>
      <c r="J27" s="4" t="s">
        <v>67</v>
      </c>
      <c r="K27" s="4" t="s">
        <v>174</v>
      </c>
      <c r="L27" s="2" t="s">
        <v>275</v>
      </c>
      <c r="M27" s="2" t="s">
        <v>294</v>
      </c>
      <c r="N27" s="4" t="s">
        <v>497</v>
      </c>
      <c r="O27" s="4" t="s">
        <v>92</v>
      </c>
      <c r="P27" s="4" t="s">
        <v>71</v>
      </c>
      <c r="Q27" s="158">
        <v>4572</v>
      </c>
      <c r="R27" s="168">
        <v>3.71</v>
      </c>
      <c r="S27" s="170">
        <v>16408</v>
      </c>
      <c r="U27" s="158">
        <v>2783.145</v>
      </c>
      <c r="V27" s="167">
        <v>3.9999999999999998E-6</v>
      </c>
      <c r="W27" s="167">
        <v>2.1159402907042699E-2</v>
      </c>
      <c r="X27" s="167">
        <v>2.96334267340262E-3</v>
      </c>
      <c r="Y27" s="193">
        <f t="shared" si="0"/>
        <v>16408.002065779514</v>
      </c>
      <c r="Z27" s="170"/>
    </row>
    <row r="28" spans="1:26">
      <c r="A28" s="4">
        <v>233</v>
      </c>
      <c r="B28" s="4">
        <v>233</v>
      </c>
      <c r="C28" s="4" t="s">
        <v>1430</v>
      </c>
      <c r="D28" s="4" t="s">
        <v>1431</v>
      </c>
      <c r="E28" s="4" t="s">
        <v>262</v>
      </c>
      <c r="F28" s="4" t="s">
        <v>1432</v>
      </c>
      <c r="G28" s="4" t="s">
        <v>1433</v>
      </c>
      <c r="H28" s="4" t="s">
        <v>269</v>
      </c>
      <c r="I28" s="4" t="s">
        <v>882</v>
      </c>
      <c r="J28" s="4" t="s">
        <v>67</v>
      </c>
      <c r="K28" s="4" t="s">
        <v>195</v>
      </c>
      <c r="L28" s="2" t="s">
        <v>275</v>
      </c>
      <c r="M28" s="2" t="s">
        <v>68</v>
      </c>
      <c r="N28" s="4" t="s">
        <v>497</v>
      </c>
      <c r="O28" s="4" t="s">
        <v>92</v>
      </c>
      <c r="P28" s="4" t="s">
        <v>1134</v>
      </c>
      <c r="Q28" s="158">
        <v>1530</v>
      </c>
      <c r="R28" s="168">
        <v>4.1524000000000001</v>
      </c>
      <c r="S28" s="170">
        <v>74560</v>
      </c>
      <c r="U28" s="158">
        <v>4736.9250000000002</v>
      </c>
      <c r="V28" s="167">
        <v>3.9999999999999998E-6</v>
      </c>
      <c r="W28" s="167">
        <v>3.6013401439244197E-2</v>
      </c>
      <c r="X28" s="167">
        <v>5.0436229116735199E-3</v>
      </c>
      <c r="Y28" s="193">
        <f t="shared" si="0"/>
        <v>74559.999320024712</v>
      </c>
      <c r="Z28" s="170"/>
    </row>
    <row r="29" spans="1:26">
      <c r="A29" s="4">
        <v>233</v>
      </c>
      <c r="B29" s="4">
        <v>233</v>
      </c>
      <c r="C29" s="4" t="s">
        <v>1430</v>
      </c>
      <c r="D29" s="4" t="s">
        <v>1431</v>
      </c>
      <c r="E29" s="4" t="s">
        <v>262</v>
      </c>
      <c r="F29" s="4" t="s">
        <v>1434</v>
      </c>
      <c r="G29" s="4" t="s">
        <v>1435</v>
      </c>
      <c r="H29" s="4" t="s">
        <v>269</v>
      </c>
      <c r="I29" s="4" t="s">
        <v>882</v>
      </c>
      <c r="J29" s="4" t="s">
        <v>67</v>
      </c>
      <c r="K29" s="4" t="s">
        <v>195</v>
      </c>
      <c r="L29" s="2" t="s">
        <v>275</v>
      </c>
      <c r="M29" s="2" t="s">
        <v>68</v>
      </c>
      <c r="N29" s="4" t="s">
        <v>497</v>
      </c>
      <c r="O29" s="4" t="s">
        <v>92</v>
      </c>
      <c r="P29" s="4" t="s">
        <v>71</v>
      </c>
      <c r="Q29" s="158">
        <v>598</v>
      </c>
      <c r="R29" s="168">
        <v>3.71</v>
      </c>
      <c r="S29" s="170">
        <v>83325</v>
      </c>
      <c r="U29" s="158">
        <v>1848.6320000000001</v>
      </c>
      <c r="V29" s="167">
        <v>9.9999999999999995E-7</v>
      </c>
      <c r="W29" s="167">
        <v>1.40545856181792E-2</v>
      </c>
      <c r="X29" s="167">
        <v>1.9683236574449302E-3</v>
      </c>
      <c r="Y29" s="193">
        <f t="shared" si="0"/>
        <v>83325.009690883366</v>
      </c>
      <c r="Z29" s="170"/>
    </row>
    <row r="30" spans="1:26">
      <c r="A30" s="4">
        <v>233</v>
      </c>
      <c r="B30" s="4">
        <v>233</v>
      </c>
      <c r="C30" s="4" t="s">
        <v>1436</v>
      </c>
      <c r="D30" s="4" t="s">
        <v>1437</v>
      </c>
      <c r="E30" s="4" t="s">
        <v>262</v>
      </c>
      <c r="F30" s="4" t="s">
        <v>1438</v>
      </c>
      <c r="G30" s="4" t="s">
        <v>1439</v>
      </c>
      <c r="H30" s="4" t="s">
        <v>269</v>
      </c>
      <c r="I30" s="4" t="s">
        <v>882</v>
      </c>
      <c r="J30" s="4" t="s">
        <v>67</v>
      </c>
      <c r="K30" s="4" t="s">
        <v>174</v>
      </c>
      <c r="L30" s="2" t="s">
        <v>275</v>
      </c>
      <c r="M30" s="2" t="s">
        <v>294</v>
      </c>
      <c r="N30" s="4" t="s">
        <v>497</v>
      </c>
      <c r="O30" s="4" t="s">
        <v>92</v>
      </c>
      <c r="P30" s="4" t="s">
        <v>71</v>
      </c>
      <c r="Q30" s="158">
        <v>4900</v>
      </c>
      <c r="R30" s="168">
        <v>3.71</v>
      </c>
      <c r="S30" s="170">
        <v>17250</v>
      </c>
      <c r="U30" s="158">
        <v>3135.8780000000002</v>
      </c>
      <c r="V30" s="167">
        <v>1.1E-5</v>
      </c>
      <c r="W30" s="167">
        <v>2.3841123564729599E-2</v>
      </c>
      <c r="X30" s="167">
        <v>3.3389136334141699E-3</v>
      </c>
      <c r="Y30" s="193">
        <f t="shared" si="0"/>
        <v>17250.002750426316</v>
      </c>
      <c r="Z30" s="170"/>
    </row>
    <row r="31" spans="1:26">
      <c r="A31" s="4">
        <v>233</v>
      </c>
      <c r="B31" s="4">
        <v>233</v>
      </c>
      <c r="C31" s="4" t="s">
        <v>1440</v>
      </c>
      <c r="D31" s="4" t="s">
        <v>1441</v>
      </c>
      <c r="E31" s="4" t="s">
        <v>1255</v>
      </c>
      <c r="F31" s="4" t="s">
        <v>1442</v>
      </c>
      <c r="G31" s="4" t="s">
        <v>1443</v>
      </c>
      <c r="H31" s="4" t="s">
        <v>269</v>
      </c>
      <c r="I31" s="4" t="s">
        <v>882</v>
      </c>
      <c r="J31" s="4" t="s">
        <v>67</v>
      </c>
      <c r="K31" s="4" t="s">
        <v>246</v>
      </c>
      <c r="L31" s="2" t="s">
        <v>275</v>
      </c>
      <c r="M31" s="2" t="s">
        <v>294</v>
      </c>
      <c r="N31" s="4" t="s">
        <v>497</v>
      </c>
      <c r="O31" s="4" t="s">
        <v>92</v>
      </c>
      <c r="P31" s="4" t="s">
        <v>71</v>
      </c>
      <c r="Q31" s="158">
        <v>26078</v>
      </c>
      <c r="R31" s="168">
        <v>3.71</v>
      </c>
      <c r="S31" s="170">
        <v>7985</v>
      </c>
      <c r="U31" s="158">
        <v>7725.4380000000001</v>
      </c>
      <c r="V31" s="167">
        <v>9.6400000000000001E-4</v>
      </c>
      <c r="W31" s="167">
        <v>5.8734157116395597E-2</v>
      </c>
      <c r="X31" s="167">
        <v>8.2256307011110905E-3</v>
      </c>
      <c r="Y31" s="193">
        <f t="shared" si="0"/>
        <v>7985.0000072351877</v>
      </c>
      <c r="Z31" s="170"/>
    </row>
    <row r="32" spans="1:26">
      <c r="A32" s="4">
        <v>233</v>
      </c>
      <c r="B32" s="4">
        <v>233</v>
      </c>
      <c r="C32" s="4" t="s">
        <v>1444</v>
      </c>
      <c r="D32" s="4" t="s">
        <v>1445</v>
      </c>
      <c r="E32" s="4" t="s">
        <v>1255</v>
      </c>
      <c r="F32" s="4" t="s">
        <v>1446</v>
      </c>
      <c r="G32" s="4" t="s">
        <v>1447</v>
      </c>
      <c r="H32" s="4" t="s">
        <v>269</v>
      </c>
      <c r="I32" s="4" t="s">
        <v>882</v>
      </c>
      <c r="J32" s="4" t="s">
        <v>30</v>
      </c>
      <c r="K32" s="4" t="s">
        <v>30</v>
      </c>
      <c r="L32" s="2" t="s">
        <v>275</v>
      </c>
      <c r="M32" s="2" t="s">
        <v>294</v>
      </c>
      <c r="N32" s="4" t="s">
        <v>493</v>
      </c>
      <c r="O32" s="4" t="s">
        <v>92</v>
      </c>
      <c r="P32" s="4" t="s">
        <v>71</v>
      </c>
      <c r="Q32" s="158">
        <v>22043</v>
      </c>
      <c r="R32" s="168">
        <v>3.71</v>
      </c>
      <c r="S32" s="170">
        <v>1684</v>
      </c>
      <c r="U32" s="158">
        <v>1377.1669999999999</v>
      </c>
      <c r="V32" s="167">
        <v>1.07E-4</v>
      </c>
      <c r="W32" s="167">
        <v>1.04701843154768E-2</v>
      </c>
      <c r="X32" s="167">
        <v>1.46633362561078E-3</v>
      </c>
      <c r="Y32" s="193">
        <f t="shared" si="0"/>
        <v>1683.9996512574721</v>
      </c>
      <c r="Z32" s="170"/>
    </row>
    <row r="33" spans="1:26">
      <c r="A33" s="4">
        <v>233</v>
      </c>
      <c r="B33" s="4">
        <v>233</v>
      </c>
      <c r="C33" s="4" t="s">
        <v>1448</v>
      </c>
      <c r="D33" s="4" t="s">
        <v>1449</v>
      </c>
      <c r="E33" s="4" t="s">
        <v>262</v>
      </c>
      <c r="F33" s="4" t="s">
        <v>1450</v>
      </c>
      <c r="G33" s="4" t="s">
        <v>1451</v>
      </c>
      <c r="H33" s="4" t="s">
        <v>269</v>
      </c>
      <c r="I33" s="4" t="s">
        <v>882</v>
      </c>
      <c r="J33" s="4" t="s">
        <v>67</v>
      </c>
      <c r="K33" s="4" t="s">
        <v>174</v>
      </c>
      <c r="L33" s="2" t="s">
        <v>275</v>
      </c>
      <c r="M33" s="2" t="s">
        <v>294</v>
      </c>
      <c r="N33" s="4" t="s">
        <v>1452</v>
      </c>
      <c r="O33" s="4" t="s">
        <v>92</v>
      </c>
      <c r="P33" s="4" t="s">
        <v>71</v>
      </c>
      <c r="Q33" s="158">
        <v>1020</v>
      </c>
      <c r="R33" s="168">
        <v>3.71</v>
      </c>
      <c r="S33" s="170">
        <v>88652</v>
      </c>
      <c r="U33" s="158">
        <v>3354.7689999999998</v>
      </c>
      <c r="V33" s="167">
        <v>1.9999999999999999E-6</v>
      </c>
      <c r="W33" s="167">
        <v>2.5505288991252501E-2</v>
      </c>
      <c r="X33" s="167">
        <v>3.57197750793282E-3</v>
      </c>
      <c r="Y33" s="193">
        <f t="shared" si="0"/>
        <v>88652.000422810626</v>
      </c>
      <c r="Z33" s="170"/>
    </row>
    <row r="34" spans="1:26">
      <c r="A34" s="4">
        <v>233</v>
      </c>
      <c r="B34" s="4">
        <v>233</v>
      </c>
      <c r="C34" s="4" t="s">
        <v>1453</v>
      </c>
      <c r="D34" s="4" t="s">
        <v>1454</v>
      </c>
      <c r="E34" s="4" t="s">
        <v>1255</v>
      </c>
      <c r="F34" s="4" t="s">
        <v>1455</v>
      </c>
      <c r="G34" s="4" t="s">
        <v>1456</v>
      </c>
      <c r="H34" s="4" t="s">
        <v>269</v>
      </c>
      <c r="I34" s="4" t="s">
        <v>882</v>
      </c>
      <c r="J34" s="4" t="s">
        <v>30</v>
      </c>
      <c r="K34" s="4" t="s">
        <v>30</v>
      </c>
      <c r="L34" s="2" t="s">
        <v>275</v>
      </c>
      <c r="M34" s="2" t="s">
        <v>292</v>
      </c>
      <c r="N34" s="4" t="s">
        <v>449</v>
      </c>
      <c r="O34" s="4" t="s">
        <v>92</v>
      </c>
      <c r="P34" s="4" t="s">
        <v>71</v>
      </c>
      <c r="Q34" s="158">
        <v>1562</v>
      </c>
      <c r="R34" s="168">
        <v>3.71</v>
      </c>
      <c r="S34" s="170">
        <v>2587</v>
      </c>
      <c r="U34" s="158">
        <v>149.917</v>
      </c>
      <c r="V34" s="167">
        <v>4.0000000000000003E-5</v>
      </c>
      <c r="W34" s="167">
        <v>1.13977466034871E-3</v>
      </c>
      <c r="X34" s="167">
        <v>1.59623733425395E-4</v>
      </c>
      <c r="Y34" s="193">
        <f t="shared" si="0"/>
        <v>2586.9971113128167</v>
      </c>
      <c r="Z34" s="170"/>
    </row>
    <row r="35" spans="1:26">
      <c r="A35" s="4">
        <v>233</v>
      </c>
      <c r="B35" s="4">
        <v>233</v>
      </c>
      <c r="C35" s="4" t="s">
        <v>1457</v>
      </c>
      <c r="D35" s="4" t="s">
        <v>1458</v>
      </c>
      <c r="E35" s="4" t="s">
        <v>262</v>
      </c>
      <c r="F35" s="4" t="s">
        <v>1459</v>
      </c>
      <c r="G35" s="4" t="s">
        <v>1460</v>
      </c>
      <c r="H35" s="4" t="s">
        <v>269</v>
      </c>
      <c r="I35" s="4" t="s">
        <v>882</v>
      </c>
      <c r="J35" s="4" t="s">
        <v>67</v>
      </c>
      <c r="K35" s="4" t="s">
        <v>218</v>
      </c>
      <c r="L35" s="2" t="s">
        <v>275</v>
      </c>
      <c r="M35" s="2" t="s">
        <v>318</v>
      </c>
      <c r="N35" s="4" t="s">
        <v>464</v>
      </c>
      <c r="O35" s="4" t="s">
        <v>92</v>
      </c>
      <c r="P35" s="4" t="s">
        <v>1133</v>
      </c>
      <c r="Q35" s="158">
        <v>42</v>
      </c>
      <c r="R35" s="168">
        <v>0.47660000000000002</v>
      </c>
      <c r="S35" s="170">
        <v>16710</v>
      </c>
      <c r="U35" s="158">
        <v>3.3450000000000002</v>
      </c>
      <c r="V35" s="167">
        <v>0</v>
      </c>
      <c r="W35" s="167">
        <v>2.5430061347545102E-5</v>
      </c>
      <c r="X35" s="167">
        <v>3.5614419891472902E-6</v>
      </c>
      <c r="Y35" s="193">
        <f t="shared" si="0"/>
        <v>16710.628859181103</v>
      </c>
      <c r="Z35" s="170"/>
    </row>
    <row r="36" spans="1:26">
      <c r="A36" s="4">
        <v>233</v>
      </c>
      <c r="B36" s="4">
        <v>233</v>
      </c>
      <c r="C36" s="4" t="s">
        <v>1461</v>
      </c>
      <c r="D36" s="4" t="s">
        <v>1462</v>
      </c>
      <c r="E36" s="4" t="s">
        <v>262</v>
      </c>
      <c r="F36" s="4" t="s">
        <v>1463</v>
      </c>
      <c r="G36" s="4" t="s">
        <v>1464</v>
      </c>
      <c r="H36" s="4" t="s">
        <v>269</v>
      </c>
      <c r="I36" s="4" t="s">
        <v>882</v>
      </c>
      <c r="J36" s="4" t="s">
        <v>67</v>
      </c>
      <c r="K36" s="4" t="s">
        <v>174</v>
      </c>
      <c r="L36" s="2" t="s">
        <v>275</v>
      </c>
      <c r="M36" s="2" t="s">
        <v>292</v>
      </c>
      <c r="N36" s="4" t="s">
        <v>1465</v>
      </c>
      <c r="O36" s="4" t="s">
        <v>92</v>
      </c>
      <c r="P36" s="4" t="s">
        <v>71</v>
      </c>
      <c r="Q36" s="158">
        <v>1607</v>
      </c>
      <c r="R36" s="168">
        <v>3.71</v>
      </c>
      <c r="S36" s="170">
        <v>49380</v>
      </c>
      <c r="U36" s="158">
        <v>2944.0210000000002</v>
      </c>
      <c r="V36" s="167">
        <v>9.9999999999999995E-7</v>
      </c>
      <c r="W36" s="167">
        <v>2.2382495278007002E-2</v>
      </c>
      <c r="X36" s="167">
        <v>3.1346349273624701E-3</v>
      </c>
      <c r="Y36" s="193">
        <f t="shared" si="0"/>
        <v>49380.003589417596</v>
      </c>
      <c r="Z36" s="170"/>
    </row>
    <row r="37" spans="1:26">
      <c r="A37" s="4">
        <v>233</v>
      </c>
      <c r="B37" s="4">
        <v>233</v>
      </c>
      <c r="C37" s="4" t="s">
        <v>1466</v>
      </c>
      <c r="D37" s="4" t="s">
        <v>1467</v>
      </c>
      <c r="E37" s="4" t="s">
        <v>262</v>
      </c>
      <c r="F37" s="4" t="s">
        <v>1468</v>
      </c>
      <c r="G37" s="4" t="s">
        <v>1469</v>
      </c>
      <c r="H37" s="4" t="s">
        <v>269</v>
      </c>
      <c r="I37" s="4" t="s">
        <v>882</v>
      </c>
      <c r="J37" s="4" t="s">
        <v>67</v>
      </c>
      <c r="K37" s="4" t="s">
        <v>174</v>
      </c>
      <c r="L37" s="2" t="s">
        <v>275</v>
      </c>
      <c r="M37" s="2" t="s">
        <v>294</v>
      </c>
      <c r="N37" s="4" t="s">
        <v>493</v>
      </c>
      <c r="O37" s="4" t="s">
        <v>92</v>
      </c>
      <c r="P37" s="4" t="s">
        <v>71</v>
      </c>
      <c r="Q37" s="158">
        <v>3091</v>
      </c>
      <c r="R37" s="168">
        <v>3.71</v>
      </c>
      <c r="S37" s="170">
        <v>43030</v>
      </c>
      <c r="U37" s="158">
        <v>4934.5129999999999</v>
      </c>
      <c r="V37" s="167">
        <v>0</v>
      </c>
      <c r="W37" s="167">
        <v>3.7515599452789899E-2</v>
      </c>
      <c r="X37" s="167">
        <v>5.25400349268505E-3</v>
      </c>
      <c r="Y37" s="193">
        <f t="shared" si="0"/>
        <v>43030.003636328751</v>
      </c>
      <c r="Z37" s="170"/>
    </row>
    <row r="38" spans="1:26">
      <c r="A38" s="4">
        <v>233</v>
      </c>
      <c r="B38" s="4">
        <v>233</v>
      </c>
      <c r="C38" s="4" t="s">
        <v>1470</v>
      </c>
      <c r="D38" s="4" t="s">
        <v>1471</v>
      </c>
      <c r="E38" s="4" t="s">
        <v>262</v>
      </c>
      <c r="F38" s="4" t="s">
        <v>1472</v>
      </c>
      <c r="G38" s="4" t="s">
        <v>1473</v>
      </c>
      <c r="H38" s="4" t="s">
        <v>269</v>
      </c>
      <c r="I38" s="4" t="s">
        <v>882</v>
      </c>
      <c r="J38" s="4" t="s">
        <v>67</v>
      </c>
      <c r="K38" s="4" t="s">
        <v>174</v>
      </c>
      <c r="L38" s="2" t="s">
        <v>275</v>
      </c>
      <c r="M38" s="2" t="s">
        <v>294</v>
      </c>
      <c r="N38" s="4" t="s">
        <v>497</v>
      </c>
      <c r="O38" s="4" t="s">
        <v>92</v>
      </c>
      <c r="P38" s="4" t="s">
        <v>71</v>
      </c>
      <c r="Q38" s="158">
        <v>17810</v>
      </c>
      <c r="R38" s="168">
        <v>3.71</v>
      </c>
      <c r="S38" s="170">
        <v>12144</v>
      </c>
      <c r="U38" s="158">
        <v>8024.16</v>
      </c>
      <c r="V38" s="167">
        <v>9.9999999999999995E-7</v>
      </c>
      <c r="W38" s="167">
        <v>6.1005250841680798E-2</v>
      </c>
      <c r="X38" s="167">
        <v>8.5436939744936401E-3</v>
      </c>
      <c r="Y38" s="193">
        <f t="shared" si="0"/>
        <v>12143.999782066165</v>
      </c>
      <c r="Z38" s="170"/>
    </row>
    <row r="39" spans="1:26">
      <c r="A39" s="4">
        <v>233</v>
      </c>
      <c r="B39" s="4">
        <v>233</v>
      </c>
      <c r="C39" s="4" t="s">
        <v>1474</v>
      </c>
      <c r="D39" s="4" t="s">
        <v>1475</v>
      </c>
      <c r="E39" s="4" t="s">
        <v>1255</v>
      </c>
      <c r="F39" s="4" t="s">
        <v>1476</v>
      </c>
      <c r="G39" s="4" t="s">
        <v>1477</v>
      </c>
      <c r="H39" s="4" t="s">
        <v>269</v>
      </c>
      <c r="I39" s="4" t="s">
        <v>882</v>
      </c>
      <c r="J39" s="4" t="s">
        <v>67</v>
      </c>
      <c r="K39" s="4" t="s">
        <v>246</v>
      </c>
      <c r="L39" s="2" t="s">
        <v>275</v>
      </c>
      <c r="M39" s="2" t="s">
        <v>294</v>
      </c>
      <c r="N39" s="4" t="s">
        <v>497</v>
      </c>
      <c r="O39" s="4" t="s">
        <v>92</v>
      </c>
      <c r="P39" s="4" t="s">
        <v>71</v>
      </c>
      <c r="Q39" s="158">
        <v>4871</v>
      </c>
      <c r="R39" s="168">
        <v>3.71</v>
      </c>
      <c r="S39" s="170">
        <v>20834</v>
      </c>
      <c r="U39" s="158">
        <v>3764.998</v>
      </c>
      <c r="V39" s="167">
        <v>1.73E-4</v>
      </c>
      <c r="W39" s="167">
        <v>2.86241321717959E-2</v>
      </c>
      <c r="X39" s="167">
        <v>4.0087668223174298E-3</v>
      </c>
      <c r="Y39" s="193">
        <f t="shared" si="0"/>
        <v>20834.002438105272</v>
      </c>
      <c r="Z39" s="170"/>
    </row>
    <row r="40" spans="1:26">
      <c r="A40" s="4">
        <v>233</v>
      </c>
      <c r="B40" s="4">
        <v>233</v>
      </c>
      <c r="C40" s="4" t="s">
        <v>1478</v>
      </c>
      <c r="D40" s="4" t="s">
        <v>1479</v>
      </c>
      <c r="E40" s="4" t="s">
        <v>262</v>
      </c>
      <c r="F40" s="4" t="s">
        <v>1480</v>
      </c>
      <c r="G40" s="4" t="s">
        <v>1481</v>
      </c>
      <c r="H40" s="4" t="s">
        <v>269</v>
      </c>
      <c r="I40" s="4" t="s">
        <v>882</v>
      </c>
      <c r="J40" s="4" t="s">
        <v>67</v>
      </c>
      <c r="K40" s="4" t="s">
        <v>174</v>
      </c>
      <c r="L40" s="2" t="s">
        <v>275</v>
      </c>
      <c r="M40" s="2" t="s">
        <v>292</v>
      </c>
      <c r="N40" s="4" t="s">
        <v>506</v>
      </c>
      <c r="O40" s="4" t="s">
        <v>92</v>
      </c>
      <c r="P40" s="4" t="s">
        <v>71</v>
      </c>
      <c r="Q40" s="158">
        <v>18440</v>
      </c>
      <c r="R40" s="168">
        <v>3.71</v>
      </c>
      <c r="S40" s="170">
        <v>7694</v>
      </c>
      <c r="U40" s="158">
        <v>5263.65</v>
      </c>
      <c r="V40" s="167">
        <v>3.0400000000000002E-4</v>
      </c>
      <c r="W40" s="167">
        <v>4.0017931627301197E-2</v>
      </c>
      <c r="X40" s="167">
        <v>5.60445136441065E-3</v>
      </c>
      <c r="Y40" s="193">
        <f t="shared" si="0"/>
        <v>7693.9999181434941</v>
      </c>
      <c r="Z40" s="170"/>
    </row>
    <row r="41" spans="1:26">
      <c r="A41" s="4">
        <v>233</v>
      </c>
      <c r="B41" s="4">
        <v>233</v>
      </c>
      <c r="C41" s="4" t="s">
        <v>1482</v>
      </c>
      <c r="D41" s="4" t="s">
        <v>1483</v>
      </c>
      <c r="E41" s="4" t="s">
        <v>262</v>
      </c>
      <c r="F41" s="4" t="s">
        <v>1484</v>
      </c>
      <c r="G41" s="4" t="s">
        <v>1485</v>
      </c>
      <c r="H41" s="4" t="s">
        <v>269</v>
      </c>
      <c r="I41" s="4" t="s">
        <v>882</v>
      </c>
      <c r="J41" s="4" t="s">
        <v>67</v>
      </c>
      <c r="K41" s="4" t="s">
        <v>246</v>
      </c>
      <c r="L41" s="2" t="s">
        <v>275</v>
      </c>
      <c r="M41" s="2" t="s">
        <v>328</v>
      </c>
      <c r="N41" s="4" t="s">
        <v>495</v>
      </c>
      <c r="O41" s="4" t="s">
        <v>92</v>
      </c>
      <c r="P41" s="4" t="s">
        <v>71</v>
      </c>
      <c r="Q41" s="158">
        <v>698</v>
      </c>
      <c r="R41" s="168">
        <v>3.71</v>
      </c>
      <c r="S41" s="170">
        <v>116900</v>
      </c>
      <c r="U41" s="158">
        <v>3027.2190000000001</v>
      </c>
      <c r="V41" s="167">
        <v>3.0000000000000001E-6</v>
      </c>
      <c r="W41" s="167">
        <v>2.3015026165186601E-2</v>
      </c>
      <c r="X41" s="167">
        <v>3.2232199303731299E-3</v>
      </c>
      <c r="Y41" s="193">
        <f t="shared" si="0"/>
        <v>116899.99922767398</v>
      </c>
      <c r="Z41" s="170"/>
    </row>
    <row r="42" spans="1:26">
      <c r="A42" s="4">
        <v>233</v>
      </c>
      <c r="B42" s="4">
        <v>233</v>
      </c>
      <c r="C42" s="4" t="s">
        <v>1486</v>
      </c>
      <c r="D42" s="4" t="s">
        <v>1487</v>
      </c>
      <c r="E42" s="4" t="s">
        <v>262</v>
      </c>
      <c r="F42" s="4" t="s">
        <v>1488</v>
      </c>
      <c r="G42" s="4" t="s">
        <v>1489</v>
      </c>
      <c r="H42" s="4" t="s">
        <v>269</v>
      </c>
      <c r="I42" s="4" t="s">
        <v>882</v>
      </c>
      <c r="J42" s="4" t="s">
        <v>67</v>
      </c>
      <c r="K42" s="4" t="s">
        <v>174</v>
      </c>
      <c r="L42" s="2" t="s">
        <v>275</v>
      </c>
      <c r="M42" s="2" t="s">
        <v>294</v>
      </c>
      <c r="N42" s="4" t="s">
        <v>461</v>
      </c>
      <c r="O42" s="4" t="s">
        <v>92</v>
      </c>
      <c r="P42" s="4" t="s">
        <v>71</v>
      </c>
      <c r="Q42" s="158">
        <v>2000</v>
      </c>
      <c r="R42" s="168">
        <v>3.71</v>
      </c>
      <c r="S42" s="170">
        <v>26163</v>
      </c>
      <c r="U42" s="158">
        <v>1941.2950000000001</v>
      </c>
      <c r="V42" s="167">
        <v>9.9999999999999995E-7</v>
      </c>
      <c r="W42" s="167">
        <v>1.4759072838190401E-2</v>
      </c>
      <c r="X42" s="167">
        <v>2.06698603705448E-3</v>
      </c>
      <c r="Y42" s="193">
        <f t="shared" si="0"/>
        <v>26163.00539083558</v>
      </c>
      <c r="Z42" s="170"/>
    </row>
    <row r="43" spans="1:26">
      <c r="A43" s="4">
        <v>233</v>
      </c>
      <c r="B43" s="4">
        <v>233</v>
      </c>
      <c r="C43" s="4" t="s">
        <v>1490</v>
      </c>
      <c r="D43" s="4" t="s">
        <v>1491</v>
      </c>
      <c r="E43" s="4" t="s">
        <v>262</v>
      </c>
      <c r="F43" s="4" t="s">
        <v>1492</v>
      </c>
      <c r="G43" s="4" t="s">
        <v>1493</v>
      </c>
      <c r="H43" s="4" t="s">
        <v>269</v>
      </c>
      <c r="I43" s="4" t="s">
        <v>882</v>
      </c>
      <c r="J43" s="4" t="s">
        <v>67</v>
      </c>
      <c r="K43" s="4" t="s">
        <v>174</v>
      </c>
      <c r="L43" s="2" t="s">
        <v>275</v>
      </c>
      <c r="M43" s="2" t="s">
        <v>292</v>
      </c>
      <c r="N43" s="4" t="s">
        <v>1465</v>
      </c>
      <c r="O43" s="4" t="s">
        <v>92</v>
      </c>
      <c r="P43" s="4" t="s">
        <v>71</v>
      </c>
      <c r="Q43" s="158">
        <v>4342</v>
      </c>
      <c r="R43" s="168">
        <v>3.71</v>
      </c>
      <c r="S43" s="170">
        <v>27495</v>
      </c>
      <c r="U43" s="158">
        <v>4429.12</v>
      </c>
      <c r="V43" s="167">
        <v>3.0000000000000001E-6</v>
      </c>
      <c r="W43" s="167">
        <v>3.3673253693628599E-2</v>
      </c>
      <c r="X43" s="167">
        <v>4.7158887262092599E-3</v>
      </c>
      <c r="Y43" s="193">
        <f t="shared" si="0"/>
        <v>27494.999633741019</v>
      </c>
      <c r="Z43" s="170"/>
    </row>
    <row r="44" spans="1:26">
      <c r="A44" s="4">
        <v>233</v>
      </c>
      <c r="B44" s="4">
        <v>233</v>
      </c>
      <c r="C44" s="4" t="s">
        <v>1494</v>
      </c>
      <c r="D44" s="4" t="s">
        <v>1495</v>
      </c>
      <c r="E44" s="4" t="s">
        <v>262</v>
      </c>
      <c r="F44" s="4" t="s">
        <v>1496</v>
      </c>
      <c r="G44" s="4" t="s">
        <v>1497</v>
      </c>
      <c r="H44" s="4" t="s">
        <v>269</v>
      </c>
      <c r="I44" s="4" t="s">
        <v>882</v>
      </c>
      <c r="J44" s="4" t="s">
        <v>67</v>
      </c>
      <c r="K44" s="4" t="s">
        <v>174</v>
      </c>
      <c r="L44" s="2" t="s">
        <v>275</v>
      </c>
      <c r="M44" s="2" t="s">
        <v>292</v>
      </c>
      <c r="N44" s="4" t="s">
        <v>1452</v>
      </c>
      <c r="O44" s="4" t="s">
        <v>92</v>
      </c>
      <c r="P44" s="4" t="s">
        <v>71</v>
      </c>
      <c r="Q44" s="158">
        <v>14569</v>
      </c>
      <c r="R44" s="168">
        <v>3.71</v>
      </c>
      <c r="S44" s="170">
        <v>8075</v>
      </c>
      <c r="U44" s="158">
        <v>4364.6170000000002</v>
      </c>
      <c r="V44" s="167">
        <v>1.9999999999999999E-6</v>
      </c>
      <c r="W44" s="167">
        <v>3.3182859904258601E-2</v>
      </c>
      <c r="X44" s="167">
        <v>4.6472098107788098E-3</v>
      </c>
      <c r="Y44" s="193">
        <f t="shared" si="0"/>
        <v>8074.9991813285933</v>
      </c>
      <c r="Z44" s="170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W26"/>
  <sheetViews>
    <sheetView rightToLeft="1" topLeftCell="I1" zoomScale="70" zoomScaleNormal="70" workbookViewId="0">
      <selection activeCell="Q40" sqref="Q40"/>
    </sheetView>
  </sheetViews>
  <sheetFormatPr defaultColWidth="9" defaultRowHeight="14.25"/>
  <cols>
    <col min="1" max="2" width="11.625" style="2" customWidth="1"/>
    <col min="3" max="3" width="24.5" style="2" customWidth="1"/>
    <col min="4" max="4" width="35" style="2" customWidth="1"/>
    <col min="5" max="5" width="11.625" style="4" customWidth="1"/>
    <col min="6" max="6" width="27.125" style="2" customWidth="1"/>
    <col min="7" max="7" width="19.5" style="2" customWidth="1"/>
    <col min="8" max="10" width="11.625" style="2" customWidth="1"/>
    <col min="11" max="11" width="16.75" style="2" customWidth="1"/>
    <col min="12" max="12" width="11.625" style="2" customWidth="1"/>
    <col min="13" max="13" width="18.625" style="2" customWidth="1"/>
    <col min="14" max="15" width="11.625" style="2" customWidth="1"/>
    <col min="16" max="16" width="14" style="4" customWidth="1"/>
    <col min="17" max="18" width="11.625" style="2" customWidth="1"/>
    <col min="19" max="19" width="11.625" style="136" customWidth="1"/>
    <col min="20" max="23" width="11.625" style="2" customWidth="1"/>
    <col min="24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97</v>
      </c>
      <c r="E1" s="22" t="s">
        <v>98</v>
      </c>
      <c r="F1" s="22" t="s">
        <v>3</v>
      </c>
      <c r="G1" s="22" t="s">
        <v>4</v>
      </c>
      <c r="H1" s="22" t="s">
        <v>99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519</v>
      </c>
      <c r="N1" s="22" t="s">
        <v>78</v>
      </c>
      <c r="O1" s="22" t="s">
        <v>11</v>
      </c>
      <c r="P1" s="22" t="s">
        <v>17</v>
      </c>
      <c r="Q1" s="161" t="s">
        <v>18</v>
      </c>
      <c r="R1" s="169" t="s">
        <v>19</v>
      </c>
      <c r="S1" s="22" t="s">
        <v>16</v>
      </c>
      <c r="T1" s="22" t="s">
        <v>20</v>
      </c>
      <c r="U1" s="165" t="s">
        <v>23</v>
      </c>
      <c r="V1" s="165" t="s">
        <v>24</v>
      </c>
      <c r="W1" s="165" t="s">
        <v>25</v>
      </c>
    </row>
    <row r="2" spans="1:23">
      <c r="A2" s="23">
        <v>233</v>
      </c>
      <c r="B2" s="23">
        <v>233</v>
      </c>
      <c r="C2" s="23" t="s">
        <v>1253</v>
      </c>
      <c r="D2" s="23" t="s">
        <v>1254</v>
      </c>
      <c r="E2" s="21" t="s">
        <v>1255</v>
      </c>
      <c r="F2" s="192" t="s">
        <v>1256</v>
      </c>
      <c r="G2" s="23" t="s">
        <v>1257</v>
      </c>
      <c r="H2" s="21" t="s">
        <v>269</v>
      </c>
      <c r="I2" s="23" t="s">
        <v>933</v>
      </c>
      <c r="J2" s="21" t="s">
        <v>30</v>
      </c>
      <c r="K2" s="21" t="s">
        <v>30</v>
      </c>
      <c r="L2" s="21" t="s">
        <v>31</v>
      </c>
      <c r="M2" s="23" t="s">
        <v>1258</v>
      </c>
      <c r="N2" s="23" t="s">
        <v>92</v>
      </c>
      <c r="O2" s="21" t="s">
        <v>34</v>
      </c>
      <c r="P2" s="160">
        <v>302998</v>
      </c>
      <c r="Q2" s="175">
        <v>1</v>
      </c>
      <c r="R2" s="176">
        <v>3034</v>
      </c>
      <c r="S2" s="135"/>
      <c r="T2" s="159">
        <v>9192.9590000000007</v>
      </c>
      <c r="U2" s="174">
        <v>8.4119999999999993E-3</v>
      </c>
      <c r="V2" s="174">
        <v>3.9846728100600998E-2</v>
      </c>
      <c r="W2" s="174">
        <v>9.7881684488535792E-3</v>
      </c>
    </row>
    <row r="3" spans="1:23">
      <c r="A3" s="23">
        <v>233</v>
      </c>
      <c r="B3" s="23">
        <v>233</v>
      </c>
      <c r="C3" s="23" t="s">
        <v>1259</v>
      </c>
      <c r="D3" s="23" t="s">
        <v>1260</v>
      </c>
      <c r="E3" s="21" t="s">
        <v>1255</v>
      </c>
      <c r="F3" s="23" t="s">
        <v>1261</v>
      </c>
      <c r="G3" s="23" t="s">
        <v>1262</v>
      </c>
      <c r="H3" s="21" t="s">
        <v>269</v>
      </c>
      <c r="I3" s="23" t="s">
        <v>933</v>
      </c>
      <c r="J3" s="21" t="s">
        <v>30</v>
      </c>
      <c r="K3" s="21" t="s">
        <v>30</v>
      </c>
      <c r="L3" s="21" t="s">
        <v>31</v>
      </c>
      <c r="M3" s="23" t="s">
        <v>1258</v>
      </c>
      <c r="N3" s="23" t="s">
        <v>92</v>
      </c>
      <c r="O3" s="21" t="s">
        <v>34</v>
      </c>
      <c r="P3" s="160">
        <v>144122</v>
      </c>
      <c r="Q3" s="175">
        <v>1</v>
      </c>
      <c r="R3" s="176">
        <v>3960</v>
      </c>
      <c r="S3" s="135"/>
      <c r="T3" s="159">
        <v>5707.2309999999998</v>
      </c>
      <c r="U3" s="174">
        <v>3.1949999999999999E-3</v>
      </c>
      <c r="V3" s="174">
        <v>2.47378979844835E-2</v>
      </c>
      <c r="W3" s="174">
        <v>6.0767526992768998E-3</v>
      </c>
    </row>
    <row r="4" spans="1:23">
      <c r="A4" s="23">
        <v>233</v>
      </c>
      <c r="B4" s="23">
        <v>233</v>
      </c>
      <c r="C4" s="23" t="s">
        <v>1259</v>
      </c>
      <c r="D4" s="23" t="s">
        <v>1260</v>
      </c>
      <c r="E4" s="21" t="s">
        <v>1255</v>
      </c>
      <c r="F4" s="23" t="s">
        <v>1263</v>
      </c>
      <c r="G4" s="23" t="s">
        <v>1264</v>
      </c>
      <c r="H4" s="21" t="s">
        <v>269</v>
      </c>
      <c r="I4" s="23" t="s">
        <v>935</v>
      </c>
      <c r="J4" s="21" t="s">
        <v>30</v>
      </c>
      <c r="K4" s="21" t="s">
        <v>30</v>
      </c>
      <c r="L4" s="21" t="s">
        <v>31</v>
      </c>
      <c r="M4" s="23" t="s">
        <v>1265</v>
      </c>
      <c r="N4" s="23" t="s">
        <v>92</v>
      </c>
      <c r="O4" s="21" t="s">
        <v>34</v>
      </c>
      <c r="P4" s="160">
        <v>9890000</v>
      </c>
      <c r="Q4" s="175">
        <v>1</v>
      </c>
      <c r="R4" s="176">
        <v>389.18</v>
      </c>
      <c r="S4" s="135"/>
      <c r="T4" s="159">
        <v>38489.902000000002</v>
      </c>
      <c r="U4" s="174">
        <v>4.3388000000000003E-2</v>
      </c>
      <c r="V4" s="174">
        <v>0.16683383513686401</v>
      </c>
      <c r="W4" s="174">
        <v>4.0981976667320501E-2</v>
      </c>
    </row>
    <row r="5" spans="1:23">
      <c r="A5" s="23">
        <v>233</v>
      </c>
      <c r="B5" s="23">
        <v>233</v>
      </c>
      <c r="C5" s="23" t="s">
        <v>1266</v>
      </c>
      <c r="D5" s="23" t="s">
        <v>1267</v>
      </c>
      <c r="E5" s="21" t="s">
        <v>262</v>
      </c>
      <c r="F5" s="23" t="s">
        <v>1268</v>
      </c>
      <c r="G5" s="23" t="s">
        <v>1269</v>
      </c>
      <c r="H5" s="21" t="s">
        <v>269</v>
      </c>
      <c r="I5" s="23" t="s">
        <v>934</v>
      </c>
      <c r="J5" s="21" t="s">
        <v>67</v>
      </c>
      <c r="K5" s="21" t="s">
        <v>174</v>
      </c>
      <c r="L5" s="21" t="s">
        <v>292</v>
      </c>
      <c r="M5" s="23" t="s">
        <v>685</v>
      </c>
      <c r="N5" s="23" t="s">
        <v>92</v>
      </c>
      <c r="O5" s="21" t="s">
        <v>71</v>
      </c>
      <c r="P5" s="160">
        <v>7600</v>
      </c>
      <c r="Q5" s="175">
        <v>3.71</v>
      </c>
      <c r="R5" s="176">
        <v>22576</v>
      </c>
      <c r="S5" s="135"/>
      <c r="T5" s="159">
        <v>6365.5290000000005</v>
      </c>
      <c r="U5" s="174">
        <v>2.5000000000000001E-5</v>
      </c>
      <c r="V5" s="174">
        <v>2.7591278592280499E-2</v>
      </c>
      <c r="W5" s="174">
        <v>6.7776727338477701E-3</v>
      </c>
    </row>
    <row r="6" spans="1:23">
      <c r="A6" s="23">
        <v>233</v>
      </c>
      <c r="B6" s="23">
        <v>233</v>
      </c>
      <c r="C6" s="23" t="s">
        <v>1270</v>
      </c>
      <c r="D6" s="23" t="s">
        <v>1271</v>
      </c>
      <c r="E6" s="21" t="s">
        <v>262</v>
      </c>
      <c r="F6" s="23" t="s">
        <v>1272</v>
      </c>
      <c r="G6" s="23" t="s">
        <v>1273</v>
      </c>
      <c r="H6" s="21" t="s">
        <v>269</v>
      </c>
      <c r="I6" s="23" t="s">
        <v>934</v>
      </c>
      <c r="J6" s="21" t="s">
        <v>67</v>
      </c>
      <c r="K6" s="21" t="s">
        <v>243</v>
      </c>
      <c r="L6" s="21" t="s">
        <v>316</v>
      </c>
      <c r="M6" s="23" t="s">
        <v>685</v>
      </c>
      <c r="N6" s="23" t="s">
        <v>92</v>
      </c>
      <c r="O6" s="21" t="s">
        <v>1134</v>
      </c>
      <c r="P6" s="160">
        <v>22337</v>
      </c>
      <c r="Q6" s="175">
        <v>4.1524000000000001</v>
      </c>
      <c r="R6" s="176">
        <v>5236</v>
      </c>
      <c r="S6" s="135"/>
      <c r="T6" s="159">
        <v>4856.5029999999997</v>
      </c>
      <c r="U6" s="174">
        <v>5.2599999999999999E-4</v>
      </c>
      <c r="V6" s="174">
        <v>2.1050431010298899E-2</v>
      </c>
      <c r="W6" s="174">
        <v>5.1709431230984497E-3</v>
      </c>
    </row>
    <row r="7" spans="1:23">
      <c r="A7" s="23">
        <v>233</v>
      </c>
      <c r="B7" s="23">
        <v>233</v>
      </c>
      <c r="C7" s="23" t="s">
        <v>1274</v>
      </c>
      <c r="D7" s="23" t="s">
        <v>1275</v>
      </c>
      <c r="E7" s="21" t="s">
        <v>262</v>
      </c>
      <c r="F7" s="23" t="s">
        <v>1276</v>
      </c>
      <c r="G7" s="23" t="s">
        <v>1277</v>
      </c>
      <c r="H7" s="21" t="s">
        <v>269</v>
      </c>
      <c r="I7" s="23" t="s">
        <v>934</v>
      </c>
      <c r="J7" s="21" t="s">
        <v>67</v>
      </c>
      <c r="K7" s="21" t="s">
        <v>246</v>
      </c>
      <c r="L7" s="21" t="s">
        <v>294</v>
      </c>
      <c r="M7" s="23" t="s">
        <v>685</v>
      </c>
      <c r="N7" s="23" t="s">
        <v>92</v>
      </c>
      <c r="O7" s="21" t="s">
        <v>71</v>
      </c>
      <c r="P7" s="160">
        <v>16274</v>
      </c>
      <c r="Q7" s="175">
        <v>3.71</v>
      </c>
      <c r="R7" s="176">
        <v>2055</v>
      </c>
      <c r="S7" s="135"/>
      <c r="T7" s="159">
        <v>1240.7380000000001</v>
      </c>
      <c r="U7" s="174">
        <v>4.26E-4</v>
      </c>
      <c r="V7" s="174">
        <v>5.3779576200572703E-3</v>
      </c>
      <c r="W7" s="174">
        <v>1.3210709537559799E-3</v>
      </c>
    </row>
    <row r="8" spans="1:23">
      <c r="A8" s="23">
        <v>233</v>
      </c>
      <c r="B8" s="23">
        <v>233</v>
      </c>
      <c r="C8" s="23" t="s">
        <v>1266</v>
      </c>
      <c r="D8" s="23" t="s">
        <v>1267</v>
      </c>
      <c r="E8" s="21" t="s">
        <v>262</v>
      </c>
      <c r="F8" s="23" t="s">
        <v>1278</v>
      </c>
      <c r="G8" s="23" t="s">
        <v>1279</v>
      </c>
      <c r="H8" s="21" t="s">
        <v>269</v>
      </c>
      <c r="I8" s="23" t="s">
        <v>934</v>
      </c>
      <c r="J8" s="21" t="s">
        <v>67</v>
      </c>
      <c r="K8" s="21" t="s">
        <v>174</v>
      </c>
      <c r="L8" s="21" t="s">
        <v>292</v>
      </c>
      <c r="M8" s="23" t="s">
        <v>685</v>
      </c>
      <c r="N8" s="23" t="s">
        <v>92</v>
      </c>
      <c r="O8" s="21" t="s">
        <v>71</v>
      </c>
      <c r="P8" s="160">
        <v>4153</v>
      </c>
      <c r="Q8" s="175">
        <v>3.71</v>
      </c>
      <c r="R8" s="176">
        <v>13544</v>
      </c>
      <c r="S8" s="135"/>
      <c r="T8" s="159">
        <v>2086.8090000000002</v>
      </c>
      <c r="U8" s="174">
        <v>3.0000000000000001E-5</v>
      </c>
      <c r="V8" s="174">
        <v>9.04524040105017E-3</v>
      </c>
      <c r="W8" s="174">
        <v>2.2219223742116902E-3</v>
      </c>
    </row>
    <row r="9" spans="1:23">
      <c r="A9" s="23">
        <v>233</v>
      </c>
      <c r="B9" s="23">
        <v>233</v>
      </c>
      <c r="C9" s="23" t="s">
        <v>1284</v>
      </c>
      <c r="D9" s="23" t="s">
        <v>1285</v>
      </c>
      <c r="E9" s="21" t="s">
        <v>262</v>
      </c>
      <c r="F9" s="23" t="s">
        <v>1286</v>
      </c>
      <c r="G9" s="23" t="s">
        <v>1287</v>
      </c>
      <c r="H9" s="21" t="s">
        <v>269</v>
      </c>
      <c r="I9" s="23" t="s">
        <v>934</v>
      </c>
      <c r="J9" s="21" t="s">
        <v>67</v>
      </c>
      <c r="K9" s="21" t="s">
        <v>174</v>
      </c>
      <c r="L9" s="21" t="s">
        <v>292</v>
      </c>
      <c r="M9" s="23" t="s">
        <v>685</v>
      </c>
      <c r="N9" s="23" t="s">
        <v>92</v>
      </c>
      <c r="O9" s="21" t="s">
        <v>71</v>
      </c>
      <c r="P9" s="160">
        <v>1520</v>
      </c>
      <c r="Q9" s="175">
        <v>3.71</v>
      </c>
      <c r="R9" s="176">
        <v>57682</v>
      </c>
      <c r="S9" s="135"/>
      <c r="T9" s="159">
        <v>3252.8029999999999</v>
      </c>
      <c r="U9" s="174">
        <v>1.9999999999999999E-6</v>
      </c>
      <c r="V9" s="174">
        <v>1.40992215783126E-2</v>
      </c>
      <c r="W9" s="174">
        <v>3.46340998080977E-3</v>
      </c>
    </row>
    <row r="10" spans="1:23">
      <c r="A10" s="23">
        <v>233</v>
      </c>
      <c r="B10" s="23">
        <v>233</v>
      </c>
      <c r="C10" s="23" t="s">
        <v>1284</v>
      </c>
      <c r="D10" s="23" t="s">
        <v>1285</v>
      </c>
      <c r="E10" s="21" t="s">
        <v>262</v>
      </c>
      <c r="F10" s="23" t="s">
        <v>1288</v>
      </c>
      <c r="G10" s="23" t="s">
        <v>1289</v>
      </c>
      <c r="H10" s="21" t="s">
        <v>269</v>
      </c>
      <c r="I10" s="23" t="s">
        <v>934</v>
      </c>
      <c r="J10" s="21" t="s">
        <v>67</v>
      </c>
      <c r="K10" s="21" t="s">
        <v>218</v>
      </c>
      <c r="L10" s="21" t="s">
        <v>292</v>
      </c>
      <c r="M10" s="23" t="s">
        <v>685</v>
      </c>
      <c r="N10" s="23" t="s">
        <v>92</v>
      </c>
      <c r="O10" s="21" t="s">
        <v>71</v>
      </c>
      <c r="P10" s="160">
        <v>23693</v>
      </c>
      <c r="Q10" s="175">
        <v>3.71</v>
      </c>
      <c r="R10" s="176">
        <v>3178</v>
      </c>
      <c r="S10" s="135"/>
      <c r="T10" s="159">
        <v>2793.4949999999999</v>
      </c>
      <c r="U10" s="174">
        <v>2.9500000000000001E-4</v>
      </c>
      <c r="V10" s="174">
        <v>1.2108356103576299E-2</v>
      </c>
      <c r="W10" s="174">
        <v>2.9743628857377001E-3</v>
      </c>
    </row>
    <row r="11" spans="1:23">
      <c r="A11" s="23">
        <v>233</v>
      </c>
      <c r="B11" s="23">
        <v>233</v>
      </c>
      <c r="C11" s="23" t="s">
        <v>1284</v>
      </c>
      <c r="D11" s="23" t="s">
        <v>1285</v>
      </c>
      <c r="E11" s="21" t="s">
        <v>262</v>
      </c>
      <c r="F11" s="23" t="s">
        <v>1290</v>
      </c>
      <c r="G11" s="23" t="s">
        <v>1291</v>
      </c>
      <c r="H11" s="21" t="s">
        <v>269</v>
      </c>
      <c r="I11" s="23" t="s">
        <v>934</v>
      </c>
      <c r="J11" s="21" t="s">
        <v>67</v>
      </c>
      <c r="K11" s="21" t="s">
        <v>174</v>
      </c>
      <c r="L11" s="21" t="s">
        <v>1292</v>
      </c>
      <c r="M11" s="23" t="s">
        <v>685</v>
      </c>
      <c r="N11" s="23" t="s">
        <v>92</v>
      </c>
      <c r="O11" s="21" t="s">
        <v>71</v>
      </c>
      <c r="P11" s="160">
        <v>880</v>
      </c>
      <c r="Q11" s="175">
        <v>3.71</v>
      </c>
      <c r="R11" s="176">
        <v>114192.5</v>
      </c>
      <c r="S11" s="135"/>
      <c r="T11" s="159">
        <v>3728.1570000000002</v>
      </c>
      <c r="U11" s="174">
        <v>6.6000000000000005E-5</v>
      </c>
      <c r="V11" s="174">
        <v>1.61596329064581E-2</v>
      </c>
      <c r="W11" s="174">
        <v>3.9695407000722802E-3</v>
      </c>
    </row>
    <row r="12" spans="1:23">
      <c r="A12" s="23">
        <v>233</v>
      </c>
      <c r="B12" s="23">
        <v>233</v>
      </c>
      <c r="C12" s="23" t="s">
        <v>1284</v>
      </c>
      <c r="D12" s="23" t="s">
        <v>1285</v>
      </c>
      <c r="E12" s="21" t="s">
        <v>262</v>
      </c>
      <c r="F12" s="23" t="s">
        <v>1293</v>
      </c>
      <c r="G12" s="23" t="s">
        <v>1294</v>
      </c>
      <c r="H12" s="21" t="s">
        <v>269</v>
      </c>
      <c r="I12" s="23" t="s">
        <v>934</v>
      </c>
      <c r="J12" s="21" t="s">
        <v>67</v>
      </c>
      <c r="K12" s="21" t="s">
        <v>174</v>
      </c>
      <c r="L12" s="21" t="s">
        <v>292</v>
      </c>
      <c r="M12" s="23" t="s">
        <v>685</v>
      </c>
      <c r="N12" s="23" t="s">
        <v>92</v>
      </c>
      <c r="O12" s="21" t="s">
        <v>71</v>
      </c>
      <c r="P12" s="160">
        <v>10650</v>
      </c>
      <c r="Q12" s="175">
        <v>3.71</v>
      </c>
      <c r="R12" s="176">
        <v>12710</v>
      </c>
      <c r="S12" s="135"/>
      <c r="T12" s="159">
        <v>5021.9120000000003</v>
      </c>
      <c r="U12" s="174">
        <v>2.4000000000000001E-4</v>
      </c>
      <c r="V12" s="174">
        <v>2.1767391880810599E-2</v>
      </c>
      <c r="W12" s="174">
        <v>5.3470613166446803E-3</v>
      </c>
    </row>
    <row r="13" spans="1:23">
      <c r="A13" s="23">
        <v>233</v>
      </c>
      <c r="B13" s="23">
        <v>233</v>
      </c>
      <c r="C13" s="23" t="s">
        <v>1295</v>
      </c>
      <c r="D13" s="23" t="s">
        <v>1296</v>
      </c>
      <c r="E13" s="21" t="s">
        <v>262</v>
      </c>
      <c r="F13" s="23" t="s">
        <v>1297</v>
      </c>
      <c r="G13" s="23" t="s">
        <v>1298</v>
      </c>
      <c r="H13" s="21" t="s">
        <v>269</v>
      </c>
      <c r="I13" s="23" t="s">
        <v>934</v>
      </c>
      <c r="J13" s="21" t="s">
        <v>67</v>
      </c>
      <c r="K13" s="21" t="s">
        <v>218</v>
      </c>
      <c r="L13" s="21" t="s">
        <v>292</v>
      </c>
      <c r="M13" s="23" t="s">
        <v>685</v>
      </c>
      <c r="N13" s="23" t="s">
        <v>92</v>
      </c>
      <c r="O13" s="21" t="s">
        <v>71</v>
      </c>
      <c r="P13" s="160">
        <v>44390</v>
      </c>
      <c r="Q13" s="175">
        <v>3.71</v>
      </c>
      <c r="R13" s="176">
        <v>3402</v>
      </c>
      <c r="S13" s="135"/>
      <c r="T13" s="159">
        <v>5602.6480000000001</v>
      </c>
      <c r="U13" s="174">
        <v>3.01E-4</v>
      </c>
      <c r="V13" s="174">
        <v>2.42845853219298E-2</v>
      </c>
      <c r="W13" s="174">
        <v>5.9653984949901403E-3</v>
      </c>
    </row>
    <row r="14" spans="1:23">
      <c r="A14" s="23">
        <v>233</v>
      </c>
      <c r="B14" s="23">
        <v>233</v>
      </c>
      <c r="C14" s="23" t="s">
        <v>1284</v>
      </c>
      <c r="D14" s="23" t="s">
        <v>1285</v>
      </c>
      <c r="E14" s="21" t="s">
        <v>262</v>
      </c>
      <c r="F14" s="23" t="s">
        <v>1299</v>
      </c>
      <c r="G14" s="23" t="s">
        <v>1300</v>
      </c>
      <c r="H14" s="21" t="s">
        <v>269</v>
      </c>
      <c r="I14" s="23" t="s">
        <v>934</v>
      </c>
      <c r="J14" s="21" t="s">
        <v>67</v>
      </c>
      <c r="K14" s="21" t="s">
        <v>243</v>
      </c>
      <c r="L14" s="21" t="s">
        <v>316</v>
      </c>
      <c r="M14" s="23" t="s">
        <v>685</v>
      </c>
      <c r="N14" s="23" t="s">
        <v>92</v>
      </c>
      <c r="O14" s="21" t="s">
        <v>1134</v>
      </c>
      <c r="P14" s="160">
        <v>56515</v>
      </c>
      <c r="Q14" s="175">
        <v>4.1524000000000001</v>
      </c>
      <c r="R14" s="176">
        <v>5023</v>
      </c>
      <c r="S14" s="135"/>
      <c r="T14" s="159">
        <v>11787.619000000001</v>
      </c>
      <c r="U14" s="174">
        <v>5.7899999999999998E-4</v>
      </c>
      <c r="V14" s="174">
        <v>5.1093237274099298E-2</v>
      </c>
      <c r="W14" s="174">
        <v>1.25508225361315E-2</v>
      </c>
    </row>
    <row r="15" spans="1:23">
      <c r="A15" s="23">
        <v>233</v>
      </c>
      <c r="B15" s="23">
        <v>233</v>
      </c>
      <c r="C15" s="23" t="s">
        <v>1266</v>
      </c>
      <c r="D15" s="23" t="s">
        <v>1267</v>
      </c>
      <c r="E15" s="21" t="s">
        <v>262</v>
      </c>
      <c r="F15" s="23" t="s">
        <v>1301</v>
      </c>
      <c r="G15" s="23" t="s">
        <v>1302</v>
      </c>
      <c r="H15" s="21" t="s">
        <v>269</v>
      </c>
      <c r="I15" s="23" t="s">
        <v>934</v>
      </c>
      <c r="J15" s="21" t="s">
        <v>67</v>
      </c>
      <c r="K15" s="21" t="s">
        <v>174</v>
      </c>
      <c r="L15" s="21" t="s">
        <v>328</v>
      </c>
      <c r="M15" s="23" t="s">
        <v>685</v>
      </c>
      <c r="N15" s="23" t="s">
        <v>92</v>
      </c>
      <c r="O15" s="21" t="s">
        <v>71</v>
      </c>
      <c r="P15" s="160">
        <v>18150</v>
      </c>
      <c r="Q15" s="175">
        <v>3.71</v>
      </c>
      <c r="R15" s="176">
        <v>11772.5</v>
      </c>
      <c r="S15" s="135"/>
      <c r="T15" s="159">
        <v>7927.1890000000003</v>
      </c>
      <c r="U15" s="174">
        <v>2.1870000000000001E-3</v>
      </c>
      <c r="V15" s="174">
        <v>3.4360269867286498E-2</v>
      </c>
      <c r="W15" s="174">
        <v>8.4404448104233604E-3</v>
      </c>
    </row>
    <row r="16" spans="1:23">
      <c r="A16" s="23">
        <v>233</v>
      </c>
      <c r="B16" s="23">
        <v>233</v>
      </c>
      <c r="C16" s="23" t="s">
        <v>1303</v>
      </c>
      <c r="D16" s="23" t="s">
        <v>1267</v>
      </c>
      <c r="E16" s="21" t="s">
        <v>262</v>
      </c>
      <c r="F16" s="23" t="s">
        <v>1304</v>
      </c>
      <c r="G16" s="23" t="s">
        <v>1305</v>
      </c>
      <c r="H16" s="21" t="s">
        <v>269</v>
      </c>
      <c r="I16" s="23" t="s">
        <v>934</v>
      </c>
      <c r="J16" s="21" t="s">
        <v>67</v>
      </c>
      <c r="K16" s="21" t="s">
        <v>174</v>
      </c>
      <c r="L16" s="21" t="s">
        <v>328</v>
      </c>
      <c r="M16" s="23" t="s">
        <v>685</v>
      </c>
      <c r="N16" s="23" t="s">
        <v>92</v>
      </c>
      <c r="O16" s="21" t="s">
        <v>71</v>
      </c>
      <c r="P16" s="160">
        <v>15254</v>
      </c>
      <c r="Q16" s="175">
        <v>3.71</v>
      </c>
      <c r="R16" s="176">
        <v>3368.5</v>
      </c>
      <c r="S16" s="135"/>
      <c r="T16" s="159">
        <v>1906.3130000000001</v>
      </c>
      <c r="U16" s="174">
        <v>1.2819999999999999E-3</v>
      </c>
      <c r="V16" s="174">
        <v>8.2628816316566295E-3</v>
      </c>
      <c r="W16" s="174">
        <v>2.0297394827349302E-3</v>
      </c>
    </row>
    <row r="17" spans="1:23">
      <c r="A17" s="23">
        <v>233</v>
      </c>
      <c r="B17" s="23">
        <v>233</v>
      </c>
      <c r="C17" s="23" t="s">
        <v>1266</v>
      </c>
      <c r="D17" s="23" t="s">
        <v>1267</v>
      </c>
      <c r="E17" s="21" t="s">
        <v>262</v>
      </c>
      <c r="F17" s="23" t="s">
        <v>1306</v>
      </c>
      <c r="G17" s="23" t="s">
        <v>1307</v>
      </c>
      <c r="H17" s="21" t="s">
        <v>269</v>
      </c>
      <c r="I17" s="23" t="s">
        <v>934</v>
      </c>
      <c r="J17" s="21" t="s">
        <v>67</v>
      </c>
      <c r="K17" s="21" t="s">
        <v>174</v>
      </c>
      <c r="L17" s="21" t="s">
        <v>328</v>
      </c>
      <c r="M17" s="23" t="s">
        <v>685</v>
      </c>
      <c r="N17" s="23" t="s">
        <v>92</v>
      </c>
      <c r="O17" s="21" t="s">
        <v>71</v>
      </c>
      <c r="P17" s="160">
        <v>30800</v>
      </c>
      <c r="Q17" s="175">
        <v>3.71</v>
      </c>
      <c r="R17" s="176">
        <v>5236.2</v>
      </c>
      <c r="S17" s="135"/>
      <c r="T17" s="159">
        <v>5983.3010000000004</v>
      </c>
      <c r="U17" s="174">
        <v>9.2999999999999997E-5</v>
      </c>
      <c r="V17" s="174">
        <v>2.5934517975067201E-2</v>
      </c>
      <c r="W17" s="174">
        <v>6.37069698517982E-3</v>
      </c>
    </row>
    <row r="18" spans="1:23">
      <c r="A18" s="23">
        <v>233</v>
      </c>
      <c r="B18" s="23">
        <v>233</v>
      </c>
      <c r="C18" s="23" t="s">
        <v>1266</v>
      </c>
      <c r="D18" s="23" t="s">
        <v>1267</v>
      </c>
      <c r="E18" s="21" t="s">
        <v>262</v>
      </c>
      <c r="F18" s="23" t="s">
        <v>1308</v>
      </c>
      <c r="G18" s="23" t="s">
        <v>1309</v>
      </c>
      <c r="H18" s="21" t="s">
        <v>269</v>
      </c>
      <c r="I18" s="23" t="s">
        <v>934</v>
      </c>
      <c r="J18" s="21" t="s">
        <v>67</v>
      </c>
      <c r="K18" s="21" t="s">
        <v>174</v>
      </c>
      <c r="L18" s="21" t="s">
        <v>68</v>
      </c>
      <c r="M18" s="23" t="s">
        <v>685</v>
      </c>
      <c r="N18" s="23" t="s">
        <v>92</v>
      </c>
      <c r="O18" s="21" t="s">
        <v>71</v>
      </c>
      <c r="P18" s="160">
        <v>693060</v>
      </c>
      <c r="Q18" s="175">
        <v>3.71</v>
      </c>
      <c r="R18" s="176">
        <v>1392.2</v>
      </c>
      <c r="S18" s="135"/>
      <c r="T18" s="159">
        <v>35796.978999999999</v>
      </c>
      <c r="U18" s="174">
        <v>5.1338000000000002E-2</v>
      </c>
      <c r="V18" s="174">
        <v>0.155161404213669</v>
      </c>
      <c r="W18" s="174">
        <v>3.8114696829553298E-2</v>
      </c>
    </row>
    <row r="19" spans="1:23">
      <c r="A19" s="2">
        <v>233</v>
      </c>
      <c r="B19" s="2">
        <v>233</v>
      </c>
      <c r="C19" s="2" t="s">
        <v>1266</v>
      </c>
      <c r="D19" s="2" t="s">
        <v>1267</v>
      </c>
      <c r="E19" s="21" t="s">
        <v>262</v>
      </c>
      <c r="F19" s="2" t="s">
        <v>1310</v>
      </c>
      <c r="G19" s="2" t="s">
        <v>1311</v>
      </c>
      <c r="H19" s="21" t="s">
        <v>269</v>
      </c>
      <c r="I19" s="23" t="s">
        <v>934</v>
      </c>
      <c r="J19" s="21" t="s">
        <v>67</v>
      </c>
      <c r="K19" s="21" t="s">
        <v>218</v>
      </c>
      <c r="L19" s="21" t="s">
        <v>292</v>
      </c>
      <c r="M19" s="23" t="s">
        <v>685</v>
      </c>
      <c r="N19" s="23" t="s">
        <v>92</v>
      </c>
      <c r="O19" s="2" t="s">
        <v>71</v>
      </c>
      <c r="P19" s="160">
        <v>10748</v>
      </c>
      <c r="Q19" s="162">
        <v>3.71</v>
      </c>
      <c r="R19" s="177">
        <v>8212</v>
      </c>
      <c r="T19" s="157">
        <v>3274.5419999999999</v>
      </c>
      <c r="U19" s="166">
        <v>6.0599999999999998E-4</v>
      </c>
      <c r="V19" s="166">
        <v>1.4193445552848001E-2</v>
      </c>
      <c r="W19" s="166">
        <v>3.48655567378473E-3</v>
      </c>
    </row>
    <row r="20" spans="1:23">
      <c r="A20" s="2">
        <v>233</v>
      </c>
      <c r="B20" s="2">
        <v>233</v>
      </c>
      <c r="C20" s="2" t="s">
        <v>1312</v>
      </c>
      <c r="D20" s="2" t="s">
        <v>1313</v>
      </c>
      <c r="E20" s="4" t="s">
        <v>262</v>
      </c>
      <c r="F20" s="2" t="s">
        <v>1314</v>
      </c>
      <c r="G20" s="2" t="s">
        <v>1315</v>
      </c>
      <c r="H20" s="4" t="s">
        <v>269</v>
      </c>
      <c r="I20" s="2" t="s">
        <v>934</v>
      </c>
      <c r="J20" s="2" t="s">
        <v>67</v>
      </c>
      <c r="K20" s="2" t="s">
        <v>174</v>
      </c>
      <c r="L20" s="4" t="s">
        <v>294</v>
      </c>
      <c r="M20" s="2" t="s">
        <v>685</v>
      </c>
      <c r="N20" s="2" t="s">
        <v>92</v>
      </c>
      <c r="O20" s="2" t="s">
        <v>71</v>
      </c>
      <c r="P20" s="158">
        <v>4395</v>
      </c>
      <c r="Q20" s="162">
        <v>3.71</v>
      </c>
      <c r="R20" s="177">
        <v>112716</v>
      </c>
      <c r="T20" s="157">
        <v>18378.850999999999</v>
      </c>
      <c r="U20" s="166">
        <v>4.3199999999999998E-4</v>
      </c>
      <c r="V20" s="166">
        <v>7.9662821729432606E-2</v>
      </c>
      <c r="W20" s="166">
        <v>1.9568811678340001E-2</v>
      </c>
    </row>
    <row r="21" spans="1:23">
      <c r="A21" s="2">
        <v>233</v>
      </c>
      <c r="B21" s="2">
        <v>233</v>
      </c>
      <c r="C21" s="2" t="s">
        <v>1320</v>
      </c>
      <c r="D21" s="2" t="s">
        <v>1321</v>
      </c>
      <c r="E21" s="4" t="s">
        <v>262</v>
      </c>
      <c r="F21" s="2" t="s">
        <v>1322</v>
      </c>
      <c r="G21" s="2" t="s">
        <v>1323</v>
      </c>
      <c r="H21" s="2" t="s">
        <v>269</v>
      </c>
      <c r="I21" s="2" t="s">
        <v>934</v>
      </c>
      <c r="J21" s="2" t="s">
        <v>67</v>
      </c>
      <c r="K21" s="2" t="s">
        <v>1324</v>
      </c>
      <c r="L21" s="2" t="s">
        <v>68</v>
      </c>
      <c r="M21" s="2" t="s">
        <v>685</v>
      </c>
      <c r="N21" s="2" t="s">
        <v>92</v>
      </c>
      <c r="O21" s="2" t="s">
        <v>1134</v>
      </c>
      <c r="P21" s="158">
        <v>26845</v>
      </c>
      <c r="Q21" s="162">
        <v>4.1524000000000001</v>
      </c>
      <c r="R21" s="177">
        <v>5964</v>
      </c>
      <c r="T21" s="157">
        <v>6648.1409999999996</v>
      </c>
      <c r="U21" s="166">
        <v>2.9499999999999999E-3</v>
      </c>
      <c r="V21" s="166">
        <v>2.8816255985530299E-2</v>
      </c>
      <c r="W21" s="166">
        <v>7.0785828873965104E-3</v>
      </c>
    </row>
    <row r="22" spans="1:23">
      <c r="A22" s="2">
        <v>233</v>
      </c>
      <c r="B22" s="2">
        <v>233</v>
      </c>
      <c r="C22" s="2" t="s">
        <v>1320</v>
      </c>
      <c r="D22" s="2" t="s">
        <v>1321</v>
      </c>
      <c r="E22" s="4" t="s">
        <v>262</v>
      </c>
      <c r="F22" s="2" t="s">
        <v>1325</v>
      </c>
      <c r="G22" s="2" t="s">
        <v>1323</v>
      </c>
      <c r="H22" s="2" t="s">
        <v>269</v>
      </c>
      <c r="I22" s="2" t="s">
        <v>934</v>
      </c>
      <c r="J22" s="2" t="s">
        <v>67</v>
      </c>
      <c r="K22" s="2" t="s">
        <v>1324</v>
      </c>
      <c r="L22" s="2" t="s">
        <v>1292</v>
      </c>
      <c r="M22" s="2" t="s">
        <v>685</v>
      </c>
      <c r="N22" s="2" t="s">
        <v>92</v>
      </c>
      <c r="O22" s="2" t="s">
        <v>71</v>
      </c>
      <c r="P22" s="158">
        <v>6885</v>
      </c>
      <c r="Q22" s="162">
        <v>3.71</v>
      </c>
      <c r="R22" s="177">
        <v>6639</v>
      </c>
      <c r="T22" s="157">
        <v>1695.8230000000001</v>
      </c>
      <c r="U22" s="166">
        <v>7.5699999999999997E-4</v>
      </c>
      <c r="V22" s="166">
        <v>7.3505164000605199E-3</v>
      </c>
      <c r="W22" s="166">
        <v>1.8056210921058801E-3</v>
      </c>
    </row>
    <row r="23" spans="1:23">
      <c r="A23" s="2">
        <v>233</v>
      </c>
      <c r="B23" s="2">
        <v>233</v>
      </c>
      <c r="C23" s="2" t="s">
        <v>1320</v>
      </c>
      <c r="D23" s="2" t="s">
        <v>1321</v>
      </c>
      <c r="E23" s="4" t="s">
        <v>262</v>
      </c>
      <c r="F23" s="2" t="s">
        <v>1326</v>
      </c>
      <c r="G23" s="2" t="s">
        <v>1327</v>
      </c>
      <c r="H23" s="2" t="s">
        <v>269</v>
      </c>
      <c r="I23" s="2" t="s">
        <v>934</v>
      </c>
      <c r="J23" s="2" t="s">
        <v>67</v>
      </c>
      <c r="K23" s="2" t="s">
        <v>174</v>
      </c>
      <c r="L23" s="2" t="s">
        <v>292</v>
      </c>
      <c r="M23" s="2" t="s">
        <v>685</v>
      </c>
      <c r="N23" s="2" t="s">
        <v>92</v>
      </c>
      <c r="O23" s="2" t="s">
        <v>71</v>
      </c>
      <c r="P23" s="158">
        <v>8249</v>
      </c>
      <c r="Q23" s="162">
        <v>3.71</v>
      </c>
      <c r="R23" s="177">
        <v>52811.144552995611</v>
      </c>
      <c r="T23" s="157">
        <v>16162.211775595217</v>
      </c>
      <c r="U23" s="166">
        <v>1.2E-5</v>
      </c>
      <c r="V23" s="166">
        <v>7.0054865990261006E-2</v>
      </c>
      <c r="W23" s="166">
        <v>1.7208660827642601E-2</v>
      </c>
    </row>
    <row r="24" spans="1:23">
      <c r="A24" s="23">
        <v>233</v>
      </c>
      <c r="B24" s="23">
        <v>233</v>
      </c>
      <c r="C24" s="23" t="s">
        <v>1280</v>
      </c>
      <c r="D24" s="23" t="s">
        <v>1281</v>
      </c>
      <c r="E24" s="21" t="s">
        <v>262</v>
      </c>
      <c r="F24" s="23" t="s">
        <v>1282</v>
      </c>
      <c r="G24" s="23" t="s">
        <v>1283</v>
      </c>
      <c r="H24" s="21" t="s">
        <v>269</v>
      </c>
      <c r="I24" s="23" t="s">
        <v>936</v>
      </c>
      <c r="J24" s="21" t="s">
        <v>67</v>
      </c>
      <c r="K24" s="21" t="s">
        <v>174</v>
      </c>
      <c r="L24" s="21" t="s">
        <v>328</v>
      </c>
      <c r="M24" s="23" t="s">
        <v>682</v>
      </c>
      <c r="N24" s="23" t="s">
        <v>92</v>
      </c>
      <c r="O24" s="21" t="s">
        <v>71</v>
      </c>
      <c r="P24" s="160">
        <v>210000</v>
      </c>
      <c r="Q24" s="175">
        <v>3.71</v>
      </c>
      <c r="R24" s="176">
        <v>2676</v>
      </c>
      <c r="S24" s="135"/>
      <c r="T24" s="159">
        <v>20848.716</v>
      </c>
      <c r="U24" s="174">
        <v>1.0194E-2</v>
      </c>
      <c r="V24" s="174">
        <v>9.0368410082189807E-2</v>
      </c>
      <c r="W24" s="174">
        <v>2.21985910137051E-2</v>
      </c>
    </row>
    <row r="25" spans="1:23">
      <c r="A25" s="2">
        <v>233</v>
      </c>
      <c r="B25" s="2">
        <v>233</v>
      </c>
      <c r="C25" s="2" t="s">
        <v>1316</v>
      </c>
      <c r="D25" s="2" t="s">
        <v>1317</v>
      </c>
      <c r="E25" s="4" t="s">
        <v>262</v>
      </c>
      <c r="F25" s="2" t="s">
        <v>1318</v>
      </c>
      <c r="G25" s="2" t="s">
        <v>1319</v>
      </c>
      <c r="H25" s="2" t="s">
        <v>269</v>
      </c>
      <c r="I25" s="2" t="s">
        <v>936</v>
      </c>
      <c r="J25" s="2" t="s">
        <v>67</v>
      </c>
      <c r="K25" s="2" t="s">
        <v>174</v>
      </c>
      <c r="L25" s="4" t="s">
        <v>344</v>
      </c>
      <c r="M25" s="2" t="s">
        <v>682</v>
      </c>
      <c r="N25" s="2" t="s">
        <v>92</v>
      </c>
      <c r="O25" s="2" t="s">
        <v>71</v>
      </c>
      <c r="P25" s="158">
        <v>180000</v>
      </c>
      <c r="Q25" s="162">
        <v>3.71</v>
      </c>
      <c r="R25" s="177">
        <v>1790.9</v>
      </c>
      <c r="T25" s="157">
        <v>11959.63</v>
      </c>
      <c r="U25" s="166">
        <v>1.0651000000000001E-2</v>
      </c>
      <c r="V25" s="166">
        <v>5.18388166611767E-2</v>
      </c>
      <c r="W25" s="166">
        <v>1.27339707387715E-2</v>
      </c>
    </row>
    <row r="26" spans="1:23">
      <c r="G26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J2:J19 J24:J25" xr:uid="{00000000-0002-0000-0700-000000000000}">
      <formula1>israel_abroad</formula1>
    </dataValidation>
    <dataValidation type="list" allowBlank="1" showInputMessage="1" showErrorMessage="1" sqref="N2:N19 N24:N25" xr:uid="{00000000-0002-0000-0700-000001000000}">
      <formula1>Holding_interest</formula1>
    </dataValidation>
    <dataValidation type="list" allowBlank="1" showInputMessage="1" showErrorMessage="1" sqref="K3:K19 K24:K25" xr:uid="{00000000-0002-0000-0700-000002000000}">
      <formula1>Country_list</formula1>
    </dataValidation>
    <dataValidation type="list" allowBlank="1" showInputMessage="1" showErrorMessage="1" sqref="M2:M19 M24:M25" xr:uid="{00000000-0002-0000-0700-000003000000}">
      <formula1>Fund_type</formula1>
    </dataValidation>
    <dataValidation type="list" allowBlank="1" showInputMessage="1" showErrorMessage="1" sqref="E2:E19 E24:E25" xr:uid="{00000000-0002-0000-0700-000004000000}">
      <formula1>Issuer_Type_TFunds</formula1>
    </dataValidation>
    <dataValidation type="list" allowBlank="1" showInputMessage="1" showErrorMessage="1" sqref="H2:H19 H24:H25" xr:uid="{00000000-0002-0000-0700-000005000000}">
      <formula1>Security_ID_Number_Type</formula1>
    </dataValidation>
    <dataValidation type="list" allowBlank="1" showInputMessage="1" showErrorMessage="1" sqref="L2:L19 L24:L25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I2:I19 I24:I25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W1048574"/>
  <sheetViews>
    <sheetView rightToLeft="1" zoomScale="70" zoomScaleNormal="70" workbookViewId="0"/>
  </sheetViews>
  <sheetFormatPr defaultColWidth="9" defaultRowHeight="14.25"/>
  <cols>
    <col min="1" max="12" width="11.625" style="4" customWidth="1"/>
    <col min="13" max="13" width="11.625" style="2" customWidth="1"/>
    <col min="14" max="24" width="11.625" style="4" customWidth="1"/>
    <col min="25" max="25" width="9" style="4" customWidth="1"/>
    <col min="26" max="16384" width="9" style="4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97</v>
      </c>
      <c r="E1" s="22" t="s">
        <v>98</v>
      </c>
      <c r="F1" s="22" t="s">
        <v>1066</v>
      </c>
      <c r="G1" s="22" t="s">
        <v>4</v>
      </c>
      <c r="H1" s="22" t="s">
        <v>99</v>
      </c>
      <c r="I1" s="22" t="s">
        <v>5</v>
      </c>
      <c r="J1" s="22" t="s">
        <v>6</v>
      </c>
      <c r="K1" s="22" t="s">
        <v>7</v>
      </c>
      <c r="L1" s="22" t="s">
        <v>274</v>
      </c>
      <c r="M1" s="22" t="s">
        <v>8</v>
      </c>
      <c r="N1" s="22" t="s">
        <v>519</v>
      </c>
      <c r="O1" s="22" t="s">
        <v>78</v>
      </c>
      <c r="P1" s="22" t="s">
        <v>11</v>
      </c>
      <c r="Q1" s="22" t="s">
        <v>17</v>
      </c>
      <c r="R1" s="22" t="s">
        <v>18</v>
      </c>
      <c r="S1" s="22" t="s">
        <v>19</v>
      </c>
      <c r="T1" s="22" t="s">
        <v>20</v>
      </c>
      <c r="U1" s="22" t="s">
        <v>23</v>
      </c>
      <c r="V1" s="22" t="s">
        <v>24</v>
      </c>
      <c r="W1" s="22" t="s">
        <v>25</v>
      </c>
    </row>
    <row r="2" spans="1:23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M2" s="21"/>
      <c r="N2" s="23"/>
      <c r="O2" s="23"/>
      <c r="P2" s="21"/>
      <c r="Q2" s="21"/>
      <c r="R2" s="21"/>
      <c r="S2" s="21"/>
      <c r="T2" s="21"/>
      <c r="U2" s="21"/>
      <c r="V2" s="21"/>
      <c r="W2" s="21"/>
    </row>
    <row r="3" spans="1:23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M3" s="21"/>
      <c r="N3" s="23"/>
      <c r="O3" s="23"/>
      <c r="P3" s="21"/>
      <c r="Q3" s="21"/>
      <c r="R3" s="21"/>
      <c r="S3" s="21"/>
      <c r="T3" s="21"/>
      <c r="U3" s="21"/>
      <c r="V3" s="21"/>
      <c r="W3" s="21"/>
    </row>
    <row r="4" spans="1:23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M4" s="21"/>
      <c r="N4" s="23"/>
      <c r="O4" s="23"/>
      <c r="P4" s="21"/>
      <c r="Q4" s="21"/>
      <c r="R4" s="21"/>
      <c r="S4" s="21"/>
      <c r="T4" s="21"/>
      <c r="U4" s="21"/>
      <c r="V4" s="21"/>
      <c r="W4" s="21"/>
    </row>
    <row r="5" spans="1:23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M5" s="21"/>
      <c r="N5" s="23"/>
      <c r="O5" s="23"/>
      <c r="P5" s="21"/>
      <c r="Q5" s="21"/>
      <c r="R5" s="21"/>
      <c r="S5" s="21"/>
      <c r="T5" s="21"/>
      <c r="U5" s="21"/>
      <c r="V5" s="21"/>
      <c r="W5" s="21"/>
    </row>
    <row r="6" spans="1:23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M6" s="21"/>
      <c r="N6" s="23"/>
      <c r="O6" s="23"/>
      <c r="P6" s="21"/>
      <c r="Q6" s="21"/>
      <c r="R6" s="21"/>
      <c r="S6" s="21"/>
      <c r="T6" s="21"/>
      <c r="U6" s="21"/>
      <c r="V6" s="21"/>
      <c r="W6" s="21"/>
    </row>
    <row r="7" spans="1:23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M7" s="21"/>
      <c r="N7" s="23"/>
      <c r="O7" s="23"/>
      <c r="P7" s="21"/>
      <c r="Q7" s="21"/>
      <c r="R7" s="21"/>
      <c r="S7" s="21"/>
      <c r="T7" s="21"/>
      <c r="U7" s="21"/>
      <c r="V7" s="21"/>
      <c r="W7" s="21"/>
    </row>
    <row r="8" spans="1:23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M8" s="21"/>
      <c r="N8" s="23"/>
      <c r="O8" s="23"/>
      <c r="P8" s="21"/>
      <c r="Q8" s="21"/>
      <c r="R8" s="21"/>
      <c r="S8" s="21"/>
      <c r="T8" s="21"/>
      <c r="U8" s="21"/>
      <c r="V8" s="21"/>
      <c r="W8" s="21"/>
    </row>
    <row r="9" spans="1:23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M9" s="21"/>
      <c r="N9" s="23"/>
      <c r="O9" s="23"/>
      <c r="P9" s="21"/>
      <c r="Q9" s="21"/>
      <c r="R9" s="21"/>
      <c r="S9" s="21"/>
      <c r="T9" s="21"/>
      <c r="U9" s="21"/>
      <c r="V9" s="21"/>
      <c r="W9" s="21"/>
    </row>
    <row r="10" spans="1:23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M10" s="21"/>
      <c r="N10" s="23"/>
      <c r="O10" s="23"/>
      <c r="P10" s="21"/>
      <c r="Q10" s="21"/>
      <c r="R10" s="21"/>
      <c r="S10" s="21"/>
      <c r="T10" s="21"/>
      <c r="U10" s="21"/>
      <c r="V10" s="21"/>
      <c r="W10" s="21"/>
    </row>
    <row r="11" spans="1:23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M11" s="21"/>
      <c r="N11" s="23"/>
      <c r="O11" s="23"/>
      <c r="P11" s="21"/>
      <c r="Q11" s="21"/>
      <c r="R11" s="21"/>
      <c r="S11" s="21"/>
      <c r="T11" s="21"/>
      <c r="U11" s="21"/>
      <c r="V11" s="21"/>
      <c r="W11" s="21"/>
    </row>
    <row r="12" spans="1:2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M12" s="21"/>
      <c r="N12" s="23"/>
      <c r="O12" s="23"/>
      <c r="P12" s="21"/>
      <c r="Q12" s="21"/>
      <c r="R12" s="21"/>
      <c r="S12" s="21"/>
      <c r="T12" s="21"/>
      <c r="U12" s="21"/>
      <c r="V12" s="21"/>
      <c r="W12" s="21"/>
    </row>
    <row r="13" spans="1:2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M13" s="21"/>
      <c r="N13" s="23"/>
      <c r="O13" s="23"/>
      <c r="P13" s="21"/>
      <c r="Q13" s="21"/>
      <c r="R13" s="21"/>
      <c r="S13" s="21"/>
      <c r="T13" s="21"/>
      <c r="U13" s="21"/>
      <c r="V13" s="21"/>
      <c r="W13" s="21"/>
    </row>
    <row r="14" spans="1:2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M14" s="21"/>
      <c r="N14" s="23"/>
      <c r="O14" s="23"/>
      <c r="P14" s="21"/>
      <c r="Q14" s="21"/>
      <c r="R14" s="21"/>
      <c r="S14" s="21"/>
      <c r="T14" s="21"/>
      <c r="U14" s="21"/>
      <c r="V14" s="21"/>
      <c r="W14" s="21"/>
    </row>
    <row r="15" spans="1:23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M15" s="21"/>
      <c r="N15" s="23"/>
      <c r="O15" s="23"/>
      <c r="P15" s="21"/>
      <c r="Q15" s="21"/>
      <c r="R15" s="21"/>
      <c r="S15" s="21"/>
      <c r="T15" s="21"/>
      <c r="U15" s="21"/>
      <c r="V15" s="21"/>
      <c r="W15" s="21"/>
    </row>
    <row r="16" spans="1:23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M16" s="21"/>
      <c r="N16" s="23"/>
      <c r="O16" s="23"/>
      <c r="P16" s="21"/>
      <c r="Q16" s="21"/>
      <c r="R16" s="21"/>
      <c r="S16" s="21"/>
      <c r="T16" s="21"/>
      <c r="U16" s="21"/>
      <c r="V16" s="21"/>
      <c r="W16" s="21"/>
    </row>
    <row r="17" spans="1:2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M17" s="21"/>
      <c r="N17" s="23"/>
      <c r="O17" s="23"/>
      <c r="P17" s="21"/>
      <c r="Q17" s="21"/>
      <c r="R17" s="21"/>
      <c r="S17" s="21"/>
      <c r="T17" s="21"/>
      <c r="U17" s="21"/>
      <c r="V17" s="21"/>
      <c r="W17" s="21"/>
    </row>
    <row r="18" spans="1:2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M18" s="21"/>
      <c r="N18" s="23"/>
      <c r="O18" s="23"/>
      <c r="P18" s="21"/>
      <c r="Q18" s="21"/>
      <c r="R18" s="21"/>
      <c r="S18" s="21"/>
      <c r="T18" s="21"/>
      <c r="U18" s="21"/>
      <c r="V18" s="21"/>
      <c r="W18" s="21"/>
    </row>
    <row r="19" spans="1:2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M19" s="21"/>
      <c r="N19" s="23"/>
      <c r="O19" s="23"/>
      <c r="P19" s="21"/>
      <c r="Q19" s="21"/>
      <c r="R19" s="21"/>
      <c r="S19" s="21"/>
      <c r="T19" s="21"/>
      <c r="U19" s="21"/>
      <c r="V19" s="21"/>
      <c r="W19" s="21"/>
    </row>
    <row r="20" spans="1:23">
      <c r="E20" s="21"/>
      <c r="H20" s="21"/>
      <c r="I20" s="21"/>
      <c r="J20" s="21"/>
      <c r="K20" s="21"/>
      <c r="M20" s="21"/>
      <c r="N20" s="23"/>
      <c r="O20" s="23"/>
    </row>
    <row r="21" spans="1:23">
      <c r="M21" s="4"/>
    </row>
    <row r="22" spans="1:23">
      <c r="H22" s="2"/>
      <c r="M22" s="4"/>
    </row>
    <row r="23" spans="1:23">
      <c r="H23" s="2"/>
    </row>
    <row r="24" spans="1:23">
      <c r="H24" s="2"/>
    </row>
    <row r="25" spans="1:23">
      <c r="H25" s="2"/>
    </row>
    <row r="26" spans="1:23">
      <c r="H26" s="2"/>
    </row>
    <row r="27" spans="1:23">
      <c r="H27" s="2"/>
    </row>
    <row r="28" spans="1:23">
      <c r="H28" s="2"/>
    </row>
    <row r="1048574" spans="14:14">
      <c r="N1048574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7" width="11.625" style="2" customWidth="1"/>
    <col min="28" max="28" width="9" style="2" customWidth="1"/>
    <col min="29" max="16384" width="9" style="2"/>
  </cols>
  <sheetData>
    <row r="1" spans="1:25" ht="66.75" customHeight="1">
      <c r="A1" s="22" t="s">
        <v>0</v>
      </c>
      <c r="B1" s="22" t="s">
        <v>1</v>
      </c>
      <c r="C1" s="22" t="s">
        <v>2</v>
      </c>
      <c r="D1" s="22" t="s">
        <v>97</v>
      </c>
      <c r="E1" s="22" t="s">
        <v>98</v>
      </c>
      <c r="F1" s="22" t="s">
        <v>3</v>
      </c>
      <c r="G1" s="22" t="s">
        <v>4</v>
      </c>
      <c r="H1" s="22" t="s">
        <v>99</v>
      </c>
      <c r="I1" s="22" t="s">
        <v>6</v>
      </c>
      <c r="J1" s="22" t="s">
        <v>7</v>
      </c>
      <c r="K1" s="22" t="s">
        <v>274</v>
      </c>
      <c r="L1" s="22" t="s">
        <v>8</v>
      </c>
      <c r="M1" s="22" t="s">
        <v>1072</v>
      </c>
      <c r="N1" s="22" t="s">
        <v>100</v>
      </c>
      <c r="O1" s="22" t="s">
        <v>1073</v>
      </c>
      <c r="P1" s="22" t="s">
        <v>78</v>
      </c>
      <c r="Q1" s="22" t="s">
        <v>11</v>
      </c>
      <c r="R1" s="22" t="s">
        <v>1074</v>
      </c>
      <c r="S1" s="22" t="s">
        <v>1075</v>
      </c>
      <c r="T1" s="22" t="s">
        <v>17</v>
      </c>
      <c r="U1" s="22" t="s">
        <v>18</v>
      </c>
      <c r="V1" s="22" t="s">
        <v>19</v>
      </c>
      <c r="W1" s="22" t="s">
        <v>20</v>
      </c>
      <c r="X1" s="22" t="s">
        <v>24</v>
      </c>
      <c r="Y1" s="22" t="s">
        <v>25</v>
      </c>
    </row>
    <row r="2" spans="1:25">
      <c r="A2" s="30"/>
      <c r="B2" s="23"/>
      <c r="C2" s="23"/>
      <c r="D2" s="23"/>
      <c r="E2" s="21"/>
      <c r="F2" s="23"/>
      <c r="G2" s="23"/>
      <c r="H2" s="21"/>
      <c r="I2" s="21"/>
      <c r="J2" s="21"/>
      <c r="K2" s="23"/>
      <c r="L2" s="21"/>
      <c r="M2" s="23"/>
      <c r="N2" s="23"/>
      <c r="O2" s="23"/>
      <c r="P2" s="23"/>
      <c r="Q2" s="21"/>
      <c r="R2" s="21"/>
      <c r="S2" s="21"/>
      <c r="T2" s="23"/>
      <c r="U2" s="23"/>
      <c r="V2" s="23"/>
      <c r="W2" s="23"/>
      <c r="X2" s="23"/>
      <c r="Y2" s="23"/>
    </row>
    <row r="3" spans="1:25">
      <c r="A3" s="23"/>
      <c r="B3" s="23"/>
      <c r="C3" s="23"/>
      <c r="D3" s="23"/>
      <c r="E3" s="21"/>
      <c r="F3" s="23"/>
      <c r="G3" s="23"/>
      <c r="H3" s="21"/>
      <c r="I3" s="21"/>
      <c r="J3" s="21"/>
      <c r="K3" s="23"/>
      <c r="L3" s="21"/>
      <c r="M3" s="23"/>
      <c r="N3" s="23"/>
      <c r="O3" s="23"/>
      <c r="P3" s="23"/>
      <c r="Q3" s="21"/>
      <c r="R3" s="21"/>
      <c r="S3" s="21"/>
      <c r="T3" s="23"/>
      <c r="U3" s="23"/>
      <c r="V3" s="23"/>
      <c r="W3" s="23"/>
      <c r="X3" s="23"/>
      <c r="Y3" s="23"/>
    </row>
    <row r="4" spans="1:25">
      <c r="A4" s="23"/>
      <c r="B4" s="23"/>
      <c r="C4" s="23"/>
      <c r="D4" s="23"/>
      <c r="E4" s="21"/>
      <c r="F4" s="23"/>
      <c r="G4" s="23"/>
      <c r="H4" s="21"/>
      <c r="I4" s="21"/>
      <c r="J4" s="21"/>
      <c r="K4" s="23"/>
      <c r="L4" s="21"/>
      <c r="M4" s="23"/>
      <c r="N4" s="23"/>
      <c r="O4" s="23"/>
      <c r="P4" s="23"/>
      <c r="Q4" s="21"/>
      <c r="R4" s="21"/>
      <c r="S4" s="21"/>
      <c r="T4" s="23"/>
      <c r="U4" s="23"/>
      <c r="V4" s="23"/>
      <c r="W4" s="23"/>
      <c r="X4" s="23"/>
      <c r="Y4" s="23"/>
    </row>
    <row r="5" spans="1:25">
      <c r="A5" s="23"/>
      <c r="B5" s="23"/>
      <c r="C5" s="23"/>
      <c r="D5" s="23"/>
      <c r="E5" s="21"/>
      <c r="F5" s="23"/>
      <c r="G5" s="23"/>
      <c r="H5" s="21"/>
      <c r="I5" s="21"/>
      <c r="J5" s="21"/>
      <c r="K5" s="23"/>
      <c r="L5" s="21"/>
      <c r="M5" s="23"/>
      <c r="N5" s="23"/>
      <c r="O5" s="23"/>
      <c r="P5" s="23"/>
      <c r="Q5" s="21"/>
      <c r="R5" s="21"/>
      <c r="S5" s="21"/>
      <c r="T5" s="23"/>
      <c r="U5" s="23"/>
      <c r="V5" s="23"/>
      <c r="W5" s="23"/>
      <c r="X5" s="23"/>
      <c r="Y5" s="23"/>
    </row>
    <row r="6" spans="1:25">
      <c r="A6" s="23"/>
      <c r="B6" s="23"/>
      <c r="C6" s="23"/>
      <c r="D6" s="23"/>
      <c r="E6" s="21"/>
      <c r="F6" s="23"/>
      <c r="G6" s="23"/>
      <c r="H6" s="21"/>
      <c r="I6" s="21"/>
      <c r="J6" s="21"/>
      <c r="K6" s="23"/>
      <c r="L6" s="21"/>
      <c r="M6" s="23"/>
      <c r="N6" s="23"/>
      <c r="O6" s="23"/>
      <c r="P6" s="23"/>
      <c r="Q6" s="21"/>
      <c r="R6" s="21"/>
      <c r="S6" s="21"/>
      <c r="T6" s="23"/>
      <c r="U6" s="23"/>
      <c r="V6" s="23"/>
      <c r="W6" s="23"/>
      <c r="X6" s="23"/>
      <c r="Y6" s="23"/>
    </row>
    <row r="7" spans="1:25">
      <c r="A7" s="23"/>
      <c r="B7" s="23"/>
      <c r="C7" s="23"/>
      <c r="D7" s="23"/>
      <c r="E7" s="21"/>
      <c r="F7" s="23"/>
      <c r="G7" s="23"/>
      <c r="H7" s="21"/>
      <c r="I7" s="21"/>
      <c r="J7" s="21"/>
      <c r="K7" s="23"/>
      <c r="L7" s="21"/>
      <c r="M7" s="23"/>
      <c r="N7" s="23"/>
      <c r="O7" s="23"/>
      <c r="P7" s="23"/>
      <c r="Q7" s="21"/>
      <c r="R7" s="21"/>
      <c r="S7" s="21"/>
      <c r="T7" s="23"/>
      <c r="U7" s="23"/>
      <c r="V7" s="23"/>
      <c r="W7" s="23"/>
      <c r="X7" s="23"/>
      <c r="Y7" s="23"/>
    </row>
    <row r="8" spans="1:25">
      <c r="A8" s="23"/>
      <c r="B8" s="23"/>
      <c r="C8" s="23"/>
      <c r="D8" s="23"/>
      <c r="E8" s="21"/>
      <c r="F8" s="23"/>
      <c r="G8" s="23"/>
      <c r="H8" s="21"/>
      <c r="I8" s="21"/>
      <c r="J8" s="21"/>
      <c r="K8" s="23"/>
      <c r="L8" s="21"/>
      <c r="M8" s="23"/>
      <c r="N8" s="23"/>
      <c r="O8" s="23"/>
      <c r="P8" s="23"/>
      <c r="Q8" s="21"/>
      <c r="R8" s="21"/>
      <c r="S8" s="21"/>
      <c r="T8" s="23"/>
      <c r="U8" s="23"/>
      <c r="V8" s="23"/>
      <c r="W8" s="23"/>
      <c r="X8" s="23"/>
      <c r="Y8" s="23"/>
    </row>
    <row r="9" spans="1:25">
      <c r="A9" s="23"/>
      <c r="B9" s="23"/>
      <c r="C9" s="23"/>
      <c r="D9" s="23"/>
      <c r="E9" s="21"/>
      <c r="F9" s="23"/>
      <c r="G9" s="23"/>
      <c r="H9" s="21"/>
      <c r="I9" s="21"/>
      <c r="J9" s="21"/>
      <c r="K9" s="23"/>
      <c r="L9" s="21"/>
      <c r="M9" s="23"/>
      <c r="N9" s="23"/>
      <c r="O9" s="23"/>
      <c r="P9" s="23"/>
      <c r="Q9" s="21"/>
      <c r="R9" s="21"/>
      <c r="S9" s="21"/>
      <c r="T9" s="23"/>
      <c r="U9" s="23"/>
      <c r="V9" s="23"/>
      <c r="W9" s="23"/>
      <c r="X9" s="23"/>
      <c r="Y9" s="23"/>
    </row>
    <row r="10" spans="1:25">
      <c r="A10" s="23"/>
      <c r="B10" s="23"/>
      <c r="C10" s="23"/>
      <c r="D10" s="23"/>
      <c r="E10" s="21"/>
      <c r="F10" s="23"/>
      <c r="G10" s="23"/>
      <c r="H10" s="21"/>
      <c r="I10" s="21"/>
      <c r="J10" s="21"/>
      <c r="K10" s="23"/>
      <c r="L10" s="21"/>
      <c r="M10" s="23"/>
      <c r="N10" s="23"/>
      <c r="O10" s="23"/>
      <c r="P10" s="23"/>
      <c r="Q10" s="21"/>
      <c r="R10" s="21"/>
      <c r="S10" s="21"/>
      <c r="T10" s="23"/>
      <c r="U10" s="23"/>
      <c r="V10" s="23"/>
      <c r="W10" s="23"/>
      <c r="X10" s="23"/>
      <c r="Y10" s="23"/>
    </row>
    <row r="11" spans="1:25">
      <c r="A11" s="30"/>
      <c r="B11" s="23"/>
      <c r="C11" s="23"/>
      <c r="D11" s="23"/>
      <c r="E11" s="21"/>
      <c r="F11" s="23"/>
      <c r="G11" s="23"/>
      <c r="H11" s="21"/>
      <c r="I11" s="21"/>
      <c r="J11" s="21"/>
      <c r="K11" s="23"/>
      <c r="L11" s="21"/>
      <c r="M11" s="23"/>
      <c r="N11" s="23"/>
      <c r="O11" s="23"/>
      <c r="P11" s="23"/>
      <c r="Q11" s="21"/>
      <c r="R11" s="21"/>
      <c r="S11" s="21"/>
      <c r="T11" s="23"/>
      <c r="U11" s="23"/>
      <c r="V11" s="23"/>
      <c r="W11" s="23"/>
      <c r="X11" s="23"/>
      <c r="Y11" s="23"/>
    </row>
    <row r="12" spans="1:25">
      <c r="A12" s="23"/>
      <c r="B12" s="23"/>
      <c r="C12" s="23"/>
      <c r="D12" s="23"/>
      <c r="E12" s="21"/>
      <c r="F12" s="23"/>
      <c r="G12" s="23"/>
      <c r="H12" s="21"/>
      <c r="I12" s="21"/>
      <c r="J12" s="21"/>
      <c r="K12" s="23"/>
      <c r="L12" s="21"/>
      <c r="M12" s="23"/>
      <c r="N12" s="23"/>
      <c r="O12" s="23"/>
      <c r="P12" s="23"/>
      <c r="Q12" s="21"/>
      <c r="R12" s="21"/>
      <c r="S12" s="21"/>
      <c r="T12" s="23"/>
      <c r="U12" s="23"/>
      <c r="V12" s="23"/>
      <c r="W12" s="23"/>
      <c r="X12" s="23"/>
      <c r="Y12" s="23"/>
    </row>
    <row r="13" spans="1:25">
      <c r="A13" s="23"/>
      <c r="B13" s="23"/>
      <c r="C13" s="23"/>
      <c r="D13" s="23"/>
      <c r="E13" s="21"/>
      <c r="F13" s="23"/>
      <c r="G13" s="23"/>
      <c r="H13" s="21"/>
      <c r="I13" s="21"/>
      <c r="J13" s="21"/>
      <c r="K13" s="23"/>
      <c r="L13" s="21"/>
      <c r="M13" s="23"/>
      <c r="N13" s="23"/>
      <c r="O13" s="23"/>
      <c r="P13" s="23"/>
      <c r="Q13" s="21"/>
      <c r="R13" s="21"/>
      <c r="S13" s="21"/>
      <c r="T13" s="23"/>
      <c r="U13" s="23"/>
      <c r="V13" s="23"/>
      <c r="W13" s="23"/>
      <c r="X13" s="23"/>
      <c r="Y13" s="23"/>
    </row>
    <row r="14" spans="1:25">
      <c r="A14" s="23"/>
      <c r="B14" s="23"/>
      <c r="C14" s="23"/>
      <c r="D14" s="23"/>
      <c r="E14" s="21"/>
      <c r="F14" s="23"/>
      <c r="G14" s="23"/>
      <c r="H14" s="21"/>
      <c r="I14" s="21"/>
      <c r="J14" s="21"/>
      <c r="K14" s="23"/>
      <c r="L14" s="21"/>
      <c r="M14" s="23"/>
      <c r="N14" s="23"/>
      <c r="O14" s="23"/>
      <c r="P14" s="23"/>
      <c r="Q14" s="21"/>
      <c r="R14" s="21"/>
      <c r="S14" s="21"/>
      <c r="T14" s="23"/>
      <c r="U14" s="23"/>
      <c r="V14" s="23"/>
      <c r="W14" s="23"/>
      <c r="X14" s="23"/>
      <c r="Y14" s="23"/>
    </row>
    <row r="15" spans="1:25">
      <c r="A15" s="23"/>
      <c r="B15" s="23"/>
      <c r="C15" s="23"/>
      <c r="D15" s="23"/>
      <c r="E15" s="21"/>
      <c r="F15" s="23"/>
      <c r="G15" s="23"/>
      <c r="H15" s="21"/>
      <c r="I15" s="21"/>
      <c r="J15" s="21"/>
      <c r="K15" s="23"/>
      <c r="L15" s="21"/>
      <c r="M15" s="23"/>
      <c r="N15" s="23"/>
      <c r="O15" s="23"/>
      <c r="P15" s="23"/>
      <c r="Q15" s="21"/>
      <c r="R15" s="21"/>
      <c r="S15" s="21"/>
      <c r="T15" s="23"/>
      <c r="U15" s="23"/>
      <c r="V15" s="23"/>
      <c r="W15" s="23"/>
      <c r="X15" s="23"/>
      <c r="Y15" s="23"/>
    </row>
    <row r="16" spans="1:25">
      <c r="A16" s="23"/>
      <c r="B16" s="23"/>
      <c r="C16" s="23"/>
      <c r="D16" s="23"/>
      <c r="E16" s="21"/>
      <c r="F16" s="23"/>
      <c r="G16" s="23"/>
      <c r="H16" s="21"/>
      <c r="I16" s="21"/>
      <c r="J16" s="21"/>
      <c r="K16" s="23"/>
      <c r="L16" s="21"/>
      <c r="M16" s="23"/>
      <c r="N16" s="23"/>
      <c r="O16" s="23"/>
      <c r="P16" s="23"/>
      <c r="Q16" s="21"/>
      <c r="R16" s="21"/>
      <c r="S16" s="21"/>
      <c r="T16" s="23"/>
      <c r="U16" s="23"/>
      <c r="V16" s="23"/>
      <c r="W16" s="23"/>
      <c r="X16" s="23"/>
      <c r="Y16" s="23"/>
    </row>
    <row r="17" spans="1:25">
      <c r="A17" s="23"/>
      <c r="B17" s="23"/>
      <c r="C17" s="23"/>
      <c r="D17" s="23"/>
      <c r="E17" s="21"/>
      <c r="F17" s="23"/>
      <c r="G17" s="23"/>
      <c r="H17" s="21"/>
      <c r="I17" s="21"/>
      <c r="J17" s="21"/>
      <c r="K17" s="23"/>
      <c r="L17" s="21"/>
      <c r="M17" s="23"/>
      <c r="N17" s="23"/>
      <c r="O17" s="23"/>
      <c r="P17" s="23"/>
      <c r="Q17" s="21"/>
      <c r="R17" s="21"/>
      <c r="S17" s="21"/>
      <c r="T17" s="23"/>
      <c r="U17" s="23"/>
      <c r="V17" s="23"/>
      <c r="W17" s="23"/>
      <c r="X17" s="23"/>
      <c r="Y17" s="23"/>
    </row>
    <row r="18" spans="1:25">
      <c r="A18" s="23"/>
      <c r="B18" s="23"/>
      <c r="C18" s="23"/>
      <c r="D18" s="23"/>
      <c r="E18" s="21"/>
      <c r="F18" s="23"/>
      <c r="G18" s="23"/>
      <c r="H18" s="21"/>
      <c r="I18" s="21"/>
      <c r="J18" s="21"/>
      <c r="K18" s="23"/>
      <c r="L18" s="21"/>
      <c r="M18" s="23"/>
      <c r="N18" s="23"/>
      <c r="O18" s="23"/>
      <c r="P18" s="23"/>
      <c r="Q18" s="21"/>
      <c r="R18" s="21"/>
      <c r="S18" s="21"/>
      <c r="T18" s="23"/>
      <c r="U18" s="23"/>
      <c r="V18" s="23"/>
      <c r="W18" s="23"/>
      <c r="X18" s="23"/>
      <c r="Y18" s="23"/>
    </row>
    <row r="19" spans="1:25">
      <c r="A19" s="23"/>
      <c r="B19" s="23"/>
      <c r="C19" s="23"/>
      <c r="D19" s="23"/>
      <c r="E19" s="21"/>
      <c r="F19" s="23"/>
      <c r="G19" s="23"/>
      <c r="H19" s="21"/>
      <c r="I19" s="21"/>
      <c r="J19" s="21"/>
      <c r="K19" s="23"/>
      <c r="L19" s="21"/>
      <c r="M19" s="23"/>
      <c r="N19" s="23"/>
      <c r="O19" s="23"/>
      <c r="P19" s="23"/>
      <c r="Q19" s="21"/>
      <c r="R19" s="21"/>
      <c r="S19" s="21"/>
      <c r="T19" s="23"/>
      <c r="U19" s="23"/>
      <c r="V19" s="23"/>
      <c r="W19" s="23"/>
      <c r="X19" s="23"/>
      <c r="Y19" s="23"/>
    </row>
    <row r="20" spans="1:25">
      <c r="E20" s="21"/>
      <c r="H20" s="21"/>
      <c r="I20" s="21"/>
      <c r="J20" s="21"/>
      <c r="K20" s="23"/>
      <c r="L20" s="21"/>
      <c r="N20" s="23"/>
      <c r="P20" s="23"/>
    </row>
    <row r="21" spans="1:25">
      <c r="H21" s="4"/>
      <c r="L21" s="4"/>
    </row>
    <row r="22" spans="1:25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30"/>
  <sheetViews>
    <sheetView rightToLeft="1" topLeftCell="G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5" width="11.625" style="2" customWidth="1"/>
    <col min="26" max="26" width="9" style="2" customWidth="1"/>
    <col min="27" max="16384" width="9" style="2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97</v>
      </c>
      <c r="E1" s="22" t="s">
        <v>98</v>
      </c>
      <c r="F1" s="22" t="s">
        <v>3</v>
      </c>
      <c r="G1" s="22" t="s">
        <v>4</v>
      </c>
      <c r="H1" s="22" t="s">
        <v>99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100</v>
      </c>
      <c r="N1" s="22" t="s">
        <v>123</v>
      </c>
      <c r="O1" s="22" t="s">
        <v>1073</v>
      </c>
      <c r="P1" s="22" t="s">
        <v>78</v>
      </c>
      <c r="Q1" s="22" t="s">
        <v>11</v>
      </c>
      <c r="R1" s="22" t="s">
        <v>1074</v>
      </c>
      <c r="S1" s="22" t="s">
        <v>17</v>
      </c>
      <c r="T1" s="22" t="s">
        <v>18</v>
      </c>
      <c r="U1" s="22" t="s">
        <v>19</v>
      </c>
      <c r="V1" s="22" t="s">
        <v>20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1"/>
      <c r="M2" s="23"/>
      <c r="N2" s="23"/>
      <c r="O2" s="23"/>
      <c r="P2" s="23"/>
      <c r="Q2" s="21"/>
      <c r="R2" s="21"/>
      <c r="S2" s="23"/>
      <c r="T2" s="23"/>
      <c r="U2" s="23"/>
      <c r="V2" s="23"/>
      <c r="W2" s="23"/>
      <c r="X2" s="23"/>
    </row>
    <row r="3" spans="1:24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1"/>
      <c r="M3" s="23"/>
      <c r="N3" s="23"/>
      <c r="O3" s="23"/>
      <c r="P3" s="23"/>
      <c r="Q3" s="21"/>
      <c r="R3" s="21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1"/>
      <c r="M4" s="23"/>
      <c r="N4" s="23"/>
      <c r="O4" s="23"/>
      <c r="P4" s="23"/>
      <c r="Q4" s="21"/>
      <c r="R4" s="21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1"/>
      <c r="M5" s="23"/>
      <c r="N5" s="23"/>
      <c r="O5" s="23"/>
      <c r="P5" s="23"/>
      <c r="Q5" s="21"/>
      <c r="R5" s="21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1"/>
      <c r="M6" s="23"/>
      <c r="N6" s="23"/>
      <c r="O6" s="23"/>
      <c r="P6" s="23"/>
      <c r="Q6" s="21"/>
      <c r="R6" s="21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1"/>
      <c r="M7" s="23"/>
      <c r="N7" s="23"/>
      <c r="O7" s="23"/>
      <c r="P7" s="23"/>
      <c r="Q7" s="21"/>
      <c r="R7" s="21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1"/>
      <c r="M8" s="23"/>
      <c r="N8" s="23"/>
      <c r="O8" s="23"/>
      <c r="P8" s="23"/>
      <c r="Q8" s="21"/>
      <c r="R8" s="21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1"/>
      <c r="M9" s="23"/>
      <c r="N9" s="23"/>
      <c r="O9" s="23"/>
      <c r="P9" s="23"/>
      <c r="Q9" s="21"/>
      <c r="R9" s="21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1"/>
      <c r="M10" s="23"/>
      <c r="N10" s="23"/>
      <c r="O10" s="23"/>
      <c r="P10" s="23"/>
      <c r="Q10" s="21"/>
      <c r="R10" s="21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1"/>
      <c r="M11" s="23"/>
      <c r="N11" s="23"/>
      <c r="O11" s="23"/>
      <c r="P11" s="23"/>
      <c r="Q11" s="21"/>
      <c r="R11" s="21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1"/>
      <c r="M12" s="23"/>
      <c r="N12" s="23"/>
      <c r="O12" s="23"/>
      <c r="P12" s="23"/>
      <c r="Q12" s="21"/>
      <c r="R12" s="21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3"/>
      <c r="P13" s="23"/>
      <c r="Q13" s="21"/>
      <c r="R13" s="21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3"/>
      <c r="P14" s="23"/>
      <c r="Q14" s="21"/>
      <c r="R14" s="21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3"/>
      <c r="P15" s="23"/>
      <c r="Q15" s="21"/>
      <c r="R15" s="21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3"/>
      <c r="P16" s="23"/>
      <c r="Q16" s="21"/>
      <c r="R16" s="21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3"/>
      <c r="P17" s="23"/>
      <c r="Q17" s="21"/>
      <c r="R17" s="21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3"/>
      <c r="P18" s="23"/>
      <c r="Q18" s="21"/>
      <c r="R18" s="21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3"/>
      <c r="P19" s="23"/>
      <c r="Q19" s="21"/>
      <c r="R19" s="21"/>
      <c r="S19" s="23"/>
      <c r="T19" s="23"/>
      <c r="U19" s="23"/>
      <c r="V19" s="23"/>
      <c r="W19" s="23"/>
      <c r="X19" s="23"/>
    </row>
    <row r="20" spans="1:24">
      <c r="E20" s="21"/>
      <c r="H20" s="21"/>
      <c r="I20" s="23"/>
      <c r="J20" s="21"/>
      <c r="K20" s="21"/>
      <c r="L20" s="21"/>
      <c r="M20" s="23"/>
      <c r="P20" s="23"/>
    </row>
    <row r="21" spans="1:24">
      <c r="H21" s="4"/>
      <c r="L21" s="4"/>
    </row>
    <row r="22" spans="1:24">
      <c r="L22" s="4"/>
    </row>
    <row r="30" spans="1:24">
      <c r="H3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0" width="11.625" style="2" customWidth="1"/>
    <col min="21" max="21" width="9" style="2" customWidth="1"/>
    <col min="22" max="16384" width="9" style="2"/>
  </cols>
  <sheetData>
    <row r="1" spans="1:20" ht="66.75" customHeight="1">
      <c r="A1" s="22" t="s">
        <v>0</v>
      </c>
      <c r="B1" s="22" t="s">
        <v>1</v>
      </c>
      <c r="C1" s="22" t="s">
        <v>2</v>
      </c>
      <c r="D1" s="22" t="s">
        <v>97</v>
      </c>
      <c r="E1" s="22" t="s">
        <v>98</v>
      </c>
      <c r="F1" s="22" t="s">
        <v>3</v>
      </c>
      <c r="G1" s="22" t="s">
        <v>4</v>
      </c>
      <c r="H1" s="22" t="s">
        <v>99</v>
      </c>
      <c r="I1" s="22" t="s">
        <v>6</v>
      </c>
      <c r="J1" s="22" t="s">
        <v>7</v>
      </c>
      <c r="K1" s="22" t="s">
        <v>8</v>
      </c>
      <c r="L1" s="22" t="s">
        <v>123</v>
      </c>
      <c r="M1" s="22" t="s">
        <v>78</v>
      </c>
      <c r="N1" s="22" t="s">
        <v>11</v>
      </c>
      <c r="O1" s="22" t="s">
        <v>17</v>
      </c>
      <c r="P1" s="22" t="s">
        <v>18</v>
      </c>
      <c r="Q1" s="22" t="s">
        <v>19</v>
      </c>
      <c r="R1" s="22" t="s">
        <v>20</v>
      </c>
      <c r="S1" s="22" t="s">
        <v>24</v>
      </c>
      <c r="T1" s="22" t="s">
        <v>25</v>
      </c>
    </row>
    <row r="2" spans="1:20">
      <c r="A2" s="23"/>
      <c r="B2" s="23"/>
      <c r="E2" s="21"/>
      <c r="F2" s="23"/>
      <c r="G2" s="23"/>
      <c r="H2" s="21"/>
      <c r="I2" s="21"/>
      <c r="J2" s="21"/>
      <c r="K2" s="21"/>
      <c r="L2" s="23"/>
      <c r="M2" s="23"/>
      <c r="N2" s="21"/>
      <c r="O2" s="23"/>
      <c r="P2" s="23"/>
      <c r="Q2" s="23"/>
      <c r="R2" s="23"/>
      <c r="S2" s="23"/>
      <c r="T2" s="23"/>
    </row>
    <row r="3" spans="1:20">
      <c r="A3" s="23"/>
      <c r="B3" s="23"/>
      <c r="E3" s="21"/>
      <c r="F3" s="23"/>
      <c r="G3" s="23"/>
      <c r="H3" s="21"/>
      <c r="I3" s="21"/>
      <c r="J3" s="21"/>
      <c r="K3" s="21"/>
      <c r="L3" s="23"/>
      <c r="M3" s="23"/>
      <c r="N3" s="21"/>
      <c r="O3" s="23"/>
      <c r="P3" s="23"/>
      <c r="Q3" s="23"/>
      <c r="R3" s="23"/>
      <c r="S3" s="23"/>
      <c r="T3" s="23"/>
    </row>
    <row r="4" spans="1:20">
      <c r="A4" s="23"/>
      <c r="B4" s="23"/>
      <c r="E4" s="21"/>
      <c r="F4" s="23"/>
      <c r="G4" s="23"/>
      <c r="H4" s="21"/>
      <c r="I4" s="21"/>
      <c r="J4" s="21"/>
      <c r="K4" s="21"/>
      <c r="L4" s="23"/>
      <c r="M4" s="23"/>
      <c r="N4" s="21"/>
      <c r="O4" s="23"/>
      <c r="P4" s="23"/>
      <c r="Q4" s="23"/>
      <c r="R4" s="23"/>
      <c r="S4" s="23"/>
      <c r="T4" s="23"/>
    </row>
    <row r="5" spans="1:20">
      <c r="A5" s="23"/>
      <c r="B5" s="23"/>
      <c r="E5" s="21"/>
      <c r="F5" s="23"/>
      <c r="G5" s="23"/>
      <c r="H5" s="21"/>
      <c r="I5" s="21"/>
      <c r="J5" s="21"/>
      <c r="K5" s="21"/>
      <c r="L5" s="23"/>
      <c r="M5" s="23"/>
      <c r="N5" s="21"/>
      <c r="O5" s="23"/>
      <c r="P5" s="23"/>
      <c r="Q5" s="23"/>
      <c r="R5" s="23"/>
      <c r="S5" s="23"/>
      <c r="T5" s="23"/>
    </row>
    <row r="6" spans="1:20">
      <c r="A6" s="23"/>
      <c r="B6" s="23"/>
      <c r="E6" s="21"/>
      <c r="F6" s="23"/>
      <c r="G6" s="23"/>
      <c r="H6" s="21"/>
      <c r="I6" s="21"/>
      <c r="J6" s="21"/>
      <c r="K6" s="21"/>
      <c r="L6" s="23"/>
      <c r="M6" s="23"/>
      <c r="N6" s="21"/>
      <c r="O6" s="23"/>
      <c r="P6" s="23"/>
      <c r="Q6" s="23"/>
      <c r="R6" s="23"/>
      <c r="S6" s="23"/>
      <c r="T6" s="23"/>
    </row>
    <row r="7" spans="1:20">
      <c r="A7" s="23"/>
      <c r="B7" s="23"/>
      <c r="E7" s="21"/>
      <c r="F7" s="23"/>
      <c r="G7" s="23"/>
      <c r="H7" s="21"/>
      <c r="I7" s="21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</row>
    <row r="8" spans="1:20">
      <c r="A8" s="23"/>
      <c r="B8" s="23"/>
      <c r="E8" s="21"/>
      <c r="F8" s="23"/>
      <c r="G8" s="23"/>
      <c r="H8" s="21"/>
      <c r="I8" s="21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</row>
    <row r="9" spans="1:20">
      <c r="A9" s="23"/>
      <c r="B9" s="23"/>
      <c r="E9" s="21"/>
      <c r="F9" s="23"/>
      <c r="G9" s="23"/>
      <c r="H9" s="21"/>
      <c r="I9" s="21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</row>
    <row r="10" spans="1:20">
      <c r="A10" s="23"/>
      <c r="B10" s="23"/>
      <c r="E10" s="21"/>
      <c r="F10" s="23"/>
      <c r="G10" s="23"/>
      <c r="H10" s="21"/>
      <c r="I10" s="21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</row>
    <row r="11" spans="1:20">
      <c r="A11" s="23"/>
      <c r="B11" s="23"/>
      <c r="E11" s="21"/>
      <c r="F11" s="23"/>
      <c r="G11" s="23"/>
      <c r="H11" s="21"/>
      <c r="I11" s="21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</row>
    <row r="12" spans="1:20">
      <c r="A12" s="23"/>
      <c r="B12" s="23"/>
      <c r="E12" s="21"/>
      <c r="F12" s="23"/>
      <c r="G12" s="23"/>
      <c r="H12" s="21"/>
      <c r="I12" s="21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</row>
    <row r="13" spans="1:20">
      <c r="A13" s="23"/>
      <c r="B13" s="23"/>
      <c r="E13" s="21"/>
      <c r="F13" s="23"/>
      <c r="G13" s="23"/>
      <c r="H13" s="21"/>
      <c r="I13" s="21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</row>
    <row r="14" spans="1:20">
      <c r="A14" s="23"/>
      <c r="B14" s="23"/>
      <c r="E14" s="21"/>
      <c r="F14" s="23"/>
      <c r="G14" s="23"/>
      <c r="H14" s="21"/>
      <c r="I14" s="21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</row>
    <row r="15" spans="1:20">
      <c r="A15" s="23"/>
      <c r="B15" s="23"/>
      <c r="E15" s="21"/>
      <c r="F15" s="23"/>
      <c r="G15" s="23"/>
      <c r="H15" s="21"/>
      <c r="I15" s="21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</row>
    <row r="16" spans="1:20">
      <c r="A16" s="23"/>
      <c r="B16" s="23"/>
      <c r="E16" s="21"/>
      <c r="F16" s="23"/>
      <c r="G16" s="23"/>
      <c r="H16" s="21"/>
      <c r="I16" s="21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</row>
    <row r="17" spans="1:20">
      <c r="A17" s="23"/>
      <c r="B17" s="23"/>
      <c r="E17" s="21"/>
      <c r="F17" s="23"/>
      <c r="G17" s="23"/>
      <c r="H17" s="21"/>
      <c r="I17" s="21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</row>
    <row r="18" spans="1:20">
      <c r="A18" s="23"/>
      <c r="B18" s="23"/>
      <c r="E18" s="21"/>
      <c r="F18" s="23"/>
      <c r="G18" s="23"/>
      <c r="H18" s="21"/>
      <c r="I18" s="21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</row>
    <row r="19" spans="1:20">
      <c r="A19" s="23"/>
      <c r="B19" s="23"/>
      <c r="E19" s="21"/>
      <c r="F19" s="23"/>
      <c r="G19" s="23"/>
      <c r="H19" s="21"/>
      <c r="I19" s="21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</row>
    <row r="20" spans="1:20">
      <c r="E20" s="21"/>
      <c r="H20" s="21"/>
      <c r="J20" s="21"/>
      <c r="K20" s="21"/>
      <c r="L20" s="23"/>
      <c r="M20" s="23"/>
    </row>
    <row r="21" spans="1:20">
      <c r="H21" s="4"/>
      <c r="K21" s="4"/>
    </row>
    <row r="22" spans="1:20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1.625" style="148" customWidth="1"/>
    <col min="18" max="28" width="11.625" style="2" customWidth="1"/>
    <col min="29" max="29" width="9" style="2" customWidth="1"/>
    <col min="30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97</v>
      </c>
      <c r="E1" s="22" t="s">
        <v>98</v>
      </c>
      <c r="F1" s="22" t="s">
        <v>3</v>
      </c>
      <c r="G1" s="22" t="s">
        <v>4</v>
      </c>
      <c r="H1" s="22" t="s">
        <v>99</v>
      </c>
      <c r="I1" s="22" t="s">
        <v>5</v>
      </c>
      <c r="J1" s="22" t="s">
        <v>6</v>
      </c>
      <c r="K1" s="22" t="s">
        <v>7</v>
      </c>
      <c r="L1" s="22" t="s">
        <v>274</v>
      </c>
      <c r="M1" s="22" t="s">
        <v>8</v>
      </c>
      <c r="N1" s="22" t="s">
        <v>123</v>
      </c>
      <c r="O1" s="22" t="s">
        <v>78</v>
      </c>
      <c r="P1" s="22" t="s">
        <v>12</v>
      </c>
      <c r="Q1" s="146" t="s">
        <v>14</v>
      </c>
      <c r="R1" s="22" t="s">
        <v>15</v>
      </c>
      <c r="S1" s="22" t="s">
        <v>9</v>
      </c>
      <c r="T1" s="22" t="s">
        <v>10</v>
      </c>
      <c r="U1" s="22" t="s">
        <v>124</v>
      </c>
      <c r="V1" s="22" t="s">
        <v>11</v>
      </c>
      <c r="W1" s="22" t="s">
        <v>17</v>
      </c>
      <c r="X1" s="22" t="s">
        <v>18</v>
      </c>
      <c r="Y1" s="22" t="s">
        <v>19</v>
      </c>
      <c r="Z1" s="22" t="s">
        <v>20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1"/>
      <c r="N2" s="23"/>
      <c r="O2" s="23"/>
      <c r="P2" s="23"/>
      <c r="Q2" s="151"/>
      <c r="R2" s="23"/>
      <c r="S2" s="23"/>
      <c r="T2" s="23"/>
      <c r="U2" s="23"/>
      <c r="V2" s="21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1"/>
      <c r="N3" s="23"/>
      <c r="O3" s="23"/>
      <c r="P3" s="23"/>
      <c r="Q3" s="151"/>
      <c r="R3" s="23"/>
      <c r="S3" s="23"/>
      <c r="T3" s="23"/>
      <c r="U3" s="23"/>
      <c r="V3" s="21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1"/>
      <c r="N4" s="23"/>
      <c r="O4" s="23"/>
      <c r="P4" s="23"/>
      <c r="Q4" s="151"/>
      <c r="R4" s="23"/>
      <c r="S4" s="23"/>
      <c r="T4" s="23"/>
      <c r="U4" s="23"/>
      <c r="V4" s="21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1"/>
      <c r="N5" s="23"/>
      <c r="O5" s="23"/>
      <c r="P5" s="23"/>
      <c r="Q5" s="151"/>
      <c r="R5" s="23"/>
      <c r="S5" s="23"/>
      <c r="T5" s="23"/>
      <c r="U5" s="23"/>
      <c r="V5" s="21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1"/>
      <c r="N6" s="23"/>
      <c r="O6" s="23"/>
      <c r="P6" s="23"/>
      <c r="Q6" s="151"/>
      <c r="R6" s="23"/>
      <c r="S6" s="23"/>
      <c r="T6" s="23"/>
      <c r="U6" s="23"/>
      <c r="V6" s="21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1"/>
      <c r="N7" s="23"/>
      <c r="O7" s="23"/>
      <c r="P7" s="23"/>
      <c r="Q7" s="151"/>
      <c r="R7" s="23"/>
      <c r="S7" s="23"/>
      <c r="T7" s="23"/>
      <c r="U7" s="23"/>
      <c r="V7" s="21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1"/>
      <c r="N8" s="23"/>
      <c r="O8" s="23"/>
      <c r="P8" s="23"/>
      <c r="Q8" s="151"/>
      <c r="R8" s="23"/>
      <c r="S8" s="23"/>
      <c r="T8" s="23"/>
      <c r="U8" s="23"/>
      <c r="V8" s="21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1"/>
      <c r="N9" s="23"/>
      <c r="O9" s="23"/>
      <c r="P9" s="23"/>
      <c r="Q9" s="151"/>
      <c r="R9" s="23"/>
      <c r="S9" s="23"/>
      <c r="T9" s="23"/>
      <c r="U9" s="23"/>
      <c r="V9" s="21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1"/>
      <c r="N10" s="23"/>
      <c r="O10" s="23"/>
      <c r="P10" s="23"/>
      <c r="Q10" s="151"/>
      <c r="R10" s="23"/>
      <c r="S10" s="23"/>
      <c r="T10" s="23"/>
      <c r="U10" s="23"/>
      <c r="V10" s="21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1"/>
      <c r="N11" s="23"/>
      <c r="O11" s="23"/>
      <c r="P11" s="23"/>
      <c r="Q11" s="151"/>
      <c r="R11" s="23"/>
      <c r="S11" s="23"/>
      <c r="T11" s="23"/>
      <c r="U11" s="23"/>
      <c r="V11" s="21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1"/>
      <c r="N12" s="23"/>
      <c r="O12" s="23"/>
      <c r="P12" s="23"/>
      <c r="Q12" s="151"/>
      <c r="R12" s="23"/>
      <c r="S12" s="23"/>
      <c r="T12" s="23"/>
      <c r="U12" s="23"/>
      <c r="V12" s="21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1"/>
      <c r="N13" s="23"/>
      <c r="O13" s="23"/>
      <c r="P13" s="23"/>
      <c r="Q13" s="151"/>
      <c r="R13" s="23"/>
      <c r="S13" s="23"/>
      <c r="T13" s="23"/>
      <c r="U13" s="23"/>
      <c r="V13" s="21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1"/>
      <c r="N14" s="23"/>
      <c r="O14" s="23"/>
      <c r="P14" s="23"/>
      <c r="Q14" s="151"/>
      <c r="R14" s="23"/>
      <c r="S14" s="23"/>
      <c r="T14" s="23"/>
      <c r="U14" s="23"/>
      <c r="V14" s="21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1"/>
      <c r="N15" s="23"/>
      <c r="O15" s="23"/>
      <c r="P15" s="23"/>
      <c r="Q15" s="151"/>
      <c r="R15" s="23"/>
      <c r="S15" s="23"/>
      <c r="T15" s="23"/>
      <c r="U15" s="23"/>
      <c r="V15" s="21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1"/>
      <c r="N16" s="23"/>
      <c r="O16" s="23"/>
      <c r="P16" s="23"/>
      <c r="Q16" s="151"/>
      <c r="R16" s="23"/>
      <c r="S16" s="23"/>
      <c r="T16" s="23"/>
      <c r="U16" s="23"/>
      <c r="V16" s="21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1"/>
      <c r="N17" s="23"/>
      <c r="O17" s="23"/>
      <c r="P17" s="23"/>
      <c r="Q17" s="151"/>
      <c r="R17" s="23"/>
      <c r="S17" s="23"/>
      <c r="T17" s="23"/>
      <c r="U17" s="23"/>
      <c r="V17" s="21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1"/>
      <c r="N18" s="23"/>
      <c r="O18" s="23"/>
      <c r="P18" s="23"/>
      <c r="Q18" s="151"/>
      <c r="R18" s="23"/>
      <c r="S18" s="23"/>
      <c r="T18" s="23"/>
      <c r="U18" s="23"/>
      <c r="V18" s="21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1"/>
      <c r="N19" s="23"/>
      <c r="O19" s="23"/>
      <c r="P19" s="23"/>
      <c r="Q19" s="151"/>
      <c r="R19" s="23"/>
      <c r="S19" s="23"/>
      <c r="T19" s="23"/>
      <c r="U19" s="23"/>
      <c r="V19" s="21"/>
      <c r="W19" s="23"/>
      <c r="X19" s="23"/>
      <c r="Y19" s="23"/>
      <c r="Z19" s="23"/>
      <c r="AA19" s="23"/>
      <c r="AB19" s="23"/>
    </row>
    <row r="20" spans="1:28">
      <c r="E20" s="21"/>
      <c r="H20" s="21"/>
      <c r="I20" s="23"/>
      <c r="J20" s="21"/>
      <c r="K20" s="21"/>
      <c r="L20" s="23"/>
      <c r="M20" s="21"/>
      <c r="N20" s="23"/>
      <c r="O20" s="23"/>
      <c r="T20" s="23"/>
      <c r="U20" s="23"/>
    </row>
    <row r="21" spans="1:28">
      <c r="H21" s="4"/>
      <c r="M21" s="4"/>
      <c r="N21" s="23"/>
    </row>
    <row r="22" spans="1:28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0"/>
  <sheetViews>
    <sheetView rightToLeft="1" zoomScale="70" zoomScaleNormal="70" workbookViewId="0">
      <selection activeCell="A2" sqref="A2"/>
    </sheetView>
  </sheetViews>
  <sheetFormatPr defaultRowHeight="14.25"/>
  <cols>
    <col min="1" max="8" width="11.625" customWidth="1"/>
    <col min="9" max="9" width="11.625" style="2" customWidth="1"/>
    <col min="10" max="15" width="11.625" customWidth="1"/>
    <col min="16" max="16" width="11.625" style="147" customWidth="1"/>
    <col min="17" max="23" width="11.625" customWidth="1"/>
    <col min="24" max="24" width="11.625" style="2" customWidth="1"/>
    <col min="25" max="25" width="11.625" customWidth="1"/>
  </cols>
  <sheetData>
    <row r="1" spans="1:27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99</v>
      </c>
      <c r="G1" s="22" t="s">
        <v>5</v>
      </c>
      <c r="H1" s="22" t="s">
        <v>6</v>
      </c>
      <c r="I1" s="22" t="s">
        <v>7</v>
      </c>
      <c r="J1" s="22" t="s">
        <v>108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146" t="s">
        <v>14</v>
      </c>
      <c r="Q1" s="22" t="s">
        <v>15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24</v>
      </c>
      <c r="Y1" s="22" t="s">
        <v>25</v>
      </c>
    </row>
    <row r="2" spans="1:27">
      <c r="A2" s="23"/>
      <c r="B2" s="23"/>
      <c r="C2" s="23"/>
      <c r="D2" s="23"/>
      <c r="E2" s="23"/>
      <c r="F2" s="23"/>
      <c r="G2" s="23"/>
      <c r="H2" s="21"/>
      <c r="I2" s="21"/>
      <c r="J2" s="23"/>
      <c r="K2" s="30"/>
      <c r="L2" s="23"/>
      <c r="M2" s="21"/>
      <c r="N2" s="23"/>
      <c r="O2" s="23"/>
      <c r="P2" s="151"/>
      <c r="Q2" s="23"/>
      <c r="R2" s="23"/>
      <c r="S2" s="23"/>
      <c r="T2" s="23"/>
      <c r="U2" s="23"/>
      <c r="V2" s="23"/>
      <c r="W2" s="21"/>
      <c r="X2" s="23"/>
      <c r="Y2" s="23"/>
    </row>
    <row r="3" spans="1:27">
      <c r="A3" s="23"/>
      <c r="B3" s="23"/>
      <c r="C3" s="23"/>
      <c r="D3" s="23"/>
      <c r="E3" s="23"/>
      <c r="F3" s="23"/>
      <c r="G3" s="23"/>
      <c r="H3" s="21"/>
      <c r="I3" s="21"/>
      <c r="J3" s="23"/>
      <c r="K3" s="23"/>
      <c r="L3" s="23"/>
      <c r="M3" s="21"/>
      <c r="N3" s="23"/>
      <c r="O3" s="23"/>
      <c r="P3" s="151"/>
      <c r="Q3" s="23"/>
      <c r="R3" s="23"/>
      <c r="S3" s="23"/>
      <c r="T3" s="23"/>
      <c r="U3" s="23"/>
      <c r="V3" s="23"/>
      <c r="W3" s="21"/>
      <c r="X3" s="23"/>
      <c r="Y3" s="23"/>
    </row>
    <row r="4" spans="1:27">
      <c r="A4" s="23"/>
      <c r="B4" s="23"/>
      <c r="C4" s="23"/>
      <c r="D4" s="23"/>
      <c r="E4" s="23"/>
      <c r="F4" s="23"/>
      <c r="G4" s="23"/>
      <c r="H4" s="21"/>
      <c r="I4" s="21"/>
      <c r="J4" s="23"/>
      <c r="K4" s="23"/>
      <c r="L4" s="23"/>
      <c r="M4" s="21"/>
      <c r="N4" s="23"/>
      <c r="O4" s="23"/>
      <c r="P4" s="151"/>
      <c r="Q4" s="23"/>
      <c r="R4" s="23"/>
      <c r="S4" s="23"/>
      <c r="T4" s="23"/>
      <c r="U4" s="23"/>
      <c r="V4" s="23"/>
      <c r="W4" s="21"/>
      <c r="X4" s="23"/>
      <c r="Y4" s="23"/>
    </row>
    <row r="5" spans="1:27">
      <c r="A5" s="23"/>
      <c r="B5" s="23"/>
      <c r="C5" s="23"/>
      <c r="D5" s="23"/>
      <c r="E5" s="23"/>
      <c r="F5" s="23"/>
      <c r="G5" s="23"/>
      <c r="H5" s="21"/>
      <c r="I5" s="21"/>
      <c r="J5" s="23"/>
      <c r="K5" s="21"/>
      <c r="L5" s="23"/>
      <c r="N5" s="23"/>
      <c r="O5" s="23"/>
      <c r="P5" s="150"/>
      <c r="Q5" s="21"/>
      <c r="R5" s="23"/>
      <c r="T5" s="23"/>
      <c r="U5" s="23"/>
      <c r="V5" s="23"/>
      <c r="W5" s="23"/>
      <c r="X5" s="23"/>
      <c r="Y5" s="23"/>
      <c r="Z5" s="23"/>
      <c r="AA5" s="23"/>
    </row>
    <row r="6" spans="1:27">
      <c r="A6" s="23"/>
      <c r="B6" s="23"/>
      <c r="C6" s="23"/>
      <c r="D6" s="23"/>
      <c r="E6" s="23"/>
      <c r="F6" s="23"/>
      <c r="G6" s="23"/>
      <c r="H6" s="21"/>
      <c r="I6" s="21"/>
      <c r="J6" s="23"/>
      <c r="K6" s="23"/>
      <c r="L6" s="23"/>
      <c r="M6" s="21"/>
      <c r="N6" s="23"/>
      <c r="O6" s="23"/>
      <c r="P6" s="151"/>
      <c r="Q6" s="23"/>
      <c r="R6" s="23"/>
      <c r="S6" s="23"/>
      <c r="T6" s="23"/>
      <c r="U6" s="23"/>
      <c r="V6" s="23"/>
      <c r="W6" s="21"/>
      <c r="X6" s="23"/>
      <c r="Y6" s="23"/>
    </row>
    <row r="7" spans="1:27">
      <c r="A7" s="23"/>
      <c r="B7" s="23"/>
      <c r="C7" s="23"/>
      <c r="D7" s="23"/>
      <c r="E7" s="23"/>
      <c r="F7" s="23"/>
      <c r="G7" s="23"/>
      <c r="H7" s="21"/>
      <c r="I7" s="21"/>
      <c r="J7" s="23"/>
      <c r="K7" s="23"/>
      <c r="L7" s="23"/>
      <c r="M7" s="21"/>
      <c r="N7" s="23"/>
      <c r="O7" s="23"/>
      <c r="P7" s="151"/>
      <c r="Q7" s="23"/>
      <c r="R7" s="23"/>
      <c r="S7" s="23"/>
      <c r="T7" s="23"/>
      <c r="U7" s="23"/>
      <c r="V7" s="23"/>
      <c r="W7" s="21"/>
      <c r="X7" s="23"/>
      <c r="Y7" s="23"/>
    </row>
    <row r="8" spans="1:27">
      <c r="A8" s="23"/>
      <c r="B8" s="23"/>
      <c r="C8" s="23"/>
      <c r="D8" s="23"/>
      <c r="E8" s="23"/>
      <c r="F8" s="23"/>
      <c r="G8" s="23"/>
      <c r="H8" s="21"/>
      <c r="I8" s="21"/>
      <c r="J8" s="23"/>
      <c r="K8" s="23"/>
      <c r="L8" s="23"/>
      <c r="M8" s="21"/>
      <c r="N8" s="23"/>
      <c r="O8" s="23"/>
      <c r="P8" s="151"/>
      <c r="Q8" s="23"/>
      <c r="R8" s="23"/>
      <c r="S8" s="23"/>
      <c r="T8" s="23"/>
      <c r="U8" s="23"/>
      <c r="V8" s="23"/>
      <c r="W8" s="21"/>
      <c r="X8" s="23"/>
      <c r="Y8" s="23"/>
    </row>
    <row r="9" spans="1:27">
      <c r="A9" s="23"/>
      <c r="B9" s="23"/>
      <c r="C9" s="23"/>
      <c r="D9" s="23"/>
      <c r="E9" s="23"/>
      <c r="F9" s="23"/>
      <c r="G9" s="23"/>
      <c r="H9" s="21"/>
      <c r="I9" s="21"/>
      <c r="J9" s="23"/>
      <c r="K9" s="23"/>
      <c r="L9" s="23"/>
      <c r="M9" s="21"/>
      <c r="N9" s="23"/>
      <c r="O9" s="23"/>
      <c r="P9" s="151"/>
      <c r="Q9" s="23"/>
      <c r="R9" s="23"/>
      <c r="S9" s="23"/>
      <c r="T9" s="23"/>
      <c r="U9" s="23"/>
      <c r="V9" s="23"/>
      <c r="W9" s="21"/>
      <c r="X9" s="23"/>
      <c r="Y9" s="23"/>
    </row>
    <row r="10" spans="1:27">
      <c r="A10" s="23"/>
      <c r="B10" s="23"/>
      <c r="C10" s="23"/>
      <c r="D10" s="23"/>
      <c r="E10" s="23"/>
      <c r="F10" s="23"/>
      <c r="G10" s="23"/>
      <c r="H10" s="21"/>
      <c r="I10" s="21"/>
      <c r="J10" s="23"/>
      <c r="K10" s="23"/>
      <c r="L10" s="23"/>
      <c r="M10" s="21"/>
      <c r="N10" s="23"/>
      <c r="O10" s="23"/>
      <c r="P10" s="151"/>
      <c r="Q10" s="23"/>
      <c r="R10" s="23"/>
      <c r="S10" s="23"/>
      <c r="T10" s="23"/>
      <c r="U10" s="23"/>
      <c r="V10" s="23"/>
      <c r="W10" s="21"/>
      <c r="X10" s="23"/>
      <c r="Y10" s="23"/>
    </row>
    <row r="11" spans="1:27">
      <c r="A11" s="23"/>
      <c r="B11" s="23"/>
      <c r="C11" s="23"/>
      <c r="D11" s="23"/>
      <c r="E11" s="23"/>
      <c r="F11" s="23"/>
      <c r="G11" s="23"/>
      <c r="H11" s="21"/>
      <c r="I11" s="21"/>
      <c r="J11" s="23"/>
      <c r="K11" s="23"/>
      <c r="L11" s="23"/>
      <c r="M11" s="21"/>
      <c r="N11" s="23"/>
      <c r="O11" s="23"/>
      <c r="P11" s="151"/>
      <c r="Q11" s="23"/>
      <c r="R11" s="23"/>
      <c r="S11" s="23"/>
      <c r="T11" s="23"/>
      <c r="U11" s="23"/>
      <c r="V11" s="23"/>
      <c r="W11" s="21"/>
      <c r="X11" s="23"/>
      <c r="Y11" s="23"/>
    </row>
    <row r="12" spans="1:27">
      <c r="A12" s="23"/>
      <c r="B12" s="23"/>
      <c r="C12" s="23"/>
      <c r="D12" s="23"/>
      <c r="E12" s="23"/>
      <c r="F12" s="23"/>
      <c r="G12" s="23"/>
      <c r="H12" s="21"/>
      <c r="I12" s="21"/>
      <c r="J12" s="23"/>
      <c r="K12" s="23"/>
      <c r="L12" s="23"/>
      <c r="M12" s="21"/>
      <c r="N12" s="23"/>
      <c r="O12" s="23"/>
      <c r="P12" s="151"/>
      <c r="Q12" s="23"/>
      <c r="R12" s="23"/>
      <c r="S12" s="23"/>
      <c r="T12" s="23"/>
      <c r="U12" s="23"/>
      <c r="V12" s="23"/>
      <c r="W12" s="21"/>
      <c r="X12" s="23"/>
      <c r="Y12" s="23"/>
    </row>
    <row r="13" spans="1:27">
      <c r="A13" s="23"/>
      <c r="B13" s="23"/>
      <c r="C13" s="23"/>
      <c r="D13" s="23"/>
      <c r="E13" s="23"/>
      <c r="F13" s="23"/>
      <c r="G13" s="23"/>
      <c r="H13" s="21"/>
      <c r="I13" s="21"/>
      <c r="J13" s="23"/>
      <c r="K13" s="23"/>
      <c r="L13" s="23"/>
      <c r="M13" s="21"/>
      <c r="N13" s="23"/>
      <c r="O13" s="23"/>
      <c r="P13" s="151"/>
      <c r="Q13" s="23"/>
      <c r="R13" s="23"/>
      <c r="S13" s="23"/>
      <c r="T13" s="23"/>
      <c r="U13" s="23"/>
      <c r="V13" s="23"/>
      <c r="W13" s="21"/>
      <c r="X13" s="23"/>
      <c r="Y13" s="23"/>
    </row>
    <row r="14" spans="1:27">
      <c r="A14" s="23"/>
      <c r="B14" s="23"/>
      <c r="C14" s="23"/>
      <c r="D14" s="23"/>
      <c r="E14" s="23"/>
      <c r="F14" s="23"/>
      <c r="G14" s="23"/>
      <c r="H14" s="21"/>
      <c r="I14" s="21"/>
      <c r="J14" s="23"/>
      <c r="K14" s="23"/>
      <c r="L14" s="23"/>
      <c r="M14" s="21"/>
      <c r="N14" s="23"/>
      <c r="O14" s="23"/>
      <c r="P14" s="151"/>
      <c r="Q14" s="23"/>
      <c r="R14" s="23"/>
      <c r="S14" s="23"/>
      <c r="T14" s="23"/>
      <c r="U14" s="23"/>
      <c r="V14" s="23"/>
      <c r="W14" s="21"/>
      <c r="X14" s="23"/>
      <c r="Y14" s="23"/>
    </row>
    <row r="15" spans="1:27">
      <c r="A15" s="23"/>
      <c r="B15" s="23"/>
      <c r="C15" s="23"/>
      <c r="D15" s="23"/>
      <c r="E15" s="23"/>
      <c r="F15" s="23"/>
      <c r="G15" s="23"/>
      <c r="H15" s="21"/>
      <c r="I15" s="21"/>
      <c r="J15" s="23"/>
      <c r="K15" s="23"/>
      <c r="L15" s="23"/>
      <c r="M15" s="21"/>
      <c r="N15" s="23"/>
      <c r="O15" s="23"/>
      <c r="P15" s="151"/>
      <c r="Q15" s="23"/>
      <c r="R15" s="23"/>
      <c r="S15" s="23"/>
      <c r="T15" s="23"/>
      <c r="U15" s="23"/>
      <c r="V15" s="23"/>
      <c r="W15" s="21"/>
      <c r="X15" s="23"/>
      <c r="Y15" s="23"/>
    </row>
    <row r="16" spans="1:27">
      <c r="A16" s="23"/>
      <c r="B16" s="23"/>
      <c r="C16" s="23"/>
      <c r="D16" s="23"/>
      <c r="E16" s="23"/>
      <c r="F16" s="23"/>
      <c r="G16" s="23"/>
      <c r="H16" s="21"/>
      <c r="I16" s="21"/>
      <c r="J16" s="23"/>
      <c r="K16" s="23"/>
      <c r="L16" s="23"/>
      <c r="M16" s="21"/>
      <c r="N16" s="23"/>
      <c r="O16" s="23"/>
      <c r="P16" s="151"/>
      <c r="Q16" s="23"/>
      <c r="R16" s="23"/>
      <c r="S16" s="23"/>
      <c r="T16" s="23"/>
      <c r="U16" s="23"/>
      <c r="V16" s="23"/>
      <c r="W16" s="21"/>
      <c r="X16" s="23"/>
      <c r="Y16" s="23"/>
    </row>
    <row r="17" spans="1:25">
      <c r="A17" s="23"/>
      <c r="B17" s="23"/>
      <c r="C17" s="23"/>
      <c r="D17" s="23"/>
      <c r="E17" s="23"/>
      <c r="F17" s="23"/>
      <c r="G17" s="23"/>
      <c r="H17" s="21"/>
      <c r="I17" s="21"/>
      <c r="J17" s="23"/>
      <c r="K17" s="23"/>
      <c r="L17" s="23"/>
      <c r="M17" s="21"/>
      <c r="N17" s="23"/>
      <c r="O17" s="23"/>
      <c r="P17" s="151"/>
      <c r="Q17" s="23"/>
      <c r="R17" s="23"/>
      <c r="S17" s="23"/>
      <c r="T17" s="23"/>
      <c r="U17" s="23"/>
      <c r="V17" s="23"/>
      <c r="W17" s="21"/>
      <c r="X17" s="23"/>
      <c r="Y17" s="23"/>
    </row>
    <row r="18" spans="1:25">
      <c r="A18" s="23"/>
      <c r="B18" s="23"/>
      <c r="C18" s="23"/>
      <c r="D18" s="23"/>
      <c r="E18" s="23"/>
      <c r="F18" s="23"/>
      <c r="G18" s="23"/>
      <c r="H18" s="21"/>
      <c r="I18" s="21"/>
      <c r="J18" s="23"/>
      <c r="K18" s="23"/>
      <c r="L18" s="23"/>
      <c r="M18" s="21"/>
      <c r="N18" s="23"/>
      <c r="O18" s="23"/>
      <c r="P18" s="151"/>
      <c r="Q18" s="23"/>
      <c r="R18" s="23"/>
      <c r="S18" s="23"/>
      <c r="T18" s="23"/>
      <c r="U18" s="23"/>
      <c r="V18" s="23"/>
      <c r="W18" s="21"/>
      <c r="X18" s="23"/>
      <c r="Y18" s="23"/>
    </row>
    <row r="19" spans="1:25">
      <c r="A19" s="23"/>
      <c r="B19" s="23"/>
      <c r="C19" s="23"/>
      <c r="D19" s="23"/>
      <c r="E19" s="23"/>
      <c r="F19" s="23"/>
      <c r="G19" s="23"/>
      <c r="H19" s="21"/>
      <c r="I19" s="21"/>
      <c r="J19" s="23"/>
      <c r="K19" s="23"/>
      <c r="L19" s="23"/>
      <c r="M19" s="21"/>
      <c r="N19" s="23"/>
      <c r="O19" s="23"/>
      <c r="P19" s="151"/>
      <c r="Q19" s="23"/>
      <c r="R19" s="23"/>
      <c r="S19" s="23"/>
      <c r="T19" s="23"/>
      <c r="U19" s="23"/>
      <c r="V19" s="23"/>
      <c r="W19" s="21"/>
      <c r="X19" s="23"/>
      <c r="Y19" s="23"/>
    </row>
    <row r="20" spans="1:25">
      <c r="F20" s="23"/>
      <c r="G20" s="23"/>
      <c r="H20" s="21"/>
      <c r="I20" s="21"/>
      <c r="L20" s="23"/>
      <c r="W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24"/>
  <sheetViews>
    <sheetView rightToLeft="1" zoomScale="70" zoomScaleNormal="70" workbookViewId="0"/>
  </sheetViews>
  <sheetFormatPr defaultColWidth="9" defaultRowHeight="14.25"/>
  <cols>
    <col min="1" max="7" width="11.625" style="2" customWidth="1"/>
    <col min="8" max="8" width="11.625" customWidth="1"/>
    <col min="9" max="9" width="11.625" style="2" customWidth="1"/>
    <col min="10" max="10" width="11.625" style="148" customWidth="1"/>
    <col min="11" max="15" width="11.625" style="2" customWidth="1"/>
    <col min="16" max="16" width="11.625" customWidth="1"/>
    <col min="17" max="19" width="11.625" style="2" customWidth="1"/>
    <col min="20" max="20" width="9" style="2" customWidth="1"/>
    <col min="21" max="16384" width="9" style="2"/>
  </cols>
  <sheetData>
    <row r="1" spans="1:19" ht="66.75" customHeight="1">
      <c r="A1" s="22" t="s">
        <v>0</v>
      </c>
      <c r="B1" s="22" t="s">
        <v>1</v>
      </c>
      <c r="C1" s="22" t="s">
        <v>5</v>
      </c>
      <c r="D1" s="22" t="s">
        <v>3</v>
      </c>
      <c r="E1" s="22" t="s">
        <v>4</v>
      </c>
      <c r="F1" s="22" t="s">
        <v>108</v>
      </c>
      <c r="G1" s="22" t="s">
        <v>12</v>
      </c>
      <c r="H1" s="22" t="s">
        <v>703</v>
      </c>
      <c r="I1" s="22" t="s">
        <v>13</v>
      </c>
      <c r="J1" s="146" t="s">
        <v>14</v>
      </c>
      <c r="K1" s="22" t="s">
        <v>15</v>
      </c>
      <c r="L1" s="22" t="s">
        <v>17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24</v>
      </c>
      <c r="R1" s="22" t="s">
        <v>25</v>
      </c>
      <c r="S1" s="11"/>
    </row>
    <row r="2" spans="1:19">
      <c r="A2" s="23"/>
      <c r="B2" s="23"/>
      <c r="C2" s="23"/>
      <c r="D2" s="23"/>
      <c r="E2" s="23"/>
      <c r="F2" s="23"/>
      <c r="G2" s="23"/>
      <c r="H2" s="23"/>
      <c r="I2" s="23"/>
      <c r="J2" s="151"/>
      <c r="K2" s="23"/>
      <c r="L2" s="23"/>
      <c r="M2" s="23"/>
      <c r="N2" s="23"/>
      <c r="O2" s="23"/>
      <c r="P2" s="21"/>
      <c r="Q2" s="23"/>
      <c r="R2" s="23"/>
    </row>
    <row r="3" spans="1:19">
      <c r="A3" s="23"/>
      <c r="B3" s="23"/>
      <c r="C3" s="23"/>
      <c r="D3" s="23"/>
      <c r="E3" s="23"/>
      <c r="F3" s="23"/>
      <c r="G3" s="23"/>
      <c r="H3" s="23"/>
      <c r="I3" s="23"/>
      <c r="J3" s="151"/>
      <c r="K3" s="23"/>
      <c r="L3" s="23"/>
      <c r="M3" s="23"/>
      <c r="N3" s="23"/>
      <c r="O3" s="23"/>
      <c r="P3" s="21"/>
      <c r="Q3" s="23"/>
      <c r="R3" s="23"/>
    </row>
    <row r="4" spans="1:19">
      <c r="A4" s="23"/>
      <c r="B4" s="23"/>
      <c r="C4" s="23"/>
      <c r="D4" s="23"/>
      <c r="E4" s="23"/>
      <c r="F4" s="23"/>
      <c r="G4" s="23"/>
      <c r="H4" s="23"/>
      <c r="I4" s="23"/>
      <c r="J4" s="151"/>
      <c r="K4" s="23"/>
      <c r="L4" s="23"/>
      <c r="M4" s="23"/>
      <c r="N4" s="23"/>
      <c r="O4" s="23"/>
      <c r="P4" s="21"/>
      <c r="Q4" s="23"/>
      <c r="R4" s="23"/>
    </row>
    <row r="5" spans="1:19">
      <c r="A5" s="23"/>
      <c r="B5" s="23"/>
      <c r="C5" s="23"/>
      <c r="D5" s="23"/>
      <c r="E5" s="23"/>
      <c r="F5" s="23"/>
      <c r="G5" s="23"/>
      <c r="H5" s="23"/>
      <c r="I5" s="23"/>
      <c r="J5" s="151"/>
      <c r="K5" s="23"/>
      <c r="L5" s="23"/>
      <c r="M5" s="23"/>
      <c r="N5" s="23"/>
      <c r="O5" s="23"/>
      <c r="P5" s="23"/>
      <c r="Q5" s="23"/>
      <c r="R5" s="23"/>
    </row>
    <row r="6" spans="1:19">
      <c r="A6" s="23"/>
      <c r="B6" s="23"/>
      <c r="C6" s="23"/>
      <c r="D6" s="23"/>
      <c r="E6" s="23"/>
      <c r="F6" s="23"/>
      <c r="G6" s="23"/>
      <c r="H6" s="23"/>
      <c r="I6" s="23"/>
      <c r="J6" s="151"/>
      <c r="K6" s="23"/>
      <c r="L6" s="23"/>
      <c r="M6" s="23"/>
      <c r="N6" s="23"/>
      <c r="O6" s="23"/>
      <c r="P6" s="21"/>
      <c r="Q6" s="23"/>
      <c r="R6" s="23"/>
    </row>
    <row r="7" spans="1:19">
      <c r="A7" s="23"/>
      <c r="B7" s="23"/>
      <c r="C7" s="23"/>
      <c r="D7" s="23"/>
      <c r="E7" s="23"/>
      <c r="F7" s="23"/>
      <c r="G7" s="23"/>
      <c r="H7" s="23"/>
      <c r="I7" s="23"/>
      <c r="J7" s="151"/>
      <c r="K7" s="23"/>
      <c r="L7" s="23"/>
      <c r="M7" s="23"/>
      <c r="N7" s="23"/>
      <c r="O7" s="23"/>
      <c r="P7" s="21"/>
      <c r="Q7" s="23"/>
      <c r="R7" s="23"/>
    </row>
    <row r="8" spans="1:19">
      <c r="A8" s="23"/>
      <c r="B8" s="23"/>
      <c r="C8" s="23"/>
      <c r="D8" s="23"/>
      <c r="E8" s="23"/>
      <c r="F8" s="23"/>
      <c r="G8" s="23"/>
      <c r="H8" s="23"/>
      <c r="I8" s="23"/>
      <c r="J8" s="151"/>
      <c r="K8" s="23"/>
      <c r="L8" s="23"/>
      <c r="M8" s="23"/>
      <c r="N8" s="23"/>
      <c r="O8" s="23"/>
      <c r="P8" s="21"/>
      <c r="Q8" s="23"/>
      <c r="R8" s="23"/>
    </row>
    <row r="9" spans="1:19">
      <c r="A9" s="23"/>
      <c r="B9" s="23"/>
      <c r="C9" s="23"/>
      <c r="D9" s="23"/>
      <c r="E9" s="23"/>
      <c r="F9" s="23"/>
      <c r="G9" s="23"/>
      <c r="H9" s="23"/>
      <c r="I9" s="23"/>
      <c r="J9" s="151"/>
      <c r="K9" s="23"/>
      <c r="L9" s="23"/>
      <c r="M9" s="23"/>
      <c r="N9" s="23"/>
      <c r="O9" s="23"/>
      <c r="P9" s="21"/>
      <c r="Q9" s="23"/>
      <c r="R9" s="23"/>
    </row>
    <row r="10" spans="1:19">
      <c r="A10" s="23"/>
      <c r="B10" s="23"/>
      <c r="C10" s="23"/>
      <c r="D10" s="23"/>
      <c r="E10" s="23"/>
      <c r="F10" s="23"/>
      <c r="G10" s="23"/>
      <c r="H10" s="23"/>
      <c r="I10" s="23"/>
      <c r="J10" s="151"/>
      <c r="K10" s="23"/>
      <c r="L10" s="23"/>
      <c r="M10" s="23"/>
      <c r="N10" s="23"/>
      <c r="O10" s="23"/>
      <c r="P10" s="21"/>
      <c r="Q10" s="23"/>
      <c r="R10" s="23"/>
    </row>
    <row r="11" spans="1:19">
      <c r="A11" s="23"/>
      <c r="B11" s="23"/>
      <c r="C11" s="23"/>
      <c r="D11" s="23"/>
      <c r="E11" s="23"/>
      <c r="F11" s="23"/>
      <c r="G11" s="23"/>
      <c r="H11" s="23"/>
      <c r="I11" s="23"/>
      <c r="J11" s="151"/>
      <c r="K11" s="23"/>
      <c r="L11" s="23"/>
      <c r="M11" s="23"/>
      <c r="N11" s="23"/>
      <c r="O11" s="23"/>
      <c r="P11" s="21"/>
      <c r="Q11" s="23"/>
      <c r="R11" s="23"/>
    </row>
    <row r="12" spans="1:19">
      <c r="A12" s="23"/>
      <c r="B12" s="23"/>
      <c r="C12" s="23"/>
      <c r="D12" s="23"/>
      <c r="E12" s="23"/>
      <c r="F12" s="23"/>
      <c r="G12" s="23"/>
      <c r="H12" s="23"/>
      <c r="I12" s="23"/>
      <c r="J12" s="151"/>
      <c r="K12" s="23"/>
      <c r="L12" s="23"/>
      <c r="M12" s="23"/>
      <c r="N12" s="23"/>
      <c r="O12" s="23"/>
      <c r="P12" s="21"/>
      <c r="Q12" s="23"/>
      <c r="R12" s="23"/>
    </row>
    <row r="13" spans="1:19">
      <c r="A13" s="23"/>
      <c r="B13" s="23"/>
      <c r="C13" s="23"/>
      <c r="D13" s="23"/>
      <c r="E13" s="23"/>
      <c r="F13" s="23"/>
      <c r="G13" s="23"/>
      <c r="H13" s="23"/>
      <c r="I13" s="23"/>
      <c r="J13" s="151"/>
      <c r="K13" s="23"/>
      <c r="L13" s="23"/>
      <c r="M13" s="23"/>
      <c r="N13" s="23"/>
      <c r="O13" s="23"/>
      <c r="P13" s="21"/>
      <c r="Q13" s="23"/>
      <c r="R13" s="23"/>
    </row>
    <row r="14" spans="1:19">
      <c r="A14" s="23"/>
      <c r="B14" s="23"/>
      <c r="C14" s="23"/>
      <c r="D14" s="23"/>
      <c r="E14" s="23"/>
      <c r="F14" s="23"/>
      <c r="G14" s="23"/>
      <c r="H14" s="23"/>
      <c r="I14" s="23"/>
      <c r="J14" s="151"/>
      <c r="K14" s="23"/>
      <c r="L14" s="23"/>
      <c r="M14" s="23"/>
      <c r="N14" s="23"/>
      <c r="O14" s="23"/>
      <c r="P14" s="21"/>
      <c r="Q14" s="23"/>
      <c r="R14" s="23"/>
    </row>
    <row r="15" spans="1:19">
      <c r="A15" s="23"/>
      <c r="B15" s="23"/>
      <c r="C15" s="23"/>
      <c r="D15" s="23"/>
      <c r="E15" s="23"/>
      <c r="F15" s="23"/>
      <c r="G15" s="23"/>
      <c r="H15" s="23"/>
      <c r="I15" s="23"/>
      <c r="J15" s="151"/>
      <c r="K15" s="23"/>
      <c r="L15" s="23"/>
      <c r="M15" s="23"/>
      <c r="N15" s="23"/>
      <c r="O15" s="23"/>
      <c r="P15" s="21"/>
      <c r="Q15" s="23"/>
      <c r="R15" s="23"/>
    </row>
    <row r="16" spans="1:19">
      <c r="A16" s="23"/>
      <c r="B16" s="23"/>
      <c r="C16" s="23"/>
      <c r="D16" s="23"/>
      <c r="E16" s="23"/>
      <c r="F16" s="23"/>
      <c r="G16" s="23"/>
      <c r="H16" s="23"/>
      <c r="I16" s="23"/>
      <c r="J16" s="151"/>
      <c r="K16" s="23"/>
      <c r="L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23"/>
      <c r="D17" s="23"/>
      <c r="E17" s="23"/>
      <c r="F17" s="23"/>
      <c r="G17" s="23"/>
      <c r="H17" s="23"/>
      <c r="I17" s="23"/>
      <c r="J17" s="151"/>
      <c r="K17" s="23"/>
      <c r="L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23"/>
      <c r="D18" s="23"/>
      <c r="E18" s="23"/>
      <c r="F18" s="23"/>
      <c r="G18" s="23"/>
      <c r="H18" s="23"/>
      <c r="I18" s="23"/>
      <c r="J18" s="151"/>
      <c r="K18" s="23"/>
      <c r="L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23"/>
      <c r="D19" s="23"/>
      <c r="E19" s="23"/>
      <c r="F19" s="23"/>
      <c r="G19" s="23"/>
      <c r="H19" s="23"/>
      <c r="I19" s="23"/>
      <c r="J19" s="151"/>
      <c r="K19" s="23"/>
      <c r="L19" s="23"/>
      <c r="M19" s="23"/>
      <c r="N19" s="23"/>
      <c r="O19" s="23"/>
      <c r="P19" s="21"/>
      <c r="Q19" s="23"/>
      <c r="R19" s="23"/>
    </row>
    <row r="20" spans="1:18">
      <c r="C20" s="23"/>
      <c r="H20" s="23"/>
      <c r="P20" s="21"/>
    </row>
    <row r="21" spans="1:18">
      <c r="H21" s="2"/>
    </row>
    <row r="22" spans="1:18">
      <c r="H22" s="2"/>
    </row>
    <row r="23" spans="1:18">
      <c r="H23" s="2"/>
    </row>
    <row r="24" spans="1:18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0"/>
  <sheetViews>
    <sheetView rightToLeft="1" zoomScale="70" zoomScaleNormal="70" workbookViewId="0"/>
  </sheetViews>
  <sheetFormatPr defaultColWidth="9" defaultRowHeight="14.25"/>
  <cols>
    <col min="1" max="3" width="11.625" style="2" customWidth="1"/>
    <col min="4" max="6" width="11.625" customWidth="1"/>
    <col min="7" max="8" width="11.625" style="2" customWidth="1"/>
    <col min="9" max="9" width="9" style="2" customWidth="1"/>
    <col min="10" max="16384" width="9" style="2"/>
  </cols>
  <sheetData>
    <row r="1" spans="1:8" ht="66.75" customHeight="1">
      <c r="A1" s="22" t="s">
        <v>1077</v>
      </c>
      <c r="B1" s="22" t="s">
        <v>1</v>
      </c>
      <c r="C1" s="22" t="s">
        <v>5</v>
      </c>
      <c r="D1" s="22" t="s">
        <v>1078</v>
      </c>
      <c r="E1" s="22" t="s">
        <v>1079</v>
      </c>
      <c r="F1" s="22" t="s">
        <v>1080</v>
      </c>
      <c r="G1" s="22" t="s">
        <v>25</v>
      </c>
      <c r="H1" s="11"/>
    </row>
    <row r="2" spans="1:8">
      <c r="A2" s="23"/>
      <c r="B2" s="23"/>
      <c r="C2" s="23"/>
      <c r="D2" s="128"/>
      <c r="G2" s="30"/>
    </row>
    <row r="3" spans="1:8">
      <c r="A3" s="23"/>
      <c r="B3" s="23"/>
      <c r="C3" s="23"/>
      <c r="G3" s="23"/>
    </row>
    <row r="4" spans="1:8">
      <c r="A4" s="23"/>
      <c r="B4" s="23"/>
      <c r="C4" s="23"/>
      <c r="G4" s="23"/>
    </row>
    <row r="5" spans="1:8">
      <c r="A5" s="23"/>
      <c r="B5" s="23"/>
      <c r="C5" s="23"/>
      <c r="G5" s="23"/>
    </row>
    <row r="6" spans="1:8">
      <c r="A6" s="23"/>
      <c r="B6" s="23"/>
      <c r="C6" s="23"/>
      <c r="G6" s="23"/>
    </row>
    <row r="7" spans="1:8">
      <c r="A7" s="23"/>
      <c r="B7" s="23"/>
      <c r="C7" s="23"/>
      <c r="G7" s="23"/>
    </row>
    <row r="8" spans="1:8">
      <c r="A8" s="23"/>
      <c r="B8" s="23"/>
      <c r="C8" s="23"/>
      <c r="G8" s="23"/>
    </row>
    <row r="9" spans="1:8">
      <c r="A9" s="23"/>
      <c r="B9" s="23"/>
      <c r="C9" s="23"/>
      <c r="G9" s="23"/>
    </row>
    <row r="10" spans="1:8">
      <c r="A10" s="23"/>
      <c r="B10" s="23"/>
      <c r="C10" s="23"/>
      <c r="G10" s="23"/>
    </row>
    <row r="11" spans="1:8">
      <c r="A11" s="23"/>
      <c r="B11" s="23"/>
      <c r="C11" s="23"/>
      <c r="G11" s="23"/>
    </row>
    <row r="12" spans="1:8">
      <c r="A12" s="23"/>
      <c r="B12" s="23"/>
      <c r="C12" s="23"/>
      <c r="G12" s="23"/>
    </row>
    <row r="13" spans="1:8">
      <c r="A13" s="23"/>
      <c r="B13" s="23"/>
      <c r="C13" s="23"/>
      <c r="G13" s="23"/>
    </row>
    <row r="14" spans="1:8">
      <c r="A14" s="23"/>
      <c r="B14" s="23"/>
      <c r="C14" s="23"/>
      <c r="G14" s="23"/>
    </row>
    <row r="15" spans="1:8">
      <c r="A15" s="23"/>
      <c r="B15" s="23"/>
      <c r="C15" s="23"/>
      <c r="G15" s="23"/>
    </row>
    <row r="16" spans="1:8">
      <c r="A16" s="23"/>
      <c r="B16" s="23"/>
      <c r="C16" s="23"/>
      <c r="G16" s="23"/>
    </row>
    <row r="17" spans="1:7">
      <c r="A17" s="23"/>
      <c r="B17" s="23"/>
      <c r="C17" s="23"/>
      <c r="G17" s="23"/>
    </row>
    <row r="18" spans="1:7">
      <c r="A18" s="23"/>
      <c r="B18" s="23"/>
      <c r="C18" s="23"/>
      <c r="G18" s="23"/>
    </row>
    <row r="19" spans="1:7">
      <c r="A19" s="23"/>
      <c r="B19" s="23"/>
      <c r="C19" s="23"/>
      <c r="G19" s="23"/>
    </row>
    <row r="20" spans="1:7">
      <c r="C20" s="23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zoomScale="70" zoomScaleNormal="70" workbookViewId="0"/>
  </sheetViews>
  <sheetFormatPr defaultRowHeight="14.25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</cols>
  <sheetData>
    <row r="1" spans="1:40" ht="66.75" customHeight="1">
      <c r="A1" s="22" t="s">
        <v>0</v>
      </c>
      <c r="B1" s="22" t="s">
        <v>1</v>
      </c>
      <c r="C1" s="22" t="s">
        <v>2</v>
      </c>
      <c r="D1" s="22" t="s">
        <v>97</v>
      </c>
      <c r="E1" s="22" t="s">
        <v>98</v>
      </c>
      <c r="F1" s="22" t="s">
        <v>3</v>
      </c>
      <c r="G1" s="22" t="s">
        <v>4</v>
      </c>
      <c r="H1" s="22" t="s">
        <v>99</v>
      </c>
      <c r="I1" s="22" t="s">
        <v>5</v>
      </c>
      <c r="J1" s="22" t="s">
        <v>6</v>
      </c>
      <c r="K1" s="22" t="s">
        <v>7</v>
      </c>
      <c r="L1" s="22" t="s">
        <v>100</v>
      </c>
      <c r="M1" s="22" t="s">
        <v>78</v>
      </c>
      <c r="N1" s="22" t="s">
        <v>108</v>
      </c>
      <c r="O1" s="22" t="s">
        <v>9</v>
      </c>
      <c r="P1" s="22" t="s">
        <v>10</v>
      </c>
      <c r="Q1" s="22" t="s">
        <v>124</v>
      </c>
      <c r="R1" s="22" t="s">
        <v>11</v>
      </c>
      <c r="S1" s="22" t="s">
        <v>12</v>
      </c>
      <c r="T1" s="22" t="s">
        <v>703</v>
      </c>
      <c r="U1" s="22" t="s">
        <v>860</v>
      </c>
      <c r="V1" s="22" t="s">
        <v>13</v>
      </c>
      <c r="W1" s="22" t="s">
        <v>14</v>
      </c>
      <c r="X1" s="22" t="s">
        <v>15</v>
      </c>
      <c r="Y1" s="22" t="s">
        <v>359</v>
      </c>
      <c r="Z1" s="22" t="s">
        <v>781</v>
      </c>
      <c r="AA1" s="22" t="s">
        <v>101</v>
      </c>
      <c r="AB1" s="22" t="s">
        <v>102</v>
      </c>
      <c r="AC1" s="22" t="s">
        <v>114</v>
      </c>
      <c r="AD1" s="22" t="s">
        <v>87</v>
      </c>
      <c r="AE1" s="22" t="s">
        <v>103</v>
      </c>
      <c r="AF1" s="22" t="s">
        <v>17</v>
      </c>
      <c r="AG1" s="22" t="s">
        <v>18</v>
      </c>
      <c r="AH1" s="22" t="s">
        <v>19</v>
      </c>
      <c r="AI1" s="22" t="s">
        <v>20</v>
      </c>
      <c r="AJ1" s="22" t="s">
        <v>21</v>
      </c>
      <c r="AK1" s="22" t="s">
        <v>116</v>
      </c>
      <c r="AL1" s="22" t="s">
        <v>22</v>
      </c>
      <c r="AM1" s="22" t="s">
        <v>24</v>
      </c>
      <c r="AN1" s="22" t="s">
        <v>25</v>
      </c>
    </row>
    <row r="2" spans="1:40">
      <c r="A2" s="30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23"/>
      <c r="U2" s="23"/>
      <c r="V2" s="23"/>
      <c r="W2" s="23"/>
      <c r="X2" s="23"/>
      <c r="Y2" s="21"/>
      <c r="Z2" s="23"/>
      <c r="AA2" s="23"/>
      <c r="AB2" s="23"/>
      <c r="AC2" s="23"/>
      <c r="AD2" s="23"/>
      <c r="AE2" s="23"/>
      <c r="AF2" s="23"/>
      <c r="AG2" s="23"/>
      <c r="AH2" s="23"/>
      <c r="AI2" s="23"/>
      <c r="AK2" s="30"/>
      <c r="AL2" s="23"/>
    </row>
    <row r="3" spans="1:40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23"/>
      <c r="U3" s="23"/>
      <c r="V3" s="23"/>
      <c r="W3" s="23"/>
      <c r="X3" s="23"/>
      <c r="Y3" s="21"/>
      <c r="Z3" s="21"/>
      <c r="AA3" s="23"/>
      <c r="AB3" s="23"/>
      <c r="AF3" s="23"/>
      <c r="AG3" s="23"/>
      <c r="AH3" s="23"/>
      <c r="AI3" s="23"/>
      <c r="AK3" s="23"/>
      <c r="AL3" s="23"/>
    </row>
    <row r="4" spans="1:40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23"/>
      <c r="U4" s="23"/>
      <c r="V4" s="23"/>
      <c r="W4" s="23"/>
      <c r="X4" s="23"/>
      <c r="Y4" s="21"/>
      <c r="Z4" s="21"/>
      <c r="AA4" s="23"/>
      <c r="AB4" s="23"/>
      <c r="AD4" s="23"/>
      <c r="AE4" s="23"/>
      <c r="AF4" s="23"/>
      <c r="AG4" s="23"/>
      <c r="AH4" s="23"/>
      <c r="AI4" s="23"/>
      <c r="AK4" s="23"/>
      <c r="AL4" s="23"/>
    </row>
    <row r="5" spans="1:40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23"/>
      <c r="U5" s="23"/>
      <c r="V5" s="23"/>
      <c r="W5" s="23"/>
      <c r="X5" s="23"/>
      <c r="Y5" s="21"/>
      <c r="Z5" s="21"/>
      <c r="AA5" s="23"/>
      <c r="AB5" s="23"/>
      <c r="AD5" s="23"/>
      <c r="AE5" s="23"/>
      <c r="AF5" s="23"/>
      <c r="AG5" s="23"/>
      <c r="AH5" s="23"/>
      <c r="AI5" s="23"/>
      <c r="AK5" s="23"/>
      <c r="AL5" s="23"/>
    </row>
    <row r="6" spans="1:40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23"/>
      <c r="U6" s="23"/>
      <c r="V6" s="23"/>
      <c r="W6" s="23"/>
      <c r="X6" s="23"/>
      <c r="Y6" s="21"/>
      <c r="Z6" s="21"/>
      <c r="AA6" s="23"/>
      <c r="AB6" s="23"/>
      <c r="AD6" s="23"/>
      <c r="AE6" s="23"/>
      <c r="AF6" s="23"/>
      <c r="AG6" s="23"/>
      <c r="AH6" s="23"/>
      <c r="AI6" s="23"/>
      <c r="AK6" s="23"/>
      <c r="AL6" s="23"/>
    </row>
    <row r="7" spans="1:40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23"/>
      <c r="U7" s="23"/>
      <c r="V7" s="23"/>
      <c r="W7" s="23"/>
      <c r="X7" s="23"/>
      <c r="Y7" s="21"/>
      <c r="Z7" s="21"/>
      <c r="AA7" s="23"/>
      <c r="AB7" s="23"/>
      <c r="AD7" s="23"/>
      <c r="AE7" s="23"/>
      <c r="AF7" s="23"/>
      <c r="AG7" s="23"/>
      <c r="AH7" s="23"/>
      <c r="AI7" s="23"/>
      <c r="AK7" s="23"/>
      <c r="AL7" s="23"/>
    </row>
    <row r="8" spans="1:40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23"/>
      <c r="U8" s="23"/>
      <c r="V8" s="23"/>
      <c r="W8" s="23"/>
      <c r="X8" s="23"/>
      <c r="Y8" s="21"/>
      <c r="Z8" s="21"/>
      <c r="AA8" s="23"/>
      <c r="AB8" s="23"/>
      <c r="AD8" s="23"/>
      <c r="AE8" s="23"/>
      <c r="AF8" s="23"/>
      <c r="AG8" s="23"/>
      <c r="AH8" s="23"/>
      <c r="AI8" s="23"/>
      <c r="AK8" s="23"/>
      <c r="AL8" s="23"/>
    </row>
    <row r="9" spans="1:40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23"/>
      <c r="U9" s="23"/>
      <c r="V9" s="23"/>
      <c r="W9" s="23"/>
      <c r="X9" s="23"/>
      <c r="Y9" s="21"/>
      <c r="Z9" s="21"/>
      <c r="AA9" s="23"/>
      <c r="AB9" s="23"/>
      <c r="AD9" s="23"/>
      <c r="AE9" s="23"/>
      <c r="AF9" s="23"/>
      <c r="AG9" s="23"/>
      <c r="AH9" s="23"/>
      <c r="AL9" s="23"/>
    </row>
    <row r="10" spans="1:40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23"/>
      <c r="U10" s="23"/>
      <c r="V10" s="23"/>
      <c r="W10" s="23"/>
      <c r="X10" s="23"/>
      <c r="Y10" s="21"/>
      <c r="Z10" s="21"/>
      <c r="AA10" s="23"/>
      <c r="AB10" s="23"/>
      <c r="AD10" s="23"/>
      <c r="AE10" s="23"/>
      <c r="AF10" s="23"/>
      <c r="AG10" s="23"/>
      <c r="AH10" s="23"/>
      <c r="AL10" s="23"/>
    </row>
    <row r="11" spans="1:40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23"/>
      <c r="U11" s="23"/>
      <c r="V11" s="23"/>
      <c r="W11" s="23"/>
      <c r="X11" s="23"/>
      <c r="Y11" s="21"/>
      <c r="Z11" s="21"/>
      <c r="AA11" s="23"/>
      <c r="AB11" s="23"/>
      <c r="AD11" s="23"/>
      <c r="AE11" s="23"/>
      <c r="AF11" s="23"/>
      <c r="AG11" s="23"/>
      <c r="AH11" s="23"/>
      <c r="AI11" s="23"/>
      <c r="AK11" s="23"/>
      <c r="AL11" s="23"/>
    </row>
    <row r="12" spans="1:40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23"/>
      <c r="U12" s="23"/>
      <c r="V12" s="23"/>
      <c r="W12" s="23"/>
      <c r="X12" s="23"/>
      <c r="Y12" s="21"/>
      <c r="Z12" s="21"/>
      <c r="AA12" s="23"/>
      <c r="AB12" s="23"/>
      <c r="AD12" s="23"/>
      <c r="AE12" s="23"/>
      <c r="AF12" s="23"/>
      <c r="AG12" s="23"/>
      <c r="AH12" s="23"/>
      <c r="AI12" s="23"/>
      <c r="AK12" s="23"/>
      <c r="AL12" s="23"/>
    </row>
    <row r="13" spans="1:40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23"/>
      <c r="U13" s="23"/>
      <c r="V13" s="23"/>
      <c r="W13" s="23"/>
      <c r="X13" s="23"/>
      <c r="Y13" s="21"/>
      <c r="Z13" s="21"/>
      <c r="AA13" s="23"/>
      <c r="AB13" s="23"/>
      <c r="AD13" s="23"/>
      <c r="AE13" s="23"/>
      <c r="AF13" s="23"/>
      <c r="AG13" s="23"/>
      <c r="AH13" s="23"/>
      <c r="AI13" s="23"/>
      <c r="AK13" s="23"/>
      <c r="AL13" s="23"/>
    </row>
    <row r="14" spans="1:40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23"/>
      <c r="U14" s="23"/>
      <c r="V14" s="23"/>
      <c r="W14" s="23"/>
      <c r="X14" s="23"/>
      <c r="Y14" s="21"/>
      <c r="Z14" s="21"/>
      <c r="AA14" s="23"/>
      <c r="AB14" s="23"/>
      <c r="AD14" s="23"/>
      <c r="AE14" s="23"/>
      <c r="AF14" s="23"/>
      <c r="AG14" s="23"/>
      <c r="AH14" s="23"/>
      <c r="AI14" s="23"/>
      <c r="AK14" s="23"/>
      <c r="AL14" s="23"/>
    </row>
    <row r="15" spans="1:40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23"/>
      <c r="U15" s="23"/>
      <c r="V15" s="23"/>
      <c r="W15" s="23"/>
      <c r="X15" s="23"/>
      <c r="Y15" s="21"/>
      <c r="Z15" s="21"/>
      <c r="AA15" s="23"/>
      <c r="AB15" s="23"/>
      <c r="AD15" s="23"/>
      <c r="AE15" s="23"/>
      <c r="AF15" s="23"/>
      <c r="AG15" s="23"/>
      <c r="AH15" s="23"/>
      <c r="AI15" s="23"/>
      <c r="AK15" s="23"/>
      <c r="AL15" s="23"/>
    </row>
    <row r="16" spans="1:40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23"/>
      <c r="U16" s="23"/>
      <c r="V16" s="23"/>
      <c r="W16" s="23"/>
      <c r="X16" s="23"/>
      <c r="Y16" s="21"/>
      <c r="Z16" s="21"/>
      <c r="AA16" s="23"/>
      <c r="AB16" s="23"/>
      <c r="AD16" s="23"/>
      <c r="AE16" s="23"/>
      <c r="AF16" s="23"/>
      <c r="AG16" s="23"/>
      <c r="AH16" s="23"/>
      <c r="AI16" s="23"/>
      <c r="AK16" s="23"/>
      <c r="AL16" s="23"/>
    </row>
    <row r="17" spans="1:3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23"/>
      <c r="U17" s="23"/>
      <c r="V17" s="23"/>
      <c r="W17" s="23"/>
      <c r="X17" s="23"/>
      <c r="Y17" s="21"/>
      <c r="Z17" s="21"/>
      <c r="AA17" s="23"/>
      <c r="AB17" s="23"/>
      <c r="AD17" s="23"/>
      <c r="AE17" s="23"/>
      <c r="AF17" s="23"/>
      <c r="AG17" s="23"/>
      <c r="AH17" s="23"/>
      <c r="AI17" s="23"/>
      <c r="AK17" s="23"/>
      <c r="AL17" s="23"/>
    </row>
    <row r="18" spans="1:3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23"/>
      <c r="U18" s="23"/>
      <c r="V18" s="23"/>
      <c r="W18" s="23"/>
      <c r="X18" s="23"/>
      <c r="Y18" s="21"/>
      <c r="Z18" s="21"/>
      <c r="AA18" s="23"/>
      <c r="AB18" s="23"/>
      <c r="AD18" s="23"/>
      <c r="AE18" s="23"/>
      <c r="AF18" s="23"/>
      <c r="AG18" s="23"/>
      <c r="AH18" s="23"/>
      <c r="AI18" s="23"/>
      <c r="AK18" s="23"/>
      <c r="AL18" s="23"/>
    </row>
    <row r="19" spans="1:3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23"/>
      <c r="U19" s="23"/>
      <c r="V19" s="23"/>
      <c r="W19" s="23"/>
      <c r="X19" s="23"/>
      <c r="Y19" s="21"/>
      <c r="Z19" s="21"/>
      <c r="AA19" s="23"/>
      <c r="AB19" s="23"/>
      <c r="AD19" s="23"/>
      <c r="AE19" s="23"/>
      <c r="AF19" s="23"/>
      <c r="AG19" s="23"/>
      <c r="AH19" s="23"/>
      <c r="AI19" s="23"/>
      <c r="AK19" s="23"/>
      <c r="AL19" s="23"/>
    </row>
    <row r="20" spans="1:38">
      <c r="E20" s="21"/>
      <c r="H20" s="21"/>
      <c r="I20" s="23"/>
      <c r="J20" s="21"/>
      <c r="K20" s="21"/>
      <c r="L20" s="23"/>
      <c r="M20" s="23"/>
      <c r="P20" s="23"/>
      <c r="Q20" s="23"/>
      <c r="T20" s="23"/>
      <c r="U20" s="23"/>
      <c r="Y20" s="21"/>
      <c r="Z20" s="21"/>
      <c r="AA20" s="23"/>
      <c r="AB20" s="23"/>
      <c r="AL20" s="23"/>
    </row>
    <row r="21" spans="1:38">
      <c r="AL21" s="2"/>
    </row>
    <row r="22" spans="1:38">
      <c r="T22" s="2"/>
      <c r="U22" s="2"/>
      <c r="AL22" s="2"/>
    </row>
    <row r="23" spans="1:38">
      <c r="T23" s="2"/>
      <c r="U23" s="2"/>
    </row>
    <row r="24" spans="1:38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topLeftCell="V1" zoomScale="70" zoomScaleNormal="70" workbookViewId="0">
      <selection activeCell="AK22" sqref="AK22"/>
    </sheetView>
  </sheetViews>
  <sheetFormatPr defaultColWidth="9" defaultRowHeight="14.25"/>
  <cols>
    <col min="1" max="4" width="11.625" style="2" customWidth="1"/>
    <col min="5" max="5" width="11.625" style="4" customWidth="1"/>
    <col min="6" max="6" width="27.5" style="2" customWidth="1"/>
    <col min="7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29" width="11.625" style="2" customWidth="1"/>
    <col min="30" max="30" width="15.25" style="2" customWidth="1"/>
    <col min="31" max="38" width="11.625" style="2" customWidth="1"/>
    <col min="39" max="39" width="9" style="2" customWidth="1"/>
    <col min="40" max="16384" width="9" style="2"/>
  </cols>
  <sheetData>
    <row r="1" spans="1:38" ht="66.75" customHeight="1">
      <c r="A1" s="22" t="s">
        <v>0</v>
      </c>
      <c r="B1" s="22" t="s">
        <v>1</v>
      </c>
      <c r="C1" s="22" t="s">
        <v>2</v>
      </c>
      <c r="D1" s="22" t="s">
        <v>97</v>
      </c>
      <c r="E1" s="22" t="s">
        <v>98</v>
      </c>
      <c r="F1" s="22" t="s">
        <v>3</v>
      </c>
      <c r="G1" s="22" t="s">
        <v>4</v>
      </c>
      <c r="H1" s="22" t="s">
        <v>99</v>
      </c>
      <c r="I1" s="22" t="s">
        <v>5</v>
      </c>
      <c r="J1" s="22" t="s">
        <v>6</v>
      </c>
      <c r="K1" s="22" t="s">
        <v>7</v>
      </c>
      <c r="L1" s="22" t="s">
        <v>274</v>
      </c>
      <c r="M1" s="22" t="s">
        <v>100</v>
      </c>
      <c r="N1" s="22" t="s">
        <v>78</v>
      </c>
      <c r="O1" s="22" t="s">
        <v>108</v>
      </c>
      <c r="P1" s="22" t="s">
        <v>9</v>
      </c>
      <c r="Q1" s="22" t="s">
        <v>10</v>
      </c>
      <c r="R1" s="22" t="s">
        <v>124</v>
      </c>
      <c r="S1" s="22" t="s">
        <v>11</v>
      </c>
      <c r="T1" s="22" t="s">
        <v>12</v>
      </c>
      <c r="U1" s="22" t="s">
        <v>13</v>
      </c>
      <c r="V1" s="165" t="s">
        <v>15</v>
      </c>
      <c r="W1" s="165" t="s">
        <v>14</v>
      </c>
      <c r="X1" s="22" t="s">
        <v>359</v>
      </c>
      <c r="Y1" s="22" t="s">
        <v>781</v>
      </c>
      <c r="Z1" s="22" t="s">
        <v>101</v>
      </c>
      <c r="AA1" s="22" t="s">
        <v>102</v>
      </c>
      <c r="AB1" s="22" t="s">
        <v>87</v>
      </c>
      <c r="AC1" s="22" t="s">
        <v>103</v>
      </c>
      <c r="AD1" s="22" t="s">
        <v>17</v>
      </c>
      <c r="AE1" s="161" t="s">
        <v>18</v>
      </c>
      <c r="AF1" s="169" t="s">
        <v>19</v>
      </c>
      <c r="AG1" s="22" t="s">
        <v>20</v>
      </c>
      <c r="AH1" s="22" t="s">
        <v>21</v>
      </c>
      <c r="AI1" s="22" t="s">
        <v>116</v>
      </c>
      <c r="AJ1" s="22" t="s">
        <v>22</v>
      </c>
      <c r="AK1" s="165" t="s">
        <v>24</v>
      </c>
      <c r="AL1" s="165" t="s">
        <v>25</v>
      </c>
    </row>
    <row r="2" spans="1:38">
      <c r="A2" s="2">
        <v>233</v>
      </c>
      <c r="B2" s="23">
        <v>233</v>
      </c>
      <c r="C2" s="23" t="s">
        <v>1764</v>
      </c>
      <c r="D2" s="23" t="s">
        <v>1765</v>
      </c>
      <c r="E2" s="21" t="s">
        <v>1255</v>
      </c>
      <c r="F2" s="23" t="s">
        <v>1766</v>
      </c>
      <c r="G2" s="23" t="s">
        <v>1767</v>
      </c>
      <c r="H2" s="23" t="s">
        <v>269</v>
      </c>
      <c r="I2" s="23" t="s">
        <v>705</v>
      </c>
      <c r="J2" s="21" t="s">
        <v>30</v>
      </c>
      <c r="K2" s="21" t="s">
        <v>30</v>
      </c>
      <c r="L2" s="23" t="s">
        <v>68</v>
      </c>
      <c r="M2" s="23" t="s">
        <v>399</v>
      </c>
      <c r="N2" s="23" t="s">
        <v>92</v>
      </c>
      <c r="O2" s="23" t="s">
        <v>1773</v>
      </c>
      <c r="P2" s="23" t="s">
        <v>1785</v>
      </c>
      <c r="Q2" s="23" t="s">
        <v>358</v>
      </c>
      <c r="R2" s="23" t="s">
        <v>358</v>
      </c>
      <c r="S2" s="21" t="s">
        <v>34</v>
      </c>
      <c r="T2" s="159">
        <v>2.4700000000000002</v>
      </c>
      <c r="U2" s="23" t="s">
        <v>1768</v>
      </c>
      <c r="V2" s="174">
        <v>1E-4</v>
      </c>
      <c r="W2" s="166">
        <v>5.3499999999999999E-2</v>
      </c>
      <c r="X2" s="21" t="s">
        <v>360</v>
      </c>
      <c r="Y2" s="21" t="s">
        <v>288</v>
      </c>
      <c r="Z2" s="23" t="s">
        <v>842</v>
      </c>
      <c r="AA2" s="23" t="s">
        <v>846</v>
      </c>
      <c r="AB2" s="2" t="s">
        <v>94</v>
      </c>
      <c r="AC2" s="23"/>
      <c r="AD2" s="159">
        <v>626824.15</v>
      </c>
      <c r="AE2" s="175">
        <v>1</v>
      </c>
      <c r="AF2" s="176">
        <v>15.31</v>
      </c>
      <c r="AG2" s="159">
        <v>95.966999999999999</v>
      </c>
      <c r="AH2" s="23"/>
      <c r="AI2" s="30"/>
      <c r="AJ2" s="23" t="s">
        <v>36</v>
      </c>
      <c r="AK2" s="166">
        <v>8.8310645995806503E-3</v>
      </c>
      <c r="AL2" s="166">
        <v>1.02180260963262E-4</v>
      </c>
    </row>
    <row r="3" spans="1:38">
      <c r="A3" s="23">
        <v>233</v>
      </c>
      <c r="B3" s="23">
        <v>233</v>
      </c>
      <c r="C3" s="23" t="s">
        <v>1769</v>
      </c>
      <c r="D3" s="23" t="s">
        <v>1770</v>
      </c>
      <c r="E3" s="21" t="s">
        <v>261</v>
      </c>
      <c r="F3" s="23" t="s">
        <v>1771</v>
      </c>
      <c r="G3" s="23" t="s">
        <v>1772</v>
      </c>
      <c r="H3" s="23" t="s">
        <v>269</v>
      </c>
      <c r="I3" s="23" t="s">
        <v>68</v>
      </c>
      <c r="J3" s="21" t="s">
        <v>30</v>
      </c>
      <c r="K3" s="21" t="s">
        <v>30</v>
      </c>
      <c r="L3" s="23" t="s">
        <v>68</v>
      </c>
      <c r="M3" s="23" t="s">
        <v>399</v>
      </c>
      <c r="N3" s="23" t="s">
        <v>92</v>
      </c>
      <c r="O3" s="23" t="s">
        <v>1773</v>
      </c>
      <c r="P3" s="23" t="s">
        <v>1785</v>
      </c>
      <c r="Q3" s="23" t="s">
        <v>358</v>
      </c>
      <c r="R3" s="23" t="s">
        <v>358</v>
      </c>
      <c r="S3" s="21" t="s">
        <v>34</v>
      </c>
      <c r="T3" s="159">
        <v>0.01</v>
      </c>
      <c r="U3" s="23" t="s">
        <v>1774</v>
      </c>
      <c r="V3" s="174">
        <v>0</v>
      </c>
      <c r="W3" s="166">
        <v>6.6000000000000003E-2</v>
      </c>
      <c r="X3" s="21" t="s">
        <v>360</v>
      </c>
      <c r="Y3" s="21" t="s">
        <v>288</v>
      </c>
      <c r="Z3" s="23" t="s">
        <v>842</v>
      </c>
      <c r="AA3" s="23" t="s">
        <v>846</v>
      </c>
      <c r="AB3" s="2" t="s">
        <v>1775</v>
      </c>
      <c r="AC3" s="23"/>
      <c r="AD3" s="159">
        <v>135000</v>
      </c>
      <c r="AE3" s="175">
        <v>1</v>
      </c>
      <c r="AF3" s="176">
        <v>0</v>
      </c>
      <c r="AG3" s="159">
        <v>0</v>
      </c>
      <c r="AH3" s="23"/>
      <c r="AI3" s="23"/>
      <c r="AJ3" s="23" t="s">
        <v>36</v>
      </c>
      <c r="AK3" s="166">
        <v>1.24229838041659E-10</v>
      </c>
      <c r="AL3" s="166">
        <v>1.43740736208896E-12</v>
      </c>
    </row>
    <row r="4" spans="1:38">
      <c r="A4" s="23">
        <v>233</v>
      </c>
      <c r="B4" s="23">
        <v>233</v>
      </c>
      <c r="C4" s="23" t="s">
        <v>1769</v>
      </c>
      <c r="D4" s="23" t="s">
        <v>1770</v>
      </c>
      <c r="E4" s="21" t="s">
        <v>261</v>
      </c>
      <c r="F4" s="23" t="s">
        <v>1776</v>
      </c>
      <c r="G4" s="23" t="s">
        <v>1772</v>
      </c>
      <c r="H4" s="23" t="s">
        <v>269</v>
      </c>
      <c r="I4" s="23" t="s">
        <v>68</v>
      </c>
      <c r="J4" s="21" t="s">
        <v>30</v>
      </c>
      <c r="K4" s="21" t="s">
        <v>30</v>
      </c>
      <c r="L4" s="23" t="s">
        <v>68</v>
      </c>
      <c r="M4" s="23" t="s">
        <v>399</v>
      </c>
      <c r="N4" s="23" t="s">
        <v>92</v>
      </c>
      <c r="O4" s="2" t="s">
        <v>1773</v>
      </c>
      <c r="P4" s="23" t="s">
        <v>1785</v>
      </c>
      <c r="Q4" s="23" t="s">
        <v>358</v>
      </c>
      <c r="R4" s="23" t="s">
        <v>358</v>
      </c>
      <c r="S4" s="23" t="s">
        <v>34</v>
      </c>
      <c r="T4" s="159">
        <v>0.01</v>
      </c>
      <c r="U4" s="23" t="s">
        <v>1774</v>
      </c>
      <c r="V4" s="174">
        <v>0</v>
      </c>
      <c r="W4" s="166">
        <v>6.6000000000000003E-2</v>
      </c>
      <c r="X4" s="21" t="s">
        <v>360</v>
      </c>
      <c r="Y4" s="21" t="s">
        <v>288</v>
      </c>
      <c r="Z4" s="23" t="s">
        <v>842</v>
      </c>
      <c r="AA4" s="23" t="s">
        <v>846</v>
      </c>
      <c r="AB4" s="2" t="s">
        <v>1775</v>
      </c>
      <c r="AD4" s="157">
        <v>135000</v>
      </c>
      <c r="AE4" s="175">
        <v>1</v>
      </c>
      <c r="AF4" s="176">
        <v>0</v>
      </c>
      <c r="AG4" s="159">
        <v>0</v>
      </c>
      <c r="AH4" s="23"/>
      <c r="AI4" s="23"/>
      <c r="AJ4" s="23" t="s">
        <v>36</v>
      </c>
      <c r="AK4" s="166">
        <v>1.24229838041659E-10</v>
      </c>
      <c r="AL4" s="166">
        <v>1.43740736208896E-12</v>
      </c>
    </row>
    <row r="5" spans="1:38">
      <c r="A5" s="23">
        <v>233</v>
      </c>
      <c r="B5" s="23">
        <v>233</v>
      </c>
      <c r="C5" s="23" t="s">
        <v>1769</v>
      </c>
      <c r="D5" s="23" t="s">
        <v>1770</v>
      </c>
      <c r="E5" s="21" t="s">
        <v>261</v>
      </c>
      <c r="F5" s="23" t="s">
        <v>1777</v>
      </c>
      <c r="G5" s="23" t="s">
        <v>1772</v>
      </c>
      <c r="H5" s="23" t="s">
        <v>269</v>
      </c>
      <c r="I5" s="23" t="s">
        <v>68</v>
      </c>
      <c r="J5" s="21" t="s">
        <v>30</v>
      </c>
      <c r="K5" s="21" t="s">
        <v>30</v>
      </c>
      <c r="L5" s="23" t="s">
        <v>68</v>
      </c>
      <c r="M5" s="23" t="s">
        <v>399</v>
      </c>
      <c r="N5" s="23" t="s">
        <v>92</v>
      </c>
      <c r="O5" s="23" t="s">
        <v>1773</v>
      </c>
      <c r="P5" s="23" t="s">
        <v>1785</v>
      </c>
      <c r="Q5" s="23" t="s">
        <v>358</v>
      </c>
      <c r="R5" s="23" t="s">
        <v>358</v>
      </c>
      <c r="S5" s="21" t="s">
        <v>34</v>
      </c>
      <c r="T5" s="159">
        <v>0.01</v>
      </c>
      <c r="U5" s="23" t="s">
        <v>1774</v>
      </c>
      <c r="V5" s="174">
        <v>0</v>
      </c>
      <c r="W5" s="166">
        <v>6.6000000000000003E-2</v>
      </c>
      <c r="X5" s="21" t="s">
        <v>360</v>
      </c>
      <c r="Y5" s="21" t="s">
        <v>288</v>
      </c>
      <c r="Z5" s="23" t="s">
        <v>842</v>
      </c>
      <c r="AA5" s="23" t="s">
        <v>846</v>
      </c>
      <c r="AB5" s="2" t="s">
        <v>1778</v>
      </c>
      <c r="AC5" s="23"/>
      <c r="AD5" s="159">
        <v>135000</v>
      </c>
      <c r="AE5" s="175">
        <v>1</v>
      </c>
      <c r="AF5" s="176">
        <v>0</v>
      </c>
      <c r="AG5" s="157">
        <v>0</v>
      </c>
      <c r="AJ5" s="23" t="s">
        <v>36</v>
      </c>
      <c r="AK5" s="166">
        <v>1.24229838041659E-10</v>
      </c>
      <c r="AL5" s="166">
        <v>1.43740736208896E-12</v>
      </c>
    </row>
    <row r="6" spans="1:38">
      <c r="A6" s="23">
        <v>233</v>
      </c>
      <c r="B6" s="23">
        <v>233</v>
      </c>
      <c r="C6" s="23" t="s">
        <v>1769</v>
      </c>
      <c r="D6" s="23" t="s">
        <v>1770</v>
      </c>
      <c r="E6" s="21" t="s">
        <v>261</v>
      </c>
      <c r="F6" s="23" t="s">
        <v>1779</v>
      </c>
      <c r="G6" s="23" t="s">
        <v>1772</v>
      </c>
      <c r="H6" s="23" t="s">
        <v>269</v>
      </c>
      <c r="I6" s="23" t="s">
        <v>68</v>
      </c>
      <c r="J6" s="21" t="s">
        <v>30</v>
      </c>
      <c r="K6" s="21" t="s">
        <v>30</v>
      </c>
      <c r="L6" s="23" t="s">
        <v>68</v>
      </c>
      <c r="M6" s="23" t="s">
        <v>399</v>
      </c>
      <c r="N6" s="23" t="s">
        <v>92</v>
      </c>
      <c r="O6" s="23" t="s">
        <v>1773</v>
      </c>
      <c r="P6" s="23" t="s">
        <v>1785</v>
      </c>
      <c r="Q6" s="23" t="s">
        <v>358</v>
      </c>
      <c r="R6" s="23" t="s">
        <v>358</v>
      </c>
      <c r="S6" s="21" t="s">
        <v>34</v>
      </c>
      <c r="T6" s="159">
        <v>0.01</v>
      </c>
      <c r="U6" s="23" t="s">
        <v>1774</v>
      </c>
      <c r="V6" s="174">
        <v>0</v>
      </c>
      <c r="W6" s="166">
        <v>6.6000000000000003E-2</v>
      </c>
      <c r="X6" s="21" t="s">
        <v>360</v>
      </c>
      <c r="Y6" s="21" t="s">
        <v>288</v>
      </c>
      <c r="Z6" s="23" t="s">
        <v>842</v>
      </c>
      <c r="AA6" s="23" t="s">
        <v>846</v>
      </c>
      <c r="AB6" s="2" t="s">
        <v>1775</v>
      </c>
      <c r="AC6" s="23"/>
      <c r="AD6" s="159">
        <v>135000</v>
      </c>
      <c r="AE6" s="175">
        <v>1</v>
      </c>
      <c r="AF6" s="176">
        <v>0</v>
      </c>
      <c r="AG6" s="157">
        <v>0</v>
      </c>
      <c r="AJ6" s="23" t="s">
        <v>36</v>
      </c>
      <c r="AK6" s="166">
        <v>1.24229838041659E-10</v>
      </c>
      <c r="AL6" s="166">
        <v>1.43740736208896E-12</v>
      </c>
    </row>
    <row r="7" spans="1:38">
      <c r="A7" s="23">
        <v>233</v>
      </c>
      <c r="B7" s="23">
        <v>233</v>
      </c>
      <c r="C7" s="23" t="s">
        <v>1769</v>
      </c>
      <c r="D7" s="23" t="s">
        <v>1770</v>
      </c>
      <c r="E7" s="21" t="s">
        <v>261</v>
      </c>
      <c r="F7" s="23" t="s">
        <v>1780</v>
      </c>
      <c r="G7" s="23" t="s">
        <v>1772</v>
      </c>
      <c r="H7" s="23" t="s">
        <v>269</v>
      </c>
      <c r="I7" s="23" t="s">
        <v>68</v>
      </c>
      <c r="J7" s="21" t="s">
        <v>30</v>
      </c>
      <c r="K7" s="21" t="s">
        <v>30</v>
      </c>
      <c r="L7" s="23" t="s">
        <v>68</v>
      </c>
      <c r="M7" s="23" t="s">
        <v>399</v>
      </c>
      <c r="N7" s="23" t="s">
        <v>92</v>
      </c>
      <c r="O7" s="23" t="s">
        <v>1773</v>
      </c>
      <c r="P7" s="23" t="s">
        <v>1785</v>
      </c>
      <c r="Q7" s="23" t="s">
        <v>358</v>
      </c>
      <c r="R7" s="23" t="s">
        <v>358</v>
      </c>
      <c r="S7" s="21" t="s">
        <v>34</v>
      </c>
      <c r="T7" s="159">
        <v>0.01</v>
      </c>
      <c r="U7" s="23" t="s">
        <v>1774</v>
      </c>
      <c r="V7" s="174">
        <v>0</v>
      </c>
      <c r="W7" s="166">
        <v>6.6000000000000003E-2</v>
      </c>
      <c r="X7" s="21" t="s">
        <v>360</v>
      </c>
      <c r="Y7" s="21" t="s">
        <v>288</v>
      </c>
      <c r="Z7" s="23" t="s">
        <v>842</v>
      </c>
      <c r="AA7" s="23" t="s">
        <v>846</v>
      </c>
      <c r="AB7" s="2" t="s">
        <v>1778</v>
      </c>
      <c r="AC7" s="23"/>
      <c r="AD7" s="159">
        <v>135000</v>
      </c>
      <c r="AE7" s="175">
        <v>1</v>
      </c>
      <c r="AF7" s="176">
        <v>0</v>
      </c>
      <c r="AG7" s="159">
        <v>0</v>
      </c>
      <c r="AH7" s="23"/>
      <c r="AI7" s="23"/>
      <c r="AJ7" s="23" t="s">
        <v>36</v>
      </c>
      <c r="AK7" s="166">
        <v>1.24229838041659E-10</v>
      </c>
      <c r="AL7" s="166">
        <v>1.43740736208896E-12</v>
      </c>
    </row>
    <row r="8" spans="1:38">
      <c r="A8" s="23">
        <v>233</v>
      </c>
      <c r="B8" s="23">
        <v>233</v>
      </c>
      <c r="C8" s="23" t="s">
        <v>1781</v>
      </c>
      <c r="D8" s="23" t="s">
        <v>1782</v>
      </c>
      <c r="E8" s="21" t="s">
        <v>1255</v>
      </c>
      <c r="F8" s="23" t="s">
        <v>1783</v>
      </c>
      <c r="G8" s="23" t="s">
        <v>1784</v>
      </c>
      <c r="H8" s="23" t="s">
        <v>269</v>
      </c>
      <c r="I8" s="23" t="s">
        <v>68</v>
      </c>
      <c r="J8" s="21" t="s">
        <v>30</v>
      </c>
      <c r="K8" s="21" t="s">
        <v>30</v>
      </c>
      <c r="L8" s="23" t="s">
        <v>68</v>
      </c>
      <c r="M8" s="23" t="s">
        <v>409</v>
      </c>
      <c r="N8" s="23" t="s">
        <v>92</v>
      </c>
      <c r="O8" s="23" t="s">
        <v>1773</v>
      </c>
      <c r="P8" s="23" t="s">
        <v>1785</v>
      </c>
      <c r="Q8" s="23" t="s">
        <v>358</v>
      </c>
      <c r="R8" s="23" t="s">
        <v>358</v>
      </c>
      <c r="S8" s="21" t="s">
        <v>34</v>
      </c>
      <c r="T8" s="159">
        <v>0</v>
      </c>
      <c r="U8" s="23" t="s">
        <v>1786</v>
      </c>
      <c r="V8" s="174">
        <v>0</v>
      </c>
      <c r="W8" s="166">
        <v>0</v>
      </c>
      <c r="X8" s="21" t="s">
        <v>361</v>
      </c>
      <c r="Y8" s="21" t="s">
        <v>288</v>
      </c>
      <c r="Z8" s="23" t="s">
        <v>68</v>
      </c>
      <c r="AA8" s="23" t="s">
        <v>1795</v>
      </c>
      <c r="AB8" s="2" t="s">
        <v>1787</v>
      </c>
      <c r="AC8" s="23"/>
      <c r="AD8" s="159">
        <v>44213.79</v>
      </c>
      <c r="AE8" s="175">
        <v>1</v>
      </c>
      <c r="AF8" s="176">
        <v>0</v>
      </c>
      <c r="AG8" s="159">
        <v>0</v>
      </c>
      <c r="AH8" s="23"/>
      <c r="AI8" s="23"/>
      <c r="AJ8" s="23" t="s">
        <v>36</v>
      </c>
      <c r="AK8" s="166">
        <v>4.06864590437623E-9</v>
      </c>
      <c r="AL8" s="166">
        <v>4.7076464631003894E-11</v>
      </c>
    </row>
    <row r="9" spans="1:38">
      <c r="A9" s="23">
        <v>233</v>
      </c>
      <c r="B9" s="23">
        <v>233</v>
      </c>
      <c r="C9" s="23" t="s">
        <v>1781</v>
      </c>
      <c r="D9" s="23" t="s">
        <v>1782</v>
      </c>
      <c r="E9" s="21" t="s">
        <v>1255</v>
      </c>
      <c r="F9" s="23" t="s">
        <v>1788</v>
      </c>
      <c r="G9" s="23" t="s">
        <v>1789</v>
      </c>
      <c r="H9" s="23" t="s">
        <v>269</v>
      </c>
      <c r="I9" s="23" t="s">
        <v>68</v>
      </c>
      <c r="J9" s="21" t="s">
        <v>30</v>
      </c>
      <c r="K9" s="21" t="s">
        <v>30</v>
      </c>
      <c r="L9" s="23" t="s">
        <v>68</v>
      </c>
      <c r="M9" s="23" t="s">
        <v>409</v>
      </c>
      <c r="N9" s="23" t="s">
        <v>92</v>
      </c>
      <c r="O9" s="23" t="s">
        <v>1773</v>
      </c>
      <c r="P9" s="23" t="s">
        <v>1785</v>
      </c>
      <c r="Q9" s="23" t="s">
        <v>358</v>
      </c>
      <c r="R9" s="23" t="s">
        <v>358</v>
      </c>
      <c r="S9" s="21" t="s">
        <v>34</v>
      </c>
      <c r="T9" s="159">
        <v>0.01</v>
      </c>
      <c r="U9" s="23" t="s">
        <v>1750</v>
      </c>
      <c r="V9" s="174">
        <v>1E-4</v>
      </c>
      <c r="W9" s="166">
        <v>0</v>
      </c>
      <c r="X9" s="21" t="s">
        <v>361</v>
      </c>
      <c r="Y9" s="21" t="s">
        <v>288</v>
      </c>
      <c r="Z9" s="23" t="s">
        <v>68</v>
      </c>
      <c r="AA9" s="23" t="s">
        <v>1795</v>
      </c>
      <c r="AB9" s="2" t="s">
        <v>1790</v>
      </c>
      <c r="AC9" s="23"/>
      <c r="AD9" s="159">
        <v>8842.75</v>
      </c>
      <c r="AE9" s="175">
        <v>1</v>
      </c>
      <c r="AF9" s="176">
        <v>0</v>
      </c>
      <c r="AG9" s="159">
        <v>0</v>
      </c>
      <c r="AH9" s="23"/>
      <c r="AI9" s="23"/>
      <c r="AJ9" s="23" t="s">
        <v>36</v>
      </c>
      <c r="AK9" s="166">
        <v>8.1372844469842901E-12</v>
      </c>
      <c r="AL9" s="166">
        <v>9.415284408231231E-14</v>
      </c>
    </row>
    <row r="10" spans="1:38">
      <c r="A10" s="23">
        <v>233</v>
      </c>
      <c r="B10" s="23">
        <v>233</v>
      </c>
      <c r="C10" s="23" t="s">
        <v>1796</v>
      </c>
      <c r="D10" s="23" t="s">
        <v>1797</v>
      </c>
      <c r="E10" s="21" t="s">
        <v>1255</v>
      </c>
      <c r="F10" s="23" t="s">
        <v>1798</v>
      </c>
      <c r="G10" s="23" t="s">
        <v>1799</v>
      </c>
      <c r="H10" s="23" t="s">
        <v>33</v>
      </c>
      <c r="I10" s="23" t="s">
        <v>68</v>
      </c>
      <c r="J10" s="21" t="s">
        <v>30</v>
      </c>
      <c r="K10" s="21" t="s">
        <v>30</v>
      </c>
      <c r="L10" s="23" t="s">
        <v>68</v>
      </c>
      <c r="M10" s="23" t="s">
        <v>68</v>
      </c>
      <c r="N10" s="23" t="s">
        <v>92</v>
      </c>
      <c r="O10" s="23" t="s">
        <v>1714</v>
      </c>
      <c r="P10" s="23" t="s">
        <v>1785</v>
      </c>
      <c r="Q10" s="23" t="s">
        <v>358</v>
      </c>
      <c r="R10" s="23" t="s">
        <v>358</v>
      </c>
      <c r="S10" s="21" t="s">
        <v>34</v>
      </c>
      <c r="T10" s="159">
        <v>0.01</v>
      </c>
      <c r="U10" s="23" t="s">
        <v>1800</v>
      </c>
      <c r="V10" s="174">
        <v>1E-4</v>
      </c>
      <c r="W10" s="166">
        <v>0</v>
      </c>
      <c r="X10" s="21" t="s">
        <v>360</v>
      </c>
      <c r="Y10" s="21" t="s">
        <v>288</v>
      </c>
      <c r="Z10" s="23" t="s">
        <v>68</v>
      </c>
      <c r="AA10" s="23" t="s">
        <v>1795</v>
      </c>
      <c r="AB10" s="2" t="s">
        <v>1729</v>
      </c>
      <c r="AC10" s="23"/>
      <c r="AD10" s="159">
        <v>4000000</v>
      </c>
      <c r="AE10" s="175">
        <v>1</v>
      </c>
      <c r="AF10" s="176">
        <v>0</v>
      </c>
      <c r="AG10" s="159">
        <v>0</v>
      </c>
      <c r="AH10" s="23"/>
      <c r="AI10" s="23"/>
      <c r="AJ10" s="23" t="s">
        <v>36</v>
      </c>
      <c r="AK10" s="166">
        <v>3.6808840901232202E-9</v>
      </c>
      <c r="AL10" s="166">
        <v>4.2589847765598897E-11</v>
      </c>
    </row>
    <row r="11" spans="1:38">
      <c r="A11" s="23">
        <v>233</v>
      </c>
      <c r="B11" s="23">
        <v>233</v>
      </c>
      <c r="C11" s="23" t="s">
        <v>1806</v>
      </c>
      <c r="D11" s="23" t="s">
        <v>1807</v>
      </c>
      <c r="E11" s="21" t="s">
        <v>1255</v>
      </c>
      <c r="F11" s="23" t="s">
        <v>1808</v>
      </c>
      <c r="G11" s="23" t="s">
        <v>1809</v>
      </c>
      <c r="H11" s="23" t="s">
        <v>269</v>
      </c>
      <c r="I11" s="23" t="s">
        <v>68</v>
      </c>
      <c r="J11" s="21" t="s">
        <v>30</v>
      </c>
      <c r="K11" s="21" t="s">
        <v>30</v>
      </c>
      <c r="L11" s="23" t="s">
        <v>68</v>
      </c>
      <c r="M11" s="23" t="s">
        <v>426</v>
      </c>
      <c r="N11" s="23" t="s">
        <v>92</v>
      </c>
      <c r="O11" s="23" t="s">
        <v>1773</v>
      </c>
      <c r="P11" s="23" t="s">
        <v>1785</v>
      </c>
      <c r="Q11" s="23" t="s">
        <v>358</v>
      </c>
      <c r="R11" s="23" t="s">
        <v>358</v>
      </c>
      <c r="S11" s="21" t="s">
        <v>34</v>
      </c>
      <c r="T11" s="159">
        <v>0.01</v>
      </c>
      <c r="U11" s="23" t="s">
        <v>1810</v>
      </c>
      <c r="V11" s="174">
        <v>1E-4</v>
      </c>
      <c r="W11" s="166">
        <v>7.3999999999999996E-2</v>
      </c>
      <c r="X11" s="21" t="s">
        <v>360</v>
      </c>
      <c r="Y11" s="21" t="s">
        <v>288</v>
      </c>
      <c r="Z11" s="23" t="s">
        <v>68</v>
      </c>
      <c r="AA11" s="23" t="s">
        <v>1795</v>
      </c>
      <c r="AB11" s="2" t="s">
        <v>1811</v>
      </c>
      <c r="AC11" s="23"/>
      <c r="AD11" s="159">
        <v>44577.13</v>
      </c>
      <c r="AE11" s="175">
        <v>1</v>
      </c>
      <c r="AF11" s="176">
        <v>0</v>
      </c>
      <c r="AG11" s="159">
        <v>0</v>
      </c>
      <c r="AH11" s="23"/>
      <c r="AI11" s="23"/>
      <c r="AJ11" s="23" t="s">
        <v>36</v>
      </c>
      <c r="AK11" s="166">
        <v>4.10208121500887E-9</v>
      </c>
      <c r="AL11" s="166">
        <v>4.7463329513182696E-11</v>
      </c>
    </row>
    <row r="12" spans="1:38">
      <c r="A12" s="23">
        <v>233</v>
      </c>
      <c r="B12" s="23">
        <v>233</v>
      </c>
      <c r="C12" s="23" t="s">
        <v>1137</v>
      </c>
      <c r="D12" s="23" t="s">
        <v>1380</v>
      </c>
      <c r="E12" s="21" t="s">
        <v>1255</v>
      </c>
      <c r="F12" s="23" t="s">
        <v>1791</v>
      </c>
      <c r="G12" s="23" t="s">
        <v>1792</v>
      </c>
      <c r="H12" s="23" t="s">
        <v>33</v>
      </c>
      <c r="I12" s="23" t="s">
        <v>705</v>
      </c>
      <c r="J12" s="21" t="s">
        <v>30</v>
      </c>
      <c r="K12" s="21" t="s">
        <v>30</v>
      </c>
      <c r="L12" s="23" t="s">
        <v>68</v>
      </c>
      <c r="M12" s="23" t="s">
        <v>396</v>
      </c>
      <c r="N12" s="23" t="s">
        <v>92</v>
      </c>
      <c r="O12" s="23" t="s">
        <v>1793</v>
      </c>
      <c r="P12" s="23" t="s">
        <v>1510</v>
      </c>
      <c r="Q12" s="23" t="s">
        <v>362</v>
      </c>
      <c r="R12" s="23" t="s">
        <v>355</v>
      </c>
      <c r="S12" s="21" t="s">
        <v>34</v>
      </c>
      <c r="T12" s="159">
        <v>1.26</v>
      </c>
      <c r="U12" s="23" t="s">
        <v>1794</v>
      </c>
      <c r="V12" s="174">
        <v>2.256E-2</v>
      </c>
      <c r="W12" s="166">
        <v>6.6000000000000003E-2</v>
      </c>
      <c r="X12" s="21" t="s">
        <v>361</v>
      </c>
      <c r="Y12" s="21" t="s">
        <v>92</v>
      </c>
      <c r="Z12" s="23" t="s">
        <v>844</v>
      </c>
      <c r="AA12" s="23" t="s">
        <v>1795</v>
      </c>
      <c r="AB12" s="2" t="s">
        <v>94</v>
      </c>
      <c r="AC12" s="23"/>
      <c r="AD12" s="159">
        <v>300000</v>
      </c>
      <c r="AE12" s="175">
        <v>1</v>
      </c>
      <c r="AF12" s="176">
        <v>155.29</v>
      </c>
      <c r="AG12" s="159">
        <v>465.87</v>
      </c>
      <c r="AH12" s="23"/>
      <c r="AI12" s="23"/>
      <c r="AJ12" s="23" t="s">
        <v>36</v>
      </c>
      <c r="AK12" s="166">
        <v>4.2870336776642697E-2</v>
      </c>
      <c r="AL12" s="166">
        <v>4.9603330946398796E-4</v>
      </c>
    </row>
    <row r="13" spans="1:38">
      <c r="A13" s="23">
        <v>233</v>
      </c>
      <c r="B13" s="23">
        <v>233</v>
      </c>
      <c r="C13" s="23" t="s">
        <v>1801</v>
      </c>
      <c r="D13" s="23" t="s">
        <v>1802</v>
      </c>
      <c r="E13" s="21" t="s">
        <v>1255</v>
      </c>
      <c r="F13" s="23" t="s">
        <v>1803</v>
      </c>
      <c r="G13" s="23" t="s">
        <v>1804</v>
      </c>
      <c r="H13" s="23" t="s">
        <v>33</v>
      </c>
      <c r="I13" s="23" t="s">
        <v>705</v>
      </c>
      <c r="J13" s="21" t="s">
        <v>30</v>
      </c>
      <c r="K13" s="21" t="s">
        <v>30</v>
      </c>
      <c r="L13" s="23" t="s">
        <v>68</v>
      </c>
      <c r="M13" s="23" t="s">
        <v>426</v>
      </c>
      <c r="N13" s="23" t="s">
        <v>92</v>
      </c>
      <c r="O13" s="23" t="s">
        <v>1805</v>
      </c>
      <c r="P13" s="23" t="s">
        <v>1510</v>
      </c>
      <c r="Q13" s="23" t="s">
        <v>362</v>
      </c>
      <c r="R13" s="23" t="s">
        <v>355</v>
      </c>
      <c r="S13" s="21" t="s">
        <v>34</v>
      </c>
      <c r="T13" s="159">
        <v>1.45</v>
      </c>
      <c r="U13" s="23" t="s">
        <v>1559</v>
      </c>
      <c r="V13" s="174">
        <v>2.1100000000000001E-2</v>
      </c>
      <c r="W13" s="166">
        <v>5.1694999999999998E-2</v>
      </c>
      <c r="X13" s="21" t="s">
        <v>361</v>
      </c>
      <c r="Y13" s="21" t="s">
        <v>92</v>
      </c>
      <c r="Z13" s="23" t="s">
        <v>844</v>
      </c>
      <c r="AA13" s="23" t="s">
        <v>1795</v>
      </c>
      <c r="AB13" s="2" t="s">
        <v>94</v>
      </c>
      <c r="AC13" s="23"/>
      <c r="AD13" s="159">
        <v>6593587.3099999996</v>
      </c>
      <c r="AE13" s="175">
        <v>1</v>
      </c>
      <c r="AF13" s="176">
        <v>156.29</v>
      </c>
      <c r="AG13" s="159">
        <v>10305.118</v>
      </c>
      <c r="AH13" s="23"/>
      <c r="AI13" s="23"/>
      <c r="AJ13" s="23" t="s">
        <v>36</v>
      </c>
      <c r="AK13" s="166">
        <v>0.94829858614287899</v>
      </c>
      <c r="AL13" s="166">
        <v>1.0972334752003999E-2</v>
      </c>
    </row>
    <row r="14" spans="1:3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23"/>
      <c r="X14" s="21"/>
      <c r="Y14" s="21"/>
      <c r="Z14" s="23"/>
      <c r="AA14" s="23"/>
      <c r="AC14" s="23"/>
      <c r="AD14" s="23"/>
      <c r="AE14" s="23"/>
      <c r="AF14" s="23"/>
      <c r="AG14" s="23"/>
      <c r="AH14" s="23"/>
      <c r="AI14" s="23"/>
      <c r="AJ14" s="23"/>
    </row>
    <row r="15" spans="1:3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23"/>
      <c r="X15" s="21"/>
      <c r="Y15" s="21"/>
      <c r="Z15" s="23"/>
      <c r="AA15" s="23"/>
      <c r="AC15" s="23"/>
      <c r="AD15" s="23"/>
      <c r="AE15" s="23"/>
      <c r="AF15" s="23"/>
      <c r="AG15" s="23"/>
      <c r="AH15" s="23"/>
      <c r="AI15" s="23"/>
      <c r="AJ15" s="23"/>
    </row>
    <row r="16" spans="1:3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23"/>
      <c r="X16" s="21"/>
      <c r="Y16" s="21"/>
      <c r="Z16" s="23"/>
      <c r="AA16" s="23"/>
      <c r="AC16" s="23"/>
      <c r="AD16" s="23"/>
      <c r="AE16" s="23"/>
      <c r="AF16" s="23"/>
      <c r="AG16" s="23"/>
      <c r="AH16" s="23"/>
      <c r="AI16" s="23"/>
      <c r="AJ16" s="23"/>
    </row>
    <row r="17" spans="1:36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23"/>
      <c r="X17" s="21"/>
      <c r="Y17" s="21"/>
      <c r="Z17" s="23"/>
      <c r="AA17" s="23"/>
      <c r="AC17" s="23"/>
      <c r="AD17" s="23"/>
      <c r="AE17" s="23"/>
      <c r="AF17" s="23"/>
      <c r="AG17" s="23"/>
      <c r="AH17" s="23"/>
      <c r="AI17" s="23"/>
      <c r="AJ17" s="23"/>
    </row>
    <row r="18" spans="1:36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23"/>
      <c r="X18" s="21"/>
      <c r="Y18" s="21"/>
      <c r="Z18" s="23"/>
      <c r="AA18" s="23"/>
      <c r="AC18" s="23"/>
      <c r="AD18" s="23"/>
      <c r="AE18" s="23"/>
      <c r="AF18" s="23"/>
      <c r="AG18" s="23"/>
      <c r="AH18" s="23"/>
      <c r="AI18" s="23"/>
      <c r="AJ18" s="23"/>
    </row>
    <row r="19" spans="1:36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23"/>
      <c r="X19" s="21"/>
      <c r="Y19" s="21"/>
      <c r="Z19" s="23"/>
      <c r="AA19" s="23"/>
      <c r="AC19" s="23"/>
      <c r="AD19" s="23"/>
      <c r="AE19" s="23"/>
      <c r="AF19" s="23"/>
      <c r="AG19" s="23"/>
      <c r="AH19" s="23"/>
      <c r="AI19" s="23"/>
      <c r="AJ19" s="23"/>
    </row>
    <row r="20" spans="1:36">
      <c r="E20" s="21"/>
      <c r="H20" s="23"/>
      <c r="I20" s="23"/>
      <c r="J20" s="21"/>
      <c r="K20" s="21"/>
      <c r="L20" s="23"/>
      <c r="M20" s="23"/>
      <c r="N20" s="23"/>
      <c r="Q20" s="23"/>
      <c r="R20" s="23"/>
      <c r="X20" s="21"/>
      <c r="Y20" s="21"/>
      <c r="AA20" s="23"/>
      <c r="AJ20" s="23"/>
    </row>
    <row r="21" spans="1:36">
      <c r="L21" s="2"/>
    </row>
    <row r="22" spans="1:36">
      <c r="L22" s="2"/>
    </row>
    <row r="23" spans="1:36">
      <c r="L23" s="2"/>
    </row>
    <row r="24" spans="1:36">
      <c r="L24" s="2"/>
    </row>
    <row r="25" spans="1:36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R2:R20" xr:uid="{00000000-0002-0000-1100-000005000000}">
      <formula1>What_is_rated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  <dataValidation type="list" allowBlank="1" showInputMessage="1" showErrorMessage="1" sqref="AA2:AA20" xr:uid="{00000000-0002-0000-1100-000008000000}">
      <formula1>Dependence_Independence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topLeftCell="H1" zoomScale="70" zoomScaleNormal="70" workbookViewId="0">
      <selection activeCell="M9" sqref="M9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27" width="9" style="2" customWidth="1"/>
    <col min="28" max="16384" width="9" style="2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97</v>
      </c>
      <c r="E1" s="22" t="s">
        <v>98</v>
      </c>
      <c r="F1" s="22" t="s">
        <v>3</v>
      </c>
      <c r="G1" s="22" t="s">
        <v>4</v>
      </c>
      <c r="H1" s="22" t="s">
        <v>99</v>
      </c>
      <c r="I1" s="22" t="s">
        <v>5</v>
      </c>
      <c r="J1" s="22" t="s">
        <v>6</v>
      </c>
      <c r="K1" s="22" t="s">
        <v>7</v>
      </c>
      <c r="L1" s="22" t="s">
        <v>274</v>
      </c>
      <c r="M1" s="22" t="s">
        <v>100</v>
      </c>
      <c r="N1" s="22" t="s">
        <v>78</v>
      </c>
      <c r="O1" s="22" t="s">
        <v>108</v>
      </c>
      <c r="P1" s="22" t="s">
        <v>11</v>
      </c>
      <c r="Q1" s="22" t="s">
        <v>101</v>
      </c>
      <c r="R1" s="22" t="s">
        <v>102</v>
      </c>
      <c r="S1" s="22" t="s">
        <v>87</v>
      </c>
      <c r="T1" s="22" t="s">
        <v>103</v>
      </c>
      <c r="U1" s="22" t="s">
        <v>17</v>
      </c>
      <c r="V1" s="161" t="s">
        <v>18</v>
      </c>
      <c r="W1" s="169" t="s">
        <v>19</v>
      </c>
      <c r="X1" s="22" t="s">
        <v>20</v>
      </c>
      <c r="Y1" s="165" t="s">
        <v>24</v>
      </c>
      <c r="Z1" s="165" t="s">
        <v>25</v>
      </c>
    </row>
    <row r="2" spans="1:26">
      <c r="A2" s="23">
        <v>233</v>
      </c>
      <c r="B2" s="23">
        <v>233</v>
      </c>
      <c r="C2" s="23" t="s">
        <v>1759</v>
      </c>
      <c r="D2" s="23" t="s">
        <v>1760</v>
      </c>
      <c r="E2" s="21" t="s">
        <v>1255</v>
      </c>
      <c r="F2" s="23" t="s">
        <v>1761</v>
      </c>
      <c r="G2" s="19" t="s">
        <v>1762</v>
      </c>
      <c r="H2" s="21" t="s">
        <v>269</v>
      </c>
      <c r="I2" s="23" t="s">
        <v>717</v>
      </c>
      <c r="J2" s="21" t="s">
        <v>30</v>
      </c>
      <c r="K2" s="21" t="s">
        <v>30</v>
      </c>
      <c r="L2" s="23" t="s">
        <v>68</v>
      </c>
      <c r="M2" s="23" t="s">
        <v>399</v>
      </c>
      <c r="N2" s="23" t="s">
        <v>92</v>
      </c>
      <c r="O2" s="191">
        <v>40917</v>
      </c>
      <c r="P2" s="21" t="s">
        <v>34</v>
      </c>
      <c r="Q2" s="23" t="s">
        <v>68</v>
      </c>
      <c r="R2" s="23" t="s">
        <v>847</v>
      </c>
      <c r="S2" s="23" t="s">
        <v>1763</v>
      </c>
      <c r="T2" s="23"/>
      <c r="U2" s="159">
        <v>81826</v>
      </c>
      <c r="V2" s="175">
        <v>1</v>
      </c>
      <c r="W2" s="176">
        <v>0</v>
      </c>
      <c r="X2" s="159">
        <v>0</v>
      </c>
      <c r="Y2" s="174">
        <v>1</v>
      </c>
      <c r="Z2" s="174">
        <v>8.7123922081697298E-13</v>
      </c>
    </row>
    <row r="3" spans="1:26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3"/>
      <c r="N3" s="23"/>
      <c r="O3" s="23"/>
      <c r="P3" s="21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3"/>
      <c r="N4" s="23"/>
      <c r="P4" s="21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1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1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1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1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1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1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1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1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1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1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1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1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1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1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>
      <c r="A19" s="4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1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E20" s="21"/>
      <c r="H20" s="4"/>
      <c r="I20" s="23"/>
      <c r="J20" s="21"/>
      <c r="K20" s="21"/>
      <c r="L20" s="23"/>
      <c r="M20" s="23"/>
      <c r="N20" s="23"/>
      <c r="R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048574"/>
  <sheetViews>
    <sheetView rightToLeft="1" topLeftCell="F1" zoomScale="70" zoomScaleNormal="70" workbookViewId="0">
      <selection activeCell="S18" sqref="S18"/>
    </sheetView>
  </sheetViews>
  <sheetFormatPr defaultColWidth="9" defaultRowHeight="14.25"/>
  <cols>
    <col min="1" max="5" width="11.625" style="2" customWidth="1"/>
    <col min="6" max="6" width="30.75" style="2" customWidth="1"/>
    <col min="7" max="15" width="11.625" style="2" customWidth="1"/>
    <col min="16" max="16" width="11.625" customWidth="1"/>
    <col min="17" max="26" width="11.625" style="2" customWidth="1"/>
    <col min="27" max="27" width="9" style="2" customWidth="1"/>
    <col min="28" max="16384" width="9" style="2"/>
  </cols>
  <sheetData>
    <row r="1" spans="1:27" ht="66.75" customHeight="1">
      <c r="A1" s="22" t="s">
        <v>0</v>
      </c>
      <c r="B1" s="22" t="s">
        <v>1</v>
      </c>
      <c r="C1" s="22" t="s">
        <v>138</v>
      </c>
      <c r="D1" s="22" t="s">
        <v>139</v>
      </c>
      <c r="E1" s="22" t="s">
        <v>140</v>
      </c>
      <c r="F1" s="22" t="s">
        <v>141</v>
      </c>
      <c r="G1" s="22" t="s">
        <v>142</v>
      </c>
      <c r="H1" s="22" t="s">
        <v>143</v>
      </c>
      <c r="I1" s="22" t="s">
        <v>5</v>
      </c>
      <c r="J1" s="22" t="s">
        <v>782</v>
      </c>
      <c r="K1" s="22" t="s">
        <v>6</v>
      </c>
      <c r="L1" s="22" t="s">
        <v>1083</v>
      </c>
      <c r="M1" s="22" t="s">
        <v>1084</v>
      </c>
      <c r="N1" s="22" t="s">
        <v>7</v>
      </c>
      <c r="O1" s="22" t="s">
        <v>78</v>
      </c>
      <c r="P1" s="32" t="s">
        <v>108</v>
      </c>
      <c r="Q1" s="22" t="s">
        <v>11</v>
      </c>
      <c r="R1" s="22" t="s">
        <v>101</v>
      </c>
      <c r="S1" s="22" t="s">
        <v>102</v>
      </c>
      <c r="T1" s="22" t="s">
        <v>87</v>
      </c>
      <c r="U1" s="161" t="s">
        <v>18</v>
      </c>
      <c r="V1" s="109" t="s">
        <v>1693</v>
      </c>
      <c r="W1" s="22" t="s">
        <v>20</v>
      </c>
      <c r="X1" s="165" t="s">
        <v>1086</v>
      </c>
      <c r="Y1" s="165" t="s">
        <v>24</v>
      </c>
      <c r="Z1" s="165" t="s">
        <v>25</v>
      </c>
      <c r="AA1" s="11"/>
    </row>
    <row r="2" spans="1:27">
      <c r="A2" s="23">
        <v>233</v>
      </c>
      <c r="B2" s="23">
        <v>233</v>
      </c>
      <c r="C2" s="23" t="s">
        <v>1694</v>
      </c>
      <c r="D2" s="23" t="s">
        <v>1695</v>
      </c>
      <c r="E2" s="23" t="s">
        <v>260</v>
      </c>
      <c r="F2" s="23" t="s">
        <v>1696</v>
      </c>
      <c r="G2" s="23">
        <v>29994282</v>
      </c>
      <c r="H2" s="23" t="s">
        <v>33</v>
      </c>
      <c r="I2" s="2" t="s">
        <v>978</v>
      </c>
      <c r="J2" s="23" t="s">
        <v>784</v>
      </c>
      <c r="K2" s="21" t="s">
        <v>30</v>
      </c>
      <c r="L2" s="23" t="s">
        <v>30</v>
      </c>
      <c r="M2" s="23" t="s">
        <v>1697</v>
      </c>
      <c r="N2" s="21" t="s">
        <v>30</v>
      </c>
      <c r="O2" s="23" t="s">
        <v>92</v>
      </c>
      <c r="P2" t="s">
        <v>1698</v>
      </c>
      <c r="Q2" s="21" t="s">
        <v>71</v>
      </c>
      <c r="R2" s="23" t="s">
        <v>68</v>
      </c>
      <c r="S2" s="23" t="s">
        <v>847</v>
      </c>
      <c r="T2" s="23" t="s">
        <v>1699</v>
      </c>
      <c r="U2" s="175">
        <v>3.71</v>
      </c>
      <c r="V2" s="159">
        <v>2580.2139999999999</v>
      </c>
      <c r="W2" s="159">
        <v>9572.5939999999991</v>
      </c>
      <c r="X2" s="174">
        <v>7.228E-3</v>
      </c>
      <c r="Y2" s="174">
        <v>9.9948190224944194E-2</v>
      </c>
      <c r="Z2" s="174">
        <v>1.01923829441732E-2</v>
      </c>
    </row>
    <row r="3" spans="1:27">
      <c r="A3" s="23">
        <v>233</v>
      </c>
      <c r="B3" s="23">
        <v>233</v>
      </c>
      <c r="C3" s="23" t="s">
        <v>1700</v>
      </c>
      <c r="D3" s="2" t="s">
        <v>1701</v>
      </c>
      <c r="E3" s="23" t="s">
        <v>260</v>
      </c>
      <c r="F3" s="23" t="s">
        <v>1702</v>
      </c>
      <c r="G3" s="23">
        <v>8917762</v>
      </c>
      <c r="H3" s="23" t="s">
        <v>33</v>
      </c>
      <c r="I3" s="2" t="s">
        <v>978</v>
      </c>
      <c r="J3" s="23" t="s">
        <v>789</v>
      </c>
      <c r="K3" s="21" t="s">
        <v>30</v>
      </c>
      <c r="L3" s="23" t="s">
        <v>30</v>
      </c>
      <c r="M3" s="23" t="s">
        <v>1703</v>
      </c>
      <c r="N3" s="21" t="s">
        <v>30</v>
      </c>
      <c r="O3" s="23" t="s">
        <v>92</v>
      </c>
      <c r="P3" t="s">
        <v>1704</v>
      </c>
      <c r="Q3" s="21" t="s">
        <v>71</v>
      </c>
      <c r="R3" s="23" t="s">
        <v>68</v>
      </c>
      <c r="S3" s="23" t="s">
        <v>847</v>
      </c>
      <c r="T3" s="30" t="s">
        <v>1699</v>
      </c>
      <c r="U3" s="175">
        <v>3.71</v>
      </c>
      <c r="V3" s="159">
        <v>2465.4940000000001</v>
      </c>
      <c r="W3" s="159">
        <v>9146.9830000000002</v>
      </c>
      <c r="X3" s="181">
        <v>1.3374E-2</v>
      </c>
      <c r="Y3" s="174">
        <v>9.5504350560243395E-2</v>
      </c>
      <c r="Z3" s="174">
        <v>9.7392150028308092E-3</v>
      </c>
    </row>
    <row r="4" spans="1:27">
      <c r="A4" s="23">
        <v>233</v>
      </c>
      <c r="B4" s="23">
        <v>233</v>
      </c>
      <c r="C4" s="23" t="s">
        <v>1705</v>
      </c>
      <c r="D4" s="2" t="s">
        <v>1706</v>
      </c>
      <c r="E4" s="23" t="s">
        <v>260</v>
      </c>
      <c r="F4" s="23" t="s">
        <v>1707</v>
      </c>
      <c r="G4" s="23">
        <v>8917764</v>
      </c>
      <c r="H4" s="23" t="s">
        <v>33</v>
      </c>
      <c r="I4" s="2" t="s">
        <v>978</v>
      </c>
      <c r="J4" s="23" t="s">
        <v>789</v>
      </c>
      <c r="K4" s="21" t="s">
        <v>30</v>
      </c>
      <c r="L4" s="23" t="s">
        <v>30</v>
      </c>
      <c r="M4" s="23" t="s">
        <v>1708</v>
      </c>
      <c r="N4" s="21" t="s">
        <v>30</v>
      </c>
      <c r="O4" s="23" t="s">
        <v>92</v>
      </c>
      <c r="P4" t="s">
        <v>1709</v>
      </c>
      <c r="Q4" s="21" t="s">
        <v>71</v>
      </c>
      <c r="R4" s="23" t="s">
        <v>68</v>
      </c>
      <c r="S4" s="23" t="s">
        <v>847</v>
      </c>
      <c r="T4" s="23" t="s">
        <v>1710</v>
      </c>
      <c r="U4" s="175">
        <v>3.71</v>
      </c>
      <c r="V4" s="159">
        <v>800.61199999999997</v>
      </c>
      <c r="W4" s="159">
        <v>2970.27</v>
      </c>
      <c r="X4" s="181">
        <v>7.4770000000000001E-3</v>
      </c>
      <c r="Y4" s="174">
        <v>3.10128228667466E-2</v>
      </c>
      <c r="Z4" s="174">
        <v>3.1625841961349E-3</v>
      </c>
    </row>
    <row r="5" spans="1:27">
      <c r="A5" s="23">
        <v>233</v>
      </c>
      <c r="B5" s="23">
        <v>233</v>
      </c>
      <c r="C5" s="23" t="s">
        <v>1711</v>
      </c>
      <c r="D5" s="2" t="s">
        <v>1712</v>
      </c>
      <c r="E5" s="23" t="s">
        <v>33</v>
      </c>
      <c r="F5" s="23" t="s">
        <v>1713</v>
      </c>
      <c r="G5" s="23">
        <v>892162703</v>
      </c>
      <c r="H5" s="23" t="s">
        <v>33</v>
      </c>
      <c r="I5" s="2" t="s">
        <v>978</v>
      </c>
      <c r="J5" s="23" t="s">
        <v>518</v>
      </c>
      <c r="K5" s="21" t="s">
        <v>30</v>
      </c>
      <c r="L5" s="23"/>
      <c r="M5" s="23"/>
      <c r="N5" s="21" t="s">
        <v>30</v>
      </c>
      <c r="O5" s="23" t="s">
        <v>92</v>
      </c>
      <c r="P5" t="s">
        <v>1714</v>
      </c>
      <c r="Q5" s="21" t="s">
        <v>71</v>
      </c>
      <c r="R5" s="23" t="s">
        <v>68</v>
      </c>
      <c r="S5" s="23" t="s">
        <v>847</v>
      </c>
      <c r="T5" s="23" t="s">
        <v>1715</v>
      </c>
      <c r="U5" s="175">
        <v>3.71</v>
      </c>
      <c r="V5" s="159">
        <v>0</v>
      </c>
      <c r="W5" s="159">
        <v>0</v>
      </c>
      <c r="X5" s="181">
        <v>0</v>
      </c>
      <c r="Y5" s="174">
        <v>3.8736395677129999E-10</v>
      </c>
      <c r="Z5" s="174">
        <v>3.9502083802592895E-11</v>
      </c>
    </row>
    <row r="6" spans="1:27">
      <c r="A6" s="23">
        <v>233</v>
      </c>
      <c r="B6" s="23">
        <v>233</v>
      </c>
      <c r="C6" s="23" t="s">
        <v>1716</v>
      </c>
      <c r="D6" s="2" t="s">
        <v>1717</v>
      </c>
      <c r="E6" s="23" t="s">
        <v>260</v>
      </c>
      <c r="F6" s="23" t="s">
        <v>1718</v>
      </c>
      <c r="G6" s="23">
        <v>800070395</v>
      </c>
      <c r="H6" s="23" t="s">
        <v>33</v>
      </c>
      <c r="I6" s="2" t="s">
        <v>978</v>
      </c>
      <c r="J6" s="23" t="s">
        <v>784</v>
      </c>
      <c r="K6" s="21" t="s">
        <v>67</v>
      </c>
      <c r="L6" s="23" t="s">
        <v>30</v>
      </c>
      <c r="M6" s="23" t="s">
        <v>1719</v>
      </c>
      <c r="N6" s="21" t="s">
        <v>30</v>
      </c>
      <c r="O6" s="23" t="s">
        <v>92</v>
      </c>
      <c r="P6" t="s">
        <v>1720</v>
      </c>
      <c r="Q6" s="21" t="s">
        <v>71</v>
      </c>
      <c r="R6" s="23" t="s">
        <v>68</v>
      </c>
      <c r="S6" s="23" t="s">
        <v>847</v>
      </c>
      <c r="T6" s="23" t="s">
        <v>94</v>
      </c>
      <c r="U6" s="175">
        <v>3.71</v>
      </c>
      <c r="V6" s="159">
        <v>1383.002</v>
      </c>
      <c r="W6" s="159">
        <v>5130.9369999999999</v>
      </c>
      <c r="X6" s="174">
        <v>9.0650000000000001E-3</v>
      </c>
      <c r="Y6" s="174">
        <v>5.3572512647778403E-2</v>
      </c>
      <c r="Z6" s="174">
        <v>5.4631460855751202E-3</v>
      </c>
    </row>
    <row r="7" spans="1:27">
      <c r="A7" s="23">
        <v>233</v>
      </c>
      <c r="B7" s="23">
        <v>233</v>
      </c>
      <c r="C7" s="23" t="s">
        <v>1721</v>
      </c>
      <c r="D7" s="2" t="s">
        <v>1722</v>
      </c>
      <c r="E7" s="23" t="s">
        <v>260</v>
      </c>
      <c r="F7" s="23" t="s">
        <v>1723</v>
      </c>
      <c r="G7" s="23">
        <v>800070385</v>
      </c>
      <c r="H7" s="23" t="s">
        <v>33</v>
      </c>
      <c r="I7" s="2" t="s">
        <v>978</v>
      </c>
      <c r="J7" s="23" t="s">
        <v>789</v>
      </c>
      <c r="K7" s="21" t="s">
        <v>67</v>
      </c>
      <c r="L7" s="23" t="s">
        <v>30</v>
      </c>
      <c r="M7" s="23" t="s">
        <v>1724</v>
      </c>
      <c r="N7" s="21" t="s">
        <v>30</v>
      </c>
      <c r="O7" s="23" t="s">
        <v>288</v>
      </c>
      <c r="P7" t="s">
        <v>1714</v>
      </c>
      <c r="Q7" s="21" t="s">
        <v>71</v>
      </c>
      <c r="R7" s="23" t="s">
        <v>68</v>
      </c>
      <c r="S7" s="23" t="s">
        <v>847</v>
      </c>
      <c r="T7" s="23" t="s">
        <v>1725</v>
      </c>
      <c r="U7" s="175">
        <v>3.71</v>
      </c>
      <c r="V7" s="159">
        <v>6.0289999999999999</v>
      </c>
      <c r="W7" s="159">
        <v>22.367999999999999</v>
      </c>
      <c r="X7" s="174">
        <v>0</v>
      </c>
      <c r="Y7" s="174">
        <v>2.33541729537416E-4</v>
      </c>
      <c r="Z7" s="174">
        <v>2.3815806324583299E-5</v>
      </c>
    </row>
    <row r="8" spans="1:27">
      <c r="A8" s="23">
        <v>233</v>
      </c>
      <c r="B8" s="23">
        <v>233</v>
      </c>
      <c r="C8" s="23" t="s">
        <v>1726</v>
      </c>
      <c r="D8" s="2" t="s">
        <v>1727</v>
      </c>
      <c r="E8" s="23" t="s">
        <v>1255</v>
      </c>
      <c r="F8" s="23" t="s">
        <v>1728</v>
      </c>
      <c r="G8" s="23">
        <v>800069247</v>
      </c>
      <c r="H8" s="23" t="s">
        <v>33</v>
      </c>
      <c r="I8" s="2" t="s">
        <v>978</v>
      </c>
      <c r="J8" s="23" t="s">
        <v>518</v>
      </c>
      <c r="K8" s="21" t="s">
        <v>30</v>
      </c>
      <c r="L8" s="23"/>
      <c r="M8" s="23"/>
      <c r="N8" s="21" t="s">
        <v>30</v>
      </c>
      <c r="O8" s="23" t="s">
        <v>288</v>
      </c>
      <c r="P8" t="s">
        <v>1714</v>
      </c>
      <c r="Q8" s="21" t="s">
        <v>71</v>
      </c>
      <c r="R8" s="23" t="s">
        <v>68</v>
      </c>
      <c r="S8" s="23" t="s">
        <v>847</v>
      </c>
      <c r="T8" s="23" t="s">
        <v>1729</v>
      </c>
      <c r="U8" s="175">
        <v>3.71</v>
      </c>
      <c r="V8" s="159">
        <v>0</v>
      </c>
      <c r="W8" s="159">
        <v>0</v>
      </c>
      <c r="X8" s="174">
        <v>0</v>
      </c>
      <c r="Y8" s="174">
        <v>1.86487669045794E-10</v>
      </c>
      <c r="Z8" s="174">
        <v>1.9017390239914497E-11</v>
      </c>
    </row>
    <row r="9" spans="1:27">
      <c r="A9" s="23">
        <v>233</v>
      </c>
      <c r="B9" s="23">
        <v>233</v>
      </c>
      <c r="C9" s="23" t="s">
        <v>1730</v>
      </c>
      <c r="D9" s="2" t="s">
        <v>1731</v>
      </c>
      <c r="E9" s="23" t="s">
        <v>260</v>
      </c>
      <c r="F9" s="23" t="s">
        <v>1732</v>
      </c>
      <c r="G9" s="23">
        <v>8917763</v>
      </c>
      <c r="H9" s="23" t="s">
        <v>33</v>
      </c>
      <c r="I9" s="2" t="s">
        <v>978</v>
      </c>
      <c r="J9" s="23" t="s">
        <v>518</v>
      </c>
      <c r="K9" s="21" t="s">
        <v>67</v>
      </c>
      <c r="L9" s="23" t="s">
        <v>30</v>
      </c>
      <c r="M9" s="23" t="s">
        <v>1733</v>
      </c>
      <c r="N9" s="21" t="s">
        <v>30</v>
      </c>
      <c r="O9" s="23" t="s">
        <v>92</v>
      </c>
      <c r="P9" t="s">
        <v>1734</v>
      </c>
      <c r="Q9" s="21" t="s">
        <v>71</v>
      </c>
      <c r="R9" s="23" t="s">
        <v>68</v>
      </c>
      <c r="S9" s="23" t="s">
        <v>847</v>
      </c>
      <c r="T9" s="23" t="s">
        <v>1735</v>
      </c>
      <c r="U9" s="175">
        <v>3.71</v>
      </c>
      <c r="V9" s="159">
        <v>1389.723</v>
      </c>
      <c r="W9" s="159">
        <v>5155.8720000000003</v>
      </c>
      <c r="X9" s="174">
        <v>5.8690000000000001E-3</v>
      </c>
      <c r="Y9" s="174">
        <v>5.3832859916640698E-2</v>
      </c>
      <c r="Z9" s="174">
        <v>5.4896954313585896E-3</v>
      </c>
    </row>
    <row r="10" spans="1:27">
      <c r="A10" s="23">
        <v>233</v>
      </c>
      <c r="B10" s="23">
        <v>233</v>
      </c>
      <c r="C10" s="23" t="s">
        <v>1736</v>
      </c>
      <c r="D10" s="2" t="s">
        <v>1737</v>
      </c>
      <c r="E10" s="23" t="s">
        <v>33</v>
      </c>
      <c r="F10" s="23" t="s">
        <v>1738</v>
      </c>
      <c r="G10" s="23">
        <v>865637</v>
      </c>
      <c r="H10" s="23" t="s">
        <v>33</v>
      </c>
      <c r="I10" s="2" t="s">
        <v>981</v>
      </c>
      <c r="J10" s="23" t="s">
        <v>795</v>
      </c>
      <c r="K10" s="21" t="s">
        <v>67</v>
      </c>
      <c r="L10" s="23" t="s">
        <v>167</v>
      </c>
      <c r="M10" s="23" t="s">
        <v>1739</v>
      </c>
      <c r="N10" s="21" t="s">
        <v>174</v>
      </c>
      <c r="O10" s="23" t="s">
        <v>92</v>
      </c>
      <c r="P10" t="s">
        <v>1740</v>
      </c>
      <c r="Q10" s="21" t="s">
        <v>71</v>
      </c>
      <c r="R10" s="23" t="s">
        <v>68</v>
      </c>
      <c r="S10" s="23" t="s">
        <v>847</v>
      </c>
      <c r="T10" s="23" t="s">
        <v>1741</v>
      </c>
      <c r="U10" s="175">
        <v>3.71</v>
      </c>
      <c r="V10" s="159">
        <v>2521.7559999999999</v>
      </c>
      <c r="W10" s="159">
        <v>9355.7150000000001</v>
      </c>
      <c r="X10" s="174">
        <v>3.9310999999999999E-2</v>
      </c>
      <c r="Y10" s="174">
        <v>9.76837372565139E-2</v>
      </c>
      <c r="Z10" s="174">
        <v>9.9614615862039894E-3</v>
      </c>
    </row>
    <row r="11" spans="1:27">
      <c r="A11" s="23">
        <v>233</v>
      </c>
      <c r="B11" s="23">
        <v>233</v>
      </c>
      <c r="C11" s="23" t="s">
        <v>1742</v>
      </c>
      <c r="D11" s="2" t="s">
        <v>1743</v>
      </c>
      <c r="E11" s="23" t="s">
        <v>260</v>
      </c>
      <c r="F11" s="23" t="s">
        <v>1744</v>
      </c>
      <c r="G11" s="23">
        <v>29994457</v>
      </c>
      <c r="H11" s="23" t="s">
        <v>33</v>
      </c>
      <c r="I11" s="2" t="s">
        <v>981</v>
      </c>
      <c r="J11" s="23" t="s">
        <v>798</v>
      </c>
      <c r="K11" s="21" t="s">
        <v>67</v>
      </c>
      <c r="L11" s="23" t="s">
        <v>167</v>
      </c>
      <c r="M11" s="23" t="s">
        <v>1745</v>
      </c>
      <c r="N11" s="21" t="s">
        <v>174</v>
      </c>
      <c r="O11" s="23" t="s">
        <v>92</v>
      </c>
      <c r="P11" t="s">
        <v>1746</v>
      </c>
      <c r="Q11" s="21" t="s">
        <v>34</v>
      </c>
      <c r="R11" s="23" t="s">
        <v>68</v>
      </c>
      <c r="S11" s="23" t="s">
        <v>847</v>
      </c>
      <c r="T11" s="23" t="s">
        <v>94</v>
      </c>
      <c r="U11" s="175">
        <v>1</v>
      </c>
      <c r="V11" s="159">
        <v>15348.227999999999</v>
      </c>
      <c r="W11" s="159">
        <v>15348.227999999999</v>
      </c>
      <c r="X11" s="174">
        <v>7.7999999999999999E-5</v>
      </c>
      <c r="Y11" s="174">
        <v>0.160252030389543</v>
      </c>
      <c r="Z11" s="174">
        <v>1.6341967349638602E-2</v>
      </c>
    </row>
    <row r="12" spans="1:27">
      <c r="A12" s="23">
        <v>233</v>
      </c>
      <c r="B12" s="23">
        <v>233</v>
      </c>
      <c r="C12" s="23" t="s">
        <v>1747</v>
      </c>
      <c r="D12" s="2" t="s">
        <v>1748</v>
      </c>
      <c r="E12" s="23" t="s">
        <v>33</v>
      </c>
      <c r="F12" s="23" t="s">
        <v>1747</v>
      </c>
      <c r="G12" s="23">
        <v>29994435</v>
      </c>
      <c r="H12" s="23" t="s">
        <v>33</v>
      </c>
      <c r="I12" s="2" t="s">
        <v>978</v>
      </c>
      <c r="J12" s="23" t="s">
        <v>798</v>
      </c>
      <c r="K12" s="21" t="s">
        <v>67</v>
      </c>
      <c r="L12" s="23" t="s">
        <v>167</v>
      </c>
      <c r="M12" s="23" t="s">
        <v>1749</v>
      </c>
      <c r="N12" s="21" t="s">
        <v>246</v>
      </c>
      <c r="O12" s="23" t="s">
        <v>92</v>
      </c>
      <c r="P12" t="s">
        <v>1750</v>
      </c>
      <c r="Q12" s="21" t="s">
        <v>71</v>
      </c>
      <c r="R12" s="23" t="s">
        <v>68</v>
      </c>
      <c r="S12" s="23" t="s">
        <v>847</v>
      </c>
      <c r="T12" s="23" t="s">
        <v>94</v>
      </c>
      <c r="U12" s="175">
        <v>3.71</v>
      </c>
      <c r="V12" s="159">
        <v>4303.7219999999998</v>
      </c>
      <c r="W12" s="159">
        <v>15966.808999999999</v>
      </c>
      <c r="X12" s="174">
        <v>7.0650000000000001E-3</v>
      </c>
      <c r="Y12" s="174">
        <v>0.16671067817702001</v>
      </c>
      <c r="Z12" s="174">
        <v>1.7000598700575E-2</v>
      </c>
    </row>
    <row r="13" spans="1:27">
      <c r="A13" s="23">
        <v>233</v>
      </c>
      <c r="B13" s="23">
        <v>233</v>
      </c>
      <c r="C13" s="23" t="s">
        <v>1751</v>
      </c>
      <c r="D13" s="2" t="s">
        <v>1752</v>
      </c>
      <c r="E13" s="23" t="s">
        <v>33</v>
      </c>
      <c r="F13" s="23" t="s">
        <v>1753</v>
      </c>
      <c r="G13" s="23">
        <v>827727</v>
      </c>
      <c r="H13" s="23" t="s">
        <v>33</v>
      </c>
      <c r="I13" s="2" t="s">
        <v>981</v>
      </c>
      <c r="J13" s="23" t="s">
        <v>798</v>
      </c>
      <c r="K13" s="21" t="s">
        <v>67</v>
      </c>
      <c r="L13" s="23" t="s">
        <v>167</v>
      </c>
      <c r="M13" s="23" t="s">
        <v>1754</v>
      </c>
      <c r="N13" s="21" t="s">
        <v>174</v>
      </c>
      <c r="O13" s="23" t="s">
        <v>92</v>
      </c>
      <c r="P13" t="s">
        <v>1755</v>
      </c>
      <c r="Q13" s="21" t="s">
        <v>71</v>
      </c>
      <c r="R13" s="23" t="s">
        <v>68</v>
      </c>
      <c r="S13" s="23" t="s">
        <v>847</v>
      </c>
      <c r="T13" s="23" t="s">
        <v>94</v>
      </c>
      <c r="U13" s="175">
        <v>3.71</v>
      </c>
      <c r="V13" s="159">
        <v>1921.251</v>
      </c>
      <c r="W13" s="159">
        <v>7127.8429999999998</v>
      </c>
      <c r="X13" s="174">
        <v>1.9239999999999999E-3</v>
      </c>
      <c r="Y13" s="174">
        <v>7.4422355759405201E-2</v>
      </c>
      <c r="Z13" s="174">
        <v>7.5893435168778401E-3</v>
      </c>
    </row>
    <row r="14" spans="1:27">
      <c r="A14" s="23">
        <v>233</v>
      </c>
      <c r="B14" s="23">
        <v>233</v>
      </c>
      <c r="C14" s="23" t="s">
        <v>1751</v>
      </c>
      <c r="D14" s="2" t="s">
        <v>1752</v>
      </c>
      <c r="E14" s="23" t="s">
        <v>33</v>
      </c>
      <c r="F14" s="23" t="s">
        <v>1756</v>
      </c>
      <c r="G14" s="23">
        <v>826410</v>
      </c>
      <c r="H14" s="23" t="s">
        <v>33</v>
      </c>
      <c r="I14" s="2" t="s">
        <v>981</v>
      </c>
      <c r="J14" s="23" t="s">
        <v>798</v>
      </c>
      <c r="K14" s="21" t="s">
        <v>67</v>
      </c>
      <c r="L14" s="23" t="s">
        <v>167</v>
      </c>
      <c r="M14" s="23" t="s">
        <v>1754</v>
      </c>
      <c r="N14" s="21" t="s">
        <v>174</v>
      </c>
      <c r="O14" s="23" t="s">
        <v>92</v>
      </c>
      <c r="P14" t="s">
        <v>1757</v>
      </c>
      <c r="Q14" s="21" t="s">
        <v>71</v>
      </c>
      <c r="R14" s="23" t="s">
        <v>68</v>
      </c>
      <c r="S14" s="23" t="s">
        <v>847</v>
      </c>
      <c r="T14" s="23" t="s">
        <v>94</v>
      </c>
      <c r="U14" s="175">
        <v>3.71</v>
      </c>
      <c r="V14" s="159">
        <v>1936.5730000000001</v>
      </c>
      <c r="W14" s="159">
        <v>7184.6869999999999</v>
      </c>
      <c r="X14" s="174">
        <v>1.9369999999999999E-3</v>
      </c>
      <c r="Y14" s="174">
        <v>7.5015870553036407E-2</v>
      </c>
      <c r="Z14" s="174">
        <v>7.6498681751643602E-3</v>
      </c>
    </row>
    <row r="15" spans="1:27">
      <c r="A15" s="23">
        <v>233</v>
      </c>
      <c r="B15" s="23">
        <v>233</v>
      </c>
      <c r="C15" s="23" t="s">
        <v>1751</v>
      </c>
      <c r="D15" s="2" t="s">
        <v>1752</v>
      </c>
      <c r="E15" s="23" t="s">
        <v>33</v>
      </c>
      <c r="F15" s="23" t="s">
        <v>1756</v>
      </c>
      <c r="G15" s="23">
        <v>830958</v>
      </c>
      <c r="H15" s="23" t="s">
        <v>33</v>
      </c>
      <c r="I15" s="2" t="s">
        <v>981</v>
      </c>
      <c r="J15" s="23" t="s">
        <v>798</v>
      </c>
      <c r="K15" s="21" t="s">
        <v>67</v>
      </c>
      <c r="L15" s="23" t="s">
        <v>167</v>
      </c>
      <c r="M15" s="23" t="s">
        <v>1754</v>
      </c>
      <c r="N15" s="21" t="s">
        <v>174</v>
      </c>
      <c r="O15" s="23" t="s">
        <v>92</v>
      </c>
      <c r="P15" t="s">
        <v>1758</v>
      </c>
      <c r="Q15" s="21" t="s">
        <v>71</v>
      </c>
      <c r="R15" s="23" t="s">
        <v>68</v>
      </c>
      <c r="S15" s="23" t="s">
        <v>847</v>
      </c>
      <c r="T15" s="23" t="s">
        <v>94</v>
      </c>
      <c r="U15" s="175">
        <v>3.71</v>
      </c>
      <c r="V15" s="159">
        <v>2370.15</v>
      </c>
      <c r="W15" s="159">
        <v>8793.2549999999992</v>
      </c>
      <c r="X15" s="174">
        <v>2.372E-3</v>
      </c>
      <c r="Y15" s="174">
        <v>9.1811049344739007E-2</v>
      </c>
      <c r="Z15" s="174">
        <v>9.3625844682320401E-3</v>
      </c>
    </row>
    <row r="16" spans="1:27">
      <c r="A16" s="23"/>
      <c r="B16" s="23"/>
      <c r="C16" s="23"/>
      <c r="E16" s="23"/>
      <c r="F16" s="23"/>
      <c r="G16" s="23"/>
      <c r="H16" s="23"/>
      <c r="J16" s="23"/>
      <c r="K16" s="21"/>
      <c r="L16" s="23"/>
      <c r="M16" s="23"/>
      <c r="N16" s="21"/>
      <c r="O16" s="23"/>
      <c r="Q16" s="21"/>
      <c r="R16" s="23"/>
      <c r="S16" s="23"/>
      <c r="T16" s="23"/>
      <c r="U16" s="23"/>
      <c r="V16" s="23"/>
      <c r="W16" s="23"/>
      <c r="X16" s="23"/>
      <c r="Y16" s="23"/>
      <c r="Z16" s="23"/>
    </row>
    <row r="17" spans="1:26">
      <c r="A17" s="23"/>
      <c r="B17" s="23"/>
      <c r="C17" s="23"/>
      <c r="E17" s="23"/>
      <c r="F17" s="23"/>
      <c r="G17" s="23"/>
      <c r="H17" s="23"/>
      <c r="J17" s="23"/>
      <c r="K17" s="21"/>
      <c r="L17" s="23"/>
      <c r="M17" s="23"/>
      <c r="N17" s="21"/>
      <c r="O17" s="23"/>
      <c r="Q17" s="21"/>
      <c r="R17" s="23"/>
      <c r="S17" s="23"/>
      <c r="T17" s="23"/>
      <c r="U17" s="23"/>
      <c r="V17" s="23"/>
      <c r="W17" s="23"/>
      <c r="X17" s="23"/>
      <c r="Y17" s="23"/>
      <c r="Z17" s="23"/>
    </row>
    <row r="18" spans="1:26">
      <c r="A18" s="23"/>
      <c r="B18" s="23"/>
      <c r="C18" s="23"/>
      <c r="E18" s="23"/>
      <c r="F18" s="23"/>
      <c r="G18" s="23"/>
      <c r="H18" s="23"/>
      <c r="J18" s="23"/>
      <c r="K18" s="21"/>
      <c r="L18" s="23"/>
      <c r="M18" s="23"/>
      <c r="N18" s="21"/>
      <c r="O18" s="23"/>
      <c r="Q18" s="21"/>
      <c r="R18" s="23"/>
      <c r="S18" s="23"/>
      <c r="T18" s="23"/>
      <c r="U18" s="23"/>
      <c r="V18" s="23"/>
      <c r="W18" s="23"/>
      <c r="X18" s="23"/>
      <c r="Y18" s="23"/>
      <c r="Z18" s="23"/>
    </row>
    <row r="19" spans="1:26">
      <c r="A19" s="23"/>
      <c r="B19" s="23"/>
      <c r="C19" s="23"/>
      <c r="E19" s="23"/>
      <c r="F19" s="23"/>
      <c r="G19" s="23"/>
      <c r="H19" s="23"/>
      <c r="J19" s="23"/>
      <c r="K19" s="21"/>
      <c r="L19" s="23"/>
      <c r="M19" s="23"/>
      <c r="N19" s="21"/>
      <c r="O19" s="23"/>
      <c r="Q19" s="21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E20" s="23"/>
      <c r="H20" s="23"/>
      <c r="J20" s="23"/>
      <c r="K20" s="21"/>
      <c r="L20" s="23"/>
      <c r="M20" s="23"/>
      <c r="N20" s="21"/>
      <c r="O20" s="23"/>
      <c r="R20" s="23"/>
      <c r="S20" s="23"/>
    </row>
    <row r="25" spans="1:26">
      <c r="R25" s="11"/>
    </row>
    <row r="26" spans="1:26">
      <c r="R26" s="11"/>
    </row>
    <row r="1048574" spans="12:12">
      <c r="L1048574" s="23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L1048574:L1048576" xr:uid="{00000000-0002-0000-1300-000006000000}">
      <formula1>Country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24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9" width="11.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97</v>
      </c>
      <c r="E1" s="22" t="s">
        <v>98</v>
      </c>
      <c r="F1" s="22" t="s">
        <v>3</v>
      </c>
      <c r="G1" s="22" t="s">
        <v>4</v>
      </c>
      <c r="H1" s="22" t="s">
        <v>99</v>
      </c>
      <c r="I1" s="22" t="s">
        <v>6</v>
      </c>
      <c r="J1" s="22" t="s">
        <v>7</v>
      </c>
      <c r="K1" s="22" t="s">
        <v>274</v>
      </c>
      <c r="L1" s="22" t="s">
        <v>1072</v>
      </c>
      <c r="M1" s="22" t="s">
        <v>100</v>
      </c>
      <c r="N1" s="22" t="s">
        <v>1073</v>
      </c>
      <c r="O1" s="22" t="s">
        <v>78</v>
      </c>
      <c r="P1" s="22" t="s">
        <v>108</v>
      </c>
      <c r="Q1" s="22" t="s">
        <v>11</v>
      </c>
      <c r="R1" s="22" t="s">
        <v>101</v>
      </c>
      <c r="S1" s="22" t="s">
        <v>102</v>
      </c>
      <c r="T1" s="22" t="s">
        <v>87</v>
      </c>
      <c r="U1" s="22" t="s">
        <v>1074</v>
      </c>
      <c r="V1" s="22" t="s">
        <v>1075</v>
      </c>
      <c r="W1" s="22" t="s">
        <v>17</v>
      </c>
      <c r="X1" s="22" t="s">
        <v>19</v>
      </c>
      <c r="Y1" s="22" t="s">
        <v>18</v>
      </c>
      <c r="Z1" s="22" t="s">
        <v>20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1"/>
      <c r="J2" s="21"/>
      <c r="K2" s="23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1"/>
      <c r="J3" s="21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1"/>
      <c r="J4" s="21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1"/>
      <c r="J5" s="21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1"/>
      <c r="J6" s="21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1"/>
      <c r="J7" s="21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1"/>
      <c r="J8" s="21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1"/>
      <c r="J9" s="21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1"/>
      <c r="J10" s="21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1"/>
      <c r="J11" s="21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1"/>
      <c r="J12" s="21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1"/>
      <c r="J13" s="21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1"/>
      <c r="J14" s="21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1"/>
      <c r="J15" s="21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1"/>
      <c r="J16" s="21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1"/>
      <c r="J17" s="21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1"/>
      <c r="J18" s="21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1"/>
      <c r="J19" s="21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1"/>
      <c r="J20" s="21"/>
      <c r="K20" s="23"/>
      <c r="M20" s="23"/>
      <c r="O20" s="23"/>
      <c r="S20" s="23"/>
    </row>
    <row r="24" spans="1:28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20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9" width="11.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97</v>
      </c>
      <c r="E1" s="22" t="s">
        <v>98</v>
      </c>
      <c r="F1" s="22" t="s">
        <v>3</v>
      </c>
      <c r="G1" s="22" t="s">
        <v>4</v>
      </c>
      <c r="H1" s="22" t="s">
        <v>99</v>
      </c>
      <c r="I1" s="22" t="s">
        <v>5</v>
      </c>
      <c r="J1" s="22" t="s">
        <v>6</v>
      </c>
      <c r="K1" s="22" t="s">
        <v>7</v>
      </c>
      <c r="L1" s="22" t="s">
        <v>100</v>
      </c>
      <c r="M1" s="22" t="s">
        <v>123</v>
      </c>
      <c r="N1" s="22" t="s">
        <v>1073</v>
      </c>
      <c r="O1" s="22" t="s">
        <v>78</v>
      </c>
      <c r="P1" s="22" t="s">
        <v>108</v>
      </c>
      <c r="Q1" s="22" t="s">
        <v>11</v>
      </c>
      <c r="R1" s="22" t="s">
        <v>101</v>
      </c>
      <c r="S1" s="22" t="s">
        <v>102</v>
      </c>
      <c r="T1" s="22" t="s">
        <v>87</v>
      </c>
      <c r="U1" s="22" t="s">
        <v>1074</v>
      </c>
      <c r="V1" s="22" t="s">
        <v>1075</v>
      </c>
      <c r="W1" s="22" t="s">
        <v>17</v>
      </c>
      <c r="X1" s="22" t="s">
        <v>19</v>
      </c>
      <c r="Y1" s="22" t="s">
        <v>18</v>
      </c>
      <c r="Z1" s="22" t="s">
        <v>1252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3"/>
      <c r="J20" s="21"/>
      <c r="K20" s="21"/>
      <c r="L20" s="23"/>
      <c r="M20" s="23"/>
      <c r="O20" s="23"/>
      <c r="R20" s="23"/>
      <c r="S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76"/>
  <sheetViews>
    <sheetView rightToLeft="1" topLeftCell="E1" zoomScale="70" zoomScaleNormal="70" workbookViewId="0">
      <selection activeCell="J31" sqref="J31"/>
    </sheetView>
  </sheetViews>
  <sheetFormatPr defaultColWidth="9" defaultRowHeight="14.25"/>
  <cols>
    <col min="1" max="2" width="11.625" style="11" customWidth="1"/>
    <col min="3" max="3" width="26.625" style="11" customWidth="1"/>
    <col min="4" max="6" width="11.625" style="11" customWidth="1"/>
    <col min="7" max="7" width="17.375" style="11" customWidth="1"/>
    <col min="8" max="13" width="11.625" style="11" customWidth="1"/>
    <col min="14" max="14" width="18.625" style="11" customWidth="1"/>
    <col min="15" max="15" width="17.875" style="11" customWidth="1"/>
    <col min="16" max="33" width="11.625" style="11" customWidth="1"/>
    <col min="34" max="34" width="11.625" style="147" customWidth="1"/>
    <col min="35" max="39" width="11.625" style="11" customWidth="1"/>
    <col min="40" max="41" width="11.625" style="2" customWidth="1"/>
    <col min="42" max="42" width="9" style="11" customWidth="1"/>
    <col min="43" max="16384" width="9" style="11"/>
  </cols>
  <sheetData>
    <row r="1" spans="1:41" ht="66.75" customHeight="1">
      <c r="A1" s="22" t="s">
        <v>0</v>
      </c>
      <c r="B1" s="22" t="s">
        <v>1</v>
      </c>
      <c r="C1" s="22" t="s">
        <v>5</v>
      </c>
      <c r="D1" s="22" t="s">
        <v>1088</v>
      </c>
      <c r="E1" s="22" t="s">
        <v>1089</v>
      </c>
      <c r="F1" s="22" t="s">
        <v>18</v>
      </c>
      <c r="G1" s="22" t="s">
        <v>1090</v>
      </c>
      <c r="H1" s="22" t="s">
        <v>1091</v>
      </c>
      <c r="I1" s="22" t="s">
        <v>1092</v>
      </c>
      <c r="J1" s="22" t="s">
        <v>1093</v>
      </c>
      <c r="K1" s="22" t="s">
        <v>1094</v>
      </c>
      <c r="L1" s="22" t="s">
        <v>1095</v>
      </c>
      <c r="M1" s="22" t="s">
        <v>18</v>
      </c>
      <c r="N1" s="22" t="s">
        <v>1096</v>
      </c>
      <c r="O1" s="22" t="s">
        <v>1097</v>
      </c>
      <c r="P1" s="22" t="s">
        <v>1249</v>
      </c>
      <c r="Q1" s="22" t="s">
        <v>1250</v>
      </c>
      <c r="R1" s="22" t="s">
        <v>1251</v>
      </c>
      <c r="S1" s="22" t="s">
        <v>6</v>
      </c>
      <c r="T1" s="22" t="s">
        <v>7</v>
      </c>
      <c r="U1" s="22" t="s">
        <v>1101</v>
      </c>
      <c r="V1" s="22" t="s">
        <v>878</v>
      </c>
      <c r="W1" s="22" t="s">
        <v>885</v>
      </c>
      <c r="X1" s="22" t="s">
        <v>272</v>
      </c>
      <c r="Y1" s="22" t="s">
        <v>78</v>
      </c>
      <c r="Z1" s="22" t="s">
        <v>1102</v>
      </c>
      <c r="AA1" s="22" t="s">
        <v>1103</v>
      </c>
      <c r="AB1" s="22" t="s">
        <v>849</v>
      </c>
      <c r="AC1" s="22" t="s">
        <v>857</v>
      </c>
      <c r="AD1" s="22" t="s">
        <v>1104</v>
      </c>
      <c r="AE1" s="22" t="s">
        <v>875</v>
      </c>
      <c r="AF1" s="22" t="s">
        <v>860</v>
      </c>
      <c r="AG1" s="22" t="s">
        <v>871</v>
      </c>
      <c r="AH1" s="146" t="s">
        <v>1105</v>
      </c>
      <c r="AI1" s="22" t="s">
        <v>1106</v>
      </c>
      <c r="AJ1" s="22" t="s">
        <v>1107</v>
      </c>
      <c r="AK1" s="22" t="s">
        <v>900</v>
      </c>
      <c r="AL1" s="22" t="s">
        <v>1108</v>
      </c>
      <c r="AM1" s="22" t="s">
        <v>1109</v>
      </c>
      <c r="AN1" s="22" t="s">
        <v>24</v>
      </c>
      <c r="AO1" s="22" t="s">
        <v>25</v>
      </c>
    </row>
    <row r="2" spans="1:41">
      <c r="A2" s="12">
        <v>233</v>
      </c>
      <c r="B2" s="12">
        <v>233</v>
      </c>
      <c r="C2" s="12" t="s">
        <v>998</v>
      </c>
      <c r="D2" s="182">
        <v>3126804</v>
      </c>
      <c r="E2" s="12" t="s">
        <v>1134</v>
      </c>
      <c r="F2" s="183">
        <v>4.1524000000000001</v>
      </c>
      <c r="G2" s="184">
        <v>-4396000</v>
      </c>
      <c r="H2" s="156">
        <v>-4377.1385223003563</v>
      </c>
      <c r="J2" s="13"/>
      <c r="K2" s="132">
        <v>3126804</v>
      </c>
      <c r="L2" s="1" t="s">
        <v>1812</v>
      </c>
      <c r="M2" s="196">
        <v>1</v>
      </c>
      <c r="N2" s="184">
        <v>18397260</v>
      </c>
      <c r="O2" s="184">
        <v>18288.8</v>
      </c>
      <c r="R2" s="185">
        <f>F2*H2+O2</f>
        <v>113.16999999999825</v>
      </c>
      <c r="S2" s="11" t="s">
        <v>30</v>
      </c>
      <c r="T2" s="21" t="s">
        <v>30</v>
      </c>
      <c r="U2" s="12" t="s">
        <v>696</v>
      </c>
      <c r="V2" s="12" t="s">
        <v>880</v>
      </c>
      <c r="W2" s="11" t="s">
        <v>894</v>
      </c>
      <c r="X2" s="12" t="s">
        <v>1813</v>
      </c>
      <c r="Y2" s="12" t="s">
        <v>288</v>
      </c>
      <c r="Z2" s="186">
        <v>45553</v>
      </c>
      <c r="AA2" s="186">
        <v>45617</v>
      </c>
      <c r="AB2" s="12" t="s">
        <v>856</v>
      </c>
      <c r="AC2" s="12" t="s">
        <v>858</v>
      </c>
      <c r="AD2" s="12" t="s">
        <v>92</v>
      </c>
      <c r="AE2" s="12" t="s">
        <v>876</v>
      </c>
      <c r="AF2" s="12" t="s">
        <v>866</v>
      </c>
      <c r="AG2" s="12" t="s">
        <v>852</v>
      </c>
      <c r="AH2" s="187">
        <v>2.9769999999999999</v>
      </c>
      <c r="AI2" s="12">
        <v>4.1988000000000003</v>
      </c>
      <c r="AJ2" s="11">
        <v>4.1849999999999996</v>
      </c>
      <c r="AK2" s="12" t="s">
        <v>92</v>
      </c>
      <c r="AL2" s="11" t="s">
        <v>92</v>
      </c>
      <c r="AM2" s="11" t="s">
        <v>1814</v>
      </c>
      <c r="AN2" s="30"/>
      <c r="AO2" s="30"/>
    </row>
    <row r="3" spans="1:41">
      <c r="A3" s="12">
        <v>233</v>
      </c>
      <c r="B3" s="12">
        <v>233</v>
      </c>
      <c r="C3" s="12" t="s">
        <v>998</v>
      </c>
      <c r="D3" s="18" t="s">
        <v>1815</v>
      </c>
      <c r="E3" s="1" t="s">
        <v>71</v>
      </c>
      <c r="F3" s="183">
        <v>3.71</v>
      </c>
      <c r="G3" s="184">
        <v>-24552500</v>
      </c>
      <c r="H3" s="156">
        <v>-24382.167115902965</v>
      </c>
      <c r="J3" s="13"/>
      <c r="K3" s="132" t="s">
        <v>1815</v>
      </c>
      <c r="L3" s="1" t="s">
        <v>1812</v>
      </c>
      <c r="M3" s="196">
        <v>1</v>
      </c>
      <c r="N3" s="184">
        <v>91458062.5</v>
      </c>
      <c r="O3" s="184">
        <v>91712.1</v>
      </c>
      <c r="R3" s="185">
        <f t="shared" ref="R3:R5" si="0">F3*H3+O3</f>
        <v>1254.2600000000093</v>
      </c>
      <c r="S3" s="11" t="s">
        <v>30</v>
      </c>
      <c r="T3" s="21" t="s">
        <v>30</v>
      </c>
      <c r="U3" s="12" t="s">
        <v>696</v>
      </c>
      <c r="V3" s="12" t="s">
        <v>880</v>
      </c>
      <c r="W3" s="11" t="s">
        <v>894</v>
      </c>
      <c r="X3" s="12" t="s">
        <v>71</v>
      </c>
      <c r="Y3" s="12" t="s">
        <v>288</v>
      </c>
      <c r="Z3" s="186">
        <v>45553</v>
      </c>
      <c r="AA3" s="186">
        <v>45617</v>
      </c>
      <c r="AB3" s="12" t="s">
        <v>856</v>
      </c>
      <c r="AC3" s="12" t="s">
        <v>858</v>
      </c>
      <c r="AD3" s="12" t="s">
        <v>92</v>
      </c>
      <c r="AE3" s="12" t="s">
        <v>876</v>
      </c>
      <c r="AF3" s="12" t="s">
        <v>863</v>
      </c>
      <c r="AG3" s="12" t="s">
        <v>852</v>
      </c>
      <c r="AH3" s="187">
        <v>4.9066700000000001</v>
      </c>
      <c r="AI3" s="12">
        <v>3.7730000000000001</v>
      </c>
      <c r="AJ3" s="11">
        <v>3.7574999999999998</v>
      </c>
      <c r="AK3" s="12" t="s">
        <v>92</v>
      </c>
      <c r="AL3" s="11" t="s">
        <v>92</v>
      </c>
      <c r="AM3" s="11" t="s">
        <v>1814</v>
      </c>
      <c r="AN3" s="30"/>
      <c r="AO3" s="30"/>
    </row>
    <row r="4" spans="1:41">
      <c r="A4" s="12">
        <v>233</v>
      </c>
      <c r="B4" s="12">
        <v>233</v>
      </c>
      <c r="C4" s="12" t="s">
        <v>998</v>
      </c>
      <c r="D4" s="18" t="s">
        <v>1816</v>
      </c>
      <c r="E4" s="1" t="s">
        <v>71</v>
      </c>
      <c r="F4" s="183">
        <v>3.71</v>
      </c>
      <c r="G4" s="184">
        <v>-24552500</v>
      </c>
      <c r="H4" s="156">
        <v>-23506.197700808625</v>
      </c>
      <c r="J4" s="13"/>
      <c r="K4" s="132" t="s">
        <v>1816</v>
      </c>
      <c r="L4" s="1" t="s">
        <v>1812</v>
      </c>
      <c r="M4" s="196">
        <v>1</v>
      </c>
      <c r="N4" s="184">
        <v>92256018.75</v>
      </c>
      <c r="O4" s="184">
        <v>87841.25</v>
      </c>
      <c r="R4" s="185">
        <f t="shared" si="0"/>
        <v>633.25652999999875</v>
      </c>
      <c r="S4" s="11" t="s">
        <v>30</v>
      </c>
      <c r="T4" s="21" t="s">
        <v>30</v>
      </c>
      <c r="U4" s="12" t="s">
        <v>696</v>
      </c>
      <c r="V4" s="12" t="s">
        <v>880</v>
      </c>
      <c r="W4" s="11" t="s">
        <v>894</v>
      </c>
      <c r="X4" s="12" t="s">
        <v>71</v>
      </c>
      <c r="Y4" s="12" t="s">
        <v>288</v>
      </c>
      <c r="Z4" s="186">
        <v>45553</v>
      </c>
      <c r="AA4" s="186">
        <v>45917</v>
      </c>
      <c r="AB4" s="12" t="s">
        <v>856</v>
      </c>
      <c r="AC4" s="12" t="s">
        <v>858</v>
      </c>
      <c r="AD4" s="12" t="s">
        <v>92</v>
      </c>
      <c r="AE4" s="12" t="s">
        <v>876</v>
      </c>
      <c r="AF4" s="12" t="s">
        <v>863</v>
      </c>
      <c r="AG4" s="12" t="s">
        <v>855</v>
      </c>
      <c r="AH4" s="187">
        <v>4.4522700000000004</v>
      </c>
      <c r="AI4" s="12">
        <v>3.7730000000000001</v>
      </c>
      <c r="AJ4" s="11">
        <v>3.7250000000000001</v>
      </c>
      <c r="AK4" s="12" t="s">
        <v>92</v>
      </c>
      <c r="AL4" s="11" t="s">
        <v>92</v>
      </c>
      <c r="AM4" s="11" t="s">
        <v>1814</v>
      </c>
      <c r="AN4" s="30"/>
      <c r="AO4" s="30"/>
    </row>
    <row r="5" spans="1:41">
      <c r="A5" s="12">
        <v>233</v>
      </c>
      <c r="B5" s="12">
        <v>233</v>
      </c>
      <c r="C5" s="12" t="s">
        <v>998</v>
      </c>
      <c r="D5" s="18" t="s">
        <v>1817</v>
      </c>
      <c r="E5" s="1" t="s">
        <v>71</v>
      </c>
      <c r="F5" s="183">
        <v>3.71</v>
      </c>
      <c r="G5" s="184">
        <v>6000000</v>
      </c>
      <c r="H5" s="156">
        <v>5744.3126684636127</v>
      </c>
      <c r="J5" s="13"/>
      <c r="K5" s="132" t="s">
        <v>1817</v>
      </c>
      <c r="L5" s="1" t="s">
        <v>1812</v>
      </c>
      <c r="M5" s="196">
        <v>1</v>
      </c>
      <c r="N5" s="184">
        <v>-21960000</v>
      </c>
      <c r="O5" s="184">
        <v>-21091.566420000003</v>
      </c>
      <c r="R5" s="185">
        <f t="shared" si="0"/>
        <v>219.83357999999862</v>
      </c>
      <c r="S5" s="11" t="s">
        <v>30</v>
      </c>
      <c r="T5" s="21" t="s">
        <v>30</v>
      </c>
      <c r="U5" s="12" t="s">
        <v>696</v>
      </c>
      <c r="V5" s="12" t="s">
        <v>880</v>
      </c>
      <c r="W5" s="11" t="s">
        <v>894</v>
      </c>
      <c r="X5" s="12" t="s">
        <v>71</v>
      </c>
      <c r="Y5" s="12" t="s">
        <v>288</v>
      </c>
      <c r="Z5" s="186">
        <v>45561</v>
      </c>
      <c r="AA5" s="186">
        <v>45917</v>
      </c>
      <c r="AB5" s="12" t="s">
        <v>856</v>
      </c>
      <c r="AC5" s="12" t="s">
        <v>858</v>
      </c>
      <c r="AD5" s="12" t="s">
        <v>92</v>
      </c>
      <c r="AE5" s="12" t="s">
        <v>876</v>
      </c>
      <c r="AF5" s="12" t="s">
        <v>863</v>
      </c>
      <c r="AG5" s="12" t="s">
        <v>855</v>
      </c>
      <c r="AH5" s="187">
        <v>4.4522700000000004</v>
      </c>
      <c r="AI5" s="12">
        <v>3.694</v>
      </c>
      <c r="AJ5" s="11">
        <v>3.66</v>
      </c>
      <c r="AK5" s="12" t="s">
        <v>92</v>
      </c>
      <c r="AL5" s="11" t="s">
        <v>92</v>
      </c>
      <c r="AM5" s="11" t="s">
        <v>1814</v>
      </c>
      <c r="AN5" s="30"/>
      <c r="AO5" s="30"/>
    </row>
    <row r="6" spans="1:41">
      <c r="A6" s="12">
        <v>233</v>
      </c>
      <c r="B6" s="12">
        <v>233</v>
      </c>
      <c r="C6" s="12" t="s">
        <v>997</v>
      </c>
      <c r="D6" s="18">
        <v>38727578</v>
      </c>
      <c r="E6" s="1" t="s">
        <v>1818</v>
      </c>
      <c r="F6" s="183">
        <v>108.8</v>
      </c>
      <c r="G6" s="184">
        <v>18427000</v>
      </c>
      <c r="H6" s="156">
        <v>18830.330000000002</v>
      </c>
      <c r="J6" s="13"/>
      <c r="K6" s="132">
        <v>38727578</v>
      </c>
      <c r="L6" s="1" t="s">
        <v>1812</v>
      </c>
      <c r="M6" s="196">
        <v>1</v>
      </c>
      <c r="N6" s="184">
        <f>-18427000</f>
        <v>-18427000</v>
      </c>
      <c r="O6" s="184">
        <f>-18427000/1000</f>
        <v>-18427</v>
      </c>
      <c r="R6" s="185">
        <f>H6+O6</f>
        <v>403.33000000000175</v>
      </c>
      <c r="S6" s="11" t="s">
        <v>30</v>
      </c>
      <c r="T6" s="21" t="s">
        <v>30</v>
      </c>
      <c r="U6" s="12" t="s">
        <v>694</v>
      </c>
      <c r="V6" s="12" t="s">
        <v>68</v>
      </c>
      <c r="W6" s="11" t="s">
        <v>30</v>
      </c>
      <c r="X6" s="1" t="s">
        <v>1812</v>
      </c>
      <c r="Y6" s="12" t="s">
        <v>288</v>
      </c>
      <c r="Z6" s="186">
        <v>44950</v>
      </c>
      <c r="AA6" s="186">
        <v>45684</v>
      </c>
      <c r="AB6" s="12" t="s">
        <v>856</v>
      </c>
      <c r="AC6" s="12" t="s">
        <v>859</v>
      </c>
      <c r="AD6" s="12" t="s">
        <v>92</v>
      </c>
      <c r="AE6" s="12" t="s">
        <v>876</v>
      </c>
      <c r="AF6" s="12" t="s">
        <v>869</v>
      </c>
      <c r="AG6" s="12" t="s">
        <v>855</v>
      </c>
      <c r="AH6" s="187">
        <v>4.1835500000000003</v>
      </c>
      <c r="AI6" s="12">
        <v>105.4</v>
      </c>
      <c r="AJ6" s="11">
        <v>105.4</v>
      </c>
      <c r="AK6" s="12" t="s">
        <v>92</v>
      </c>
      <c r="AL6" s="11" t="s">
        <v>92</v>
      </c>
      <c r="AM6" s="11" t="s">
        <v>1814</v>
      </c>
      <c r="AN6" s="30"/>
      <c r="AO6" s="30"/>
    </row>
    <row r="7" spans="1:41">
      <c r="A7" s="12"/>
      <c r="B7" s="12"/>
      <c r="C7" s="12"/>
      <c r="D7" s="1"/>
      <c r="E7" s="12"/>
      <c r="F7" s="12"/>
      <c r="G7" s="12"/>
      <c r="H7" s="15"/>
      <c r="J7" s="13"/>
      <c r="L7" s="12"/>
      <c r="R7" s="14"/>
      <c r="T7" s="21"/>
      <c r="U7" s="12"/>
      <c r="V7" s="12"/>
      <c r="X7" s="12"/>
      <c r="Y7" s="12"/>
      <c r="Z7" s="1"/>
      <c r="AA7" s="27"/>
      <c r="AB7" s="12"/>
      <c r="AC7" s="12"/>
      <c r="AD7" s="12"/>
      <c r="AE7" s="12"/>
      <c r="AF7" s="12"/>
      <c r="AG7" s="12"/>
      <c r="AI7" s="12"/>
      <c r="AJ7" s="12"/>
      <c r="AK7" s="12"/>
      <c r="AN7" s="23"/>
      <c r="AO7" s="23"/>
    </row>
    <row r="8" spans="1:41">
      <c r="A8" s="12"/>
      <c r="B8" s="12"/>
      <c r="C8" s="12"/>
      <c r="D8" s="1"/>
      <c r="E8" s="12"/>
      <c r="F8" s="12"/>
      <c r="G8" s="12"/>
      <c r="H8" s="15"/>
      <c r="J8" s="13"/>
      <c r="L8" s="12"/>
      <c r="R8" s="14"/>
      <c r="T8" s="21"/>
      <c r="U8" s="12"/>
      <c r="V8" s="12"/>
      <c r="X8" s="12"/>
      <c r="Y8" s="12"/>
      <c r="Z8" s="1"/>
      <c r="AA8" s="27"/>
      <c r="AB8" s="12"/>
      <c r="AC8" s="12"/>
      <c r="AD8" s="12"/>
      <c r="AE8" s="12"/>
      <c r="AF8" s="12"/>
      <c r="AG8" s="12"/>
      <c r="AI8" s="12"/>
      <c r="AJ8" s="12"/>
      <c r="AK8" s="12"/>
      <c r="AN8" s="23"/>
      <c r="AO8" s="23"/>
    </row>
    <row r="9" spans="1:41">
      <c r="A9" s="12"/>
      <c r="B9" s="12"/>
      <c r="C9" s="12"/>
      <c r="D9" s="1"/>
      <c r="E9" s="12"/>
      <c r="F9" s="12"/>
      <c r="G9" s="12"/>
      <c r="H9" s="15"/>
      <c r="J9" s="13"/>
      <c r="L9" s="12"/>
      <c r="R9" s="14"/>
      <c r="T9" s="21"/>
      <c r="U9" s="12"/>
      <c r="V9" s="12"/>
      <c r="X9" s="12"/>
      <c r="Y9" s="12"/>
      <c r="Z9" s="1"/>
      <c r="AA9" s="27"/>
      <c r="AB9" s="12"/>
      <c r="AC9" s="12"/>
      <c r="AD9" s="12"/>
      <c r="AE9" s="12"/>
      <c r="AF9" s="12"/>
      <c r="AG9" s="12"/>
      <c r="AI9" s="12"/>
      <c r="AJ9" s="12"/>
      <c r="AK9" s="12"/>
      <c r="AN9" s="23"/>
      <c r="AO9" s="23"/>
    </row>
    <row r="10" spans="1:41">
      <c r="A10" s="12"/>
      <c r="B10" s="12"/>
      <c r="C10" s="12"/>
      <c r="D10" s="1"/>
      <c r="E10" s="12"/>
      <c r="F10" s="12"/>
      <c r="G10" s="12"/>
      <c r="H10" s="15"/>
      <c r="J10" s="13"/>
      <c r="L10" s="12"/>
      <c r="R10" s="14"/>
      <c r="T10" s="21"/>
      <c r="U10" s="12"/>
      <c r="V10" s="12"/>
      <c r="X10" s="12"/>
      <c r="Y10" s="12"/>
      <c r="Z10" s="1"/>
      <c r="AA10" s="27"/>
      <c r="AB10" s="12"/>
      <c r="AC10" s="12"/>
      <c r="AD10" s="12"/>
      <c r="AE10" s="12"/>
      <c r="AF10" s="12"/>
      <c r="AG10" s="12"/>
      <c r="AI10" s="12"/>
      <c r="AJ10" s="12"/>
      <c r="AK10" s="12"/>
      <c r="AN10" s="23"/>
      <c r="AO10" s="23"/>
    </row>
    <row r="11" spans="1:41">
      <c r="A11" s="12"/>
      <c r="B11" s="12"/>
      <c r="C11" s="12"/>
      <c r="D11" s="1"/>
      <c r="E11" s="12"/>
      <c r="F11" s="12"/>
      <c r="G11" s="12"/>
      <c r="H11" s="15"/>
      <c r="J11" s="13"/>
      <c r="L11" s="12"/>
      <c r="R11" s="14"/>
      <c r="T11" s="21"/>
      <c r="U11" s="12"/>
      <c r="V11" s="12"/>
      <c r="X11" s="12"/>
      <c r="Y11" s="12"/>
      <c r="Z11" s="1"/>
      <c r="AA11" s="27"/>
      <c r="AB11" s="12"/>
      <c r="AC11" s="12"/>
      <c r="AD11" s="12"/>
      <c r="AE11" s="12"/>
      <c r="AF11" s="12"/>
      <c r="AG11" s="12"/>
      <c r="AI11" s="12"/>
      <c r="AJ11" s="12"/>
      <c r="AK11" s="12"/>
      <c r="AN11" s="23"/>
      <c r="AO11" s="23"/>
    </row>
    <row r="12" spans="1:41">
      <c r="A12" s="12"/>
      <c r="B12" s="12"/>
      <c r="C12" s="12"/>
      <c r="D12" s="1"/>
      <c r="E12" s="12"/>
      <c r="F12" s="12"/>
      <c r="G12" s="12"/>
      <c r="H12" s="15"/>
      <c r="J12" s="13"/>
      <c r="L12" s="12"/>
      <c r="R12" s="14"/>
      <c r="T12" s="21"/>
      <c r="U12" s="12"/>
      <c r="V12" s="12"/>
      <c r="X12" s="12"/>
      <c r="Y12" s="12"/>
      <c r="Z12" s="1"/>
      <c r="AA12" s="27"/>
      <c r="AB12" s="12"/>
      <c r="AC12" s="12"/>
      <c r="AD12" s="12"/>
      <c r="AE12" s="12"/>
      <c r="AF12" s="12"/>
      <c r="AG12" s="12"/>
      <c r="AI12" s="12"/>
      <c r="AJ12" s="12"/>
      <c r="AK12" s="12"/>
      <c r="AN12" s="23"/>
      <c r="AO12" s="23"/>
    </row>
    <row r="13" spans="1:41">
      <c r="A13" s="12"/>
      <c r="B13" s="12"/>
      <c r="C13" s="12"/>
      <c r="D13" s="1"/>
      <c r="E13" s="12"/>
      <c r="F13" s="12"/>
      <c r="G13" s="12"/>
      <c r="H13" s="15"/>
      <c r="J13" s="13"/>
      <c r="L13" s="12"/>
      <c r="R13" s="14"/>
      <c r="T13" s="21"/>
      <c r="U13" s="12"/>
      <c r="V13" s="12"/>
      <c r="X13" s="12"/>
      <c r="Y13" s="12"/>
      <c r="Z13" s="1"/>
      <c r="AA13" s="27"/>
      <c r="AB13" s="12"/>
      <c r="AC13" s="12"/>
      <c r="AD13" s="12"/>
      <c r="AE13" s="12"/>
      <c r="AF13" s="12"/>
      <c r="AG13" s="12"/>
      <c r="AI13" s="12"/>
      <c r="AJ13" s="12"/>
      <c r="AK13" s="12"/>
      <c r="AN13" s="23"/>
      <c r="AO13" s="23"/>
    </row>
    <row r="14" spans="1:41">
      <c r="A14" s="12"/>
      <c r="B14" s="12"/>
      <c r="C14" s="12"/>
      <c r="D14" s="1"/>
      <c r="E14" s="12"/>
      <c r="F14" s="12"/>
      <c r="G14" s="12"/>
      <c r="H14" s="15"/>
      <c r="J14" s="13"/>
      <c r="L14" s="12"/>
      <c r="R14" s="14"/>
      <c r="T14" s="21"/>
      <c r="U14" s="12"/>
      <c r="V14" s="12"/>
      <c r="X14" s="12"/>
      <c r="Y14" s="12"/>
      <c r="Z14" s="1"/>
      <c r="AA14" s="27"/>
      <c r="AB14" s="12"/>
      <c r="AC14" s="12"/>
      <c r="AD14" s="12"/>
      <c r="AE14" s="12"/>
      <c r="AF14" s="12"/>
      <c r="AG14" s="12"/>
      <c r="AI14" s="12"/>
      <c r="AJ14" s="12"/>
      <c r="AK14" s="12"/>
      <c r="AN14" s="23"/>
      <c r="AO14" s="23"/>
    </row>
    <row r="15" spans="1:41">
      <c r="A15" s="12"/>
      <c r="B15" s="12"/>
      <c r="C15" s="12"/>
      <c r="D15" s="1"/>
      <c r="E15" s="12"/>
      <c r="F15" s="12"/>
      <c r="G15" s="12"/>
      <c r="H15" s="15"/>
      <c r="J15" s="13"/>
      <c r="L15" s="12"/>
      <c r="R15" s="14"/>
      <c r="T15" s="21"/>
      <c r="U15" s="12"/>
      <c r="V15" s="12"/>
      <c r="X15" s="12"/>
      <c r="Y15" s="12"/>
      <c r="Z15" s="1"/>
      <c r="AA15" s="27"/>
      <c r="AB15" s="12"/>
      <c r="AC15" s="12"/>
      <c r="AD15" s="12"/>
      <c r="AE15" s="12"/>
      <c r="AF15" s="12"/>
      <c r="AG15" s="12"/>
      <c r="AI15" s="12"/>
      <c r="AJ15" s="12"/>
      <c r="AK15" s="12"/>
      <c r="AN15" s="23"/>
      <c r="AO15" s="23"/>
    </row>
    <row r="16" spans="1:41">
      <c r="A16" s="12"/>
      <c r="B16" s="12"/>
      <c r="C16" s="12"/>
      <c r="D16" s="1"/>
      <c r="E16" s="12"/>
      <c r="F16" s="12"/>
      <c r="G16" s="12"/>
      <c r="H16" s="15"/>
      <c r="J16" s="13"/>
      <c r="L16" s="12"/>
      <c r="R16" s="14"/>
      <c r="T16" s="21"/>
      <c r="U16" s="12"/>
      <c r="V16" s="12"/>
      <c r="X16" s="12"/>
      <c r="Y16" s="12"/>
      <c r="Z16" s="1"/>
      <c r="AA16" s="27"/>
      <c r="AB16" s="12"/>
      <c r="AC16" s="12"/>
      <c r="AD16" s="12"/>
      <c r="AE16" s="12"/>
      <c r="AF16" s="12"/>
      <c r="AG16" s="12"/>
      <c r="AI16" s="12"/>
      <c r="AJ16" s="12"/>
      <c r="AK16" s="12"/>
      <c r="AN16" s="23"/>
      <c r="AO16" s="23"/>
    </row>
    <row r="17" spans="1:41">
      <c r="A17" s="12"/>
      <c r="B17" s="12"/>
      <c r="C17" s="12"/>
      <c r="D17" s="1"/>
      <c r="E17" s="12"/>
      <c r="F17" s="12"/>
      <c r="G17" s="12"/>
      <c r="H17" s="15"/>
      <c r="J17" s="13"/>
      <c r="L17" s="12"/>
      <c r="R17" s="14"/>
      <c r="T17" s="21"/>
      <c r="U17" s="12"/>
      <c r="V17" s="12"/>
      <c r="X17" s="12"/>
      <c r="Y17" s="12"/>
      <c r="Z17" s="1"/>
      <c r="AA17" s="27"/>
      <c r="AB17" s="12"/>
      <c r="AC17" s="12"/>
      <c r="AD17" s="12"/>
      <c r="AE17" s="12"/>
      <c r="AF17" s="12"/>
      <c r="AG17" s="12"/>
      <c r="AI17" s="12"/>
      <c r="AJ17" s="12"/>
      <c r="AK17" s="12"/>
      <c r="AN17" s="23"/>
      <c r="AO17" s="23"/>
    </row>
    <row r="18" spans="1:41">
      <c r="A18" s="12"/>
      <c r="B18" s="12"/>
      <c r="C18" s="12"/>
      <c r="D18" s="1"/>
      <c r="E18" s="12"/>
      <c r="F18" s="12"/>
      <c r="G18" s="12"/>
      <c r="H18" s="15"/>
      <c r="J18" s="13"/>
      <c r="L18" s="12"/>
      <c r="R18" s="14"/>
      <c r="T18" s="21"/>
      <c r="U18" s="12"/>
      <c r="V18" s="12"/>
      <c r="X18" s="12"/>
      <c r="Y18" s="12"/>
      <c r="Z18" s="1"/>
      <c r="AA18" s="27"/>
      <c r="AB18" s="12"/>
      <c r="AC18" s="12"/>
      <c r="AD18" s="12"/>
      <c r="AE18" s="12"/>
      <c r="AF18" s="12"/>
      <c r="AG18" s="12"/>
      <c r="AI18" s="12"/>
      <c r="AJ18" s="12"/>
      <c r="AK18" s="12"/>
      <c r="AN18" s="23"/>
      <c r="AO18" s="23"/>
    </row>
    <row r="19" spans="1:41">
      <c r="A19" s="12"/>
      <c r="B19" s="12"/>
      <c r="C19" s="12"/>
      <c r="D19" s="1"/>
      <c r="E19" s="12"/>
      <c r="F19" s="12"/>
      <c r="G19" s="12"/>
      <c r="H19" s="15"/>
      <c r="J19" s="13"/>
      <c r="L19" s="12"/>
      <c r="R19" s="14"/>
      <c r="T19" s="21"/>
      <c r="U19" s="12"/>
      <c r="V19" s="12"/>
      <c r="X19" s="12"/>
      <c r="Y19" s="12"/>
      <c r="Z19" s="1"/>
      <c r="AA19" s="27"/>
      <c r="AB19" s="12"/>
      <c r="AC19" s="12"/>
      <c r="AD19" s="12"/>
      <c r="AE19" s="12"/>
      <c r="AF19" s="12"/>
      <c r="AG19" s="12"/>
      <c r="AI19" s="12"/>
      <c r="AJ19" s="12"/>
      <c r="AK19" s="12"/>
      <c r="AN19" s="23"/>
      <c r="AO19" s="23"/>
    </row>
    <row r="20" spans="1:41">
      <c r="C20" s="12"/>
      <c r="E20" s="12"/>
      <c r="T20" s="21"/>
      <c r="U20" s="12"/>
      <c r="V20" s="12"/>
      <c r="Y20" s="12"/>
      <c r="AB20" s="12"/>
      <c r="AC20" s="12"/>
      <c r="AD20" s="12"/>
      <c r="AE20" s="12"/>
      <c r="AF20" s="12"/>
      <c r="AG20" s="12"/>
      <c r="AK20" s="12"/>
    </row>
    <row r="22" spans="1:41">
      <c r="C22" s="12"/>
      <c r="E22" s="12"/>
      <c r="T22" s="21"/>
      <c r="AE22" s="12"/>
      <c r="AF22" s="12"/>
    </row>
    <row r="23" spans="1:41">
      <c r="C23" s="12"/>
      <c r="E23" s="12"/>
      <c r="T23" s="21"/>
      <c r="AE23" s="12"/>
      <c r="AF23" s="12"/>
    </row>
    <row r="24" spans="1:41">
      <c r="C24" s="12"/>
      <c r="E24" s="12"/>
      <c r="T24" s="21"/>
      <c r="AE24" s="12"/>
      <c r="AF24" s="12"/>
    </row>
    <row r="25" spans="1:41">
      <c r="C25" s="12"/>
      <c r="E25" s="12"/>
      <c r="T25" s="21"/>
      <c r="AE25" s="12"/>
      <c r="AF25" s="12"/>
    </row>
    <row r="26" spans="1:41">
      <c r="C26" s="12"/>
      <c r="E26" s="12"/>
      <c r="T26" s="21"/>
      <c r="AE26" s="12"/>
      <c r="AF26" s="12"/>
    </row>
    <row r="27" spans="1:41">
      <c r="C27" s="12"/>
      <c r="E27" s="12"/>
      <c r="T27" s="21"/>
    </row>
    <row r="28" spans="1:41">
      <c r="C28" s="12"/>
      <c r="E28" s="12"/>
      <c r="T28" s="21"/>
    </row>
    <row r="29" spans="1:41">
      <c r="C29" s="12"/>
      <c r="E29" s="12"/>
      <c r="T29" s="21"/>
    </row>
    <row r="30" spans="1:41">
      <c r="C30" s="12"/>
      <c r="E30" s="12"/>
      <c r="T30" s="21"/>
    </row>
    <row r="31" spans="1:41">
      <c r="C31" s="12"/>
      <c r="E31" s="12"/>
      <c r="T31" s="21"/>
    </row>
    <row r="32" spans="1:41">
      <c r="C32" s="12"/>
      <c r="E32" s="12"/>
      <c r="T32" s="21"/>
    </row>
    <row r="33" spans="3:20">
      <c r="C33" s="12"/>
      <c r="T33" s="21"/>
    </row>
    <row r="34" spans="3:20">
      <c r="C34" s="12"/>
      <c r="T34" s="21"/>
    </row>
    <row r="35" spans="3:20">
      <c r="C35" s="12"/>
    </row>
    <row r="36" spans="3:20">
      <c r="C36" s="12"/>
    </row>
    <row r="37" spans="3:20">
      <c r="C37" s="12"/>
    </row>
    <row r="38" spans="3:20">
      <c r="C38" s="12"/>
    </row>
    <row r="39" spans="3:20">
      <c r="C39" s="12"/>
    </row>
    <row r="40" spans="3:20">
      <c r="C40" s="12"/>
    </row>
    <row r="41" spans="3:20">
      <c r="C41" s="12"/>
    </row>
    <row r="42" spans="3:20">
      <c r="C42" s="12"/>
    </row>
    <row r="43" spans="3:20">
      <c r="C43" s="12"/>
    </row>
    <row r="44" spans="3:20">
      <c r="C44" s="12"/>
    </row>
    <row r="45" spans="3:20">
      <c r="C45" s="12"/>
    </row>
    <row r="46" spans="3:20">
      <c r="C46" s="12"/>
    </row>
    <row r="47" spans="3:20">
      <c r="C47" s="12"/>
    </row>
    <row r="48" spans="3:20">
      <c r="C48" s="12"/>
    </row>
    <row r="49" spans="3:3">
      <c r="C49" s="12"/>
    </row>
    <row r="50" spans="3:3">
      <c r="C50" s="12"/>
    </row>
    <row r="51" spans="3:3">
      <c r="C51" s="12"/>
    </row>
    <row r="52" spans="3:3">
      <c r="C52" s="12"/>
    </row>
    <row r="53" spans="3:3">
      <c r="C53" s="12"/>
    </row>
    <row r="54" spans="3:3">
      <c r="C54" s="12"/>
    </row>
    <row r="55" spans="3:3">
      <c r="C55" s="12"/>
    </row>
    <row r="56" spans="3:3">
      <c r="C56" s="12"/>
    </row>
    <row r="57" spans="3:3">
      <c r="C57" s="12"/>
    </row>
    <row r="58" spans="3:3">
      <c r="C58" s="12"/>
    </row>
    <row r="59" spans="3:3">
      <c r="C59" s="12"/>
    </row>
    <row r="60" spans="3:3">
      <c r="C60" s="12"/>
    </row>
    <row r="61" spans="3:3">
      <c r="C61" s="12"/>
    </row>
    <row r="62" spans="3:3">
      <c r="C62" s="12"/>
    </row>
    <row r="63" spans="3:3">
      <c r="C63" s="12"/>
    </row>
    <row r="64" spans="3:3">
      <c r="C64" s="12"/>
    </row>
    <row r="65" spans="3:3">
      <c r="C65" s="12"/>
    </row>
    <row r="66" spans="3:3">
      <c r="C66" s="12"/>
    </row>
    <row r="67" spans="3:3">
      <c r="C67" s="12"/>
    </row>
    <row r="68" spans="3:3">
      <c r="C68" s="12"/>
    </row>
    <row r="69" spans="3:3">
      <c r="C69" s="12"/>
    </row>
    <row r="70" spans="3:3">
      <c r="C70" s="12"/>
    </row>
    <row r="71" spans="3:3">
      <c r="C71" s="12"/>
    </row>
    <row r="72" spans="3:3">
      <c r="C72" s="12"/>
    </row>
    <row r="73" spans="3:3">
      <c r="C73" s="12"/>
    </row>
    <row r="74" spans="3:3">
      <c r="C74" s="12"/>
    </row>
    <row r="75" spans="3:3">
      <c r="C75" s="12"/>
    </row>
    <row r="76" spans="3:3">
      <c r="C76" s="12"/>
    </row>
  </sheetData>
  <dataValidations count="15">
    <dataValidation type="list" allowBlank="1" showInputMessage="1" showErrorMessage="1" sqref="U22:U38 U2:U20" xr:uid="{00000000-0002-0000-1600-000000000000}">
      <formula1>Underlying_Asset</formula1>
    </dataValidation>
    <dataValidation type="list" allowBlank="1" showInputMessage="1" showErrorMessage="1" sqref="AG22:AG1048576 AB2:AB20 AB22:AB1048576 AG2:AG20" xr:uid="{00000000-0002-0000-1600-000001000000}">
      <formula1>Reset_frequency</formula1>
    </dataValidation>
    <dataValidation type="list" allowBlank="1" showInputMessage="1" showErrorMessage="1" sqref="S22:S25 S2:S20" xr:uid="{00000000-0002-0000-1600-000002000000}">
      <formula1>israel_abroad</formula1>
    </dataValidation>
    <dataValidation type="list" allowBlank="1" showInputMessage="1" showErrorMessage="1" sqref="Y22:Y215 AD22:AD1048576 Y2:Y20 AL22:AL1048576 AL20 AD2:AD20" xr:uid="{00000000-0002-0000-1600-000003000000}">
      <formula1>Holding_interest</formula1>
    </dataValidation>
    <dataValidation type="list" allowBlank="1" showInputMessage="1" showErrorMessage="1" sqref="AC22:AC61 AC2:AC20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2:T34 T2:T20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M7:N19 I2:K19 N2:N5 D2:D19 Z2:Z19 AA6 P2:R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22:AE26 AE7:AE20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F000000}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C7:C20</xm:sqref>
        </x14:dataValidation>
        <x14:dataValidation type="list" allowBlank="1" showInputMessage="1" showErrorMessage="1" xr:uid="{5A4F3EDC-CA3C-4966-96C9-47AF59D8F384}">
          <x14:formula1>
            <xm:f>'I:\EXCEL\account\Name\ALL\PDF דוחות לאוצר 2024אקסל\אקסל רשימות ניע 032024\Bld _discount\[510142789_gm_0124.xlsx]אפשרויות בחירה'!#REF!</xm:f>
          </x14:formula1>
          <xm:sqref>C2:C6 AE2:AE6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802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21" width="11.625" style="2" customWidth="1"/>
    <col min="22" max="22" width="11.625" style="148" customWidth="1"/>
    <col min="23" max="27" width="11.625" style="2" customWidth="1"/>
    <col min="28" max="28" width="11.625" style="4" customWidth="1"/>
    <col min="29" max="41" width="11.625" style="2" customWidth="1"/>
    <col min="42" max="42" width="11.625" style="148" customWidth="1"/>
    <col min="43" max="49" width="11.625" style="2" customWidth="1"/>
    <col min="50" max="50" width="11.625" style="4" customWidth="1"/>
    <col min="51" max="53" width="11.625" style="2" customWidth="1"/>
    <col min="54" max="54" width="9" style="2" customWidth="1"/>
    <col min="55" max="16384" width="9" style="2"/>
  </cols>
  <sheetData>
    <row r="1" spans="1:53" ht="66.75" customHeight="1">
      <c r="A1" s="22" t="s">
        <v>0</v>
      </c>
      <c r="B1" s="22" t="s">
        <v>1</v>
      </c>
      <c r="C1" s="22" t="s">
        <v>73</v>
      </c>
      <c r="D1" s="22" t="s">
        <v>74</v>
      </c>
      <c r="E1" s="22" t="s">
        <v>75</v>
      </c>
      <c r="F1" s="22" t="s">
        <v>76</v>
      </c>
      <c r="G1" s="22" t="s">
        <v>5</v>
      </c>
      <c r="H1" s="22" t="s">
        <v>1110</v>
      </c>
      <c r="I1" s="22" t="s">
        <v>6</v>
      </c>
      <c r="J1" s="22" t="s">
        <v>7</v>
      </c>
      <c r="K1" s="22" t="s">
        <v>100</v>
      </c>
      <c r="L1" s="22" t="s">
        <v>78</v>
      </c>
      <c r="M1" s="22" t="s">
        <v>1111</v>
      </c>
      <c r="N1" s="22" t="s">
        <v>1112</v>
      </c>
      <c r="O1" s="22" t="s">
        <v>1113</v>
      </c>
      <c r="P1" s="22" t="s">
        <v>9</v>
      </c>
      <c r="Q1" s="22" t="s">
        <v>10</v>
      </c>
      <c r="R1" s="22" t="s">
        <v>79</v>
      </c>
      <c r="S1" s="22" t="s">
        <v>11</v>
      </c>
      <c r="T1" s="22" t="s">
        <v>12</v>
      </c>
      <c r="U1" s="22" t="s">
        <v>80</v>
      </c>
      <c r="V1" s="146" t="s">
        <v>14</v>
      </c>
      <c r="W1" s="22" t="s">
        <v>703</v>
      </c>
      <c r="X1" s="22" t="s">
        <v>860</v>
      </c>
      <c r="Y1" s="22" t="s">
        <v>1115</v>
      </c>
      <c r="Z1" s="22" t="s">
        <v>15</v>
      </c>
      <c r="AA1" s="22" t="s">
        <v>13</v>
      </c>
      <c r="AB1" s="22" t="s">
        <v>359</v>
      </c>
      <c r="AC1" s="22" t="s">
        <v>708</v>
      </c>
      <c r="AD1" s="22" t="s">
        <v>1116</v>
      </c>
      <c r="AE1" s="22" t="s">
        <v>1117</v>
      </c>
      <c r="AF1" s="22" t="s">
        <v>1118</v>
      </c>
      <c r="AG1" s="22" t="s">
        <v>731</v>
      </c>
      <c r="AH1" s="22" t="s">
        <v>732</v>
      </c>
      <c r="AI1" s="22" t="s">
        <v>1119</v>
      </c>
      <c r="AJ1" s="22" t="s">
        <v>738</v>
      </c>
      <c r="AK1" s="22" t="s">
        <v>101</v>
      </c>
      <c r="AL1" s="22" t="s">
        <v>114</v>
      </c>
      <c r="AM1" s="22" t="s">
        <v>102</v>
      </c>
      <c r="AN1" s="22" t="s">
        <v>87</v>
      </c>
      <c r="AO1" s="22" t="s">
        <v>103</v>
      </c>
      <c r="AP1" s="146" t="s">
        <v>1120</v>
      </c>
      <c r="AQ1" s="22" t="s">
        <v>1121</v>
      </c>
      <c r="AR1" s="22" t="s">
        <v>1122</v>
      </c>
      <c r="AS1" s="22" t="s">
        <v>18</v>
      </c>
      <c r="AT1" s="22" t="s">
        <v>20</v>
      </c>
      <c r="AU1" s="22" t="s">
        <v>115</v>
      </c>
      <c r="AV1" s="22" t="s">
        <v>21</v>
      </c>
      <c r="AW1" s="22" t="s">
        <v>116</v>
      </c>
      <c r="AX1" s="22" t="s">
        <v>781</v>
      </c>
      <c r="AY1" s="22" t="s">
        <v>22</v>
      </c>
      <c r="AZ1" s="22" t="s">
        <v>24</v>
      </c>
      <c r="BA1" s="22" t="s">
        <v>25</v>
      </c>
    </row>
    <row r="2" spans="1:53">
      <c r="C2" s="23"/>
      <c r="D2" s="23"/>
      <c r="E2" s="23"/>
      <c r="F2" s="23"/>
      <c r="G2" s="23"/>
      <c r="I2" s="21"/>
      <c r="J2" s="21"/>
      <c r="K2" s="23"/>
      <c r="L2" s="23"/>
      <c r="M2" s="23"/>
      <c r="N2" s="23"/>
      <c r="O2" s="23"/>
      <c r="P2" s="23"/>
      <c r="Q2" s="23"/>
      <c r="R2" s="23"/>
      <c r="S2" s="21"/>
      <c r="T2" s="23"/>
      <c r="U2" s="23"/>
      <c r="V2" s="151"/>
      <c r="W2" s="23"/>
      <c r="X2" s="23"/>
      <c r="Y2" s="23"/>
      <c r="Z2" s="23"/>
      <c r="AA2" s="23"/>
      <c r="AB2" s="21"/>
      <c r="AC2" s="23"/>
      <c r="AD2" s="23"/>
      <c r="AE2" s="152"/>
      <c r="AF2" s="23"/>
      <c r="AG2" s="23"/>
      <c r="AH2" s="23"/>
      <c r="AK2" s="23"/>
      <c r="AL2" s="23"/>
      <c r="AM2" s="23"/>
      <c r="AR2" s="23"/>
      <c r="AS2" s="23"/>
      <c r="AT2" s="23"/>
      <c r="AU2" s="30"/>
      <c r="AV2" s="30"/>
      <c r="AW2" s="30"/>
      <c r="AX2" s="21"/>
      <c r="AY2" s="23"/>
      <c r="AZ2" s="23"/>
      <c r="BA2" s="23"/>
    </row>
    <row r="3" spans="1:53">
      <c r="C3" s="23"/>
      <c r="D3" s="23"/>
      <c r="E3" s="23"/>
      <c r="F3" s="23"/>
      <c r="G3" s="23"/>
      <c r="I3" s="21"/>
      <c r="J3" s="21"/>
      <c r="K3" s="23"/>
      <c r="L3" s="23"/>
      <c r="M3" s="23"/>
      <c r="N3" s="23"/>
      <c r="O3" s="23"/>
      <c r="P3" s="23"/>
      <c r="Q3" s="23"/>
      <c r="R3" s="23"/>
      <c r="S3" s="21"/>
      <c r="T3" s="23"/>
      <c r="U3" s="23"/>
      <c r="V3" s="151"/>
      <c r="W3" s="23"/>
      <c r="X3" s="23"/>
      <c r="Y3" s="23"/>
      <c r="Z3" s="23"/>
      <c r="AA3" s="23"/>
      <c r="AB3" s="21"/>
      <c r="AC3" s="23"/>
      <c r="AD3" s="23"/>
      <c r="AE3" s="152"/>
      <c r="AF3" s="23"/>
      <c r="AG3" s="23"/>
      <c r="AH3" s="23"/>
      <c r="AK3" s="23"/>
      <c r="AL3" s="23"/>
      <c r="AM3" s="23"/>
      <c r="AR3" s="23"/>
      <c r="AS3" s="23"/>
      <c r="AT3" s="23"/>
      <c r="AU3" s="23"/>
      <c r="AV3" s="23"/>
      <c r="AW3" s="23"/>
      <c r="AX3" s="21"/>
      <c r="AY3" s="23"/>
      <c r="AZ3" s="23"/>
      <c r="BA3" s="23"/>
    </row>
    <row r="4" spans="1:53">
      <c r="C4" s="23"/>
      <c r="D4" s="23"/>
      <c r="E4" s="23"/>
      <c r="F4" s="23"/>
      <c r="G4" s="23"/>
      <c r="I4" s="21"/>
      <c r="J4" s="21"/>
      <c r="K4" s="23"/>
      <c r="L4" s="23"/>
      <c r="M4" s="23"/>
      <c r="N4" s="23"/>
      <c r="O4" s="23"/>
      <c r="P4" s="23"/>
      <c r="Q4" s="23"/>
      <c r="R4" s="23"/>
      <c r="S4" s="21"/>
      <c r="T4" s="23"/>
      <c r="U4" s="23"/>
      <c r="V4" s="151"/>
      <c r="W4" s="23"/>
      <c r="X4" s="23"/>
      <c r="Y4" s="23"/>
      <c r="Z4" s="23"/>
      <c r="AA4" s="23"/>
      <c r="AB4" s="21"/>
      <c r="AC4" s="23"/>
      <c r="AD4" s="23"/>
      <c r="AE4" s="152"/>
      <c r="AF4" s="23"/>
      <c r="AG4" s="23"/>
      <c r="AH4" s="23"/>
      <c r="AK4" s="23"/>
      <c r="AL4" s="23"/>
      <c r="AM4" s="23"/>
      <c r="AR4" s="23"/>
      <c r="AS4" s="23"/>
      <c r="AT4" s="23"/>
      <c r="AU4" s="30"/>
      <c r="AV4" s="30"/>
      <c r="AW4" s="30"/>
      <c r="AX4" s="21"/>
      <c r="AY4" s="23"/>
      <c r="AZ4" s="23"/>
      <c r="BA4" s="23"/>
    </row>
    <row r="5" spans="1:53">
      <c r="C5" s="23"/>
      <c r="D5" s="23"/>
      <c r="E5" s="23"/>
      <c r="F5" s="23"/>
      <c r="G5" s="23"/>
      <c r="I5" s="21"/>
      <c r="J5" s="21"/>
      <c r="K5" s="23"/>
      <c r="L5" s="23"/>
      <c r="M5" s="23"/>
      <c r="N5" s="23"/>
      <c r="O5" s="23"/>
      <c r="P5" s="23"/>
      <c r="Q5" s="23"/>
      <c r="R5" s="23"/>
      <c r="S5" s="21"/>
      <c r="T5" s="23"/>
      <c r="U5" s="23"/>
      <c r="V5" s="151"/>
      <c r="W5" s="23"/>
      <c r="X5" s="23"/>
      <c r="Y5" s="23"/>
      <c r="Z5" s="23"/>
      <c r="AA5" s="23"/>
      <c r="AB5" s="21"/>
      <c r="AC5" s="23"/>
      <c r="AD5" s="23"/>
      <c r="AE5" s="152"/>
      <c r="AF5" s="23"/>
      <c r="AG5" s="23"/>
      <c r="AH5" s="23"/>
      <c r="AK5" s="23"/>
      <c r="AL5" s="23"/>
      <c r="AM5" s="23"/>
      <c r="AR5" s="23"/>
      <c r="AS5" s="23"/>
      <c r="AT5" s="23"/>
      <c r="AU5" s="30"/>
      <c r="AV5" s="30"/>
      <c r="AW5" s="30"/>
      <c r="AX5" s="21"/>
      <c r="AY5" s="23"/>
      <c r="AZ5" s="23"/>
      <c r="BA5" s="23"/>
    </row>
    <row r="6" spans="1:53">
      <c r="C6" s="23"/>
      <c r="D6" s="23"/>
      <c r="E6" s="23"/>
      <c r="F6" s="23"/>
      <c r="G6" s="23"/>
      <c r="I6" s="21"/>
      <c r="J6" s="21"/>
      <c r="K6" s="23"/>
      <c r="L6" s="23"/>
      <c r="M6" s="23"/>
      <c r="N6" s="23"/>
      <c r="O6" s="23"/>
      <c r="P6" s="23"/>
      <c r="Q6" s="23"/>
      <c r="R6" s="23"/>
      <c r="S6" s="21"/>
      <c r="T6" s="23"/>
      <c r="U6" s="23"/>
      <c r="V6" s="151"/>
      <c r="W6" s="23"/>
      <c r="X6" s="23"/>
      <c r="Y6" s="23"/>
      <c r="Z6" s="23"/>
      <c r="AA6" s="23"/>
      <c r="AB6" s="21"/>
      <c r="AC6" s="23"/>
      <c r="AD6" s="23"/>
      <c r="AE6" s="152"/>
      <c r="AF6" s="23"/>
      <c r="AG6" s="23"/>
      <c r="AH6" s="23"/>
      <c r="AK6" s="23"/>
      <c r="AL6" s="23"/>
      <c r="AM6" s="23"/>
      <c r="AR6" s="23"/>
      <c r="AS6" s="23"/>
      <c r="AT6" s="23"/>
      <c r="AU6" s="30"/>
      <c r="AV6" s="30"/>
      <c r="AW6" s="30"/>
      <c r="AX6" s="21"/>
      <c r="AY6" s="23"/>
      <c r="AZ6" s="23"/>
      <c r="BA6" s="23"/>
    </row>
    <row r="7" spans="1:53">
      <c r="C7" s="23"/>
      <c r="D7" s="23"/>
      <c r="E7" s="23"/>
      <c r="F7" s="23"/>
      <c r="G7" s="23"/>
      <c r="I7" s="21"/>
      <c r="J7" s="21"/>
      <c r="K7" s="23"/>
      <c r="L7" s="23"/>
      <c r="M7" s="23"/>
      <c r="N7" s="23"/>
      <c r="O7" s="23"/>
      <c r="P7" s="23"/>
      <c r="Q7" s="23"/>
      <c r="R7" s="23"/>
      <c r="S7" s="21"/>
      <c r="T7" s="23"/>
      <c r="U7" s="23"/>
      <c r="V7" s="151"/>
      <c r="W7" s="23"/>
      <c r="X7" s="23"/>
      <c r="Y7" s="23"/>
      <c r="Z7" s="23"/>
      <c r="AA7" s="23"/>
      <c r="AB7" s="21"/>
      <c r="AC7" s="23"/>
      <c r="AD7" s="23"/>
      <c r="AE7" s="152"/>
      <c r="AF7" s="23"/>
      <c r="AG7" s="23"/>
      <c r="AH7" s="23"/>
      <c r="AK7" s="23"/>
      <c r="AL7" s="23"/>
      <c r="AM7" s="23"/>
      <c r="AR7" s="23"/>
      <c r="AS7" s="23"/>
      <c r="AT7" s="23"/>
      <c r="AU7" s="30"/>
      <c r="AV7" s="30"/>
      <c r="AW7" s="30"/>
      <c r="AX7" s="21"/>
      <c r="AY7" s="23"/>
      <c r="AZ7" s="23"/>
      <c r="BA7" s="23"/>
    </row>
    <row r="8" spans="1:53">
      <c r="C8" s="23"/>
      <c r="D8" s="23"/>
      <c r="E8" s="23"/>
      <c r="F8" s="23"/>
      <c r="G8" s="23"/>
      <c r="I8" s="21"/>
      <c r="J8" s="21"/>
      <c r="K8" s="23"/>
      <c r="L8" s="23"/>
      <c r="M8" s="23"/>
      <c r="N8" s="23"/>
      <c r="O8" s="23"/>
      <c r="P8" s="23"/>
      <c r="Q8" s="23"/>
      <c r="R8" s="23"/>
      <c r="S8" s="21"/>
      <c r="T8" s="23"/>
      <c r="U8" s="23"/>
      <c r="V8" s="151"/>
      <c r="W8" s="23"/>
      <c r="X8" s="23"/>
      <c r="Y8" s="23"/>
      <c r="Z8" s="23"/>
      <c r="AA8" s="23"/>
      <c r="AB8" s="21"/>
      <c r="AC8" s="23"/>
      <c r="AD8" s="23"/>
      <c r="AE8" s="152"/>
      <c r="AF8" s="23"/>
      <c r="AG8" s="23"/>
      <c r="AH8" s="23"/>
      <c r="AK8" s="23"/>
      <c r="AL8" s="23"/>
      <c r="AM8" s="23"/>
      <c r="AR8" s="23"/>
      <c r="AS8" s="23"/>
      <c r="AT8" s="23"/>
      <c r="AU8" s="23"/>
      <c r="AV8" s="23"/>
      <c r="AW8" s="23"/>
      <c r="AX8" s="21"/>
      <c r="AY8" s="23"/>
      <c r="AZ8" s="23"/>
      <c r="BA8" s="23"/>
    </row>
    <row r="9" spans="1:53">
      <c r="C9" s="23"/>
      <c r="D9" s="23"/>
      <c r="E9" s="23"/>
      <c r="F9" s="23"/>
      <c r="G9" s="23"/>
      <c r="I9" s="21"/>
      <c r="J9" s="21"/>
      <c r="K9" s="23"/>
      <c r="L9" s="23"/>
      <c r="M9" s="23"/>
      <c r="N9" s="23"/>
      <c r="O9" s="23"/>
      <c r="P9" s="23"/>
      <c r="Q9" s="23"/>
      <c r="R9" s="23"/>
      <c r="S9" s="21"/>
      <c r="T9" s="23"/>
      <c r="U9" s="23"/>
      <c r="V9" s="151"/>
      <c r="W9" s="23"/>
      <c r="X9" s="23"/>
      <c r="Y9" s="23"/>
      <c r="Z9" s="23"/>
      <c r="AA9" s="23"/>
      <c r="AB9" s="21"/>
      <c r="AC9" s="23"/>
      <c r="AD9" s="23"/>
      <c r="AE9" s="152"/>
      <c r="AF9" s="23"/>
      <c r="AG9" s="23"/>
      <c r="AH9" s="23"/>
      <c r="AK9" s="23"/>
      <c r="AL9" s="23"/>
      <c r="AM9" s="23"/>
      <c r="AR9" s="23"/>
      <c r="AS9" s="23"/>
      <c r="AT9" s="23"/>
      <c r="AU9" s="30"/>
      <c r="AV9" s="30"/>
      <c r="AW9" s="30"/>
      <c r="AX9" s="21"/>
      <c r="AY9" s="23"/>
      <c r="AZ9" s="23"/>
      <c r="BA9" s="23"/>
    </row>
    <row r="10" spans="1:53">
      <c r="C10" s="23"/>
      <c r="D10" s="23"/>
      <c r="E10" s="23"/>
      <c r="F10" s="23"/>
      <c r="G10" s="23"/>
      <c r="I10" s="21"/>
      <c r="J10" s="21"/>
      <c r="K10" s="23"/>
      <c r="L10" s="23"/>
      <c r="M10" s="23"/>
      <c r="N10" s="23"/>
      <c r="O10" s="23"/>
      <c r="P10" s="23"/>
      <c r="Q10" s="23"/>
      <c r="R10" s="23"/>
      <c r="S10" s="21"/>
      <c r="T10" s="23"/>
      <c r="U10" s="23"/>
      <c r="V10" s="151"/>
      <c r="W10" s="23"/>
      <c r="X10" s="23"/>
      <c r="Y10" s="23"/>
      <c r="Z10" s="23"/>
      <c r="AA10" s="23"/>
      <c r="AB10" s="21"/>
      <c r="AC10" s="23"/>
      <c r="AD10" s="23"/>
      <c r="AE10" s="152"/>
      <c r="AF10" s="23"/>
      <c r="AG10" s="23"/>
      <c r="AH10" s="23"/>
      <c r="AK10" s="23"/>
      <c r="AL10" s="23"/>
      <c r="AM10" s="23"/>
      <c r="AR10" s="23"/>
      <c r="AS10" s="23"/>
      <c r="AT10" s="23"/>
      <c r="AU10" s="23"/>
      <c r="AV10" s="23"/>
      <c r="AW10" s="23"/>
      <c r="AX10" s="21"/>
      <c r="AY10" s="23"/>
      <c r="AZ10" s="23"/>
      <c r="BA10" s="23"/>
    </row>
    <row r="11" spans="1:53">
      <c r="C11" s="23"/>
      <c r="D11" s="23"/>
      <c r="E11" s="23"/>
      <c r="F11" s="23"/>
      <c r="G11" s="23"/>
      <c r="I11" s="21"/>
      <c r="J11" s="21"/>
      <c r="K11" s="23"/>
      <c r="L11" s="23"/>
      <c r="M11" s="23"/>
      <c r="N11" s="23"/>
      <c r="O11" s="23"/>
      <c r="P11" s="23"/>
      <c r="Q11" s="23"/>
      <c r="R11" s="23"/>
      <c r="S11" s="21"/>
      <c r="T11" s="23"/>
      <c r="U11" s="23"/>
      <c r="V11" s="151"/>
      <c r="W11" s="23"/>
      <c r="X11" s="23"/>
      <c r="Y11" s="23"/>
      <c r="Z11" s="23"/>
      <c r="AA11" s="23"/>
      <c r="AB11" s="21"/>
      <c r="AC11" s="23"/>
      <c r="AD11" s="23"/>
      <c r="AE11" s="152"/>
      <c r="AF11" s="23"/>
      <c r="AG11" s="23"/>
      <c r="AH11" s="23"/>
      <c r="AK11" s="23"/>
      <c r="AL11" s="23"/>
      <c r="AM11" s="23"/>
      <c r="AR11" s="23"/>
      <c r="AS11" s="23"/>
      <c r="AT11" s="23"/>
      <c r="AU11" s="23"/>
      <c r="AV11" s="23"/>
      <c r="AW11" s="23"/>
      <c r="AX11" s="21"/>
      <c r="AY11" s="23"/>
      <c r="AZ11" s="23"/>
      <c r="BA11" s="23"/>
    </row>
    <row r="12" spans="1:53">
      <c r="C12" s="23"/>
      <c r="D12" s="23"/>
      <c r="E12" s="23"/>
      <c r="F12" s="23"/>
      <c r="G12" s="23"/>
      <c r="I12" s="21"/>
      <c r="J12" s="21"/>
      <c r="K12" s="23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151"/>
      <c r="W12" s="23"/>
      <c r="X12" s="23"/>
      <c r="Y12" s="23"/>
      <c r="Z12" s="23"/>
      <c r="AA12" s="23"/>
      <c r="AB12" s="21"/>
      <c r="AC12" s="23"/>
      <c r="AD12" s="23"/>
      <c r="AE12" s="152"/>
      <c r="AF12" s="23"/>
      <c r="AG12" s="23"/>
      <c r="AH12" s="23"/>
      <c r="AK12" s="23"/>
      <c r="AL12" s="23"/>
      <c r="AM12" s="23"/>
      <c r="AR12" s="23"/>
      <c r="AS12" s="23"/>
      <c r="AT12" s="23"/>
      <c r="AU12" s="23"/>
      <c r="AV12" s="23"/>
      <c r="AW12" s="23"/>
      <c r="AX12" s="21"/>
      <c r="AY12" s="23"/>
      <c r="AZ12" s="23"/>
      <c r="BA12" s="23"/>
    </row>
    <row r="13" spans="1:53">
      <c r="C13" s="23"/>
      <c r="D13" s="23"/>
      <c r="E13" s="23"/>
      <c r="F13" s="23"/>
      <c r="G13" s="23"/>
      <c r="I13" s="21"/>
      <c r="J13" s="21"/>
      <c r="K13" s="23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151"/>
      <c r="W13" s="23"/>
      <c r="X13" s="23"/>
      <c r="Y13" s="23"/>
      <c r="Z13" s="23"/>
      <c r="AA13" s="23"/>
      <c r="AB13" s="21"/>
      <c r="AC13" s="23"/>
      <c r="AD13" s="23"/>
      <c r="AE13" s="152"/>
      <c r="AF13" s="23"/>
      <c r="AG13" s="23"/>
      <c r="AH13" s="23"/>
      <c r="AK13" s="23"/>
      <c r="AL13" s="23"/>
      <c r="AM13" s="23"/>
      <c r="AR13" s="23"/>
      <c r="AS13" s="23"/>
      <c r="AT13" s="23"/>
      <c r="AU13" s="23"/>
      <c r="AV13" s="23"/>
      <c r="AW13" s="23"/>
      <c r="AX13" s="21"/>
      <c r="AY13" s="23"/>
      <c r="AZ13" s="23"/>
      <c r="BA13" s="23"/>
    </row>
    <row r="14" spans="1:53">
      <c r="C14" s="23"/>
      <c r="D14" s="23"/>
      <c r="E14" s="23"/>
      <c r="F14" s="23"/>
      <c r="G14" s="23"/>
      <c r="I14" s="21"/>
      <c r="J14" s="21"/>
      <c r="K14" s="23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151"/>
      <c r="W14" s="23"/>
      <c r="X14" s="23"/>
      <c r="Y14" s="23"/>
      <c r="Z14" s="23"/>
      <c r="AA14" s="23"/>
      <c r="AB14" s="21"/>
      <c r="AC14" s="23"/>
      <c r="AD14" s="23"/>
      <c r="AE14" s="152"/>
      <c r="AF14" s="23"/>
      <c r="AG14" s="23"/>
      <c r="AH14" s="23"/>
      <c r="AK14" s="23"/>
      <c r="AL14" s="23"/>
      <c r="AM14" s="23"/>
      <c r="AR14" s="23"/>
      <c r="AS14" s="23"/>
      <c r="AT14" s="23"/>
      <c r="AU14" s="23"/>
      <c r="AV14" s="23"/>
      <c r="AW14" s="23"/>
      <c r="AX14" s="21"/>
      <c r="AY14" s="23"/>
      <c r="AZ14" s="23"/>
      <c r="BA14" s="23"/>
    </row>
    <row r="15" spans="1:53">
      <c r="C15" s="23"/>
      <c r="D15" s="23"/>
      <c r="E15" s="23"/>
      <c r="F15" s="23"/>
      <c r="G15" s="23"/>
      <c r="I15" s="21"/>
      <c r="J15" s="21"/>
      <c r="K15" s="23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151"/>
      <c r="W15" s="23"/>
      <c r="X15" s="23"/>
      <c r="Y15" s="23"/>
      <c r="Z15" s="23"/>
      <c r="AA15" s="23"/>
      <c r="AB15" s="21"/>
      <c r="AC15" s="23"/>
      <c r="AD15" s="23"/>
      <c r="AE15" s="152"/>
      <c r="AF15" s="23"/>
      <c r="AG15" s="23"/>
      <c r="AH15" s="23"/>
      <c r="AK15" s="23"/>
      <c r="AL15" s="23"/>
      <c r="AM15" s="23"/>
      <c r="AR15" s="23"/>
      <c r="AS15" s="23"/>
      <c r="AT15" s="23"/>
      <c r="AU15" s="23"/>
      <c r="AV15" s="23"/>
      <c r="AW15" s="23"/>
      <c r="AX15" s="21"/>
      <c r="AY15" s="23"/>
      <c r="AZ15" s="23"/>
      <c r="BA15" s="23"/>
    </row>
    <row r="16" spans="1:53">
      <c r="C16" s="23"/>
      <c r="D16" s="23"/>
      <c r="E16" s="23"/>
      <c r="F16" s="23"/>
      <c r="G16" s="23"/>
      <c r="I16" s="21"/>
      <c r="J16" s="21"/>
      <c r="K16" s="23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151"/>
      <c r="W16" s="23"/>
      <c r="X16" s="23"/>
      <c r="Y16" s="23"/>
      <c r="Z16" s="23"/>
      <c r="AA16" s="23"/>
      <c r="AB16" s="21"/>
      <c r="AC16" s="23"/>
      <c r="AD16" s="23"/>
      <c r="AE16" s="152"/>
      <c r="AF16" s="23"/>
      <c r="AG16" s="23"/>
      <c r="AH16" s="23"/>
      <c r="AK16" s="23"/>
      <c r="AL16" s="23"/>
      <c r="AM16" s="23"/>
      <c r="AR16" s="23"/>
      <c r="AS16" s="23"/>
      <c r="AT16" s="23"/>
      <c r="AU16" s="23"/>
      <c r="AV16" s="23"/>
      <c r="AW16" s="23"/>
      <c r="AX16" s="21"/>
      <c r="AY16" s="23"/>
      <c r="AZ16" s="23"/>
      <c r="BA16" s="23"/>
    </row>
    <row r="17" spans="3:53">
      <c r="C17" s="23"/>
      <c r="D17" s="23"/>
      <c r="E17" s="23"/>
      <c r="F17" s="23"/>
      <c r="G17" s="23"/>
      <c r="I17" s="21"/>
      <c r="J17" s="21"/>
      <c r="K17" s="23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151"/>
      <c r="W17" s="23"/>
      <c r="X17" s="23"/>
      <c r="Y17" s="23"/>
      <c r="Z17" s="23"/>
      <c r="AA17" s="23"/>
      <c r="AB17" s="21"/>
      <c r="AC17" s="23"/>
      <c r="AD17" s="23"/>
      <c r="AE17" s="152"/>
      <c r="AF17" s="23"/>
      <c r="AG17" s="23"/>
      <c r="AH17" s="23"/>
      <c r="AK17" s="23"/>
      <c r="AL17" s="23"/>
      <c r="AM17" s="23"/>
      <c r="AR17" s="23"/>
      <c r="AS17" s="23"/>
      <c r="AT17" s="23"/>
      <c r="AU17" s="23"/>
      <c r="AV17" s="23"/>
      <c r="AW17" s="23"/>
      <c r="AX17" s="21"/>
      <c r="AY17" s="23"/>
      <c r="AZ17" s="23"/>
      <c r="BA17" s="23"/>
    </row>
    <row r="18" spans="3:53">
      <c r="C18" s="23"/>
      <c r="D18" s="23"/>
      <c r="E18" s="23"/>
      <c r="F18" s="23"/>
      <c r="G18" s="23"/>
      <c r="I18" s="21"/>
      <c r="J18" s="21"/>
      <c r="K18" s="23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151"/>
      <c r="W18" s="23"/>
      <c r="X18" s="23"/>
      <c r="Y18" s="23"/>
      <c r="Z18" s="23"/>
      <c r="AA18" s="23"/>
      <c r="AB18" s="21"/>
      <c r="AC18" s="23"/>
      <c r="AD18" s="23"/>
      <c r="AE18" s="152"/>
      <c r="AF18" s="23"/>
      <c r="AG18" s="23"/>
      <c r="AH18" s="23"/>
      <c r="AK18" s="23"/>
      <c r="AL18" s="23"/>
      <c r="AM18" s="23"/>
      <c r="AR18" s="23"/>
      <c r="AS18" s="23"/>
      <c r="AT18" s="23"/>
      <c r="AU18" s="23"/>
      <c r="AV18" s="23"/>
      <c r="AW18" s="23"/>
      <c r="AX18" s="21"/>
      <c r="AY18" s="23"/>
      <c r="AZ18" s="23"/>
      <c r="BA18" s="23"/>
    </row>
    <row r="19" spans="3:53">
      <c r="C19" s="23"/>
      <c r="D19" s="23"/>
      <c r="E19" s="23"/>
      <c r="F19" s="23"/>
      <c r="G19" s="23"/>
      <c r="I19" s="21"/>
      <c r="J19" s="21"/>
      <c r="K19" s="23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151"/>
      <c r="W19" s="23"/>
      <c r="X19" s="23"/>
      <c r="Y19" s="23"/>
      <c r="Z19" s="23"/>
      <c r="AA19" s="23"/>
      <c r="AB19" s="21"/>
      <c r="AC19" s="23"/>
      <c r="AD19" s="23"/>
      <c r="AE19" s="152"/>
      <c r="AF19" s="23"/>
      <c r="AG19" s="23"/>
      <c r="AH19" s="23"/>
      <c r="AK19" s="23"/>
      <c r="AL19" s="23"/>
      <c r="AM19" s="23"/>
      <c r="AR19" s="23"/>
      <c r="AS19" s="23"/>
      <c r="AT19" s="23"/>
      <c r="AU19" s="23"/>
      <c r="AV19" s="23"/>
      <c r="AW19" s="23"/>
      <c r="AX19" s="21"/>
      <c r="AY19" s="23"/>
      <c r="AZ19" s="23"/>
      <c r="BA19" s="23"/>
    </row>
    <row r="20" spans="3:53">
      <c r="D20" s="23"/>
      <c r="G20" s="23"/>
      <c r="I20" s="21"/>
      <c r="J20" s="21"/>
      <c r="K20" s="23"/>
      <c r="L20" s="23"/>
      <c r="M20" s="23"/>
      <c r="Q20" s="23"/>
      <c r="R20" s="23"/>
      <c r="S20" s="21"/>
      <c r="U20" s="23"/>
      <c r="W20" s="23"/>
      <c r="X20" s="23"/>
      <c r="AB20" s="21"/>
      <c r="AC20" s="23"/>
      <c r="AE20" s="153"/>
      <c r="AG20" s="23"/>
      <c r="AH20" s="23"/>
      <c r="AK20" s="23"/>
      <c r="AM20" s="23"/>
      <c r="AX20" s="21"/>
      <c r="AY20" s="23"/>
    </row>
    <row r="21" spans="3:53">
      <c r="D21" s="4"/>
      <c r="S21" s="21"/>
      <c r="AE21" s="153"/>
    </row>
    <row r="22" spans="3:53">
      <c r="D22" s="4"/>
      <c r="S22" s="21"/>
      <c r="AE22" s="153"/>
    </row>
    <row r="23" spans="3:53">
      <c r="D23" s="4"/>
      <c r="AE23" s="153"/>
    </row>
    <row r="24" spans="3:53">
      <c r="AE24" s="153"/>
    </row>
    <row r="25" spans="3:53">
      <c r="AE25" s="153"/>
    </row>
    <row r="26" spans="3:53">
      <c r="AE26" s="153"/>
    </row>
    <row r="27" spans="3:53">
      <c r="AE27" s="153"/>
    </row>
    <row r="28" spans="3:53">
      <c r="AE28" s="153"/>
    </row>
    <row r="29" spans="3:53">
      <c r="AE29" s="153"/>
    </row>
    <row r="30" spans="3:53">
      <c r="AE30" s="153"/>
    </row>
    <row r="31" spans="3:53">
      <c r="AE31" s="153"/>
    </row>
    <row r="32" spans="3:53">
      <c r="AE32" s="153"/>
    </row>
    <row r="33" spans="31:31">
      <c r="AE33" s="153"/>
    </row>
    <row r="34" spans="31:31">
      <c r="AE34" s="153"/>
    </row>
    <row r="35" spans="31:31">
      <c r="AE35" s="153"/>
    </row>
    <row r="36" spans="31:31">
      <c r="AE36" s="153"/>
    </row>
    <row r="37" spans="31:31">
      <c r="AE37" s="153"/>
    </row>
    <row r="38" spans="31:31">
      <c r="AE38" s="153"/>
    </row>
    <row r="39" spans="31:31">
      <c r="AE39" s="153"/>
    </row>
    <row r="40" spans="31:31">
      <c r="AE40" s="153"/>
    </row>
    <row r="41" spans="31:31">
      <c r="AE41" s="153"/>
    </row>
    <row r="42" spans="31:31">
      <c r="AE42" s="153"/>
    </row>
    <row r="43" spans="31:31">
      <c r="AE43" s="153"/>
    </row>
    <row r="44" spans="31:31">
      <c r="AE44" s="153"/>
    </row>
    <row r="45" spans="31:31">
      <c r="AE45" s="153"/>
    </row>
    <row r="46" spans="31:31">
      <c r="AE46" s="153"/>
    </row>
    <row r="47" spans="31:31">
      <c r="AE47" s="153"/>
    </row>
    <row r="48" spans="31:31">
      <c r="AE48" s="153"/>
    </row>
    <row r="49" spans="31:31">
      <c r="AE49" s="153"/>
    </row>
    <row r="50" spans="31:31">
      <c r="AE50" s="153"/>
    </row>
    <row r="51" spans="31:31">
      <c r="AE51" s="153"/>
    </row>
    <row r="52" spans="31:31">
      <c r="AE52" s="153"/>
    </row>
    <row r="53" spans="31:31">
      <c r="AE53" s="153"/>
    </row>
    <row r="54" spans="31:31">
      <c r="AE54" s="153"/>
    </row>
    <row r="55" spans="31:31">
      <c r="AE55" s="153"/>
    </row>
    <row r="56" spans="31:31">
      <c r="AE56" s="153"/>
    </row>
    <row r="57" spans="31:31">
      <c r="AE57" s="153"/>
    </row>
    <row r="58" spans="31:31">
      <c r="AE58" s="153"/>
    </row>
    <row r="59" spans="31:31">
      <c r="AE59" s="153"/>
    </row>
    <row r="60" spans="31:31">
      <c r="AE60" s="153"/>
    </row>
    <row r="61" spans="31:31">
      <c r="AE61" s="153"/>
    </row>
    <row r="62" spans="31:31">
      <c r="AE62" s="153"/>
    </row>
    <row r="63" spans="31:31">
      <c r="AE63" s="153"/>
    </row>
    <row r="64" spans="31:31">
      <c r="AE64" s="153"/>
    </row>
    <row r="65" spans="31:31">
      <c r="AE65" s="153"/>
    </row>
    <row r="66" spans="31:31">
      <c r="AE66" s="153"/>
    </row>
    <row r="67" spans="31:31">
      <c r="AE67" s="153"/>
    </row>
    <row r="68" spans="31:31">
      <c r="AE68" s="153"/>
    </row>
    <row r="69" spans="31:31">
      <c r="AE69" s="153"/>
    </row>
    <row r="70" spans="31:31">
      <c r="AE70" s="153"/>
    </row>
    <row r="71" spans="31:31">
      <c r="AE71" s="153"/>
    </row>
    <row r="72" spans="31:31">
      <c r="AE72" s="153"/>
    </row>
    <row r="73" spans="31:31">
      <c r="AE73" s="153"/>
    </row>
    <row r="74" spans="31:31">
      <c r="AE74" s="153"/>
    </row>
    <row r="75" spans="31:31">
      <c r="AE75" s="153"/>
    </row>
    <row r="76" spans="31:31">
      <c r="AE76" s="153"/>
    </row>
    <row r="77" spans="31:31">
      <c r="AE77" s="153"/>
    </row>
    <row r="78" spans="31:31">
      <c r="AE78" s="153"/>
    </row>
    <row r="79" spans="31:31">
      <c r="AE79" s="153"/>
    </row>
    <row r="80" spans="31:31">
      <c r="AE80" s="153"/>
    </row>
    <row r="81" spans="31:31">
      <c r="AE81" s="153"/>
    </row>
    <row r="82" spans="31:31">
      <c r="AE82" s="153"/>
    </row>
    <row r="83" spans="31:31">
      <c r="AE83" s="153"/>
    </row>
    <row r="84" spans="31:31">
      <c r="AE84" s="153"/>
    </row>
    <row r="85" spans="31:31">
      <c r="AE85" s="153"/>
    </row>
    <row r="86" spans="31:31">
      <c r="AE86" s="153"/>
    </row>
    <row r="87" spans="31:31">
      <c r="AE87" s="153"/>
    </row>
    <row r="88" spans="31:31">
      <c r="AE88" s="153"/>
    </row>
    <row r="89" spans="31:31">
      <c r="AE89" s="153"/>
    </row>
    <row r="90" spans="31:31">
      <c r="AE90" s="153"/>
    </row>
    <row r="91" spans="31:31">
      <c r="AE91" s="153"/>
    </row>
    <row r="92" spans="31:31">
      <c r="AE92" s="153"/>
    </row>
    <row r="93" spans="31:31">
      <c r="AE93" s="153"/>
    </row>
    <row r="94" spans="31:31">
      <c r="AE94" s="153"/>
    </row>
    <row r="95" spans="31:31">
      <c r="AE95" s="153"/>
    </row>
    <row r="96" spans="31:31">
      <c r="AE96" s="153"/>
    </row>
    <row r="97" spans="31:31">
      <c r="AE97" s="153"/>
    </row>
    <row r="98" spans="31:31">
      <c r="AE98" s="153"/>
    </row>
    <row r="99" spans="31:31">
      <c r="AE99" s="153"/>
    </row>
    <row r="100" spans="31:31">
      <c r="AE100" s="153"/>
    </row>
    <row r="101" spans="31:31">
      <c r="AE101" s="153"/>
    </row>
    <row r="102" spans="31:31">
      <c r="AE102" s="153"/>
    </row>
    <row r="103" spans="31:31">
      <c r="AE103" s="153"/>
    </row>
    <row r="104" spans="31:31">
      <c r="AE104" s="153"/>
    </row>
    <row r="105" spans="31:31">
      <c r="AE105" s="153"/>
    </row>
    <row r="106" spans="31:31">
      <c r="AE106" s="153"/>
    </row>
    <row r="107" spans="31:31">
      <c r="AE107" s="153"/>
    </row>
    <row r="108" spans="31:31">
      <c r="AE108" s="153"/>
    </row>
    <row r="109" spans="31:31">
      <c r="AE109" s="153"/>
    </row>
    <row r="110" spans="31:31">
      <c r="AE110" s="153"/>
    </row>
    <row r="111" spans="31:31">
      <c r="AE111" s="153"/>
    </row>
    <row r="112" spans="31:31">
      <c r="AE112" s="153"/>
    </row>
    <row r="113" spans="31:31">
      <c r="AE113" s="153"/>
    </row>
    <row r="114" spans="31:31">
      <c r="AE114" s="153"/>
    </row>
    <row r="115" spans="31:31">
      <c r="AE115" s="153"/>
    </row>
    <row r="116" spans="31:31">
      <c r="AE116" s="153"/>
    </row>
    <row r="117" spans="31:31">
      <c r="AE117" s="153"/>
    </row>
    <row r="118" spans="31:31">
      <c r="AE118" s="153"/>
    </row>
    <row r="119" spans="31:31">
      <c r="AE119" s="153"/>
    </row>
    <row r="120" spans="31:31">
      <c r="AE120" s="153"/>
    </row>
    <row r="121" spans="31:31">
      <c r="AE121" s="153"/>
    </row>
    <row r="122" spans="31:31">
      <c r="AE122" s="153"/>
    </row>
    <row r="123" spans="31:31">
      <c r="AE123" s="153"/>
    </row>
    <row r="124" spans="31:31">
      <c r="AE124" s="153"/>
    </row>
    <row r="125" spans="31:31">
      <c r="AE125" s="153"/>
    </row>
    <row r="126" spans="31:31">
      <c r="AE126" s="153"/>
    </row>
    <row r="127" spans="31:31">
      <c r="AE127" s="153"/>
    </row>
    <row r="128" spans="31:31">
      <c r="AE128" s="153"/>
    </row>
    <row r="129" spans="31:31">
      <c r="AE129" s="153"/>
    </row>
    <row r="130" spans="31:31">
      <c r="AE130" s="153"/>
    </row>
    <row r="131" spans="31:31">
      <c r="AE131" s="153"/>
    </row>
    <row r="132" spans="31:31">
      <c r="AE132" s="153"/>
    </row>
    <row r="133" spans="31:31">
      <c r="AE133" s="153"/>
    </row>
    <row r="134" spans="31:31">
      <c r="AE134" s="153"/>
    </row>
    <row r="135" spans="31:31">
      <c r="AE135" s="153"/>
    </row>
    <row r="136" spans="31:31">
      <c r="AE136" s="153"/>
    </row>
    <row r="137" spans="31:31">
      <c r="AE137" s="153"/>
    </row>
    <row r="138" spans="31:31">
      <c r="AE138" s="153"/>
    </row>
    <row r="139" spans="31:31">
      <c r="AE139" s="153"/>
    </row>
    <row r="140" spans="31:31">
      <c r="AE140" s="153"/>
    </row>
    <row r="141" spans="31:31">
      <c r="AE141" s="153"/>
    </row>
    <row r="142" spans="31:31">
      <c r="AE142" s="153"/>
    </row>
    <row r="143" spans="31:31">
      <c r="AE143" s="153"/>
    </row>
    <row r="144" spans="31:31">
      <c r="AE144" s="153"/>
    </row>
    <row r="145" spans="31:31">
      <c r="AE145" s="153"/>
    </row>
    <row r="146" spans="31:31">
      <c r="AE146" s="153"/>
    </row>
    <row r="147" spans="31:31">
      <c r="AE147" s="153"/>
    </row>
    <row r="148" spans="31:31">
      <c r="AE148" s="153"/>
    </row>
    <row r="149" spans="31:31">
      <c r="AE149" s="153"/>
    </row>
    <row r="150" spans="31:31">
      <c r="AE150" s="153"/>
    </row>
    <row r="151" spans="31:31">
      <c r="AE151" s="153"/>
    </row>
    <row r="152" spans="31:31">
      <c r="AE152" s="153"/>
    </row>
    <row r="153" spans="31:31">
      <c r="AE153" s="153"/>
    </row>
    <row r="154" spans="31:31">
      <c r="AE154" s="153"/>
    </row>
    <row r="155" spans="31:31">
      <c r="AE155" s="153"/>
    </row>
    <row r="156" spans="31:31">
      <c r="AE156" s="153"/>
    </row>
    <row r="157" spans="31:31">
      <c r="AE157" s="153"/>
    </row>
    <row r="158" spans="31:31">
      <c r="AE158" s="153"/>
    </row>
    <row r="159" spans="31:31">
      <c r="AE159" s="153"/>
    </row>
    <row r="160" spans="31:31">
      <c r="AE160" s="153"/>
    </row>
    <row r="161" spans="31:31">
      <c r="AE161" s="153"/>
    </row>
    <row r="162" spans="31:31">
      <c r="AE162" s="153"/>
    </row>
    <row r="163" spans="31:31">
      <c r="AE163" s="153"/>
    </row>
    <row r="164" spans="31:31">
      <c r="AE164" s="153"/>
    </row>
    <row r="165" spans="31:31">
      <c r="AE165" s="153"/>
    </row>
    <row r="166" spans="31:31">
      <c r="AE166" s="153"/>
    </row>
    <row r="167" spans="31:31">
      <c r="AE167" s="153"/>
    </row>
    <row r="168" spans="31:31">
      <c r="AE168" s="153"/>
    </row>
    <row r="169" spans="31:31">
      <c r="AE169" s="153"/>
    </row>
    <row r="170" spans="31:31">
      <c r="AE170" s="153"/>
    </row>
    <row r="171" spans="31:31">
      <c r="AE171" s="153"/>
    </row>
    <row r="172" spans="31:31">
      <c r="AE172" s="153"/>
    </row>
    <row r="173" spans="31:31">
      <c r="AE173" s="153"/>
    </row>
    <row r="174" spans="31:31">
      <c r="AE174" s="153"/>
    </row>
    <row r="175" spans="31:31">
      <c r="AE175" s="153"/>
    </row>
    <row r="176" spans="31:31">
      <c r="AE176" s="153"/>
    </row>
    <row r="177" spans="31:31">
      <c r="AE177" s="153"/>
    </row>
    <row r="178" spans="31:31">
      <c r="AE178" s="153"/>
    </row>
    <row r="179" spans="31:31">
      <c r="AE179" s="153"/>
    </row>
    <row r="180" spans="31:31">
      <c r="AE180" s="153"/>
    </row>
    <row r="181" spans="31:31">
      <c r="AE181" s="153"/>
    </row>
    <row r="182" spans="31:31">
      <c r="AE182" s="153"/>
    </row>
    <row r="183" spans="31:31">
      <c r="AE183" s="153"/>
    </row>
    <row r="184" spans="31:31">
      <c r="AE184" s="153"/>
    </row>
    <row r="185" spans="31:31">
      <c r="AE185" s="153"/>
    </row>
    <row r="186" spans="31:31">
      <c r="AE186" s="153"/>
    </row>
    <row r="187" spans="31:31">
      <c r="AE187" s="153"/>
    </row>
    <row r="188" spans="31:31">
      <c r="AE188" s="153"/>
    </row>
    <row r="189" spans="31:31">
      <c r="AE189" s="153"/>
    </row>
    <row r="190" spans="31:31">
      <c r="AE190" s="153"/>
    </row>
    <row r="191" spans="31:31">
      <c r="AE191" s="153"/>
    </row>
    <row r="192" spans="31:31">
      <c r="AE192" s="153"/>
    </row>
    <row r="193" spans="31:31">
      <c r="AE193" s="153"/>
    </row>
    <row r="194" spans="31:31">
      <c r="AE194" s="153"/>
    </row>
    <row r="195" spans="31:31">
      <c r="AE195" s="153"/>
    </row>
    <row r="196" spans="31:31">
      <c r="AE196" s="153"/>
    </row>
    <row r="197" spans="31:31">
      <c r="AE197" s="153"/>
    </row>
    <row r="198" spans="31:31">
      <c r="AE198" s="153"/>
    </row>
    <row r="199" spans="31:31">
      <c r="AE199" s="153"/>
    </row>
    <row r="200" spans="31:31">
      <c r="AE200" s="153"/>
    </row>
    <row r="201" spans="31:31">
      <c r="AE201" s="153"/>
    </row>
    <row r="202" spans="31:31">
      <c r="AE202" s="153"/>
    </row>
    <row r="203" spans="31:31">
      <c r="AE203" s="153"/>
    </row>
    <row r="204" spans="31:31">
      <c r="AE204" s="153"/>
    </row>
    <row r="205" spans="31:31">
      <c r="AE205" s="153"/>
    </row>
    <row r="206" spans="31:31">
      <c r="AE206" s="153"/>
    </row>
    <row r="207" spans="31:31">
      <c r="AE207" s="153"/>
    </row>
    <row r="208" spans="31:31">
      <c r="AE208" s="153"/>
    </row>
    <row r="209" spans="31:31">
      <c r="AE209" s="153"/>
    </row>
    <row r="210" spans="31:31">
      <c r="AE210" s="153"/>
    </row>
    <row r="211" spans="31:31">
      <c r="AE211" s="153"/>
    </row>
    <row r="212" spans="31:31">
      <c r="AE212" s="153"/>
    </row>
    <row r="213" spans="31:31">
      <c r="AE213" s="153"/>
    </row>
    <row r="214" spans="31:31">
      <c r="AE214" s="153"/>
    </row>
    <row r="215" spans="31:31">
      <c r="AE215" s="153"/>
    </row>
    <row r="216" spans="31:31">
      <c r="AE216" s="153"/>
    </row>
    <row r="217" spans="31:31">
      <c r="AE217" s="153"/>
    </row>
    <row r="218" spans="31:31">
      <c r="AE218" s="153"/>
    </row>
    <row r="219" spans="31:31">
      <c r="AE219" s="153"/>
    </row>
    <row r="220" spans="31:31">
      <c r="AE220" s="153"/>
    </row>
    <row r="221" spans="31:31">
      <c r="AE221" s="153"/>
    </row>
    <row r="222" spans="31:31">
      <c r="AE222" s="153"/>
    </row>
    <row r="223" spans="31:31">
      <c r="AE223" s="153"/>
    </row>
    <row r="224" spans="31:31">
      <c r="AE224" s="153"/>
    </row>
    <row r="225" spans="31:31">
      <c r="AE225" s="153"/>
    </row>
    <row r="226" spans="31:31">
      <c r="AE226" s="153"/>
    </row>
    <row r="227" spans="31:31">
      <c r="AE227" s="153"/>
    </row>
    <row r="228" spans="31:31">
      <c r="AE228" s="153"/>
    </row>
    <row r="229" spans="31:31">
      <c r="AE229" s="153"/>
    </row>
    <row r="230" spans="31:31">
      <c r="AE230" s="153"/>
    </row>
    <row r="231" spans="31:31">
      <c r="AE231" s="153"/>
    </row>
    <row r="232" spans="31:31">
      <c r="AE232" s="153"/>
    </row>
    <row r="233" spans="31:31">
      <c r="AE233" s="153"/>
    </row>
    <row r="234" spans="31:31">
      <c r="AE234" s="153"/>
    </row>
    <row r="235" spans="31:31">
      <c r="AE235" s="153"/>
    </row>
    <row r="236" spans="31:31">
      <c r="AE236" s="153"/>
    </row>
    <row r="237" spans="31:31">
      <c r="AE237" s="153"/>
    </row>
    <row r="238" spans="31:31">
      <c r="AE238" s="153"/>
    </row>
    <row r="239" spans="31:31">
      <c r="AE239" s="153"/>
    </row>
    <row r="240" spans="31:31">
      <c r="AE240" s="153"/>
    </row>
    <row r="241" spans="31:31">
      <c r="AE241" s="153"/>
    </row>
    <row r="242" spans="31:31">
      <c r="AE242" s="153"/>
    </row>
    <row r="243" spans="31:31">
      <c r="AE243" s="153"/>
    </row>
    <row r="244" spans="31:31">
      <c r="AE244" s="153"/>
    </row>
    <row r="245" spans="31:31">
      <c r="AE245" s="153"/>
    </row>
    <row r="246" spans="31:31">
      <c r="AE246" s="153"/>
    </row>
    <row r="247" spans="31:31">
      <c r="AE247" s="153"/>
    </row>
    <row r="248" spans="31:31">
      <c r="AE248" s="153"/>
    </row>
    <row r="249" spans="31:31">
      <c r="AE249" s="153"/>
    </row>
    <row r="250" spans="31:31">
      <c r="AE250" s="153"/>
    </row>
    <row r="251" spans="31:31">
      <c r="AE251" s="153"/>
    </row>
    <row r="252" spans="31:31">
      <c r="AE252" s="153"/>
    </row>
    <row r="253" spans="31:31">
      <c r="AE253" s="153"/>
    </row>
    <row r="254" spans="31:31">
      <c r="AE254" s="153"/>
    </row>
    <row r="255" spans="31:31">
      <c r="AE255" s="153"/>
    </row>
    <row r="256" spans="31:31">
      <c r="AE256" s="153"/>
    </row>
    <row r="257" spans="31:31">
      <c r="AE257" s="153"/>
    </row>
    <row r="258" spans="31:31">
      <c r="AE258" s="153"/>
    </row>
    <row r="259" spans="31:31">
      <c r="AE259" s="153"/>
    </row>
    <row r="260" spans="31:31">
      <c r="AE260" s="153"/>
    </row>
    <row r="261" spans="31:31">
      <c r="AE261" s="153"/>
    </row>
    <row r="262" spans="31:31">
      <c r="AE262" s="153"/>
    </row>
    <row r="263" spans="31:31">
      <c r="AE263" s="153"/>
    </row>
    <row r="264" spans="31:31">
      <c r="AE264" s="153"/>
    </row>
    <row r="265" spans="31:31">
      <c r="AE265" s="153"/>
    </row>
    <row r="266" spans="31:31">
      <c r="AE266" s="153"/>
    </row>
    <row r="267" spans="31:31">
      <c r="AE267" s="153"/>
    </row>
    <row r="268" spans="31:31">
      <c r="AE268" s="153"/>
    </row>
    <row r="269" spans="31:31">
      <c r="AE269" s="153"/>
    </row>
    <row r="270" spans="31:31">
      <c r="AE270" s="153"/>
    </row>
    <row r="271" spans="31:31">
      <c r="AE271" s="153"/>
    </row>
    <row r="272" spans="31:31">
      <c r="AE272" s="153"/>
    </row>
    <row r="273" spans="31:31">
      <c r="AE273" s="153"/>
    </row>
    <row r="274" spans="31:31">
      <c r="AE274" s="153"/>
    </row>
    <row r="275" spans="31:31">
      <c r="AE275" s="153"/>
    </row>
    <row r="276" spans="31:31">
      <c r="AE276" s="153"/>
    </row>
    <row r="277" spans="31:31">
      <c r="AE277" s="153"/>
    </row>
    <row r="278" spans="31:31">
      <c r="AE278" s="153"/>
    </row>
    <row r="279" spans="31:31">
      <c r="AE279" s="153"/>
    </row>
    <row r="280" spans="31:31">
      <c r="AE280" s="153"/>
    </row>
    <row r="281" spans="31:31">
      <c r="AE281" s="153"/>
    </row>
    <row r="282" spans="31:31">
      <c r="AE282" s="153"/>
    </row>
    <row r="283" spans="31:31">
      <c r="AE283" s="153"/>
    </row>
    <row r="284" spans="31:31">
      <c r="AE284" s="153"/>
    </row>
    <row r="285" spans="31:31">
      <c r="AE285" s="153"/>
    </row>
    <row r="286" spans="31:31">
      <c r="AE286" s="153"/>
    </row>
    <row r="287" spans="31:31">
      <c r="AE287" s="153"/>
    </row>
    <row r="288" spans="31:31">
      <c r="AE288" s="153"/>
    </row>
    <row r="289" spans="31:31">
      <c r="AE289" s="153"/>
    </row>
    <row r="290" spans="31:31">
      <c r="AE290" s="153"/>
    </row>
    <row r="291" spans="31:31">
      <c r="AE291" s="153"/>
    </row>
    <row r="292" spans="31:31">
      <c r="AE292" s="153"/>
    </row>
    <row r="293" spans="31:31">
      <c r="AE293" s="153"/>
    </row>
    <row r="294" spans="31:31">
      <c r="AE294" s="153"/>
    </row>
    <row r="295" spans="31:31">
      <c r="AE295" s="153"/>
    </row>
    <row r="296" spans="31:31">
      <c r="AE296" s="153"/>
    </row>
    <row r="297" spans="31:31">
      <c r="AE297" s="153"/>
    </row>
    <row r="298" spans="31:31">
      <c r="AE298" s="153"/>
    </row>
    <row r="299" spans="31:31">
      <c r="AE299" s="153"/>
    </row>
    <row r="300" spans="31:31">
      <c r="AE300" s="153"/>
    </row>
    <row r="301" spans="31:31">
      <c r="AE301" s="153"/>
    </row>
    <row r="302" spans="31:31">
      <c r="AE302" s="153"/>
    </row>
    <row r="303" spans="31:31">
      <c r="AE303" s="153"/>
    </row>
    <row r="304" spans="31:31">
      <c r="AE304" s="153"/>
    </row>
    <row r="305" spans="31:31">
      <c r="AE305" s="153"/>
    </row>
    <row r="306" spans="31:31">
      <c r="AE306" s="153"/>
    </row>
    <row r="307" spans="31:31">
      <c r="AE307" s="153"/>
    </row>
    <row r="308" spans="31:31">
      <c r="AE308" s="153"/>
    </row>
    <row r="309" spans="31:31">
      <c r="AE309" s="153"/>
    </row>
    <row r="310" spans="31:31">
      <c r="AE310" s="153"/>
    </row>
    <row r="311" spans="31:31">
      <c r="AE311" s="153"/>
    </row>
    <row r="312" spans="31:31">
      <c r="AE312" s="153"/>
    </row>
    <row r="313" spans="31:31">
      <c r="AE313" s="153"/>
    </row>
    <row r="314" spans="31:31">
      <c r="AE314" s="153"/>
    </row>
    <row r="315" spans="31:31">
      <c r="AE315" s="153"/>
    </row>
    <row r="316" spans="31:31">
      <c r="AE316" s="153"/>
    </row>
    <row r="317" spans="31:31">
      <c r="AE317" s="153"/>
    </row>
    <row r="318" spans="31:31">
      <c r="AE318" s="153"/>
    </row>
    <row r="319" spans="31:31">
      <c r="AE319" s="153"/>
    </row>
    <row r="320" spans="31:31">
      <c r="AE320" s="153"/>
    </row>
    <row r="321" spans="31:31">
      <c r="AE321" s="153"/>
    </row>
    <row r="322" spans="31:31">
      <c r="AE322" s="153"/>
    </row>
    <row r="323" spans="31:31">
      <c r="AE323" s="153"/>
    </row>
    <row r="324" spans="31:31">
      <c r="AE324" s="153"/>
    </row>
    <row r="325" spans="31:31">
      <c r="AE325" s="153"/>
    </row>
    <row r="326" spans="31:31">
      <c r="AE326" s="153"/>
    </row>
    <row r="327" spans="31:31">
      <c r="AE327" s="153"/>
    </row>
    <row r="328" spans="31:31">
      <c r="AE328" s="153"/>
    </row>
    <row r="329" spans="31:31">
      <c r="AE329" s="153"/>
    </row>
    <row r="330" spans="31:31">
      <c r="AE330" s="153"/>
    </row>
    <row r="331" spans="31:31">
      <c r="AE331" s="153"/>
    </row>
    <row r="332" spans="31:31">
      <c r="AE332" s="153"/>
    </row>
    <row r="333" spans="31:31">
      <c r="AE333" s="153"/>
    </row>
    <row r="334" spans="31:31">
      <c r="AE334" s="153"/>
    </row>
    <row r="335" spans="31:31">
      <c r="AE335" s="153"/>
    </row>
    <row r="336" spans="31:31">
      <c r="AE336" s="153"/>
    </row>
    <row r="337" spans="31:31">
      <c r="AE337" s="153"/>
    </row>
    <row r="338" spans="31:31">
      <c r="AE338" s="153"/>
    </row>
    <row r="339" spans="31:31">
      <c r="AE339" s="153"/>
    </row>
    <row r="340" spans="31:31">
      <c r="AE340" s="153"/>
    </row>
    <row r="341" spans="31:31">
      <c r="AE341" s="153"/>
    </row>
    <row r="342" spans="31:31">
      <c r="AE342" s="153"/>
    </row>
    <row r="343" spans="31:31">
      <c r="AE343" s="153"/>
    </row>
    <row r="344" spans="31:31">
      <c r="AE344" s="153"/>
    </row>
    <row r="345" spans="31:31">
      <c r="AE345" s="153"/>
    </row>
    <row r="346" spans="31:31">
      <c r="AE346" s="153"/>
    </row>
    <row r="347" spans="31:31">
      <c r="AE347" s="153"/>
    </row>
    <row r="348" spans="31:31">
      <c r="AE348" s="153"/>
    </row>
    <row r="349" spans="31:31">
      <c r="AE349" s="153"/>
    </row>
    <row r="350" spans="31:31">
      <c r="AE350" s="153"/>
    </row>
    <row r="351" spans="31:31">
      <c r="AE351" s="153"/>
    </row>
    <row r="352" spans="31:31">
      <c r="AE352" s="153"/>
    </row>
    <row r="353" spans="31:31">
      <c r="AE353" s="153"/>
    </row>
    <row r="354" spans="31:31">
      <c r="AE354" s="153"/>
    </row>
    <row r="355" spans="31:31">
      <c r="AE355" s="153"/>
    </row>
    <row r="356" spans="31:31">
      <c r="AE356" s="153"/>
    </row>
    <row r="357" spans="31:31">
      <c r="AE357" s="153"/>
    </row>
    <row r="358" spans="31:31">
      <c r="AE358" s="153"/>
    </row>
    <row r="359" spans="31:31">
      <c r="AE359" s="153"/>
    </row>
    <row r="360" spans="31:31">
      <c r="AE360" s="153"/>
    </row>
    <row r="361" spans="31:31">
      <c r="AE361" s="153"/>
    </row>
    <row r="362" spans="31:31">
      <c r="AE362" s="153"/>
    </row>
    <row r="363" spans="31:31">
      <c r="AE363" s="153"/>
    </row>
    <row r="364" spans="31:31">
      <c r="AE364" s="153"/>
    </row>
    <row r="365" spans="31:31">
      <c r="AE365" s="153"/>
    </row>
    <row r="366" spans="31:31">
      <c r="AE366" s="153"/>
    </row>
    <row r="367" spans="31:31">
      <c r="AE367" s="153"/>
    </row>
    <row r="368" spans="31:31">
      <c r="AE368" s="153"/>
    </row>
    <row r="369" spans="31:31">
      <c r="AE369" s="153"/>
    </row>
    <row r="370" spans="31:31">
      <c r="AE370" s="153"/>
    </row>
    <row r="371" spans="31:31">
      <c r="AE371" s="153"/>
    </row>
    <row r="372" spans="31:31">
      <c r="AE372" s="153"/>
    </row>
    <row r="373" spans="31:31">
      <c r="AE373" s="153"/>
    </row>
    <row r="374" spans="31:31">
      <c r="AE374" s="153"/>
    </row>
    <row r="375" spans="31:31">
      <c r="AE375" s="153"/>
    </row>
    <row r="376" spans="31:31">
      <c r="AE376" s="153"/>
    </row>
    <row r="377" spans="31:31">
      <c r="AE377" s="153"/>
    </row>
    <row r="378" spans="31:31">
      <c r="AE378" s="153"/>
    </row>
    <row r="379" spans="31:31">
      <c r="AE379" s="153"/>
    </row>
    <row r="380" spans="31:31">
      <c r="AE380" s="153"/>
    </row>
    <row r="381" spans="31:31">
      <c r="AE381" s="153"/>
    </row>
    <row r="382" spans="31:31">
      <c r="AE382" s="153"/>
    </row>
    <row r="383" spans="31:31">
      <c r="AE383" s="153"/>
    </row>
    <row r="384" spans="31:31">
      <c r="AE384" s="153"/>
    </row>
    <row r="385" spans="31:31">
      <c r="AE385" s="153"/>
    </row>
    <row r="386" spans="31:31">
      <c r="AE386" s="153"/>
    </row>
    <row r="387" spans="31:31">
      <c r="AE387" s="153"/>
    </row>
    <row r="388" spans="31:31">
      <c r="AE388" s="153"/>
    </row>
    <row r="389" spans="31:31">
      <c r="AE389" s="153"/>
    </row>
    <row r="390" spans="31:31">
      <c r="AE390" s="153"/>
    </row>
    <row r="391" spans="31:31">
      <c r="AE391" s="153"/>
    </row>
    <row r="392" spans="31:31">
      <c r="AE392" s="153"/>
    </row>
    <row r="393" spans="31:31">
      <c r="AE393" s="153"/>
    </row>
    <row r="394" spans="31:31">
      <c r="AE394" s="153"/>
    </row>
    <row r="395" spans="31:31">
      <c r="AE395" s="153"/>
    </row>
    <row r="396" spans="31:31">
      <c r="AE396" s="153"/>
    </row>
    <row r="397" spans="31:31">
      <c r="AE397" s="153"/>
    </row>
    <row r="398" spans="31:31">
      <c r="AE398" s="153"/>
    </row>
    <row r="399" spans="31:31">
      <c r="AE399" s="153"/>
    </row>
    <row r="400" spans="31:31">
      <c r="AE400" s="153"/>
    </row>
    <row r="401" spans="31:31">
      <c r="AE401" s="153"/>
    </row>
    <row r="402" spans="31:31">
      <c r="AE402" s="153"/>
    </row>
    <row r="403" spans="31:31">
      <c r="AE403" s="153"/>
    </row>
    <row r="404" spans="31:31">
      <c r="AE404" s="153"/>
    </row>
    <row r="405" spans="31:31">
      <c r="AE405" s="153"/>
    </row>
    <row r="406" spans="31:31">
      <c r="AE406" s="153"/>
    </row>
    <row r="407" spans="31:31">
      <c r="AE407" s="153"/>
    </row>
    <row r="408" spans="31:31">
      <c r="AE408" s="153"/>
    </row>
    <row r="409" spans="31:31">
      <c r="AE409" s="153"/>
    </row>
    <row r="410" spans="31:31">
      <c r="AE410" s="153"/>
    </row>
    <row r="411" spans="31:31">
      <c r="AE411" s="153"/>
    </row>
    <row r="412" spans="31:31">
      <c r="AE412" s="153"/>
    </row>
    <row r="413" spans="31:31">
      <c r="AE413" s="153"/>
    </row>
    <row r="414" spans="31:31">
      <c r="AE414" s="153"/>
    </row>
    <row r="415" spans="31:31">
      <c r="AE415" s="153"/>
    </row>
    <row r="416" spans="31:31">
      <c r="AE416" s="153"/>
    </row>
    <row r="417" spans="31:31">
      <c r="AE417" s="153"/>
    </row>
    <row r="418" spans="31:31">
      <c r="AE418" s="153"/>
    </row>
    <row r="419" spans="31:31">
      <c r="AE419" s="153"/>
    </row>
    <row r="420" spans="31:31">
      <c r="AE420" s="153"/>
    </row>
    <row r="421" spans="31:31">
      <c r="AE421" s="153"/>
    </row>
    <row r="422" spans="31:31">
      <c r="AE422" s="153"/>
    </row>
    <row r="423" spans="31:31">
      <c r="AE423" s="153"/>
    </row>
    <row r="424" spans="31:31">
      <c r="AE424" s="153"/>
    </row>
    <row r="425" spans="31:31">
      <c r="AE425" s="153"/>
    </row>
    <row r="426" spans="31:31">
      <c r="AE426" s="153"/>
    </row>
    <row r="427" spans="31:31">
      <c r="AE427" s="153"/>
    </row>
    <row r="428" spans="31:31">
      <c r="AE428" s="153"/>
    </row>
    <row r="429" spans="31:31">
      <c r="AE429" s="153"/>
    </row>
    <row r="430" spans="31:31">
      <c r="AE430" s="153"/>
    </row>
    <row r="431" spans="31:31">
      <c r="AE431" s="153"/>
    </row>
    <row r="432" spans="31:31">
      <c r="AE432" s="153"/>
    </row>
    <row r="433" spans="31:31">
      <c r="AE433" s="153"/>
    </row>
    <row r="434" spans="31:31">
      <c r="AE434" s="153"/>
    </row>
    <row r="435" spans="31:31">
      <c r="AE435" s="153"/>
    </row>
    <row r="436" spans="31:31">
      <c r="AE436" s="153"/>
    </row>
    <row r="437" spans="31:31">
      <c r="AE437" s="153"/>
    </row>
    <row r="438" spans="31:31">
      <c r="AE438" s="153"/>
    </row>
    <row r="439" spans="31:31">
      <c r="AE439" s="153"/>
    </row>
    <row r="440" spans="31:31">
      <c r="AE440" s="153"/>
    </row>
    <row r="441" spans="31:31">
      <c r="AE441" s="153"/>
    </row>
    <row r="442" spans="31:31">
      <c r="AE442" s="153"/>
    </row>
    <row r="443" spans="31:31">
      <c r="AE443" s="153"/>
    </row>
    <row r="444" spans="31:31">
      <c r="AE444" s="153"/>
    </row>
    <row r="445" spans="31:31">
      <c r="AE445" s="153"/>
    </row>
    <row r="446" spans="31:31">
      <c r="AE446" s="153"/>
    </row>
    <row r="447" spans="31:31">
      <c r="AE447" s="153"/>
    </row>
    <row r="448" spans="31:31">
      <c r="AE448" s="153"/>
    </row>
    <row r="449" spans="31:31">
      <c r="AE449" s="153"/>
    </row>
    <row r="450" spans="31:31">
      <c r="AE450" s="153"/>
    </row>
    <row r="451" spans="31:31">
      <c r="AE451" s="153"/>
    </row>
    <row r="452" spans="31:31">
      <c r="AE452" s="153"/>
    </row>
    <row r="453" spans="31:31">
      <c r="AE453" s="153"/>
    </row>
    <row r="454" spans="31:31">
      <c r="AE454" s="153"/>
    </row>
    <row r="455" spans="31:31">
      <c r="AE455" s="153"/>
    </row>
    <row r="456" spans="31:31">
      <c r="AE456" s="153"/>
    </row>
    <row r="457" spans="31:31">
      <c r="AE457" s="153"/>
    </row>
    <row r="458" spans="31:31">
      <c r="AE458" s="153"/>
    </row>
    <row r="459" spans="31:31">
      <c r="AE459" s="153"/>
    </row>
    <row r="460" spans="31:31">
      <c r="AE460" s="153"/>
    </row>
    <row r="461" spans="31:31">
      <c r="AE461" s="153"/>
    </row>
    <row r="462" spans="31:31">
      <c r="AE462" s="153"/>
    </row>
    <row r="463" spans="31:31">
      <c r="AE463" s="153"/>
    </row>
    <row r="464" spans="31:31">
      <c r="AE464" s="153"/>
    </row>
    <row r="465" spans="31:31">
      <c r="AE465" s="153"/>
    </row>
    <row r="466" spans="31:31">
      <c r="AE466" s="153"/>
    </row>
    <row r="467" spans="31:31">
      <c r="AE467" s="153"/>
    </row>
    <row r="468" spans="31:31">
      <c r="AE468" s="153"/>
    </row>
    <row r="469" spans="31:31">
      <c r="AE469" s="153"/>
    </row>
    <row r="470" spans="31:31">
      <c r="AE470" s="153"/>
    </row>
    <row r="471" spans="31:31">
      <c r="AE471" s="153"/>
    </row>
    <row r="472" spans="31:31">
      <c r="AE472" s="153"/>
    </row>
    <row r="473" spans="31:31">
      <c r="AE473" s="153"/>
    </row>
    <row r="474" spans="31:31">
      <c r="AE474" s="153"/>
    </row>
    <row r="475" spans="31:31">
      <c r="AE475" s="153"/>
    </row>
    <row r="476" spans="31:31">
      <c r="AE476" s="153"/>
    </row>
    <row r="477" spans="31:31">
      <c r="AE477" s="153"/>
    </row>
    <row r="478" spans="31:31">
      <c r="AE478" s="153"/>
    </row>
    <row r="479" spans="31:31">
      <c r="AE479" s="153"/>
    </row>
    <row r="480" spans="31:31">
      <c r="AE480" s="153"/>
    </row>
    <row r="481" spans="31:31">
      <c r="AE481" s="153"/>
    </row>
    <row r="482" spans="31:31">
      <c r="AE482" s="153"/>
    </row>
    <row r="483" spans="31:31">
      <c r="AE483" s="153"/>
    </row>
    <row r="484" spans="31:31">
      <c r="AE484" s="153"/>
    </row>
    <row r="485" spans="31:31">
      <c r="AE485" s="153"/>
    </row>
    <row r="486" spans="31:31">
      <c r="AE486" s="153"/>
    </row>
    <row r="487" spans="31:31">
      <c r="AE487" s="153"/>
    </row>
    <row r="488" spans="31:31">
      <c r="AE488" s="153"/>
    </row>
    <row r="489" spans="31:31">
      <c r="AE489" s="153"/>
    </row>
    <row r="490" spans="31:31">
      <c r="AE490" s="153"/>
    </row>
    <row r="491" spans="31:31">
      <c r="AE491" s="153"/>
    </row>
    <row r="492" spans="31:31">
      <c r="AE492" s="153"/>
    </row>
    <row r="493" spans="31:31">
      <c r="AE493" s="153"/>
    </row>
    <row r="494" spans="31:31">
      <c r="AE494" s="153"/>
    </row>
    <row r="495" spans="31:31">
      <c r="AE495" s="153"/>
    </row>
    <row r="496" spans="31:31">
      <c r="AE496" s="153"/>
    </row>
    <row r="497" spans="31:31">
      <c r="AE497" s="153"/>
    </row>
    <row r="498" spans="31:31">
      <c r="AE498" s="153"/>
    </row>
    <row r="499" spans="31:31">
      <c r="AE499" s="153"/>
    </row>
    <row r="500" spans="31:31">
      <c r="AE500" s="153"/>
    </row>
    <row r="501" spans="31:31">
      <c r="AE501" s="153"/>
    </row>
    <row r="502" spans="31:31">
      <c r="AE502" s="153"/>
    </row>
    <row r="503" spans="31:31">
      <c r="AE503" s="153"/>
    </row>
    <row r="504" spans="31:31">
      <c r="AE504" s="153"/>
    </row>
    <row r="505" spans="31:31">
      <c r="AE505" s="153"/>
    </row>
    <row r="506" spans="31:31">
      <c r="AE506" s="153"/>
    </row>
    <row r="507" spans="31:31">
      <c r="AE507" s="153"/>
    </row>
    <row r="508" spans="31:31">
      <c r="AE508" s="153"/>
    </row>
    <row r="509" spans="31:31">
      <c r="AE509" s="153"/>
    </row>
    <row r="510" spans="31:31">
      <c r="AE510" s="153"/>
    </row>
    <row r="511" spans="31:31">
      <c r="AE511" s="153"/>
    </row>
    <row r="512" spans="31:31">
      <c r="AE512" s="153"/>
    </row>
    <row r="513" spans="31:31">
      <c r="AE513" s="153"/>
    </row>
    <row r="514" spans="31:31">
      <c r="AE514" s="153"/>
    </row>
    <row r="515" spans="31:31">
      <c r="AE515" s="153"/>
    </row>
    <row r="516" spans="31:31">
      <c r="AE516" s="153"/>
    </row>
    <row r="517" spans="31:31">
      <c r="AE517" s="153"/>
    </row>
    <row r="518" spans="31:31">
      <c r="AE518" s="153"/>
    </row>
    <row r="519" spans="31:31">
      <c r="AE519" s="153"/>
    </row>
    <row r="520" spans="31:31">
      <c r="AE520" s="153"/>
    </row>
    <row r="521" spans="31:31">
      <c r="AE521" s="153"/>
    </row>
    <row r="522" spans="31:31">
      <c r="AE522" s="153"/>
    </row>
    <row r="523" spans="31:31">
      <c r="AE523" s="153"/>
    </row>
    <row r="524" spans="31:31">
      <c r="AE524" s="153"/>
    </row>
    <row r="525" spans="31:31">
      <c r="AE525" s="153"/>
    </row>
    <row r="526" spans="31:31">
      <c r="AE526" s="153"/>
    </row>
    <row r="527" spans="31:31">
      <c r="AE527" s="153"/>
    </row>
    <row r="528" spans="31:31">
      <c r="AE528" s="153"/>
    </row>
    <row r="529" spans="31:31">
      <c r="AE529" s="153"/>
    </row>
    <row r="530" spans="31:31">
      <c r="AE530" s="153"/>
    </row>
    <row r="531" spans="31:31">
      <c r="AE531" s="153"/>
    </row>
    <row r="532" spans="31:31">
      <c r="AE532" s="153"/>
    </row>
    <row r="533" spans="31:31">
      <c r="AE533" s="153"/>
    </row>
    <row r="534" spans="31:31">
      <c r="AE534" s="153"/>
    </row>
    <row r="535" spans="31:31">
      <c r="AE535" s="153"/>
    </row>
    <row r="536" spans="31:31">
      <c r="AE536" s="153"/>
    </row>
    <row r="537" spans="31:31">
      <c r="AE537" s="153"/>
    </row>
    <row r="538" spans="31:31">
      <c r="AE538" s="153"/>
    </row>
    <row r="539" spans="31:31">
      <c r="AE539" s="153"/>
    </row>
    <row r="540" spans="31:31">
      <c r="AE540" s="153"/>
    </row>
    <row r="541" spans="31:31">
      <c r="AE541" s="153"/>
    </row>
    <row r="542" spans="31:31">
      <c r="AE542" s="153"/>
    </row>
    <row r="543" spans="31:31">
      <c r="AE543" s="153"/>
    </row>
    <row r="544" spans="31:31">
      <c r="AE544" s="153"/>
    </row>
    <row r="545" spans="31:31">
      <c r="AE545" s="153"/>
    </row>
    <row r="546" spans="31:31">
      <c r="AE546" s="153"/>
    </row>
    <row r="547" spans="31:31">
      <c r="AE547" s="153"/>
    </row>
    <row r="548" spans="31:31">
      <c r="AE548" s="153"/>
    </row>
    <row r="549" spans="31:31">
      <c r="AE549" s="153"/>
    </row>
    <row r="550" spans="31:31">
      <c r="AE550" s="153"/>
    </row>
    <row r="551" spans="31:31">
      <c r="AE551" s="153"/>
    </row>
    <row r="552" spans="31:31">
      <c r="AE552" s="153"/>
    </row>
    <row r="553" spans="31:31">
      <c r="AE553" s="153"/>
    </row>
    <row r="554" spans="31:31">
      <c r="AE554" s="153"/>
    </row>
    <row r="555" spans="31:31">
      <c r="AE555" s="153"/>
    </row>
    <row r="556" spans="31:31">
      <c r="AE556" s="153"/>
    </row>
    <row r="557" spans="31:31">
      <c r="AE557" s="153"/>
    </row>
    <row r="558" spans="31:31">
      <c r="AE558" s="153"/>
    </row>
    <row r="559" spans="31:31">
      <c r="AE559" s="153"/>
    </row>
    <row r="560" spans="31:31">
      <c r="AE560" s="153"/>
    </row>
    <row r="561" spans="31:31">
      <c r="AE561" s="153"/>
    </row>
    <row r="562" spans="31:31">
      <c r="AE562" s="153"/>
    </row>
    <row r="563" spans="31:31">
      <c r="AE563" s="153"/>
    </row>
    <row r="564" spans="31:31">
      <c r="AE564" s="153"/>
    </row>
    <row r="565" spans="31:31">
      <c r="AE565" s="153"/>
    </row>
    <row r="566" spans="31:31">
      <c r="AE566" s="153"/>
    </row>
    <row r="567" spans="31:31">
      <c r="AE567" s="153"/>
    </row>
    <row r="568" spans="31:31">
      <c r="AE568" s="153"/>
    </row>
    <row r="569" spans="31:31">
      <c r="AE569" s="153"/>
    </row>
    <row r="570" spans="31:31">
      <c r="AE570" s="153"/>
    </row>
    <row r="571" spans="31:31">
      <c r="AE571" s="153"/>
    </row>
    <row r="572" spans="31:31">
      <c r="AE572" s="153"/>
    </row>
    <row r="573" spans="31:31">
      <c r="AE573" s="153"/>
    </row>
    <row r="574" spans="31:31">
      <c r="AE574" s="153"/>
    </row>
    <row r="575" spans="31:31">
      <c r="AE575" s="153"/>
    </row>
    <row r="576" spans="31:31">
      <c r="AE576" s="153"/>
    </row>
    <row r="577" spans="31:31">
      <c r="AE577" s="153"/>
    </row>
    <row r="578" spans="31:31">
      <c r="AE578" s="153"/>
    </row>
    <row r="579" spans="31:31">
      <c r="AE579" s="153"/>
    </row>
    <row r="580" spans="31:31">
      <c r="AE580" s="153"/>
    </row>
    <row r="581" spans="31:31">
      <c r="AE581" s="153"/>
    </row>
    <row r="582" spans="31:31">
      <c r="AE582" s="153"/>
    </row>
    <row r="583" spans="31:31">
      <c r="AE583" s="153"/>
    </row>
    <row r="584" spans="31:31">
      <c r="AE584" s="153"/>
    </row>
    <row r="585" spans="31:31">
      <c r="AE585" s="153"/>
    </row>
    <row r="586" spans="31:31">
      <c r="AE586" s="153"/>
    </row>
    <row r="587" spans="31:31">
      <c r="AE587" s="153"/>
    </row>
    <row r="588" spans="31:31">
      <c r="AE588" s="153"/>
    </row>
    <row r="589" spans="31:31">
      <c r="AE589" s="153"/>
    </row>
    <row r="590" spans="31:31">
      <c r="AE590" s="153"/>
    </row>
    <row r="591" spans="31:31">
      <c r="AE591" s="153"/>
    </row>
    <row r="592" spans="31:31">
      <c r="AE592" s="153"/>
    </row>
    <row r="593" spans="31:31">
      <c r="AE593" s="153"/>
    </row>
    <row r="594" spans="31:31">
      <c r="AE594" s="153"/>
    </row>
    <row r="595" spans="31:31">
      <c r="AE595" s="153"/>
    </row>
    <row r="596" spans="31:31">
      <c r="AE596" s="153"/>
    </row>
    <row r="597" spans="31:31">
      <c r="AE597" s="153"/>
    </row>
    <row r="598" spans="31:31">
      <c r="AE598" s="153"/>
    </row>
    <row r="599" spans="31:31">
      <c r="AE599" s="153"/>
    </row>
    <row r="600" spans="31:31">
      <c r="AE600" s="153"/>
    </row>
    <row r="601" spans="31:31">
      <c r="AE601" s="153"/>
    </row>
    <row r="602" spans="31:31">
      <c r="AE602" s="153"/>
    </row>
    <row r="603" spans="31:31">
      <c r="AE603" s="153"/>
    </row>
    <row r="604" spans="31:31">
      <c r="AE604" s="153"/>
    </row>
    <row r="605" spans="31:31">
      <c r="AE605" s="153"/>
    </row>
    <row r="606" spans="31:31">
      <c r="AE606" s="153"/>
    </row>
    <row r="607" spans="31:31">
      <c r="AE607" s="153"/>
    </row>
    <row r="608" spans="31:31">
      <c r="AE608" s="153"/>
    </row>
    <row r="609" spans="31:31">
      <c r="AE609" s="153"/>
    </row>
    <row r="610" spans="31:31">
      <c r="AE610" s="153"/>
    </row>
    <row r="611" spans="31:31">
      <c r="AE611" s="153"/>
    </row>
    <row r="612" spans="31:31">
      <c r="AE612" s="153"/>
    </row>
    <row r="613" spans="31:31">
      <c r="AE613" s="153"/>
    </row>
    <row r="614" spans="31:31">
      <c r="AE614" s="153"/>
    </row>
    <row r="615" spans="31:31">
      <c r="AE615" s="153"/>
    </row>
    <row r="616" spans="31:31">
      <c r="AE616" s="153"/>
    </row>
    <row r="617" spans="31:31">
      <c r="AE617" s="153"/>
    </row>
    <row r="618" spans="31:31">
      <c r="AE618" s="153"/>
    </row>
    <row r="619" spans="31:31">
      <c r="AE619" s="153"/>
    </row>
    <row r="620" spans="31:31">
      <c r="AE620" s="153"/>
    </row>
    <row r="621" spans="31:31">
      <c r="AE621" s="153"/>
    </row>
    <row r="622" spans="31:31">
      <c r="AE622" s="153"/>
    </row>
    <row r="623" spans="31:31">
      <c r="AE623" s="153"/>
    </row>
    <row r="624" spans="31:31">
      <c r="AE624" s="153"/>
    </row>
    <row r="625" spans="31:31">
      <c r="AE625" s="153"/>
    </row>
    <row r="626" spans="31:31">
      <c r="AE626" s="153"/>
    </row>
    <row r="627" spans="31:31">
      <c r="AE627" s="153"/>
    </row>
    <row r="628" spans="31:31">
      <c r="AE628" s="153"/>
    </row>
    <row r="629" spans="31:31">
      <c r="AE629" s="153"/>
    </row>
    <row r="630" spans="31:31">
      <c r="AE630" s="153"/>
    </row>
    <row r="631" spans="31:31">
      <c r="AE631" s="153"/>
    </row>
    <row r="632" spans="31:31">
      <c r="AE632" s="153"/>
    </row>
    <row r="633" spans="31:31">
      <c r="AE633" s="153"/>
    </row>
    <row r="634" spans="31:31">
      <c r="AE634" s="153"/>
    </row>
    <row r="635" spans="31:31">
      <c r="AE635" s="153"/>
    </row>
    <row r="636" spans="31:31">
      <c r="AE636" s="153"/>
    </row>
    <row r="637" spans="31:31">
      <c r="AE637" s="153"/>
    </row>
    <row r="638" spans="31:31">
      <c r="AE638" s="153"/>
    </row>
    <row r="639" spans="31:31">
      <c r="AE639" s="153"/>
    </row>
    <row r="640" spans="31:31">
      <c r="AE640" s="153"/>
    </row>
    <row r="641" spans="31:31">
      <c r="AE641" s="153"/>
    </row>
    <row r="642" spans="31:31">
      <c r="AE642" s="153"/>
    </row>
    <row r="643" spans="31:31">
      <c r="AE643" s="153"/>
    </row>
    <row r="644" spans="31:31">
      <c r="AE644" s="153"/>
    </row>
    <row r="645" spans="31:31">
      <c r="AE645" s="153"/>
    </row>
    <row r="646" spans="31:31">
      <c r="AE646" s="153"/>
    </row>
    <row r="647" spans="31:31">
      <c r="AE647" s="153"/>
    </row>
    <row r="648" spans="31:31">
      <c r="AE648" s="153"/>
    </row>
    <row r="649" spans="31:31">
      <c r="AE649" s="153"/>
    </row>
    <row r="650" spans="31:31">
      <c r="AE650" s="153"/>
    </row>
    <row r="651" spans="31:31">
      <c r="AE651" s="153"/>
    </row>
    <row r="652" spans="31:31">
      <c r="AE652" s="153"/>
    </row>
    <row r="653" spans="31:31">
      <c r="AE653" s="153"/>
    </row>
    <row r="654" spans="31:31">
      <c r="AE654" s="153"/>
    </row>
    <row r="655" spans="31:31">
      <c r="AE655" s="153"/>
    </row>
    <row r="656" spans="31:31">
      <c r="AE656" s="153"/>
    </row>
    <row r="657" spans="31:31">
      <c r="AE657" s="153"/>
    </row>
    <row r="658" spans="31:31">
      <c r="AE658" s="153"/>
    </row>
    <row r="659" spans="31:31">
      <c r="AE659" s="153"/>
    </row>
    <row r="660" spans="31:31">
      <c r="AE660" s="153"/>
    </row>
    <row r="661" spans="31:31">
      <c r="AE661" s="153"/>
    </row>
    <row r="662" spans="31:31">
      <c r="AE662" s="153"/>
    </row>
    <row r="663" spans="31:31">
      <c r="AE663" s="153"/>
    </row>
    <row r="664" spans="31:31">
      <c r="AE664" s="153"/>
    </row>
    <row r="665" spans="31:31">
      <c r="AE665" s="153"/>
    </row>
    <row r="666" spans="31:31">
      <c r="AE666" s="153"/>
    </row>
    <row r="667" spans="31:31">
      <c r="AE667" s="153"/>
    </row>
    <row r="668" spans="31:31">
      <c r="AE668" s="153"/>
    </row>
    <row r="669" spans="31:31">
      <c r="AE669" s="153"/>
    </row>
    <row r="670" spans="31:31">
      <c r="AE670" s="153"/>
    </row>
    <row r="671" spans="31:31">
      <c r="AE671" s="153"/>
    </row>
    <row r="672" spans="31:31">
      <c r="AE672" s="153"/>
    </row>
    <row r="673" spans="31:31">
      <c r="AE673" s="153"/>
    </row>
    <row r="674" spans="31:31">
      <c r="AE674" s="153"/>
    </row>
    <row r="675" spans="31:31">
      <c r="AE675" s="153"/>
    </row>
    <row r="676" spans="31:31">
      <c r="AE676" s="153"/>
    </row>
    <row r="677" spans="31:31">
      <c r="AE677" s="153"/>
    </row>
    <row r="678" spans="31:31">
      <c r="AE678" s="153"/>
    </row>
    <row r="679" spans="31:31">
      <c r="AE679" s="153"/>
    </row>
    <row r="680" spans="31:31">
      <c r="AE680" s="153"/>
    </row>
    <row r="681" spans="31:31">
      <c r="AE681" s="153"/>
    </row>
    <row r="682" spans="31:31">
      <c r="AE682" s="153"/>
    </row>
    <row r="683" spans="31:31">
      <c r="AE683" s="153"/>
    </row>
    <row r="684" spans="31:31">
      <c r="AE684" s="153"/>
    </row>
    <row r="685" spans="31:31">
      <c r="AE685" s="153"/>
    </row>
    <row r="686" spans="31:31">
      <c r="AE686" s="153"/>
    </row>
    <row r="687" spans="31:31">
      <c r="AE687" s="153"/>
    </row>
    <row r="688" spans="31:31">
      <c r="AE688" s="153"/>
    </row>
    <row r="689" spans="31:31">
      <c r="AE689" s="153"/>
    </row>
    <row r="690" spans="31:31">
      <c r="AE690" s="153"/>
    </row>
    <row r="691" spans="31:31">
      <c r="AE691" s="153"/>
    </row>
    <row r="692" spans="31:31">
      <c r="AE692" s="153"/>
    </row>
    <row r="693" spans="31:31">
      <c r="AE693" s="153"/>
    </row>
    <row r="694" spans="31:31">
      <c r="AE694" s="153"/>
    </row>
    <row r="695" spans="31:31">
      <c r="AE695" s="153"/>
    </row>
    <row r="696" spans="31:31">
      <c r="AE696" s="153"/>
    </row>
    <row r="697" spans="31:31">
      <c r="AE697" s="153"/>
    </row>
    <row r="698" spans="31:31">
      <c r="AE698" s="153"/>
    </row>
    <row r="699" spans="31:31">
      <c r="AE699" s="153"/>
    </row>
    <row r="700" spans="31:31">
      <c r="AE700" s="153"/>
    </row>
    <row r="701" spans="31:31">
      <c r="AE701" s="153"/>
    </row>
    <row r="702" spans="31:31">
      <c r="AE702" s="153"/>
    </row>
    <row r="703" spans="31:31">
      <c r="AE703" s="153"/>
    </row>
    <row r="704" spans="31:31">
      <c r="AE704" s="153"/>
    </row>
    <row r="705" spans="31:31">
      <c r="AE705" s="153"/>
    </row>
    <row r="706" spans="31:31">
      <c r="AE706" s="153"/>
    </row>
    <row r="707" spans="31:31">
      <c r="AE707" s="153"/>
    </row>
    <row r="708" spans="31:31">
      <c r="AE708" s="153"/>
    </row>
    <row r="709" spans="31:31">
      <c r="AE709" s="153"/>
    </row>
    <row r="710" spans="31:31">
      <c r="AE710" s="153"/>
    </row>
    <row r="711" spans="31:31">
      <c r="AE711" s="153"/>
    </row>
    <row r="712" spans="31:31">
      <c r="AE712" s="153"/>
    </row>
    <row r="713" spans="31:31">
      <c r="AE713" s="153"/>
    </row>
    <row r="714" spans="31:31">
      <c r="AE714" s="153"/>
    </row>
    <row r="715" spans="31:31">
      <c r="AE715" s="153"/>
    </row>
    <row r="716" spans="31:31">
      <c r="AE716" s="153"/>
    </row>
    <row r="717" spans="31:31">
      <c r="AE717" s="153"/>
    </row>
    <row r="718" spans="31:31">
      <c r="AE718" s="153"/>
    </row>
    <row r="719" spans="31:31">
      <c r="AE719" s="153"/>
    </row>
    <row r="720" spans="31:31">
      <c r="AE720" s="153"/>
    </row>
    <row r="721" spans="31:31">
      <c r="AE721" s="153"/>
    </row>
    <row r="722" spans="31:31">
      <c r="AE722" s="153"/>
    </row>
    <row r="723" spans="31:31">
      <c r="AE723" s="153"/>
    </row>
    <row r="724" spans="31:31">
      <c r="AE724" s="153"/>
    </row>
    <row r="725" spans="31:31">
      <c r="AE725" s="153"/>
    </row>
    <row r="726" spans="31:31">
      <c r="AE726" s="153"/>
    </row>
    <row r="727" spans="31:31">
      <c r="AE727" s="153"/>
    </row>
    <row r="728" spans="31:31">
      <c r="AE728" s="153"/>
    </row>
    <row r="729" spans="31:31">
      <c r="AE729" s="153"/>
    </row>
    <row r="730" spans="31:31">
      <c r="AE730" s="153"/>
    </row>
    <row r="731" spans="31:31">
      <c r="AE731" s="153"/>
    </row>
    <row r="732" spans="31:31">
      <c r="AE732" s="153"/>
    </row>
    <row r="733" spans="31:31">
      <c r="AE733" s="153"/>
    </row>
    <row r="734" spans="31:31">
      <c r="AE734" s="153"/>
    </row>
    <row r="735" spans="31:31">
      <c r="AE735" s="153"/>
    </row>
    <row r="736" spans="31:31">
      <c r="AE736" s="153"/>
    </row>
    <row r="737" spans="31:31">
      <c r="AE737" s="153"/>
    </row>
    <row r="738" spans="31:31">
      <c r="AE738" s="153"/>
    </row>
    <row r="739" spans="31:31">
      <c r="AE739" s="153"/>
    </row>
    <row r="740" spans="31:31">
      <c r="AE740" s="153"/>
    </row>
    <row r="741" spans="31:31">
      <c r="AE741" s="153"/>
    </row>
    <row r="742" spans="31:31">
      <c r="AE742" s="153"/>
    </row>
    <row r="743" spans="31:31">
      <c r="AE743" s="153"/>
    </row>
    <row r="744" spans="31:31">
      <c r="AE744" s="153"/>
    </row>
    <row r="745" spans="31:31">
      <c r="AE745" s="153"/>
    </row>
    <row r="746" spans="31:31">
      <c r="AE746" s="153"/>
    </row>
    <row r="747" spans="31:31">
      <c r="AE747" s="153"/>
    </row>
    <row r="748" spans="31:31">
      <c r="AE748" s="153"/>
    </row>
    <row r="749" spans="31:31">
      <c r="AE749" s="153"/>
    </row>
    <row r="750" spans="31:31">
      <c r="AE750" s="153"/>
    </row>
    <row r="751" spans="31:31">
      <c r="AE751" s="153"/>
    </row>
    <row r="752" spans="31:31">
      <c r="AE752" s="153"/>
    </row>
    <row r="753" spans="31:31">
      <c r="AE753" s="153"/>
    </row>
    <row r="754" spans="31:31">
      <c r="AE754" s="153"/>
    </row>
    <row r="755" spans="31:31">
      <c r="AE755" s="153"/>
    </row>
    <row r="756" spans="31:31">
      <c r="AE756" s="153"/>
    </row>
    <row r="757" spans="31:31">
      <c r="AE757" s="153"/>
    </row>
    <row r="758" spans="31:31">
      <c r="AE758" s="153"/>
    </row>
    <row r="759" spans="31:31">
      <c r="AE759" s="153"/>
    </row>
    <row r="760" spans="31:31">
      <c r="AE760" s="153"/>
    </row>
    <row r="761" spans="31:31">
      <c r="AE761" s="153"/>
    </row>
    <row r="762" spans="31:31">
      <c r="AE762" s="153"/>
    </row>
    <row r="763" spans="31:31">
      <c r="AE763" s="153"/>
    </row>
    <row r="764" spans="31:31">
      <c r="AE764" s="153"/>
    </row>
    <row r="765" spans="31:31">
      <c r="AE765" s="153"/>
    </row>
    <row r="766" spans="31:31">
      <c r="AE766" s="153"/>
    </row>
    <row r="767" spans="31:31">
      <c r="AE767" s="153"/>
    </row>
    <row r="768" spans="31:31">
      <c r="AE768" s="153"/>
    </row>
    <row r="769" spans="31:31">
      <c r="AE769" s="153"/>
    </row>
    <row r="770" spans="31:31">
      <c r="AE770" s="153"/>
    </row>
    <row r="771" spans="31:31">
      <c r="AE771" s="153"/>
    </row>
    <row r="772" spans="31:31">
      <c r="AE772" s="153"/>
    </row>
    <row r="773" spans="31:31">
      <c r="AE773" s="153"/>
    </row>
    <row r="774" spans="31:31">
      <c r="AE774" s="153"/>
    </row>
    <row r="775" spans="31:31">
      <c r="AE775" s="153"/>
    </row>
    <row r="776" spans="31:31">
      <c r="AE776" s="153"/>
    </row>
    <row r="777" spans="31:31">
      <c r="AE777" s="153"/>
    </row>
    <row r="778" spans="31:31">
      <c r="AE778" s="153"/>
    </row>
    <row r="779" spans="31:31">
      <c r="AE779" s="153"/>
    </row>
    <row r="780" spans="31:31">
      <c r="AE780" s="153"/>
    </row>
    <row r="781" spans="31:31">
      <c r="AE781" s="153"/>
    </row>
    <row r="782" spans="31:31">
      <c r="AE782" s="153"/>
    </row>
    <row r="783" spans="31:31">
      <c r="AE783" s="153"/>
    </row>
    <row r="784" spans="31:31">
      <c r="AE784" s="153"/>
    </row>
    <row r="785" spans="31:31">
      <c r="AE785" s="153"/>
    </row>
    <row r="786" spans="31:31">
      <c r="AE786" s="153"/>
    </row>
    <row r="787" spans="31:31">
      <c r="AE787" s="153"/>
    </row>
    <row r="788" spans="31:31">
      <c r="AE788" s="153"/>
    </row>
    <row r="789" spans="31:31">
      <c r="AE789" s="153"/>
    </row>
    <row r="790" spans="31:31">
      <c r="AE790" s="153"/>
    </row>
    <row r="791" spans="31:31">
      <c r="AE791" s="153"/>
    </row>
    <row r="792" spans="31:31">
      <c r="AE792" s="153"/>
    </row>
    <row r="793" spans="31:31">
      <c r="AE793" s="153"/>
    </row>
    <row r="794" spans="31:31">
      <c r="AE794" s="153"/>
    </row>
    <row r="795" spans="31:31">
      <c r="AE795" s="153"/>
    </row>
    <row r="796" spans="31:31">
      <c r="AE796" s="153"/>
    </row>
    <row r="797" spans="31:31">
      <c r="AE797" s="153"/>
    </row>
    <row r="798" spans="31:31">
      <c r="AE798" s="153"/>
    </row>
    <row r="799" spans="31:31">
      <c r="AE799" s="153"/>
    </row>
    <row r="800" spans="31:31">
      <c r="AE800" s="153"/>
    </row>
    <row r="801" spans="31:31">
      <c r="AE801" s="153"/>
    </row>
    <row r="802" spans="31:31">
      <c r="AE802" s="153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19" width="11.625" style="2" customWidth="1"/>
    <col min="20" max="20" width="11.625" style="148" customWidth="1"/>
    <col min="21" max="30" width="11.625" style="2" customWidth="1"/>
    <col min="31" max="31" width="9" style="2" customWidth="1"/>
    <col min="32" max="16384" width="9" style="2"/>
  </cols>
  <sheetData>
    <row r="1" spans="1:30" ht="66.75" customHeight="1">
      <c r="A1" s="22" t="s">
        <v>0</v>
      </c>
      <c r="B1" s="22" t="s">
        <v>1</v>
      </c>
      <c r="C1" s="22" t="s">
        <v>2</v>
      </c>
      <c r="D1" s="22" t="s">
        <v>97</v>
      </c>
      <c r="E1" s="22" t="s">
        <v>98</v>
      </c>
      <c r="F1" s="22" t="s">
        <v>3</v>
      </c>
      <c r="G1" s="22" t="s">
        <v>4</v>
      </c>
      <c r="H1" s="22" t="s">
        <v>99</v>
      </c>
      <c r="I1" s="22" t="s">
        <v>5</v>
      </c>
      <c r="J1" s="22" t="s">
        <v>6</v>
      </c>
      <c r="K1" s="22" t="s">
        <v>7</v>
      </c>
      <c r="L1" s="22" t="s">
        <v>78</v>
      </c>
      <c r="M1" s="22" t="s">
        <v>123</v>
      </c>
      <c r="N1" s="22" t="s">
        <v>108</v>
      </c>
      <c r="O1" s="22" t="s">
        <v>9</v>
      </c>
      <c r="P1" s="22" t="s">
        <v>10</v>
      </c>
      <c r="Q1" s="22" t="s">
        <v>124</v>
      </c>
      <c r="R1" s="22" t="s">
        <v>11</v>
      </c>
      <c r="S1" s="22" t="s">
        <v>12</v>
      </c>
      <c r="T1" s="146" t="s">
        <v>14</v>
      </c>
      <c r="U1" s="22" t="s">
        <v>15</v>
      </c>
      <c r="V1" s="22" t="s">
        <v>101</v>
      </c>
      <c r="W1" s="22" t="s">
        <v>102</v>
      </c>
      <c r="X1" s="22" t="s">
        <v>87</v>
      </c>
      <c r="Y1" s="22" t="s">
        <v>17</v>
      </c>
      <c r="Z1" s="22" t="s">
        <v>18</v>
      </c>
      <c r="AA1" s="22" t="s">
        <v>19</v>
      </c>
      <c r="AB1" s="22" t="s">
        <v>20</v>
      </c>
      <c r="AC1" s="22" t="s">
        <v>24</v>
      </c>
      <c r="AD1" s="22" t="s">
        <v>25</v>
      </c>
    </row>
    <row r="2" spans="1:30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151"/>
      <c r="U2" s="23"/>
      <c r="V2" s="23"/>
      <c r="W2" s="23"/>
      <c r="Y2" s="23"/>
      <c r="Z2" s="23"/>
      <c r="AA2" s="23"/>
      <c r="AB2" s="23"/>
      <c r="AC2" s="23"/>
      <c r="AD2" s="23"/>
    </row>
    <row r="3" spans="1:30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151"/>
      <c r="U3" s="23"/>
      <c r="V3" s="23"/>
      <c r="W3" s="23"/>
      <c r="Y3" s="23"/>
      <c r="Z3" s="23"/>
      <c r="AA3" s="23"/>
      <c r="AB3" s="23"/>
      <c r="AC3" s="23"/>
      <c r="AD3" s="23"/>
    </row>
    <row r="4" spans="1:30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151"/>
      <c r="U4" s="23"/>
      <c r="V4" s="23"/>
      <c r="W4" s="23"/>
      <c r="Y4" s="23"/>
      <c r="Z4" s="23"/>
      <c r="AA4" s="23"/>
      <c r="AB4" s="23"/>
      <c r="AC4" s="23"/>
      <c r="AD4" s="23"/>
    </row>
    <row r="5" spans="1:30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151"/>
      <c r="U5" s="23"/>
      <c r="V5" s="23"/>
      <c r="W5" s="23"/>
      <c r="Y5" s="23"/>
      <c r="Z5" s="23"/>
      <c r="AA5" s="23"/>
      <c r="AB5" s="23"/>
      <c r="AC5" s="23"/>
      <c r="AD5" s="23"/>
    </row>
    <row r="6" spans="1:30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151"/>
      <c r="U6" s="23"/>
      <c r="V6" s="23"/>
      <c r="W6" s="23"/>
      <c r="Y6" s="23"/>
      <c r="Z6" s="23"/>
      <c r="AA6" s="23"/>
      <c r="AB6" s="23"/>
      <c r="AC6" s="23"/>
      <c r="AD6" s="23"/>
    </row>
    <row r="7" spans="1:30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151"/>
      <c r="U7" s="23"/>
      <c r="V7" s="23"/>
      <c r="W7" s="23"/>
      <c r="Y7" s="23"/>
      <c r="Z7" s="23"/>
      <c r="AA7" s="23"/>
      <c r="AB7" s="23"/>
      <c r="AC7" s="23"/>
      <c r="AD7" s="23"/>
    </row>
    <row r="8" spans="1:30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151"/>
      <c r="U8" s="23"/>
      <c r="V8" s="23"/>
      <c r="W8" s="23"/>
      <c r="Y8" s="23"/>
      <c r="Z8" s="23"/>
      <c r="AA8" s="23"/>
      <c r="AB8" s="23"/>
      <c r="AC8" s="23"/>
      <c r="AD8" s="23"/>
    </row>
    <row r="9" spans="1:30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151"/>
      <c r="U9" s="23"/>
      <c r="V9" s="23"/>
      <c r="W9" s="23"/>
      <c r="Y9" s="23"/>
      <c r="Z9" s="23"/>
      <c r="AA9" s="23"/>
      <c r="AB9" s="23"/>
      <c r="AC9" s="23"/>
      <c r="AD9" s="23"/>
    </row>
    <row r="10" spans="1:30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151"/>
      <c r="U10" s="23"/>
      <c r="V10" s="23"/>
      <c r="W10" s="23"/>
      <c r="Y10" s="23"/>
      <c r="Z10" s="23"/>
      <c r="AA10" s="23"/>
      <c r="AB10" s="23"/>
      <c r="AC10" s="23"/>
      <c r="AD10" s="23"/>
    </row>
    <row r="11" spans="1:30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151"/>
      <c r="U11" s="23"/>
      <c r="V11" s="23"/>
      <c r="W11" s="23"/>
      <c r="Y11" s="23"/>
      <c r="Z11" s="23"/>
      <c r="AA11" s="23"/>
      <c r="AB11" s="23"/>
      <c r="AC11" s="23"/>
      <c r="AD11" s="23"/>
    </row>
    <row r="12" spans="1:30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151"/>
      <c r="U12" s="23"/>
      <c r="V12" s="23"/>
      <c r="W12" s="23"/>
      <c r="Y12" s="23"/>
      <c r="Z12" s="23"/>
      <c r="AA12" s="23"/>
      <c r="AB12" s="23"/>
      <c r="AC12" s="23"/>
      <c r="AD12" s="23"/>
    </row>
    <row r="13" spans="1:30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151"/>
      <c r="U13" s="23"/>
      <c r="V13" s="23"/>
      <c r="W13" s="23"/>
      <c r="Y13" s="23"/>
      <c r="Z13" s="23"/>
      <c r="AA13" s="23"/>
      <c r="AB13" s="23"/>
      <c r="AC13" s="23"/>
      <c r="AD13" s="23"/>
    </row>
    <row r="14" spans="1:30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151"/>
      <c r="U14" s="23"/>
      <c r="V14" s="23"/>
      <c r="W14" s="23"/>
      <c r="Y14" s="23"/>
      <c r="Z14" s="23"/>
      <c r="AA14" s="23"/>
      <c r="AB14" s="23"/>
      <c r="AC14" s="23"/>
      <c r="AD14" s="23"/>
    </row>
    <row r="15" spans="1:30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151"/>
      <c r="U15" s="23"/>
      <c r="V15" s="23"/>
      <c r="W15" s="23"/>
      <c r="Y15" s="23"/>
      <c r="Z15" s="23"/>
      <c r="AA15" s="23"/>
      <c r="AB15" s="23"/>
      <c r="AC15" s="23"/>
      <c r="AD15" s="23"/>
    </row>
    <row r="16" spans="1:30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151"/>
      <c r="U16" s="23"/>
      <c r="V16" s="23"/>
      <c r="W16" s="23"/>
      <c r="Y16" s="23"/>
      <c r="Z16" s="23"/>
      <c r="AA16" s="23"/>
      <c r="AB16" s="23"/>
      <c r="AC16" s="23"/>
      <c r="AD16" s="23"/>
    </row>
    <row r="17" spans="1:30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151"/>
      <c r="U17" s="23"/>
      <c r="V17" s="23"/>
      <c r="W17" s="23"/>
      <c r="Y17" s="23"/>
      <c r="Z17" s="23"/>
      <c r="AA17" s="23"/>
      <c r="AB17" s="23"/>
      <c r="AC17" s="23"/>
      <c r="AD17" s="23"/>
    </row>
    <row r="18" spans="1:30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151"/>
      <c r="U18" s="23"/>
      <c r="V18" s="23"/>
      <c r="W18" s="23"/>
      <c r="Y18" s="23"/>
      <c r="Z18" s="23"/>
      <c r="AA18" s="23"/>
      <c r="AB18" s="23"/>
      <c r="AC18" s="23"/>
      <c r="AD18" s="23"/>
    </row>
    <row r="19" spans="1:30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151"/>
      <c r="U19" s="23"/>
      <c r="V19" s="23"/>
      <c r="W19" s="23"/>
      <c r="Y19" s="23"/>
      <c r="Z19" s="23"/>
      <c r="AA19" s="23"/>
      <c r="AB19" s="23"/>
      <c r="AC19" s="23"/>
      <c r="AD19" s="23"/>
    </row>
    <row r="20" spans="1:30">
      <c r="E20" s="21"/>
      <c r="H20" s="23"/>
      <c r="I20" s="23"/>
      <c r="J20" s="21"/>
      <c r="K20" s="21"/>
      <c r="L20" s="23"/>
      <c r="M20" s="23"/>
      <c r="P20" s="23"/>
      <c r="Q20" s="23"/>
      <c r="V20" s="23"/>
      <c r="W20" s="23"/>
    </row>
    <row r="21" spans="1:30">
      <c r="T21" s="14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0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4" width="11.625" style="2" customWidth="1"/>
    <col min="15" max="15" width="11.625" style="148" customWidth="1"/>
    <col min="16" max="22" width="11.625" style="2" customWidth="1"/>
    <col min="23" max="23" width="9" style="2" customWidth="1"/>
    <col min="24" max="16384" width="9" style="2"/>
  </cols>
  <sheetData>
    <row r="1" spans="1:22" ht="66.75" customHeight="1">
      <c r="A1" s="22" t="s">
        <v>0</v>
      </c>
      <c r="B1" s="22" t="s">
        <v>1</v>
      </c>
      <c r="C1" s="22" t="s">
        <v>117</v>
      </c>
      <c r="D1" s="22" t="s">
        <v>118</v>
      </c>
      <c r="E1" s="22" t="s">
        <v>119</v>
      </c>
      <c r="F1" s="22" t="s">
        <v>5</v>
      </c>
      <c r="G1" s="22" t="s">
        <v>120</v>
      </c>
      <c r="H1" s="22" t="s">
        <v>6</v>
      </c>
      <c r="I1" s="22" t="s">
        <v>7</v>
      </c>
      <c r="J1" s="22" t="s">
        <v>78</v>
      </c>
      <c r="K1" s="22" t="s">
        <v>121</v>
      </c>
      <c r="L1" s="22" t="s">
        <v>10</v>
      </c>
      <c r="M1" s="22" t="s">
        <v>11</v>
      </c>
      <c r="N1" s="22" t="s">
        <v>12</v>
      </c>
      <c r="O1" s="146" t="s">
        <v>14</v>
      </c>
      <c r="P1" s="22" t="s">
        <v>15</v>
      </c>
      <c r="Q1" s="22" t="s">
        <v>88</v>
      </c>
      <c r="R1" s="22" t="s">
        <v>18</v>
      </c>
      <c r="S1" s="22" t="s">
        <v>122</v>
      </c>
      <c r="T1" s="22" t="s">
        <v>20</v>
      </c>
      <c r="U1" s="22" t="s">
        <v>24</v>
      </c>
      <c r="V1" s="22" t="s">
        <v>25</v>
      </c>
    </row>
    <row r="2" spans="1:22">
      <c r="A2" s="23"/>
      <c r="B2" s="23"/>
      <c r="C2" s="23"/>
      <c r="E2" s="21"/>
      <c r="F2" s="23"/>
      <c r="G2" s="23"/>
      <c r="H2" s="21"/>
      <c r="I2" s="21"/>
      <c r="J2" s="23"/>
      <c r="K2" s="23"/>
      <c r="M2" s="21"/>
      <c r="N2" s="23"/>
      <c r="O2" s="151"/>
      <c r="P2" s="23"/>
      <c r="R2" s="23"/>
      <c r="S2" s="23"/>
      <c r="T2" s="23"/>
      <c r="U2" s="23"/>
      <c r="V2" s="23"/>
    </row>
    <row r="3" spans="1:22">
      <c r="A3" s="23"/>
      <c r="B3" s="23"/>
      <c r="C3" s="23"/>
      <c r="E3" s="21"/>
      <c r="F3" s="23"/>
      <c r="G3" s="23"/>
      <c r="H3" s="21"/>
      <c r="I3" s="21"/>
      <c r="J3" s="23"/>
      <c r="K3" s="23"/>
      <c r="M3" s="21"/>
      <c r="N3" s="23"/>
      <c r="O3" s="151"/>
      <c r="P3" s="23"/>
      <c r="R3" s="23"/>
      <c r="T3" s="23"/>
      <c r="U3" s="23"/>
      <c r="V3" s="23"/>
    </row>
    <row r="4" spans="1:22">
      <c r="A4" s="23"/>
      <c r="B4" s="23"/>
      <c r="C4" s="23"/>
      <c r="E4" s="21"/>
      <c r="F4" s="23"/>
      <c r="G4" s="23"/>
      <c r="H4" s="21"/>
      <c r="I4" s="21"/>
      <c r="J4" s="23"/>
      <c r="K4" s="23"/>
      <c r="M4" s="21"/>
      <c r="N4" s="23"/>
      <c r="O4" s="151"/>
      <c r="P4" s="23"/>
      <c r="R4" s="23"/>
      <c r="T4" s="23"/>
      <c r="U4" s="23"/>
      <c r="V4" s="23"/>
    </row>
    <row r="5" spans="1:22">
      <c r="A5" s="23"/>
      <c r="B5" s="23"/>
      <c r="C5" s="23"/>
      <c r="E5" s="21"/>
      <c r="F5" s="23"/>
      <c r="G5" s="23"/>
      <c r="H5" s="21"/>
      <c r="I5" s="21"/>
      <c r="J5" s="23"/>
      <c r="K5" s="23"/>
      <c r="M5" s="21"/>
      <c r="N5" s="23"/>
      <c r="O5" s="151"/>
      <c r="P5" s="23"/>
      <c r="R5" s="23"/>
      <c r="T5" s="23"/>
      <c r="U5" s="23"/>
      <c r="V5" s="23"/>
    </row>
    <row r="6" spans="1:22">
      <c r="A6" s="23"/>
      <c r="B6" s="23"/>
      <c r="C6" s="23"/>
      <c r="E6" s="21"/>
      <c r="F6" s="23"/>
      <c r="G6" s="23"/>
      <c r="H6" s="21"/>
      <c r="I6" s="21"/>
      <c r="J6" s="23"/>
      <c r="K6" s="23"/>
      <c r="M6" s="21"/>
      <c r="N6" s="23"/>
      <c r="O6" s="151"/>
      <c r="P6" s="23"/>
      <c r="R6" s="23"/>
      <c r="T6" s="23"/>
      <c r="U6" s="23"/>
      <c r="V6" s="23"/>
    </row>
    <row r="7" spans="1:22">
      <c r="A7" s="23"/>
      <c r="B7" s="23"/>
      <c r="C7" s="23"/>
      <c r="E7" s="21"/>
      <c r="F7" s="23"/>
      <c r="G7" s="23"/>
      <c r="H7" s="21"/>
      <c r="I7" s="21"/>
      <c r="J7" s="23"/>
      <c r="K7" s="23"/>
      <c r="M7" s="21"/>
      <c r="N7" s="23"/>
      <c r="O7" s="151"/>
      <c r="P7" s="23"/>
      <c r="R7" s="23"/>
      <c r="S7" s="23"/>
      <c r="T7" s="23"/>
      <c r="U7" s="23"/>
      <c r="V7" s="23"/>
    </row>
    <row r="8" spans="1:22">
      <c r="A8" s="23"/>
      <c r="B8" s="23"/>
      <c r="C8" s="23"/>
      <c r="E8" s="21"/>
      <c r="F8" s="23"/>
      <c r="G8" s="23"/>
      <c r="H8" s="21"/>
      <c r="I8" s="21"/>
      <c r="J8" s="23"/>
      <c r="K8" s="23"/>
      <c r="M8" s="21"/>
      <c r="N8" s="23"/>
      <c r="O8" s="151"/>
      <c r="P8" s="23"/>
      <c r="R8" s="23"/>
      <c r="S8" s="23"/>
      <c r="T8" s="23"/>
      <c r="U8" s="23"/>
      <c r="V8" s="23"/>
    </row>
    <row r="9" spans="1:22">
      <c r="A9" s="23"/>
      <c r="B9" s="23"/>
      <c r="C9" s="23"/>
      <c r="E9" s="21"/>
      <c r="F9" s="23"/>
      <c r="G9" s="23"/>
      <c r="H9" s="21"/>
      <c r="I9" s="21"/>
      <c r="J9" s="23"/>
      <c r="K9" s="23"/>
      <c r="M9" s="21"/>
      <c r="N9" s="23"/>
      <c r="O9" s="151"/>
      <c r="P9" s="23"/>
      <c r="R9" s="23"/>
      <c r="S9" s="23"/>
      <c r="T9" s="23"/>
      <c r="U9" s="23"/>
      <c r="V9" s="23"/>
    </row>
    <row r="10" spans="1:22">
      <c r="A10" s="23"/>
      <c r="B10" s="23"/>
      <c r="C10" s="23"/>
      <c r="E10" s="21"/>
      <c r="F10" s="23"/>
      <c r="G10" s="23"/>
      <c r="H10" s="21"/>
      <c r="I10" s="21"/>
      <c r="J10" s="23"/>
      <c r="K10" s="23"/>
      <c r="M10" s="21"/>
      <c r="N10" s="23"/>
      <c r="O10" s="151"/>
      <c r="P10" s="23"/>
      <c r="R10" s="23"/>
      <c r="S10" s="23"/>
      <c r="T10" s="23"/>
      <c r="U10" s="23"/>
      <c r="V10" s="23"/>
    </row>
    <row r="11" spans="1:22">
      <c r="A11" s="23"/>
      <c r="B11" s="23"/>
      <c r="C11" s="23"/>
      <c r="E11" s="21"/>
      <c r="F11" s="23"/>
      <c r="G11" s="23"/>
      <c r="H11" s="21"/>
      <c r="I11" s="21"/>
      <c r="J11" s="23"/>
      <c r="K11" s="23"/>
      <c r="M11" s="21"/>
      <c r="N11" s="23"/>
      <c r="O11" s="151"/>
      <c r="P11" s="23"/>
      <c r="R11" s="23"/>
      <c r="S11" s="23"/>
      <c r="T11" s="23"/>
      <c r="U11" s="23"/>
      <c r="V11" s="23"/>
    </row>
    <row r="12" spans="1:22">
      <c r="A12" s="23"/>
      <c r="B12" s="23"/>
      <c r="C12" s="23"/>
      <c r="E12" s="21"/>
      <c r="F12" s="23"/>
      <c r="G12" s="23"/>
      <c r="H12" s="21"/>
      <c r="I12" s="21"/>
      <c r="J12" s="23"/>
      <c r="K12" s="23"/>
      <c r="M12" s="21"/>
      <c r="N12" s="23"/>
      <c r="O12" s="151"/>
      <c r="P12" s="23"/>
      <c r="R12" s="23"/>
      <c r="S12" s="23"/>
      <c r="T12" s="23"/>
      <c r="U12" s="23"/>
      <c r="V12" s="23"/>
    </row>
    <row r="13" spans="1:22">
      <c r="A13" s="23"/>
      <c r="B13" s="23"/>
      <c r="C13" s="23"/>
      <c r="E13" s="21"/>
      <c r="F13" s="23"/>
      <c r="G13" s="23"/>
      <c r="H13" s="21"/>
      <c r="I13" s="21"/>
      <c r="J13" s="23"/>
      <c r="K13" s="23"/>
      <c r="M13" s="21"/>
      <c r="N13" s="23"/>
      <c r="O13" s="151"/>
      <c r="P13" s="23"/>
      <c r="R13" s="23"/>
      <c r="S13" s="23"/>
      <c r="T13" s="23"/>
      <c r="U13" s="23"/>
      <c r="V13" s="23"/>
    </row>
    <row r="14" spans="1:22">
      <c r="A14" s="23"/>
      <c r="B14" s="23"/>
      <c r="C14" s="23"/>
      <c r="E14" s="21"/>
      <c r="F14" s="23"/>
      <c r="G14" s="23"/>
      <c r="H14" s="21"/>
      <c r="I14" s="21"/>
      <c r="J14" s="23"/>
      <c r="K14" s="23"/>
      <c r="M14" s="21"/>
      <c r="N14" s="23"/>
      <c r="O14" s="151"/>
      <c r="P14" s="23"/>
      <c r="R14" s="23"/>
      <c r="S14" s="23"/>
      <c r="T14" s="23"/>
      <c r="U14" s="23"/>
      <c r="V14" s="23"/>
    </row>
    <row r="15" spans="1:22">
      <c r="A15" s="23"/>
      <c r="B15" s="23"/>
      <c r="C15" s="23"/>
      <c r="E15" s="21"/>
      <c r="F15" s="23"/>
      <c r="G15" s="23"/>
      <c r="H15" s="21"/>
      <c r="I15" s="21"/>
      <c r="J15" s="23"/>
      <c r="K15" s="23"/>
      <c r="M15" s="21"/>
      <c r="N15" s="23"/>
      <c r="O15" s="151"/>
      <c r="P15" s="23"/>
      <c r="R15" s="23"/>
      <c r="S15" s="23"/>
      <c r="T15" s="23"/>
      <c r="U15" s="23"/>
      <c r="V15" s="23"/>
    </row>
    <row r="16" spans="1:22">
      <c r="A16" s="23"/>
      <c r="B16" s="23"/>
      <c r="C16" s="23"/>
      <c r="E16" s="21"/>
      <c r="F16" s="23"/>
      <c r="G16" s="23"/>
      <c r="H16" s="21"/>
      <c r="I16" s="21"/>
      <c r="J16" s="23"/>
      <c r="K16" s="23"/>
      <c r="M16" s="21"/>
      <c r="N16" s="23"/>
      <c r="O16" s="151"/>
      <c r="P16" s="23"/>
      <c r="R16" s="23"/>
      <c r="S16" s="23"/>
      <c r="T16" s="23"/>
      <c r="U16" s="23"/>
      <c r="V16" s="23"/>
    </row>
    <row r="17" spans="1:22">
      <c r="A17" s="23"/>
      <c r="B17" s="23"/>
      <c r="C17" s="23"/>
      <c r="E17" s="21"/>
      <c r="F17" s="23"/>
      <c r="G17" s="23"/>
      <c r="H17" s="21"/>
      <c r="I17" s="21"/>
      <c r="J17" s="23"/>
      <c r="K17" s="23"/>
      <c r="M17" s="21"/>
      <c r="N17" s="23"/>
      <c r="O17" s="151"/>
      <c r="P17" s="23"/>
      <c r="R17" s="23"/>
      <c r="S17" s="23"/>
      <c r="T17" s="23"/>
      <c r="U17" s="23"/>
      <c r="V17" s="23"/>
    </row>
    <row r="18" spans="1:22">
      <c r="A18" s="23"/>
      <c r="B18" s="23"/>
      <c r="C18" s="23"/>
      <c r="E18" s="21"/>
      <c r="F18" s="23"/>
      <c r="G18" s="23"/>
      <c r="H18" s="21"/>
      <c r="I18" s="21"/>
      <c r="J18" s="23"/>
      <c r="K18" s="23"/>
      <c r="M18" s="21"/>
      <c r="N18" s="23"/>
      <c r="O18" s="151"/>
      <c r="P18" s="23"/>
      <c r="R18" s="23"/>
      <c r="S18" s="23"/>
      <c r="T18" s="23"/>
      <c r="U18" s="23"/>
      <c r="V18" s="23"/>
    </row>
    <row r="19" spans="1:22">
      <c r="A19" s="23"/>
      <c r="B19" s="23"/>
      <c r="C19" s="23"/>
      <c r="E19" s="21"/>
      <c r="F19" s="23"/>
      <c r="G19" s="23"/>
      <c r="H19" s="21"/>
      <c r="I19" s="21"/>
      <c r="J19" s="23"/>
      <c r="K19" s="23"/>
      <c r="M19" s="21"/>
      <c r="N19" s="23"/>
      <c r="O19" s="151"/>
      <c r="P19" s="23"/>
      <c r="R19" s="23"/>
      <c r="S19" s="23"/>
      <c r="T19" s="23"/>
      <c r="U19" s="23"/>
      <c r="V19" s="23"/>
    </row>
    <row r="20" spans="1:22">
      <c r="E20" s="21"/>
      <c r="F20" s="23"/>
      <c r="H20" s="21"/>
      <c r="I20" s="21"/>
      <c r="J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zoomScale="70" zoomScaleNormal="70" workbookViewId="0"/>
  </sheetViews>
  <sheetFormatPr defaultColWidth="9" defaultRowHeight="14.25"/>
  <cols>
    <col min="1" max="24" width="11.625" style="2" customWidth="1"/>
    <col min="25" max="25" width="9" style="2" customWidth="1"/>
    <col min="26" max="16384" width="9" style="2"/>
  </cols>
  <sheetData>
    <row r="1" spans="1:24" ht="66.75" customHeight="1">
      <c r="A1" s="22" t="s">
        <v>0</v>
      </c>
      <c r="B1" s="22" t="s">
        <v>1</v>
      </c>
      <c r="C1" s="22" t="s">
        <v>106</v>
      </c>
      <c r="D1" s="22" t="s">
        <v>5</v>
      </c>
      <c r="E1" s="22" t="s">
        <v>107</v>
      </c>
      <c r="F1" s="22" t="s">
        <v>78</v>
      </c>
      <c r="G1" s="22" t="s">
        <v>108</v>
      </c>
      <c r="H1" s="22" t="s">
        <v>109</v>
      </c>
      <c r="I1" s="22" t="s">
        <v>110</v>
      </c>
      <c r="J1" s="22" t="s">
        <v>111</v>
      </c>
      <c r="K1" s="22" t="s">
        <v>112</v>
      </c>
      <c r="L1" s="22" t="s">
        <v>113</v>
      </c>
      <c r="M1" s="22" t="s">
        <v>101</v>
      </c>
      <c r="N1" s="22" t="s">
        <v>114</v>
      </c>
      <c r="O1" s="22" t="s">
        <v>102</v>
      </c>
      <c r="P1" s="22" t="s">
        <v>87</v>
      </c>
      <c r="Q1" s="22" t="s">
        <v>11</v>
      </c>
      <c r="R1" s="22" t="s">
        <v>115</v>
      </c>
      <c r="S1" s="22" t="s">
        <v>20</v>
      </c>
      <c r="T1" s="22" t="s">
        <v>21</v>
      </c>
      <c r="U1" s="22" t="s">
        <v>116</v>
      </c>
      <c r="V1" s="22" t="s">
        <v>22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</row>
    <row r="3" spans="1:24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</row>
    <row r="20" spans="1:24">
      <c r="D20" s="23"/>
      <c r="E20" s="23"/>
      <c r="F20" s="23"/>
      <c r="H20" s="23"/>
      <c r="I20" s="23"/>
      <c r="L20" s="23"/>
      <c r="M20" s="23"/>
      <c r="O20" s="23"/>
      <c r="V20" s="23"/>
    </row>
    <row r="21" spans="1:24">
      <c r="D21" s="23"/>
      <c r="E21" s="23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3" width="11.625" style="2" customWidth="1"/>
    <col min="24" max="24" width="9" style="2" customWidth="1"/>
    <col min="25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97</v>
      </c>
      <c r="E1" s="22" t="s">
        <v>98</v>
      </c>
      <c r="F1" s="22" t="s">
        <v>3</v>
      </c>
      <c r="G1" s="22" t="s">
        <v>4</v>
      </c>
      <c r="H1" s="22" t="s">
        <v>99</v>
      </c>
      <c r="I1" s="22" t="s">
        <v>5</v>
      </c>
      <c r="J1" s="22" t="s">
        <v>6</v>
      </c>
      <c r="K1" s="22" t="s">
        <v>7</v>
      </c>
      <c r="L1" s="22" t="s">
        <v>100</v>
      </c>
      <c r="M1" s="22" t="s">
        <v>78</v>
      </c>
      <c r="N1" s="22" t="s">
        <v>11</v>
      </c>
      <c r="O1" s="22" t="s">
        <v>101</v>
      </c>
      <c r="P1" s="22" t="s">
        <v>102</v>
      </c>
      <c r="Q1" s="22" t="s">
        <v>87</v>
      </c>
      <c r="R1" s="22" t="s">
        <v>103</v>
      </c>
      <c r="S1" s="22" t="s">
        <v>104</v>
      </c>
      <c r="T1" s="22" t="s">
        <v>105</v>
      </c>
      <c r="U1" s="22" t="s">
        <v>20</v>
      </c>
      <c r="V1" s="22" t="s">
        <v>24</v>
      </c>
      <c r="W1" s="22" t="s">
        <v>25</v>
      </c>
    </row>
    <row r="2" spans="1:23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1"/>
      <c r="O2" s="23"/>
      <c r="P2" s="23"/>
      <c r="Q2" s="23"/>
      <c r="R2" s="23"/>
      <c r="S2" s="23"/>
      <c r="T2" s="23"/>
      <c r="U2" s="23"/>
      <c r="V2" s="23"/>
      <c r="W2" s="23"/>
    </row>
    <row r="3" spans="1:23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1"/>
      <c r="O3" s="23"/>
      <c r="P3" s="23"/>
      <c r="Q3" s="23"/>
      <c r="R3" s="23"/>
      <c r="S3" s="23"/>
      <c r="T3" s="23"/>
      <c r="U3" s="23"/>
      <c r="V3" s="23"/>
      <c r="W3" s="23"/>
    </row>
    <row r="4" spans="1:23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1"/>
      <c r="O4" s="23"/>
      <c r="P4" s="23"/>
      <c r="Q4" s="23"/>
      <c r="R4" s="23"/>
      <c r="S4" s="23"/>
      <c r="T4" s="23"/>
      <c r="U4" s="23"/>
      <c r="V4" s="23"/>
      <c r="W4" s="23"/>
    </row>
    <row r="5" spans="1:23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1"/>
      <c r="O5" s="23"/>
      <c r="P5" s="23"/>
      <c r="Q5" s="23"/>
      <c r="R5" s="23"/>
      <c r="S5" s="23"/>
      <c r="T5" s="23"/>
      <c r="U5" s="23"/>
      <c r="V5" s="23"/>
      <c r="W5" s="23"/>
    </row>
    <row r="6" spans="1:23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1"/>
      <c r="O6" s="23"/>
      <c r="P6" s="23"/>
      <c r="Q6" s="23"/>
      <c r="R6" s="23"/>
      <c r="S6" s="23"/>
      <c r="T6" s="23"/>
      <c r="U6" s="23"/>
      <c r="V6" s="23"/>
      <c r="W6" s="23"/>
    </row>
    <row r="7" spans="1:23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  <c r="U7" s="23"/>
      <c r="V7" s="23"/>
      <c r="W7" s="23"/>
    </row>
    <row r="8" spans="1:23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  <c r="U8" s="23"/>
      <c r="V8" s="23"/>
      <c r="W8" s="23"/>
    </row>
    <row r="9" spans="1:23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  <c r="U9" s="23"/>
      <c r="V9" s="23"/>
      <c r="W9" s="23"/>
    </row>
    <row r="10" spans="1:23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  <c r="U10" s="23"/>
      <c r="V10" s="23"/>
      <c r="W10" s="23"/>
    </row>
    <row r="11" spans="1:23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  <c r="U11" s="23"/>
      <c r="V11" s="23"/>
      <c r="W11" s="23"/>
    </row>
    <row r="12" spans="1:23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  <c r="U12" s="23"/>
      <c r="V12" s="23"/>
      <c r="W12" s="23"/>
    </row>
    <row r="13" spans="1:23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  <c r="U13" s="23"/>
      <c r="V13" s="23"/>
      <c r="W13" s="23"/>
    </row>
    <row r="14" spans="1:23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  <c r="U14" s="23"/>
      <c r="V14" s="23"/>
      <c r="W14" s="23"/>
    </row>
    <row r="15" spans="1:23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  <c r="U15" s="23"/>
      <c r="V15" s="23"/>
      <c r="W15" s="23"/>
    </row>
    <row r="16" spans="1:23" ht="15">
      <c r="A16" s="3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  <c r="U16" s="23"/>
      <c r="V16" s="23"/>
      <c r="W16" s="23"/>
    </row>
    <row r="17" spans="1:23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  <c r="U17" s="23"/>
      <c r="V17" s="23"/>
      <c r="W17" s="23"/>
    </row>
    <row r="18" spans="1:23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  <c r="U18" s="23"/>
      <c r="V18" s="23"/>
      <c r="W18" s="23"/>
    </row>
    <row r="19" spans="1:23">
      <c r="A19" s="30"/>
      <c r="B19" s="23"/>
      <c r="C19" s="23"/>
      <c r="D19" s="23"/>
      <c r="E19" s="21"/>
      <c r="F19" s="23"/>
      <c r="G19" s="23"/>
      <c r="H19" s="23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  <c r="U19" s="23"/>
      <c r="V19" s="23"/>
      <c r="W19" s="23"/>
    </row>
    <row r="20" spans="1:23">
      <c r="A20" s="11"/>
      <c r="E20" s="21"/>
      <c r="H20" s="23"/>
      <c r="I20" s="23"/>
      <c r="J20" s="21"/>
      <c r="K20" s="21"/>
      <c r="L20" s="23"/>
      <c r="M20" s="23"/>
      <c r="O20" s="23"/>
      <c r="P20" s="23"/>
    </row>
    <row r="22" spans="1:23">
      <c r="A2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zoomScale="70" zoomScaleNormal="70" workbookViewId="0"/>
  </sheetViews>
  <sheetFormatPr defaultColWidth="9" defaultRowHeight="14.25"/>
  <cols>
    <col min="1" max="18" width="11.625" style="2" customWidth="1"/>
    <col min="19" max="19" width="9" style="2" customWidth="1"/>
    <col min="20" max="16384" width="9" style="2"/>
  </cols>
  <sheetData>
    <row r="1" spans="1:18" ht="66.75" customHeight="1">
      <c r="A1" s="22" t="s">
        <v>0</v>
      </c>
      <c r="B1" s="22" t="s">
        <v>1</v>
      </c>
      <c r="C1" s="22" t="s">
        <v>84</v>
      </c>
      <c r="D1" s="22" t="s">
        <v>85</v>
      </c>
      <c r="E1" s="22" t="s">
        <v>5</v>
      </c>
      <c r="F1" s="22" t="s">
        <v>6</v>
      </c>
      <c r="G1" s="22" t="s">
        <v>7</v>
      </c>
      <c r="H1" s="22" t="s">
        <v>78</v>
      </c>
      <c r="I1" s="22" t="s">
        <v>86</v>
      </c>
      <c r="J1" s="22" t="s">
        <v>11</v>
      </c>
      <c r="K1" s="22" t="s">
        <v>87</v>
      </c>
      <c r="L1" s="22" t="s">
        <v>88</v>
      </c>
      <c r="M1" s="161" t="s">
        <v>18</v>
      </c>
      <c r="N1" s="22" t="s">
        <v>20</v>
      </c>
      <c r="O1" s="22" t="s">
        <v>21</v>
      </c>
      <c r="P1" s="22" t="s">
        <v>22</v>
      </c>
      <c r="Q1" s="165" t="s">
        <v>24</v>
      </c>
      <c r="R1" s="165" t="s">
        <v>25</v>
      </c>
    </row>
    <row r="2" spans="1:18">
      <c r="A2" s="23">
        <v>233</v>
      </c>
      <c r="B2" s="23">
        <v>233</v>
      </c>
      <c r="C2" s="30" t="s">
        <v>89</v>
      </c>
      <c r="D2" s="30" t="s">
        <v>90</v>
      </c>
      <c r="E2" s="30" t="s">
        <v>91</v>
      </c>
      <c r="F2" s="21"/>
      <c r="G2" s="21" t="s">
        <v>30</v>
      </c>
      <c r="H2" s="23" t="s">
        <v>92</v>
      </c>
      <c r="I2" s="23" t="s">
        <v>93</v>
      </c>
      <c r="J2" s="21" t="s">
        <v>34</v>
      </c>
      <c r="K2" s="23" t="s">
        <v>94</v>
      </c>
      <c r="L2" s="157">
        <v>-158.55500000000001</v>
      </c>
      <c r="M2" s="175">
        <v>1</v>
      </c>
      <c r="N2" s="159">
        <v>-158.55500000000001</v>
      </c>
      <c r="O2" s="23"/>
      <c r="P2" s="21" t="s">
        <v>36</v>
      </c>
      <c r="Q2" s="174">
        <v>8.3063058909814806</v>
      </c>
      <c r="R2" s="174">
        <v>-1.6882074763216801E-4</v>
      </c>
    </row>
    <row r="3" spans="1:18">
      <c r="A3" s="23">
        <v>233</v>
      </c>
      <c r="B3" s="23">
        <v>233</v>
      </c>
      <c r="C3" s="30" t="s">
        <v>95</v>
      </c>
      <c r="D3" s="23" t="s">
        <v>96</v>
      </c>
      <c r="E3" s="30" t="s">
        <v>91</v>
      </c>
      <c r="F3" s="21" t="s">
        <v>30</v>
      </c>
      <c r="G3" s="21" t="s">
        <v>30</v>
      </c>
      <c r="H3" s="23" t="s">
        <v>92</v>
      </c>
      <c r="I3" s="23" t="s">
        <v>93</v>
      </c>
      <c r="J3" s="21" t="s">
        <v>34</v>
      </c>
      <c r="K3" s="23" t="s">
        <v>94</v>
      </c>
      <c r="L3" s="157">
        <v>139.46600000000001</v>
      </c>
      <c r="M3" s="175">
        <v>1</v>
      </c>
      <c r="N3" s="159">
        <v>139.46600000000001</v>
      </c>
      <c r="O3" s="23"/>
      <c r="P3" s="21" t="s">
        <v>36</v>
      </c>
      <c r="Q3" s="174">
        <v>-7.3063058909814798</v>
      </c>
      <c r="R3" s="174">
        <v>1.48496339905327E-4</v>
      </c>
    </row>
    <row r="4" spans="1:18">
      <c r="A4" s="23"/>
      <c r="B4" s="23"/>
      <c r="C4" s="30"/>
      <c r="D4" s="23"/>
      <c r="E4" s="30"/>
      <c r="F4" s="21"/>
      <c r="G4" s="21"/>
      <c r="H4" s="23"/>
      <c r="I4" s="23"/>
      <c r="J4" s="21"/>
      <c r="K4" s="23"/>
      <c r="M4" s="23"/>
      <c r="N4" s="23"/>
      <c r="O4" s="23"/>
      <c r="P4" s="21"/>
      <c r="Q4" s="23"/>
      <c r="R4" s="23"/>
    </row>
    <row r="5" spans="1:18">
      <c r="A5" s="23"/>
      <c r="B5" s="23"/>
      <c r="C5" s="30"/>
      <c r="D5" s="23"/>
      <c r="E5" s="30"/>
      <c r="F5" s="21"/>
      <c r="G5" s="21"/>
      <c r="H5" s="23"/>
      <c r="I5" s="23"/>
      <c r="J5" s="21"/>
      <c r="K5" s="23"/>
      <c r="M5" s="23"/>
      <c r="N5" s="23"/>
      <c r="O5" s="23"/>
      <c r="P5" s="21"/>
      <c r="Q5" s="23"/>
      <c r="R5" s="23"/>
    </row>
    <row r="6" spans="1:18">
      <c r="A6" s="23"/>
      <c r="B6" s="23"/>
      <c r="C6" s="30"/>
      <c r="D6" s="23"/>
      <c r="E6" s="30"/>
      <c r="F6" s="21"/>
      <c r="G6" s="21"/>
      <c r="H6" s="23"/>
      <c r="I6" s="23"/>
      <c r="J6" s="21"/>
      <c r="K6" s="23"/>
      <c r="M6" s="23"/>
      <c r="N6" s="23"/>
      <c r="O6" s="23"/>
      <c r="P6" s="21"/>
      <c r="Q6" s="23"/>
      <c r="R6" s="23"/>
    </row>
    <row r="7" spans="1:18">
      <c r="A7" s="23"/>
      <c r="B7" s="23"/>
      <c r="C7" s="30"/>
      <c r="D7" s="23"/>
      <c r="E7" s="30"/>
      <c r="F7" s="21"/>
      <c r="G7" s="21"/>
      <c r="H7" s="23"/>
      <c r="I7" s="23"/>
      <c r="J7" s="21"/>
      <c r="K7" s="23"/>
      <c r="M7" s="23"/>
      <c r="N7" s="23"/>
      <c r="O7" s="23"/>
      <c r="P7" s="21"/>
      <c r="Q7" s="23"/>
      <c r="R7" s="23"/>
    </row>
    <row r="8" spans="1:18">
      <c r="A8" s="23"/>
      <c r="B8" s="23"/>
      <c r="C8" s="30"/>
      <c r="D8" s="23"/>
      <c r="E8" s="30"/>
      <c r="F8" s="21"/>
      <c r="G8" s="21"/>
      <c r="H8" s="23"/>
      <c r="I8" s="23"/>
      <c r="J8" s="21"/>
      <c r="K8" s="23"/>
      <c r="M8" s="23"/>
      <c r="N8" s="23"/>
      <c r="O8" s="23"/>
      <c r="P8" s="21"/>
      <c r="Q8" s="23"/>
      <c r="R8" s="23"/>
    </row>
    <row r="9" spans="1:18">
      <c r="A9" s="23"/>
      <c r="B9" s="23"/>
      <c r="C9" s="30"/>
      <c r="D9" s="23"/>
      <c r="E9" s="30"/>
      <c r="F9" s="21"/>
      <c r="G9" s="21"/>
      <c r="H9" s="23"/>
      <c r="I9" s="23"/>
      <c r="J9" s="21"/>
      <c r="K9" s="23"/>
      <c r="M9" s="23"/>
      <c r="N9" s="23"/>
      <c r="O9" s="23"/>
      <c r="P9" s="21"/>
      <c r="Q9" s="23"/>
      <c r="R9" s="23"/>
    </row>
    <row r="10" spans="1:18">
      <c r="A10" s="23"/>
      <c r="B10" s="23"/>
      <c r="C10" s="30"/>
      <c r="D10" s="23"/>
      <c r="E10" s="30"/>
      <c r="F10" s="21"/>
      <c r="G10" s="21"/>
      <c r="H10" s="23"/>
      <c r="I10" s="23"/>
      <c r="J10" s="21"/>
      <c r="K10" s="23"/>
      <c r="M10" s="23"/>
      <c r="N10" s="23"/>
      <c r="O10" s="23"/>
      <c r="P10" s="21"/>
      <c r="Q10" s="23"/>
      <c r="R10" s="23"/>
    </row>
    <row r="11" spans="1:18">
      <c r="A11" s="23"/>
      <c r="B11" s="23"/>
      <c r="C11" s="30"/>
      <c r="D11" s="23"/>
      <c r="E11" s="30"/>
      <c r="F11" s="21"/>
      <c r="G11" s="21"/>
      <c r="H11" s="23"/>
      <c r="I11" s="23"/>
      <c r="J11" s="21"/>
      <c r="K11" s="23"/>
      <c r="M11" s="23"/>
      <c r="N11" s="23"/>
      <c r="O11" s="23"/>
      <c r="P11" s="21"/>
      <c r="Q11" s="23"/>
      <c r="R11" s="23"/>
    </row>
    <row r="12" spans="1:18">
      <c r="A12" s="23"/>
      <c r="B12" s="23"/>
      <c r="C12" s="30"/>
      <c r="D12" s="23"/>
      <c r="E12" s="30"/>
      <c r="F12" s="21"/>
      <c r="G12" s="21"/>
      <c r="H12" s="23"/>
      <c r="I12" s="23"/>
      <c r="J12" s="21"/>
      <c r="K12" s="23"/>
      <c r="M12" s="23"/>
      <c r="N12" s="23"/>
      <c r="O12" s="23"/>
      <c r="P12" s="21"/>
      <c r="Q12" s="23"/>
      <c r="R12" s="23"/>
    </row>
    <row r="13" spans="1:18">
      <c r="A13" s="23"/>
      <c r="B13" s="23"/>
      <c r="C13" s="30"/>
      <c r="D13" s="23"/>
      <c r="E13" s="30"/>
      <c r="F13" s="21"/>
      <c r="G13" s="21"/>
      <c r="H13" s="23"/>
      <c r="I13" s="23"/>
      <c r="J13" s="21"/>
      <c r="K13" s="23"/>
      <c r="M13" s="23"/>
      <c r="N13" s="23"/>
      <c r="O13" s="23"/>
      <c r="P13" s="21"/>
      <c r="Q13" s="23"/>
      <c r="R13" s="23"/>
    </row>
    <row r="14" spans="1:18">
      <c r="A14" s="23"/>
      <c r="B14" s="23"/>
      <c r="C14" s="30"/>
      <c r="D14" s="23"/>
      <c r="E14" s="30"/>
      <c r="F14" s="21"/>
      <c r="G14" s="21"/>
      <c r="H14" s="23"/>
      <c r="I14" s="23"/>
      <c r="J14" s="21"/>
      <c r="K14" s="23"/>
      <c r="M14" s="23"/>
      <c r="N14" s="23"/>
      <c r="O14" s="23"/>
      <c r="P14" s="21"/>
      <c r="Q14" s="23"/>
      <c r="R14" s="23"/>
    </row>
    <row r="15" spans="1:18">
      <c r="A15" s="23"/>
      <c r="B15" s="23"/>
      <c r="C15" s="30"/>
      <c r="D15" s="23"/>
      <c r="E15" s="30"/>
      <c r="F15" s="21"/>
      <c r="G15" s="21"/>
      <c r="H15" s="23"/>
      <c r="I15" s="23"/>
      <c r="J15" s="21"/>
      <c r="K15" s="23"/>
      <c r="M15" s="23"/>
      <c r="N15" s="23"/>
      <c r="O15" s="23"/>
      <c r="P15" s="21"/>
      <c r="Q15" s="23"/>
      <c r="R15" s="23"/>
    </row>
    <row r="16" spans="1:18">
      <c r="A16" s="23"/>
      <c r="B16" s="23"/>
      <c r="C16" s="30"/>
      <c r="D16" s="23"/>
      <c r="E16" s="30"/>
      <c r="F16" s="21"/>
      <c r="G16" s="21"/>
      <c r="H16" s="23"/>
      <c r="I16" s="23"/>
      <c r="J16" s="21"/>
      <c r="K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30"/>
      <c r="D17" s="23"/>
      <c r="E17" s="30"/>
      <c r="F17" s="21"/>
      <c r="G17" s="21"/>
      <c r="H17" s="23"/>
      <c r="I17" s="23"/>
      <c r="J17" s="21"/>
      <c r="K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30"/>
      <c r="D18" s="23"/>
      <c r="E18" s="30"/>
      <c r="F18" s="21"/>
      <c r="G18" s="21"/>
      <c r="H18" s="23"/>
      <c r="I18" s="23"/>
      <c r="J18" s="21"/>
      <c r="K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30"/>
      <c r="D19" s="23"/>
      <c r="E19" s="30"/>
      <c r="F19" s="21"/>
      <c r="G19" s="21"/>
      <c r="H19" s="23"/>
      <c r="I19" s="23"/>
      <c r="J19" s="21"/>
      <c r="K19" s="23"/>
      <c r="M19" s="23"/>
      <c r="N19" s="23"/>
      <c r="O19" s="23"/>
      <c r="P19" s="21"/>
      <c r="Q19" s="23"/>
      <c r="R19" s="23"/>
    </row>
    <row r="20" spans="1:18">
      <c r="E20" s="30"/>
      <c r="F20" s="21"/>
      <c r="G20" s="21"/>
      <c r="H20" s="23"/>
      <c r="P20" s="21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22"/>
  <sheetViews>
    <sheetView rightToLeft="1" zoomScale="70" zoomScaleNormal="70" workbookViewId="0">
      <selection activeCell="A2" sqref="A2"/>
    </sheetView>
  </sheetViews>
  <sheetFormatPr defaultColWidth="11.625" defaultRowHeight="14.1" customHeight="1"/>
  <cols>
    <col min="1" max="15" width="11.625" style="2" customWidth="1"/>
    <col min="16" max="16" width="11.625" style="148" customWidth="1"/>
    <col min="17" max="20" width="11.625" style="2" customWidth="1"/>
    <col min="21" max="16384" width="11.625" style="2"/>
  </cols>
  <sheetData>
    <row r="1" spans="1:22" ht="66.75" customHeight="1">
      <c r="A1" s="22" t="s">
        <v>0</v>
      </c>
      <c r="B1" s="22" t="s">
        <v>1</v>
      </c>
      <c r="C1" s="22" t="s">
        <v>73</v>
      </c>
      <c r="D1" s="22" t="s">
        <v>74</v>
      </c>
      <c r="E1" s="22" t="s">
        <v>75</v>
      </c>
      <c r="F1" s="22" t="s">
        <v>76</v>
      </c>
      <c r="G1" s="22" t="s">
        <v>77</v>
      </c>
      <c r="H1" s="22" t="s">
        <v>6</v>
      </c>
      <c r="I1" s="22" t="s">
        <v>7</v>
      </c>
      <c r="J1" s="22" t="s">
        <v>78</v>
      </c>
      <c r="K1" s="22" t="s">
        <v>9</v>
      </c>
      <c r="L1" s="22" t="s">
        <v>10</v>
      </c>
      <c r="M1" s="22" t="s">
        <v>79</v>
      </c>
      <c r="N1" s="22" t="s">
        <v>11</v>
      </c>
      <c r="O1" s="22" t="s">
        <v>18</v>
      </c>
      <c r="P1" s="146" t="s">
        <v>14</v>
      </c>
      <c r="Q1" s="22" t="s">
        <v>80</v>
      </c>
      <c r="R1" s="22" t="s">
        <v>81</v>
      </c>
      <c r="S1" s="22" t="s">
        <v>82</v>
      </c>
      <c r="T1" s="22" t="s">
        <v>83</v>
      </c>
      <c r="U1" s="11"/>
      <c r="V1" s="11"/>
    </row>
    <row r="2" spans="1:22" ht="14.1" customHeight="1">
      <c r="D2" s="23"/>
      <c r="G2" s="21"/>
      <c r="H2" s="21"/>
      <c r="I2" s="21"/>
      <c r="J2" s="23"/>
      <c r="K2" s="23"/>
      <c r="L2" s="23"/>
      <c r="M2" s="23"/>
      <c r="P2" s="147"/>
      <c r="Q2" s="23"/>
      <c r="R2" s="21"/>
      <c r="S2" s="21"/>
      <c r="T2" s="21"/>
    </row>
    <row r="3" spans="1:22" ht="14.1" customHeight="1">
      <c r="D3" s="23"/>
      <c r="H3" s="21"/>
      <c r="I3" s="21"/>
      <c r="J3" s="23"/>
      <c r="K3" s="23"/>
      <c r="L3" s="23"/>
      <c r="M3" s="23"/>
      <c r="Q3" s="23"/>
    </row>
    <row r="4" spans="1:22" ht="14.1" customHeight="1">
      <c r="D4" s="23"/>
      <c r="H4" s="21"/>
      <c r="I4" s="21"/>
      <c r="J4" s="23"/>
      <c r="K4" s="23"/>
      <c r="L4" s="23"/>
      <c r="M4" s="23"/>
      <c r="Q4" s="23"/>
    </row>
    <row r="5" spans="1:22" ht="14.1" customHeight="1">
      <c r="D5" s="23"/>
      <c r="H5" s="21"/>
      <c r="I5" s="21"/>
      <c r="J5" s="23"/>
      <c r="K5" s="23"/>
      <c r="L5" s="23"/>
      <c r="M5" s="23"/>
      <c r="O5" s="11"/>
      <c r="Q5" s="23"/>
    </row>
    <row r="6" spans="1:22" ht="14.1" customHeight="1">
      <c r="D6" s="23"/>
      <c r="H6" s="21"/>
      <c r="I6" s="21"/>
      <c r="J6" s="23"/>
      <c r="K6" s="23"/>
      <c r="L6" s="23"/>
      <c r="M6" s="23"/>
      <c r="O6" s="11"/>
      <c r="Q6" s="23"/>
    </row>
    <row r="7" spans="1:22" ht="14.1" customHeight="1">
      <c r="D7" s="23"/>
      <c r="H7" s="21"/>
      <c r="I7" s="21"/>
      <c r="J7" s="23"/>
      <c r="K7" s="23"/>
      <c r="L7" s="23"/>
      <c r="M7" s="23"/>
      <c r="Q7" s="23"/>
    </row>
    <row r="8" spans="1:22" ht="14.1" customHeight="1">
      <c r="D8" s="23"/>
      <c r="H8" s="21"/>
      <c r="I8" s="21"/>
      <c r="J8" s="23"/>
      <c r="K8" s="23"/>
      <c r="L8" s="23"/>
      <c r="M8" s="23"/>
      <c r="N8" s="11"/>
      <c r="Q8" s="23"/>
    </row>
    <row r="9" spans="1:22" ht="14.1" customHeight="1">
      <c r="D9" s="23"/>
      <c r="H9" s="21"/>
      <c r="I9" s="21"/>
      <c r="J9" s="23"/>
      <c r="K9" s="23"/>
      <c r="L9" s="23"/>
      <c r="M9" s="23"/>
      <c r="Q9" s="23"/>
    </row>
    <row r="10" spans="1:22" ht="13.5" customHeight="1">
      <c r="D10" s="23"/>
      <c r="H10" s="21"/>
      <c r="I10" s="21"/>
      <c r="J10" s="23"/>
      <c r="K10" s="23"/>
      <c r="L10" s="23"/>
      <c r="M10" s="23"/>
      <c r="Q10" s="23"/>
    </row>
    <row r="11" spans="1:22" ht="13.5" customHeight="1">
      <c r="D11" s="23"/>
      <c r="H11" s="21"/>
      <c r="I11" s="21"/>
      <c r="J11" s="23"/>
      <c r="K11" s="23"/>
      <c r="L11" s="23"/>
      <c r="M11" s="23"/>
      <c r="Q11" s="23"/>
    </row>
    <row r="12" spans="1:22" ht="14.1" customHeight="1">
      <c r="D12" s="23"/>
      <c r="H12" s="21"/>
      <c r="I12" s="21"/>
      <c r="J12" s="23"/>
      <c r="K12" s="23"/>
      <c r="L12" s="23"/>
      <c r="M12" s="23"/>
      <c r="Q12" s="23"/>
    </row>
    <row r="13" spans="1:22" ht="14.1" customHeight="1">
      <c r="D13" s="23"/>
      <c r="H13" s="21"/>
      <c r="I13" s="21"/>
      <c r="J13" s="23"/>
      <c r="K13" s="23"/>
      <c r="L13" s="23"/>
      <c r="M13" s="23"/>
      <c r="Q13" s="23"/>
    </row>
    <row r="14" spans="1:22" ht="14.1" customHeight="1">
      <c r="D14" s="23"/>
      <c r="H14" s="21"/>
      <c r="I14" s="21"/>
      <c r="J14" s="23"/>
      <c r="K14" s="23"/>
      <c r="L14" s="23"/>
      <c r="M14" s="23"/>
      <c r="Q14" s="23"/>
    </row>
    <row r="15" spans="1:22" ht="14.1" customHeight="1">
      <c r="D15" s="23"/>
      <c r="H15" s="21"/>
      <c r="I15" s="21"/>
      <c r="J15" s="23"/>
      <c r="K15" s="23"/>
      <c r="L15" s="23"/>
      <c r="M15" s="23"/>
      <c r="Q15" s="23"/>
    </row>
    <row r="16" spans="1:22" ht="14.1" customHeight="1">
      <c r="D16" s="23"/>
      <c r="H16" s="21"/>
      <c r="I16" s="21"/>
      <c r="J16" s="23"/>
      <c r="K16" s="23"/>
      <c r="L16" s="23"/>
      <c r="M16" s="23"/>
      <c r="Q16" s="23"/>
    </row>
    <row r="17" spans="4:17" ht="14.1" customHeight="1">
      <c r="D17" s="23"/>
      <c r="H17" s="21"/>
      <c r="I17" s="21"/>
      <c r="J17" s="23"/>
      <c r="K17" s="23"/>
      <c r="L17" s="23"/>
      <c r="M17" s="23"/>
      <c r="Q17" s="23"/>
    </row>
    <row r="18" spans="4:17" ht="14.1" customHeight="1">
      <c r="D18" s="23"/>
      <c r="H18" s="21"/>
      <c r="I18" s="21"/>
      <c r="J18" s="23"/>
      <c r="K18" s="23"/>
      <c r="L18" s="23"/>
      <c r="M18" s="23"/>
      <c r="Q18" s="23"/>
    </row>
    <row r="19" spans="4:17" ht="14.1" customHeight="1">
      <c r="D19" s="23"/>
      <c r="H19" s="21"/>
      <c r="I19" s="21"/>
      <c r="J19" s="23"/>
      <c r="K19" s="23"/>
      <c r="L19" s="23"/>
      <c r="M19" s="23"/>
      <c r="Q19" s="23"/>
    </row>
    <row r="20" spans="4:17" ht="14.1" customHeight="1">
      <c r="D20" s="23"/>
      <c r="H20" s="21"/>
      <c r="I20" s="21"/>
      <c r="J20" s="23"/>
      <c r="L20" s="23"/>
      <c r="M20" s="23"/>
      <c r="Q20" s="23"/>
    </row>
    <row r="21" spans="4:17" ht="14.1" customHeight="1">
      <c r="D21" s="4"/>
    </row>
    <row r="22" spans="4:17" ht="14.1" customHeight="1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V28"/>
  <sheetViews>
    <sheetView rightToLeft="1" zoomScale="70" zoomScaleNormal="70" workbookViewId="0">
      <selection activeCell="O19" sqref="O19"/>
    </sheetView>
  </sheetViews>
  <sheetFormatPr defaultColWidth="11.625" defaultRowHeight="14.1" customHeight="1"/>
  <cols>
    <col min="1" max="8" width="11.625" style="2" customWidth="1"/>
    <col min="9" max="9" width="12.625" style="2" customWidth="1"/>
    <col min="10" max="23" width="11.625" style="2" customWidth="1"/>
    <col min="24" max="16384" width="11.625" style="2"/>
  </cols>
  <sheetData>
    <row r="1" spans="1:22" ht="66.75" customHeight="1">
      <c r="A1" s="22" t="s">
        <v>0</v>
      </c>
      <c r="B1" s="22" t="s">
        <v>1</v>
      </c>
      <c r="C1" s="22" t="s">
        <v>5</v>
      </c>
      <c r="D1" s="22" t="s">
        <v>138</v>
      </c>
      <c r="E1" s="22" t="s">
        <v>139</v>
      </c>
      <c r="F1" s="22" t="s">
        <v>140</v>
      </c>
      <c r="G1" s="22" t="s">
        <v>141</v>
      </c>
      <c r="H1" s="22" t="s">
        <v>142</v>
      </c>
      <c r="I1" s="22" t="s">
        <v>143</v>
      </c>
      <c r="J1" s="22" t="s">
        <v>11</v>
      </c>
      <c r="K1" s="22" t="s">
        <v>144</v>
      </c>
      <c r="L1" s="22" t="s">
        <v>145</v>
      </c>
      <c r="M1" s="22" t="s">
        <v>146</v>
      </c>
      <c r="N1" s="22" t="s">
        <v>147</v>
      </c>
      <c r="O1" s="22" t="s">
        <v>148</v>
      </c>
      <c r="P1" s="22" t="s">
        <v>149</v>
      </c>
      <c r="Q1" s="22" t="s">
        <v>150</v>
      </c>
    </row>
    <row r="2" spans="1:22" s="11" customFormat="1" ht="14.1" customHeight="1">
      <c r="A2" s="11">
        <v>233</v>
      </c>
      <c r="B2" s="11">
        <v>233</v>
      </c>
      <c r="C2" s="11" t="s">
        <v>1053</v>
      </c>
      <c r="D2" s="188" t="s">
        <v>1694</v>
      </c>
      <c r="E2" s="11" t="s">
        <v>1695</v>
      </c>
      <c r="F2" s="30" t="s">
        <v>260</v>
      </c>
      <c r="G2" s="11" t="s">
        <v>1819</v>
      </c>
      <c r="H2" s="11">
        <v>29994282</v>
      </c>
      <c r="I2" s="30" t="s">
        <v>33</v>
      </c>
      <c r="J2" s="11" t="s">
        <v>1820</v>
      </c>
      <c r="K2" s="189">
        <v>44347</v>
      </c>
      <c r="L2" s="11">
        <v>6000000</v>
      </c>
      <c r="M2" s="11">
        <v>22260</v>
      </c>
      <c r="N2" s="190">
        <v>3724.8</v>
      </c>
      <c r="O2" s="190">
        <v>13819.008</v>
      </c>
      <c r="P2" s="194">
        <v>0.62080000000000002</v>
      </c>
      <c r="Q2" s="189">
        <v>48733</v>
      </c>
      <c r="S2" s="190"/>
      <c r="V2" s="21"/>
    </row>
    <row r="3" spans="1:22" s="11" customFormat="1" ht="14.1" customHeight="1">
      <c r="A3" s="11">
        <v>233</v>
      </c>
      <c r="B3" s="11">
        <v>233</v>
      </c>
      <c r="C3" s="11" t="s">
        <v>1053</v>
      </c>
      <c r="D3" s="188" t="s">
        <v>1700</v>
      </c>
      <c r="E3" s="11">
        <v>540281839</v>
      </c>
      <c r="F3" s="30" t="s">
        <v>260</v>
      </c>
      <c r="G3" s="11" t="s">
        <v>1821</v>
      </c>
      <c r="H3" s="11">
        <v>8917762</v>
      </c>
      <c r="I3" s="30" t="s">
        <v>33</v>
      </c>
      <c r="J3" s="11" t="s">
        <v>1820</v>
      </c>
      <c r="K3" s="189">
        <v>43300</v>
      </c>
      <c r="L3" s="11">
        <v>3000000</v>
      </c>
      <c r="M3" s="11">
        <v>11130</v>
      </c>
      <c r="N3" s="190">
        <v>207.363</v>
      </c>
      <c r="O3" s="190">
        <v>769.31673000000001</v>
      </c>
      <c r="P3" s="194">
        <v>6.9121000000000002E-2</v>
      </c>
      <c r="Q3" s="189">
        <v>46935</v>
      </c>
      <c r="S3" s="190"/>
      <c r="V3" s="21"/>
    </row>
    <row r="4" spans="1:22" s="11" customFormat="1" ht="13.5" customHeight="1">
      <c r="A4" s="11">
        <v>233</v>
      </c>
      <c r="B4" s="11">
        <v>233</v>
      </c>
      <c r="C4" s="11" t="s">
        <v>1053</v>
      </c>
      <c r="D4" s="188" t="s">
        <v>1705</v>
      </c>
      <c r="E4" s="11">
        <v>540310885</v>
      </c>
      <c r="F4" s="30" t="s">
        <v>260</v>
      </c>
      <c r="G4" s="188" t="s">
        <v>1822</v>
      </c>
      <c r="H4" s="11">
        <v>8917764</v>
      </c>
      <c r="I4" s="30" t="s">
        <v>33</v>
      </c>
      <c r="J4" s="11" t="s">
        <v>1820</v>
      </c>
      <c r="K4" s="189">
        <v>44258</v>
      </c>
      <c r="L4" s="11">
        <v>1500000</v>
      </c>
      <c r="M4" s="11">
        <v>5565</v>
      </c>
      <c r="N4" s="190">
        <v>273.75</v>
      </c>
      <c r="O4" s="190">
        <v>1015.6125</v>
      </c>
      <c r="P4" s="194">
        <v>0.1825</v>
      </c>
      <c r="Q4" s="189">
        <v>47908</v>
      </c>
      <c r="S4" s="190"/>
      <c r="V4" s="21"/>
    </row>
    <row r="5" spans="1:22" s="11" customFormat="1" ht="13.5" customHeight="1">
      <c r="A5" s="11">
        <v>233</v>
      </c>
      <c r="B5" s="11">
        <v>233</v>
      </c>
      <c r="C5" s="11" t="s">
        <v>1053</v>
      </c>
      <c r="D5" s="188" t="s">
        <v>1716</v>
      </c>
      <c r="E5" s="11">
        <v>540283272</v>
      </c>
      <c r="F5" s="30" t="s">
        <v>260</v>
      </c>
      <c r="G5" s="11" t="s">
        <v>1823</v>
      </c>
      <c r="H5" s="11">
        <v>800070395</v>
      </c>
      <c r="I5" s="30" t="s">
        <v>33</v>
      </c>
      <c r="J5" s="11" t="s">
        <v>1820</v>
      </c>
      <c r="K5" s="189">
        <v>44200</v>
      </c>
      <c r="L5" s="11">
        <v>2000000</v>
      </c>
      <c r="M5" s="11">
        <v>7420</v>
      </c>
      <c r="N5" s="190">
        <v>520</v>
      </c>
      <c r="O5" s="190">
        <v>1929.2</v>
      </c>
      <c r="P5" s="194">
        <v>0.26</v>
      </c>
      <c r="Q5" s="189">
        <v>47849</v>
      </c>
      <c r="S5" s="190"/>
      <c r="V5" s="21"/>
    </row>
    <row r="6" spans="1:22" s="11" customFormat="1" ht="14.1" customHeight="1">
      <c r="A6" s="11">
        <v>233</v>
      </c>
      <c r="B6" s="11">
        <v>233</v>
      </c>
      <c r="C6" s="11" t="s">
        <v>1053</v>
      </c>
      <c r="D6" s="188" t="s">
        <v>1730</v>
      </c>
      <c r="E6" s="11">
        <v>540278827</v>
      </c>
      <c r="F6" s="30" t="s">
        <v>260</v>
      </c>
      <c r="G6" s="11" t="s">
        <v>1824</v>
      </c>
      <c r="H6" s="11">
        <v>8917763</v>
      </c>
      <c r="I6" s="30" t="s">
        <v>33</v>
      </c>
      <c r="J6" s="11" t="s">
        <v>1820</v>
      </c>
      <c r="K6" s="189">
        <v>43539</v>
      </c>
      <c r="L6" s="11">
        <v>3000000</v>
      </c>
      <c r="M6" s="11">
        <v>11130</v>
      </c>
      <c r="N6" s="190">
        <v>480</v>
      </c>
      <c r="O6" s="190">
        <v>1780.8</v>
      </c>
      <c r="P6" s="194">
        <v>0.16</v>
      </c>
      <c r="Q6" s="189">
        <v>47178</v>
      </c>
      <c r="S6" s="190"/>
      <c r="V6" s="21"/>
    </row>
    <row r="7" spans="1:22" s="11" customFormat="1" ht="14.1" customHeight="1">
      <c r="A7" s="11">
        <v>233</v>
      </c>
      <c r="B7" s="11">
        <v>233</v>
      </c>
      <c r="C7" s="11" t="s">
        <v>1053</v>
      </c>
      <c r="D7" s="188" t="s">
        <v>1736</v>
      </c>
      <c r="E7" s="11" t="s">
        <v>1737</v>
      </c>
      <c r="F7" s="30" t="s">
        <v>33</v>
      </c>
      <c r="G7" s="11" t="s">
        <v>1738</v>
      </c>
      <c r="H7" s="11">
        <v>865637</v>
      </c>
      <c r="I7" s="30" t="s">
        <v>33</v>
      </c>
      <c r="J7" s="11" t="s">
        <v>1820</v>
      </c>
      <c r="K7" s="189">
        <v>44922</v>
      </c>
      <c r="L7" s="11">
        <v>4000000</v>
      </c>
      <c r="M7" s="11">
        <v>14840</v>
      </c>
      <c r="N7" s="190">
        <v>1080</v>
      </c>
      <c r="O7" s="190">
        <v>4006.8</v>
      </c>
      <c r="P7" s="194">
        <v>0.27</v>
      </c>
      <c r="Q7" s="189">
        <v>47453</v>
      </c>
      <c r="S7" s="190"/>
      <c r="V7" s="21"/>
    </row>
    <row r="8" spans="1:22" s="11" customFormat="1" ht="14.1" customHeight="1">
      <c r="A8" s="11">
        <v>233</v>
      </c>
      <c r="B8" s="11">
        <v>233</v>
      </c>
      <c r="C8" s="11" t="s">
        <v>1053</v>
      </c>
      <c r="D8" s="188" t="s">
        <v>1747</v>
      </c>
      <c r="E8" s="11" t="s">
        <v>1748</v>
      </c>
      <c r="F8" s="30" t="s">
        <v>33</v>
      </c>
      <c r="G8" s="11" t="s">
        <v>1747</v>
      </c>
      <c r="H8" s="11">
        <v>29994435</v>
      </c>
      <c r="I8" s="30" t="s">
        <v>33</v>
      </c>
      <c r="J8" s="11" t="s">
        <v>1820</v>
      </c>
      <c r="K8" s="189">
        <v>44560</v>
      </c>
      <c r="L8" s="11">
        <v>5000000</v>
      </c>
      <c r="M8" s="11">
        <v>18550</v>
      </c>
      <c r="N8" s="190">
        <v>1283.3609999999999</v>
      </c>
      <c r="O8" s="190">
        <v>4761.2693099999997</v>
      </c>
      <c r="P8" s="194">
        <v>0.25667219999999996</v>
      </c>
      <c r="Q8" s="189">
        <v>48733</v>
      </c>
      <c r="S8" s="190"/>
      <c r="V8" s="21"/>
    </row>
    <row r="9" spans="1:22" ht="14.1" customHeight="1">
      <c r="F9" s="23"/>
      <c r="I9" s="23"/>
      <c r="K9" s="23"/>
      <c r="P9" s="23"/>
      <c r="V9" s="21"/>
    </row>
    <row r="10" spans="1:22" ht="14.1" customHeight="1">
      <c r="F10" s="23"/>
      <c r="I10" s="23"/>
      <c r="K10" s="23"/>
      <c r="P10" s="23"/>
      <c r="V10" s="21"/>
    </row>
    <row r="11" spans="1:22" ht="14.1" customHeight="1">
      <c r="F11" s="23"/>
      <c r="I11" s="23"/>
      <c r="K11" s="23"/>
    </row>
    <row r="12" spans="1:22" ht="14.1" customHeight="1">
      <c r="F12" s="23"/>
      <c r="I12" s="23"/>
      <c r="K12" s="23"/>
    </row>
    <row r="13" spans="1:22" ht="14.1" customHeight="1">
      <c r="F13" s="23"/>
      <c r="I13" s="23"/>
      <c r="K13" s="23"/>
    </row>
    <row r="14" spans="1:22" ht="14.1" customHeight="1">
      <c r="F14" s="23"/>
      <c r="I14" s="23"/>
      <c r="K14" s="23"/>
    </row>
    <row r="15" spans="1:22" ht="14.1" customHeight="1">
      <c r="F15" s="23"/>
      <c r="I15" s="23"/>
      <c r="K15" s="23"/>
    </row>
    <row r="16" spans="1:22" ht="14.1" customHeight="1">
      <c r="F16" s="23"/>
      <c r="I16" s="23"/>
      <c r="K16" s="23"/>
    </row>
    <row r="17" spans="6:11" ht="14.1" customHeight="1">
      <c r="F17" s="23"/>
      <c r="I17" s="23"/>
      <c r="K17" s="23"/>
    </row>
    <row r="18" spans="6:11" ht="14.1" customHeight="1">
      <c r="F18" s="23"/>
      <c r="I18" s="23"/>
      <c r="K18" s="23"/>
    </row>
    <row r="19" spans="6:11" ht="14.1" customHeight="1">
      <c r="F19" s="23"/>
      <c r="I19" s="23"/>
      <c r="K19" s="23"/>
    </row>
    <row r="20" spans="6:11" ht="14.1" customHeight="1">
      <c r="F20" s="23"/>
      <c r="I20" s="23"/>
    </row>
    <row r="24" spans="6:11" ht="14.1" customHeight="1">
      <c r="K24" s="11"/>
    </row>
    <row r="25" spans="6:11" ht="14.1" customHeight="1">
      <c r="K25" s="11"/>
    </row>
    <row r="26" spans="6:11" ht="14.1" customHeight="1">
      <c r="K26" s="11"/>
    </row>
    <row r="28" spans="6:11" ht="14.1" customHeight="1">
      <c r="K28" s="11"/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C9:C19</xm:sqref>
        </x14:dataValidation>
        <x14:dataValidation type="list" allowBlank="1" showInputMessage="1" showErrorMessage="1" xr:uid="{EA9F0500-FF41-4711-A860-44427B84FD76}">
          <x14:formula1>
            <xm:f>'אפשרויות בחירה'!#REF!</xm:f>
          </x14:formula1>
          <xm:sqref>C2:C8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F1315"/>
  <sheetViews>
    <sheetView showGridLines="0" rightToLeft="1" topLeftCell="B1" zoomScale="85" zoomScaleNormal="85" workbookViewId="0">
      <pane ySplit="1" topLeftCell="A360" activePane="bottomLeft" state="frozen"/>
      <selection pane="bottomLeft" activeCell="C328" sqref="C328"/>
    </sheetView>
  </sheetViews>
  <sheetFormatPr defaultColWidth="9" defaultRowHeight="14.25"/>
  <cols>
    <col min="1" max="1" width="29.5" style="11" customWidth="1"/>
    <col min="2" max="2" width="30.375" customWidth="1"/>
    <col min="3" max="3" width="90.875" style="18" customWidth="1"/>
    <col min="4" max="4" width="68.875" style="11" customWidth="1"/>
    <col min="5" max="5" width="17.375" customWidth="1"/>
    <col min="6" max="6" width="59.625" customWidth="1"/>
    <col min="7" max="7" width="63.5" customWidth="1"/>
    <col min="8" max="8" width="38.75" customWidth="1"/>
    <col min="9" max="9" width="9" customWidth="1"/>
  </cols>
  <sheetData>
    <row r="1" spans="1:5" s="54" customFormat="1" ht="45">
      <c r="A1" s="53" t="s">
        <v>151</v>
      </c>
      <c r="B1" s="53" t="s">
        <v>152</v>
      </c>
      <c r="C1" s="53" t="s">
        <v>153</v>
      </c>
      <c r="D1" s="53" t="s">
        <v>154</v>
      </c>
    </row>
    <row r="2" spans="1:5">
      <c r="A2" s="88"/>
      <c r="B2" s="88" t="s">
        <v>155</v>
      </c>
      <c r="C2" s="24" t="s">
        <v>30</v>
      </c>
      <c r="D2" s="24"/>
    </row>
    <row r="3" spans="1:5">
      <c r="A3" s="89"/>
      <c r="B3" s="89"/>
      <c r="C3" s="24" t="s">
        <v>67</v>
      </c>
      <c r="D3" s="24"/>
    </row>
    <row r="4" spans="1:5" ht="42.75">
      <c r="A4" s="81"/>
      <c r="B4" s="102" t="s">
        <v>156</v>
      </c>
      <c r="C4" s="25" t="s">
        <v>30</v>
      </c>
      <c r="D4" s="25"/>
    </row>
    <row r="5" spans="1:5">
      <c r="A5" s="82"/>
      <c r="B5" s="103"/>
      <c r="C5" s="25" t="s">
        <v>157</v>
      </c>
      <c r="D5" s="25"/>
    </row>
    <row r="6" spans="1:5">
      <c r="A6" s="82"/>
      <c r="B6" s="103"/>
      <c r="C6" s="25" t="s">
        <v>158</v>
      </c>
      <c r="D6" s="25"/>
    </row>
    <row r="7" spans="1:5">
      <c r="A7" s="82"/>
      <c r="B7" s="103"/>
      <c r="C7" s="25" t="s">
        <v>159</v>
      </c>
      <c r="D7" s="25"/>
    </row>
    <row r="8" spans="1:5">
      <c r="A8" s="82"/>
      <c r="B8" s="103"/>
      <c r="C8" s="25" t="s">
        <v>160</v>
      </c>
      <c r="D8" s="25"/>
    </row>
    <row r="9" spans="1:5">
      <c r="A9" s="82"/>
      <c r="B9" s="103"/>
      <c r="C9" s="25" t="s">
        <v>161</v>
      </c>
      <c r="D9" s="25"/>
    </row>
    <row r="10" spans="1:5">
      <c r="A10" s="82"/>
      <c r="B10" s="103"/>
      <c r="C10" s="25" t="s">
        <v>162</v>
      </c>
      <c r="D10" s="25"/>
    </row>
    <row r="11" spans="1:5">
      <c r="A11" s="82"/>
      <c r="B11" s="103"/>
      <c r="C11" s="25" t="s">
        <v>163</v>
      </c>
      <c r="D11" s="25"/>
      <c r="E11" t="s">
        <v>164</v>
      </c>
    </row>
    <row r="12" spans="1:5">
      <c r="A12" s="82"/>
      <c r="B12" s="103"/>
      <c r="C12" s="25" t="s">
        <v>165</v>
      </c>
      <c r="D12" s="25"/>
      <c r="E12" t="s">
        <v>164</v>
      </c>
    </row>
    <row r="13" spans="1:5">
      <c r="A13" s="82"/>
      <c r="B13" s="103"/>
      <c r="C13" s="25" t="s">
        <v>166</v>
      </c>
      <c r="D13" s="25"/>
    </row>
    <row r="14" spans="1:5">
      <c r="A14" s="82"/>
      <c r="B14" s="103"/>
      <c r="C14" s="25" t="s">
        <v>167</v>
      </c>
      <c r="D14" s="25"/>
    </row>
    <row r="15" spans="1:5">
      <c r="A15" s="82"/>
      <c r="B15" s="103"/>
      <c r="C15" s="25" t="s">
        <v>168</v>
      </c>
      <c r="D15" s="25"/>
    </row>
    <row r="16" spans="1:5">
      <c r="A16" s="82"/>
      <c r="B16" s="103"/>
      <c r="C16" s="25" t="s">
        <v>169</v>
      </c>
      <c r="D16" s="25"/>
    </row>
    <row r="17" spans="1:4">
      <c r="A17" s="82"/>
      <c r="B17" s="103"/>
      <c r="C17" s="25" t="s">
        <v>170</v>
      </c>
      <c r="D17" s="25"/>
    </row>
    <row r="18" spans="1:4">
      <c r="A18" s="82"/>
      <c r="B18" s="103"/>
      <c r="C18" s="25" t="s">
        <v>171</v>
      </c>
      <c r="D18" s="25"/>
    </row>
    <row r="19" spans="1:4">
      <c r="A19" s="82"/>
      <c r="B19" s="103"/>
      <c r="C19" s="25" t="s">
        <v>172</v>
      </c>
      <c r="D19" s="25"/>
    </row>
    <row r="20" spans="1:4">
      <c r="A20" s="82"/>
      <c r="B20" s="103"/>
      <c r="C20" s="25" t="s">
        <v>173</v>
      </c>
      <c r="D20" s="25"/>
    </row>
    <row r="21" spans="1:4">
      <c r="A21" s="82"/>
      <c r="B21" s="103"/>
      <c r="C21" s="25" t="s">
        <v>174</v>
      </c>
      <c r="D21" s="25"/>
    </row>
    <row r="22" spans="1:4">
      <c r="A22" s="82"/>
      <c r="B22" s="103"/>
      <c r="C22" s="25" t="s">
        <v>175</v>
      </c>
      <c r="D22" s="25"/>
    </row>
    <row r="23" spans="1:4">
      <c r="A23" s="82"/>
      <c r="B23" s="103"/>
      <c r="C23" s="25" t="s">
        <v>176</v>
      </c>
      <c r="D23" s="25"/>
    </row>
    <row r="24" spans="1:4">
      <c r="A24" s="82"/>
      <c r="B24" s="103"/>
      <c r="C24" s="25" t="s">
        <v>177</v>
      </c>
      <c r="D24" s="25"/>
    </row>
    <row r="25" spans="1:4">
      <c r="A25" s="82"/>
      <c r="B25" s="103"/>
      <c r="C25" s="25" t="s">
        <v>178</v>
      </c>
      <c r="D25" s="25"/>
    </row>
    <row r="26" spans="1:4">
      <c r="A26" s="82"/>
      <c r="B26" s="103"/>
      <c r="C26" s="25" t="s">
        <v>179</v>
      </c>
      <c r="D26" s="25"/>
    </row>
    <row r="27" spans="1:4">
      <c r="A27" s="82"/>
      <c r="B27" s="103"/>
      <c r="C27" s="25" t="s">
        <v>180</v>
      </c>
      <c r="D27" s="25"/>
    </row>
    <row r="28" spans="1:4">
      <c r="A28" s="82"/>
      <c r="B28" s="103"/>
      <c r="C28" s="25" t="s">
        <v>181</v>
      </c>
      <c r="D28" s="25"/>
    </row>
    <row r="29" spans="1:4">
      <c r="A29" s="82"/>
      <c r="B29" s="103"/>
      <c r="C29" s="25" t="s">
        <v>182</v>
      </c>
      <c r="D29" s="25"/>
    </row>
    <row r="30" spans="1:4">
      <c r="A30" s="82"/>
      <c r="B30" s="103"/>
      <c r="C30" s="25" t="s">
        <v>183</v>
      </c>
      <c r="D30" s="25"/>
    </row>
    <row r="31" spans="1:4">
      <c r="A31" s="82"/>
      <c r="B31" s="103"/>
      <c r="C31" s="25" t="s">
        <v>184</v>
      </c>
      <c r="D31" s="25"/>
    </row>
    <row r="32" spans="1:4">
      <c r="A32" s="82"/>
      <c r="B32" s="103"/>
      <c r="C32" s="25" t="s">
        <v>185</v>
      </c>
      <c r="D32" s="25"/>
    </row>
    <row r="33" spans="1:5">
      <c r="A33" s="82"/>
      <c r="B33" s="103"/>
      <c r="C33" s="25" t="s">
        <v>186</v>
      </c>
      <c r="D33" s="25"/>
    </row>
    <row r="34" spans="1:5">
      <c r="A34" s="82"/>
      <c r="B34" s="103"/>
      <c r="C34" s="25" t="s">
        <v>187</v>
      </c>
      <c r="D34" s="25"/>
    </row>
    <row r="35" spans="1:5">
      <c r="A35" s="82"/>
      <c r="B35" s="103"/>
      <c r="C35" s="25" t="s">
        <v>188</v>
      </c>
      <c r="D35" s="25"/>
    </row>
    <row r="36" spans="1:5">
      <c r="A36" s="82"/>
      <c r="B36" s="103"/>
      <c r="C36" s="25" t="s">
        <v>189</v>
      </c>
      <c r="D36" s="25"/>
      <c r="E36" t="s">
        <v>164</v>
      </c>
    </row>
    <row r="37" spans="1:5">
      <c r="A37" s="82"/>
      <c r="B37" s="103"/>
      <c r="C37" s="11" t="s">
        <v>190</v>
      </c>
      <c r="D37" s="25"/>
      <c r="E37" t="s">
        <v>164</v>
      </c>
    </row>
    <row r="38" spans="1:5">
      <c r="A38" s="82"/>
      <c r="B38" s="103"/>
      <c r="C38" s="25" t="s">
        <v>191</v>
      </c>
      <c r="D38" s="25"/>
    </row>
    <row r="39" spans="1:5">
      <c r="A39" s="82"/>
      <c r="B39" s="103"/>
      <c r="C39" s="25" t="s">
        <v>192</v>
      </c>
      <c r="D39" s="25"/>
    </row>
    <row r="40" spans="1:5">
      <c r="A40" s="82"/>
      <c r="B40" s="103"/>
      <c r="C40" s="25" t="s">
        <v>193</v>
      </c>
      <c r="D40" s="25"/>
      <c r="E40" t="s">
        <v>164</v>
      </c>
    </row>
    <row r="41" spans="1:5">
      <c r="A41" s="82"/>
      <c r="B41" s="103"/>
      <c r="C41" s="25" t="s">
        <v>194</v>
      </c>
      <c r="D41" s="25"/>
    </row>
    <row r="42" spans="1:5">
      <c r="A42" s="82"/>
      <c r="B42" s="103"/>
      <c r="C42" s="25" t="s">
        <v>195</v>
      </c>
      <c r="D42" s="25"/>
    </row>
    <row r="43" spans="1:5">
      <c r="A43" s="82"/>
      <c r="B43" s="103"/>
      <c r="C43" s="25" t="s">
        <v>196</v>
      </c>
      <c r="D43" s="25"/>
    </row>
    <row r="44" spans="1:5">
      <c r="A44" s="82"/>
      <c r="B44" s="103"/>
      <c r="C44" s="25" t="s">
        <v>197</v>
      </c>
      <c r="D44" s="25"/>
    </row>
    <row r="45" spans="1:5">
      <c r="A45" s="82"/>
      <c r="B45" s="103"/>
      <c r="C45" s="25" t="s">
        <v>198</v>
      </c>
      <c r="D45" s="25"/>
    </row>
    <row r="46" spans="1:5">
      <c r="A46" s="82"/>
      <c r="B46" s="103"/>
      <c r="C46" s="25" t="s">
        <v>199</v>
      </c>
      <c r="D46" s="25"/>
      <c r="E46" t="s">
        <v>164</v>
      </c>
    </row>
    <row r="47" spans="1:5">
      <c r="A47" s="82"/>
      <c r="B47" s="103"/>
      <c r="C47" s="25" t="s">
        <v>200</v>
      </c>
      <c r="D47" s="25"/>
    </row>
    <row r="48" spans="1:5">
      <c r="A48" s="82"/>
      <c r="B48" s="103"/>
      <c r="C48" s="25" t="s">
        <v>201</v>
      </c>
      <c r="D48" s="25"/>
    </row>
    <row r="49" spans="1:5">
      <c r="A49" s="82"/>
      <c r="B49" s="103"/>
      <c r="C49" s="25" t="s">
        <v>202</v>
      </c>
      <c r="D49" s="25"/>
    </row>
    <row r="50" spans="1:5">
      <c r="A50" s="82"/>
      <c r="B50" s="103"/>
      <c r="C50" s="25" t="s">
        <v>203</v>
      </c>
      <c r="D50" s="25"/>
    </row>
    <row r="51" spans="1:5">
      <c r="A51" s="82"/>
      <c r="B51" s="103"/>
      <c r="C51" s="25" t="s">
        <v>204</v>
      </c>
      <c r="D51" s="25"/>
    </row>
    <row r="52" spans="1:5">
      <c r="A52" s="82"/>
      <c r="B52" s="103"/>
      <c r="C52" s="25" t="s">
        <v>205</v>
      </c>
      <c r="D52" s="25"/>
    </row>
    <row r="53" spans="1:5">
      <c r="A53" s="82"/>
      <c r="B53" s="103"/>
      <c r="C53" s="25" t="s">
        <v>206</v>
      </c>
      <c r="D53" s="25"/>
    </row>
    <row r="54" spans="1:5">
      <c r="A54" s="82"/>
      <c r="B54" s="103"/>
      <c r="C54" s="25" t="s">
        <v>207</v>
      </c>
      <c r="D54" s="25"/>
    </row>
    <row r="55" spans="1:5">
      <c r="A55" s="82"/>
      <c r="B55" s="103"/>
      <c r="C55" s="25" t="s">
        <v>208</v>
      </c>
      <c r="D55" s="25"/>
    </row>
    <row r="56" spans="1:5">
      <c r="A56" s="82"/>
      <c r="B56" s="103"/>
      <c r="C56" s="25" t="s">
        <v>209</v>
      </c>
      <c r="D56" s="25"/>
    </row>
    <row r="57" spans="1:5">
      <c r="A57" s="82"/>
      <c r="B57" s="103"/>
      <c r="C57" s="25" t="s">
        <v>210</v>
      </c>
      <c r="D57" s="25"/>
    </row>
    <row r="58" spans="1:5">
      <c r="A58" s="82"/>
      <c r="B58" s="103"/>
      <c r="C58" s="25" t="s">
        <v>211</v>
      </c>
      <c r="D58" s="25"/>
    </row>
    <row r="59" spans="1:5">
      <c r="A59" s="82"/>
      <c r="B59" s="103"/>
      <c r="C59" s="25" t="s">
        <v>212</v>
      </c>
      <c r="D59" s="25"/>
    </row>
    <row r="60" spans="1:5">
      <c r="A60" s="82"/>
      <c r="B60" s="103"/>
      <c r="C60" s="25" t="s">
        <v>213</v>
      </c>
      <c r="D60" s="25"/>
    </row>
    <row r="61" spans="1:5">
      <c r="A61" s="82"/>
      <c r="B61" s="103"/>
      <c r="C61" s="25" t="s">
        <v>214</v>
      </c>
      <c r="D61" s="25"/>
    </row>
    <row r="62" spans="1:5">
      <c r="A62" s="82"/>
      <c r="B62" s="103"/>
      <c r="C62" s="25" t="s">
        <v>215</v>
      </c>
      <c r="D62" s="25"/>
    </row>
    <row r="63" spans="1:5">
      <c r="A63" s="82"/>
      <c r="B63" s="103"/>
      <c r="C63" s="25" t="s">
        <v>216</v>
      </c>
      <c r="D63" s="25"/>
      <c r="E63" t="s">
        <v>164</v>
      </c>
    </row>
    <row r="64" spans="1:5">
      <c r="A64" s="82"/>
      <c r="B64" s="103"/>
      <c r="C64" s="25" t="s">
        <v>217</v>
      </c>
      <c r="D64" s="25"/>
    </row>
    <row r="65" spans="1:4">
      <c r="A65" s="82"/>
      <c r="B65" s="103"/>
      <c r="C65" s="25" t="s">
        <v>218</v>
      </c>
      <c r="D65" s="25"/>
    </row>
    <row r="66" spans="1:4">
      <c r="A66" s="82"/>
      <c r="B66" s="103"/>
      <c r="C66" s="25" t="s">
        <v>219</v>
      </c>
      <c r="D66" s="25"/>
    </row>
    <row r="67" spans="1:4">
      <c r="A67" s="82"/>
      <c r="B67" s="103"/>
      <c r="C67" s="25" t="s">
        <v>220</v>
      </c>
      <c r="D67" s="25"/>
    </row>
    <row r="68" spans="1:4">
      <c r="A68" s="82"/>
      <c r="B68" s="103"/>
      <c r="C68" s="25" t="s">
        <v>221</v>
      </c>
      <c r="D68" s="25"/>
    </row>
    <row r="69" spans="1:4">
      <c r="A69" s="82"/>
      <c r="B69" s="103"/>
      <c r="C69" s="25" t="s">
        <v>222</v>
      </c>
      <c r="D69" s="25"/>
    </row>
    <row r="70" spans="1:4">
      <c r="A70" s="82"/>
      <c r="B70" s="103"/>
      <c r="C70" s="25" t="s">
        <v>223</v>
      </c>
      <c r="D70" s="25"/>
    </row>
    <row r="71" spans="1:4">
      <c r="A71" s="82"/>
      <c r="B71" s="103"/>
      <c r="C71" s="25" t="s">
        <v>224</v>
      </c>
      <c r="D71" s="25"/>
    </row>
    <row r="72" spans="1:4">
      <c r="A72" s="82"/>
      <c r="B72" s="103"/>
      <c r="C72" s="25" t="s">
        <v>225</v>
      </c>
      <c r="D72" s="25"/>
    </row>
    <row r="73" spans="1:4">
      <c r="A73" s="82"/>
      <c r="B73" s="103"/>
      <c r="C73" s="25" t="s">
        <v>226</v>
      </c>
      <c r="D73" s="25"/>
    </row>
    <row r="74" spans="1:4">
      <c r="A74" s="82"/>
      <c r="B74" s="103"/>
      <c r="C74" s="25" t="s">
        <v>227</v>
      </c>
      <c r="D74" s="25"/>
    </row>
    <row r="75" spans="1:4">
      <c r="A75" s="82"/>
      <c r="B75" s="103"/>
      <c r="C75" s="25" t="s">
        <v>228</v>
      </c>
      <c r="D75" s="25"/>
    </row>
    <row r="76" spans="1:4">
      <c r="A76" s="82"/>
      <c r="B76" s="103"/>
      <c r="C76" s="25" t="s">
        <v>229</v>
      </c>
      <c r="D76" s="25"/>
    </row>
    <row r="77" spans="1:4">
      <c r="A77" s="82"/>
      <c r="B77" s="103"/>
      <c r="C77" s="25" t="s">
        <v>230</v>
      </c>
      <c r="D77" s="25"/>
    </row>
    <row r="78" spans="1:4">
      <c r="A78" s="82"/>
      <c r="B78" s="103"/>
      <c r="C78" s="25" t="s">
        <v>231</v>
      </c>
      <c r="D78" s="25"/>
    </row>
    <row r="79" spans="1:4">
      <c r="A79" s="82"/>
      <c r="B79" s="103"/>
      <c r="C79" s="25" t="s">
        <v>232</v>
      </c>
      <c r="D79" s="25"/>
    </row>
    <row r="80" spans="1:4">
      <c r="A80" s="82"/>
      <c r="B80" s="103"/>
      <c r="C80" s="25" t="s">
        <v>233</v>
      </c>
      <c r="D80" s="25"/>
    </row>
    <row r="81" spans="1:5">
      <c r="A81" s="82"/>
      <c r="B81" s="103"/>
      <c r="C81" s="25" t="s">
        <v>234</v>
      </c>
      <c r="D81" s="25"/>
    </row>
    <row r="82" spans="1:5">
      <c r="A82" s="82"/>
      <c r="B82" s="103"/>
      <c r="C82" s="25" t="s">
        <v>235</v>
      </c>
      <c r="D82" s="25"/>
    </row>
    <row r="83" spans="1:5">
      <c r="A83" s="82"/>
      <c r="B83" s="103"/>
      <c r="C83" s="25" t="s">
        <v>236</v>
      </c>
      <c r="D83" s="25"/>
    </row>
    <row r="84" spans="1:5">
      <c r="A84" s="82"/>
      <c r="B84" s="103"/>
      <c r="C84" s="25" t="s">
        <v>237</v>
      </c>
      <c r="D84" s="25"/>
    </row>
    <row r="85" spans="1:5">
      <c r="A85" s="82"/>
      <c r="B85" s="103"/>
      <c r="C85" s="25" t="s">
        <v>238</v>
      </c>
      <c r="D85" s="25"/>
    </row>
    <row r="86" spans="1:5">
      <c r="A86" s="82"/>
      <c r="B86" s="103"/>
      <c r="C86" s="25" t="s">
        <v>239</v>
      </c>
      <c r="D86" s="25"/>
    </row>
    <row r="87" spans="1:5">
      <c r="A87" s="82"/>
      <c r="B87" s="103"/>
      <c r="C87" s="25" t="s">
        <v>240</v>
      </c>
      <c r="D87" s="25"/>
    </row>
    <row r="88" spans="1:5">
      <c r="A88" s="82"/>
      <c r="B88" s="103"/>
      <c r="C88" s="25" t="s">
        <v>241</v>
      </c>
      <c r="D88" s="25"/>
    </row>
    <row r="89" spans="1:5">
      <c r="A89" s="82"/>
      <c r="B89" s="103"/>
      <c r="C89" s="25" t="s">
        <v>242</v>
      </c>
      <c r="D89" s="25"/>
    </row>
    <row r="90" spans="1:5">
      <c r="A90" s="82"/>
      <c r="B90" s="103"/>
      <c r="C90" s="25" t="s">
        <v>243</v>
      </c>
      <c r="D90" s="25"/>
    </row>
    <row r="91" spans="1:5">
      <c r="A91" s="82"/>
      <c r="B91" s="103"/>
      <c r="C91" s="25" t="s">
        <v>244</v>
      </c>
      <c r="D91" s="25"/>
    </row>
    <row r="92" spans="1:5">
      <c r="A92" s="82"/>
      <c r="B92" s="103"/>
      <c r="C92" s="25" t="s">
        <v>245</v>
      </c>
      <c r="D92" s="25"/>
    </row>
    <row r="93" spans="1:5">
      <c r="A93" s="82"/>
      <c r="B93" s="103"/>
      <c r="C93" s="25" t="s">
        <v>246</v>
      </c>
      <c r="D93" s="25"/>
    </row>
    <row r="94" spans="1:5">
      <c r="A94" s="82"/>
      <c r="B94" s="103"/>
      <c r="C94" s="25" t="s">
        <v>247</v>
      </c>
      <c r="D94" s="25" t="s">
        <v>248</v>
      </c>
      <c r="E94" t="s">
        <v>164</v>
      </c>
    </row>
    <row r="95" spans="1:5">
      <c r="A95" s="82"/>
      <c r="B95" s="103"/>
      <c r="C95" s="25" t="s">
        <v>249</v>
      </c>
      <c r="D95" s="25" t="s">
        <v>250</v>
      </c>
      <c r="E95" t="s">
        <v>164</v>
      </c>
    </row>
    <row r="96" spans="1:5">
      <c r="A96" s="82"/>
      <c r="B96" s="103"/>
      <c r="C96" s="25" t="s">
        <v>251</v>
      </c>
      <c r="D96" s="25" t="s">
        <v>250</v>
      </c>
      <c r="E96" t="s">
        <v>164</v>
      </c>
    </row>
    <row r="97" spans="1:5">
      <c r="A97" s="82"/>
      <c r="B97" s="103"/>
      <c r="C97" s="25" t="s">
        <v>252</v>
      </c>
      <c r="D97" s="25" t="s">
        <v>250</v>
      </c>
      <c r="E97" t="s">
        <v>164</v>
      </c>
    </row>
    <row r="98" spans="1:5">
      <c r="A98" s="82"/>
      <c r="B98" s="103"/>
      <c r="C98" s="25" t="s">
        <v>253</v>
      </c>
      <c r="D98" s="25" t="s">
        <v>250</v>
      </c>
      <c r="E98" t="s">
        <v>164</v>
      </c>
    </row>
    <row r="99" spans="1:5">
      <c r="A99" s="82"/>
      <c r="B99" s="103"/>
      <c r="C99" s="25" t="s">
        <v>254</v>
      </c>
      <c r="D99" s="25" t="s">
        <v>250</v>
      </c>
      <c r="E99" t="s">
        <v>164</v>
      </c>
    </row>
    <row r="100" spans="1:5">
      <c r="A100" s="82"/>
      <c r="B100" s="103"/>
      <c r="C100" s="25" t="s">
        <v>255</v>
      </c>
      <c r="D100" s="25" t="s">
        <v>250</v>
      </c>
      <c r="E100" t="s">
        <v>164</v>
      </c>
    </row>
    <row r="101" spans="1:5">
      <c r="A101" s="82"/>
      <c r="B101" s="103"/>
      <c r="C101" s="25" t="s">
        <v>256</v>
      </c>
      <c r="D101" s="25" t="s">
        <v>250</v>
      </c>
      <c r="E101" t="s">
        <v>164</v>
      </c>
    </row>
    <row r="102" spans="1:5">
      <c r="A102" s="82"/>
      <c r="B102" s="103"/>
      <c r="C102" s="25" t="s">
        <v>257</v>
      </c>
      <c r="D102" s="25" t="s">
        <v>250</v>
      </c>
      <c r="E102" t="s">
        <v>164</v>
      </c>
    </row>
    <row r="103" spans="1:5">
      <c r="A103" s="82"/>
      <c r="B103" s="103"/>
      <c r="C103" s="25" t="s">
        <v>258</v>
      </c>
      <c r="D103" s="25" t="s">
        <v>250</v>
      </c>
      <c r="E103" t="s">
        <v>164</v>
      </c>
    </row>
    <row r="104" spans="1:5">
      <c r="A104" s="77"/>
      <c r="B104" s="77" t="s">
        <v>98</v>
      </c>
      <c r="C104" s="24" t="s">
        <v>259</v>
      </c>
      <c r="D104" s="24"/>
    </row>
    <row r="105" spans="1:5">
      <c r="A105" s="78"/>
      <c r="B105" s="78"/>
      <c r="C105" s="24" t="s">
        <v>97</v>
      </c>
      <c r="D105" s="24"/>
    </row>
    <row r="106" spans="1:5">
      <c r="A106" s="78"/>
      <c r="B106" s="78"/>
      <c r="C106" s="24" t="s">
        <v>260</v>
      </c>
      <c r="D106" s="24"/>
    </row>
    <row r="107" spans="1:5">
      <c r="A107" s="78"/>
      <c r="B107" s="78"/>
      <c r="C107" s="24" t="s">
        <v>261</v>
      </c>
      <c r="D107" s="24"/>
    </row>
    <row r="108" spans="1:5">
      <c r="A108" s="78"/>
      <c r="B108" s="78"/>
      <c r="C108" s="24" t="s">
        <v>33</v>
      </c>
      <c r="D108" s="24"/>
    </row>
    <row r="109" spans="1:5">
      <c r="A109" s="78"/>
      <c r="B109" s="78"/>
      <c r="C109" s="24" t="s">
        <v>262</v>
      </c>
      <c r="D109" s="24"/>
    </row>
    <row r="110" spans="1:5">
      <c r="A110" s="79"/>
      <c r="B110" s="79"/>
      <c r="C110" s="24" t="s">
        <v>68</v>
      </c>
      <c r="D110" s="24"/>
    </row>
    <row r="111" spans="1:5">
      <c r="A111" s="82"/>
      <c r="B111" s="68" t="s">
        <v>119</v>
      </c>
      <c r="C111" s="25" t="s">
        <v>259</v>
      </c>
      <c r="D111" s="25"/>
    </row>
    <row r="112" spans="1:5">
      <c r="A112" s="82"/>
      <c r="B112" s="69"/>
      <c r="C112" s="25" t="s">
        <v>263</v>
      </c>
      <c r="D112" s="25"/>
    </row>
    <row r="113" spans="1:4">
      <c r="A113" s="82"/>
      <c r="B113" s="70"/>
      <c r="C113" s="25" t="s">
        <v>264</v>
      </c>
      <c r="D113" s="25"/>
    </row>
    <row r="114" spans="1:4">
      <c r="A114" s="95"/>
      <c r="B114" s="95" t="s">
        <v>265</v>
      </c>
      <c r="C114" s="24" t="s">
        <v>259</v>
      </c>
      <c r="D114" s="24"/>
    </row>
    <row r="115" spans="1:4">
      <c r="A115" s="95"/>
      <c r="B115" s="95"/>
      <c r="C115" s="24" t="s">
        <v>260</v>
      </c>
      <c r="D115" s="24"/>
    </row>
    <row r="116" spans="1:4">
      <c r="A116" s="95"/>
      <c r="B116" s="95"/>
      <c r="C116" s="24" t="s">
        <v>261</v>
      </c>
      <c r="D116" s="24"/>
    </row>
    <row r="117" spans="1:4">
      <c r="A117" s="95"/>
      <c r="B117" s="95"/>
      <c r="C117" s="24" t="s">
        <v>262</v>
      </c>
      <c r="D117" s="24"/>
    </row>
    <row r="118" spans="1:4">
      <c r="A118" s="81"/>
      <c r="B118" s="96" t="s">
        <v>74</v>
      </c>
      <c r="C118" s="25" t="s">
        <v>259</v>
      </c>
      <c r="D118" s="25"/>
    </row>
    <row r="119" spans="1:4">
      <c r="A119" s="12"/>
      <c r="B119" s="116"/>
      <c r="C119" s="25" t="s">
        <v>266</v>
      </c>
      <c r="D119" s="25"/>
    </row>
    <row r="120" spans="1:4">
      <c r="A120" s="12"/>
      <c r="B120" s="116"/>
      <c r="C120" s="25" t="s">
        <v>261</v>
      </c>
      <c r="D120" s="25"/>
    </row>
    <row r="121" spans="1:4">
      <c r="A121" s="12"/>
      <c r="B121" s="116"/>
      <c r="C121" s="25" t="s">
        <v>33</v>
      </c>
      <c r="D121" s="25"/>
    </row>
    <row r="122" spans="1:4">
      <c r="A122" s="12"/>
      <c r="B122" s="116"/>
      <c r="C122" s="25" t="s">
        <v>260</v>
      </c>
      <c r="D122" s="25"/>
    </row>
    <row r="123" spans="1:4">
      <c r="A123" s="12"/>
      <c r="B123" s="116"/>
      <c r="C123" s="25" t="s">
        <v>267</v>
      </c>
      <c r="D123" s="25"/>
    </row>
    <row r="124" spans="1:4">
      <c r="A124" s="12"/>
      <c r="B124" s="116"/>
      <c r="C124" s="25" t="s">
        <v>268</v>
      </c>
      <c r="D124" s="25"/>
    </row>
    <row r="125" spans="1:4">
      <c r="A125" s="12"/>
      <c r="B125" s="116"/>
      <c r="C125" s="25" t="s">
        <v>262</v>
      </c>
      <c r="D125" s="25"/>
    </row>
    <row r="126" spans="1:4">
      <c r="A126" s="82"/>
      <c r="B126" s="97"/>
      <c r="C126" s="25" t="s">
        <v>68</v>
      </c>
      <c r="D126" s="25"/>
    </row>
    <row r="127" spans="1:4">
      <c r="A127" s="77"/>
      <c r="B127" s="77" t="s">
        <v>99</v>
      </c>
      <c r="C127" s="24" t="s">
        <v>269</v>
      </c>
      <c r="D127" s="24"/>
    </row>
    <row r="128" spans="1:4">
      <c r="A128" s="78"/>
      <c r="B128" s="78"/>
      <c r="C128" s="24" t="s">
        <v>270</v>
      </c>
      <c r="D128" s="24"/>
    </row>
    <row r="129" spans="1:5">
      <c r="A129" s="78"/>
      <c r="B129" s="78"/>
      <c r="C129" s="24" t="s">
        <v>271</v>
      </c>
      <c r="D129" s="24"/>
    </row>
    <row r="130" spans="1:5">
      <c r="A130" s="78"/>
      <c r="B130" s="78"/>
      <c r="C130" s="24" t="s">
        <v>272</v>
      </c>
      <c r="D130" s="24"/>
    </row>
    <row r="131" spans="1:5">
      <c r="A131" s="78"/>
      <c r="B131" s="78"/>
      <c r="C131" s="24" t="s">
        <v>33</v>
      </c>
      <c r="D131" s="24"/>
    </row>
    <row r="132" spans="1:5">
      <c r="A132" s="82"/>
      <c r="B132" s="69" t="s">
        <v>273</v>
      </c>
      <c r="C132" s="25" t="s">
        <v>269</v>
      </c>
      <c r="D132" s="25"/>
    </row>
    <row r="133" spans="1:5">
      <c r="A133" s="82"/>
      <c r="B133" s="69"/>
      <c r="C133" s="25" t="s">
        <v>33</v>
      </c>
      <c r="D133" s="25"/>
    </row>
    <row r="134" spans="1:5">
      <c r="A134" s="83"/>
      <c r="B134" s="70"/>
      <c r="C134" s="25" t="s">
        <v>68</v>
      </c>
      <c r="D134" s="25"/>
    </row>
    <row r="135" spans="1:5">
      <c r="A135" s="84"/>
      <c r="B135" s="84" t="s">
        <v>274</v>
      </c>
      <c r="C135" s="24" t="s">
        <v>275</v>
      </c>
      <c r="D135" s="24"/>
    </row>
    <row r="136" spans="1:5">
      <c r="A136" s="85"/>
      <c r="B136" s="85"/>
      <c r="C136" s="24" t="s">
        <v>276</v>
      </c>
      <c r="D136" s="24"/>
      <c r="E136" t="s">
        <v>164</v>
      </c>
    </row>
    <row r="137" spans="1:5">
      <c r="A137" s="85"/>
      <c r="B137" s="85"/>
      <c r="C137" s="24" t="s">
        <v>277</v>
      </c>
      <c r="D137" s="24" t="s">
        <v>278</v>
      </c>
    </row>
    <row r="138" spans="1:5">
      <c r="A138" s="85"/>
      <c r="B138" s="85"/>
      <c r="C138" s="24" t="s">
        <v>279</v>
      </c>
      <c r="D138" s="24" t="s">
        <v>280</v>
      </c>
    </row>
    <row r="139" spans="1:5">
      <c r="A139" s="85"/>
      <c r="B139" s="85"/>
      <c r="C139" s="24" t="s">
        <v>281</v>
      </c>
      <c r="D139" s="24"/>
    </row>
    <row r="140" spans="1:5">
      <c r="A140" s="85"/>
      <c r="B140" s="85"/>
      <c r="C140" s="24" t="s">
        <v>282</v>
      </c>
      <c r="D140" s="24"/>
    </row>
    <row r="141" spans="1:5">
      <c r="A141" s="85"/>
      <c r="B141" s="85"/>
      <c r="C141" s="24" t="s">
        <v>283</v>
      </c>
      <c r="D141" s="24"/>
    </row>
    <row r="142" spans="1:5">
      <c r="A142" s="85"/>
      <c r="B142" s="85"/>
      <c r="C142" s="24" t="s">
        <v>284</v>
      </c>
      <c r="D142" s="24"/>
    </row>
    <row r="143" spans="1:5">
      <c r="A143" s="85"/>
      <c r="B143" s="85"/>
      <c r="C143" s="24" t="s">
        <v>285</v>
      </c>
      <c r="D143" s="24"/>
    </row>
    <row r="144" spans="1:5">
      <c r="A144" s="85"/>
      <c r="B144" s="85"/>
      <c r="C144" s="24" t="s">
        <v>286</v>
      </c>
      <c r="D144" s="24"/>
    </row>
    <row r="145" spans="1:4">
      <c r="A145" s="85"/>
      <c r="B145" s="85"/>
      <c r="C145" s="24" t="s">
        <v>68</v>
      </c>
      <c r="D145" s="24"/>
    </row>
    <row r="146" spans="1:4">
      <c r="A146" s="81"/>
      <c r="B146" s="74" t="s">
        <v>287</v>
      </c>
      <c r="C146" s="25" t="s">
        <v>288</v>
      </c>
      <c r="D146" s="25"/>
    </row>
    <row r="147" spans="1:4">
      <c r="A147" s="83"/>
      <c r="B147" s="76"/>
      <c r="C147" s="25" t="s">
        <v>92</v>
      </c>
      <c r="D147" s="25"/>
    </row>
    <row r="148" spans="1:4">
      <c r="A148" s="63"/>
      <c r="B148" s="115" t="s">
        <v>8</v>
      </c>
      <c r="C148" s="24" t="s">
        <v>31</v>
      </c>
      <c r="D148" s="24" t="s">
        <v>289</v>
      </c>
    </row>
    <row r="149" spans="1:4">
      <c r="A149" s="64"/>
      <c r="B149" s="64"/>
      <c r="C149" s="24" t="s">
        <v>290</v>
      </c>
      <c r="D149" s="24" t="s">
        <v>291</v>
      </c>
    </row>
    <row r="150" spans="1:4">
      <c r="A150" s="64"/>
      <c r="B150" s="64"/>
      <c r="C150" s="24" t="s">
        <v>292</v>
      </c>
      <c r="D150" s="24" t="s">
        <v>293</v>
      </c>
    </row>
    <row r="151" spans="1:4">
      <c r="A151" s="64"/>
      <c r="B151" s="64"/>
      <c r="C151" s="24" t="s">
        <v>294</v>
      </c>
      <c r="D151" s="24" t="s">
        <v>295</v>
      </c>
    </row>
    <row r="152" spans="1:4">
      <c r="A152" s="64"/>
      <c r="B152" s="64"/>
      <c r="C152" s="24" t="s">
        <v>296</v>
      </c>
      <c r="D152" s="24" t="s">
        <v>297</v>
      </c>
    </row>
    <row r="153" spans="1:4">
      <c r="A153" s="64"/>
      <c r="B153" s="64"/>
      <c r="C153" s="24" t="s">
        <v>298</v>
      </c>
      <c r="D153" s="24" t="s">
        <v>299</v>
      </c>
    </row>
    <row r="154" spans="1:4">
      <c r="A154" s="64"/>
      <c r="B154" s="64"/>
      <c r="C154" s="24" t="s">
        <v>300</v>
      </c>
      <c r="D154" s="24" t="s">
        <v>301</v>
      </c>
    </row>
    <row r="155" spans="1:4">
      <c r="A155" s="64"/>
      <c r="B155" s="64"/>
      <c r="C155" s="24" t="s">
        <v>302</v>
      </c>
      <c r="D155" s="24" t="s">
        <v>303</v>
      </c>
    </row>
    <row r="156" spans="1:4">
      <c r="A156" s="64"/>
      <c r="B156" s="64"/>
      <c r="C156" s="24" t="s">
        <v>304</v>
      </c>
      <c r="D156" s="24" t="s">
        <v>305</v>
      </c>
    </row>
    <row r="157" spans="1:4">
      <c r="A157" s="64"/>
      <c r="B157" s="64"/>
      <c r="C157" s="24" t="s">
        <v>306</v>
      </c>
      <c r="D157" s="24" t="s">
        <v>307</v>
      </c>
    </row>
    <row r="158" spans="1:4">
      <c r="A158" s="64"/>
      <c r="B158" s="64"/>
      <c r="C158" s="24" t="s">
        <v>308</v>
      </c>
      <c r="D158" s="24" t="s">
        <v>309</v>
      </c>
    </row>
    <row r="159" spans="1:4">
      <c r="A159" s="64"/>
      <c r="B159" s="64"/>
      <c r="C159" s="24" t="s">
        <v>310</v>
      </c>
      <c r="D159" s="24" t="s">
        <v>311</v>
      </c>
    </row>
    <row r="160" spans="1:4">
      <c r="A160" s="64"/>
      <c r="B160" s="64"/>
      <c r="C160" s="24" t="s">
        <v>312</v>
      </c>
      <c r="D160" s="24" t="s">
        <v>313</v>
      </c>
    </row>
    <row r="161" spans="1:4">
      <c r="A161" s="64"/>
      <c r="B161" s="64"/>
      <c r="C161" s="24" t="s">
        <v>314</v>
      </c>
      <c r="D161" s="24" t="s">
        <v>315</v>
      </c>
    </row>
    <row r="162" spans="1:4">
      <c r="A162" s="64"/>
      <c r="B162" s="64"/>
      <c r="C162" s="24" t="s">
        <v>316</v>
      </c>
      <c r="D162" s="24" t="s">
        <v>317</v>
      </c>
    </row>
    <row r="163" spans="1:4">
      <c r="A163" s="64"/>
      <c r="B163" s="64"/>
      <c r="C163" s="24" t="s">
        <v>318</v>
      </c>
      <c r="D163" s="24" t="s">
        <v>319</v>
      </c>
    </row>
    <row r="164" spans="1:4">
      <c r="A164" s="64"/>
      <c r="B164" s="64"/>
      <c r="C164" s="24" t="s">
        <v>320</v>
      </c>
      <c r="D164" s="24" t="s">
        <v>321</v>
      </c>
    </row>
    <row r="165" spans="1:4">
      <c r="A165" s="64"/>
      <c r="B165" s="64"/>
      <c r="C165" s="24" t="s">
        <v>322</v>
      </c>
      <c r="D165" s="24" t="s">
        <v>323</v>
      </c>
    </row>
    <row r="166" spans="1:4">
      <c r="A166" s="64"/>
      <c r="B166" s="64"/>
      <c r="C166" s="24" t="s">
        <v>324</v>
      </c>
      <c r="D166" s="24" t="s">
        <v>325</v>
      </c>
    </row>
    <row r="167" spans="1:4">
      <c r="A167" s="64"/>
      <c r="B167" s="64"/>
      <c r="C167" s="24" t="s">
        <v>326</v>
      </c>
      <c r="D167" s="24" t="s">
        <v>327</v>
      </c>
    </row>
    <row r="168" spans="1:4">
      <c r="A168" s="64"/>
      <c r="B168" s="64"/>
      <c r="C168" s="24" t="s">
        <v>328</v>
      </c>
      <c r="D168" s="24" t="s">
        <v>329</v>
      </c>
    </row>
    <row r="169" spans="1:4">
      <c r="A169" s="64"/>
      <c r="B169" s="64"/>
      <c r="C169" s="24" t="s">
        <v>330</v>
      </c>
      <c r="D169" s="24" t="s">
        <v>331</v>
      </c>
    </row>
    <row r="170" spans="1:4">
      <c r="A170" s="64"/>
      <c r="B170" s="64"/>
      <c r="C170" s="24" t="s">
        <v>332</v>
      </c>
      <c r="D170" s="24" t="s">
        <v>333</v>
      </c>
    </row>
    <row r="171" spans="1:4">
      <c r="A171" s="64"/>
      <c r="B171" s="64"/>
      <c r="C171" s="24" t="s">
        <v>334</v>
      </c>
      <c r="D171" s="24" t="s">
        <v>335</v>
      </c>
    </row>
    <row r="172" spans="1:4">
      <c r="A172" s="64"/>
      <c r="B172" s="64"/>
      <c r="C172" s="24" t="s">
        <v>336</v>
      </c>
      <c r="D172" s="24" t="s">
        <v>337</v>
      </c>
    </row>
    <row r="173" spans="1:4">
      <c r="A173" s="64"/>
      <c r="B173" s="64"/>
      <c r="C173" s="24" t="s">
        <v>338</v>
      </c>
      <c r="D173" s="24" t="s">
        <v>339</v>
      </c>
    </row>
    <row r="174" spans="1:4">
      <c r="A174" s="64"/>
      <c r="B174" s="64"/>
      <c r="C174" s="24" t="s">
        <v>340</v>
      </c>
      <c r="D174" s="24" t="s">
        <v>341</v>
      </c>
    </row>
    <row r="175" spans="1:4">
      <c r="A175" s="64"/>
      <c r="B175" s="64"/>
      <c r="C175" s="24" t="s">
        <v>342</v>
      </c>
      <c r="D175" s="24" t="s">
        <v>343</v>
      </c>
    </row>
    <row r="176" spans="1:4">
      <c r="A176" s="64"/>
      <c r="B176" s="64"/>
      <c r="C176" s="24" t="s">
        <v>344</v>
      </c>
      <c r="D176" s="24" t="s">
        <v>345</v>
      </c>
    </row>
    <row r="177" spans="1:5">
      <c r="A177" s="64"/>
      <c r="B177" s="64"/>
      <c r="C177" s="24" t="s">
        <v>346</v>
      </c>
      <c r="D177" s="24" t="s">
        <v>347</v>
      </c>
    </row>
    <row r="178" spans="1:5">
      <c r="A178" s="64"/>
      <c r="B178" s="64"/>
      <c r="C178" s="24" t="s">
        <v>348</v>
      </c>
      <c r="D178" s="24" t="s">
        <v>349</v>
      </c>
    </row>
    <row r="179" spans="1:5">
      <c r="A179" s="64"/>
      <c r="B179" s="64"/>
      <c r="C179" s="24" t="s">
        <v>350</v>
      </c>
      <c r="D179" s="24" t="s">
        <v>351</v>
      </c>
    </row>
    <row r="180" spans="1:5">
      <c r="A180" s="64"/>
      <c r="B180" s="64"/>
      <c r="C180" s="24" t="s">
        <v>352</v>
      </c>
      <c r="D180" s="24" t="s">
        <v>353</v>
      </c>
      <c r="E180" t="s">
        <v>164</v>
      </c>
    </row>
    <row r="181" spans="1:5">
      <c r="A181" s="64"/>
      <c r="B181" s="64"/>
      <c r="C181" s="24" t="s">
        <v>68</v>
      </c>
      <c r="D181" s="24" t="s">
        <v>68</v>
      </c>
    </row>
    <row r="182" spans="1:5">
      <c r="A182" s="81"/>
      <c r="B182" s="74" t="s">
        <v>354</v>
      </c>
      <c r="C182" s="56" t="s">
        <v>355</v>
      </c>
      <c r="D182" s="56"/>
    </row>
    <row r="183" spans="1:5">
      <c r="A183" s="82"/>
      <c r="B183" s="75"/>
      <c r="C183" s="56" t="s">
        <v>356</v>
      </c>
      <c r="D183" s="56"/>
    </row>
    <row r="184" spans="1:5">
      <c r="A184" s="82"/>
      <c r="B184" s="75"/>
      <c r="C184" s="56" t="s">
        <v>357</v>
      </c>
      <c r="D184" s="56"/>
    </row>
    <row r="185" spans="1:5">
      <c r="A185" s="83"/>
      <c r="B185" s="76"/>
      <c r="C185" s="57" t="s">
        <v>358</v>
      </c>
      <c r="D185" s="57"/>
    </row>
    <row r="186" spans="1:5">
      <c r="A186" s="77"/>
      <c r="B186" s="77" t="s">
        <v>359</v>
      </c>
      <c r="C186" s="55" t="s">
        <v>360</v>
      </c>
      <c r="D186" s="55"/>
    </row>
    <row r="187" spans="1:5">
      <c r="A187" s="78"/>
      <c r="B187" s="78"/>
      <c r="C187" s="55" t="s">
        <v>361</v>
      </c>
      <c r="D187" s="55"/>
    </row>
    <row r="188" spans="1:5">
      <c r="A188" s="81"/>
      <c r="B188" s="74" t="s">
        <v>10</v>
      </c>
      <c r="C188" s="57" t="s">
        <v>362</v>
      </c>
      <c r="D188" s="57" t="s">
        <v>363</v>
      </c>
    </row>
    <row r="189" spans="1:5">
      <c r="A189" s="82"/>
      <c r="B189" s="75"/>
      <c r="C189" s="57" t="s">
        <v>364</v>
      </c>
      <c r="D189" s="57" t="s">
        <v>365</v>
      </c>
    </row>
    <row r="190" spans="1:5">
      <c r="A190" s="82"/>
      <c r="B190" s="75"/>
      <c r="C190" s="57" t="s">
        <v>33</v>
      </c>
      <c r="D190" s="57" t="s">
        <v>33</v>
      </c>
    </row>
    <row r="191" spans="1:5">
      <c r="A191" s="82"/>
      <c r="B191" s="75"/>
      <c r="C191" s="57" t="s">
        <v>366</v>
      </c>
      <c r="D191" s="57" t="s">
        <v>367</v>
      </c>
    </row>
    <row r="192" spans="1:5">
      <c r="A192" s="82"/>
      <c r="B192" s="75"/>
      <c r="C192" s="57" t="s">
        <v>368</v>
      </c>
      <c r="D192" s="57" t="s">
        <v>369</v>
      </c>
    </row>
    <row r="193" spans="1:4">
      <c r="A193" s="82"/>
      <c r="B193" s="75"/>
      <c r="C193" s="57" t="s">
        <v>370</v>
      </c>
      <c r="D193" s="57" t="s">
        <v>371</v>
      </c>
    </row>
    <row r="194" spans="1:4">
      <c r="A194" s="82"/>
      <c r="B194" s="75"/>
      <c r="C194" s="57" t="s">
        <v>372</v>
      </c>
      <c r="D194" s="57" t="s">
        <v>373</v>
      </c>
    </row>
    <row r="195" spans="1:4">
      <c r="A195" s="82"/>
      <c r="B195" s="75"/>
      <c r="C195" s="57" t="s">
        <v>374</v>
      </c>
      <c r="D195" s="57" t="s">
        <v>375</v>
      </c>
    </row>
    <row r="196" spans="1:4">
      <c r="A196" s="82"/>
      <c r="B196" s="75"/>
      <c r="C196" s="57" t="s">
        <v>376</v>
      </c>
      <c r="D196" s="57" t="s">
        <v>377</v>
      </c>
    </row>
    <row r="197" spans="1:4">
      <c r="A197" s="82"/>
      <c r="B197" s="75"/>
      <c r="C197" s="57" t="s">
        <v>378</v>
      </c>
      <c r="D197" s="57" t="s">
        <v>379</v>
      </c>
    </row>
    <row r="198" spans="1:4">
      <c r="A198" s="82"/>
      <c r="B198" s="75"/>
      <c r="C198" s="57" t="s">
        <v>70</v>
      </c>
      <c r="D198" s="57" t="s">
        <v>380</v>
      </c>
    </row>
    <row r="199" spans="1:4">
      <c r="A199" s="82"/>
      <c r="B199" s="75"/>
      <c r="C199" s="57" t="s">
        <v>381</v>
      </c>
      <c r="D199" s="57" t="s">
        <v>382</v>
      </c>
    </row>
    <row r="200" spans="1:4">
      <c r="A200" s="82"/>
      <c r="B200" s="75"/>
      <c r="C200" s="57" t="s">
        <v>68</v>
      </c>
      <c r="D200" s="57" t="s">
        <v>68</v>
      </c>
    </row>
    <row r="201" spans="1:4">
      <c r="A201" s="83"/>
      <c r="B201" s="76"/>
      <c r="C201" s="57" t="s">
        <v>358</v>
      </c>
      <c r="D201" s="57" t="s">
        <v>383</v>
      </c>
    </row>
    <row r="202" spans="1:4">
      <c r="A202" s="115"/>
      <c r="B202" s="115" t="s">
        <v>100</v>
      </c>
      <c r="C202" s="24" t="s">
        <v>384</v>
      </c>
      <c r="D202" s="24"/>
    </row>
    <row r="203" spans="1:4">
      <c r="A203" s="64"/>
      <c r="B203" s="64"/>
      <c r="C203" s="24" t="s">
        <v>385</v>
      </c>
      <c r="D203" s="24"/>
    </row>
    <row r="204" spans="1:4">
      <c r="A204" s="64"/>
      <c r="B204" s="64"/>
      <c r="C204" s="24" t="s">
        <v>386</v>
      </c>
      <c r="D204" s="24"/>
    </row>
    <row r="205" spans="1:4">
      <c r="A205" s="64"/>
      <c r="B205" s="64"/>
      <c r="C205" s="24" t="s">
        <v>387</v>
      </c>
      <c r="D205" s="24"/>
    </row>
    <row r="206" spans="1:4">
      <c r="A206" s="64"/>
      <c r="B206" s="64"/>
      <c r="C206" s="24" t="s">
        <v>388</v>
      </c>
      <c r="D206" s="24"/>
    </row>
    <row r="207" spans="1:4">
      <c r="A207" s="64"/>
      <c r="B207" s="64"/>
      <c r="C207" s="24" t="s">
        <v>389</v>
      </c>
      <c r="D207" s="24"/>
    </row>
    <row r="208" spans="1:4">
      <c r="A208" s="64"/>
      <c r="B208" s="64"/>
      <c r="C208" s="24" t="s">
        <v>390</v>
      </c>
      <c r="D208" s="24"/>
    </row>
    <row r="209" spans="1:5">
      <c r="A209" s="64"/>
      <c r="B209" s="64"/>
      <c r="C209" s="24" t="s">
        <v>391</v>
      </c>
      <c r="D209" s="24"/>
    </row>
    <row r="210" spans="1:5">
      <c r="A210" s="64"/>
      <c r="B210" s="64"/>
      <c r="C210" s="24" t="s">
        <v>392</v>
      </c>
      <c r="D210" s="24"/>
    </row>
    <row r="211" spans="1:5">
      <c r="A211" s="64"/>
      <c r="B211" s="64"/>
      <c r="C211" s="24" t="s">
        <v>393</v>
      </c>
      <c r="D211" s="24"/>
    </row>
    <row r="212" spans="1:5">
      <c r="A212" s="64"/>
      <c r="B212" s="64"/>
      <c r="C212" s="24" t="s">
        <v>394</v>
      </c>
      <c r="D212" s="24"/>
    </row>
    <row r="213" spans="1:5">
      <c r="A213" s="64"/>
      <c r="B213" s="64"/>
      <c r="C213" s="24" t="s">
        <v>395</v>
      </c>
      <c r="D213" s="24"/>
    </row>
    <row r="214" spans="1:5">
      <c r="A214" s="64"/>
      <c r="B214" s="64"/>
      <c r="C214" s="24" t="s">
        <v>396</v>
      </c>
      <c r="D214" s="24"/>
    </row>
    <row r="215" spans="1:5">
      <c r="A215" s="64"/>
      <c r="B215" s="64"/>
      <c r="C215" s="24" t="s">
        <v>397</v>
      </c>
      <c r="D215" s="24"/>
    </row>
    <row r="216" spans="1:5">
      <c r="A216" s="64"/>
      <c r="B216" s="64"/>
      <c r="C216" s="24" t="s">
        <v>398</v>
      </c>
      <c r="D216" s="24"/>
    </row>
    <row r="217" spans="1:5">
      <c r="A217" s="64"/>
      <c r="B217" s="64"/>
      <c r="C217" s="24" t="s">
        <v>399</v>
      </c>
      <c r="D217" s="24"/>
    </row>
    <row r="218" spans="1:5">
      <c r="A218" s="64"/>
      <c r="B218" s="64"/>
      <c r="C218" s="24" t="s">
        <v>400</v>
      </c>
      <c r="D218" s="24" t="s">
        <v>401</v>
      </c>
      <c r="E218" t="s">
        <v>164</v>
      </c>
    </row>
    <row r="219" spans="1:5">
      <c r="A219" s="64"/>
      <c r="B219" s="64"/>
      <c r="C219" s="24" t="s">
        <v>402</v>
      </c>
      <c r="D219" s="24"/>
    </row>
    <row r="220" spans="1:5">
      <c r="A220" s="64"/>
      <c r="B220" s="64"/>
      <c r="C220" s="24" t="s">
        <v>403</v>
      </c>
      <c r="D220" s="24"/>
    </row>
    <row r="221" spans="1:5">
      <c r="A221" s="64"/>
      <c r="B221" s="64"/>
      <c r="C221" s="24" t="s">
        <v>404</v>
      </c>
      <c r="D221" s="24"/>
    </row>
    <row r="222" spans="1:5">
      <c r="A222" s="64"/>
      <c r="B222" s="64"/>
      <c r="C222" s="24" t="s">
        <v>405</v>
      </c>
      <c r="D222" s="24"/>
    </row>
    <row r="223" spans="1:5">
      <c r="A223" s="64"/>
      <c r="B223" s="64"/>
      <c r="C223" s="24" t="s">
        <v>406</v>
      </c>
      <c r="D223" s="24"/>
    </row>
    <row r="224" spans="1:5">
      <c r="A224" s="64"/>
      <c r="B224" s="64"/>
      <c r="C224" s="24" t="s">
        <v>407</v>
      </c>
      <c r="D224" s="24"/>
    </row>
    <row r="225" spans="1:4">
      <c r="A225" s="64"/>
      <c r="B225" s="64"/>
      <c r="C225" s="24" t="s">
        <v>408</v>
      </c>
      <c r="D225" s="24"/>
    </row>
    <row r="226" spans="1:4">
      <c r="A226" s="64"/>
      <c r="B226" s="64"/>
      <c r="C226" s="24" t="s">
        <v>409</v>
      </c>
      <c r="D226" s="24"/>
    </row>
    <row r="227" spans="1:4">
      <c r="A227" s="64"/>
      <c r="B227" s="64"/>
      <c r="C227" s="24" t="s">
        <v>410</v>
      </c>
      <c r="D227" s="24"/>
    </row>
    <row r="228" spans="1:4">
      <c r="A228" s="64"/>
      <c r="B228" s="64"/>
      <c r="C228" s="24" t="s">
        <v>411</v>
      </c>
      <c r="D228" s="24"/>
    </row>
    <row r="229" spans="1:4">
      <c r="A229" s="64"/>
      <c r="B229" s="64"/>
      <c r="C229" s="24" t="s">
        <v>412</v>
      </c>
      <c r="D229" s="24"/>
    </row>
    <row r="230" spans="1:4">
      <c r="A230" s="64"/>
      <c r="B230" s="64"/>
      <c r="C230" s="24" t="s">
        <v>413</v>
      </c>
      <c r="D230" s="24"/>
    </row>
    <row r="231" spans="1:4">
      <c r="A231" s="64"/>
      <c r="B231" s="64"/>
      <c r="C231" s="24" t="s">
        <v>414</v>
      </c>
      <c r="D231" s="24"/>
    </row>
    <row r="232" spans="1:4">
      <c r="A232" s="64"/>
      <c r="B232" s="64"/>
      <c r="C232" s="24" t="s">
        <v>415</v>
      </c>
      <c r="D232" s="24"/>
    </row>
    <row r="233" spans="1:4">
      <c r="A233" s="64"/>
      <c r="B233" s="64"/>
      <c r="C233" s="24" t="s">
        <v>416</v>
      </c>
      <c r="D233" s="24"/>
    </row>
    <row r="234" spans="1:4">
      <c r="A234" s="64"/>
      <c r="B234" s="64"/>
      <c r="C234" s="24" t="s">
        <v>417</v>
      </c>
      <c r="D234" s="24"/>
    </row>
    <row r="235" spans="1:4">
      <c r="A235" s="64"/>
      <c r="B235" s="64"/>
      <c r="C235" s="24" t="s">
        <v>418</v>
      </c>
      <c r="D235" s="24"/>
    </row>
    <row r="236" spans="1:4">
      <c r="A236" s="64"/>
      <c r="B236" s="64"/>
      <c r="C236" s="24" t="s">
        <v>419</v>
      </c>
      <c r="D236" s="24"/>
    </row>
    <row r="237" spans="1:4">
      <c r="A237" s="64"/>
      <c r="B237" s="64"/>
      <c r="C237" s="24" t="s">
        <v>420</v>
      </c>
      <c r="D237" s="24"/>
    </row>
    <row r="238" spans="1:4">
      <c r="A238" s="64"/>
      <c r="B238" s="64"/>
      <c r="C238" s="24" t="s">
        <v>421</v>
      </c>
      <c r="D238" s="24"/>
    </row>
    <row r="239" spans="1:4">
      <c r="A239" s="64"/>
      <c r="B239" s="64"/>
      <c r="C239" s="24" t="s">
        <v>422</v>
      </c>
      <c r="D239" s="24"/>
    </row>
    <row r="240" spans="1:4">
      <c r="A240" s="64"/>
      <c r="B240" s="64"/>
      <c r="C240" s="24" t="s">
        <v>423</v>
      </c>
      <c r="D240" s="24"/>
    </row>
    <row r="241" spans="1:4">
      <c r="A241" s="64"/>
      <c r="B241" s="64"/>
      <c r="C241" s="24" t="s">
        <v>424</v>
      </c>
      <c r="D241" s="24"/>
    </row>
    <row r="242" spans="1:4">
      <c r="A242" s="64"/>
      <c r="B242" s="64"/>
      <c r="C242" s="24" t="s">
        <v>425</v>
      </c>
      <c r="D242" s="24"/>
    </row>
    <row r="243" spans="1:4">
      <c r="A243" s="64"/>
      <c r="B243" s="64"/>
      <c r="C243" s="24" t="s">
        <v>426</v>
      </c>
      <c r="D243" s="24"/>
    </row>
    <row r="244" spans="1:4">
      <c r="A244" s="64"/>
      <c r="B244" s="64"/>
      <c r="C244" s="24" t="s">
        <v>427</v>
      </c>
      <c r="D244" s="24"/>
    </row>
    <row r="245" spans="1:4">
      <c r="A245" s="64"/>
      <c r="B245" s="64"/>
      <c r="C245" s="24" t="s">
        <v>428</v>
      </c>
      <c r="D245" s="24"/>
    </row>
    <row r="246" spans="1:4">
      <c r="A246" s="64"/>
      <c r="B246" s="64"/>
      <c r="C246" s="24" t="s">
        <v>429</v>
      </c>
      <c r="D246" s="24"/>
    </row>
    <row r="247" spans="1:4">
      <c r="A247" s="64"/>
      <c r="B247" s="64"/>
      <c r="C247" s="24" t="s">
        <v>430</v>
      </c>
      <c r="D247" s="24"/>
    </row>
    <row r="248" spans="1:4">
      <c r="A248" s="64"/>
      <c r="B248" s="64"/>
      <c r="C248" s="24" t="s">
        <v>431</v>
      </c>
      <c r="D248" s="24"/>
    </row>
    <row r="249" spans="1:4">
      <c r="A249" s="64"/>
      <c r="B249" s="64"/>
      <c r="C249" s="24" t="s">
        <v>432</v>
      </c>
      <c r="D249" s="24"/>
    </row>
    <row r="250" spans="1:4">
      <c r="A250" s="64"/>
      <c r="B250" s="64"/>
      <c r="C250" s="24" t="s">
        <v>433</v>
      </c>
      <c r="D250" s="24"/>
    </row>
    <row r="251" spans="1:4">
      <c r="A251" s="64"/>
      <c r="B251" s="64"/>
      <c r="C251" s="24" t="s">
        <v>434</v>
      </c>
      <c r="D251" s="24"/>
    </row>
    <row r="252" spans="1:4">
      <c r="A252" s="64"/>
      <c r="B252" s="64"/>
      <c r="C252" s="24" t="s">
        <v>68</v>
      </c>
      <c r="D252" s="24"/>
    </row>
    <row r="253" spans="1:4">
      <c r="A253" s="64"/>
      <c r="B253" s="64"/>
      <c r="C253" s="24" t="s">
        <v>435</v>
      </c>
      <c r="D253" s="24"/>
    </row>
    <row r="254" spans="1:4">
      <c r="A254" s="64"/>
      <c r="B254" s="64"/>
      <c r="C254" s="24" t="s">
        <v>436</v>
      </c>
      <c r="D254" s="24"/>
    </row>
    <row r="255" spans="1:4">
      <c r="A255" s="64"/>
      <c r="B255" s="64"/>
      <c r="C255" s="24" t="s">
        <v>437</v>
      </c>
      <c r="D255" s="24"/>
    </row>
    <row r="256" spans="1:4">
      <c r="A256" s="64"/>
      <c r="B256" s="64"/>
      <c r="C256" s="24" t="s">
        <v>438</v>
      </c>
      <c r="D256" s="24"/>
    </row>
    <row r="257" spans="1:5">
      <c r="A257" s="64"/>
      <c r="B257" s="64"/>
      <c r="C257" s="24" t="s">
        <v>439</v>
      </c>
      <c r="D257" s="24"/>
    </row>
    <row r="258" spans="1:5">
      <c r="A258" s="64"/>
      <c r="B258" s="64"/>
      <c r="C258" s="24" t="s">
        <v>440</v>
      </c>
      <c r="D258" s="24"/>
    </row>
    <row r="259" spans="1:5">
      <c r="A259" s="64"/>
      <c r="B259" s="64"/>
      <c r="C259" s="24" t="s">
        <v>441</v>
      </c>
      <c r="D259" s="24"/>
    </row>
    <row r="260" spans="1:5">
      <c r="A260" s="64"/>
      <c r="B260" s="64"/>
      <c r="C260" s="24" t="s">
        <v>442</v>
      </c>
      <c r="D260" s="24"/>
    </row>
    <row r="261" spans="1:5">
      <c r="A261" s="64"/>
      <c r="B261" s="64"/>
      <c r="C261" s="24" t="s">
        <v>443</v>
      </c>
      <c r="D261" s="24"/>
    </row>
    <row r="262" spans="1:5">
      <c r="A262" s="64"/>
      <c r="B262" s="64"/>
      <c r="C262" s="24" t="s">
        <v>444</v>
      </c>
      <c r="D262" s="24"/>
    </row>
    <row r="263" spans="1:5">
      <c r="A263" s="64"/>
      <c r="B263" s="64"/>
      <c r="C263" s="24" t="s">
        <v>445</v>
      </c>
      <c r="D263" s="24"/>
    </row>
    <row r="264" spans="1:5">
      <c r="A264" s="64"/>
      <c r="B264" s="64"/>
      <c r="C264" s="24" t="s">
        <v>446</v>
      </c>
      <c r="D264" s="24"/>
    </row>
    <row r="265" spans="1:5">
      <c r="A265" s="64"/>
      <c r="B265" s="64"/>
      <c r="C265" s="24" t="s">
        <v>447</v>
      </c>
      <c r="D265" s="24"/>
    </row>
    <row r="266" spans="1:5">
      <c r="A266" s="64"/>
      <c r="B266" s="64"/>
      <c r="C266" s="24" t="s">
        <v>448</v>
      </c>
      <c r="D266" s="24"/>
    </row>
    <row r="267" spans="1:5">
      <c r="A267" s="64"/>
      <c r="B267" s="64"/>
      <c r="C267" s="24" t="s">
        <v>449</v>
      </c>
      <c r="D267" s="24"/>
    </row>
    <row r="268" spans="1:5">
      <c r="A268" s="64"/>
      <c r="B268" s="64"/>
      <c r="C268" s="24" t="s">
        <v>450</v>
      </c>
      <c r="D268" s="24"/>
    </row>
    <row r="269" spans="1:5">
      <c r="A269" s="64"/>
      <c r="B269" s="64"/>
      <c r="C269" s="24" t="s">
        <v>451</v>
      </c>
      <c r="D269" s="24"/>
    </row>
    <row r="270" spans="1:5">
      <c r="A270" s="64"/>
      <c r="B270" s="64"/>
      <c r="C270" s="24" t="s">
        <v>452</v>
      </c>
      <c r="D270" s="24" t="s">
        <v>453</v>
      </c>
      <c r="E270" t="s">
        <v>164</v>
      </c>
    </row>
    <row r="271" spans="1:5">
      <c r="A271" s="64"/>
      <c r="B271" s="64"/>
      <c r="C271" s="24" t="s">
        <v>454</v>
      </c>
      <c r="D271" s="24" t="s">
        <v>455</v>
      </c>
      <c r="E271" t="s">
        <v>164</v>
      </c>
    </row>
    <row r="272" spans="1:5">
      <c r="A272" s="64"/>
      <c r="B272" s="64"/>
      <c r="C272" s="24" t="s">
        <v>456</v>
      </c>
      <c r="D272" s="24" t="s">
        <v>457</v>
      </c>
      <c r="E272" t="s">
        <v>164</v>
      </c>
    </row>
    <row r="273" spans="1:5">
      <c r="A273" s="64"/>
      <c r="B273" s="64"/>
      <c r="C273" s="24" t="s">
        <v>458</v>
      </c>
      <c r="D273" s="24"/>
    </row>
    <row r="274" spans="1:5">
      <c r="A274" s="64"/>
      <c r="B274" s="64"/>
      <c r="C274" s="24" t="s">
        <v>459</v>
      </c>
      <c r="D274" s="24" t="s">
        <v>460</v>
      </c>
      <c r="E274" t="s">
        <v>164</v>
      </c>
    </row>
    <row r="275" spans="1:5">
      <c r="A275" s="64"/>
      <c r="B275" s="64"/>
      <c r="C275" s="24" t="s">
        <v>461</v>
      </c>
      <c r="D275" s="24"/>
    </row>
    <row r="276" spans="1:5">
      <c r="A276" s="64"/>
      <c r="B276" s="64"/>
      <c r="C276" s="24" t="s">
        <v>462</v>
      </c>
      <c r="D276" s="24"/>
    </row>
    <row r="277" spans="1:5">
      <c r="A277" s="64"/>
      <c r="B277" s="64"/>
      <c r="C277" s="24" t="s">
        <v>463</v>
      </c>
      <c r="D277" s="24"/>
    </row>
    <row r="278" spans="1:5">
      <c r="A278" s="64"/>
      <c r="B278" s="64"/>
      <c r="C278" s="24" t="s">
        <v>464</v>
      </c>
      <c r="D278" s="24"/>
    </row>
    <row r="279" spans="1:5">
      <c r="A279" s="64"/>
      <c r="B279" s="64"/>
      <c r="C279" s="24" t="s">
        <v>465</v>
      </c>
      <c r="D279" s="24"/>
    </row>
    <row r="280" spans="1:5">
      <c r="A280" s="64"/>
      <c r="B280" s="64"/>
      <c r="C280" s="24" t="s">
        <v>466</v>
      </c>
      <c r="D280" s="24"/>
    </row>
    <row r="281" spans="1:5">
      <c r="A281" s="64"/>
      <c r="B281" s="64"/>
      <c r="C281" s="24" t="s">
        <v>467</v>
      </c>
      <c r="D281" s="24"/>
    </row>
    <row r="282" spans="1:5">
      <c r="A282" s="64"/>
      <c r="B282" s="64"/>
      <c r="C282" s="24" t="s">
        <v>468</v>
      </c>
      <c r="D282" s="24" t="s">
        <v>469</v>
      </c>
      <c r="E282" t="s">
        <v>164</v>
      </c>
    </row>
    <row r="283" spans="1:5">
      <c r="A283" s="64"/>
      <c r="B283" s="64"/>
      <c r="C283" s="24" t="s">
        <v>470</v>
      </c>
      <c r="D283" s="24"/>
    </row>
    <row r="284" spans="1:5">
      <c r="A284" s="64"/>
      <c r="B284" s="64"/>
      <c r="C284" s="24" t="s">
        <v>471</v>
      </c>
      <c r="D284" s="24" t="s">
        <v>472</v>
      </c>
      <c r="E284" t="s">
        <v>164</v>
      </c>
    </row>
    <row r="285" spans="1:5">
      <c r="A285" s="64"/>
      <c r="B285" s="64"/>
      <c r="C285" s="24" t="s">
        <v>473</v>
      </c>
      <c r="D285" s="24"/>
    </row>
    <row r="286" spans="1:5">
      <c r="A286" s="64"/>
      <c r="B286" s="64"/>
      <c r="C286" s="24" t="s">
        <v>474</v>
      </c>
      <c r="D286" s="24"/>
    </row>
    <row r="287" spans="1:5">
      <c r="A287" s="64"/>
      <c r="B287" s="64"/>
      <c r="C287" s="24" t="s">
        <v>475</v>
      </c>
      <c r="D287" s="24"/>
    </row>
    <row r="288" spans="1:5">
      <c r="A288" s="64"/>
      <c r="B288" s="64"/>
      <c r="C288" s="24" t="s">
        <v>476</v>
      </c>
      <c r="D288" s="24"/>
    </row>
    <row r="289" spans="1:5">
      <c r="A289" s="64"/>
      <c r="B289" s="64"/>
      <c r="C289" s="24" t="s">
        <v>477</v>
      </c>
      <c r="D289" s="24" t="s">
        <v>478</v>
      </c>
      <c r="E289" t="s">
        <v>164</v>
      </c>
    </row>
    <row r="290" spans="1:5">
      <c r="A290" s="64"/>
      <c r="B290" s="64"/>
      <c r="C290" s="24" t="s">
        <v>479</v>
      </c>
      <c r="D290" s="24"/>
    </row>
    <row r="291" spans="1:5">
      <c r="A291" s="64"/>
      <c r="B291" s="64"/>
      <c r="C291" s="24" t="s">
        <v>480</v>
      </c>
      <c r="D291" s="24"/>
    </row>
    <row r="292" spans="1:5">
      <c r="A292" s="64"/>
      <c r="B292" s="64"/>
      <c r="C292" s="24" t="s">
        <v>481</v>
      </c>
      <c r="D292" s="24"/>
    </row>
    <row r="293" spans="1:5">
      <c r="A293" s="64"/>
      <c r="B293" s="64"/>
      <c r="C293" s="24" t="s">
        <v>482</v>
      </c>
      <c r="D293" s="24"/>
    </row>
    <row r="294" spans="1:5">
      <c r="A294" s="64"/>
      <c r="B294" s="64"/>
      <c r="C294" s="24" t="s">
        <v>483</v>
      </c>
      <c r="D294" s="24"/>
    </row>
    <row r="295" spans="1:5">
      <c r="A295" s="64"/>
      <c r="B295" s="64"/>
      <c r="C295" s="24" t="s">
        <v>484</v>
      </c>
      <c r="D295" s="24"/>
    </row>
    <row r="296" spans="1:5">
      <c r="A296" s="64"/>
      <c r="B296" s="64"/>
      <c r="C296" s="24" t="s">
        <v>485</v>
      </c>
      <c r="D296" s="24"/>
    </row>
    <row r="297" spans="1:5">
      <c r="A297" s="64"/>
      <c r="B297" s="64"/>
      <c r="C297" s="24" t="s">
        <v>486</v>
      </c>
      <c r="D297" s="24" t="s">
        <v>487</v>
      </c>
      <c r="E297" t="s">
        <v>164</v>
      </c>
    </row>
    <row r="298" spans="1:5">
      <c r="A298" s="64"/>
      <c r="B298" s="64"/>
      <c r="C298" s="24" t="s">
        <v>488</v>
      </c>
      <c r="D298" s="24"/>
    </row>
    <row r="299" spans="1:5">
      <c r="A299" s="64"/>
      <c r="B299" s="64"/>
      <c r="C299" s="24" t="s">
        <v>489</v>
      </c>
      <c r="D299" s="24"/>
    </row>
    <row r="300" spans="1:5">
      <c r="A300" s="64"/>
      <c r="B300" s="64"/>
      <c r="C300" s="134" t="s">
        <v>490</v>
      </c>
      <c r="D300" s="24"/>
      <c r="E300" t="s">
        <v>164</v>
      </c>
    </row>
    <row r="301" spans="1:5">
      <c r="A301" s="64"/>
      <c r="B301" s="64"/>
      <c r="C301" s="24" t="s">
        <v>491</v>
      </c>
      <c r="D301" s="24"/>
    </row>
    <row r="302" spans="1:5">
      <c r="A302" s="64"/>
      <c r="B302" s="64"/>
      <c r="C302" s="24" t="s">
        <v>492</v>
      </c>
      <c r="D302" s="24"/>
    </row>
    <row r="303" spans="1:5">
      <c r="A303" s="64"/>
      <c r="B303" s="64"/>
      <c r="C303" s="24" t="s">
        <v>493</v>
      </c>
      <c r="D303" s="24"/>
    </row>
    <row r="304" spans="1:5">
      <c r="A304" s="64"/>
      <c r="B304" s="64"/>
      <c r="C304" s="24" t="s">
        <v>494</v>
      </c>
      <c r="D304" s="24"/>
    </row>
    <row r="305" spans="1:5">
      <c r="A305" s="64"/>
      <c r="B305" s="64"/>
      <c r="C305" s="24" t="s">
        <v>495</v>
      </c>
      <c r="D305" s="24"/>
    </row>
    <row r="306" spans="1:5">
      <c r="A306" s="64"/>
      <c r="B306" s="64"/>
      <c r="C306" s="24" t="s">
        <v>496</v>
      </c>
      <c r="D306" s="24"/>
    </row>
    <row r="307" spans="1:5">
      <c r="A307" s="64"/>
      <c r="B307" s="64"/>
      <c r="C307" s="24" t="s">
        <v>497</v>
      </c>
      <c r="D307" s="24"/>
    </row>
    <row r="308" spans="1:5">
      <c r="A308" s="64"/>
      <c r="B308" s="64"/>
      <c r="C308" s="24" t="s">
        <v>498</v>
      </c>
      <c r="D308" s="24"/>
    </row>
    <row r="309" spans="1:5">
      <c r="A309" s="64"/>
      <c r="B309" s="64"/>
      <c r="C309" s="24" t="s">
        <v>499</v>
      </c>
      <c r="D309" s="24"/>
    </row>
    <row r="310" spans="1:5">
      <c r="A310" s="64"/>
      <c r="B310" s="64"/>
      <c r="C310" s="134" t="s">
        <v>500</v>
      </c>
      <c r="D310" s="24"/>
      <c r="E310" t="s">
        <v>164</v>
      </c>
    </row>
    <row r="311" spans="1:5">
      <c r="A311" s="64"/>
      <c r="B311" s="64"/>
      <c r="C311" s="134" t="s">
        <v>501</v>
      </c>
      <c r="D311" s="24"/>
      <c r="E311" t="s">
        <v>164</v>
      </c>
    </row>
    <row r="312" spans="1:5">
      <c r="A312" s="64"/>
      <c r="B312" s="64"/>
      <c r="C312" s="134" t="s">
        <v>502</v>
      </c>
      <c r="D312" s="24"/>
      <c r="E312" t="s">
        <v>164</v>
      </c>
    </row>
    <row r="313" spans="1:5">
      <c r="A313" s="64"/>
      <c r="B313" s="64"/>
      <c r="C313" s="24" t="s">
        <v>503</v>
      </c>
      <c r="D313" s="24"/>
    </row>
    <row r="314" spans="1:5">
      <c r="A314" s="64"/>
      <c r="B314" s="64"/>
      <c r="C314" s="24" t="s">
        <v>504</v>
      </c>
      <c r="D314" s="24"/>
    </row>
    <row r="315" spans="1:5">
      <c r="A315" s="64"/>
      <c r="B315" s="64"/>
      <c r="C315" s="24" t="s">
        <v>505</v>
      </c>
      <c r="D315" s="24"/>
    </row>
    <row r="316" spans="1:5">
      <c r="A316" s="64"/>
      <c r="B316" s="64"/>
      <c r="C316" s="24" t="s">
        <v>506</v>
      </c>
      <c r="D316" s="24"/>
    </row>
    <row r="317" spans="1:5">
      <c r="A317" s="64"/>
      <c r="B317" s="64"/>
      <c r="C317" s="24" t="s">
        <v>507</v>
      </c>
      <c r="D317" s="24"/>
    </row>
    <row r="318" spans="1:5">
      <c r="A318" s="64"/>
      <c r="B318" s="64"/>
      <c r="C318" s="24" t="s">
        <v>508</v>
      </c>
      <c r="D318" s="129" t="s">
        <v>509</v>
      </c>
      <c r="E318" t="s">
        <v>164</v>
      </c>
    </row>
    <row r="319" spans="1:5">
      <c r="A319" s="64"/>
      <c r="B319" s="64"/>
      <c r="C319" s="24" t="s">
        <v>510</v>
      </c>
      <c r="D319" s="24"/>
    </row>
    <row r="320" spans="1:5">
      <c r="A320" s="64"/>
      <c r="B320" s="64"/>
      <c r="C320" s="24" t="s">
        <v>511</v>
      </c>
      <c r="D320" s="24"/>
    </row>
    <row r="321" spans="1:5">
      <c r="A321" s="64"/>
      <c r="B321" s="64"/>
      <c r="C321" s="24" t="s">
        <v>512</v>
      </c>
      <c r="D321" s="24"/>
    </row>
    <row r="322" spans="1:5">
      <c r="A322" s="64"/>
      <c r="B322" s="64"/>
      <c r="C322" s="24" t="s">
        <v>513</v>
      </c>
      <c r="D322" s="24"/>
    </row>
    <row r="323" spans="1:5">
      <c r="A323" s="64"/>
      <c r="B323" s="64"/>
      <c r="C323" s="24" t="s">
        <v>514</v>
      </c>
      <c r="D323" s="24"/>
    </row>
    <row r="324" spans="1:5">
      <c r="A324" s="64"/>
      <c r="B324" s="64"/>
      <c r="C324" s="24" t="s">
        <v>515</v>
      </c>
      <c r="D324" s="24"/>
    </row>
    <row r="325" spans="1:5">
      <c r="A325" s="64"/>
      <c r="B325" s="64"/>
      <c r="C325" s="24" t="s">
        <v>516</v>
      </c>
      <c r="D325" s="24"/>
    </row>
    <row r="326" spans="1:5">
      <c r="A326" s="64"/>
      <c r="B326" s="64"/>
      <c r="C326" s="24" t="s">
        <v>517</v>
      </c>
      <c r="D326" s="24"/>
    </row>
    <row r="327" spans="1:5">
      <c r="A327" s="64"/>
      <c r="B327" s="64"/>
      <c r="C327" s="24" t="s">
        <v>518</v>
      </c>
      <c r="D327" s="24"/>
    </row>
    <row r="328" spans="1:5">
      <c r="A328" s="81"/>
      <c r="B328" s="71" t="s">
        <v>519</v>
      </c>
      <c r="C328" s="57" t="s">
        <v>520</v>
      </c>
      <c r="D328" s="57"/>
      <c r="E328" t="s">
        <v>164</v>
      </c>
    </row>
    <row r="329" spans="1:5">
      <c r="A329" s="82"/>
      <c r="B329" s="72"/>
      <c r="C329" s="57" t="s">
        <v>521</v>
      </c>
      <c r="D329" s="57"/>
      <c r="E329" t="s">
        <v>164</v>
      </c>
    </row>
    <row r="330" spans="1:5">
      <c r="A330" s="82"/>
      <c r="B330" s="72"/>
      <c r="C330" s="131" t="s">
        <v>522</v>
      </c>
      <c r="D330" s="57"/>
      <c r="E330" t="s">
        <v>164</v>
      </c>
    </row>
    <row r="331" spans="1:5">
      <c r="A331" s="82"/>
      <c r="B331" s="72"/>
      <c r="C331" s="130" t="s">
        <v>523</v>
      </c>
      <c r="D331" s="57"/>
      <c r="E331" t="s">
        <v>164</v>
      </c>
    </row>
    <row r="332" spans="1:5">
      <c r="A332" s="82"/>
      <c r="B332" s="72"/>
      <c r="C332" s="130" t="s">
        <v>524</v>
      </c>
      <c r="D332" s="57"/>
      <c r="E332" t="s">
        <v>164</v>
      </c>
    </row>
    <row r="333" spans="1:5">
      <c r="A333" s="82"/>
      <c r="B333" s="72"/>
      <c r="C333" s="130" t="s">
        <v>525</v>
      </c>
      <c r="D333" s="57"/>
      <c r="E333" t="s">
        <v>164</v>
      </c>
    </row>
    <row r="334" spans="1:5">
      <c r="A334" s="82"/>
      <c r="B334" s="72"/>
      <c r="C334" s="130" t="s">
        <v>526</v>
      </c>
      <c r="D334" s="57"/>
      <c r="E334" t="s">
        <v>164</v>
      </c>
    </row>
    <row r="335" spans="1:5">
      <c r="A335" s="82"/>
      <c r="B335" s="72"/>
      <c r="C335" s="57" t="s">
        <v>527</v>
      </c>
      <c r="D335" s="57"/>
      <c r="E335" t="s">
        <v>164</v>
      </c>
    </row>
    <row r="336" spans="1:5">
      <c r="A336" s="82"/>
      <c r="B336" s="72"/>
      <c r="C336" s="57" t="s">
        <v>528</v>
      </c>
      <c r="D336" s="57"/>
      <c r="E336" t="s">
        <v>164</v>
      </c>
    </row>
    <row r="337" spans="1:5">
      <c r="A337" s="82"/>
      <c r="B337" s="72"/>
      <c r="C337" s="57" t="s">
        <v>529</v>
      </c>
      <c r="D337" s="57"/>
      <c r="E337" t="s">
        <v>164</v>
      </c>
    </row>
    <row r="338" spans="1:5">
      <c r="A338" s="82"/>
      <c r="B338" s="72"/>
      <c r="C338" s="57" t="s">
        <v>530</v>
      </c>
      <c r="D338" s="57"/>
      <c r="E338" t="s">
        <v>164</v>
      </c>
    </row>
    <row r="339" spans="1:5">
      <c r="A339" s="82"/>
      <c r="B339" s="72"/>
      <c r="C339" s="57" t="s">
        <v>531</v>
      </c>
      <c r="D339" s="57"/>
      <c r="E339" t="s">
        <v>164</v>
      </c>
    </row>
    <row r="340" spans="1:5">
      <c r="A340" s="82"/>
      <c r="B340" s="72"/>
      <c r="C340" s="57" t="s">
        <v>532</v>
      </c>
      <c r="D340" s="57"/>
      <c r="E340" t="s">
        <v>164</v>
      </c>
    </row>
    <row r="341" spans="1:5">
      <c r="A341" s="82"/>
      <c r="B341" s="72"/>
      <c r="C341" s="57" t="s">
        <v>533</v>
      </c>
      <c r="D341" s="57"/>
      <c r="E341" t="s">
        <v>164</v>
      </c>
    </row>
    <row r="342" spans="1:5">
      <c r="A342" s="82"/>
      <c r="B342" s="72"/>
      <c r="C342" s="57" t="s">
        <v>534</v>
      </c>
      <c r="D342" s="57"/>
      <c r="E342" t="s">
        <v>164</v>
      </c>
    </row>
    <row r="343" spans="1:5">
      <c r="A343" s="82"/>
      <c r="B343" s="72"/>
      <c r="C343" s="57" t="s">
        <v>535</v>
      </c>
      <c r="D343" s="57"/>
      <c r="E343" t="s">
        <v>164</v>
      </c>
    </row>
    <row r="344" spans="1:5">
      <c r="A344" s="82"/>
      <c r="B344" s="72"/>
      <c r="C344" s="57" t="s">
        <v>536</v>
      </c>
      <c r="D344" s="57"/>
      <c r="E344" t="s">
        <v>164</v>
      </c>
    </row>
    <row r="345" spans="1:5">
      <c r="A345" s="82"/>
      <c r="B345" s="72"/>
      <c r="C345" s="57" t="s">
        <v>537</v>
      </c>
      <c r="D345" s="57"/>
      <c r="E345" t="s">
        <v>164</v>
      </c>
    </row>
    <row r="346" spans="1:5">
      <c r="A346" s="82"/>
      <c r="B346" s="72"/>
      <c r="C346" s="57" t="s">
        <v>538</v>
      </c>
      <c r="D346" s="57"/>
      <c r="E346" t="s">
        <v>164</v>
      </c>
    </row>
    <row r="347" spans="1:5">
      <c r="A347" s="82"/>
      <c r="B347" s="72"/>
      <c r="C347" s="57" t="s">
        <v>539</v>
      </c>
      <c r="D347" s="57"/>
      <c r="E347" t="s">
        <v>164</v>
      </c>
    </row>
    <row r="348" spans="1:5">
      <c r="A348" s="82"/>
      <c r="B348" s="72"/>
      <c r="C348" s="57" t="s">
        <v>540</v>
      </c>
      <c r="D348" s="57"/>
      <c r="E348" t="s">
        <v>164</v>
      </c>
    </row>
    <row r="349" spans="1:5">
      <c r="A349" s="82"/>
      <c r="B349" s="72"/>
      <c r="C349" s="57" t="s">
        <v>541</v>
      </c>
      <c r="D349" s="57"/>
      <c r="E349" t="s">
        <v>164</v>
      </c>
    </row>
    <row r="350" spans="1:5">
      <c r="A350" s="82"/>
      <c r="B350" s="72"/>
      <c r="C350" s="57" t="s">
        <v>542</v>
      </c>
      <c r="D350" s="57"/>
      <c r="E350" t="s">
        <v>164</v>
      </c>
    </row>
    <row r="351" spans="1:5">
      <c r="A351" s="82"/>
      <c r="B351" s="72"/>
      <c r="C351" s="57" t="s">
        <v>543</v>
      </c>
      <c r="D351" s="57"/>
      <c r="E351" t="s">
        <v>164</v>
      </c>
    </row>
    <row r="352" spans="1:5">
      <c r="A352" s="82"/>
      <c r="B352" s="72"/>
      <c r="C352" s="57" t="s">
        <v>544</v>
      </c>
      <c r="D352" s="57"/>
      <c r="E352" t="s">
        <v>164</v>
      </c>
    </row>
    <row r="353" spans="1:5">
      <c r="A353" s="82"/>
      <c r="B353" s="72"/>
      <c r="C353" s="57" t="s">
        <v>545</v>
      </c>
      <c r="D353" s="57"/>
      <c r="E353" t="s">
        <v>164</v>
      </c>
    </row>
    <row r="354" spans="1:5">
      <c r="A354" s="82"/>
      <c r="B354" s="72"/>
      <c r="C354" s="57" t="s">
        <v>546</v>
      </c>
      <c r="D354" s="57"/>
      <c r="E354" t="s">
        <v>164</v>
      </c>
    </row>
    <row r="355" spans="1:5">
      <c r="A355" s="82"/>
      <c r="B355" s="72"/>
      <c r="C355" s="57" t="s">
        <v>547</v>
      </c>
      <c r="D355" s="57"/>
      <c r="E355" t="s">
        <v>164</v>
      </c>
    </row>
    <row r="356" spans="1:5">
      <c r="A356" s="82"/>
      <c r="B356" s="72"/>
      <c r="C356" s="57" t="s">
        <v>548</v>
      </c>
      <c r="D356" s="57"/>
      <c r="E356" t="s">
        <v>164</v>
      </c>
    </row>
    <row r="357" spans="1:5">
      <c r="A357" s="82"/>
      <c r="B357" s="72"/>
      <c r="C357" s="57" t="s">
        <v>549</v>
      </c>
      <c r="D357" s="57"/>
      <c r="E357" t="s">
        <v>164</v>
      </c>
    </row>
    <row r="358" spans="1:5">
      <c r="A358" s="82"/>
      <c r="B358" s="72"/>
      <c r="C358" s="57" t="s">
        <v>550</v>
      </c>
      <c r="D358" s="57"/>
      <c r="E358" t="s">
        <v>164</v>
      </c>
    </row>
    <row r="359" spans="1:5">
      <c r="A359" s="82"/>
      <c r="B359" s="72"/>
      <c r="C359" s="57" t="s">
        <v>551</v>
      </c>
      <c r="D359" s="57"/>
      <c r="E359" t="s">
        <v>164</v>
      </c>
    </row>
    <row r="360" spans="1:5">
      <c r="A360" s="82"/>
      <c r="B360" s="72"/>
      <c r="C360" s="57" t="s">
        <v>552</v>
      </c>
      <c r="D360" s="57"/>
      <c r="E360" t="s">
        <v>164</v>
      </c>
    </row>
    <row r="361" spans="1:5">
      <c r="A361" s="82"/>
      <c r="B361" s="72"/>
      <c r="C361" s="57" t="s">
        <v>553</v>
      </c>
      <c r="D361" s="57"/>
      <c r="E361" t="s">
        <v>164</v>
      </c>
    </row>
    <row r="362" spans="1:5">
      <c r="A362" s="82"/>
      <c r="B362" s="72"/>
      <c r="C362" s="57" t="s">
        <v>554</v>
      </c>
      <c r="D362" s="57"/>
      <c r="E362" t="s">
        <v>164</v>
      </c>
    </row>
    <row r="363" spans="1:5">
      <c r="A363" s="82"/>
      <c r="B363" s="72"/>
      <c r="C363" s="57" t="s">
        <v>555</v>
      </c>
      <c r="D363" s="57"/>
      <c r="E363" t="s">
        <v>164</v>
      </c>
    </row>
    <row r="364" spans="1:5">
      <c r="A364" s="82"/>
      <c r="B364" s="72"/>
      <c r="C364" s="57" t="s">
        <v>556</v>
      </c>
      <c r="D364" s="57"/>
      <c r="E364" t="s">
        <v>164</v>
      </c>
    </row>
    <row r="365" spans="1:5">
      <c r="A365" s="82"/>
      <c r="B365" s="72"/>
      <c r="C365" s="57" t="s">
        <v>557</v>
      </c>
      <c r="D365" s="57"/>
      <c r="E365" t="s">
        <v>164</v>
      </c>
    </row>
    <row r="366" spans="1:5">
      <c r="A366" s="82"/>
      <c r="B366" s="72"/>
      <c r="C366" s="57" t="s">
        <v>558</v>
      </c>
      <c r="D366" s="57"/>
      <c r="E366" t="s">
        <v>164</v>
      </c>
    </row>
    <row r="367" spans="1:5">
      <c r="A367" s="82"/>
      <c r="B367" s="72"/>
      <c r="C367" s="57" t="s">
        <v>559</v>
      </c>
      <c r="D367" s="57"/>
      <c r="E367" t="s">
        <v>164</v>
      </c>
    </row>
    <row r="368" spans="1:5">
      <c r="A368" s="82"/>
      <c r="B368" s="72"/>
      <c r="C368" s="57" t="s">
        <v>560</v>
      </c>
      <c r="D368" s="57"/>
      <c r="E368" t="s">
        <v>164</v>
      </c>
    </row>
    <row r="369" spans="1:5">
      <c r="A369" s="82"/>
      <c r="B369" s="72"/>
      <c r="C369" s="57" t="s">
        <v>561</v>
      </c>
      <c r="D369" s="57"/>
      <c r="E369" t="s">
        <v>164</v>
      </c>
    </row>
    <row r="370" spans="1:5">
      <c r="A370" s="82"/>
      <c r="B370" s="72"/>
      <c r="C370" s="57" t="s">
        <v>562</v>
      </c>
      <c r="D370" s="57"/>
      <c r="E370" t="s">
        <v>164</v>
      </c>
    </row>
    <row r="371" spans="1:5">
      <c r="A371" s="82"/>
      <c r="B371" s="72"/>
      <c r="C371" s="57" t="s">
        <v>563</v>
      </c>
      <c r="D371" s="57"/>
      <c r="E371" t="s">
        <v>164</v>
      </c>
    </row>
    <row r="372" spans="1:5">
      <c r="A372" s="82"/>
      <c r="B372" s="72"/>
      <c r="C372" s="57" t="s">
        <v>564</v>
      </c>
      <c r="D372" s="57"/>
      <c r="E372" t="s">
        <v>164</v>
      </c>
    </row>
    <row r="373" spans="1:5">
      <c r="A373" s="82"/>
      <c r="B373" s="72"/>
      <c r="C373" s="57" t="s">
        <v>565</v>
      </c>
      <c r="D373" s="57"/>
      <c r="E373" t="s">
        <v>164</v>
      </c>
    </row>
    <row r="374" spans="1:5">
      <c r="A374" s="82"/>
      <c r="B374" s="72"/>
      <c r="C374" s="57" t="s">
        <v>566</v>
      </c>
      <c r="D374" s="57"/>
      <c r="E374" t="s">
        <v>164</v>
      </c>
    </row>
    <row r="375" spans="1:5">
      <c r="A375" s="82"/>
      <c r="B375" s="72"/>
      <c r="C375" s="57" t="s">
        <v>567</v>
      </c>
      <c r="D375" s="57"/>
      <c r="E375" t="s">
        <v>164</v>
      </c>
    </row>
    <row r="376" spans="1:5">
      <c r="A376" s="82"/>
      <c r="B376" s="72"/>
      <c r="C376" s="57" t="s">
        <v>568</v>
      </c>
      <c r="D376" s="57"/>
      <c r="E376" t="s">
        <v>164</v>
      </c>
    </row>
    <row r="377" spans="1:5">
      <c r="A377" s="82"/>
      <c r="B377" s="72"/>
      <c r="C377" s="57" t="s">
        <v>569</v>
      </c>
      <c r="D377" s="57"/>
      <c r="E377" t="s">
        <v>164</v>
      </c>
    </row>
    <row r="378" spans="1:5">
      <c r="A378" s="82"/>
      <c r="B378" s="72"/>
      <c r="C378" s="57" t="s">
        <v>570</v>
      </c>
      <c r="D378" s="57"/>
      <c r="E378" t="s">
        <v>164</v>
      </c>
    </row>
    <row r="379" spans="1:5">
      <c r="A379" s="82"/>
      <c r="B379" s="72"/>
      <c r="C379" s="57" t="s">
        <v>571</v>
      </c>
      <c r="D379" s="57"/>
      <c r="E379" t="s">
        <v>164</v>
      </c>
    </row>
    <row r="380" spans="1:5">
      <c r="A380" s="82"/>
      <c r="B380" s="72"/>
      <c r="C380" s="57" t="s">
        <v>572</v>
      </c>
      <c r="D380" s="57"/>
      <c r="E380" t="s">
        <v>164</v>
      </c>
    </row>
    <row r="381" spans="1:5">
      <c r="A381" s="82"/>
      <c r="B381" s="72"/>
      <c r="C381" s="57" t="s">
        <v>573</v>
      </c>
      <c r="D381" s="57"/>
      <c r="E381" t="s">
        <v>164</v>
      </c>
    </row>
    <row r="382" spans="1:5">
      <c r="A382" s="82"/>
      <c r="B382" s="72"/>
      <c r="C382" s="57" t="s">
        <v>574</v>
      </c>
      <c r="D382" s="57"/>
      <c r="E382" t="s">
        <v>164</v>
      </c>
    </row>
    <row r="383" spans="1:5">
      <c r="A383" s="82"/>
      <c r="B383" s="72"/>
      <c r="C383" s="57" t="s">
        <v>575</v>
      </c>
      <c r="D383" s="57"/>
      <c r="E383" t="s">
        <v>164</v>
      </c>
    </row>
    <row r="384" spans="1:5">
      <c r="A384" s="82"/>
      <c r="B384" s="72"/>
      <c r="C384" s="57" t="s">
        <v>576</v>
      </c>
      <c r="D384" s="57"/>
      <c r="E384" t="s">
        <v>164</v>
      </c>
    </row>
    <row r="385" spans="1:5">
      <c r="A385" s="82"/>
      <c r="B385" s="72"/>
      <c r="C385" s="57" t="s">
        <v>577</v>
      </c>
      <c r="D385" s="57"/>
      <c r="E385" t="s">
        <v>164</v>
      </c>
    </row>
    <row r="386" spans="1:5">
      <c r="A386" s="82"/>
      <c r="B386" s="72"/>
      <c r="C386" s="57" t="s">
        <v>578</v>
      </c>
      <c r="D386" s="57"/>
      <c r="E386" t="s">
        <v>164</v>
      </c>
    </row>
    <row r="387" spans="1:5">
      <c r="A387" s="82"/>
      <c r="B387" s="72"/>
      <c r="C387" s="57" t="s">
        <v>579</v>
      </c>
      <c r="D387" s="57"/>
      <c r="E387" t="s">
        <v>164</v>
      </c>
    </row>
    <row r="388" spans="1:5">
      <c r="A388" s="82"/>
      <c r="B388" s="72"/>
      <c r="C388" s="57" t="s">
        <v>580</v>
      </c>
      <c r="D388" s="57"/>
      <c r="E388" t="s">
        <v>164</v>
      </c>
    </row>
    <row r="389" spans="1:5">
      <c r="A389" s="82"/>
      <c r="B389" s="72"/>
      <c r="C389" s="57" t="s">
        <v>581</v>
      </c>
      <c r="D389" s="57"/>
      <c r="E389" t="s">
        <v>164</v>
      </c>
    </row>
    <row r="390" spans="1:5">
      <c r="A390" s="82"/>
      <c r="B390" s="72"/>
      <c r="C390" s="57" t="s">
        <v>582</v>
      </c>
      <c r="D390" s="57"/>
      <c r="E390" t="s">
        <v>164</v>
      </c>
    </row>
    <row r="391" spans="1:5">
      <c r="A391" s="82"/>
      <c r="B391" s="72"/>
      <c r="C391" s="57" t="s">
        <v>583</v>
      </c>
      <c r="D391" s="57"/>
      <c r="E391" t="s">
        <v>164</v>
      </c>
    </row>
    <row r="392" spans="1:5">
      <c r="A392" s="82"/>
      <c r="B392" s="72"/>
      <c r="C392" s="57" t="s">
        <v>584</v>
      </c>
      <c r="D392" s="57"/>
      <c r="E392" t="s">
        <v>164</v>
      </c>
    </row>
    <row r="393" spans="1:5">
      <c r="A393" s="82"/>
      <c r="B393" s="72"/>
      <c r="C393" s="57" t="s">
        <v>585</v>
      </c>
      <c r="D393" s="57"/>
      <c r="E393" t="s">
        <v>164</v>
      </c>
    </row>
    <row r="394" spans="1:5">
      <c r="A394" s="82"/>
      <c r="B394" s="72"/>
      <c r="C394" s="57" t="s">
        <v>586</v>
      </c>
      <c r="D394" s="57"/>
      <c r="E394" t="s">
        <v>164</v>
      </c>
    </row>
    <row r="395" spans="1:5">
      <c r="A395" s="82"/>
      <c r="B395" s="72"/>
      <c r="C395" s="57" t="s">
        <v>587</v>
      </c>
      <c r="D395" s="57"/>
      <c r="E395" t="s">
        <v>164</v>
      </c>
    </row>
    <row r="396" spans="1:5">
      <c r="A396" s="82"/>
      <c r="B396" s="72"/>
      <c r="C396" s="57" t="s">
        <v>588</v>
      </c>
      <c r="D396" s="57"/>
      <c r="E396" t="s">
        <v>164</v>
      </c>
    </row>
    <row r="397" spans="1:5">
      <c r="A397" s="82"/>
      <c r="B397" s="72"/>
      <c r="C397" s="57" t="s">
        <v>589</v>
      </c>
      <c r="D397" s="57"/>
      <c r="E397" t="s">
        <v>164</v>
      </c>
    </row>
    <row r="398" spans="1:5">
      <c r="A398" s="82"/>
      <c r="B398" s="72"/>
      <c r="C398" s="57" t="s">
        <v>590</v>
      </c>
      <c r="D398" s="57"/>
      <c r="E398" t="s">
        <v>164</v>
      </c>
    </row>
    <row r="399" spans="1:5">
      <c r="A399" s="82"/>
      <c r="B399" s="72"/>
      <c r="C399" s="57" t="s">
        <v>591</v>
      </c>
      <c r="D399" s="57"/>
      <c r="E399" t="s">
        <v>164</v>
      </c>
    </row>
    <row r="400" spans="1:5">
      <c r="A400" s="82"/>
      <c r="B400" s="72"/>
      <c r="C400" s="57" t="s">
        <v>592</v>
      </c>
      <c r="D400" s="57"/>
      <c r="E400" t="s">
        <v>164</v>
      </c>
    </row>
    <row r="401" spans="1:5">
      <c r="A401" s="82"/>
      <c r="B401" s="72"/>
      <c r="C401" s="57" t="s">
        <v>593</v>
      </c>
      <c r="D401" s="57"/>
      <c r="E401" t="s">
        <v>164</v>
      </c>
    </row>
    <row r="402" spans="1:5">
      <c r="A402" s="82"/>
      <c r="B402" s="72"/>
      <c r="C402" s="57" t="s">
        <v>594</v>
      </c>
      <c r="D402" s="57"/>
      <c r="E402" t="s">
        <v>164</v>
      </c>
    </row>
    <row r="403" spans="1:5">
      <c r="A403" s="82"/>
      <c r="B403" s="72"/>
      <c r="C403" s="57" t="s">
        <v>595</v>
      </c>
      <c r="D403" s="57"/>
      <c r="E403" t="s">
        <v>164</v>
      </c>
    </row>
    <row r="404" spans="1:5">
      <c r="A404" s="82"/>
      <c r="B404" s="72"/>
      <c r="C404" s="57" t="s">
        <v>596</v>
      </c>
      <c r="D404" s="57"/>
      <c r="E404" t="s">
        <v>164</v>
      </c>
    </row>
    <row r="405" spans="1:5">
      <c r="A405" s="82"/>
      <c r="B405" s="72"/>
      <c r="C405" s="57" t="s">
        <v>597</v>
      </c>
      <c r="D405" s="57"/>
      <c r="E405" t="s">
        <v>164</v>
      </c>
    </row>
    <row r="406" spans="1:5">
      <c r="A406" s="82"/>
      <c r="B406" s="72"/>
      <c r="C406" s="57" t="s">
        <v>598</v>
      </c>
      <c r="D406" s="57"/>
      <c r="E406" t="s">
        <v>164</v>
      </c>
    </row>
    <row r="407" spans="1:5">
      <c r="A407" s="82"/>
      <c r="B407" s="72"/>
      <c r="C407" s="57" t="s">
        <v>599</v>
      </c>
      <c r="D407" s="57"/>
      <c r="E407" t="s">
        <v>164</v>
      </c>
    </row>
    <row r="408" spans="1:5">
      <c r="A408" s="82"/>
      <c r="B408" s="72"/>
      <c r="C408" s="57" t="s">
        <v>600</v>
      </c>
      <c r="D408" s="57"/>
      <c r="E408" t="s">
        <v>164</v>
      </c>
    </row>
    <row r="409" spans="1:5">
      <c r="A409" s="82"/>
      <c r="B409" s="72"/>
      <c r="C409" s="57" t="s">
        <v>601</v>
      </c>
      <c r="D409" s="57"/>
      <c r="E409" t="s">
        <v>164</v>
      </c>
    </row>
    <row r="410" spans="1:5">
      <c r="A410" s="82"/>
      <c r="B410" s="72"/>
      <c r="C410" s="57" t="s">
        <v>602</v>
      </c>
      <c r="D410" s="57"/>
      <c r="E410" t="s">
        <v>164</v>
      </c>
    </row>
    <row r="411" spans="1:5">
      <c r="A411" s="82"/>
      <c r="B411" s="72"/>
      <c r="C411" s="57" t="s">
        <v>603</v>
      </c>
      <c r="D411" s="57"/>
      <c r="E411" t="s">
        <v>164</v>
      </c>
    </row>
    <row r="412" spans="1:5">
      <c r="A412" s="82"/>
      <c r="B412" s="72"/>
      <c r="C412" s="57" t="s">
        <v>604</v>
      </c>
      <c r="D412" s="57"/>
      <c r="E412" t="s">
        <v>164</v>
      </c>
    </row>
    <row r="413" spans="1:5">
      <c r="A413" s="82"/>
      <c r="B413" s="72"/>
      <c r="C413" s="57" t="s">
        <v>605</v>
      </c>
      <c r="D413" s="57"/>
      <c r="E413" t="s">
        <v>164</v>
      </c>
    </row>
    <row r="414" spans="1:5">
      <c r="A414" s="82"/>
      <c r="B414" s="72"/>
      <c r="C414" s="57" t="s">
        <v>606</v>
      </c>
      <c r="D414" s="57"/>
      <c r="E414" t="s">
        <v>164</v>
      </c>
    </row>
    <row r="415" spans="1:5">
      <c r="A415" s="82"/>
      <c r="B415" s="72"/>
      <c r="C415" s="57" t="s">
        <v>607</v>
      </c>
      <c r="D415" s="57"/>
      <c r="E415" t="s">
        <v>164</v>
      </c>
    </row>
    <row r="416" spans="1:5">
      <c r="A416" s="82"/>
      <c r="B416" s="72"/>
      <c r="C416" s="57" t="s">
        <v>608</v>
      </c>
      <c r="D416" s="57"/>
      <c r="E416" t="s">
        <v>164</v>
      </c>
    </row>
    <row r="417" spans="1:5">
      <c r="A417" s="82"/>
      <c r="B417" s="72"/>
      <c r="C417" s="57" t="s">
        <v>609</v>
      </c>
      <c r="D417" s="57"/>
      <c r="E417" t="s">
        <v>164</v>
      </c>
    </row>
    <row r="418" spans="1:5">
      <c r="A418" s="82"/>
      <c r="B418" s="72"/>
      <c r="C418" s="57" t="s">
        <v>610</v>
      </c>
      <c r="D418" s="57"/>
      <c r="E418" t="s">
        <v>164</v>
      </c>
    </row>
    <row r="419" spans="1:5">
      <c r="A419" s="82"/>
      <c r="B419" s="72"/>
      <c r="C419" s="57" t="s">
        <v>611</v>
      </c>
      <c r="D419" s="57"/>
      <c r="E419" t="s">
        <v>164</v>
      </c>
    </row>
    <row r="420" spans="1:5">
      <c r="A420" s="82"/>
      <c r="B420" s="72"/>
      <c r="C420" s="57" t="s">
        <v>612</v>
      </c>
      <c r="D420" s="57"/>
      <c r="E420" t="s">
        <v>164</v>
      </c>
    </row>
    <row r="421" spans="1:5">
      <c r="A421" s="82"/>
      <c r="B421" s="72"/>
      <c r="C421" s="57" t="s">
        <v>613</v>
      </c>
      <c r="D421" s="57"/>
      <c r="E421" t="s">
        <v>164</v>
      </c>
    </row>
    <row r="422" spans="1:5">
      <c r="A422" s="82"/>
      <c r="B422" s="72"/>
      <c r="C422" s="57" t="s">
        <v>614</v>
      </c>
      <c r="D422" s="57"/>
      <c r="E422" t="s">
        <v>164</v>
      </c>
    </row>
    <row r="423" spans="1:5">
      <c r="A423" s="82"/>
      <c r="B423" s="72"/>
      <c r="C423" s="57" t="s">
        <v>615</v>
      </c>
      <c r="D423" s="57"/>
      <c r="E423" t="s">
        <v>164</v>
      </c>
    </row>
    <row r="424" spans="1:5">
      <c r="A424" s="82"/>
      <c r="B424" s="72"/>
      <c r="C424" s="57" t="s">
        <v>616</v>
      </c>
      <c r="D424" s="57"/>
      <c r="E424" t="s">
        <v>164</v>
      </c>
    </row>
    <row r="425" spans="1:5">
      <c r="A425" s="82"/>
      <c r="B425" s="72"/>
      <c r="C425" s="57" t="s">
        <v>617</v>
      </c>
      <c r="D425" s="57"/>
      <c r="E425" t="s">
        <v>164</v>
      </c>
    </row>
    <row r="426" spans="1:5">
      <c r="A426" s="82"/>
      <c r="B426" s="72"/>
      <c r="C426" s="57" t="s">
        <v>618</v>
      </c>
      <c r="D426" s="57"/>
      <c r="E426" t="s">
        <v>164</v>
      </c>
    </row>
    <row r="427" spans="1:5">
      <c r="A427" s="82"/>
      <c r="B427" s="72"/>
      <c r="C427" s="57" t="s">
        <v>619</v>
      </c>
      <c r="D427" s="57"/>
      <c r="E427" t="s">
        <v>164</v>
      </c>
    </row>
    <row r="428" spans="1:5">
      <c r="A428" s="82"/>
      <c r="B428" s="72"/>
      <c r="C428" s="57" t="s">
        <v>620</v>
      </c>
      <c r="D428" s="57"/>
      <c r="E428" t="s">
        <v>164</v>
      </c>
    </row>
    <row r="429" spans="1:5">
      <c r="A429" s="82"/>
      <c r="B429" s="72"/>
      <c r="C429" s="57" t="s">
        <v>621</v>
      </c>
      <c r="D429" s="57"/>
      <c r="E429" t="s">
        <v>164</v>
      </c>
    </row>
    <row r="430" spans="1:5">
      <c r="A430" s="82"/>
      <c r="B430" s="72"/>
      <c r="C430" s="57" t="s">
        <v>622</v>
      </c>
      <c r="D430" s="57"/>
      <c r="E430" t="s">
        <v>164</v>
      </c>
    </row>
    <row r="431" spans="1:5">
      <c r="A431" s="82"/>
      <c r="B431" s="72"/>
      <c r="C431" s="57" t="s">
        <v>623</v>
      </c>
      <c r="D431" s="57"/>
      <c r="E431" t="s">
        <v>164</v>
      </c>
    </row>
    <row r="432" spans="1:5">
      <c r="A432" s="82"/>
      <c r="B432" s="72"/>
      <c r="C432" s="57" t="s">
        <v>624</v>
      </c>
      <c r="D432" s="57"/>
      <c r="E432" t="s">
        <v>164</v>
      </c>
    </row>
    <row r="433" spans="1:5">
      <c r="A433" s="82"/>
      <c r="B433" s="72"/>
      <c r="C433" s="57" t="s">
        <v>625</v>
      </c>
      <c r="D433" s="57"/>
      <c r="E433" t="s">
        <v>164</v>
      </c>
    </row>
    <row r="434" spans="1:5">
      <c r="A434" s="82"/>
      <c r="B434" s="72"/>
      <c r="C434" s="57" t="s">
        <v>626</v>
      </c>
      <c r="D434" s="57"/>
      <c r="E434" t="s">
        <v>164</v>
      </c>
    </row>
    <row r="435" spans="1:5">
      <c r="A435" s="82"/>
      <c r="B435" s="72"/>
      <c r="C435" s="57" t="s">
        <v>627</v>
      </c>
      <c r="D435" s="57"/>
      <c r="E435" t="s">
        <v>164</v>
      </c>
    </row>
    <row r="436" spans="1:5">
      <c r="A436" s="82"/>
      <c r="B436" s="72"/>
      <c r="C436" s="57" t="s">
        <v>628</v>
      </c>
      <c r="D436" s="57"/>
      <c r="E436" t="s">
        <v>164</v>
      </c>
    </row>
    <row r="437" spans="1:5">
      <c r="A437" s="82"/>
      <c r="B437" s="72"/>
      <c r="C437" s="57" t="s">
        <v>629</v>
      </c>
      <c r="D437" s="57"/>
      <c r="E437" t="s">
        <v>164</v>
      </c>
    </row>
    <row r="438" spans="1:5">
      <c r="A438" s="82"/>
      <c r="B438" s="72"/>
      <c r="C438" s="57" t="s">
        <v>630</v>
      </c>
      <c r="D438" s="57"/>
      <c r="E438" t="s">
        <v>164</v>
      </c>
    </row>
    <row r="439" spans="1:5">
      <c r="A439" s="82"/>
      <c r="B439" s="72"/>
      <c r="C439" s="57" t="s">
        <v>631</v>
      </c>
      <c r="D439" s="57"/>
      <c r="E439" t="s">
        <v>164</v>
      </c>
    </row>
    <row r="440" spans="1:5">
      <c r="A440" s="82"/>
      <c r="B440" s="72"/>
      <c r="C440" s="57" t="s">
        <v>632</v>
      </c>
      <c r="D440" s="57"/>
      <c r="E440" t="s">
        <v>164</v>
      </c>
    </row>
    <row r="441" spans="1:5">
      <c r="A441" s="82"/>
      <c r="B441" s="72"/>
      <c r="C441" s="57" t="s">
        <v>633</v>
      </c>
      <c r="D441" s="57"/>
      <c r="E441" t="s">
        <v>164</v>
      </c>
    </row>
    <row r="442" spans="1:5">
      <c r="A442" s="82"/>
      <c r="B442" s="72"/>
      <c r="C442" s="57" t="s">
        <v>634</v>
      </c>
      <c r="D442" s="57"/>
      <c r="E442" t="s">
        <v>164</v>
      </c>
    </row>
    <row r="443" spans="1:5">
      <c r="A443" s="82"/>
      <c r="B443" s="72"/>
      <c r="C443" s="57" t="s">
        <v>635</v>
      </c>
      <c r="D443" s="57"/>
      <c r="E443" t="s">
        <v>164</v>
      </c>
    </row>
    <row r="444" spans="1:5">
      <c r="A444" s="82"/>
      <c r="B444" s="72"/>
      <c r="C444" s="57" t="s">
        <v>636</v>
      </c>
      <c r="D444" s="57"/>
      <c r="E444" t="s">
        <v>164</v>
      </c>
    </row>
    <row r="445" spans="1:5">
      <c r="A445" s="82"/>
      <c r="B445" s="72"/>
      <c r="C445" s="57" t="s">
        <v>637</v>
      </c>
      <c r="D445" s="57"/>
      <c r="E445" t="s">
        <v>164</v>
      </c>
    </row>
    <row r="446" spans="1:5">
      <c r="A446" s="82"/>
      <c r="B446" s="72"/>
      <c r="C446" s="57" t="s">
        <v>638</v>
      </c>
      <c r="D446" s="57"/>
      <c r="E446" t="s">
        <v>164</v>
      </c>
    </row>
    <row r="447" spans="1:5">
      <c r="A447" s="82"/>
      <c r="B447" s="72"/>
      <c r="C447" s="57" t="s">
        <v>639</v>
      </c>
      <c r="D447" s="57"/>
      <c r="E447" t="s">
        <v>164</v>
      </c>
    </row>
    <row r="448" spans="1:5">
      <c r="A448" s="82"/>
      <c r="B448" s="72"/>
      <c r="C448" s="57" t="s">
        <v>640</v>
      </c>
      <c r="D448" s="57"/>
      <c r="E448" t="s">
        <v>164</v>
      </c>
    </row>
    <row r="449" spans="1:5">
      <c r="A449" s="82"/>
      <c r="B449" s="72"/>
      <c r="C449" s="57" t="s">
        <v>641</v>
      </c>
      <c r="D449" s="57"/>
      <c r="E449" t="s">
        <v>164</v>
      </c>
    </row>
    <row r="450" spans="1:5">
      <c r="A450" s="82"/>
      <c r="B450" s="72"/>
      <c r="C450" s="57" t="s">
        <v>642</v>
      </c>
      <c r="D450" s="57"/>
      <c r="E450" t="s">
        <v>164</v>
      </c>
    </row>
    <row r="451" spans="1:5">
      <c r="A451" s="82"/>
      <c r="B451" s="72"/>
      <c r="C451" s="57" t="s">
        <v>643</v>
      </c>
      <c r="D451" s="57"/>
      <c r="E451" t="s">
        <v>164</v>
      </c>
    </row>
    <row r="452" spans="1:5">
      <c r="A452" s="82"/>
      <c r="B452" s="72"/>
      <c r="C452" s="57" t="s">
        <v>644</v>
      </c>
      <c r="D452" s="57"/>
      <c r="E452" t="s">
        <v>164</v>
      </c>
    </row>
    <row r="453" spans="1:5">
      <c r="A453" s="82"/>
      <c r="B453" s="72"/>
      <c r="C453" s="57" t="s">
        <v>645</v>
      </c>
      <c r="D453" s="57"/>
      <c r="E453" t="s">
        <v>164</v>
      </c>
    </row>
    <row r="454" spans="1:5">
      <c r="A454" s="82"/>
      <c r="B454" s="72"/>
      <c r="C454" s="57" t="s">
        <v>646</v>
      </c>
      <c r="D454" s="57"/>
      <c r="E454" t="s">
        <v>164</v>
      </c>
    </row>
    <row r="455" spans="1:5">
      <c r="A455" s="82"/>
      <c r="B455" s="72"/>
      <c r="C455" s="57" t="s">
        <v>647</v>
      </c>
      <c r="D455" s="57"/>
      <c r="E455" t="s">
        <v>164</v>
      </c>
    </row>
    <row r="456" spans="1:5">
      <c r="A456" s="82"/>
      <c r="B456" s="72"/>
      <c r="C456" s="57" t="s">
        <v>648</v>
      </c>
      <c r="D456" s="57"/>
      <c r="E456" t="s">
        <v>164</v>
      </c>
    </row>
    <row r="457" spans="1:5">
      <c r="A457" s="82"/>
      <c r="B457" s="72"/>
      <c r="C457" s="57" t="s">
        <v>649</v>
      </c>
      <c r="D457" s="57"/>
      <c r="E457" t="s">
        <v>164</v>
      </c>
    </row>
    <row r="458" spans="1:5">
      <c r="A458" s="82"/>
      <c r="B458" s="72"/>
      <c r="C458" s="57" t="s">
        <v>650</v>
      </c>
      <c r="D458" s="57"/>
      <c r="E458" t="s">
        <v>164</v>
      </c>
    </row>
    <row r="459" spans="1:5">
      <c r="A459" s="82"/>
      <c r="B459" s="72"/>
      <c r="C459" s="57" t="s">
        <v>651</v>
      </c>
      <c r="D459" s="57"/>
      <c r="E459" t="s">
        <v>164</v>
      </c>
    </row>
    <row r="460" spans="1:5">
      <c r="A460" s="82"/>
      <c r="B460" s="72"/>
      <c r="C460" s="57" t="s">
        <v>652</v>
      </c>
      <c r="D460" s="57"/>
      <c r="E460" t="s">
        <v>164</v>
      </c>
    </row>
    <row r="461" spans="1:5">
      <c r="A461" s="82"/>
      <c r="B461" s="72"/>
      <c r="C461" s="57" t="s">
        <v>653</v>
      </c>
      <c r="D461" s="57"/>
      <c r="E461" t="s">
        <v>164</v>
      </c>
    </row>
    <row r="462" spans="1:5">
      <c r="A462" s="82"/>
      <c r="B462" s="72"/>
      <c r="C462" s="57" t="s">
        <v>654</v>
      </c>
      <c r="D462" s="57"/>
      <c r="E462" t="s">
        <v>164</v>
      </c>
    </row>
    <row r="463" spans="1:5">
      <c r="A463" s="82"/>
      <c r="B463" s="72"/>
      <c r="C463" s="57" t="s">
        <v>655</v>
      </c>
      <c r="D463" s="57"/>
      <c r="E463" t="s">
        <v>164</v>
      </c>
    </row>
    <row r="464" spans="1:5">
      <c r="A464" s="82"/>
      <c r="B464" s="72"/>
      <c r="C464" s="57" t="s">
        <v>656</v>
      </c>
      <c r="D464" s="57"/>
      <c r="E464" t="s">
        <v>164</v>
      </c>
    </row>
    <row r="465" spans="1:5">
      <c r="A465" s="82"/>
      <c r="B465" s="72"/>
      <c r="C465" s="57" t="s">
        <v>657</v>
      </c>
      <c r="D465" s="57"/>
      <c r="E465" t="s">
        <v>164</v>
      </c>
    </row>
    <row r="466" spans="1:5">
      <c r="A466" s="82"/>
      <c r="B466" s="72"/>
      <c r="C466" s="57" t="s">
        <v>658</v>
      </c>
      <c r="D466" s="57"/>
      <c r="E466" t="s">
        <v>164</v>
      </c>
    </row>
    <row r="467" spans="1:5">
      <c r="A467" s="82"/>
      <c r="B467" s="72"/>
      <c r="C467" s="57" t="s">
        <v>659</v>
      </c>
      <c r="D467" s="57"/>
      <c r="E467" t="s">
        <v>164</v>
      </c>
    </row>
    <row r="468" spans="1:5">
      <c r="A468" s="82"/>
      <c r="B468" s="72"/>
      <c r="C468" s="57" t="s">
        <v>660</v>
      </c>
      <c r="D468" s="57"/>
      <c r="E468" t="s">
        <v>164</v>
      </c>
    </row>
    <row r="469" spans="1:5">
      <c r="A469" s="82"/>
      <c r="B469" s="72"/>
      <c r="C469" s="57" t="s">
        <v>661</v>
      </c>
      <c r="D469" s="57"/>
      <c r="E469" t="s">
        <v>164</v>
      </c>
    </row>
    <row r="470" spans="1:5">
      <c r="A470" s="82"/>
      <c r="B470" s="72"/>
      <c r="C470" s="57" t="s">
        <v>662</v>
      </c>
      <c r="D470" s="57"/>
      <c r="E470" t="s">
        <v>164</v>
      </c>
    </row>
    <row r="471" spans="1:5">
      <c r="A471" s="82"/>
      <c r="B471" s="72"/>
      <c r="C471" s="57" t="s">
        <v>663</v>
      </c>
      <c r="D471" s="57"/>
      <c r="E471" t="s">
        <v>164</v>
      </c>
    </row>
    <row r="472" spans="1:5">
      <c r="A472" s="82"/>
      <c r="B472" s="72"/>
      <c r="C472" s="57" t="s">
        <v>664</v>
      </c>
      <c r="D472" s="57"/>
      <c r="E472" t="s">
        <v>164</v>
      </c>
    </row>
    <row r="473" spans="1:5">
      <c r="A473" s="82"/>
      <c r="B473" s="72"/>
      <c r="C473" s="57" t="s">
        <v>665</v>
      </c>
      <c r="D473" s="57"/>
      <c r="E473" t="s">
        <v>164</v>
      </c>
    </row>
    <row r="474" spans="1:5">
      <c r="A474" s="82"/>
      <c r="B474" s="72"/>
      <c r="C474" s="57" t="s">
        <v>666</v>
      </c>
      <c r="D474" s="57"/>
      <c r="E474" t="s">
        <v>164</v>
      </c>
    </row>
    <row r="475" spans="1:5">
      <c r="A475" s="82"/>
      <c r="B475" s="72"/>
      <c r="C475" s="57" t="s">
        <v>667</v>
      </c>
      <c r="D475" s="57"/>
      <c r="E475" t="s">
        <v>164</v>
      </c>
    </row>
    <row r="476" spans="1:5">
      <c r="A476" s="82"/>
      <c r="B476" s="72"/>
      <c r="C476" s="57" t="s">
        <v>668</v>
      </c>
      <c r="D476" s="57"/>
      <c r="E476" t="s">
        <v>164</v>
      </c>
    </row>
    <row r="477" spans="1:5">
      <c r="A477" s="82"/>
      <c r="B477" s="72"/>
      <c r="C477" s="57" t="s">
        <v>669</v>
      </c>
      <c r="D477" s="57"/>
      <c r="E477" t="s">
        <v>164</v>
      </c>
    </row>
    <row r="478" spans="1:5">
      <c r="A478" s="82"/>
      <c r="B478" s="72"/>
      <c r="C478" s="57" t="s">
        <v>670</v>
      </c>
      <c r="D478" s="57"/>
      <c r="E478" t="s">
        <v>164</v>
      </c>
    </row>
    <row r="479" spans="1:5">
      <c r="A479" s="82"/>
      <c r="B479" s="72"/>
      <c r="C479" s="57" t="s">
        <v>671</v>
      </c>
      <c r="D479" s="57"/>
      <c r="E479" t="s">
        <v>164</v>
      </c>
    </row>
    <row r="480" spans="1:5">
      <c r="A480" s="82"/>
      <c r="B480" s="72"/>
      <c r="C480" s="57" t="s">
        <v>672</v>
      </c>
      <c r="D480" s="57"/>
      <c r="E480" t="s">
        <v>164</v>
      </c>
    </row>
    <row r="481" spans="1:5">
      <c r="A481" s="82"/>
      <c r="B481" s="72"/>
      <c r="C481" s="57" t="s">
        <v>673</v>
      </c>
      <c r="D481" s="57"/>
      <c r="E481" t="s">
        <v>164</v>
      </c>
    </row>
    <row r="482" spans="1:5">
      <c r="A482" s="82"/>
      <c r="B482" s="72"/>
      <c r="C482" s="57" t="s">
        <v>674</v>
      </c>
      <c r="D482" s="57"/>
      <c r="E482" t="s">
        <v>164</v>
      </c>
    </row>
    <row r="483" spans="1:5">
      <c r="A483" s="82"/>
      <c r="B483" s="72"/>
      <c r="C483" s="57" t="s">
        <v>675</v>
      </c>
      <c r="D483" s="57"/>
      <c r="E483" t="s">
        <v>164</v>
      </c>
    </row>
    <row r="484" spans="1:5">
      <c r="A484" s="82"/>
      <c r="B484" s="72"/>
      <c r="C484" s="57" t="s">
        <v>676</v>
      </c>
      <c r="D484" s="57"/>
      <c r="E484" t="s">
        <v>164</v>
      </c>
    </row>
    <row r="485" spans="1:5">
      <c r="A485" s="82"/>
      <c r="B485" s="72"/>
      <c r="C485" s="57" t="s">
        <v>677</v>
      </c>
      <c r="D485" s="57"/>
      <c r="E485" t="s">
        <v>164</v>
      </c>
    </row>
    <row r="486" spans="1:5">
      <c r="A486" s="82"/>
      <c r="B486" s="72"/>
      <c r="C486" s="57" t="s">
        <v>678</v>
      </c>
      <c r="D486" s="57"/>
      <c r="E486" t="s">
        <v>164</v>
      </c>
    </row>
    <row r="487" spans="1:5">
      <c r="A487" s="82"/>
      <c r="B487" s="72"/>
      <c r="C487" s="57" t="s">
        <v>679</v>
      </c>
      <c r="D487" s="57"/>
      <c r="E487" t="s">
        <v>164</v>
      </c>
    </row>
    <row r="488" spans="1:5">
      <c r="A488" s="82"/>
      <c r="B488" s="72"/>
      <c r="C488" s="57" t="s">
        <v>680</v>
      </c>
      <c r="D488" s="57"/>
      <c r="E488" t="s">
        <v>164</v>
      </c>
    </row>
    <row r="489" spans="1:5">
      <c r="A489" s="82"/>
      <c r="B489" s="72"/>
      <c r="C489" s="57" t="s">
        <v>68</v>
      </c>
      <c r="D489" s="57"/>
    </row>
    <row r="490" spans="1:5">
      <c r="A490" s="82"/>
      <c r="B490" s="72"/>
      <c r="C490" s="57" t="s">
        <v>681</v>
      </c>
      <c r="D490" s="57"/>
    </row>
    <row r="491" spans="1:5">
      <c r="A491" s="82"/>
      <c r="B491" s="72"/>
      <c r="C491" s="57" t="s">
        <v>682</v>
      </c>
      <c r="D491" s="57"/>
    </row>
    <row r="492" spans="1:5">
      <c r="A492" s="82"/>
      <c r="B492" s="72"/>
      <c r="C492" s="57" t="s">
        <v>683</v>
      </c>
      <c r="D492" s="57"/>
    </row>
    <row r="493" spans="1:5">
      <c r="A493" s="82"/>
      <c r="B493" s="72"/>
      <c r="C493" s="57" t="s">
        <v>684</v>
      </c>
      <c r="D493" s="57"/>
    </row>
    <row r="494" spans="1:5">
      <c r="A494" s="82"/>
      <c r="B494" s="72"/>
      <c r="C494" s="57" t="s">
        <v>685</v>
      </c>
      <c r="D494" s="57"/>
    </row>
    <row r="495" spans="1:5">
      <c r="A495" s="82"/>
      <c r="B495" s="72"/>
      <c r="C495" s="57" t="s">
        <v>686</v>
      </c>
      <c r="D495" s="57"/>
    </row>
    <row r="496" spans="1:5">
      <c r="A496" s="82"/>
      <c r="B496" s="72"/>
      <c r="C496" s="57" t="s">
        <v>687</v>
      </c>
      <c r="D496" s="57"/>
    </row>
    <row r="497" spans="1:4">
      <c r="A497" s="82"/>
      <c r="B497" s="72"/>
      <c r="C497" s="57" t="s">
        <v>688</v>
      </c>
      <c r="D497" s="57"/>
    </row>
    <row r="498" spans="1:4">
      <c r="A498" s="83"/>
      <c r="B498" s="73"/>
      <c r="C498" s="57" t="s">
        <v>518</v>
      </c>
      <c r="D498" s="57"/>
    </row>
    <row r="499" spans="1:4">
      <c r="A499" s="115"/>
      <c r="B499" s="119" t="s">
        <v>689</v>
      </c>
      <c r="C499" s="55" t="s">
        <v>388</v>
      </c>
      <c r="D499" s="55"/>
    </row>
    <row r="500" spans="1:4">
      <c r="A500" s="64"/>
      <c r="B500" s="119"/>
      <c r="C500" s="55" t="s">
        <v>690</v>
      </c>
      <c r="D500" s="55"/>
    </row>
    <row r="501" spans="1:4">
      <c r="A501" s="64"/>
      <c r="B501" s="119"/>
      <c r="C501" s="55" t="s">
        <v>691</v>
      </c>
      <c r="D501" s="55"/>
    </row>
    <row r="502" spans="1:4">
      <c r="A502" s="64"/>
      <c r="B502" s="119"/>
      <c r="C502" s="55" t="s">
        <v>692</v>
      </c>
      <c r="D502" s="55"/>
    </row>
    <row r="503" spans="1:4">
      <c r="A503" s="64"/>
      <c r="B503" s="119"/>
      <c r="C503" s="55" t="s">
        <v>693</v>
      </c>
      <c r="D503" s="55"/>
    </row>
    <row r="504" spans="1:4">
      <c r="A504" s="64"/>
      <c r="B504" s="119"/>
      <c r="C504" s="55" t="s">
        <v>694</v>
      </c>
      <c r="D504" s="55"/>
    </row>
    <row r="505" spans="1:4">
      <c r="A505" s="64"/>
      <c r="B505" s="119"/>
      <c r="C505" s="55" t="s">
        <v>695</v>
      </c>
      <c r="D505" s="55"/>
    </row>
    <row r="506" spans="1:4">
      <c r="A506" s="64"/>
      <c r="B506" s="119"/>
      <c r="C506" s="55" t="s">
        <v>696</v>
      </c>
      <c r="D506" s="55"/>
    </row>
    <row r="507" spans="1:4">
      <c r="A507" s="64"/>
      <c r="B507" s="119"/>
      <c r="C507" s="55" t="s">
        <v>697</v>
      </c>
      <c r="D507" s="55"/>
    </row>
    <row r="508" spans="1:4">
      <c r="A508" s="64"/>
      <c r="B508" s="119"/>
      <c r="C508" s="55" t="s">
        <v>698</v>
      </c>
      <c r="D508" s="55"/>
    </row>
    <row r="509" spans="1:4">
      <c r="A509" s="64"/>
      <c r="B509" s="119"/>
      <c r="C509" s="55" t="s">
        <v>699</v>
      </c>
      <c r="D509" s="55"/>
    </row>
    <row r="510" spans="1:4">
      <c r="A510" s="64"/>
      <c r="B510" s="119"/>
      <c r="C510" s="55" t="s">
        <v>700</v>
      </c>
      <c r="D510" s="55"/>
    </row>
    <row r="511" spans="1:4">
      <c r="A511" s="64"/>
      <c r="B511" s="119"/>
      <c r="C511" s="55" t="s">
        <v>701</v>
      </c>
      <c r="D511" s="55"/>
    </row>
    <row r="512" spans="1:4">
      <c r="A512" s="64"/>
      <c r="B512" s="119"/>
      <c r="C512" s="55" t="s">
        <v>434</v>
      </c>
      <c r="D512" s="55"/>
    </row>
    <row r="513" spans="1:4">
      <c r="A513" s="64"/>
      <c r="B513" s="119"/>
      <c r="C513" s="55" t="s">
        <v>68</v>
      </c>
      <c r="D513" s="55"/>
    </row>
    <row r="514" spans="1:4">
      <c r="A514" s="82"/>
      <c r="B514" s="68" t="s">
        <v>702</v>
      </c>
      <c r="C514" s="57" t="s">
        <v>288</v>
      </c>
      <c r="D514" s="57"/>
    </row>
    <row r="515" spans="1:4">
      <c r="A515" s="83"/>
      <c r="B515" s="70"/>
      <c r="C515" s="57" t="s">
        <v>92</v>
      </c>
      <c r="D515" s="57"/>
    </row>
    <row r="516" spans="1:4">
      <c r="A516" s="64"/>
      <c r="B516" s="119" t="s">
        <v>703</v>
      </c>
      <c r="C516" s="55" t="s">
        <v>704</v>
      </c>
      <c r="D516" s="55"/>
    </row>
    <row r="517" spans="1:4">
      <c r="A517" s="64"/>
      <c r="B517" s="119"/>
      <c r="C517" s="55" t="s">
        <v>705</v>
      </c>
      <c r="D517" s="55"/>
    </row>
    <row r="518" spans="1:4">
      <c r="A518" s="64"/>
      <c r="B518" s="119"/>
      <c r="C518" s="55" t="s">
        <v>706</v>
      </c>
      <c r="D518" s="55"/>
    </row>
    <row r="519" spans="1:4">
      <c r="A519" s="64"/>
      <c r="B519" s="119"/>
      <c r="C519" s="55" t="s">
        <v>707</v>
      </c>
      <c r="D519" s="55"/>
    </row>
    <row r="520" spans="1:4">
      <c r="A520" s="117"/>
      <c r="B520" s="68" t="s">
        <v>708</v>
      </c>
      <c r="C520" s="57" t="s">
        <v>709</v>
      </c>
      <c r="D520" s="57"/>
    </row>
    <row r="521" spans="1:4">
      <c r="A521" s="80"/>
      <c r="B521" s="69"/>
      <c r="C521" s="57" t="s">
        <v>710</v>
      </c>
      <c r="D521" s="57"/>
    </row>
    <row r="522" spans="1:4">
      <c r="A522" s="80"/>
      <c r="B522" s="69"/>
      <c r="C522" s="57" t="s">
        <v>711</v>
      </c>
      <c r="D522" s="57"/>
    </row>
    <row r="523" spans="1:4">
      <c r="A523" s="80"/>
      <c r="B523" s="69"/>
      <c r="C523" s="57" t="s">
        <v>712</v>
      </c>
      <c r="D523" s="57"/>
    </row>
    <row r="524" spans="1:4">
      <c r="A524" s="80"/>
      <c r="B524" s="69"/>
      <c r="C524" s="57" t="s">
        <v>713</v>
      </c>
      <c r="D524" s="57"/>
    </row>
    <row r="525" spans="1:4">
      <c r="A525" s="80"/>
      <c r="B525" s="69"/>
      <c r="C525" s="57" t="s">
        <v>714</v>
      </c>
      <c r="D525" s="57"/>
    </row>
    <row r="526" spans="1:4">
      <c r="A526" s="80"/>
      <c r="B526" s="69"/>
      <c r="C526" s="57" t="s">
        <v>715</v>
      </c>
      <c r="D526" s="57"/>
    </row>
    <row r="527" spans="1:4">
      <c r="A527" s="80"/>
      <c r="B527" s="69"/>
      <c r="C527" s="57" t="s">
        <v>716</v>
      </c>
      <c r="D527" s="57"/>
    </row>
    <row r="528" spans="1:4">
      <c r="A528" s="80"/>
      <c r="B528" s="69"/>
      <c r="C528" s="57" t="s">
        <v>717</v>
      </c>
      <c r="D528" s="57"/>
    </row>
    <row r="529" spans="1:4">
      <c r="A529" s="80"/>
      <c r="B529" s="69"/>
      <c r="C529" s="57" t="s">
        <v>698</v>
      </c>
      <c r="D529" s="57"/>
    </row>
    <row r="530" spans="1:4">
      <c r="B530" s="69"/>
      <c r="C530" s="57" t="s">
        <v>718</v>
      </c>
      <c r="D530" s="57"/>
    </row>
    <row r="531" spans="1:4" ht="15">
      <c r="A531" s="80"/>
      <c r="B531" s="69"/>
      <c r="C531" s="57" t="s">
        <v>719</v>
      </c>
      <c r="D531" s="57" t="s">
        <v>720</v>
      </c>
    </row>
    <row r="532" spans="1:4" ht="15">
      <c r="A532" s="80"/>
      <c r="B532" s="69"/>
      <c r="C532" s="57" t="s">
        <v>721</v>
      </c>
      <c r="D532" s="57" t="s">
        <v>720</v>
      </c>
    </row>
    <row r="533" spans="1:4" ht="15">
      <c r="A533" s="80"/>
      <c r="B533" s="69"/>
      <c r="C533" s="57" t="s">
        <v>722</v>
      </c>
      <c r="D533" s="57" t="s">
        <v>720</v>
      </c>
    </row>
    <row r="534" spans="1:4">
      <c r="A534" s="80"/>
      <c r="B534" s="69"/>
      <c r="C534" s="57" t="s">
        <v>723</v>
      </c>
      <c r="D534" s="57"/>
    </row>
    <row r="535" spans="1:4">
      <c r="A535" s="80"/>
      <c r="B535" s="69"/>
      <c r="C535" s="57" t="s">
        <v>724</v>
      </c>
      <c r="D535" s="57"/>
    </row>
    <row r="536" spans="1:4">
      <c r="A536" s="80"/>
      <c r="B536" s="69"/>
      <c r="C536" s="57" t="s">
        <v>725</v>
      </c>
      <c r="D536" s="57"/>
    </row>
    <row r="537" spans="1:4">
      <c r="A537" s="80"/>
      <c r="B537" s="69"/>
      <c r="C537" s="57" t="s">
        <v>726</v>
      </c>
      <c r="D537" s="57"/>
    </row>
    <row r="538" spans="1:4">
      <c r="A538" s="80"/>
      <c r="B538" s="69"/>
      <c r="C538" s="57" t="s">
        <v>727</v>
      </c>
      <c r="D538" s="57"/>
    </row>
    <row r="539" spans="1:4">
      <c r="A539" s="80"/>
      <c r="B539" s="69"/>
      <c r="C539" s="57" t="s">
        <v>728</v>
      </c>
      <c r="D539" s="57"/>
    </row>
    <row r="540" spans="1:4">
      <c r="A540" s="80"/>
      <c r="B540" s="69"/>
      <c r="C540" s="57" t="s">
        <v>729</v>
      </c>
      <c r="D540" s="57"/>
    </row>
    <row r="541" spans="1:4">
      <c r="A541" s="80"/>
      <c r="B541" s="69"/>
      <c r="C541" s="57" t="s">
        <v>730</v>
      </c>
      <c r="D541" s="57"/>
    </row>
    <row r="542" spans="1:4">
      <c r="A542" s="80"/>
      <c r="B542" s="69"/>
      <c r="C542" s="57" t="s">
        <v>434</v>
      </c>
      <c r="D542" s="57"/>
    </row>
    <row r="543" spans="1:4">
      <c r="A543" s="80"/>
      <c r="B543" s="69"/>
      <c r="C543" s="57" t="s">
        <v>68</v>
      </c>
      <c r="D543" s="58"/>
    </row>
    <row r="544" spans="1:4">
      <c r="A544" s="86"/>
      <c r="B544" s="59" t="s">
        <v>731</v>
      </c>
      <c r="C544" s="55" t="s">
        <v>288</v>
      </c>
      <c r="D544" s="55"/>
    </row>
    <row r="545" spans="1:4">
      <c r="A545" s="87"/>
      <c r="B545" s="118"/>
      <c r="C545" s="55" t="s">
        <v>92</v>
      </c>
      <c r="D545" s="55"/>
    </row>
    <row r="546" spans="1:4">
      <c r="A546" s="80"/>
      <c r="B546" s="68" t="s">
        <v>732</v>
      </c>
      <c r="C546" s="57" t="s">
        <v>733</v>
      </c>
      <c r="D546" s="57"/>
    </row>
    <row r="547" spans="1:4">
      <c r="A547" s="80"/>
      <c r="B547" s="69"/>
      <c r="C547" s="57" t="s">
        <v>734</v>
      </c>
      <c r="D547" s="57"/>
    </row>
    <row r="548" spans="1:4">
      <c r="A548" s="80"/>
      <c r="B548" s="69"/>
      <c r="C548" s="57" t="s">
        <v>735</v>
      </c>
      <c r="D548" s="57"/>
    </row>
    <row r="549" spans="1:4">
      <c r="A549" s="80"/>
      <c r="B549" s="69"/>
      <c r="C549" s="57" t="s">
        <v>736</v>
      </c>
      <c r="D549" s="57"/>
    </row>
    <row r="550" spans="1:4">
      <c r="A550" s="80"/>
      <c r="B550" s="69"/>
      <c r="C550" s="57" t="s">
        <v>737</v>
      </c>
      <c r="D550" s="57"/>
    </row>
    <row r="551" spans="1:4">
      <c r="A551" s="86"/>
      <c r="B551" s="59" t="s">
        <v>738</v>
      </c>
      <c r="C551" s="55" t="s">
        <v>288</v>
      </c>
      <c r="D551" s="55"/>
    </row>
    <row r="552" spans="1:4">
      <c r="A552" s="87"/>
      <c r="B552" s="118"/>
      <c r="C552" s="55" t="s">
        <v>92</v>
      </c>
      <c r="D552" s="55"/>
    </row>
    <row r="553" spans="1:4">
      <c r="A553" s="65"/>
      <c r="B553" s="68" t="s">
        <v>739</v>
      </c>
      <c r="C553" s="57" t="s">
        <v>740</v>
      </c>
      <c r="D553" s="57"/>
    </row>
    <row r="554" spans="1:4">
      <c r="A554" s="66"/>
      <c r="B554" s="66"/>
      <c r="C554" s="57" t="s">
        <v>741</v>
      </c>
      <c r="D554" s="57"/>
    </row>
    <row r="555" spans="1:4">
      <c r="A555" s="66"/>
      <c r="B555" s="66"/>
      <c r="C555" s="57" t="s">
        <v>742</v>
      </c>
      <c r="D555" s="57"/>
    </row>
    <row r="556" spans="1:4">
      <c r="A556" s="66"/>
      <c r="B556" s="66"/>
      <c r="C556" s="57" t="s">
        <v>743</v>
      </c>
      <c r="D556" s="57"/>
    </row>
    <row r="557" spans="1:4">
      <c r="A557" s="66"/>
      <c r="B557" s="66"/>
      <c r="C557" s="57" t="s">
        <v>744</v>
      </c>
      <c r="D557" s="57"/>
    </row>
    <row r="558" spans="1:4">
      <c r="A558" s="66"/>
      <c r="B558" s="66"/>
      <c r="C558" s="57" t="s">
        <v>745</v>
      </c>
      <c r="D558" s="57"/>
    </row>
    <row r="559" spans="1:4">
      <c r="A559" s="66"/>
      <c r="B559" s="66"/>
      <c r="C559" s="57" t="s">
        <v>746</v>
      </c>
      <c r="D559" s="57"/>
    </row>
    <row r="560" spans="1:4">
      <c r="A560" s="66"/>
      <c r="B560" s="66"/>
      <c r="C560" s="57" t="s">
        <v>747</v>
      </c>
      <c r="D560" s="57"/>
    </row>
    <row r="561" spans="1:4">
      <c r="A561" s="66"/>
      <c r="B561" s="66"/>
      <c r="C561" s="57" t="s">
        <v>748</v>
      </c>
      <c r="D561" s="57"/>
    </row>
    <row r="562" spans="1:4">
      <c r="A562" s="66"/>
      <c r="B562" s="66"/>
      <c r="C562" s="57" t="s">
        <v>749</v>
      </c>
      <c r="D562" s="57"/>
    </row>
    <row r="563" spans="1:4">
      <c r="A563" s="66"/>
      <c r="B563" s="66"/>
      <c r="C563" s="57" t="s">
        <v>750</v>
      </c>
      <c r="D563" s="57"/>
    </row>
    <row r="564" spans="1:4">
      <c r="A564" s="66"/>
      <c r="B564" s="66"/>
      <c r="C564" s="57" t="s">
        <v>751</v>
      </c>
      <c r="D564" s="57"/>
    </row>
    <row r="565" spans="1:4">
      <c r="A565" s="66"/>
      <c r="B565" s="66"/>
      <c r="C565" s="57" t="s">
        <v>752</v>
      </c>
      <c r="D565" s="57"/>
    </row>
    <row r="566" spans="1:4">
      <c r="A566" s="66"/>
      <c r="B566" s="66"/>
      <c r="C566" s="57" t="s">
        <v>753</v>
      </c>
      <c r="D566" s="57"/>
    </row>
    <row r="567" spans="1:4">
      <c r="A567" s="66"/>
      <c r="B567" s="66"/>
      <c r="C567" s="57" t="s">
        <v>754</v>
      </c>
      <c r="D567" s="57"/>
    </row>
    <row r="568" spans="1:4">
      <c r="A568" s="66"/>
      <c r="B568" s="66"/>
      <c r="C568" s="57" t="s">
        <v>755</v>
      </c>
      <c r="D568" s="57"/>
    </row>
    <row r="569" spans="1:4">
      <c r="A569" s="66"/>
      <c r="B569" s="66"/>
      <c r="C569" s="57" t="s">
        <v>756</v>
      </c>
      <c r="D569" s="57"/>
    </row>
    <row r="570" spans="1:4">
      <c r="A570" s="66"/>
      <c r="B570" s="66"/>
      <c r="C570" s="57" t="s">
        <v>757</v>
      </c>
      <c r="D570" s="57"/>
    </row>
    <row r="571" spans="1:4">
      <c r="A571" s="66"/>
      <c r="B571" s="66"/>
      <c r="C571" s="57" t="s">
        <v>758</v>
      </c>
      <c r="D571" s="57"/>
    </row>
    <row r="572" spans="1:4">
      <c r="A572" s="66"/>
      <c r="B572" s="66"/>
      <c r="C572" s="57" t="s">
        <v>759</v>
      </c>
      <c r="D572" s="57"/>
    </row>
    <row r="573" spans="1:4">
      <c r="A573" s="66"/>
      <c r="B573" s="66"/>
      <c r="C573" s="57" t="s">
        <v>760</v>
      </c>
      <c r="D573" s="57"/>
    </row>
    <row r="574" spans="1:4">
      <c r="A574" s="66"/>
      <c r="B574" s="66"/>
      <c r="C574" s="57" t="s">
        <v>761</v>
      </c>
      <c r="D574" s="57"/>
    </row>
    <row r="575" spans="1:4">
      <c r="A575" s="66"/>
      <c r="B575" s="66"/>
      <c r="C575" s="57" t="s">
        <v>762</v>
      </c>
      <c r="D575" s="57"/>
    </row>
    <row r="576" spans="1:4">
      <c r="A576" s="66"/>
      <c r="B576" s="66"/>
      <c r="C576" s="57" t="s">
        <v>763</v>
      </c>
      <c r="D576" s="57"/>
    </row>
    <row r="577" spans="1:5">
      <c r="A577" s="66"/>
      <c r="B577" s="66"/>
      <c r="C577" s="57" t="s">
        <v>764</v>
      </c>
      <c r="D577" s="57"/>
    </row>
    <row r="578" spans="1:5">
      <c r="A578" s="66"/>
      <c r="B578" s="66"/>
      <c r="C578" s="57" t="s">
        <v>765</v>
      </c>
      <c r="D578" s="57"/>
    </row>
    <row r="579" spans="1:5">
      <c r="A579" s="66"/>
      <c r="B579" s="66"/>
      <c r="C579" s="57" t="s">
        <v>766</v>
      </c>
      <c r="D579" s="57"/>
    </row>
    <row r="580" spans="1:5">
      <c r="A580" s="66"/>
      <c r="B580" s="66"/>
      <c r="C580" s="57" t="s">
        <v>767</v>
      </c>
      <c r="D580" s="57"/>
      <c r="E580" t="s">
        <v>164</v>
      </c>
    </row>
    <row r="581" spans="1:5">
      <c r="A581" s="66"/>
      <c r="B581" s="66"/>
      <c r="C581" s="57" t="s">
        <v>768</v>
      </c>
      <c r="D581" s="57"/>
      <c r="E581" t="s">
        <v>164</v>
      </c>
    </row>
    <row r="582" spans="1:5">
      <c r="A582" s="66"/>
      <c r="B582" s="66"/>
      <c r="C582" s="57" t="s">
        <v>769</v>
      </c>
      <c r="D582" s="57"/>
    </row>
    <row r="583" spans="1:5">
      <c r="A583" s="66"/>
      <c r="B583" s="66"/>
      <c r="C583" s="57" t="s">
        <v>770</v>
      </c>
      <c r="D583" s="57"/>
    </row>
    <row r="584" spans="1:5">
      <c r="A584" s="66"/>
      <c r="B584" s="66"/>
      <c r="C584" s="57" t="s">
        <v>771</v>
      </c>
      <c r="D584" s="57"/>
    </row>
    <row r="585" spans="1:5">
      <c r="A585" s="66"/>
      <c r="B585" s="66"/>
      <c r="C585" s="57" t="s">
        <v>772</v>
      </c>
      <c r="D585" s="57"/>
    </row>
    <row r="586" spans="1:5">
      <c r="A586" s="66"/>
      <c r="B586" s="66"/>
      <c r="C586" s="57" t="s">
        <v>773</v>
      </c>
      <c r="D586" s="57"/>
    </row>
    <row r="587" spans="1:5">
      <c r="A587" s="66"/>
      <c r="B587" s="66"/>
      <c r="C587" s="57" t="s">
        <v>774</v>
      </c>
      <c r="D587" s="57"/>
    </row>
    <row r="588" spans="1:5">
      <c r="A588" s="66"/>
      <c r="B588" s="66"/>
      <c r="C588" s="57" t="s">
        <v>775</v>
      </c>
      <c r="D588" s="57"/>
    </row>
    <row r="589" spans="1:5">
      <c r="A589" s="66"/>
      <c r="B589" s="66"/>
      <c r="C589" s="57" t="s">
        <v>776</v>
      </c>
      <c r="D589" s="57"/>
    </row>
    <row r="590" spans="1:5">
      <c r="A590" s="66"/>
      <c r="B590" s="66"/>
      <c r="C590" s="57" t="s">
        <v>777</v>
      </c>
      <c r="D590" s="57"/>
    </row>
    <row r="591" spans="1:5">
      <c r="A591" s="67"/>
      <c r="B591" s="67"/>
      <c r="C591" s="57" t="s">
        <v>778</v>
      </c>
      <c r="D591" s="57"/>
    </row>
    <row r="592" spans="1:5">
      <c r="A592" s="64"/>
      <c r="B592" s="119" t="s">
        <v>80</v>
      </c>
      <c r="C592" s="55" t="s">
        <v>779</v>
      </c>
      <c r="D592" s="55"/>
    </row>
    <row r="593" spans="1:4">
      <c r="A593" s="64"/>
      <c r="B593" s="119"/>
      <c r="C593" s="55" t="s">
        <v>780</v>
      </c>
      <c r="D593" s="55"/>
    </row>
    <row r="594" spans="1:4">
      <c r="A594" s="64"/>
      <c r="B594" s="119"/>
      <c r="C594" s="55" t="s">
        <v>68</v>
      </c>
      <c r="D594" s="55"/>
    </row>
    <row r="595" spans="1:4">
      <c r="A595" s="68"/>
      <c r="B595" s="74" t="s">
        <v>781</v>
      </c>
      <c r="C595" s="57" t="s">
        <v>288</v>
      </c>
      <c r="D595" s="57"/>
    </row>
    <row r="596" spans="1:4">
      <c r="A596" s="120"/>
      <c r="B596" s="122"/>
      <c r="C596" s="121" t="s">
        <v>92</v>
      </c>
      <c r="D596" s="57"/>
    </row>
    <row r="597" spans="1:4">
      <c r="A597" s="115"/>
      <c r="B597" s="115" t="s">
        <v>782</v>
      </c>
      <c r="C597" s="55" t="s">
        <v>783</v>
      </c>
      <c r="D597" s="55"/>
    </row>
    <row r="598" spans="1:4">
      <c r="A598" s="64"/>
      <c r="B598" s="64"/>
      <c r="C598" s="55" t="s">
        <v>784</v>
      </c>
      <c r="D598" s="55"/>
    </row>
    <row r="599" spans="1:4">
      <c r="A599" s="64"/>
      <c r="B599" s="64"/>
      <c r="C599" s="55" t="s">
        <v>785</v>
      </c>
      <c r="D599" s="55"/>
    </row>
    <row r="600" spans="1:4">
      <c r="A600" s="64"/>
      <c r="B600" s="64"/>
      <c r="C600" s="55" t="s">
        <v>786</v>
      </c>
      <c r="D600" s="55"/>
    </row>
    <row r="601" spans="1:4">
      <c r="A601" s="64"/>
      <c r="B601" s="64"/>
      <c r="C601" s="55" t="s">
        <v>787</v>
      </c>
      <c r="D601" s="55"/>
    </row>
    <row r="602" spans="1:4">
      <c r="A602" s="64"/>
      <c r="B602" s="64"/>
      <c r="C602" s="55" t="s">
        <v>788</v>
      </c>
      <c r="D602" s="55"/>
    </row>
    <row r="603" spans="1:4">
      <c r="A603" s="64"/>
      <c r="B603" s="64"/>
      <c r="C603" s="55" t="s">
        <v>789</v>
      </c>
      <c r="D603" s="55"/>
    </row>
    <row r="604" spans="1:4">
      <c r="A604" s="64"/>
      <c r="B604" s="64"/>
      <c r="C604" s="55" t="s">
        <v>790</v>
      </c>
      <c r="D604" s="55"/>
    </row>
    <row r="605" spans="1:4">
      <c r="A605" s="64"/>
      <c r="B605" s="64"/>
      <c r="C605" s="55" t="s">
        <v>791</v>
      </c>
      <c r="D605" s="55"/>
    </row>
    <row r="606" spans="1:4">
      <c r="A606" s="64"/>
      <c r="B606" s="64"/>
      <c r="C606" s="55" t="s">
        <v>792</v>
      </c>
      <c r="D606" s="55"/>
    </row>
    <row r="607" spans="1:4">
      <c r="A607" s="64"/>
      <c r="B607" s="64"/>
      <c r="C607" s="55" t="s">
        <v>793</v>
      </c>
      <c r="D607" s="55"/>
    </row>
    <row r="608" spans="1:4">
      <c r="A608" s="64"/>
      <c r="B608" s="64"/>
      <c r="C608" s="55" t="s">
        <v>794</v>
      </c>
      <c r="D608" s="55"/>
    </row>
    <row r="609" spans="1:5">
      <c r="A609" s="64"/>
      <c r="B609" s="64"/>
      <c r="C609" s="55" t="s">
        <v>795</v>
      </c>
      <c r="D609" s="55"/>
    </row>
    <row r="610" spans="1:5">
      <c r="A610" s="64"/>
      <c r="B610" s="64"/>
      <c r="C610" s="55" t="s">
        <v>796</v>
      </c>
      <c r="D610" s="55"/>
    </row>
    <row r="611" spans="1:5">
      <c r="A611" s="64"/>
      <c r="B611" s="64"/>
      <c r="C611" s="55" t="s">
        <v>797</v>
      </c>
      <c r="D611" s="55"/>
    </row>
    <row r="612" spans="1:5">
      <c r="A612" s="64"/>
      <c r="B612" s="64"/>
      <c r="C612" s="55" t="s">
        <v>798</v>
      </c>
      <c r="D612" s="55"/>
    </row>
    <row r="613" spans="1:5">
      <c r="A613" s="64"/>
      <c r="B613" s="64"/>
      <c r="C613" s="55" t="s">
        <v>799</v>
      </c>
      <c r="D613" s="55"/>
    </row>
    <row r="614" spans="1:5">
      <c r="A614" s="64"/>
      <c r="B614" s="64"/>
      <c r="C614" s="55" t="s">
        <v>800</v>
      </c>
      <c r="D614" s="55"/>
    </row>
    <row r="615" spans="1:5">
      <c r="A615" s="64"/>
      <c r="B615" s="64"/>
      <c r="C615" s="55" t="s">
        <v>801</v>
      </c>
      <c r="D615" s="55"/>
    </row>
    <row r="616" spans="1:5">
      <c r="A616" s="64"/>
      <c r="B616" s="64"/>
      <c r="C616" s="55" t="s">
        <v>802</v>
      </c>
      <c r="D616" s="55"/>
    </row>
    <row r="617" spans="1:5">
      <c r="A617" s="64"/>
      <c r="B617" s="64"/>
      <c r="C617" s="55" t="s">
        <v>803</v>
      </c>
      <c r="D617" s="55"/>
    </row>
    <row r="618" spans="1:5">
      <c r="A618" s="64"/>
      <c r="B618" s="64"/>
      <c r="C618" s="55" t="s">
        <v>804</v>
      </c>
      <c r="D618" s="55"/>
    </row>
    <row r="619" spans="1:5">
      <c r="A619" s="64"/>
      <c r="B619" s="64"/>
      <c r="C619" s="55" t="s">
        <v>805</v>
      </c>
      <c r="D619" s="55"/>
    </row>
    <row r="620" spans="1:5">
      <c r="A620" s="64"/>
      <c r="B620" s="64"/>
      <c r="C620" s="55" t="s">
        <v>518</v>
      </c>
      <c r="D620" s="55"/>
    </row>
    <row r="621" spans="1:5">
      <c r="A621" s="64"/>
      <c r="B621" s="64"/>
      <c r="C621" s="55" t="s">
        <v>806</v>
      </c>
      <c r="D621" s="55"/>
      <c r="E621" t="s">
        <v>164</v>
      </c>
    </row>
    <row r="622" spans="1:5">
      <c r="A622" s="68"/>
      <c r="B622" s="68" t="s">
        <v>109</v>
      </c>
      <c r="C622" s="57" t="s">
        <v>807</v>
      </c>
      <c r="D622" s="57"/>
    </row>
    <row r="623" spans="1:5">
      <c r="A623" s="69"/>
      <c r="B623" s="69"/>
      <c r="C623" s="57" t="s">
        <v>808</v>
      </c>
      <c r="D623" s="57"/>
    </row>
    <row r="624" spans="1:5">
      <c r="A624" s="69"/>
      <c r="B624" s="69"/>
      <c r="C624" s="57" t="s">
        <v>809</v>
      </c>
      <c r="D624" s="57"/>
    </row>
    <row r="625" spans="1:5">
      <c r="A625" s="69"/>
      <c r="B625" s="69"/>
      <c r="C625" s="57" t="s">
        <v>810</v>
      </c>
      <c r="D625" s="57"/>
    </row>
    <row r="626" spans="1:5">
      <c r="A626" s="69"/>
      <c r="B626" s="69"/>
      <c r="C626" s="57" t="s">
        <v>811</v>
      </c>
      <c r="D626" s="57"/>
      <c r="E626" t="s">
        <v>164</v>
      </c>
    </row>
    <row r="627" spans="1:5">
      <c r="A627" s="69"/>
      <c r="B627" s="69"/>
      <c r="C627" s="57" t="s">
        <v>812</v>
      </c>
      <c r="D627" s="57"/>
    </row>
    <row r="628" spans="1:5">
      <c r="A628" s="69"/>
      <c r="B628" s="69"/>
      <c r="C628" s="57" t="s">
        <v>813</v>
      </c>
      <c r="D628" s="57"/>
    </row>
    <row r="629" spans="1:5">
      <c r="A629" s="69"/>
      <c r="B629" s="69"/>
      <c r="C629" s="57" t="s">
        <v>410</v>
      </c>
      <c r="D629" s="57"/>
    </row>
    <row r="630" spans="1:5">
      <c r="A630" s="69"/>
      <c r="B630" s="69"/>
      <c r="C630" s="57" t="s">
        <v>814</v>
      </c>
      <c r="D630" s="57"/>
    </row>
    <row r="631" spans="1:5">
      <c r="A631" s="69"/>
      <c r="B631" s="69"/>
      <c r="C631" s="57" t="s">
        <v>815</v>
      </c>
      <c r="D631" s="57"/>
    </row>
    <row r="632" spans="1:5">
      <c r="A632" s="69"/>
      <c r="B632" s="69"/>
      <c r="C632" s="57" t="s">
        <v>816</v>
      </c>
      <c r="D632" s="57"/>
    </row>
    <row r="633" spans="1:5">
      <c r="A633" s="70"/>
      <c r="B633" s="70"/>
      <c r="C633" s="57" t="s">
        <v>68</v>
      </c>
      <c r="D633" s="57"/>
    </row>
    <row r="634" spans="1:5">
      <c r="A634" s="64"/>
      <c r="B634" s="119" t="s">
        <v>110</v>
      </c>
      <c r="C634" s="55" t="s">
        <v>817</v>
      </c>
      <c r="D634" s="55" t="s">
        <v>818</v>
      </c>
    </row>
    <row r="635" spans="1:5">
      <c r="A635" s="64"/>
      <c r="B635" s="119"/>
      <c r="C635" s="55" t="s">
        <v>819</v>
      </c>
      <c r="D635" s="55" t="s">
        <v>820</v>
      </c>
    </row>
    <row r="636" spans="1:5">
      <c r="A636" s="64"/>
      <c r="B636" s="119"/>
      <c r="C636" s="55" t="s">
        <v>821</v>
      </c>
      <c r="D636" s="55" t="s">
        <v>822</v>
      </c>
    </row>
    <row r="637" spans="1:5">
      <c r="A637" s="64"/>
      <c r="B637" s="119"/>
      <c r="C637" s="55" t="s">
        <v>823</v>
      </c>
      <c r="D637" s="55" t="s">
        <v>824</v>
      </c>
    </row>
    <row r="638" spans="1:5">
      <c r="A638" s="64"/>
      <c r="B638" s="119"/>
      <c r="C638" s="55" t="s">
        <v>825</v>
      </c>
      <c r="D638" s="55" t="s">
        <v>826</v>
      </c>
    </row>
    <row r="639" spans="1:5">
      <c r="A639" s="64"/>
      <c r="B639" s="119"/>
      <c r="C639" s="55" t="s">
        <v>827</v>
      </c>
      <c r="D639" s="55" t="s">
        <v>828</v>
      </c>
    </row>
    <row r="640" spans="1:5">
      <c r="A640" s="64"/>
      <c r="B640" s="119"/>
      <c r="C640" s="55" t="s">
        <v>829</v>
      </c>
      <c r="D640" s="55" t="s">
        <v>830</v>
      </c>
    </row>
    <row r="641" spans="1:4">
      <c r="A641" s="64"/>
      <c r="B641" s="119"/>
      <c r="C641" s="55" t="s">
        <v>831</v>
      </c>
      <c r="D641" s="55" t="s">
        <v>831</v>
      </c>
    </row>
    <row r="642" spans="1:4">
      <c r="A642" s="64"/>
      <c r="B642" s="119"/>
      <c r="C642" s="55" t="s">
        <v>68</v>
      </c>
      <c r="D642" s="55"/>
    </row>
    <row r="643" spans="1:4">
      <c r="A643" s="71"/>
      <c r="B643" s="71" t="s">
        <v>832</v>
      </c>
      <c r="C643" s="57" t="s">
        <v>833</v>
      </c>
      <c r="D643" s="57" t="s">
        <v>834</v>
      </c>
    </row>
    <row r="644" spans="1:4">
      <c r="A644" s="72"/>
      <c r="B644" s="72"/>
      <c r="C644" s="57" t="s">
        <v>835</v>
      </c>
      <c r="D644" s="57" t="s">
        <v>836</v>
      </c>
    </row>
    <row r="645" spans="1:4">
      <c r="A645" s="72"/>
      <c r="B645" s="72"/>
      <c r="C645" s="57" t="s">
        <v>837</v>
      </c>
      <c r="D645" s="57" t="s">
        <v>838</v>
      </c>
    </row>
    <row r="646" spans="1:4">
      <c r="A646" s="72"/>
      <c r="B646" s="72"/>
      <c r="C646" s="57" t="s">
        <v>839</v>
      </c>
      <c r="D646" s="57" t="s">
        <v>840</v>
      </c>
    </row>
    <row r="647" spans="1:4">
      <c r="A647" s="72"/>
      <c r="B647" s="72"/>
      <c r="C647" s="57" t="s">
        <v>841</v>
      </c>
      <c r="D647" s="57"/>
    </row>
    <row r="648" spans="1:4">
      <c r="A648" s="73"/>
      <c r="B648" s="73"/>
      <c r="C648" s="57" t="s">
        <v>68</v>
      </c>
      <c r="D648" s="57"/>
    </row>
    <row r="649" spans="1:4">
      <c r="A649" s="64"/>
      <c r="B649" s="119" t="s">
        <v>101</v>
      </c>
      <c r="C649" s="55" t="s">
        <v>842</v>
      </c>
      <c r="D649" s="55"/>
    </row>
    <row r="650" spans="1:4">
      <c r="A650" s="64"/>
      <c r="B650" s="119"/>
      <c r="C650" s="55" t="s">
        <v>843</v>
      </c>
      <c r="D650" s="55"/>
    </row>
    <row r="651" spans="1:4">
      <c r="A651" s="64"/>
      <c r="B651" s="119"/>
      <c r="C651" s="55" t="s">
        <v>844</v>
      </c>
      <c r="D651" s="55"/>
    </row>
    <row r="652" spans="1:4">
      <c r="A652" s="64"/>
      <c r="B652" s="119"/>
      <c r="C652" s="55" t="s">
        <v>845</v>
      </c>
      <c r="D652" s="55"/>
    </row>
    <row r="653" spans="1:4">
      <c r="A653" s="64"/>
      <c r="B653" s="119"/>
      <c r="C653" s="55" t="s">
        <v>68</v>
      </c>
      <c r="D653" s="55"/>
    </row>
    <row r="654" spans="1:4">
      <c r="A654" s="71"/>
      <c r="B654" s="71" t="s">
        <v>102</v>
      </c>
      <c r="C654" s="57" t="s">
        <v>846</v>
      </c>
      <c r="D654" s="57"/>
    </row>
    <row r="655" spans="1:4">
      <c r="A655" s="72"/>
      <c r="B655" s="72"/>
      <c r="C655" s="57" t="s">
        <v>847</v>
      </c>
      <c r="D655" s="57"/>
    </row>
    <row r="656" spans="1:4">
      <c r="A656" s="64"/>
      <c r="B656" s="119" t="s">
        <v>22</v>
      </c>
      <c r="C656" s="55" t="s">
        <v>36</v>
      </c>
      <c r="D656" s="55"/>
    </row>
    <row r="657" spans="1:6">
      <c r="A657" s="64"/>
      <c r="B657" s="119"/>
      <c r="C657" s="55" t="s">
        <v>848</v>
      </c>
      <c r="D657" s="55"/>
    </row>
    <row r="658" spans="1:6">
      <c r="A658" s="71"/>
      <c r="B658" s="71" t="s">
        <v>849</v>
      </c>
      <c r="C658" s="57" t="s">
        <v>850</v>
      </c>
      <c r="D658" s="57"/>
    </row>
    <row r="659" spans="1:6">
      <c r="A659" s="72"/>
      <c r="B659" s="72"/>
      <c r="C659" s="57" t="s">
        <v>851</v>
      </c>
      <c r="D659" s="57"/>
    </row>
    <row r="660" spans="1:6">
      <c r="A660" s="72"/>
      <c r="B660" s="72"/>
      <c r="C660" s="57" t="s">
        <v>852</v>
      </c>
      <c r="D660" s="57"/>
    </row>
    <row r="661" spans="1:6">
      <c r="A661" s="72"/>
      <c r="B661" s="72"/>
      <c r="C661" s="57" t="s">
        <v>853</v>
      </c>
      <c r="D661" s="57"/>
    </row>
    <row r="662" spans="1:6">
      <c r="A662" s="72"/>
      <c r="B662" s="72"/>
      <c r="C662" s="57" t="s">
        <v>854</v>
      </c>
      <c r="D662" s="57"/>
    </row>
    <row r="663" spans="1:6">
      <c r="A663" s="72"/>
      <c r="B663" s="72"/>
      <c r="C663" s="57" t="s">
        <v>855</v>
      </c>
      <c r="D663" s="57"/>
    </row>
    <row r="664" spans="1:6">
      <c r="A664" s="72"/>
      <c r="B664" s="72"/>
      <c r="C664" s="57" t="s">
        <v>68</v>
      </c>
      <c r="D664" s="57"/>
    </row>
    <row r="665" spans="1:6">
      <c r="A665" s="73"/>
      <c r="B665" s="73"/>
      <c r="C665" s="57" t="s">
        <v>856</v>
      </c>
      <c r="D665" s="57"/>
    </row>
    <row r="666" spans="1:6">
      <c r="A666" s="64"/>
      <c r="B666" s="119" t="s">
        <v>857</v>
      </c>
      <c r="C666" s="55" t="s">
        <v>858</v>
      </c>
      <c r="D666" s="55"/>
    </row>
    <row r="667" spans="1:6">
      <c r="A667" s="64"/>
      <c r="B667" s="119"/>
      <c r="C667" s="55" t="s">
        <v>859</v>
      </c>
      <c r="D667" s="55"/>
      <c r="F667" s="8"/>
    </row>
    <row r="668" spans="1:6">
      <c r="A668" s="71"/>
      <c r="B668" s="71" t="s">
        <v>860</v>
      </c>
      <c r="C668" s="57" t="s">
        <v>861</v>
      </c>
      <c r="D668" s="57"/>
    </row>
    <row r="669" spans="1:6">
      <c r="A669" s="72"/>
      <c r="B669" s="72"/>
      <c r="C669" s="57" t="s">
        <v>862</v>
      </c>
      <c r="D669" s="57"/>
    </row>
    <row r="670" spans="1:6">
      <c r="A670" s="72"/>
      <c r="B670" s="72"/>
      <c r="C670" s="57" t="s">
        <v>863</v>
      </c>
      <c r="D670" s="57"/>
    </row>
    <row r="671" spans="1:6">
      <c r="A671" s="72"/>
      <c r="B671" s="72"/>
      <c r="C671" s="57" t="s">
        <v>864</v>
      </c>
      <c r="D671" s="57"/>
    </row>
    <row r="672" spans="1:6">
      <c r="A672" s="72"/>
      <c r="B672" s="72"/>
      <c r="C672" s="57" t="s">
        <v>865</v>
      </c>
      <c r="D672" s="57"/>
    </row>
    <row r="673" spans="1:4">
      <c r="A673" s="72"/>
      <c r="B673" s="72"/>
      <c r="C673" s="57" t="s">
        <v>866</v>
      </c>
      <c r="D673" s="57"/>
    </row>
    <row r="674" spans="1:4">
      <c r="A674" s="72"/>
      <c r="B674" s="72"/>
      <c r="C674" s="57" t="s">
        <v>867</v>
      </c>
      <c r="D674" s="57"/>
    </row>
    <row r="675" spans="1:4">
      <c r="A675" s="72"/>
      <c r="B675" s="72"/>
      <c r="C675" s="57" t="s">
        <v>868</v>
      </c>
      <c r="D675" s="57"/>
    </row>
    <row r="676" spans="1:4">
      <c r="A676" s="72"/>
      <c r="B676" s="72"/>
      <c r="C676" s="57" t="s">
        <v>869</v>
      </c>
      <c r="D676" s="57"/>
    </row>
    <row r="677" spans="1:4">
      <c r="A677" s="72"/>
      <c r="B677" s="72"/>
      <c r="C677" s="57" t="s">
        <v>870</v>
      </c>
      <c r="D677" s="57"/>
    </row>
    <row r="678" spans="1:4">
      <c r="A678" s="72"/>
      <c r="B678" s="72"/>
      <c r="C678" s="57" t="s">
        <v>518</v>
      </c>
      <c r="D678" s="57"/>
    </row>
    <row r="679" spans="1:4">
      <c r="A679" s="73"/>
      <c r="B679" s="73"/>
      <c r="C679" s="57" t="s">
        <v>856</v>
      </c>
      <c r="D679" s="57"/>
    </row>
    <row r="680" spans="1:4">
      <c r="A680" s="93"/>
      <c r="B680" s="93" t="s">
        <v>871</v>
      </c>
      <c r="C680" s="55" t="s">
        <v>850</v>
      </c>
      <c r="D680" s="55"/>
    </row>
    <row r="681" spans="1:4">
      <c r="A681" s="95"/>
      <c r="B681" s="95"/>
      <c r="C681" s="55" t="s">
        <v>851</v>
      </c>
      <c r="D681" s="55"/>
    </row>
    <row r="682" spans="1:4">
      <c r="A682" s="95"/>
      <c r="B682" s="95"/>
      <c r="C682" s="55" t="s">
        <v>852</v>
      </c>
      <c r="D682" s="55"/>
    </row>
    <row r="683" spans="1:4">
      <c r="A683" s="95"/>
      <c r="B683" s="95"/>
      <c r="C683" s="55" t="s">
        <v>853</v>
      </c>
      <c r="D683" s="55"/>
    </row>
    <row r="684" spans="1:4">
      <c r="A684" s="95"/>
      <c r="B684" s="95"/>
      <c r="C684" s="55" t="s">
        <v>854</v>
      </c>
      <c r="D684" s="55"/>
    </row>
    <row r="685" spans="1:4">
      <c r="A685" s="95"/>
      <c r="B685" s="95"/>
      <c r="C685" s="55" t="s">
        <v>855</v>
      </c>
      <c r="D685" s="55"/>
    </row>
    <row r="686" spans="1:4">
      <c r="A686" s="95"/>
      <c r="B686" s="95"/>
      <c r="C686" s="55" t="s">
        <v>68</v>
      </c>
      <c r="D686" s="55"/>
    </row>
    <row r="687" spans="1:4">
      <c r="A687" s="95"/>
      <c r="B687" s="95"/>
      <c r="C687" s="55" t="s">
        <v>856</v>
      </c>
      <c r="D687" s="55"/>
    </row>
    <row r="688" spans="1:4">
      <c r="A688" s="71"/>
      <c r="B688" s="68" t="s">
        <v>872</v>
      </c>
      <c r="C688" s="57" t="s">
        <v>873</v>
      </c>
      <c r="D688" s="57"/>
    </row>
    <row r="689" spans="1:4">
      <c r="A689" s="72"/>
      <c r="B689" s="70"/>
      <c r="C689" s="57" t="s">
        <v>874</v>
      </c>
      <c r="D689" s="57"/>
    </row>
    <row r="690" spans="1:4">
      <c r="A690" s="93"/>
      <c r="B690" s="93" t="s">
        <v>875</v>
      </c>
      <c r="C690" s="55" t="s">
        <v>876</v>
      </c>
      <c r="D690" s="55"/>
    </row>
    <row r="691" spans="1:4">
      <c r="A691" s="95"/>
      <c r="B691" s="95"/>
      <c r="C691" s="55" t="s">
        <v>877</v>
      </c>
      <c r="D691" s="55"/>
    </row>
    <row r="692" spans="1:4">
      <c r="A692" s="71"/>
      <c r="B692" s="71" t="s">
        <v>878</v>
      </c>
      <c r="C692" s="57" t="s">
        <v>879</v>
      </c>
      <c r="D692" s="57"/>
    </row>
    <row r="693" spans="1:4">
      <c r="A693" s="72"/>
      <c r="B693" s="72"/>
      <c r="C693" s="57" t="s">
        <v>695</v>
      </c>
      <c r="D693" s="57"/>
    </row>
    <row r="694" spans="1:4">
      <c r="A694" s="72"/>
      <c r="B694" s="72"/>
      <c r="C694" s="57" t="s">
        <v>880</v>
      </c>
      <c r="D694" s="57"/>
    </row>
    <row r="695" spans="1:4">
      <c r="A695" s="72"/>
      <c r="B695" s="72"/>
      <c r="C695" s="57" t="s">
        <v>881</v>
      </c>
      <c r="D695" s="57"/>
    </row>
    <row r="696" spans="1:4">
      <c r="A696" s="72"/>
      <c r="B696" s="72"/>
      <c r="C696" s="57" t="s">
        <v>882</v>
      </c>
      <c r="D696" s="57"/>
    </row>
    <row r="697" spans="1:4">
      <c r="A697" s="72"/>
      <c r="B697" s="72"/>
      <c r="C697" s="57" t="s">
        <v>100</v>
      </c>
      <c r="D697" s="57"/>
    </row>
    <row r="698" spans="1:4">
      <c r="A698" s="72"/>
      <c r="B698" s="72"/>
      <c r="C698" s="57" t="s">
        <v>883</v>
      </c>
      <c r="D698" s="57"/>
    </row>
    <row r="699" spans="1:4">
      <c r="A699" s="72"/>
      <c r="B699" s="72"/>
      <c r="C699" s="57" t="s">
        <v>884</v>
      </c>
      <c r="D699" s="57"/>
    </row>
    <row r="700" spans="1:4">
      <c r="A700" s="72"/>
      <c r="B700" s="72"/>
      <c r="C700" s="57" t="s">
        <v>68</v>
      </c>
      <c r="D700" s="57"/>
    </row>
    <row r="701" spans="1:4">
      <c r="A701" s="93"/>
      <c r="B701" s="93" t="s">
        <v>885</v>
      </c>
      <c r="C701" s="55" t="s">
        <v>384</v>
      </c>
      <c r="D701" s="55"/>
    </row>
    <row r="702" spans="1:4">
      <c r="A702" s="95"/>
      <c r="B702" s="95"/>
      <c r="C702" s="55" t="s">
        <v>385</v>
      </c>
      <c r="D702" s="55"/>
    </row>
    <row r="703" spans="1:4">
      <c r="A703" s="95"/>
      <c r="B703" s="95"/>
      <c r="C703" s="55" t="s">
        <v>386</v>
      </c>
      <c r="D703" s="55"/>
    </row>
    <row r="704" spans="1:4">
      <c r="A704" s="95"/>
      <c r="B704" s="95"/>
      <c r="C704" s="55" t="s">
        <v>387</v>
      </c>
      <c r="D704" s="55"/>
    </row>
    <row r="705" spans="1:5">
      <c r="A705" s="95"/>
      <c r="B705" s="95"/>
      <c r="C705" s="55" t="s">
        <v>388</v>
      </c>
      <c r="D705" s="55"/>
    </row>
    <row r="706" spans="1:5">
      <c r="A706" s="95"/>
      <c r="B706" s="95"/>
      <c r="C706" s="55" t="s">
        <v>389</v>
      </c>
      <c r="D706" s="55"/>
    </row>
    <row r="707" spans="1:5">
      <c r="A707" s="95"/>
      <c r="B707" s="95"/>
      <c r="C707" s="55" t="s">
        <v>391</v>
      </c>
      <c r="D707" s="55"/>
    </row>
    <row r="708" spans="1:5">
      <c r="A708" s="95"/>
      <c r="B708" s="95"/>
      <c r="C708" s="55" t="s">
        <v>392</v>
      </c>
      <c r="D708" s="55"/>
    </row>
    <row r="709" spans="1:5">
      <c r="A709" s="95"/>
      <c r="B709" s="95"/>
      <c r="C709" s="55" t="s">
        <v>393</v>
      </c>
      <c r="D709" s="55"/>
    </row>
    <row r="710" spans="1:5">
      <c r="A710" s="95"/>
      <c r="B710" s="95"/>
      <c r="C710" s="55" t="s">
        <v>394</v>
      </c>
      <c r="D710" s="55"/>
    </row>
    <row r="711" spans="1:5">
      <c r="A711" s="95"/>
      <c r="B711" s="95"/>
      <c r="C711" s="55" t="s">
        <v>395</v>
      </c>
      <c r="D711" s="55"/>
    </row>
    <row r="712" spans="1:5">
      <c r="A712" s="95"/>
      <c r="B712" s="95"/>
      <c r="C712" s="55" t="s">
        <v>396</v>
      </c>
      <c r="D712" s="55"/>
    </row>
    <row r="713" spans="1:5">
      <c r="A713" s="95"/>
      <c r="B713" s="95"/>
      <c r="C713" s="55" t="s">
        <v>397</v>
      </c>
      <c r="D713" s="55"/>
    </row>
    <row r="714" spans="1:5">
      <c r="A714" s="95"/>
      <c r="B714" s="95"/>
      <c r="C714" s="55" t="s">
        <v>398</v>
      </c>
      <c r="D714" s="55"/>
    </row>
    <row r="715" spans="1:5">
      <c r="A715" s="95"/>
      <c r="B715" s="95"/>
      <c r="C715" s="55" t="s">
        <v>399</v>
      </c>
      <c r="D715" s="55"/>
    </row>
    <row r="716" spans="1:5">
      <c r="A716" s="95"/>
      <c r="B716" s="95"/>
      <c r="C716" s="55" t="s">
        <v>400</v>
      </c>
      <c r="D716" s="55" t="s">
        <v>401</v>
      </c>
      <c r="E716" t="s">
        <v>164</v>
      </c>
    </row>
    <row r="717" spans="1:5">
      <c r="A717" s="95"/>
      <c r="B717" s="95"/>
      <c r="C717" s="55" t="s">
        <v>402</v>
      </c>
      <c r="D717" s="55"/>
    </row>
    <row r="718" spans="1:5">
      <c r="A718" s="95"/>
      <c r="B718" s="95"/>
      <c r="C718" s="55" t="s">
        <v>403</v>
      </c>
      <c r="D718" s="55"/>
    </row>
    <row r="719" spans="1:5">
      <c r="A719" s="95"/>
      <c r="B719" s="95"/>
      <c r="C719" s="55" t="s">
        <v>404</v>
      </c>
      <c r="D719" s="55"/>
    </row>
    <row r="720" spans="1:5">
      <c r="A720" s="95"/>
      <c r="B720" s="95"/>
      <c r="C720" s="55" t="s">
        <v>405</v>
      </c>
      <c r="D720" s="55"/>
    </row>
    <row r="721" spans="1:4">
      <c r="A721" s="95"/>
      <c r="B721" s="95"/>
      <c r="C721" s="55" t="s">
        <v>406</v>
      </c>
      <c r="D721" s="55"/>
    </row>
    <row r="722" spans="1:4">
      <c r="A722" s="95"/>
      <c r="B722" s="95"/>
      <c r="C722" s="55" t="s">
        <v>407</v>
      </c>
      <c r="D722" s="55"/>
    </row>
    <row r="723" spans="1:4">
      <c r="A723" s="95"/>
      <c r="B723" s="95"/>
      <c r="C723" s="55" t="s">
        <v>408</v>
      </c>
      <c r="D723" s="55"/>
    </row>
    <row r="724" spans="1:4">
      <c r="A724" s="95"/>
      <c r="B724" s="95"/>
      <c r="C724" s="55" t="s">
        <v>409</v>
      </c>
      <c r="D724" s="55"/>
    </row>
    <row r="725" spans="1:4">
      <c r="A725" s="95"/>
      <c r="B725" s="95"/>
      <c r="C725" s="55" t="s">
        <v>410</v>
      </c>
      <c r="D725" s="55"/>
    </row>
    <row r="726" spans="1:4">
      <c r="A726" s="95"/>
      <c r="B726" s="95"/>
      <c r="C726" s="55" t="s">
        <v>411</v>
      </c>
      <c r="D726" s="55"/>
    </row>
    <row r="727" spans="1:4">
      <c r="A727" s="95"/>
      <c r="B727" s="95"/>
      <c r="C727" s="55" t="s">
        <v>412</v>
      </c>
      <c r="D727" s="55"/>
    </row>
    <row r="728" spans="1:4">
      <c r="A728" s="95"/>
      <c r="B728" s="95"/>
      <c r="C728" s="55" t="s">
        <v>413</v>
      </c>
      <c r="D728" s="55"/>
    </row>
    <row r="729" spans="1:4">
      <c r="A729" s="95"/>
      <c r="B729" s="95"/>
      <c r="C729" s="55" t="s">
        <v>414</v>
      </c>
      <c r="D729" s="55"/>
    </row>
    <row r="730" spans="1:4">
      <c r="A730" s="95"/>
      <c r="B730" s="95"/>
      <c r="C730" s="55" t="s">
        <v>415</v>
      </c>
      <c r="D730" s="55"/>
    </row>
    <row r="731" spans="1:4">
      <c r="A731" s="95"/>
      <c r="B731" s="95"/>
      <c r="C731" s="55" t="s">
        <v>416</v>
      </c>
      <c r="D731" s="55"/>
    </row>
    <row r="732" spans="1:4">
      <c r="A732" s="95"/>
      <c r="B732" s="95"/>
      <c r="C732" s="55" t="s">
        <v>417</v>
      </c>
      <c r="D732" s="55"/>
    </row>
    <row r="733" spans="1:4">
      <c r="A733" s="95"/>
      <c r="B733" s="95"/>
      <c r="C733" s="55" t="s">
        <v>418</v>
      </c>
      <c r="D733" s="55"/>
    </row>
    <row r="734" spans="1:4">
      <c r="A734" s="95"/>
      <c r="B734" s="95"/>
      <c r="C734" s="55" t="s">
        <v>419</v>
      </c>
      <c r="D734" s="55"/>
    </row>
    <row r="735" spans="1:4">
      <c r="A735" s="95"/>
      <c r="B735" s="95"/>
      <c r="C735" s="55" t="s">
        <v>420</v>
      </c>
      <c r="D735" s="55"/>
    </row>
    <row r="736" spans="1:4">
      <c r="A736" s="95"/>
      <c r="B736" s="95"/>
      <c r="C736" s="55" t="s">
        <v>421</v>
      </c>
      <c r="D736" s="55"/>
    </row>
    <row r="737" spans="1:4">
      <c r="A737" s="95"/>
      <c r="B737" s="95"/>
      <c r="C737" s="55" t="s">
        <v>422</v>
      </c>
      <c r="D737" s="55"/>
    </row>
    <row r="738" spans="1:4">
      <c r="A738" s="95"/>
      <c r="B738" s="95"/>
      <c r="C738" s="55" t="s">
        <v>423</v>
      </c>
      <c r="D738" s="55"/>
    </row>
    <row r="739" spans="1:4">
      <c r="A739" s="95"/>
      <c r="B739" s="95"/>
      <c r="C739" s="55" t="s">
        <v>424</v>
      </c>
      <c r="D739" s="55"/>
    </row>
    <row r="740" spans="1:4">
      <c r="A740" s="95"/>
      <c r="B740" s="95"/>
      <c r="C740" s="55" t="s">
        <v>425</v>
      </c>
      <c r="D740" s="55"/>
    </row>
    <row r="741" spans="1:4">
      <c r="A741" s="95"/>
      <c r="B741" s="95"/>
      <c r="C741" s="55" t="s">
        <v>426</v>
      </c>
      <c r="D741" s="55"/>
    </row>
    <row r="742" spans="1:4">
      <c r="A742" s="95"/>
      <c r="B742" s="95"/>
      <c r="C742" s="55" t="s">
        <v>427</v>
      </c>
      <c r="D742" s="55"/>
    </row>
    <row r="743" spans="1:4">
      <c r="A743" s="95"/>
      <c r="B743" s="95"/>
      <c r="C743" s="55" t="s">
        <v>428</v>
      </c>
      <c r="D743" s="55"/>
    </row>
    <row r="744" spans="1:4">
      <c r="A744" s="95"/>
      <c r="B744" s="95"/>
      <c r="C744" s="55" t="s">
        <v>429</v>
      </c>
      <c r="D744" s="55"/>
    </row>
    <row r="745" spans="1:4">
      <c r="A745" s="95"/>
      <c r="B745" s="95"/>
      <c r="C745" s="55" t="s">
        <v>430</v>
      </c>
      <c r="D745" s="55"/>
    </row>
    <row r="746" spans="1:4">
      <c r="A746" s="95"/>
      <c r="B746" s="95"/>
      <c r="C746" s="55" t="s">
        <v>431</v>
      </c>
      <c r="D746" s="55"/>
    </row>
    <row r="747" spans="1:4">
      <c r="A747" s="95"/>
      <c r="B747" s="95"/>
      <c r="C747" s="55" t="s">
        <v>432</v>
      </c>
      <c r="D747" s="55"/>
    </row>
    <row r="748" spans="1:4">
      <c r="A748" s="95"/>
      <c r="B748" s="95"/>
      <c r="C748" s="55" t="s">
        <v>433</v>
      </c>
      <c r="D748" s="55"/>
    </row>
    <row r="749" spans="1:4">
      <c r="A749" s="95"/>
      <c r="B749" s="95"/>
      <c r="C749" s="55" t="s">
        <v>434</v>
      </c>
      <c r="D749" s="55"/>
    </row>
    <row r="750" spans="1:4">
      <c r="A750" s="95"/>
      <c r="B750" s="95"/>
      <c r="C750" s="55" t="s">
        <v>30</v>
      </c>
      <c r="D750" s="55"/>
    </row>
    <row r="751" spans="1:4">
      <c r="A751" s="95"/>
      <c r="B751" s="95"/>
      <c r="C751" s="55" t="s">
        <v>157</v>
      </c>
      <c r="D751" s="55"/>
    </row>
    <row r="752" spans="1:4">
      <c r="A752" s="95"/>
      <c r="B752" s="95"/>
      <c r="C752" s="55" t="s">
        <v>158</v>
      </c>
      <c r="D752" s="55"/>
    </row>
    <row r="753" spans="1:4">
      <c r="A753" s="95"/>
      <c r="B753" s="95"/>
      <c r="C753" s="55" t="s">
        <v>159</v>
      </c>
      <c r="D753" s="55"/>
    </row>
    <row r="754" spans="1:4">
      <c r="A754" s="95"/>
      <c r="B754" s="95"/>
      <c r="C754" s="55" t="s">
        <v>160</v>
      </c>
      <c r="D754" s="55"/>
    </row>
    <row r="755" spans="1:4">
      <c r="A755" s="95"/>
      <c r="B755" s="95"/>
      <c r="C755" s="55" t="s">
        <v>161</v>
      </c>
      <c r="D755" s="55"/>
    </row>
    <row r="756" spans="1:4">
      <c r="A756" s="95"/>
      <c r="B756" s="95"/>
      <c r="C756" s="55" t="s">
        <v>162</v>
      </c>
      <c r="D756" s="55"/>
    </row>
    <row r="757" spans="1:4">
      <c r="A757" s="95"/>
      <c r="B757" s="95"/>
      <c r="C757" s="55" t="s">
        <v>163</v>
      </c>
      <c r="D757" s="55"/>
    </row>
    <row r="758" spans="1:4">
      <c r="A758" s="95"/>
      <c r="B758" s="95"/>
      <c r="C758" s="55" t="s">
        <v>165</v>
      </c>
      <c r="D758" s="55"/>
    </row>
    <row r="759" spans="1:4">
      <c r="A759" s="95"/>
      <c r="B759" s="95"/>
      <c r="C759" s="55" t="s">
        <v>166</v>
      </c>
      <c r="D759" s="55"/>
    </row>
    <row r="760" spans="1:4">
      <c r="A760" s="95"/>
      <c r="B760" s="95"/>
      <c r="C760" s="55" t="s">
        <v>167</v>
      </c>
      <c r="D760" s="55"/>
    </row>
    <row r="761" spans="1:4">
      <c r="A761" s="95"/>
      <c r="B761" s="95"/>
      <c r="C761" s="55" t="s">
        <v>168</v>
      </c>
      <c r="D761" s="55"/>
    </row>
    <row r="762" spans="1:4">
      <c r="A762" s="95"/>
      <c r="B762" s="95"/>
      <c r="C762" s="55" t="s">
        <v>169</v>
      </c>
      <c r="D762" s="55"/>
    </row>
    <row r="763" spans="1:4">
      <c r="A763" s="95"/>
      <c r="B763" s="95"/>
      <c r="C763" s="55" t="s">
        <v>170</v>
      </c>
      <c r="D763" s="55"/>
    </row>
    <row r="764" spans="1:4">
      <c r="A764" s="95"/>
      <c r="B764" s="95"/>
      <c r="C764" s="55" t="s">
        <v>171</v>
      </c>
      <c r="D764" s="55"/>
    </row>
    <row r="765" spans="1:4">
      <c r="A765" s="95"/>
      <c r="B765" s="95"/>
      <c r="C765" s="55" t="s">
        <v>172</v>
      </c>
      <c r="D765" s="55"/>
    </row>
    <row r="766" spans="1:4">
      <c r="A766" s="95"/>
      <c r="B766" s="95"/>
      <c r="C766" s="55" t="s">
        <v>173</v>
      </c>
      <c r="D766" s="55"/>
    </row>
    <row r="767" spans="1:4">
      <c r="A767" s="95"/>
      <c r="B767" s="95"/>
      <c r="C767" s="55" t="s">
        <v>174</v>
      </c>
      <c r="D767" s="55"/>
    </row>
    <row r="768" spans="1:4">
      <c r="A768" s="95"/>
      <c r="B768" s="95"/>
      <c r="C768" s="55" t="s">
        <v>175</v>
      </c>
      <c r="D768" s="55"/>
    </row>
    <row r="769" spans="1:5">
      <c r="A769" s="95"/>
      <c r="B769" s="95"/>
      <c r="C769" s="55" t="s">
        <v>176</v>
      </c>
      <c r="D769" s="55"/>
    </row>
    <row r="770" spans="1:5">
      <c r="A770" s="95"/>
      <c r="B770" s="95"/>
      <c r="C770" s="55" t="s">
        <v>177</v>
      </c>
      <c r="D770" s="55"/>
    </row>
    <row r="771" spans="1:5">
      <c r="A771" s="95"/>
      <c r="B771" s="95"/>
      <c r="C771" s="55" t="s">
        <v>178</v>
      </c>
      <c r="D771" s="55"/>
    </row>
    <row r="772" spans="1:5">
      <c r="A772" s="95"/>
      <c r="B772" s="95"/>
      <c r="C772" s="55" t="s">
        <v>179</v>
      </c>
      <c r="D772" s="55"/>
    </row>
    <row r="773" spans="1:5">
      <c r="A773" s="95"/>
      <c r="B773" s="95"/>
      <c r="C773" s="55" t="s">
        <v>180</v>
      </c>
      <c r="D773" s="55"/>
    </row>
    <row r="774" spans="1:5">
      <c r="A774" s="95"/>
      <c r="B774" s="95"/>
      <c r="C774" s="55" t="s">
        <v>181</v>
      </c>
      <c r="D774" s="55"/>
    </row>
    <row r="775" spans="1:5">
      <c r="A775" s="95"/>
      <c r="B775" s="95"/>
      <c r="C775" s="55" t="s">
        <v>182</v>
      </c>
      <c r="D775" s="55"/>
    </row>
    <row r="776" spans="1:5">
      <c r="A776" s="95"/>
      <c r="B776" s="95"/>
      <c r="C776" s="55" t="s">
        <v>183</v>
      </c>
      <c r="D776" s="55"/>
    </row>
    <row r="777" spans="1:5">
      <c r="A777" s="95"/>
      <c r="B777" s="95"/>
      <c r="C777" s="55" t="s">
        <v>184</v>
      </c>
      <c r="D777" s="55"/>
    </row>
    <row r="778" spans="1:5">
      <c r="A778" s="95"/>
      <c r="B778" s="95"/>
      <c r="C778" s="55" t="s">
        <v>185</v>
      </c>
      <c r="D778" s="55"/>
    </row>
    <row r="779" spans="1:5">
      <c r="A779" s="95"/>
      <c r="B779" s="95"/>
      <c r="C779" s="55" t="s">
        <v>186</v>
      </c>
      <c r="D779" s="55"/>
    </row>
    <row r="780" spans="1:5">
      <c r="A780" s="95"/>
      <c r="B780" s="95"/>
      <c r="C780" s="55" t="s">
        <v>187</v>
      </c>
      <c r="D780" s="55"/>
    </row>
    <row r="781" spans="1:5">
      <c r="A781" s="95"/>
      <c r="B781" s="95"/>
      <c r="C781" s="55" t="s">
        <v>188</v>
      </c>
      <c r="D781" s="55"/>
    </row>
    <row r="782" spans="1:5">
      <c r="A782" s="95"/>
      <c r="B782" s="95"/>
      <c r="C782" s="55" t="s">
        <v>189</v>
      </c>
      <c r="D782" s="55"/>
      <c r="E782" t="s">
        <v>164</v>
      </c>
    </row>
    <row r="783" spans="1:5">
      <c r="A783" s="95"/>
      <c r="B783" s="95"/>
      <c r="C783" s="55" t="s">
        <v>190</v>
      </c>
      <c r="D783" s="55"/>
      <c r="E783" t="s">
        <v>164</v>
      </c>
    </row>
    <row r="784" spans="1:5">
      <c r="A784" s="95"/>
      <c r="B784" s="95"/>
      <c r="C784" s="55" t="s">
        <v>193</v>
      </c>
      <c r="D784" s="55"/>
      <c r="E784" t="s">
        <v>164</v>
      </c>
    </row>
    <row r="785" spans="1:5">
      <c r="A785" s="95"/>
      <c r="B785" s="95"/>
      <c r="C785" s="55" t="s">
        <v>194</v>
      </c>
      <c r="D785" s="55"/>
    </row>
    <row r="786" spans="1:5">
      <c r="A786" s="95"/>
      <c r="B786" s="95"/>
      <c r="C786" s="55" t="s">
        <v>195</v>
      </c>
      <c r="D786" s="55"/>
    </row>
    <row r="787" spans="1:5">
      <c r="A787" s="95"/>
      <c r="B787" s="95"/>
      <c r="C787" s="55" t="s">
        <v>196</v>
      </c>
      <c r="D787" s="55"/>
    </row>
    <row r="788" spans="1:5">
      <c r="A788" s="95"/>
      <c r="B788" s="95"/>
      <c r="C788" s="55" t="s">
        <v>197</v>
      </c>
      <c r="D788" s="55"/>
    </row>
    <row r="789" spans="1:5">
      <c r="A789" s="95"/>
      <c r="B789" s="95"/>
      <c r="C789" s="55" t="s">
        <v>198</v>
      </c>
      <c r="D789" s="55"/>
    </row>
    <row r="790" spans="1:5">
      <c r="A790" s="95"/>
      <c r="B790" s="95"/>
      <c r="C790" s="55" t="s">
        <v>199</v>
      </c>
      <c r="D790" s="55"/>
      <c r="E790" t="s">
        <v>164</v>
      </c>
    </row>
    <row r="791" spans="1:5">
      <c r="A791" s="95"/>
      <c r="B791" s="95"/>
      <c r="C791" s="55" t="s">
        <v>200</v>
      </c>
      <c r="D791" s="55"/>
    </row>
    <row r="792" spans="1:5">
      <c r="A792" s="95"/>
      <c r="B792" s="95"/>
      <c r="C792" s="55" t="s">
        <v>201</v>
      </c>
      <c r="D792" s="55"/>
    </row>
    <row r="793" spans="1:5">
      <c r="A793" s="95"/>
      <c r="B793" s="95"/>
      <c r="C793" s="55" t="s">
        <v>202</v>
      </c>
      <c r="D793" s="55"/>
    </row>
    <row r="794" spans="1:5">
      <c r="A794" s="95"/>
      <c r="B794" s="95"/>
      <c r="C794" s="55" t="s">
        <v>886</v>
      </c>
      <c r="D794" s="55"/>
    </row>
    <row r="795" spans="1:5">
      <c r="A795" s="95"/>
      <c r="B795" s="95"/>
      <c r="C795" s="55" t="s">
        <v>203</v>
      </c>
      <c r="D795" s="55"/>
    </row>
    <row r="796" spans="1:5">
      <c r="A796" s="95"/>
      <c r="B796" s="95"/>
      <c r="C796" s="55" t="s">
        <v>204</v>
      </c>
      <c r="D796" s="55"/>
    </row>
    <row r="797" spans="1:5">
      <c r="A797" s="95"/>
      <c r="B797" s="95"/>
      <c r="C797" s="55" t="s">
        <v>205</v>
      </c>
      <c r="D797" s="55"/>
    </row>
    <row r="798" spans="1:5">
      <c r="A798" s="95"/>
      <c r="B798" s="95"/>
      <c r="C798" s="55" t="s">
        <v>206</v>
      </c>
      <c r="D798" s="55"/>
    </row>
    <row r="799" spans="1:5">
      <c r="A799" s="95"/>
      <c r="B799" s="95"/>
      <c r="C799" s="55" t="s">
        <v>207</v>
      </c>
      <c r="D799" s="55"/>
    </row>
    <row r="800" spans="1:5">
      <c r="A800" s="95"/>
      <c r="B800" s="95"/>
      <c r="C800" s="55" t="s">
        <v>208</v>
      </c>
      <c r="D800" s="55"/>
    </row>
    <row r="801" spans="1:5">
      <c r="A801" s="95"/>
      <c r="B801" s="95"/>
      <c r="C801" s="55" t="s">
        <v>209</v>
      </c>
      <c r="D801" s="55"/>
    </row>
    <row r="802" spans="1:5">
      <c r="A802" s="95"/>
      <c r="B802" s="95"/>
      <c r="C802" s="55" t="s">
        <v>210</v>
      </c>
      <c r="D802" s="55"/>
    </row>
    <row r="803" spans="1:5">
      <c r="A803" s="95"/>
      <c r="B803" s="95"/>
      <c r="C803" s="55" t="s">
        <v>211</v>
      </c>
      <c r="D803" s="55"/>
    </row>
    <row r="804" spans="1:5">
      <c r="A804" s="95"/>
      <c r="B804" s="95"/>
      <c r="C804" s="55" t="s">
        <v>212</v>
      </c>
      <c r="D804" s="55"/>
    </row>
    <row r="805" spans="1:5">
      <c r="A805" s="95"/>
      <c r="B805" s="95"/>
      <c r="C805" s="55" t="s">
        <v>213</v>
      </c>
      <c r="D805" s="55"/>
    </row>
    <row r="806" spans="1:5">
      <c r="A806" s="95"/>
      <c r="B806" s="95"/>
      <c r="C806" s="55" t="s">
        <v>214</v>
      </c>
      <c r="D806" s="55"/>
    </row>
    <row r="807" spans="1:5">
      <c r="A807" s="95"/>
      <c r="B807" s="95"/>
      <c r="C807" s="55" t="s">
        <v>215</v>
      </c>
      <c r="D807" s="55"/>
    </row>
    <row r="808" spans="1:5">
      <c r="A808" s="95"/>
      <c r="B808" s="95"/>
      <c r="C808" s="55" t="s">
        <v>217</v>
      </c>
      <c r="D808" s="55"/>
    </row>
    <row r="809" spans="1:5">
      <c r="A809" s="95"/>
      <c r="B809" s="95"/>
      <c r="C809" s="55" t="s">
        <v>216</v>
      </c>
      <c r="D809" s="55"/>
      <c r="E809" t="s">
        <v>164</v>
      </c>
    </row>
    <row r="810" spans="1:5">
      <c r="A810" s="95"/>
      <c r="B810" s="95"/>
      <c r="C810" s="55" t="s">
        <v>218</v>
      </c>
      <c r="D810" s="55"/>
    </row>
    <row r="811" spans="1:5">
      <c r="A811" s="95"/>
      <c r="B811" s="95"/>
      <c r="C811" s="55" t="s">
        <v>219</v>
      </c>
      <c r="D811" s="55"/>
    </row>
    <row r="812" spans="1:5">
      <c r="A812" s="95"/>
      <c r="B812" s="95"/>
      <c r="C812" s="55" t="s">
        <v>220</v>
      </c>
      <c r="D812" s="55"/>
    </row>
    <row r="813" spans="1:5">
      <c r="A813" s="95"/>
      <c r="B813" s="95"/>
      <c r="C813" s="55" t="s">
        <v>221</v>
      </c>
      <c r="D813" s="55"/>
    </row>
    <row r="814" spans="1:5">
      <c r="A814" s="95"/>
      <c r="B814" s="95"/>
      <c r="C814" s="55" t="s">
        <v>222</v>
      </c>
      <c r="D814" s="55"/>
    </row>
    <row r="815" spans="1:5">
      <c r="A815" s="95"/>
      <c r="B815" s="95"/>
      <c r="C815" s="55" t="s">
        <v>223</v>
      </c>
      <c r="D815" s="55"/>
    </row>
    <row r="816" spans="1:5">
      <c r="A816" s="95"/>
      <c r="B816" s="95"/>
      <c r="C816" s="55" t="s">
        <v>224</v>
      </c>
      <c r="D816" s="55"/>
    </row>
    <row r="817" spans="1:4">
      <c r="A817" s="95"/>
      <c r="B817" s="95"/>
      <c r="C817" s="55" t="s">
        <v>225</v>
      </c>
      <c r="D817" s="55"/>
    </row>
    <row r="818" spans="1:4">
      <c r="A818" s="95"/>
      <c r="B818" s="95"/>
      <c r="C818" s="55" t="s">
        <v>226</v>
      </c>
      <c r="D818" s="55"/>
    </row>
    <row r="819" spans="1:4">
      <c r="A819" s="95"/>
      <c r="B819" s="95"/>
      <c r="C819" s="55" t="s">
        <v>227</v>
      </c>
      <c r="D819" s="55"/>
    </row>
    <row r="820" spans="1:4">
      <c r="A820" s="95"/>
      <c r="B820" s="95"/>
      <c r="C820" s="55" t="s">
        <v>228</v>
      </c>
      <c r="D820" s="55"/>
    </row>
    <row r="821" spans="1:4">
      <c r="A821" s="95"/>
      <c r="B821" s="95"/>
      <c r="C821" s="55" t="s">
        <v>229</v>
      </c>
      <c r="D821" s="55"/>
    </row>
    <row r="822" spans="1:4">
      <c r="A822" s="95"/>
      <c r="B822" s="95"/>
      <c r="C822" s="55" t="s">
        <v>230</v>
      </c>
      <c r="D822" s="55"/>
    </row>
    <row r="823" spans="1:4">
      <c r="A823" s="95"/>
      <c r="B823" s="95"/>
      <c r="C823" s="55" t="s">
        <v>231</v>
      </c>
      <c r="D823" s="55"/>
    </row>
    <row r="824" spans="1:4">
      <c r="A824" s="95"/>
      <c r="B824" s="95"/>
      <c r="C824" s="55" t="s">
        <v>232</v>
      </c>
      <c r="D824" s="55"/>
    </row>
    <row r="825" spans="1:4">
      <c r="A825" s="95"/>
      <c r="B825" s="95"/>
      <c r="C825" s="55" t="s">
        <v>233</v>
      </c>
      <c r="D825" s="55"/>
    </row>
    <row r="826" spans="1:4">
      <c r="A826" s="95"/>
      <c r="B826" s="95"/>
      <c r="C826" s="55" t="s">
        <v>234</v>
      </c>
      <c r="D826" s="55"/>
    </row>
    <row r="827" spans="1:4">
      <c r="A827" s="95"/>
      <c r="B827" s="95"/>
      <c r="C827" s="55" t="s">
        <v>235</v>
      </c>
      <c r="D827" s="55"/>
    </row>
    <row r="828" spans="1:4">
      <c r="A828" s="95"/>
      <c r="B828" s="95"/>
      <c r="C828" s="55" t="s">
        <v>236</v>
      </c>
      <c r="D828" s="55"/>
    </row>
    <row r="829" spans="1:4">
      <c r="A829" s="95"/>
      <c r="B829" s="95"/>
      <c r="C829" s="55" t="s">
        <v>237</v>
      </c>
      <c r="D829" s="55"/>
    </row>
    <row r="830" spans="1:4">
      <c r="A830" s="95"/>
      <c r="B830" s="95"/>
      <c r="C830" s="55" t="s">
        <v>238</v>
      </c>
      <c r="D830" s="55"/>
    </row>
    <row r="831" spans="1:4">
      <c r="A831" s="95"/>
      <c r="B831" s="95"/>
      <c r="C831" s="55" t="s">
        <v>887</v>
      </c>
      <c r="D831" s="127" t="s">
        <v>888</v>
      </c>
    </row>
    <row r="832" spans="1:4">
      <c r="A832" s="95"/>
      <c r="B832" s="95"/>
      <c r="C832" s="55" t="s">
        <v>889</v>
      </c>
      <c r="D832" s="127" t="s">
        <v>250</v>
      </c>
    </row>
    <row r="833" spans="1:4">
      <c r="A833" s="95"/>
      <c r="B833" s="95"/>
      <c r="C833" s="55" t="s">
        <v>890</v>
      </c>
      <c r="D833" s="127" t="s">
        <v>250</v>
      </c>
    </row>
    <row r="834" spans="1:4" ht="15">
      <c r="A834" s="95"/>
      <c r="B834" s="95"/>
      <c r="C834" s="55" t="s">
        <v>891</v>
      </c>
      <c r="D834" s="125"/>
    </row>
    <row r="835" spans="1:4">
      <c r="A835" s="95"/>
      <c r="B835" s="95"/>
      <c r="C835" s="55" t="s">
        <v>246</v>
      </c>
      <c r="D835" s="55"/>
    </row>
    <row r="836" spans="1:4">
      <c r="A836" s="95"/>
      <c r="B836" s="95"/>
      <c r="C836" s="55" t="s">
        <v>241</v>
      </c>
      <c r="D836" s="55"/>
    </row>
    <row r="837" spans="1:4">
      <c r="A837" s="95"/>
      <c r="B837" s="95"/>
      <c r="C837" s="55" t="s">
        <v>242</v>
      </c>
      <c r="D837" s="55"/>
    </row>
    <row r="838" spans="1:4">
      <c r="A838" s="95"/>
      <c r="B838" s="95"/>
      <c r="C838" s="55" t="s">
        <v>239</v>
      </c>
      <c r="D838" s="55"/>
    </row>
    <row r="839" spans="1:4">
      <c r="A839" s="95"/>
      <c r="B839" s="95"/>
      <c r="C839" s="55" t="s">
        <v>243</v>
      </c>
      <c r="D839" s="55"/>
    </row>
    <row r="840" spans="1:4">
      <c r="A840" s="95"/>
      <c r="B840" s="95"/>
      <c r="C840" s="55" t="s">
        <v>240</v>
      </c>
      <c r="D840" s="55"/>
    </row>
    <row r="841" spans="1:4">
      <c r="A841" s="95"/>
      <c r="B841" s="95"/>
      <c r="C841" s="55" t="s">
        <v>244</v>
      </c>
      <c r="D841" s="55"/>
    </row>
    <row r="842" spans="1:4">
      <c r="A842" s="95"/>
      <c r="B842" s="95"/>
      <c r="C842" s="55" t="s">
        <v>892</v>
      </c>
      <c r="D842" s="55"/>
    </row>
    <row r="843" spans="1:4">
      <c r="A843" s="95"/>
      <c r="B843" s="95"/>
      <c r="C843" s="55" t="s">
        <v>893</v>
      </c>
      <c r="D843" s="55"/>
    </row>
    <row r="844" spans="1:4">
      <c r="A844" s="95"/>
      <c r="B844" s="95"/>
      <c r="C844" s="55" t="s">
        <v>894</v>
      </c>
      <c r="D844" s="55"/>
    </row>
    <row r="845" spans="1:4">
      <c r="A845" s="95"/>
      <c r="B845" s="95"/>
      <c r="C845" s="55" t="s">
        <v>895</v>
      </c>
      <c r="D845" s="55"/>
    </row>
    <row r="846" spans="1:4">
      <c r="A846" s="95"/>
      <c r="B846" s="95"/>
      <c r="C846" s="55" t="s">
        <v>896</v>
      </c>
      <c r="D846" s="55"/>
    </row>
    <row r="847" spans="1:4">
      <c r="A847" s="95"/>
      <c r="B847" s="95"/>
      <c r="C847" s="55" t="s">
        <v>897</v>
      </c>
      <c r="D847" s="55"/>
    </row>
    <row r="848" spans="1:4">
      <c r="A848" s="95"/>
      <c r="B848" s="95"/>
      <c r="C848" s="55" t="s">
        <v>898</v>
      </c>
      <c r="D848" s="55"/>
    </row>
    <row r="849" spans="1:4">
      <c r="A849" s="95"/>
      <c r="B849" s="95"/>
      <c r="C849" s="55" t="s">
        <v>899</v>
      </c>
      <c r="D849" s="55"/>
    </row>
    <row r="850" spans="1:4">
      <c r="A850" s="95"/>
      <c r="B850" s="95"/>
      <c r="C850" s="55" t="s">
        <v>68</v>
      </c>
      <c r="D850" s="55"/>
    </row>
    <row r="851" spans="1:4">
      <c r="A851" s="68" t="s">
        <v>900</v>
      </c>
      <c r="B851" s="68"/>
      <c r="C851" s="57" t="s">
        <v>288</v>
      </c>
      <c r="D851" s="57"/>
    </row>
    <row r="852" spans="1:4">
      <c r="A852" s="69"/>
      <c r="B852" s="69"/>
      <c r="C852" s="57" t="s">
        <v>92</v>
      </c>
      <c r="D852" s="57"/>
    </row>
    <row r="853" spans="1:4">
      <c r="A853" s="95" t="s">
        <v>901</v>
      </c>
      <c r="B853" s="95" t="s">
        <v>5</v>
      </c>
      <c r="C853" s="55" t="s">
        <v>902</v>
      </c>
      <c r="D853" s="55"/>
    </row>
    <row r="854" spans="1:4">
      <c r="A854" s="95"/>
      <c r="B854" s="95"/>
      <c r="C854" s="55" t="s">
        <v>903</v>
      </c>
      <c r="D854" s="55"/>
    </row>
    <row r="855" spans="1:4">
      <c r="A855" s="95"/>
      <c r="B855" s="95"/>
      <c r="C855" s="55" t="s">
        <v>904</v>
      </c>
      <c r="D855" s="55"/>
    </row>
    <row r="856" spans="1:4">
      <c r="A856" s="95"/>
      <c r="B856" s="95"/>
      <c r="C856" s="55" t="s">
        <v>905</v>
      </c>
      <c r="D856" s="55"/>
    </row>
    <row r="857" spans="1:4">
      <c r="A857" s="95"/>
      <c r="B857" s="95"/>
      <c r="C857" s="55" t="s">
        <v>906</v>
      </c>
      <c r="D857" s="55"/>
    </row>
    <row r="858" spans="1:4">
      <c r="A858" s="95"/>
      <c r="B858" s="95"/>
      <c r="C858" s="55" t="s">
        <v>907</v>
      </c>
      <c r="D858" s="55"/>
    </row>
    <row r="859" spans="1:4">
      <c r="A859" s="95"/>
      <c r="B859" s="95"/>
      <c r="C859" s="55" t="s">
        <v>908</v>
      </c>
      <c r="D859" s="55"/>
    </row>
    <row r="860" spans="1:4">
      <c r="A860" s="95"/>
      <c r="B860" s="95"/>
      <c r="C860" s="55" t="s">
        <v>909</v>
      </c>
      <c r="D860" s="55"/>
    </row>
    <row r="861" spans="1:4">
      <c r="A861" s="95"/>
      <c r="B861" s="95"/>
      <c r="C861" s="55" t="s">
        <v>910</v>
      </c>
      <c r="D861" s="55"/>
    </row>
    <row r="862" spans="1:4">
      <c r="A862" s="68" t="s">
        <v>911</v>
      </c>
      <c r="B862" s="68" t="s">
        <v>5</v>
      </c>
      <c r="C862" s="57" t="s">
        <v>29</v>
      </c>
      <c r="D862" s="57"/>
    </row>
    <row r="863" spans="1:4">
      <c r="A863" s="69"/>
      <c r="B863" s="69"/>
      <c r="C863" s="57" t="s">
        <v>912</v>
      </c>
      <c r="D863" s="57"/>
    </row>
    <row r="864" spans="1:4">
      <c r="A864" s="69"/>
      <c r="B864" s="69"/>
      <c r="C864" s="57" t="s">
        <v>43</v>
      </c>
      <c r="D864" s="57"/>
    </row>
    <row r="865" spans="1:4">
      <c r="A865" s="69"/>
      <c r="B865" s="69"/>
      <c r="C865" s="57" t="s">
        <v>913</v>
      </c>
      <c r="D865" s="57"/>
    </row>
    <row r="866" spans="1:4">
      <c r="A866" s="69"/>
      <c r="B866" s="69"/>
      <c r="C866" s="57" t="s">
        <v>66</v>
      </c>
      <c r="D866" s="57"/>
    </row>
    <row r="867" spans="1:4">
      <c r="A867" s="69"/>
      <c r="B867" s="69"/>
      <c r="C867" s="57" t="s">
        <v>914</v>
      </c>
      <c r="D867" s="57"/>
    </row>
    <row r="868" spans="1:4">
      <c r="A868" s="69"/>
      <c r="B868" s="69"/>
      <c r="C868" s="57" t="s">
        <v>915</v>
      </c>
      <c r="D868" s="57"/>
    </row>
    <row r="869" spans="1:4">
      <c r="A869" s="69"/>
      <c r="B869" s="69"/>
      <c r="C869" s="57" t="s">
        <v>916</v>
      </c>
      <c r="D869" s="57"/>
    </row>
    <row r="870" spans="1:4">
      <c r="A870" s="95" t="s">
        <v>917</v>
      </c>
      <c r="B870" s="95" t="s">
        <v>5</v>
      </c>
      <c r="C870" s="55" t="s">
        <v>29</v>
      </c>
      <c r="D870" s="55"/>
    </row>
    <row r="871" spans="1:4">
      <c r="A871" s="95"/>
      <c r="B871" s="95"/>
      <c r="C871" s="55" t="s">
        <v>43</v>
      </c>
      <c r="D871" s="55"/>
    </row>
    <row r="872" spans="1:4">
      <c r="A872" s="95"/>
      <c r="B872" s="95"/>
      <c r="C872" s="55" t="s">
        <v>66</v>
      </c>
      <c r="D872" s="55"/>
    </row>
    <row r="873" spans="1:4">
      <c r="A873" s="95"/>
      <c r="B873" s="95"/>
      <c r="C873" s="55" t="s">
        <v>68</v>
      </c>
      <c r="D873" s="55"/>
    </row>
    <row r="874" spans="1:4">
      <c r="A874" s="68" t="s">
        <v>918</v>
      </c>
      <c r="B874" s="68" t="s">
        <v>5</v>
      </c>
      <c r="C874" s="57" t="s">
        <v>919</v>
      </c>
      <c r="D874" s="57"/>
    </row>
    <row r="875" spans="1:4">
      <c r="A875" s="69"/>
      <c r="B875" s="69"/>
      <c r="C875" s="57" t="s">
        <v>705</v>
      </c>
      <c r="D875" s="57"/>
    </row>
    <row r="876" spans="1:4">
      <c r="A876" s="69"/>
      <c r="B876" s="69"/>
      <c r="C876" s="57" t="s">
        <v>706</v>
      </c>
      <c r="D876" s="57"/>
    </row>
    <row r="877" spans="1:4">
      <c r="A877" s="69"/>
      <c r="B877" s="69"/>
      <c r="C877" s="57" t="s">
        <v>707</v>
      </c>
      <c r="D877" s="57"/>
    </row>
    <row r="878" spans="1:4">
      <c r="A878" s="69"/>
      <c r="B878" s="69"/>
      <c r="C878" s="57" t="s">
        <v>920</v>
      </c>
      <c r="D878" s="57"/>
    </row>
    <row r="879" spans="1:4">
      <c r="A879" s="69"/>
      <c r="B879" s="69"/>
      <c r="C879" s="57" t="s">
        <v>921</v>
      </c>
      <c r="D879" s="57"/>
    </row>
    <row r="880" spans="1:4">
      <c r="A880" s="69"/>
      <c r="B880" s="69"/>
      <c r="C880" s="57" t="s">
        <v>922</v>
      </c>
      <c r="D880" s="57"/>
    </row>
    <row r="881" spans="1:5">
      <c r="A881" s="69"/>
      <c r="B881" s="69"/>
      <c r="C881" s="57" t="s">
        <v>923</v>
      </c>
      <c r="D881" s="57"/>
    </row>
    <row r="882" spans="1:5">
      <c r="A882" s="69"/>
      <c r="B882" s="69"/>
      <c r="C882" s="57" t="s">
        <v>924</v>
      </c>
      <c r="D882" s="57" t="s">
        <v>924</v>
      </c>
      <c r="E882" t="s">
        <v>164</v>
      </c>
    </row>
    <row r="883" spans="1:5">
      <c r="A883" s="70"/>
      <c r="B883" s="70"/>
      <c r="C883" s="57" t="s">
        <v>68</v>
      </c>
      <c r="D883" s="57"/>
    </row>
    <row r="884" spans="1:5">
      <c r="A884" s="84" t="s">
        <v>925</v>
      </c>
      <c r="B884" s="84" t="s">
        <v>5</v>
      </c>
      <c r="C884" s="55" t="s">
        <v>882</v>
      </c>
      <c r="D884" s="55"/>
    </row>
    <row r="885" spans="1:5">
      <c r="A885" s="85"/>
      <c r="B885" s="85"/>
      <c r="C885" s="55" t="s">
        <v>926</v>
      </c>
      <c r="D885" s="55"/>
    </row>
    <row r="886" spans="1:5">
      <c r="A886" s="85"/>
      <c r="B886" s="85"/>
      <c r="C886" s="55" t="s">
        <v>927</v>
      </c>
      <c r="D886" s="55"/>
    </row>
    <row r="887" spans="1:5">
      <c r="A887" s="85"/>
      <c r="B887" s="85"/>
      <c r="C887" s="55" t="s">
        <v>928</v>
      </c>
      <c r="D887" s="55"/>
    </row>
    <row r="888" spans="1:5">
      <c r="A888" s="85"/>
      <c r="B888" s="85"/>
      <c r="C888" s="55" t="s">
        <v>929</v>
      </c>
      <c r="D888" s="55"/>
    </row>
    <row r="889" spans="1:5">
      <c r="A889" s="85"/>
      <c r="B889" s="85"/>
      <c r="C889" s="55" t="s">
        <v>930</v>
      </c>
      <c r="D889" s="55" t="s">
        <v>931</v>
      </c>
    </row>
    <row r="890" spans="1:5">
      <c r="A890" s="85"/>
      <c r="B890" s="85"/>
      <c r="C890" s="55" t="s">
        <v>932</v>
      </c>
      <c r="D890" s="55"/>
    </row>
    <row r="891" spans="1:5">
      <c r="A891" s="68" t="s">
        <v>421</v>
      </c>
      <c r="B891" s="68" t="s">
        <v>5</v>
      </c>
      <c r="C891" s="57" t="s">
        <v>933</v>
      </c>
      <c r="D891" s="57"/>
    </row>
    <row r="892" spans="1:5">
      <c r="A892" s="69"/>
      <c r="B892" s="69"/>
      <c r="C892" s="57" t="s">
        <v>934</v>
      </c>
      <c r="D892" s="57"/>
    </row>
    <row r="893" spans="1:5">
      <c r="A893" s="69"/>
      <c r="B893" s="69"/>
      <c r="C893" s="57" t="s">
        <v>935</v>
      </c>
      <c r="D893" s="57"/>
    </row>
    <row r="894" spans="1:5">
      <c r="A894" s="69"/>
      <c r="B894" s="69"/>
      <c r="C894" s="57" t="s">
        <v>936</v>
      </c>
      <c r="D894" s="57"/>
    </row>
    <row r="895" spans="1:5">
      <c r="A895" s="69"/>
      <c r="B895" s="69"/>
      <c r="C895" s="57" t="s">
        <v>937</v>
      </c>
      <c r="D895" s="57"/>
    </row>
    <row r="896" spans="1:5">
      <c r="A896" s="69"/>
      <c r="B896" s="69"/>
      <c r="C896" s="57" t="s">
        <v>68</v>
      </c>
      <c r="D896" s="57"/>
    </row>
    <row r="897" spans="1:4">
      <c r="A897" s="84" t="s">
        <v>938</v>
      </c>
      <c r="B897" s="84" t="s">
        <v>5</v>
      </c>
      <c r="C897" s="55" t="s">
        <v>939</v>
      </c>
      <c r="D897" s="55"/>
    </row>
    <row r="898" spans="1:4">
      <c r="A898" s="85"/>
      <c r="B898" s="85"/>
      <c r="C898" s="55" t="s">
        <v>940</v>
      </c>
      <c r="D898" s="55"/>
    </row>
    <row r="899" spans="1:4">
      <c r="A899" s="85"/>
      <c r="B899" s="85"/>
      <c r="C899" s="55" t="s">
        <v>882</v>
      </c>
      <c r="D899" s="55"/>
    </row>
    <row r="900" spans="1:4">
      <c r="A900" s="85"/>
      <c r="B900" s="85"/>
      <c r="C900" s="55" t="s">
        <v>68</v>
      </c>
      <c r="D900" s="55"/>
    </row>
    <row r="901" spans="1:4">
      <c r="A901" s="68" t="s">
        <v>941</v>
      </c>
      <c r="B901" s="68" t="s">
        <v>5</v>
      </c>
      <c r="C901" s="57" t="s">
        <v>942</v>
      </c>
      <c r="D901" s="57"/>
    </row>
    <row r="902" spans="1:4">
      <c r="A902" s="69"/>
      <c r="B902" s="69"/>
      <c r="C902" s="57" t="s">
        <v>943</v>
      </c>
      <c r="D902" s="57"/>
    </row>
    <row r="903" spans="1:4">
      <c r="A903" s="69"/>
      <c r="B903" s="69"/>
      <c r="C903" s="57" t="s">
        <v>696</v>
      </c>
      <c r="D903" s="57"/>
    </row>
    <row r="904" spans="1:4">
      <c r="A904" s="69"/>
      <c r="B904" s="69"/>
      <c r="C904" s="57" t="s">
        <v>944</v>
      </c>
      <c r="D904" s="57"/>
    </row>
    <row r="905" spans="1:4">
      <c r="A905" s="69"/>
      <c r="B905" s="69"/>
      <c r="C905" s="57" t="s">
        <v>945</v>
      </c>
      <c r="D905" s="57"/>
    </row>
    <row r="906" spans="1:4">
      <c r="A906" s="94" t="s">
        <v>946</v>
      </c>
      <c r="B906" s="94" t="s">
        <v>5</v>
      </c>
      <c r="C906" s="60" t="s">
        <v>947</v>
      </c>
      <c r="D906" s="60"/>
    </row>
    <row r="907" spans="1:4">
      <c r="A907" s="95"/>
      <c r="B907" s="95"/>
      <c r="C907" s="60" t="s">
        <v>948</v>
      </c>
      <c r="D907" s="60"/>
    </row>
    <row r="908" spans="1:4">
      <c r="A908" s="95"/>
      <c r="B908" s="95"/>
      <c r="C908" s="55" t="s">
        <v>949</v>
      </c>
      <c r="D908" s="55"/>
    </row>
    <row r="909" spans="1:4">
      <c r="A909" s="95"/>
      <c r="B909" s="95"/>
      <c r="C909" s="55" t="s">
        <v>950</v>
      </c>
      <c r="D909" s="55"/>
    </row>
    <row r="910" spans="1:4">
      <c r="A910" s="95"/>
      <c r="B910" s="95"/>
      <c r="C910" s="55" t="s">
        <v>951</v>
      </c>
      <c r="D910" s="55"/>
    </row>
    <row r="911" spans="1:4">
      <c r="A911" s="95"/>
      <c r="B911" s="95"/>
      <c r="C911" s="55" t="s">
        <v>952</v>
      </c>
      <c r="D911" s="55"/>
    </row>
    <row r="912" spans="1:4">
      <c r="A912" s="90" t="s">
        <v>953</v>
      </c>
      <c r="B912" s="90" t="s">
        <v>5</v>
      </c>
      <c r="C912" s="62" t="s">
        <v>29</v>
      </c>
      <c r="D912" s="62"/>
    </row>
    <row r="913" spans="1:5">
      <c r="A913" s="72"/>
      <c r="B913" s="72"/>
      <c r="C913" s="62" t="s">
        <v>912</v>
      </c>
      <c r="D913" s="62"/>
    </row>
    <row r="914" spans="1:5">
      <c r="A914" s="72"/>
      <c r="B914" s="72"/>
      <c r="C914" s="57" t="s">
        <v>43</v>
      </c>
      <c r="D914" s="57"/>
    </row>
    <row r="915" spans="1:5">
      <c r="A915" s="72"/>
      <c r="B915" s="72"/>
      <c r="C915" s="57" t="s">
        <v>913</v>
      </c>
      <c r="D915" s="57"/>
    </row>
    <row r="916" spans="1:5">
      <c r="A916" s="72"/>
      <c r="B916" s="72"/>
      <c r="C916" s="57" t="s">
        <v>66</v>
      </c>
      <c r="D916" s="57"/>
    </row>
    <row r="917" spans="1:5">
      <c r="A917" s="72"/>
      <c r="B917" s="72"/>
      <c r="C917" s="57" t="s">
        <v>914</v>
      </c>
      <c r="D917" s="57"/>
    </row>
    <row r="918" spans="1:5">
      <c r="A918" s="72"/>
      <c r="B918" s="72"/>
      <c r="C918" s="62" t="s">
        <v>915</v>
      </c>
      <c r="D918" s="62"/>
    </row>
    <row r="919" spans="1:5">
      <c r="A919" s="72"/>
      <c r="B919" s="72"/>
      <c r="C919" s="62" t="s">
        <v>916</v>
      </c>
      <c r="D919" s="62"/>
    </row>
    <row r="920" spans="1:5" ht="15">
      <c r="A920" s="94" t="s">
        <v>954</v>
      </c>
      <c r="B920" s="94" t="s">
        <v>5</v>
      </c>
      <c r="C920" s="60" t="s">
        <v>955</v>
      </c>
      <c r="D920" s="60"/>
      <c r="E920" s="61"/>
    </row>
    <row r="921" spans="1:5" ht="15">
      <c r="A921" s="95"/>
      <c r="B921" s="95"/>
      <c r="C921" s="60" t="s">
        <v>956</v>
      </c>
      <c r="D921" s="60"/>
      <c r="E921" s="61"/>
    </row>
    <row r="922" spans="1:5" ht="15">
      <c r="A922" s="95"/>
      <c r="B922" s="95"/>
      <c r="C922" s="55" t="s">
        <v>957</v>
      </c>
      <c r="D922" s="55"/>
      <c r="E922" s="61"/>
    </row>
    <row r="923" spans="1:5" ht="15">
      <c r="A923" s="95"/>
      <c r="B923" s="95"/>
      <c r="C923" s="55" t="s">
        <v>958</v>
      </c>
      <c r="D923" s="55"/>
      <c r="E923" s="61"/>
    </row>
    <row r="924" spans="1:5" ht="15">
      <c r="A924" s="95"/>
      <c r="B924" s="95"/>
      <c r="C924" s="55" t="s">
        <v>959</v>
      </c>
      <c r="D924" s="55"/>
      <c r="E924" s="61"/>
    </row>
    <row r="925" spans="1:5">
      <c r="A925" s="95"/>
      <c r="B925" s="95"/>
      <c r="C925" s="55" t="s">
        <v>68</v>
      </c>
      <c r="D925" s="55"/>
    </row>
    <row r="926" spans="1:5">
      <c r="A926" s="90" t="s">
        <v>960</v>
      </c>
      <c r="B926" s="90" t="s">
        <v>5</v>
      </c>
      <c r="C926" s="57" t="s">
        <v>961</v>
      </c>
      <c r="D926" s="57"/>
    </row>
    <row r="927" spans="1:5">
      <c r="A927" s="72"/>
      <c r="B927" s="72"/>
      <c r="C927" s="57" t="s">
        <v>962</v>
      </c>
      <c r="D927" s="57"/>
    </row>
    <row r="928" spans="1:5">
      <c r="A928" s="72"/>
      <c r="B928" s="72"/>
      <c r="C928" s="57" t="s">
        <v>963</v>
      </c>
      <c r="D928" s="57"/>
    </row>
    <row r="929" spans="1:5">
      <c r="A929" s="91" t="s">
        <v>964</v>
      </c>
      <c r="B929" s="91" t="s">
        <v>5</v>
      </c>
      <c r="C929" s="60" t="s">
        <v>965</v>
      </c>
      <c r="D929" s="60"/>
    </row>
    <row r="930" spans="1:5">
      <c r="A930" s="92"/>
      <c r="B930" s="92"/>
      <c r="C930" s="60" t="s">
        <v>705</v>
      </c>
      <c r="D930" s="60"/>
    </row>
    <row r="931" spans="1:5">
      <c r="A931" s="92"/>
      <c r="B931" s="92"/>
      <c r="C931" s="55" t="s">
        <v>919</v>
      </c>
      <c r="D931" s="55"/>
    </row>
    <row r="932" spans="1:5">
      <c r="A932" s="92"/>
      <c r="B932" s="92"/>
      <c r="C932" s="55" t="s">
        <v>706</v>
      </c>
      <c r="D932" s="55"/>
    </row>
    <row r="933" spans="1:5">
      <c r="A933" s="92"/>
      <c r="B933" s="92"/>
      <c r="C933" s="55" t="s">
        <v>68</v>
      </c>
      <c r="D933" s="55"/>
    </row>
    <row r="934" spans="1:5">
      <c r="A934" s="98" t="s">
        <v>966</v>
      </c>
      <c r="B934" s="98" t="s">
        <v>5</v>
      </c>
      <c r="C934" s="62" t="s">
        <v>919</v>
      </c>
      <c r="D934" s="62"/>
    </row>
    <row r="935" spans="1:5">
      <c r="A935" s="99"/>
      <c r="B935" s="99"/>
      <c r="C935" s="62" t="s">
        <v>705</v>
      </c>
      <c r="D935" s="62"/>
    </row>
    <row r="936" spans="1:5">
      <c r="A936" s="99"/>
      <c r="B936" s="99"/>
      <c r="C936" s="57" t="s">
        <v>706</v>
      </c>
      <c r="D936" s="57"/>
    </row>
    <row r="937" spans="1:5">
      <c r="A937" s="99"/>
      <c r="B937" s="99"/>
      <c r="C937" s="57" t="s">
        <v>707</v>
      </c>
      <c r="D937" s="57"/>
    </row>
    <row r="938" spans="1:5">
      <c r="A938" s="99"/>
      <c r="B938" s="99"/>
      <c r="C938" s="57" t="s">
        <v>967</v>
      </c>
      <c r="D938" s="57"/>
    </row>
    <row r="939" spans="1:5">
      <c r="A939" s="99"/>
      <c r="B939" s="99"/>
      <c r="C939" s="62" t="s">
        <v>967</v>
      </c>
      <c r="D939" s="62"/>
    </row>
    <row r="940" spans="1:5">
      <c r="A940" s="99"/>
      <c r="B940" s="99"/>
      <c r="C940" s="62" t="s">
        <v>921</v>
      </c>
      <c r="D940" s="62"/>
    </row>
    <row r="941" spans="1:5">
      <c r="A941" s="99"/>
      <c r="B941" s="99"/>
      <c r="C941" s="57" t="s">
        <v>922</v>
      </c>
      <c r="D941" s="57"/>
    </row>
    <row r="942" spans="1:5">
      <c r="A942" s="99"/>
      <c r="B942" s="99"/>
      <c r="C942" s="62" t="s">
        <v>923</v>
      </c>
      <c r="D942" s="62"/>
    </row>
    <row r="943" spans="1:5">
      <c r="A943" s="99"/>
      <c r="B943" s="99"/>
      <c r="C943" s="62" t="s">
        <v>965</v>
      </c>
      <c r="D943" s="62"/>
    </row>
    <row r="944" spans="1:5">
      <c r="A944" s="99"/>
      <c r="B944" s="99"/>
      <c r="C944" s="57" t="s">
        <v>968</v>
      </c>
      <c r="D944" s="57" t="s">
        <v>968</v>
      </c>
      <c r="E944" t="s">
        <v>164</v>
      </c>
    </row>
    <row r="945" spans="1:4">
      <c r="A945" s="123"/>
      <c r="B945" s="123"/>
      <c r="C945" s="57" t="s">
        <v>68</v>
      </c>
      <c r="D945" s="57"/>
    </row>
    <row r="946" spans="1:4" ht="14.25" customHeight="1">
      <c r="A946" s="91" t="s">
        <v>969</v>
      </c>
      <c r="B946" s="91" t="s">
        <v>5</v>
      </c>
      <c r="C946" s="60" t="s">
        <v>970</v>
      </c>
      <c r="D946" s="60"/>
    </row>
    <row r="947" spans="1:4">
      <c r="A947" s="92"/>
      <c r="B947" s="92"/>
      <c r="C947" s="60" t="s">
        <v>971</v>
      </c>
      <c r="D947" s="60"/>
    </row>
    <row r="948" spans="1:4">
      <c r="A948" s="92"/>
      <c r="B948" s="92"/>
      <c r="C948" s="55" t="s">
        <v>972</v>
      </c>
      <c r="D948" s="55"/>
    </row>
    <row r="949" spans="1:4">
      <c r="A949" s="92"/>
      <c r="B949" s="92"/>
      <c r="C949" s="55" t="s">
        <v>973</v>
      </c>
      <c r="D949" s="55"/>
    </row>
    <row r="950" spans="1:4">
      <c r="A950" s="92"/>
      <c r="B950" s="92"/>
      <c r="C950" s="55" t="s">
        <v>974</v>
      </c>
      <c r="D950" s="55"/>
    </row>
    <row r="951" spans="1:4">
      <c r="A951" s="92"/>
      <c r="B951" s="92"/>
      <c r="C951" s="60" t="s">
        <v>717</v>
      </c>
      <c r="D951" s="60"/>
    </row>
    <row r="952" spans="1:4">
      <c r="A952" s="92"/>
      <c r="B952" s="92"/>
      <c r="C952" s="60" t="s">
        <v>965</v>
      </c>
      <c r="D952" s="60"/>
    </row>
    <row r="953" spans="1:4">
      <c r="A953" s="92"/>
      <c r="B953" s="92"/>
      <c r="C953" s="55" t="s">
        <v>975</v>
      </c>
      <c r="D953" s="55" t="s">
        <v>976</v>
      </c>
    </row>
    <row r="954" spans="1:4">
      <c r="A954" s="92"/>
      <c r="B954" s="92"/>
      <c r="C954" s="55" t="s">
        <v>930</v>
      </c>
      <c r="D954" s="55" t="s">
        <v>931</v>
      </c>
    </row>
    <row r="955" spans="1:4">
      <c r="A955" s="92"/>
      <c r="B955" s="92"/>
      <c r="C955" s="55" t="s">
        <v>68</v>
      </c>
      <c r="D955" s="55"/>
    </row>
    <row r="956" spans="1:4">
      <c r="A956" s="98" t="s">
        <v>725</v>
      </c>
      <c r="B956" s="98" t="s">
        <v>5</v>
      </c>
      <c r="C956" s="57" t="s">
        <v>977</v>
      </c>
      <c r="D956" s="57"/>
    </row>
    <row r="957" spans="1:4">
      <c r="A957" s="99"/>
      <c r="B957" s="99"/>
      <c r="C957" s="57" t="s">
        <v>978</v>
      </c>
      <c r="D957" s="57"/>
    </row>
    <row r="958" spans="1:4">
      <c r="A958" s="99"/>
      <c r="B958" s="99"/>
      <c r="C958" s="57" t="s">
        <v>979</v>
      </c>
      <c r="D958" s="57"/>
    </row>
    <row r="959" spans="1:4">
      <c r="A959" s="99"/>
      <c r="B959" s="99"/>
      <c r="C959" s="57" t="s">
        <v>980</v>
      </c>
      <c r="D959" s="57"/>
    </row>
    <row r="960" spans="1:4">
      <c r="A960" s="99"/>
      <c r="B960" s="99"/>
      <c r="C960" s="57" t="s">
        <v>981</v>
      </c>
      <c r="D960" s="57"/>
    </row>
    <row r="961" spans="1:5">
      <c r="A961" s="99"/>
      <c r="B961" s="99"/>
      <c r="C961" s="57" t="s">
        <v>982</v>
      </c>
      <c r="D961" s="57"/>
    </row>
    <row r="962" spans="1:5">
      <c r="A962" s="99"/>
      <c r="B962" s="99"/>
      <c r="C962" s="57" t="s">
        <v>983</v>
      </c>
      <c r="D962" s="57"/>
    </row>
    <row r="963" spans="1:5">
      <c r="A963" s="99"/>
      <c r="B963" s="99"/>
      <c r="C963" s="57" t="s">
        <v>806</v>
      </c>
      <c r="D963" s="57"/>
      <c r="E963" t="s">
        <v>164</v>
      </c>
    </row>
    <row r="964" spans="1:5">
      <c r="A964" s="100" t="s">
        <v>984</v>
      </c>
      <c r="B964" s="91" t="s">
        <v>5</v>
      </c>
      <c r="C964" s="55" t="s">
        <v>942</v>
      </c>
      <c r="D964" s="55"/>
    </row>
    <row r="965" spans="1:5">
      <c r="A965" s="101"/>
      <c r="B965" s="92"/>
      <c r="C965" s="55" t="s">
        <v>943</v>
      </c>
      <c r="D965" s="55"/>
    </row>
    <row r="966" spans="1:5">
      <c r="A966" s="101"/>
      <c r="B966" s="92"/>
      <c r="C966" s="55" t="s">
        <v>696</v>
      </c>
      <c r="D966" s="55"/>
    </row>
    <row r="967" spans="1:5">
      <c r="A967" s="101"/>
      <c r="B967" s="92"/>
      <c r="C967" s="55" t="s">
        <v>944</v>
      </c>
      <c r="D967" s="55"/>
    </row>
    <row r="968" spans="1:5">
      <c r="A968" s="101"/>
      <c r="B968" s="92"/>
      <c r="C968" s="55" t="s">
        <v>945</v>
      </c>
      <c r="D968" s="55"/>
    </row>
    <row r="969" spans="1:5">
      <c r="A969" s="101"/>
      <c r="B969" s="92"/>
      <c r="C969" s="55" t="s">
        <v>985</v>
      </c>
      <c r="D969" s="55"/>
      <c r="E969" t="s">
        <v>164</v>
      </c>
    </row>
    <row r="970" spans="1:5">
      <c r="A970" s="102" t="s">
        <v>986</v>
      </c>
      <c r="B970" s="98" t="s">
        <v>5</v>
      </c>
      <c r="C970" s="57" t="s">
        <v>987</v>
      </c>
      <c r="D970" s="57"/>
    </row>
    <row r="971" spans="1:5">
      <c r="A971" s="103"/>
      <c r="B971" s="99"/>
      <c r="C971" s="57" t="s">
        <v>988</v>
      </c>
      <c r="D971" s="57"/>
    </row>
    <row r="972" spans="1:5">
      <c r="A972" s="103"/>
      <c r="B972" s="99"/>
      <c r="C972" s="57" t="s">
        <v>989</v>
      </c>
      <c r="D972" s="57"/>
    </row>
    <row r="973" spans="1:5">
      <c r="A973" s="103"/>
      <c r="B973" s="99"/>
      <c r="C973" s="57" t="s">
        <v>990</v>
      </c>
      <c r="D973" s="57"/>
    </row>
    <row r="974" spans="1:5">
      <c r="A974" s="103"/>
      <c r="B974" s="99"/>
      <c r="C974" s="57" t="s">
        <v>991</v>
      </c>
      <c r="D974" s="57"/>
    </row>
    <row r="975" spans="1:5">
      <c r="A975" s="103"/>
      <c r="B975" s="99"/>
      <c r="C975" s="57" t="s">
        <v>992</v>
      </c>
      <c r="D975" s="57"/>
    </row>
    <row r="976" spans="1:5">
      <c r="A976" s="124"/>
      <c r="B976" s="123"/>
      <c r="C976" s="57" t="s">
        <v>68</v>
      </c>
      <c r="D976" s="57"/>
    </row>
    <row r="977" spans="1:5">
      <c r="A977" s="91" t="s">
        <v>993</v>
      </c>
      <c r="B977" s="91" t="s">
        <v>5</v>
      </c>
      <c r="C977" s="55" t="s">
        <v>994</v>
      </c>
      <c r="D977" s="55"/>
      <c r="E977" t="s">
        <v>995</v>
      </c>
    </row>
    <row r="978" spans="1:5">
      <c r="A978" s="92"/>
      <c r="B978" s="92"/>
      <c r="C978" s="55" t="s">
        <v>996</v>
      </c>
      <c r="D978" s="55"/>
    </row>
    <row r="979" spans="1:5">
      <c r="A979" s="92"/>
      <c r="B979" s="92"/>
      <c r="C979" s="55" t="s">
        <v>997</v>
      </c>
      <c r="D979" s="55"/>
    </row>
    <row r="980" spans="1:5">
      <c r="A980" s="92"/>
      <c r="B980" s="92"/>
      <c r="C980" s="55" t="s">
        <v>998</v>
      </c>
      <c r="D980" s="55"/>
    </row>
    <row r="981" spans="1:5">
      <c r="A981" s="92"/>
      <c r="B981" s="92"/>
      <c r="C981" s="55" t="s">
        <v>999</v>
      </c>
      <c r="D981" s="55"/>
    </row>
    <row r="982" spans="1:5">
      <c r="A982" s="92"/>
      <c r="B982" s="92"/>
      <c r="C982" s="55" t="s">
        <v>1000</v>
      </c>
      <c r="D982" s="55"/>
    </row>
    <row r="983" spans="1:5">
      <c r="A983" s="92"/>
      <c r="B983" s="92"/>
      <c r="C983" s="55" t="s">
        <v>1001</v>
      </c>
      <c r="D983" s="55"/>
    </row>
    <row r="984" spans="1:5">
      <c r="A984" s="92"/>
      <c r="B984" s="92"/>
      <c r="C984" s="55" t="s">
        <v>1002</v>
      </c>
      <c r="D984" s="55"/>
    </row>
    <row r="985" spans="1:5">
      <c r="A985" s="92"/>
      <c r="B985" s="92"/>
      <c r="C985" s="55" t="s">
        <v>1003</v>
      </c>
      <c r="D985" s="55" t="s">
        <v>1004</v>
      </c>
      <c r="E985" t="s">
        <v>164</v>
      </c>
    </row>
    <row r="986" spans="1:5">
      <c r="A986" s="102" t="s">
        <v>1005</v>
      </c>
      <c r="B986" s="98" t="s">
        <v>5</v>
      </c>
      <c r="C986" s="57" t="s">
        <v>947</v>
      </c>
      <c r="D986" s="57"/>
    </row>
    <row r="987" spans="1:5">
      <c r="A987" s="103"/>
      <c r="B987" s="99"/>
      <c r="C987" s="57" t="s">
        <v>948</v>
      </c>
      <c r="D987" s="57"/>
    </row>
    <row r="988" spans="1:5">
      <c r="A988" s="103"/>
      <c r="B988" s="99"/>
      <c r="C988" s="57" t="s">
        <v>1006</v>
      </c>
      <c r="D988" s="57"/>
    </row>
    <row r="989" spans="1:5">
      <c r="A989" s="103"/>
      <c r="B989" s="99"/>
      <c r="C989" s="57" t="s">
        <v>1007</v>
      </c>
      <c r="D989" s="57"/>
    </row>
    <row r="990" spans="1:5">
      <c r="A990" s="103"/>
      <c r="B990" s="99"/>
      <c r="C990" s="57" t="s">
        <v>1008</v>
      </c>
      <c r="D990" s="57"/>
    </row>
    <row r="991" spans="1:5">
      <c r="A991" s="103"/>
      <c r="B991" s="99"/>
      <c r="C991" s="57" t="s">
        <v>1009</v>
      </c>
      <c r="D991" s="57"/>
    </row>
    <row r="992" spans="1:5">
      <c r="A992" s="91" t="s">
        <v>1010</v>
      </c>
      <c r="B992" s="91" t="s">
        <v>5</v>
      </c>
      <c r="C992" s="55" t="s">
        <v>705</v>
      </c>
      <c r="D992" s="55"/>
    </row>
    <row r="993" spans="1:5">
      <c r="A993" s="92"/>
      <c r="B993" s="92"/>
      <c r="C993" s="55" t="s">
        <v>919</v>
      </c>
      <c r="D993" s="55"/>
    </row>
    <row r="994" spans="1:5">
      <c r="A994" s="92"/>
      <c r="B994" s="92"/>
      <c r="C994" s="55" t="s">
        <v>916</v>
      </c>
      <c r="D994" s="55"/>
    </row>
    <row r="995" spans="1:5">
      <c r="A995" s="92"/>
      <c r="B995" s="92"/>
      <c r="C995" s="55" t="s">
        <v>706</v>
      </c>
      <c r="D995" s="55"/>
    </row>
    <row r="996" spans="1:5">
      <c r="A996" s="92"/>
      <c r="B996" s="92"/>
      <c r="C996" s="55" t="s">
        <v>1011</v>
      </c>
      <c r="D996" s="55" t="s">
        <v>1012</v>
      </c>
    </row>
    <row r="997" spans="1:5">
      <c r="A997" s="92"/>
      <c r="B997" s="92"/>
      <c r="C997" s="55" t="s">
        <v>68</v>
      </c>
      <c r="D997" s="55"/>
    </row>
    <row r="998" spans="1:5">
      <c r="A998" s="98" t="s">
        <v>1013</v>
      </c>
      <c r="B998" s="98" t="s">
        <v>5</v>
      </c>
      <c r="C998" s="57" t="s">
        <v>1014</v>
      </c>
      <c r="D998" s="57"/>
      <c r="E998" t="s">
        <v>995</v>
      </c>
    </row>
    <row r="999" spans="1:5">
      <c r="A999" s="99"/>
      <c r="B999" s="99"/>
      <c r="C999" s="57" t="s">
        <v>1015</v>
      </c>
      <c r="D999" s="57"/>
    </row>
    <row r="1000" spans="1:5">
      <c r="A1000" s="91" t="s">
        <v>1016</v>
      </c>
      <c r="B1000" s="91" t="s">
        <v>5</v>
      </c>
      <c r="C1000" s="55" t="s">
        <v>1017</v>
      </c>
      <c r="D1000" s="55"/>
    </row>
    <row r="1001" spans="1:5">
      <c r="A1001" s="92"/>
      <c r="B1001" s="92"/>
      <c r="C1001" s="55" t="s">
        <v>1018</v>
      </c>
      <c r="D1001" s="55"/>
    </row>
    <row r="1002" spans="1:5">
      <c r="A1002" s="92"/>
      <c r="B1002" s="92"/>
      <c r="C1002" s="55" t="s">
        <v>1019</v>
      </c>
      <c r="D1002" s="55"/>
    </row>
    <row r="1003" spans="1:5">
      <c r="A1003" s="92"/>
      <c r="B1003" s="92"/>
      <c r="C1003" s="55" t="s">
        <v>1020</v>
      </c>
      <c r="D1003" s="55"/>
      <c r="E1003" t="s">
        <v>164</v>
      </c>
    </row>
    <row r="1004" spans="1:5">
      <c r="A1004" s="92"/>
      <c r="B1004" s="92"/>
      <c r="C1004" s="55" t="s">
        <v>1021</v>
      </c>
      <c r="D1004" s="55"/>
    </row>
    <row r="1005" spans="1:5">
      <c r="A1005" s="92"/>
      <c r="B1005" s="92"/>
      <c r="C1005" s="55" t="s">
        <v>1022</v>
      </c>
      <c r="D1005" s="55"/>
    </row>
    <row r="1006" spans="1:5">
      <c r="A1006" s="92"/>
      <c r="B1006" s="92"/>
      <c r="C1006" s="55" t="s">
        <v>1023</v>
      </c>
      <c r="D1006" s="55"/>
      <c r="E1006" t="s">
        <v>164</v>
      </c>
    </row>
    <row r="1007" spans="1:5">
      <c r="A1007" s="92"/>
      <c r="B1007" s="92"/>
      <c r="C1007" s="55" t="s">
        <v>1024</v>
      </c>
      <c r="D1007" s="55"/>
    </row>
    <row r="1008" spans="1:5">
      <c r="A1008" s="92"/>
      <c r="B1008" s="92"/>
      <c r="C1008" s="55" t="s">
        <v>1025</v>
      </c>
      <c r="D1008" s="55"/>
    </row>
    <row r="1009" spans="1:4">
      <c r="A1009" s="92"/>
      <c r="B1009" s="92"/>
      <c r="C1009" s="55" t="s">
        <v>1026</v>
      </c>
      <c r="D1009" s="55"/>
    </row>
    <row r="1010" spans="1:4">
      <c r="A1010" s="92"/>
      <c r="B1010" s="92"/>
      <c r="C1010" s="55" t="s">
        <v>1027</v>
      </c>
      <c r="D1010" s="55"/>
    </row>
    <row r="1011" spans="1:4">
      <c r="A1011" s="92"/>
      <c r="B1011" s="92"/>
      <c r="C1011" s="55" t="s">
        <v>1028</v>
      </c>
      <c r="D1011" s="55"/>
    </row>
    <row r="1012" spans="1:4">
      <c r="A1012" s="92"/>
      <c r="B1012" s="92"/>
      <c r="C1012" s="55" t="s">
        <v>1029</v>
      </c>
      <c r="D1012" s="55"/>
    </row>
    <row r="1013" spans="1:4">
      <c r="A1013" s="92"/>
      <c r="B1013" s="92"/>
      <c r="C1013" s="55" t="s">
        <v>1030</v>
      </c>
      <c r="D1013" s="55"/>
    </row>
    <row r="1014" spans="1:4">
      <c r="A1014" s="92"/>
      <c r="B1014" s="92"/>
      <c r="C1014" s="55" t="s">
        <v>1031</v>
      </c>
      <c r="D1014" s="55"/>
    </row>
    <row r="1015" spans="1:4">
      <c r="A1015" s="92"/>
      <c r="B1015" s="92"/>
      <c r="C1015" s="55" t="s">
        <v>91</v>
      </c>
      <c r="D1015" s="55"/>
    </row>
    <row r="1016" spans="1:4">
      <c r="A1016" s="92"/>
      <c r="B1016" s="92"/>
      <c r="C1016" s="55" t="s">
        <v>1032</v>
      </c>
      <c r="D1016" s="55"/>
    </row>
    <row r="1017" spans="1:4">
      <c r="A1017" s="92"/>
      <c r="B1017" s="92"/>
      <c r="C1017" s="55" t="s">
        <v>1033</v>
      </c>
      <c r="D1017" s="55"/>
    </row>
    <row r="1018" spans="1:4">
      <c r="A1018" s="92"/>
      <c r="B1018" s="92"/>
      <c r="C1018" s="55" t="s">
        <v>1034</v>
      </c>
      <c r="D1018" s="55"/>
    </row>
    <row r="1019" spans="1:4">
      <c r="A1019" s="92"/>
      <c r="B1019" s="92"/>
      <c r="C1019" s="55" t="s">
        <v>1035</v>
      </c>
      <c r="D1019" s="55"/>
    </row>
    <row r="1020" spans="1:4">
      <c r="A1020" s="92"/>
      <c r="B1020" s="92"/>
      <c r="C1020" s="55" t="s">
        <v>1036</v>
      </c>
      <c r="D1020" s="55"/>
    </row>
    <row r="1021" spans="1:4">
      <c r="A1021" s="92"/>
      <c r="B1021" s="92"/>
      <c r="C1021" s="55" t="s">
        <v>1037</v>
      </c>
      <c r="D1021" s="55"/>
    </row>
    <row r="1022" spans="1:4">
      <c r="A1022" s="92"/>
      <c r="B1022" s="92"/>
      <c r="C1022" s="55" t="s">
        <v>1038</v>
      </c>
      <c r="D1022" s="55"/>
    </row>
    <row r="1023" spans="1:4">
      <c r="A1023" s="92"/>
      <c r="B1023" s="92"/>
      <c r="C1023" s="55" t="s">
        <v>1039</v>
      </c>
      <c r="D1023" s="55"/>
    </row>
    <row r="1024" spans="1:4">
      <c r="A1024" s="92"/>
      <c r="B1024" s="92"/>
      <c r="C1024" s="55" t="s">
        <v>1040</v>
      </c>
      <c r="D1024" s="55"/>
    </row>
    <row r="1025" spans="1:5">
      <c r="A1025" s="92"/>
      <c r="B1025" s="92"/>
      <c r="C1025" s="55" t="s">
        <v>1041</v>
      </c>
      <c r="D1025" s="55"/>
    </row>
    <row r="1026" spans="1:5">
      <c r="A1026" s="92"/>
      <c r="B1026" s="92"/>
      <c r="C1026" s="55" t="s">
        <v>1042</v>
      </c>
      <c r="D1026" s="55"/>
    </row>
    <row r="1027" spans="1:5">
      <c r="A1027" s="92"/>
      <c r="B1027" s="92"/>
      <c r="C1027" s="55" t="s">
        <v>1043</v>
      </c>
      <c r="D1027" s="55"/>
    </row>
    <row r="1028" spans="1:5">
      <c r="A1028" s="92"/>
      <c r="B1028" s="92"/>
      <c r="C1028" s="55" t="s">
        <v>1044</v>
      </c>
      <c r="D1028" s="55"/>
    </row>
    <row r="1029" spans="1:5">
      <c r="A1029" s="92"/>
      <c r="B1029" s="92"/>
      <c r="C1029" s="55" t="s">
        <v>1045</v>
      </c>
      <c r="D1029" s="55"/>
    </row>
    <row r="1030" spans="1:5">
      <c r="A1030" s="92"/>
      <c r="B1030" s="92"/>
      <c r="C1030" s="55" t="s">
        <v>1046</v>
      </c>
      <c r="D1030" s="55"/>
    </row>
    <row r="1031" spans="1:5">
      <c r="A1031" s="92"/>
      <c r="B1031" s="92"/>
      <c r="C1031" s="133" t="s">
        <v>1047</v>
      </c>
      <c r="D1031" s="55"/>
      <c r="E1031" t="s">
        <v>164</v>
      </c>
    </row>
    <row r="1032" spans="1:5">
      <c r="A1032" s="92"/>
      <c r="B1032" s="92"/>
      <c r="C1032" s="55" t="s">
        <v>1048</v>
      </c>
      <c r="D1032" s="55"/>
    </row>
    <row r="1033" spans="1:5">
      <c r="A1033" s="92"/>
      <c r="B1033" s="92"/>
      <c r="C1033" s="55" t="s">
        <v>68</v>
      </c>
      <c r="D1033" s="55"/>
    </row>
    <row r="1034" spans="1:5">
      <c r="A1034" s="68" t="s">
        <v>1049</v>
      </c>
      <c r="B1034" s="68" t="s">
        <v>5</v>
      </c>
      <c r="C1034" s="57" t="s">
        <v>1050</v>
      </c>
      <c r="D1034" s="57"/>
      <c r="E1034" t="s">
        <v>995</v>
      </c>
    </row>
    <row r="1035" spans="1:5">
      <c r="A1035" s="69"/>
      <c r="B1035" s="69"/>
      <c r="C1035" s="57" t="s">
        <v>1051</v>
      </c>
      <c r="D1035" s="57"/>
    </row>
    <row r="1036" spans="1:5">
      <c r="A1036" s="69"/>
      <c r="B1036" s="69"/>
      <c r="C1036" s="57" t="s">
        <v>68</v>
      </c>
      <c r="D1036" s="57"/>
    </row>
    <row r="1037" spans="1:5">
      <c r="A1037" s="91" t="s">
        <v>1052</v>
      </c>
      <c r="B1037" s="91" t="s">
        <v>5</v>
      </c>
      <c r="C1037" s="55" t="s">
        <v>1053</v>
      </c>
      <c r="D1037" s="55"/>
    </row>
    <row r="1038" spans="1:5">
      <c r="A1038" s="92"/>
      <c r="B1038" s="92"/>
      <c r="C1038" s="55" t="s">
        <v>1054</v>
      </c>
      <c r="D1038" s="55" t="s">
        <v>1055</v>
      </c>
    </row>
    <row r="1039" spans="1:5">
      <c r="A1039" s="92"/>
      <c r="B1039" s="92"/>
      <c r="C1039" s="55" t="s">
        <v>1056</v>
      </c>
      <c r="D1039" s="55" t="s">
        <v>1057</v>
      </c>
    </row>
    <row r="1040" spans="1:5">
      <c r="A1040" s="92"/>
      <c r="B1040" s="92"/>
      <c r="C1040" s="55" t="s">
        <v>1058</v>
      </c>
      <c r="D1040" s="55" t="s">
        <v>1059</v>
      </c>
    </row>
    <row r="1044" spans="4:4">
      <c r="D1044" s="18"/>
    </row>
    <row r="1045" spans="4:4">
      <c r="D1045" s="18"/>
    </row>
    <row r="1046" spans="4:4">
      <c r="D1046" s="18"/>
    </row>
    <row r="1047" spans="4:4">
      <c r="D1047" s="18"/>
    </row>
    <row r="1073" spans="1:3" s="11" customFormat="1"/>
    <row r="1074" spans="1:3" s="11" customFormat="1">
      <c r="A1074" s="44"/>
    </row>
    <row r="1075" spans="1:3" s="11" customFormat="1">
      <c r="C1075" s="18"/>
    </row>
    <row r="1076" spans="1:3" s="11" customFormat="1">
      <c r="C1076" s="18" t="s">
        <v>259</v>
      </c>
    </row>
    <row r="1077" spans="1:3" s="11" customFormat="1">
      <c r="C1077" s="18" t="s">
        <v>97</v>
      </c>
    </row>
    <row r="1078" spans="1:3" s="11" customFormat="1">
      <c r="C1078" s="18" t="s">
        <v>260</v>
      </c>
    </row>
    <row r="1079" spans="1:3" s="11" customFormat="1">
      <c r="C1079" s="18" t="s">
        <v>262</v>
      </c>
    </row>
    <row r="1080" spans="1:3" s="11" customFormat="1">
      <c r="C1080" s="18"/>
    </row>
    <row r="1081" spans="1:3" s="11" customFormat="1">
      <c r="C1081" s="18" t="s">
        <v>259</v>
      </c>
    </row>
    <row r="1082" spans="1:3" s="11" customFormat="1">
      <c r="C1082" s="18" t="s">
        <v>97</v>
      </c>
    </row>
    <row r="1083" spans="1:3" s="11" customFormat="1">
      <c r="C1083" s="18" t="s">
        <v>260</v>
      </c>
    </row>
    <row r="1084" spans="1:3" s="11" customFormat="1">
      <c r="C1084" s="18" t="s">
        <v>262</v>
      </c>
    </row>
    <row r="1085" spans="1:3" s="11" customFormat="1">
      <c r="C1085" s="18" t="s">
        <v>261</v>
      </c>
    </row>
    <row r="1086" spans="1:3" s="11" customFormat="1">
      <c r="C1086" s="18"/>
    </row>
    <row r="1087" spans="1:3" s="11" customFormat="1">
      <c r="C1087" s="18" t="s">
        <v>259</v>
      </c>
    </row>
    <row r="1088" spans="1:3" s="11" customFormat="1">
      <c r="C1088" s="18" t="s">
        <v>97</v>
      </c>
    </row>
    <row r="1089" spans="3:3" s="11" customFormat="1">
      <c r="C1089" s="18" t="s">
        <v>262</v>
      </c>
    </row>
    <row r="1090" spans="3:3" s="11" customFormat="1">
      <c r="C1090" s="18"/>
    </row>
    <row r="1091" spans="3:3" s="11" customFormat="1">
      <c r="C1091" s="18" t="s">
        <v>844</v>
      </c>
    </row>
    <row r="1092" spans="3:3" s="11" customFormat="1">
      <c r="C1092" s="18" t="s">
        <v>68</v>
      </c>
    </row>
    <row r="1093" spans="3:3" s="11" customFormat="1">
      <c r="C1093" s="18"/>
    </row>
    <row r="1094" spans="3:3" s="11" customFormat="1">
      <c r="C1094" s="18" t="s">
        <v>388</v>
      </c>
    </row>
    <row r="1095" spans="3:3" s="11" customFormat="1">
      <c r="C1095" s="18" t="s">
        <v>690</v>
      </c>
    </row>
    <row r="1096" spans="3:3" s="11" customFormat="1">
      <c r="C1096" s="18" t="s">
        <v>691</v>
      </c>
    </row>
    <row r="1097" spans="3:3" s="11" customFormat="1">
      <c r="C1097" s="18" t="s">
        <v>694</v>
      </c>
    </row>
    <row r="1098" spans="3:3" s="11" customFormat="1">
      <c r="C1098" s="18" t="s">
        <v>695</v>
      </c>
    </row>
    <row r="1099" spans="3:3" s="11" customFormat="1">
      <c r="C1099" s="18" t="s">
        <v>696</v>
      </c>
    </row>
    <row r="1100" spans="3:3" s="11" customFormat="1">
      <c r="C1100" s="18" t="s">
        <v>697</v>
      </c>
    </row>
    <row r="1101" spans="3:3" s="11" customFormat="1">
      <c r="C1101" s="18" t="s">
        <v>698</v>
      </c>
    </row>
    <row r="1102" spans="3:3" s="11" customFormat="1">
      <c r="C1102" s="18" t="s">
        <v>699</v>
      </c>
    </row>
    <row r="1103" spans="3:3" s="11" customFormat="1">
      <c r="C1103" s="18" t="s">
        <v>701</v>
      </c>
    </row>
    <row r="1104" spans="3:3" s="11" customFormat="1">
      <c r="C1104" s="18" t="s">
        <v>434</v>
      </c>
    </row>
    <row r="1105" spans="3:3" s="11" customFormat="1">
      <c r="C1105" s="18" t="s">
        <v>68</v>
      </c>
    </row>
    <row r="1106" spans="3:3" s="11" customFormat="1">
      <c r="C1106" s="18"/>
    </row>
    <row r="1107" spans="3:3" s="11" customFormat="1">
      <c r="C1107" s="18"/>
    </row>
    <row r="1108" spans="3:3">
      <c r="C1108" s="18" t="s">
        <v>842</v>
      </c>
    </row>
    <row r="1109" spans="3:3" s="11" customFormat="1">
      <c r="C1109" s="18" t="s">
        <v>843</v>
      </c>
    </row>
    <row r="1110" spans="3:3" s="11" customFormat="1">
      <c r="C1110" s="18" t="s">
        <v>845</v>
      </c>
    </row>
    <row r="1111" spans="3:3" s="11" customFormat="1">
      <c r="C1111" s="18" t="s">
        <v>68</v>
      </c>
    </row>
    <row r="1112" spans="3:3" s="11" customFormat="1">
      <c r="C1112" s="18"/>
    </row>
    <row r="1113" spans="3:3" s="11" customFormat="1">
      <c r="C1113" s="18" t="s">
        <v>269</v>
      </c>
    </row>
    <row r="1114" spans="3:3" s="11" customFormat="1">
      <c r="C1114" s="18" t="s">
        <v>270</v>
      </c>
    </row>
    <row r="1115" spans="3:3" s="11" customFormat="1">
      <c r="C1115" s="18" t="s">
        <v>33</v>
      </c>
    </row>
    <row r="1116" spans="3:3" s="11" customFormat="1">
      <c r="C1116" s="18" t="s">
        <v>68</v>
      </c>
    </row>
    <row r="1117" spans="3:3" s="11" customFormat="1">
      <c r="C1117" s="18"/>
    </row>
    <row r="1118" spans="3:3" s="11" customFormat="1">
      <c r="C1118" s="18" t="s">
        <v>275</v>
      </c>
    </row>
    <row r="1119" spans="3:3" s="11" customFormat="1">
      <c r="C1119" s="18" t="s">
        <v>1060</v>
      </c>
    </row>
    <row r="1120" spans="3:3" s="11" customFormat="1">
      <c r="C1120" s="18"/>
    </row>
    <row r="1121" spans="3:3">
      <c r="C1121" s="18" t="s">
        <v>275</v>
      </c>
    </row>
    <row r="1122" spans="3:3" s="11" customFormat="1">
      <c r="C1122" s="18" t="s">
        <v>277</v>
      </c>
    </row>
    <row r="1123" spans="3:3" s="11" customFormat="1">
      <c r="C1123" s="18" t="s">
        <v>279</v>
      </c>
    </row>
    <row r="1124" spans="3:3" s="11" customFormat="1">
      <c r="C1124" s="18" t="s">
        <v>281</v>
      </c>
    </row>
    <row r="1125" spans="3:3">
      <c r="C1125" s="18" t="s">
        <v>286</v>
      </c>
    </row>
    <row r="1126" spans="3:3">
      <c r="C1126" s="18" t="s">
        <v>68</v>
      </c>
    </row>
    <row r="1129" spans="3:3">
      <c r="C1129" s="18" t="s">
        <v>384</v>
      </c>
    </row>
    <row r="1130" spans="3:3">
      <c r="C1130" s="18" t="s">
        <v>385</v>
      </c>
    </row>
    <row r="1131" spans="3:3">
      <c r="C1131" s="18" t="s">
        <v>387</v>
      </c>
    </row>
    <row r="1132" spans="3:3">
      <c r="C1132" s="18" t="s">
        <v>388</v>
      </c>
    </row>
    <row r="1133" spans="3:3">
      <c r="C1133" s="18" t="s">
        <v>389</v>
      </c>
    </row>
    <row r="1134" spans="3:3">
      <c r="C1134" s="18" t="s">
        <v>391</v>
      </c>
    </row>
    <row r="1135" spans="3:3">
      <c r="C1135" s="18" t="s">
        <v>392</v>
      </c>
    </row>
    <row r="1136" spans="3:3">
      <c r="C1136" s="18" t="s">
        <v>393</v>
      </c>
    </row>
    <row r="1137" spans="3:3">
      <c r="C1137" s="18" t="s">
        <v>394</v>
      </c>
    </row>
    <row r="1138" spans="3:3">
      <c r="C1138" s="18" t="s">
        <v>395</v>
      </c>
    </row>
    <row r="1139" spans="3:3">
      <c r="C1139" s="18" t="s">
        <v>396</v>
      </c>
    </row>
    <row r="1140" spans="3:3">
      <c r="C1140" s="18" t="s">
        <v>397</v>
      </c>
    </row>
    <row r="1141" spans="3:3">
      <c r="C1141" s="18" t="s">
        <v>398</v>
      </c>
    </row>
    <row r="1142" spans="3:3">
      <c r="C1142" s="18" t="s">
        <v>399</v>
      </c>
    </row>
    <row r="1143" spans="3:3">
      <c r="C1143" s="18" t="s">
        <v>400</v>
      </c>
    </row>
    <row r="1144" spans="3:3">
      <c r="C1144" s="18" t="s">
        <v>402</v>
      </c>
    </row>
    <row r="1145" spans="3:3">
      <c r="C1145" s="18" t="s">
        <v>403</v>
      </c>
    </row>
    <row r="1146" spans="3:3">
      <c r="C1146" s="18" t="s">
        <v>404</v>
      </c>
    </row>
    <row r="1147" spans="3:3">
      <c r="C1147" s="18" t="s">
        <v>406</v>
      </c>
    </row>
    <row r="1148" spans="3:3">
      <c r="C1148" s="18" t="s">
        <v>407</v>
      </c>
    </row>
    <row r="1149" spans="3:3">
      <c r="C1149" s="18" t="s">
        <v>408</v>
      </c>
    </row>
    <row r="1150" spans="3:3">
      <c r="C1150" s="18" t="s">
        <v>409</v>
      </c>
    </row>
    <row r="1151" spans="3:3">
      <c r="C1151" s="18" t="s">
        <v>410</v>
      </c>
    </row>
    <row r="1152" spans="3:3">
      <c r="C1152" s="18" t="s">
        <v>411</v>
      </c>
    </row>
    <row r="1153" spans="3:3">
      <c r="C1153" s="18" t="s">
        <v>412</v>
      </c>
    </row>
    <row r="1154" spans="3:3">
      <c r="C1154" s="18" t="s">
        <v>413</v>
      </c>
    </row>
    <row r="1155" spans="3:3">
      <c r="C1155" s="18" t="s">
        <v>414</v>
      </c>
    </row>
    <row r="1156" spans="3:3">
      <c r="C1156" s="18" t="s">
        <v>415</v>
      </c>
    </row>
    <row r="1157" spans="3:3">
      <c r="C1157" s="18" t="s">
        <v>416</v>
      </c>
    </row>
    <row r="1158" spans="3:3">
      <c r="C1158" s="18" t="s">
        <v>417</v>
      </c>
    </row>
    <row r="1159" spans="3:3">
      <c r="C1159" s="18" t="s">
        <v>418</v>
      </c>
    </row>
    <row r="1160" spans="3:3">
      <c r="C1160" s="18" t="s">
        <v>419</v>
      </c>
    </row>
    <row r="1161" spans="3:3">
      <c r="C1161" s="18" t="s">
        <v>420</v>
      </c>
    </row>
    <row r="1162" spans="3:3">
      <c r="C1162" s="18" t="s">
        <v>421</v>
      </c>
    </row>
    <row r="1163" spans="3:3" ht="14.45" customHeight="1">
      <c r="C1163" s="18" t="s">
        <v>422</v>
      </c>
    </row>
    <row r="1164" spans="3:3">
      <c r="C1164" s="18" t="s">
        <v>424</v>
      </c>
    </row>
    <row r="1165" spans="3:3">
      <c r="C1165" s="18" t="s">
        <v>425</v>
      </c>
    </row>
    <row r="1166" spans="3:3">
      <c r="C1166" s="18" t="s">
        <v>426</v>
      </c>
    </row>
    <row r="1167" spans="3:3">
      <c r="C1167" s="18" t="s">
        <v>427</v>
      </c>
    </row>
    <row r="1168" spans="3:3">
      <c r="C1168" s="18" t="s">
        <v>429</v>
      </c>
    </row>
    <row r="1169" spans="3:3">
      <c r="C1169" s="18" t="s">
        <v>433</v>
      </c>
    </row>
    <row r="1170" spans="3:3">
      <c r="C1170" s="18" t="s">
        <v>68</v>
      </c>
    </row>
    <row r="1171" spans="3:3">
      <c r="C1171" s="18" t="s">
        <v>435</v>
      </c>
    </row>
    <row r="1172" spans="3:3">
      <c r="C1172" s="18" t="s">
        <v>436</v>
      </c>
    </row>
    <row r="1173" spans="3:3">
      <c r="C1173" s="18" t="s">
        <v>437</v>
      </c>
    </row>
    <row r="1174" spans="3:3">
      <c r="C1174" s="18" t="s">
        <v>438</v>
      </c>
    </row>
    <row r="1175" spans="3:3">
      <c r="C1175" s="18" t="s">
        <v>439</v>
      </c>
    </row>
    <row r="1176" spans="3:3">
      <c r="C1176" s="18" t="s">
        <v>440</v>
      </c>
    </row>
    <row r="1177" spans="3:3">
      <c r="C1177" s="18" t="s">
        <v>441</v>
      </c>
    </row>
    <row r="1178" spans="3:3">
      <c r="C1178" s="18" t="s">
        <v>442</v>
      </c>
    </row>
    <row r="1179" spans="3:3">
      <c r="C1179" s="18" t="s">
        <v>443</v>
      </c>
    </row>
    <row r="1180" spans="3:3">
      <c r="C1180" s="18" t="s">
        <v>444</v>
      </c>
    </row>
    <row r="1181" spans="3:3">
      <c r="C1181" s="18" t="s">
        <v>445</v>
      </c>
    </row>
    <row r="1182" spans="3:3">
      <c r="C1182" s="18" t="s">
        <v>446</v>
      </c>
    </row>
    <row r="1183" spans="3:3">
      <c r="C1183" s="18" t="s">
        <v>447</v>
      </c>
    </row>
    <row r="1184" spans="3:3">
      <c r="C1184" s="18" t="s">
        <v>448</v>
      </c>
    </row>
    <row r="1185" spans="3:3">
      <c r="C1185" s="18" t="s">
        <v>449</v>
      </c>
    </row>
    <row r="1186" spans="3:3">
      <c r="C1186" s="18" t="s">
        <v>450</v>
      </c>
    </row>
    <row r="1187" spans="3:3">
      <c r="C1187" s="18" t="s">
        <v>451</v>
      </c>
    </row>
    <row r="1188" spans="3:3">
      <c r="C1188" s="18" t="s">
        <v>452</v>
      </c>
    </row>
    <row r="1189" spans="3:3">
      <c r="C1189" s="18" t="s">
        <v>454</v>
      </c>
    </row>
    <row r="1190" spans="3:3">
      <c r="C1190" s="18" t="s">
        <v>456</v>
      </c>
    </row>
    <row r="1191" spans="3:3">
      <c r="C1191" s="18" t="s">
        <v>458</v>
      </c>
    </row>
    <row r="1192" spans="3:3">
      <c r="C1192" s="132" t="s">
        <v>459</v>
      </c>
    </row>
    <row r="1193" spans="3:3">
      <c r="C1193" s="18" t="s">
        <v>461</v>
      </c>
    </row>
    <row r="1194" spans="3:3">
      <c r="C1194" s="18" t="s">
        <v>462</v>
      </c>
    </row>
    <row r="1195" spans="3:3">
      <c r="C1195" s="18" t="s">
        <v>463</v>
      </c>
    </row>
    <row r="1196" spans="3:3">
      <c r="C1196" s="18" t="s">
        <v>464</v>
      </c>
    </row>
    <row r="1197" spans="3:3">
      <c r="C1197" s="18" t="s">
        <v>465</v>
      </c>
    </row>
    <row r="1198" spans="3:3">
      <c r="C1198" s="18" t="s">
        <v>466</v>
      </c>
    </row>
    <row r="1199" spans="3:3">
      <c r="C1199" s="18" t="s">
        <v>467</v>
      </c>
    </row>
    <row r="1200" spans="3:3">
      <c r="C1200" s="18" t="s">
        <v>468</v>
      </c>
    </row>
    <row r="1201" spans="3:3">
      <c r="C1201" s="18" t="s">
        <v>470</v>
      </c>
    </row>
    <row r="1202" spans="3:3">
      <c r="C1202" s="18" t="s">
        <v>471</v>
      </c>
    </row>
    <row r="1203" spans="3:3">
      <c r="C1203" s="18" t="s">
        <v>473</v>
      </c>
    </row>
    <row r="1204" spans="3:3">
      <c r="C1204" s="18" t="s">
        <v>474</v>
      </c>
    </row>
    <row r="1205" spans="3:3">
      <c r="C1205" s="18" t="s">
        <v>475</v>
      </c>
    </row>
    <row r="1206" spans="3:3">
      <c r="C1206" s="18" t="s">
        <v>476</v>
      </c>
    </row>
    <row r="1207" spans="3:3">
      <c r="C1207" s="18" t="s">
        <v>477</v>
      </c>
    </row>
    <row r="1208" spans="3:3">
      <c r="C1208" s="18" t="s">
        <v>479</v>
      </c>
    </row>
    <row r="1209" spans="3:3">
      <c r="C1209" s="18" t="s">
        <v>480</v>
      </c>
    </row>
    <row r="1210" spans="3:3">
      <c r="C1210" s="18" t="s">
        <v>481</v>
      </c>
    </row>
    <row r="1211" spans="3:3">
      <c r="C1211" s="18" t="s">
        <v>482</v>
      </c>
    </row>
    <row r="1212" spans="3:3">
      <c r="C1212" s="18" t="s">
        <v>483</v>
      </c>
    </row>
    <row r="1213" spans="3:3">
      <c r="C1213" s="18" t="s">
        <v>484</v>
      </c>
    </row>
    <row r="1214" spans="3:3">
      <c r="C1214" s="18" t="s">
        <v>485</v>
      </c>
    </row>
    <row r="1215" spans="3:3">
      <c r="C1215" s="18" t="s">
        <v>486</v>
      </c>
    </row>
    <row r="1216" spans="3:3">
      <c r="C1216" s="18" t="s">
        <v>488</v>
      </c>
    </row>
    <row r="1217" spans="3:3">
      <c r="C1217" s="18" t="s">
        <v>489</v>
      </c>
    </row>
    <row r="1218" spans="3:3">
      <c r="C1218" s="18" t="s">
        <v>490</v>
      </c>
    </row>
    <row r="1219" spans="3:3">
      <c r="C1219" s="18" t="s">
        <v>491</v>
      </c>
    </row>
    <row r="1220" spans="3:3">
      <c r="C1220" s="18" t="s">
        <v>492</v>
      </c>
    </row>
    <row r="1221" spans="3:3">
      <c r="C1221" s="18" t="s">
        <v>493</v>
      </c>
    </row>
    <row r="1222" spans="3:3">
      <c r="C1222" s="18" t="s">
        <v>494</v>
      </c>
    </row>
    <row r="1223" spans="3:3">
      <c r="C1223" s="18" t="s">
        <v>495</v>
      </c>
    </row>
    <row r="1224" spans="3:3">
      <c r="C1224" s="18" t="s">
        <v>496</v>
      </c>
    </row>
    <row r="1225" spans="3:3">
      <c r="C1225" s="18" t="s">
        <v>497</v>
      </c>
    </row>
    <row r="1226" spans="3:3">
      <c r="C1226" s="18" t="s">
        <v>498</v>
      </c>
    </row>
    <row r="1227" spans="3:3">
      <c r="C1227" s="18" t="s">
        <v>499</v>
      </c>
    </row>
    <row r="1228" spans="3:3">
      <c r="C1228" s="18" t="s">
        <v>500</v>
      </c>
    </row>
    <row r="1229" spans="3:3">
      <c r="C1229" s="18" t="s">
        <v>501</v>
      </c>
    </row>
    <row r="1230" spans="3:3">
      <c r="C1230" s="18" t="s">
        <v>502</v>
      </c>
    </row>
    <row r="1231" spans="3:3">
      <c r="C1231" s="18" t="s">
        <v>503</v>
      </c>
    </row>
    <row r="1232" spans="3:3">
      <c r="C1232" s="18" t="s">
        <v>504</v>
      </c>
    </row>
    <row r="1233" spans="3:3">
      <c r="C1233" s="18" t="s">
        <v>505</v>
      </c>
    </row>
    <row r="1234" spans="3:3">
      <c r="C1234" s="18" t="s">
        <v>506</v>
      </c>
    </row>
    <row r="1235" spans="3:3">
      <c r="C1235" s="18" t="s">
        <v>507</v>
      </c>
    </row>
    <row r="1236" spans="3:3">
      <c r="C1236" s="18" t="s">
        <v>508</v>
      </c>
    </row>
    <row r="1237" spans="3:3">
      <c r="C1237" s="18" t="s">
        <v>510</v>
      </c>
    </row>
    <row r="1238" spans="3:3">
      <c r="C1238" s="18" t="s">
        <v>511</v>
      </c>
    </row>
    <row r="1239" spans="3:3">
      <c r="C1239" s="18" t="s">
        <v>512</v>
      </c>
    </row>
    <row r="1240" spans="3:3">
      <c r="C1240" s="18" t="s">
        <v>513</v>
      </c>
    </row>
    <row r="1241" spans="3:3">
      <c r="C1241" s="18" t="s">
        <v>514</v>
      </c>
    </row>
    <row r="1242" spans="3:3">
      <c r="C1242" s="18" t="s">
        <v>515</v>
      </c>
    </row>
    <row r="1243" spans="3:3">
      <c r="C1243" s="18" t="s">
        <v>516</v>
      </c>
    </row>
    <row r="1244" spans="3:3">
      <c r="C1244" s="18" t="s">
        <v>517</v>
      </c>
    </row>
    <row r="1245" spans="3:3">
      <c r="C1245" s="18" t="s">
        <v>518</v>
      </c>
    </row>
    <row r="1248" spans="3:3">
      <c r="C1248" s="18" t="s">
        <v>276</v>
      </c>
    </row>
    <row r="1249" spans="3:3">
      <c r="C1249" s="18" t="s">
        <v>277</v>
      </c>
    </row>
    <row r="1250" spans="3:3">
      <c r="C1250" s="18" t="s">
        <v>279</v>
      </c>
    </row>
    <row r="1251" spans="3:3">
      <c r="C1251" s="18" t="s">
        <v>282</v>
      </c>
    </row>
    <row r="1252" spans="3:3">
      <c r="C1252" s="18" t="s">
        <v>284</v>
      </c>
    </row>
    <row r="1253" spans="3:3">
      <c r="C1253" s="18" t="s">
        <v>68</v>
      </c>
    </row>
    <row r="1255" spans="3:3">
      <c r="C1255" s="18" t="s">
        <v>276</v>
      </c>
    </row>
    <row r="1256" spans="3:3">
      <c r="C1256" s="18" t="s">
        <v>281</v>
      </c>
    </row>
    <row r="1257" spans="3:3">
      <c r="C1257" s="18" t="s">
        <v>286</v>
      </c>
    </row>
    <row r="1258" spans="3:3">
      <c r="C1258" s="18" t="s">
        <v>277</v>
      </c>
    </row>
    <row r="1259" spans="3:3">
      <c r="C1259" s="18" t="s">
        <v>68</v>
      </c>
    </row>
    <row r="1261" spans="3:3">
      <c r="C1261" s="18" t="s">
        <v>275</v>
      </c>
    </row>
    <row r="1262" spans="3:3">
      <c r="C1262" s="18" t="s">
        <v>277</v>
      </c>
    </row>
    <row r="1263" spans="3:3">
      <c r="C1263" s="18" t="s">
        <v>284</v>
      </c>
    </row>
    <row r="1264" spans="3:3">
      <c r="C1264" s="18" t="s">
        <v>282</v>
      </c>
    </row>
    <row r="1265" spans="3:3">
      <c r="C1265" s="18" t="s">
        <v>68</v>
      </c>
    </row>
    <row r="1267" spans="3:3">
      <c r="C1267" s="18" t="s">
        <v>276</v>
      </c>
    </row>
    <row r="1268" spans="3:3">
      <c r="C1268" s="18" t="s">
        <v>277</v>
      </c>
    </row>
    <row r="1269" spans="3:3">
      <c r="C1269" s="18" t="s">
        <v>68</v>
      </c>
    </row>
    <row r="1272" spans="3:3">
      <c r="C1272" s="18" t="s">
        <v>275</v>
      </c>
    </row>
    <row r="1273" spans="3:3">
      <c r="C1273" s="18" t="s">
        <v>277</v>
      </c>
    </row>
    <row r="1274" spans="3:3">
      <c r="C1274" s="18" t="s">
        <v>279</v>
      </c>
    </row>
    <row r="1275" spans="3:3">
      <c r="C1275" s="18" t="s">
        <v>281</v>
      </c>
    </row>
    <row r="1276" spans="3:3">
      <c r="C1276" s="18" t="s">
        <v>282</v>
      </c>
    </row>
    <row r="1277" spans="3:3">
      <c r="C1277" s="18" t="s">
        <v>283</v>
      </c>
    </row>
    <row r="1278" spans="3:3">
      <c r="C1278" s="18" t="s">
        <v>284</v>
      </c>
    </row>
    <row r="1279" spans="3:3">
      <c r="C1279" s="18" t="s">
        <v>285</v>
      </c>
    </row>
    <row r="1280" spans="3:3">
      <c r="C1280" s="18" t="s">
        <v>286</v>
      </c>
    </row>
    <row r="1281" spans="3:3">
      <c r="C1281" s="18" t="s">
        <v>68</v>
      </c>
    </row>
    <row r="1283" spans="3:3">
      <c r="C1283" s="18" t="s">
        <v>31</v>
      </c>
    </row>
    <row r="1284" spans="3:3">
      <c r="C1284" s="18" t="s">
        <v>290</v>
      </c>
    </row>
    <row r="1285" spans="3:3">
      <c r="C1285" s="18" t="s">
        <v>292</v>
      </c>
    </row>
    <row r="1286" spans="3:3">
      <c r="C1286" s="18" t="s">
        <v>294</v>
      </c>
    </row>
    <row r="1287" spans="3:3">
      <c r="C1287" s="18" t="s">
        <v>296</v>
      </c>
    </row>
    <row r="1288" spans="3:3">
      <c r="C1288" s="18" t="s">
        <v>298</v>
      </c>
    </row>
    <row r="1289" spans="3:3">
      <c r="C1289" s="18" t="s">
        <v>300</v>
      </c>
    </row>
    <row r="1290" spans="3:3">
      <c r="C1290" s="18" t="s">
        <v>302</v>
      </c>
    </row>
    <row r="1291" spans="3:3">
      <c r="C1291" s="18" t="s">
        <v>304</v>
      </c>
    </row>
    <row r="1292" spans="3:3">
      <c r="C1292" s="18" t="s">
        <v>306</v>
      </c>
    </row>
    <row r="1293" spans="3:3">
      <c r="C1293" s="18" t="s">
        <v>308</v>
      </c>
    </row>
    <row r="1294" spans="3:3">
      <c r="C1294" s="18" t="s">
        <v>310</v>
      </c>
    </row>
    <row r="1295" spans="3:3">
      <c r="C1295" s="18" t="s">
        <v>312</v>
      </c>
    </row>
    <row r="1296" spans="3:3">
      <c r="C1296" s="18" t="s">
        <v>314</v>
      </c>
    </row>
    <row r="1297" spans="3:3">
      <c r="C1297" s="18" t="s">
        <v>316</v>
      </c>
    </row>
    <row r="1298" spans="3:3">
      <c r="C1298" s="18" t="s">
        <v>318</v>
      </c>
    </row>
    <row r="1299" spans="3:3">
      <c r="C1299" s="18" t="s">
        <v>320</v>
      </c>
    </row>
    <row r="1300" spans="3:3">
      <c r="C1300" s="18" t="s">
        <v>322</v>
      </c>
    </row>
    <row r="1301" spans="3:3">
      <c r="C1301" s="18" t="s">
        <v>324</v>
      </c>
    </row>
    <row r="1302" spans="3:3">
      <c r="C1302" s="18" t="s">
        <v>326</v>
      </c>
    </row>
    <row r="1303" spans="3:3">
      <c r="C1303" s="18" t="s">
        <v>328</v>
      </c>
    </row>
    <row r="1304" spans="3:3">
      <c r="C1304" s="18" t="s">
        <v>330</v>
      </c>
    </row>
    <row r="1305" spans="3:3">
      <c r="C1305" s="18" t="s">
        <v>332</v>
      </c>
    </row>
    <row r="1306" spans="3:3">
      <c r="C1306" s="18" t="s">
        <v>334</v>
      </c>
    </row>
    <row r="1307" spans="3:3">
      <c r="C1307" s="18" t="s">
        <v>336</v>
      </c>
    </row>
    <row r="1308" spans="3:3">
      <c r="C1308" s="18" t="s">
        <v>338</v>
      </c>
    </row>
    <row r="1309" spans="3:3">
      <c r="C1309" s="18" t="s">
        <v>340</v>
      </c>
    </row>
    <row r="1310" spans="3:3">
      <c r="C1310" s="18" t="s">
        <v>342</v>
      </c>
    </row>
    <row r="1311" spans="3:3">
      <c r="C1311" s="18" t="s">
        <v>344</v>
      </c>
    </row>
    <row r="1312" spans="3:3">
      <c r="C1312" s="18" t="s">
        <v>346</v>
      </c>
    </row>
    <row r="1313" spans="3:3">
      <c r="C1313" s="18" t="s">
        <v>348</v>
      </c>
    </row>
    <row r="1314" spans="3:3">
      <c r="C1314" s="18" t="s">
        <v>350</v>
      </c>
    </row>
    <row r="1315" spans="3:3">
      <c r="C1315" s="18" t="s">
        <v>68</v>
      </c>
    </row>
  </sheetData>
  <autoFilter ref="A1:D1040" xr:uid="{00000000-0009-0000-0000-00001F000000}"/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/>
  <cols>
    <col min="1" max="1" width="25.625" style="61" customWidth="1"/>
    <col min="2" max="2" width="48.75" style="61" customWidth="1"/>
    <col min="3" max="3" width="12" customWidth="1"/>
    <col min="4" max="4" width="23.5" style="1" customWidth="1"/>
    <col min="5" max="5" width="14.25" customWidth="1"/>
  </cols>
  <sheetData>
    <row r="1" spans="1:5" ht="15.75">
      <c r="A1" s="110" t="s">
        <v>1061</v>
      </c>
      <c r="B1" s="111" t="s">
        <v>1062</v>
      </c>
      <c r="C1" s="111" t="s">
        <v>1063</v>
      </c>
      <c r="D1" s="112" t="s">
        <v>1064</v>
      </c>
      <c r="E1" s="126"/>
    </row>
    <row r="2" spans="1:5" ht="15.75" outlineLevel="1">
      <c r="A2" s="40" t="s">
        <v>901</v>
      </c>
      <c r="B2" s="41" t="s">
        <v>0</v>
      </c>
      <c r="C2" s="40">
        <v>5.0999999999999996</v>
      </c>
      <c r="D2" s="114"/>
    </row>
    <row r="3" spans="1:5" ht="15.75" outlineLevel="1">
      <c r="A3" s="40" t="s">
        <v>901</v>
      </c>
      <c r="B3" s="41" t="s">
        <v>1</v>
      </c>
      <c r="C3" s="40">
        <v>5.2</v>
      </c>
      <c r="D3" s="114"/>
    </row>
    <row r="4" spans="1:5" ht="15.75" outlineLevel="1">
      <c r="A4" s="40" t="s">
        <v>901</v>
      </c>
      <c r="B4" s="41" t="s">
        <v>117</v>
      </c>
      <c r="C4" s="40">
        <v>5.4</v>
      </c>
      <c r="D4" s="114"/>
    </row>
    <row r="5" spans="1:5" ht="15.75" outlineLevel="1">
      <c r="A5" s="40" t="s">
        <v>901</v>
      </c>
      <c r="B5" s="41" t="s">
        <v>118</v>
      </c>
      <c r="C5" s="40">
        <v>5.7</v>
      </c>
      <c r="D5" s="114"/>
    </row>
    <row r="6" spans="1:5" ht="15.75" outlineLevel="1">
      <c r="A6" s="40" t="s">
        <v>901</v>
      </c>
      <c r="B6" s="41" t="s">
        <v>119</v>
      </c>
      <c r="C6" s="40">
        <v>5.1100000000000003</v>
      </c>
      <c r="D6" s="114"/>
    </row>
    <row r="7" spans="1:5" ht="15.75" outlineLevel="1">
      <c r="A7" s="40" t="s">
        <v>901</v>
      </c>
      <c r="B7" s="41" t="s">
        <v>5</v>
      </c>
      <c r="C7" s="40">
        <v>5.26</v>
      </c>
      <c r="D7" s="114"/>
    </row>
    <row r="8" spans="1:5" ht="15.75" outlineLevel="1">
      <c r="A8" s="40" t="s">
        <v>901</v>
      </c>
      <c r="B8" s="41" t="s">
        <v>6</v>
      </c>
      <c r="C8" s="40">
        <v>5.27</v>
      </c>
      <c r="D8" s="114"/>
    </row>
    <row r="9" spans="1:5" ht="15.75" outlineLevel="1">
      <c r="A9" s="40" t="s">
        <v>901</v>
      </c>
      <c r="B9" s="41" t="s">
        <v>78</v>
      </c>
      <c r="C9" s="40">
        <v>5.36</v>
      </c>
      <c r="D9" s="114"/>
    </row>
    <row r="10" spans="1:5" ht="15.75" outlineLevel="1">
      <c r="A10" s="40" t="s">
        <v>901</v>
      </c>
      <c r="B10" s="41" t="s">
        <v>121</v>
      </c>
      <c r="C10" s="42">
        <v>5.5</v>
      </c>
      <c r="D10" s="114"/>
    </row>
    <row r="11" spans="1:5" ht="15.75" outlineLevel="1">
      <c r="A11" s="40" t="s">
        <v>901</v>
      </c>
      <c r="B11" s="41" t="s">
        <v>10</v>
      </c>
      <c r="C11" s="40">
        <v>5.51</v>
      </c>
      <c r="D11" s="114"/>
    </row>
    <row r="12" spans="1:5" ht="15.75" outlineLevel="1">
      <c r="A12" s="40" t="s">
        <v>901</v>
      </c>
      <c r="B12" s="41" t="s">
        <v>11</v>
      </c>
      <c r="C12" s="40">
        <v>5.53</v>
      </c>
      <c r="D12" s="114"/>
    </row>
    <row r="13" spans="1:5" ht="15.75" outlineLevel="1">
      <c r="A13" s="40" t="s">
        <v>901</v>
      </c>
      <c r="B13" s="41" t="s">
        <v>88</v>
      </c>
      <c r="C13" s="40">
        <v>5.59</v>
      </c>
      <c r="D13" s="114"/>
    </row>
    <row r="14" spans="1:5" ht="15.75" outlineLevel="1">
      <c r="A14" s="40" t="s">
        <v>901</v>
      </c>
      <c r="B14" s="41" t="s">
        <v>18</v>
      </c>
      <c r="C14" s="40">
        <v>5.54</v>
      </c>
      <c r="D14" s="114"/>
    </row>
    <row r="15" spans="1:5" ht="15.75" outlineLevel="1">
      <c r="A15" s="40" t="s">
        <v>901</v>
      </c>
      <c r="B15" s="41" t="s">
        <v>14</v>
      </c>
      <c r="C15" s="42">
        <v>5.7</v>
      </c>
      <c r="D15" s="113" t="s">
        <v>1065</v>
      </c>
    </row>
    <row r="16" spans="1:5" ht="15.75" outlineLevel="1">
      <c r="A16" s="40" t="s">
        <v>901</v>
      </c>
      <c r="B16" s="41" t="s">
        <v>20</v>
      </c>
      <c r="C16" s="40">
        <v>5.63</v>
      </c>
      <c r="D16" s="114"/>
    </row>
    <row r="17" spans="1:4" ht="15.75" outlineLevel="1">
      <c r="A17" s="40" t="s">
        <v>901</v>
      </c>
      <c r="B17" s="41" t="s">
        <v>24</v>
      </c>
      <c r="C17" s="40">
        <v>5.47</v>
      </c>
      <c r="D17" s="114"/>
    </row>
    <row r="18" spans="1:4" ht="15.75" outlineLevel="1">
      <c r="A18" s="40" t="s">
        <v>901</v>
      </c>
      <c r="B18" s="41" t="s">
        <v>25</v>
      </c>
      <c r="C18" s="40">
        <v>5.48</v>
      </c>
      <c r="D18" s="114"/>
    </row>
    <row r="19" spans="1:4" ht="15.75">
      <c r="A19" s="46" t="s">
        <v>901</v>
      </c>
      <c r="B19" s="41"/>
      <c r="C19" s="40"/>
      <c r="D19" s="114"/>
    </row>
    <row r="20" spans="1:4" ht="15.75" outlineLevel="1">
      <c r="A20" s="40" t="s">
        <v>911</v>
      </c>
      <c r="B20" s="41" t="s">
        <v>0</v>
      </c>
      <c r="C20" s="40">
        <v>5.0999999999999996</v>
      </c>
      <c r="D20" s="114"/>
    </row>
    <row r="21" spans="1:4" ht="15.75" outlineLevel="1">
      <c r="A21" s="40" t="s">
        <v>911</v>
      </c>
      <c r="B21" s="41" t="s">
        <v>1</v>
      </c>
      <c r="C21" s="40">
        <v>5.2</v>
      </c>
      <c r="D21" s="114"/>
    </row>
    <row r="22" spans="1:4" ht="15.75" outlineLevel="1">
      <c r="A22" s="40" t="s">
        <v>911</v>
      </c>
      <c r="B22" s="41" t="s">
        <v>2</v>
      </c>
      <c r="C22" s="40">
        <v>5.3</v>
      </c>
      <c r="D22" s="114"/>
    </row>
    <row r="23" spans="1:4" ht="15.75" outlineLevel="1">
      <c r="A23" s="40" t="s">
        <v>911</v>
      </c>
      <c r="B23" s="41" t="s">
        <v>1066</v>
      </c>
      <c r="C23" s="40">
        <v>5.14</v>
      </c>
      <c r="D23" s="114"/>
    </row>
    <row r="24" spans="1:4" ht="15.75" outlineLevel="1">
      <c r="A24" s="40" t="s">
        <v>911</v>
      </c>
      <c r="B24" s="41" t="s">
        <v>4</v>
      </c>
      <c r="C24" s="40">
        <v>5.19</v>
      </c>
      <c r="D24" s="114"/>
    </row>
    <row r="25" spans="1:4" ht="15.75" outlineLevel="1">
      <c r="A25" s="40" t="s">
        <v>911</v>
      </c>
      <c r="B25" s="41" t="s">
        <v>5</v>
      </c>
      <c r="C25" s="40">
        <v>5.26</v>
      </c>
      <c r="D25" s="114"/>
    </row>
    <row r="26" spans="1:4" ht="15.75" outlineLevel="1">
      <c r="A26" s="40" t="s">
        <v>911</v>
      </c>
      <c r="B26" s="41" t="s">
        <v>6</v>
      </c>
      <c r="C26" s="40">
        <v>5.27</v>
      </c>
      <c r="D26" s="114"/>
    </row>
    <row r="27" spans="1:4" ht="15.75" outlineLevel="1">
      <c r="A27" s="40" t="s">
        <v>911</v>
      </c>
      <c r="B27" s="41" t="s">
        <v>7</v>
      </c>
      <c r="C27" s="40">
        <v>5.28</v>
      </c>
      <c r="D27" s="114"/>
    </row>
    <row r="28" spans="1:4" ht="15.75" outlineLevel="1">
      <c r="A28" s="40" t="s">
        <v>911</v>
      </c>
      <c r="B28" s="41" t="s">
        <v>8</v>
      </c>
      <c r="C28" s="42">
        <v>5.3</v>
      </c>
      <c r="D28" s="114"/>
    </row>
    <row r="29" spans="1:4" ht="15.75" outlineLevel="1">
      <c r="A29" s="40" t="s">
        <v>911</v>
      </c>
      <c r="B29" s="41" t="s">
        <v>9</v>
      </c>
      <c r="C29" s="40">
        <v>5.49</v>
      </c>
      <c r="D29" s="114"/>
    </row>
    <row r="30" spans="1:4" ht="15.75" outlineLevel="1">
      <c r="A30" s="40" t="s">
        <v>911</v>
      </c>
      <c r="B30" s="41" t="s">
        <v>10</v>
      </c>
      <c r="C30" s="40">
        <v>5.51</v>
      </c>
      <c r="D30" s="114"/>
    </row>
    <row r="31" spans="1:4" ht="15.75" outlineLevel="1">
      <c r="A31" s="40" t="s">
        <v>911</v>
      </c>
      <c r="B31" s="41" t="s">
        <v>11</v>
      </c>
      <c r="C31" s="40">
        <v>5.53</v>
      </c>
      <c r="D31" s="114"/>
    </row>
    <row r="32" spans="1:4" ht="15.75" outlineLevel="1">
      <c r="A32" s="40" t="s">
        <v>911</v>
      </c>
      <c r="B32" s="41" t="s">
        <v>12</v>
      </c>
      <c r="C32" s="40">
        <v>5.69</v>
      </c>
      <c r="D32" s="114"/>
    </row>
    <row r="33" spans="1:4" ht="15.75" outlineLevel="1">
      <c r="A33" s="40" t="s">
        <v>911</v>
      </c>
      <c r="B33" s="41" t="s">
        <v>13</v>
      </c>
      <c r="C33" s="40">
        <v>5.75</v>
      </c>
      <c r="D33" s="114"/>
    </row>
    <row r="34" spans="1:4" ht="15.75" outlineLevel="1">
      <c r="A34" s="40" t="s">
        <v>911</v>
      </c>
      <c r="B34" s="41" t="s">
        <v>14</v>
      </c>
      <c r="C34" s="42">
        <v>5.7</v>
      </c>
      <c r="D34" s="114"/>
    </row>
    <row r="35" spans="1:4" ht="15.75" outlineLevel="1">
      <c r="A35" s="40" t="s">
        <v>911</v>
      </c>
      <c r="B35" s="41" t="s">
        <v>15</v>
      </c>
      <c r="C35" s="40">
        <v>5.74</v>
      </c>
      <c r="D35" s="114"/>
    </row>
    <row r="36" spans="1:4" ht="15.75" outlineLevel="1">
      <c r="A36" s="40" t="s">
        <v>911</v>
      </c>
      <c r="B36" s="41" t="s">
        <v>16</v>
      </c>
      <c r="C36" s="40">
        <v>5.62</v>
      </c>
      <c r="D36" s="114"/>
    </row>
    <row r="37" spans="1:4" ht="15.75" outlineLevel="1">
      <c r="A37" s="40" t="s">
        <v>911</v>
      </c>
      <c r="B37" s="41" t="s">
        <v>17</v>
      </c>
      <c r="C37" s="40">
        <v>5.58</v>
      </c>
      <c r="D37" s="114"/>
    </row>
    <row r="38" spans="1:4" ht="15.75" outlineLevel="1">
      <c r="A38" s="40" t="s">
        <v>911</v>
      </c>
      <c r="B38" s="41" t="s">
        <v>18</v>
      </c>
      <c r="C38" s="40">
        <v>5.54</v>
      </c>
      <c r="D38" s="114"/>
    </row>
    <row r="39" spans="1:4" ht="15.75" outlineLevel="1">
      <c r="A39" s="40" t="s">
        <v>911</v>
      </c>
      <c r="B39" s="41" t="s">
        <v>19</v>
      </c>
      <c r="C39" s="40">
        <v>5.55</v>
      </c>
      <c r="D39" s="114"/>
    </row>
    <row r="40" spans="1:4" ht="15.75" outlineLevel="1">
      <c r="A40" s="40" t="s">
        <v>911</v>
      </c>
      <c r="B40" s="41" t="s">
        <v>20</v>
      </c>
      <c r="C40" s="40">
        <v>5.63</v>
      </c>
      <c r="D40" s="114"/>
    </row>
    <row r="41" spans="1:4" ht="15.75" outlineLevel="1">
      <c r="A41" s="40" t="s">
        <v>911</v>
      </c>
      <c r="B41" s="41" t="s">
        <v>21</v>
      </c>
      <c r="C41" s="40">
        <v>5.65</v>
      </c>
      <c r="D41" s="114"/>
    </row>
    <row r="42" spans="1:4" ht="15.75" outlineLevel="1">
      <c r="A42" s="40" t="s">
        <v>911</v>
      </c>
      <c r="B42" s="41" t="s">
        <v>22</v>
      </c>
      <c r="C42" s="40">
        <v>5.68</v>
      </c>
      <c r="D42" s="114"/>
    </row>
    <row r="43" spans="1:4" ht="15.75" outlineLevel="1">
      <c r="A43" s="40" t="s">
        <v>911</v>
      </c>
      <c r="B43" s="41" t="s">
        <v>23</v>
      </c>
      <c r="C43" s="40">
        <v>5.45</v>
      </c>
      <c r="D43" s="114"/>
    </row>
    <row r="44" spans="1:4" ht="15.75" outlineLevel="1">
      <c r="A44" s="40" t="s">
        <v>911</v>
      </c>
      <c r="B44" s="41" t="s">
        <v>24</v>
      </c>
      <c r="C44" s="40">
        <v>5.47</v>
      </c>
      <c r="D44" s="114"/>
    </row>
    <row r="45" spans="1:4" ht="15.75" outlineLevel="1">
      <c r="A45" s="40" t="s">
        <v>911</v>
      </c>
      <c r="B45" s="41" t="s">
        <v>25</v>
      </c>
      <c r="C45" s="40">
        <v>5.48</v>
      </c>
      <c r="D45" s="114"/>
    </row>
    <row r="46" spans="1:4" ht="15.75">
      <c r="A46" s="46" t="s">
        <v>911</v>
      </c>
      <c r="B46" s="41"/>
      <c r="C46" s="40"/>
      <c r="D46" s="114"/>
    </row>
    <row r="47" spans="1:4" ht="15.75" outlineLevel="1">
      <c r="A47" s="40" t="s">
        <v>917</v>
      </c>
      <c r="B47" s="41" t="s">
        <v>0</v>
      </c>
      <c r="C47" s="40">
        <v>5.0999999999999996</v>
      </c>
      <c r="D47" s="114"/>
    </row>
    <row r="48" spans="1:4" ht="15.75" outlineLevel="1">
      <c r="A48" s="40" t="s">
        <v>917</v>
      </c>
      <c r="B48" s="41" t="s">
        <v>1</v>
      </c>
      <c r="C48" s="40">
        <v>5.2</v>
      </c>
      <c r="D48" s="114"/>
    </row>
    <row r="49" spans="1:4" ht="15.75" outlineLevel="1">
      <c r="A49" s="40" t="s">
        <v>917</v>
      </c>
      <c r="B49" s="41" t="s">
        <v>2</v>
      </c>
      <c r="C49" s="40">
        <v>5.3</v>
      </c>
      <c r="D49" s="114"/>
    </row>
    <row r="50" spans="1:4" ht="15.75" outlineLevel="1">
      <c r="A50" s="40" t="s">
        <v>917</v>
      </c>
      <c r="B50" s="41" t="s">
        <v>97</v>
      </c>
      <c r="C50" s="40">
        <v>5.6</v>
      </c>
      <c r="D50" s="114"/>
    </row>
    <row r="51" spans="1:4" ht="15.75" outlineLevel="1">
      <c r="A51" s="40" t="s">
        <v>917</v>
      </c>
      <c r="B51" s="41" t="s">
        <v>1067</v>
      </c>
      <c r="C51" s="42">
        <v>5.0999999999999996</v>
      </c>
      <c r="D51" s="114"/>
    </row>
    <row r="52" spans="1:4" ht="15.75" outlineLevel="1">
      <c r="A52" s="40" t="s">
        <v>917</v>
      </c>
      <c r="B52" s="41" t="s">
        <v>1066</v>
      </c>
      <c r="C52" s="40">
        <v>5.14</v>
      </c>
      <c r="D52" s="114"/>
    </row>
    <row r="53" spans="1:4" ht="15.75" outlineLevel="1">
      <c r="A53" s="40" t="s">
        <v>917</v>
      </c>
      <c r="B53" s="41" t="s">
        <v>4</v>
      </c>
      <c r="C53" s="40">
        <v>5.19</v>
      </c>
      <c r="D53" s="114"/>
    </row>
    <row r="54" spans="1:4" ht="15.75" outlineLevel="1">
      <c r="A54" s="40" t="s">
        <v>917</v>
      </c>
      <c r="B54" s="41" t="s">
        <v>99</v>
      </c>
      <c r="C54" s="40">
        <v>5.24</v>
      </c>
      <c r="D54" s="114"/>
    </row>
    <row r="55" spans="1:4" ht="15.75" outlineLevel="1">
      <c r="A55" s="40" t="s">
        <v>917</v>
      </c>
      <c r="B55" s="41" t="s">
        <v>5</v>
      </c>
      <c r="C55" s="40">
        <v>5.26</v>
      </c>
      <c r="D55" s="114"/>
    </row>
    <row r="56" spans="1:4" ht="15.75" outlineLevel="1">
      <c r="A56" s="40" t="s">
        <v>917</v>
      </c>
      <c r="B56" s="41" t="s">
        <v>6</v>
      </c>
      <c r="C56" s="40">
        <v>5.27</v>
      </c>
      <c r="D56" s="114"/>
    </row>
    <row r="57" spans="1:4" ht="15.75" outlineLevel="1">
      <c r="A57" s="40" t="s">
        <v>917</v>
      </c>
      <c r="B57" s="41" t="s">
        <v>7</v>
      </c>
      <c r="C57" s="40">
        <v>5.28</v>
      </c>
      <c r="D57" s="114"/>
    </row>
    <row r="58" spans="1:4" ht="15.75" outlineLevel="1">
      <c r="A58" s="40" t="s">
        <v>917</v>
      </c>
      <c r="B58" s="41" t="s">
        <v>8</v>
      </c>
      <c r="C58" s="42">
        <v>5.3</v>
      </c>
      <c r="D58" s="114"/>
    </row>
    <row r="59" spans="1:4" ht="15.75" outlineLevel="1">
      <c r="A59" s="40" t="s">
        <v>917</v>
      </c>
      <c r="B59" s="41" t="s">
        <v>100</v>
      </c>
      <c r="C59" s="40">
        <v>5.31</v>
      </c>
      <c r="D59" s="114"/>
    </row>
    <row r="60" spans="1:4" ht="15.75" outlineLevel="1">
      <c r="A60" s="40" t="s">
        <v>917</v>
      </c>
      <c r="B60" s="41" t="s">
        <v>78</v>
      </c>
      <c r="C60" s="40">
        <v>5.36</v>
      </c>
      <c r="D60" s="114"/>
    </row>
    <row r="61" spans="1:4" ht="15.75" outlineLevel="1">
      <c r="A61" s="40" t="s">
        <v>917</v>
      </c>
      <c r="B61" s="41" t="s">
        <v>9</v>
      </c>
      <c r="C61" s="40">
        <v>5.49</v>
      </c>
      <c r="D61" s="114"/>
    </row>
    <row r="62" spans="1:4" ht="15.75" outlineLevel="1">
      <c r="A62" s="40" t="s">
        <v>917</v>
      </c>
      <c r="B62" s="41" t="s">
        <v>10</v>
      </c>
      <c r="C62" s="40">
        <v>5.51</v>
      </c>
      <c r="D62" s="114"/>
    </row>
    <row r="63" spans="1:4" ht="15.75" outlineLevel="1">
      <c r="A63" s="40" t="s">
        <v>917</v>
      </c>
      <c r="B63" s="41" t="s">
        <v>1068</v>
      </c>
      <c r="C63" s="40">
        <v>5.52</v>
      </c>
      <c r="D63" s="114"/>
    </row>
    <row r="64" spans="1:4" ht="15.75" outlineLevel="1">
      <c r="A64" s="40" t="s">
        <v>917</v>
      </c>
      <c r="B64" s="41" t="s">
        <v>11</v>
      </c>
      <c r="C64" s="40">
        <v>5.53</v>
      </c>
      <c r="D64" s="114"/>
    </row>
    <row r="65" spans="1:4" ht="15.75" outlineLevel="1">
      <c r="A65" s="40" t="s">
        <v>917</v>
      </c>
      <c r="B65" s="41" t="s">
        <v>12</v>
      </c>
      <c r="C65" s="40">
        <v>5.69</v>
      </c>
      <c r="D65" s="114"/>
    </row>
    <row r="66" spans="1:4" ht="15.75" outlineLevel="1">
      <c r="A66" s="40" t="s">
        <v>917</v>
      </c>
      <c r="B66" s="41" t="s">
        <v>860</v>
      </c>
      <c r="C66" s="42">
        <v>5.72</v>
      </c>
      <c r="D66" s="114"/>
    </row>
    <row r="67" spans="1:4" ht="15.75" outlineLevel="1">
      <c r="A67" s="40" t="s">
        <v>917</v>
      </c>
      <c r="B67" s="41" t="s">
        <v>13</v>
      </c>
      <c r="C67" s="40">
        <v>5.75</v>
      </c>
      <c r="D67" s="114"/>
    </row>
    <row r="68" spans="1:4" ht="15.75" outlineLevel="1">
      <c r="A68" s="40" t="s">
        <v>917</v>
      </c>
      <c r="B68" s="41" t="s">
        <v>14</v>
      </c>
      <c r="C68" s="42">
        <v>5.7</v>
      </c>
      <c r="D68" s="114"/>
    </row>
    <row r="69" spans="1:4" ht="15.75" outlineLevel="1">
      <c r="A69" s="40" t="s">
        <v>917</v>
      </c>
      <c r="B69" s="41" t="s">
        <v>15</v>
      </c>
      <c r="C69" s="40">
        <v>5.74</v>
      </c>
      <c r="D69" s="114"/>
    </row>
    <row r="70" spans="1:4" ht="15.75" outlineLevel="1">
      <c r="A70" s="40" t="s">
        <v>917</v>
      </c>
      <c r="B70" s="41" t="s">
        <v>359</v>
      </c>
      <c r="C70" s="40">
        <v>5.76</v>
      </c>
      <c r="D70" s="114"/>
    </row>
    <row r="71" spans="1:4" ht="15.75" outlineLevel="1">
      <c r="A71" s="40" t="s">
        <v>917</v>
      </c>
      <c r="B71" s="41" t="s">
        <v>781</v>
      </c>
      <c r="C71" s="40">
        <v>5.89</v>
      </c>
      <c r="D71" s="113" t="s">
        <v>1065</v>
      </c>
    </row>
    <row r="72" spans="1:4" ht="15.75" outlineLevel="1">
      <c r="A72" s="40" t="s">
        <v>917</v>
      </c>
      <c r="B72" s="41" t="s">
        <v>17</v>
      </c>
      <c r="C72" s="40">
        <v>5.58</v>
      </c>
      <c r="D72" s="114"/>
    </row>
    <row r="73" spans="1:4" ht="15.75" outlineLevel="1">
      <c r="A73" s="40" t="s">
        <v>917</v>
      </c>
      <c r="B73" s="41" t="s">
        <v>16</v>
      </c>
      <c r="C73" s="40">
        <v>5.62</v>
      </c>
      <c r="D73" s="114"/>
    </row>
    <row r="74" spans="1:4" ht="15.75" outlineLevel="1">
      <c r="A74" s="40" t="s">
        <v>917</v>
      </c>
      <c r="B74" s="41" t="s">
        <v>18</v>
      </c>
      <c r="C74" s="40">
        <v>5.54</v>
      </c>
      <c r="D74" s="114"/>
    </row>
    <row r="75" spans="1:4" ht="15.75" outlineLevel="1">
      <c r="A75" s="40" t="s">
        <v>917</v>
      </c>
      <c r="B75" s="41" t="s">
        <v>19</v>
      </c>
      <c r="C75" s="40">
        <v>5.55</v>
      </c>
      <c r="D75" s="114"/>
    </row>
    <row r="76" spans="1:4" ht="15.75" outlineLevel="1">
      <c r="A76" s="40" t="s">
        <v>917</v>
      </c>
      <c r="B76" s="41" t="s">
        <v>20</v>
      </c>
      <c r="C76" s="40">
        <v>5.63</v>
      </c>
      <c r="D76" s="114"/>
    </row>
    <row r="77" spans="1:4" ht="15.75" outlineLevel="1">
      <c r="A77" s="40" t="s">
        <v>917</v>
      </c>
      <c r="B77" s="41" t="s">
        <v>21</v>
      </c>
      <c r="C77" s="40">
        <v>5.65</v>
      </c>
      <c r="D77" s="114"/>
    </row>
    <row r="78" spans="1:4" ht="15.75" outlineLevel="1">
      <c r="A78" s="40" t="s">
        <v>917</v>
      </c>
      <c r="B78" s="41" t="s">
        <v>116</v>
      </c>
      <c r="C78" s="40">
        <v>5.66</v>
      </c>
      <c r="D78" s="114"/>
    </row>
    <row r="79" spans="1:4" ht="15.75" outlineLevel="1">
      <c r="A79" s="40" t="s">
        <v>917</v>
      </c>
      <c r="B79" s="41" t="s">
        <v>22</v>
      </c>
      <c r="C79" s="40">
        <v>5.68</v>
      </c>
      <c r="D79" s="114"/>
    </row>
    <row r="80" spans="1:4" ht="15.75" outlineLevel="1">
      <c r="A80" s="40" t="s">
        <v>917</v>
      </c>
      <c r="B80" s="41" t="s">
        <v>23</v>
      </c>
      <c r="C80" s="40">
        <v>5.45</v>
      </c>
      <c r="D80" s="114"/>
    </row>
    <row r="81" spans="1:4" ht="15.75" outlineLevel="1">
      <c r="A81" s="40" t="s">
        <v>917</v>
      </c>
      <c r="B81" s="41" t="s">
        <v>24</v>
      </c>
      <c r="C81" s="40">
        <v>5.47</v>
      </c>
      <c r="D81" s="114"/>
    </row>
    <row r="82" spans="1:4" ht="15.75" outlineLevel="1">
      <c r="A82" s="40" t="s">
        <v>917</v>
      </c>
      <c r="B82" s="41" t="s">
        <v>25</v>
      </c>
      <c r="C82" s="40">
        <v>5.48</v>
      </c>
      <c r="D82" s="114"/>
    </row>
    <row r="83" spans="1:4" ht="15.75">
      <c r="A83" s="46" t="s">
        <v>917</v>
      </c>
      <c r="B83" s="41"/>
      <c r="C83" s="40"/>
      <c r="D83" s="114"/>
    </row>
    <row r="84" spans="1:4" ht="15.75" outlineLevel="1">
      <c r="A84" s="40" t="s">
        <v>918</v>
      </c>
      <c r="B84" s="41" t="s">
        <v>0</v>
      </c>
      <c r="C84" s="40">
        <v>5.0999999999999996</v>
      </c>
      <c r="D84" s="114"/>
    </row>
    <row r="85" spans="1:4" ht="15.75" outlineLevel="1">
      <c r="A85" s="40" t="s">
        <v>918</v>
      </c>
      <c r="B85" s="41" t="s">
        <v>1</v>
      </c>
      <c r="C85" s="40">
        <v>5.2</v>
      </c>
      <c r="D85" s="114"/>
    </row>
    <row r="86" spans="1:4" ht="15.75" outlineLevel="1">
      <c r="A86" s="40" t="s">
        <v>918</v>
      </c>
      <c r="B86" s="41" t="s">
        <v>2</v>
      </c>
      <c r="C86" s="40">
        <v>5.3</v>
      </c>
      <c r="D86" s="114"/>
    </row>
    <row r="87" spans="1:4" ht="15.75" outlineLevel="1">
      <c r="A87" s="40" t="s">
        <v>918</v>
      </c>
      <c r="B87" s="41" t="s">
        <v>97</v>
      </c>
      <c r="C87" s="40">
        <v>5.6</v>
      </c>
      <c r="D87" s="114"/>
    </row>
    <row r="88" spans="1:4" ht="15.75" outlineLevel="1">
      <c r="A88" s="40" t="s">
        <v>918</v>
      </c>
      <c r="B88" s="41" t="s">
        <v>1067</v>
      </c>
      <c r="C88" s="42">
        <v>5.0999999999999996</v>
      </c>
      <c r="D88" s="114"/>
    </row>
    <row r="89" spans="1:4" ht="15.75" outlineLevel="1">
      <c r="A89" s="40" t="s">
        <v>918</v>
      </c>
      <c r="B89" s="41" t="s">
        <v>1066</v>
      </c>
      <c r="C89" s="40">
        <v>5.14</v>
      </c>
      <c r="D89" s="114"/>
    </row>
    <row r="90" spans="1:4" ht="15.75" outlineLevel="1">
      <c r="A90" s="40" t="s">
        <v>918</v>
      </c>
      <c r="B90" s="41" t="s">
        <v>4</v>
      </c>
      <c r="C90" s="40">
        <v>5.19</v>
      </c>
      <c r="D90" s="114"/>
    </row>
    <row r="91" spans="1:4" ht="15.75" outlineLevel="1">
      <c r="A91" s="40" t="s">
        <v>918</v>
      </c>
      <c r="B91" s="41" t="s">
        <v>99</v>
      </c>
      <c r="C91" s="40">
        <v>5.24</v>
      </c>
      <c r="D91" s="114"/>
    </row>
    <row r="92" spans="1:4" ht="15.75" outlineLevel="1">
      <c r="A92" s="40" t="s">
        <v>918</v>
      </c>
      <c r="B92" s="41" t="s">
        <v>5</v>
      </c>
      <c r="C92" s="40">
        <v>5.26</v>
      </c>
      <c r="D92" s="114"/>
    </row>
    <row r="93" spans="1:4" ht="15.75" outlineLevel="1">
      <c r="A93" s="40" t="s">
        <v>918</v>
      </c>
      <c r="B93" s="41" t="s">
        <v>6</v>
      </c>
      <c r="C93" s="40">
        <v>5.27</v>
      </c>
      <c r="D93" s="114"/>
    </row>
    <row r="94" spans="1:4" ht="15.75" outlineLevel="1">
      <c r="A94" s="40" t="s">
        <v>918</v>
      </c>
      <c r="B94" s="41" t="s">
        <v>7</v>
      </c>
      <c r="C94" s="40">
        <v>5.28</v>
      </c>
      <c r="D94" s="114"/>
    </row>
    <row r="95" spans="1:4" ht="15.75" outlineLevel="1">
      <c r="A95" s="40" t="s">
        <v>918</v>
      </c>
      <c r="B95" s="41" t="s">
        <v>274</v>
      </c>
      <c r="C95" s="40">
        <v>5.29</v>
      </c>
      <c r="D95" s="114"/>
    </row>
    <row r="96" spans="1:4" ht="15.75" outlineLevel="1">
      <c r="A96" s="40" t="s">
        <v>918</v>
      </c>
      <c r="B96" s="41" t="s">
        <v>8</v>
      </c>
      <c r="C96" s="42">
        <v>5.3</v>
      </c>
      <c r="D96" s="114"/>
    </row>
    <row r="97" spans="1:4" ht="15.75" outlineLevel="1">
      <c r="A97" s="40" t="s">
        <v>918</v>
      </c>
      <c r="B97" s="41" t="s">
        <v>100</v>
      </c>
      <c r="C97" s="40">
        <v>5.31</v>
      </c>
      <c r="D97" s="114"/>
    </row>
    <row r="98" spans="1:4" ht="15.75" outlineLevel="1">
      <c r="A98" s="40" t="s">
        <v>918</v>
      </c>
      <c r="B98" s="41" t="s">
        <v>78</v>
      </c>
      <c r="C98" s="40">
        <v>5.36</v>
      </c>
      <c r="D98" s="114"/>
    </row>
    <row r="99" spans="1:4" ht="15.75" outlineLevel="1">
      <c r="A99" s="40" t="s">
        <v>918</v>
      </c>
      <c r="B99" s="41" t="s">
        <v>9</v>
      </c>
      <c r="C99" s="40">
        <v>5.49</v>
      </c>
      <c r="D99" s="114"/>
    </row>
    <row r="100" spans="1:4" ht="15.75" outlineLevel="1">
      <c r="A100" s="40" t="s">
        <v>918</v>
      </c>
      <c r="B100" s="41" t="s">
        <v>10</v>
      </c>
      <c r="C100" s="40">
        <v>5.51</v>
      </c>
      <c r="D100" s="114"/>
    </row>
    <row r="101" spans="1:4" ht="15.75" outlineLevel="1">
      <c r="A101" s="40" t="s">
        <v>918</v>
      </c>
      <c r="B101" s="41" t="s">
        <v>1068</v>
      </c>
      <c r="C101" s="40">
        <v>5.52</v>
      </c>
      <c r="D101" s="114"/>
    </row>
    <row r="102" spans="1:4" ht="15.75" outlineLevel="1">
      <c r="A102" s="40" t="s">
        <v>918</v>
      </c>
      <c r="B102" s="41" t="s">
        <v>11</v>
      </c>
      <c r="C102" s="40">
        <v>5.53</v>
      </c>
      <c r="D102" s="114"/>
    </row>
    <row r="103" spans="1:4" ht="15.75" outlineLevel="1">
      <c r="A103" s="40" t="s">
        <v>918</v>
      </c>
      <c r="B103" s="41" t="s">
        <v>12</v>
      </c>
      <c r="C103" s="40">
        <v>5.69</v>
      </c>
      <c r="D103" s="114"/>
    </row>
    <row r="104" spans="1:4" ht="15.75" outlineLevel="1">
      <c r="A104" s="40" t="s">
        <v>918</v>
      </c>
      <c r="B104" s="41" t="s">
        <v>13</v>
      </c>
      <c r="C104" s="40">
        <v>5.75</v>
      </c>
      <c r="D104" s="114"/>
    </row>
    <row r="105" spans="1:4" ht="15.75" outlineLevel="1">
      <c r="A105" s="40" t="s">
        <v>918</v>
      </c>
      <c r="B105" s="41" t="s">
        <v>14</v>
      </c>
      <c r="C105" s="42">
        <v>5.7</v>
      </c>
      <c r="D105" s="114"/>
    </row>
    <row r="106" spans="1:4" ht="15.75" outlineLevel="1">
      <c r="A106" s="40" t="s">
        <v>918</v>
      </c>
      <c r="B106" s="41" t="s">
        <v>15</v>
      </c>
      <c r="C106" s="40">
        <v>5.74</v>
      </c>
      <c r="D106" s="114"/>
    </row>
    <row r="107" spans="1:4" ht="15.75" outlineLevel="1">
      <c r="A107" s="40" t="s">
        <v>918</v>
      </c>
      <c r="B107" s="41" t="s">
        <v>359</v>
      </c>
      <c r="C107" s="40">
        <v>5.76</v>
      </c>
      <c r="D107" s="114"/>
    </row>
    <row r="108" spans="1:4" ht="15.75" outlineLevel="1">
      <c r="A108" s="40" t="s">
        <v>918</v>
      </c>
      <c r="B108" s="41" t="s">
        <v>781</v>
      </c>
      <c r="C108" s="40">
        <v>5.89</v>
      </c>
      <c r="D108" s="113" t="s">
        <v>1065</v>
      </c>
    </row>
    <row r="109" spans="1:4" ht="15.75" outlineLevel="1">
      <c r="A109" s="40" t="s">
        <v>918</v>
      </c>
      <c r="B109" s="41" t="s">
        <v>17</v>
      </c>
      <c r="C109" s="40">
        <v>5.58</v>
      </c>
      <c r="D109" s="114"/>
    </row>
    <row r="110" spans="1:4" ht="15.75" outlineLevel="1">
      <c r="A110" s="40" t="s">
        <v>918</v>
      </c>
      <c r="B110" s="41" t="s">
        <v>16</v>
      </c>
      <c r="C110" s="40">
        <v>5.62</v>
      </c>
      <c r="D110" s="114"/>
    </row>
    <row r="111" spans="1:4" ht="15.75" outlineLevel="1">
      <c r="A111" s="40" t="s">
        <v>918</v>
      </c>
      <c r="B111" s="41" t="s">
        <v>18</v>
      </c>
      <c r="C111" s="40">
        <v>5.54</v>
      </c>
      <c r="D111" s="114"/>
    </row>
    <row r="112" spans="1:4" ht="15.75" outlineLevel="1">
      <c r="A112" s="40" t="s">
        <v>918</v>
      </c>
      <c r="B112" s="41" t="s">
        <v>19</v>
      </c>
      <c r="C112" s="40">
        <v>5.55</v>
      </c>
      <c r="D112" s="114"/>
    </row>
    <row r="113" spans="1:4" ht="15.75" outlineLevel="1">
      <c r="A113" s="40" t="s">
        <v>918</v>
      </c>
      <c r="B113" s="41" t="s">
        <v>21</v>
      </c>
      <c r="C113" s="40">
        <v>5.65</v>
      </c>
      <c r="D113" s="114"/>
    </row>
    <row r="114" spans="1:4" ht="15.75" outlineLevel="1">
      <c r="A114" s="40" t="s">
        <v>918</v>
      </c>
      <c r="B114" s="41" t="s">
        <v>116</v>
      </c>
      <c r="C114" s="40">
        <v>5.66</v>
      </c>
      <c r="D114" s="114"/>
    </row>
    <row r="115" spans="1:4" ht="15.75" outlineLevel="1">
      <c r="A115" s="40" t="s">
        <v>918</v>
      </c>
      <c r="B115" s="41" t="s">
        <v>22</v>
      </c>
      <c r="C115" s="40">
        <v>5.68</v>
      </c>
      <c r="D115" s="114"/>
    </row>
    <row r="116" spans="1:4" ht="15.75" outlineLevel="1">
      <c r="A116" s="40" t="s">
        <v>918</v>
      </c>
      <c r="B116" s="41" t="s">
        <v>23</v>
      </c>
      <c r="C116" s="40">
        <v>5.45</v>
      </c>
      <c r="D116" s="114"/>
    </row>
    <row r="117" spans="1:4" ht="15.75" outlineLevel="1">
      <c r="A117" s="40" t="s">
        <v>918</v>
      </c>
      <c r="B117" s="41" t="s">
        <v>24</v>
      </c>
      <c r="C117" s="40">
        <v>5.47</v>
      </c>
      <c r="D117" s="114"/>
    </row>
    <row r="118" spans="1:4" ht="15.75" outlineLevel="1">
      <c r="A118" s="40" t="s">
        <v>918</v>
      </c>
      <c r="B118" s="41" t="s">
        <v>25</v>
      </c>
      <c r="C118" s="40">
        <v>5.48</v>
      </c>
      <c r="D118" s="114"/>
    </row>
    <row r="119" spans="1:4" ht="15.75">
      <c r="A119" s="46" t="s">
        <v>918</v>
      </c>
      <c r="B119" s="41"/>
      <c r="C119" s="40"/>
      <c r="D119" s="114"/>
    </row>
    <row r="120" spans="1:4" ht="15.75" outlineLevel="1">
      <c r="A120" s="40" t="s">
        <v>1069</v>
      </c>
      <c r="B120" s="41" t="s">
        <v>0</v>
      </c>
      <c r="C120" s="40">
        <v>5.0999999999999996</v>
      </c>
      <c r="D120" s="114"/>
    </row>
    <row r="121" spans="1:4" ht="15.75" outlineLevel="1">
      <c r="A121" s="40" t="s">
        <v>1069</v>
      </c>
      <c r="B121" s="41" t="s">
        <v>1</v>
      </c>
      <c r="C121" s="40">
        <v>5.2</v>
      </c>
      <c r="D121" s="114"/>
    </row>
    <row r="122" spans="1:4" ht="15.75" outlineLevel="1">
      <c r="A122" s="40" t="s">
        <v>1069</v>
      </c>
      <c r="B122" s="41" t="s">
        <v>2</v>
      </c>
      <c r="C122" s="40">
        <v>5.3</v>
      </c>
      <c r="D122" s="114"/>
    </row>
    <row r="123" spans="1:4" ht="15.75" outlineLevel="1">
      <c r="A123" s="40" t="s">
        <v>1069</v>
      </c>
      <c r="B123" s="41" t="s">
        <v>97</v>
      </c>
      <c r="C123" s="40">
        <v>5.6</v>
      </c>
      <c r="D123" s="114"/>
    </row>
    <row r="124" spans="1:4" ht="15.75" outlineLevel="1">
      <c r="A124" s="40" t="s">
        <v>1069</v>
      </c>
      <c r="B124" s="41" t="s">
        <v>1067</v>
      </c>
      <c r="C124" s="42">
        <v>5.0999999999999996</v>
      </c>
      <c r="D124" s="114"/>
    </row>
    <row r="125" spans="1:4" ht="15.75" outlineLevel="1">
      <c r="A125" s="40" t="s">
        <v>1069</v>
      </c>
      <c r="B125" s="41" t="s">
        <v>1066</v>
      </c>
      <c r="C125" s="40">
        <v>5.14</v>
      </c>
      <c r="D125" s="114"/>
    </row>
    <row r="126" spans="1:4" ht="15.75" outlineLevel="1">
      <c r="A126" s="40" t="s">
        <v>1069</v>
      </c>
      <c r="B126" s="41" t="s">
        <v>4</v>
      </c>
      <c r="C126" s="40">
        <v>5.19</v>
      </c>
      <c r="D126" s="114"/>
    </row>
    <row r="127" spans="1:4" ht="15.75" outlineLevel="1">
      <c r="A127" s="40" t="s">
        <v>1069</v>
      </c>
      <c r="B127" s="41" t="s">
        <v>99</v>
      </c>
      <c r="C127" s="40">
        <v>5.24</v>
      </c>
      <c r="D127" s="114"/>
    </row>
    <row r="128" spans="1:4" ht="15.75" outlineLevel="1">
      <c r="A128" s="40" t="s">
        <v>1069</v>
      </c>
      <c r="B128" s="41" t="s">
        <v>5</v>
      </c>
      <c r="C128" s="40">
        <v>5.26</v>
      </c>
      <c r="D128" s="114"/>
    </row>
    <row r="129" spans="1:4" ht="15.75" outlineLevel="1">
      <c r="A129" s="40" t="s">
        <v>1069</v>
      </c>
      <c r="B129" s="41" t="s">
        <v>6</v>
      </c>
      <c r="C129" s="40">
        <v>5.27</v>
      </c>
      <c r="D129" s="114"/>
    </row>
    <row r="130" spans="1:4" ht="15.75" outlineLevel="1">
      <c r="A130" s="40" t="s">
        <v>1069</v>
      </c>
      <c r="B130" s="41" t="s">
        <v>7</v>
      </c>
      <c r="C130" s="40">
        <v>5.28</v>
      </c>
      <c r="D130" s="114"/>
    </row>
    <row r="131" spans="1:4" ht="15.75" outlineLevel="1">
      <c r="A131" s="40" t="s">
        <v>1069</v>
      </c>
      <c r="B131" s="41" t="s">
        <v>274</v>
      </c>
      <c r="C131" s="40">
        <v>5.29</v>
      </c>
      <c r="D131" s="114"/>
    </row>
    <row r="132" spans="1:4" ht="15.75" outlineLevel="1">
      <c r="A132" s="40" t="s">
        <v>1069</v>
      </c>
      <c r="B132" s="41" t="s">
        <v>8</v>
      </c>
      <c r="C132" s="42">
        <v>5.3</v>
      </c>
      <c r="D132" s="114"/>
    </row>
    <row r="133" spans="1:4" ht="15.75" outlineLevel="1">
      <c r="A133" s="40" t="s">
        <v>1069</v>
      </c>
      <c r="B133" s="41" t="s">
        <v>100</v>
      </c>
      <c r="C133" s="40">
        <v>5.31</v>
      </c>
      <c r="D133" s="114"/>
    </row>
    <row r="134" spans="1:4" ht="15.75" outlineLevel="1">
      <c r="A134" s="40" t="s">
        <v>1069</v>
      </c>
      <c r="B134" s="41" t="s">
        <v>78</v>
      </c>
      <c r="C134" s="40">
        <v>5.36</v>
      </c>
      <c r="D134" s="114"/>
    </row>
    <row r="135" spans="1:4" ht="15.75" outlineLevel="1">
      <c r="A135" s="40" t="s">
        <v>1069</v>
      </c>
      <c r="B135" s="41" t="s">
        <v>11</v>
      </c>
      <c r="C135" s="40">
        <v>5.53</v>
      </c>
      <c r="D135" s="114"/>
    </row>
    <row r="136" spans="1:4" ht="15.75" outlineLevel="1">
      <c r="A136" s="40" t="s">
        <v>1069</v>
      </c>
      <c r="B136" s="41" t="s">
        <v>17</v>
      </c>
      <c r="C136" s="40">
        <v>5.58</v>
      </c>
      <c r="D136" s="114"/>
    </row>
    <row r="137" spans="1:4" ht="15.75" outlineLevel="1">
      <c r="A137" s="40" t="s">
        <v>1069</v>
      </c>
      <c r="B137" s="41" t="s">
        <v>16</v>
      </c>
      <c r="C137" s="40">
        <v>5.62</v>
      </c>
      <c r="D137" s="114"/>
    </row>
    <row r="138" spans="1:4" ht="15.75" outlineLevel="1">
      <c r="A138" s="40" t="s">
        <v>1069</v>
      </c>
      <c r="B138" s="41" t="s">
        <v>18</v>
      </c>
      <c r="C138" s="40">
        <v>5.54</v>
      </c>
      <c r="D138" s="114"/>
    </row>
    <row r="139" spans="1:4" ht="15.75" outlineLevel="1">
      <c r="A139" s="40" t="s">
        <v>1069</v>
      </c>
      <c r="B139" s="41" t="s">
        <v>19</v>
      </c>
      <c r="C139" s="40">
        <v>5.55</v>
      </c>
      <c r="D139" s="114"/>
    </row>
    <row r="140" spans="1:4" ht="15.75" outlineLevel="1">
      <c r="A140" s="40" t="s">
        <v>1069</v>
      </c>
      <c r="B140" s="41" t="s">
        <v>20</v>
      </c>
      <c r="C140" s="40">
        <v>5.63</v>
      </c>
      <c r="D140" s="114"/>
    </row>
    <row r="141" spans="1:4" ht="15.75" outlineLevel="1">
      <c r="A141" s="40" t="s">
        <v>1069</v>
      </c>
      <c r="B141" s="41" t="s">
        <v>23</v>
      </c>
      <c r="C141" s="40">
        <v>5.45</v>
      </c>
      <c r="D141" s="114"/>
    </row>
    <row r="142" spans="1:4" ht="15.75" outlineLevel="1">
      <c r="A142" s="40" t="s">
        <v>1069</v>
      </c>
      <c r="B142" s="41" t="s">
        <v>24</v>
      </c>
      <c r="C142" s="40">
        <v>5.47</v>
      </c>
      <c r="D142" s="114"/>
    </row>
    <row r="143" spans="1:4" ht="15.75" outlineLevel="1">
      <c r="A143" s="40" t="s">
        <v>1069</v>
      </c>
      <c r="B143" s="41" t="s">
        <v>25</v>
      </c>
      <c r="C143" s="40">
        <v>5.48</v>
      </c>
      <c r="D143" s="114"/>
    </row>
    <row r="144" spans="1:4" ht="15.75">
      <c r="A144" s="46" t="s">
        <v>1069</v>
      </c>
      <c r="B144" s="41"/>
      <c r="C144" s="40"/>
      <c r="D144" s="114"/>
    </row>
    <row r="145" spans="1:4" ht="15.75" outlineLevel="1">
      <c r="A145" s="40" t="s">
        <v>421</v>
      </c>
      <c r="B145" s="41" t="s">
        <v>0</v>
      </c>
      <c r="C145" s="40">
        <v>5.0999999999999996</v>
      </c>
      <c r="D145" s="114"/>
    </row>
    <row r="146" spans="1:4" ht="15.75" outlineLevel="1">
      <c r="A146" s="40" t="s">
        <v>421</v>
      </c>
      <c r="B146" s="41" t="s">
        <v>1</v>
      </c>
      <c r="C146" s="40">
        <v>5.2</v>
      </c>
      <c r="D146" s="114"/>
    </row>
    <row r="147" spans="1:4" ht="15.75" outlineLevel="1">
      <c r="A147" s="40" t="s">
        <v>421</v>
      </c>
      <c r="B147" s="41" t="s">
        <v>2</v>
      </c>
      <c r="C147" s="40">
        <v>5.3</v>
      </c>
      <c r="D147" s="114"/>
    </row>
    <row r="148" spans="1:4" ht="15.75" outlineLevel="1">
      <c r="A148" s="40" t="s">
        <v>421</v>
      </c>
      <c r="B148" s="41" t="s">
        <v>97</v>
      </c>
      <c r="C148" s="40">
        <v>5.6</v>
      </c>
      <c r="D148" s="114"/>
    </row>
    <row r="149" spans="1:4" ht="15.75" outlineLevel="1">
      <c r="A149" s="40" t="s">
        <v>421</v>
      </c>
      <c r="B149" s="41" t="s">
        <v>1067</v>
      </c>
      <c r="C149" s="42">
        <v>5.0999999999999996</v>
      </c>
      <c r="D149" s="114"/>
    </row>
    <row r="150" spans="1:4" ht="15.75" outlineLevel="1">
      <c r="A150" s="40" t="s">
        <v>421</v>
      </c>
      <c r="B150" s="41" t="s">
        <v>1066</v>
      </c>
      <c r="C150" s="40">
        <v>5.14</v>
      </c>
      <c r="D150" s="114"/>
    </row>
    <row r="151" spans="1:4" ht="15.75" outlineLevel="1">
      <c r="A151" s="40" t="s">
        <v>421</v>
      </c>
      <c r="B151" s="41" t="s">
        <v>4</v>
      </c>
      <c r="C151" s="40">
        <v>5.19</v>
      </c>
      <c r="D151" s="114"/>
    </row>
    <row r="152" spans="1:4" ht="15.75" outlineLevel="1">
      <c r="A152" s="40" t="s">
        <v>421</v>
      </c>
      <c r="B152" s="41" t="s">
        <v>99</v>
      </c>
      <c r="C152" s="40">
        <v>5.24</v>
      </c>
      <c r="D152" s="114"/>
    </row>
    <row r="153" spans="1:4" ht="15.75" outlineLevel="1">
      <c r="A153" s="40" t="s">
        <v>421</v>
      </c>
      <c r="B153" s="41" t="s">
        <v>5</v>
      </c>
      <c r="C153" s="40">
        <v>5.26</v>
      </c>
      <c r="D153" s="114"/>
    </row>
    <row r="154" spans="1:4" ht="15.75" outlineLevel="1">
      <c r="A154" s="40" t="s">
        <v>421</v>
      </c>
      <c r="B154" s="41" t="s">
        <v>6</v>
      </c>
      <c r="C154" s="40">
        <v>5.27</v>
      </c>
      <c r="D154" s="114"/>
    </row>
    <row r="155" spans="1:4" ht="15.75" outlineLevel="1">
      <c r="A155" s="40" t="s">
        <v>421</v>
      </c>
      <c r="B155" s="41" t="s">
        <v>7</v>
      </c>
      <c r="C155" s="40">
        <v>5.28</v>
      </c>
      <c r="D155" s="114"/>
    </row>
    <row r="156" spans="1:4" ht="15.75" outlineLevel="1">
      <c r="A156" s="40" t="s">
        <v>421</v>
      </c>
      <c r="B156" s="41" t="s">
        <v>8</v>
      </c>
      <c r="C156" s="42">
        <v>5.3</v>
      </c>
      <c r="D156" s="114"/>
    </row>
    <row r="157" spans="1:4" ht="15.75" outlineLevel="1">
      <c r="A157" s="40" t="s">
        <v>421</v>
      </c>
      <c r="B157" s="41" t="s">
        <v>519</v>
      </c>
      <c r="C157" s="40">
        <v>5.32</v>
      </c>
      <c r="D157" s="114"/>
    </row>
    <row r="158" spans="1:4" ht="15.75" outlineLevel="1">
      <c r="A158" s="40" t="s">
        <v>421</v>
      </c>
      <c r="B158" s="41" t="s">
        <v>78</v>
      </c>
      <c r="C158" s="40">
        <v>5.36</v>
      </c>
      <c r="D158" s="114"/>
    </row>
    <row r="159" spans="1:4" ht="15.75" outlineLevel="1">
      <c r="A159" s="40" t="s">
        <v>421</v>
      </c>
      <c r="B159" s="41" t="s">
        <v>11</v>
      </c>
      <c r="C159" s="40">
        <v>5.53</v>
      </c>
      <c r="D159" s="114"/>
    </row>
    <row r="160" spans="1:4" ht="15.75" outlineLevel="1">
      <c r="A160" s="40" t="s">
        <v>421</v>
      </c>
      <c r="B160" s="41" t="s">
        <v>17</v>
      </c>
      <c r="C160" s="40">
        <v>5.58</v>
      </c>
      <c r="D160" s="114"/>
    </row>
    <row r="161" spans="1:5" ht="15.75" outlineLevel="1">
      <c r="A161" s="40" t="s">
        <v>421</v>
      </c>
      <c r="B161" s="41" t="s">
        <v>18</v>
      </c>
      <c r="C161" s="40">
        <v>5.54</v>
      </c>
      <c r="D161" s="114"/>
    </row>
    <row r="162" spans="1:5" ht="15.75" outlineLevel="1">
      <c r="A162" s="40" t="s">
        <v>421</v>
      </c>
      <c r="B162" s="41" t="s">
        <v>19</v>
      </c>
      <c r="C162" s="40">
        <v>5.55</v>
      </c>
      <c r="D162" s="114"/>
    </row>
    <row r="163" spans="1:5" ht="15.75" outlineLevel="1">
      <c r="A163" s="40" t="s">
        <v>421</v>
      </c>
      <c r="B163" s="41" t="s">
        <v>16</v>
      </c>
      <c r="C163" s="40">
        <v>5.62</v>
      </c>
      <c r="D163" s="114"/>
      <c r="E163" t="s">
        <v>1070</v>
      </c>
    </row>
    <row r="164" spans="1:5" ht="15.75" outlineLevel="1">
      <c r="A164" s="40" t="s">
        <v>421</v>
      </c>
      <c r="B164" s="41" t="s">
        <v>20</v>
      </c>
      <c r="C164" s="40">
        <v>5.63</v>
      </c>
      <c r="D164" s="114"/>
    </row>
    <row r="165" spans="1:5" ht="15.75" outlineLevel="1">
      <c r="A165" s="40" t="s">
        <v>421</v>
      </c>
      <c r="B165" s="41" t="s">
        <v>23</v>
      </c>
      <c r="C165" s="40">
        <v>5.45</v>
      </c>
      <c r="D165" s="114"/>
    </row>
    <row r="166" spans="1:5" ht="15.75" outlineLevel="1">
      <c r="A166" s="40" t="s">
        <v>421</v>
      </c>
      <c r="B166" s="41" t="s">
        <v>24</v>
      </c>
      <c r="C166" s="40">
        <v>5.47</v>
      </c>
      <c r="D166" s="114"/>
    </row>
    <row r="167" spans="1:5" ht="15.75" outlineLevel="1">
      <c r="A167" s="40" t="s">
        <v>421</v>
      </c>
      <c r="B167" s="41" t="s">
        <v>25</v>
      </c>
      <c r="C167" s="40">
        <v>5.48</v>
      </c>
      <c r="D167" s="114"/>
    </row>
    <row r="168" spans="1:5" ht="15.75">
      <c r="A168" s="46" t="s">
        <v>421</v>
      </c>
      <c r="B168" s="41"/>
      <c r="C168" s="40"/>
      <c r="D168" s="114"/>
    </row>
    <row r="169" spans="1:5" ht="15.75" outlineLevel="1">
      <c r="A169" s="40" t="s">
        <v>938</v>
      </c>
      <c r="B169" s="41" t="s">
        <v>0</v>
      </c>
      <c r="C169" s="40">
        <v>5.0999999999999996</v>
      </c>
      <c r="D169" s="114"/>
    </row>
    <row r="170" spans="1:5" ht="15.75" outlineLevel="1">
      <c r="A170" s="40" t="s">
        <v>938</v>
      </c>
      <c r="B170" s="41" t="s">
        <v>1</v>
      </c>
      <c r="C170" s="40">
        <v>5.2</v>
      </c>
      <c r="D170" s="114"/>
    </row>
    <row r="171" spans="1:5" ht="15.75" outlineLevel="1">
      <c r="A171" s="40" t="s">
        <v>938</v>
      </c>
      <c r="B171" s="41" t="s">
        <v>2</v>
      </c>
      <c r="C171" s="40">
        <v>5.3</v>
      </c>
      <c r="D171" s="114"/>
    </row>
    <row r="172" spans="1:5" ht="15.75" outlineLevel="1">
      <c r="A172" s="40" t="s">
        <v>938</v>
      </c>
      <c r="B172" s="41" t="s">
        <v>97</v>
      </c>
      <c r="C172" s="40">
        <v>5.6</v>
      </c>
      <c r="D172" s="114"/>
    </row>
    <row r="173" spans="1:5" ht="15.75" outlineLevel="1">
      <c r="A173" s="40" t="s">
        <v>938</v>
      </c>
      <c r="B173" s="41" t="s">
        <v>1067</v>
      </c>
      <c r="C173" s="42">
        <v>5.0999999999999996</v>
      </c>
      <c r="D173" s="114"/>
    </row>
    <row r="174" spans="1:5" ht="15.75" outlineLevel="1">
      <c r="A174" s="40" t="s">
        <v>938</v>
      </c>
      <c r="B174" s="41" t="s">
        <v>1066</v>
      </c>
      <c r="C174" s="40">
        <v>5.14</v>
      </c>
      <c r="D174" s="114"/>
    </row>
    <row r="175" spans="1:5" ht="15.75" outlineLevel="1">
      <c r="A175" s="40" t="s">
        <v>938</v>
      </c>
      <c r="B175" s="41" t="s">
        <v>4</v>
      </c>
      <c r="C175" s="40">
        <v>5.19</v>
      </c>
      <c r="D175" s="114"/>
    </row>
    <row r="176" spans="1:5" ht="15.75" outlineLevel="1">
      <c r="A176" s="40" t="s">
        <v>938</v>
      </c>
      <c r="B176" s="41" t="s">
        <v>99</v>
      </c>
      <c r="C176" s="40">
        <v>5.24</v>
      </c>
      <c r="D176" s="114"/>
    </row>
    <row r="177" spans="1:4" ht="15.75" outlineLevel="1">
      <c r="A177" s="40" t="s">
        <v>938</v>
      </c>
      <c r="B177" s="41" t="s">
        <v>5</v>
      </c>
      <c r="C177" s="40">
        <v>5.26</v>
      </c>
      <c r="D177" s="114"/>
    </row>
    <row r="178" spans="1:4" ht="15.75" outlineLevel="1">
      <c r="A178" s="40" t="s">
        <v>938</v>
      </c>
      <c r="B178" s="41" t="s">
        <v>6</v>
      </c>
      <c r="C178" s="40">
        <v>5.27</v>
      </c>
      <c r="D178" s="114"/>
    </row>
    <row r="179" spans="1:4" ht="15.75" outlineLevel="1">
      <c r="A179" s="40" t="s">
        <v>938</v>
      </c>
      <c r="B179" s="41" t="s">
        <v>7</v>
      </c>
      <c r="C179" s="40">
        <v>5.28</v>
      </c>
      <c r="D179" s="114"/>
    </row>
    <row r="180" spans="1:4" ht="15.75" outlineLevel="1">
      <c r="A180" s="40" t="s">
        <v>938</v>
      </c>
      <c r="B180" s="41" t="s">
        <v>274</v>
      </c>
      <c r="C180" s="40">
        <v>5.29</v>
      </c>
      <c r="D180" s="114"/>
    </row>
    <row r="181" spans="1:4" ht="15.75" outlineLevel="1">
      <c r="A181" s="40" t="s">
        <v>938</v>
      </c>
      <c r="B181" s="41" t="s">
        <v>8</v>
      </c>
      <c r="C181" s="42">
        <v>5.3</v>
      </c>
      <c r="D181" s="114"/>
    </row>
    <row r="182" spans="1:4" ht="15.75" outlineLevel="1">
      <c r="A182" s="40" t="s">
        <v>938</v>
      </c>
      <c r="B182" s="41" t="s">
        <v>519</v>
      </c>
      <c r="C182" s="40">
        <v>5.32</v>
      </c>
      <c r="D182" s="114"/>
    </row>
    <row r="183" spans="1:4" ht="15.75" outlineLevel="1">
      <c r="A183" s="40" t="s">
        <v>938</v>
      </c>
      <c r="B183" s="41" t="s">
        <v>78</v>
      </c>
      <c r="C183" s="40">
        <v>5.36</v>
      </c>
      <c r="D183" s="114"/>
    </row>
    <row r="184" spans="1:4" ht="15.75" outlineLevel="1">
      <c r="A184" s="40" t="s">
        <v>938</v>
      </c>
      <c r="B184" s="41" t="s">
        <v>11</v>
      </c>
      <c r="C184" s="40">
        <v>5.53</v>
      </c>
      <c r="D184" s="114"/>
    </row>
    <row r="185" spans="1:4" ht="15.75" outlineLevel="1">
      <c r="A185" s="40" t="s">
        <v>938</v>
      </c>
      <c r="B185" s="41" t="s">
        <v>17</v>
      </c>
      <c r="C185" s="40">
        <v>5.58</v>
      </c>
      <c r="D185" s="114"/>
    </row>
    <row r="186" spans="1:4" ht="15.75" outlineLevel="1">
      <c r="A186" s="40" t="s">
        <v>938</v>
      </c>
      <c r="B186" s="41" t="s">
        <v>18</v>
      </c>
      <c r="C186" s="40">
        <v>5.54</v>
      </c>
      <c r="D186" s="114"/>
    </row>
    <row r="187" spans="1:4" ht="15.75" outlineLevel="1">
      <c r="A187" s="40" t="s">
        <v>938</v>
      </c>
      <c r="B187" s="41" t="s">
        <v>19</v>
      </c>
      <c r="C187" s="40">
        <v>5.55</v>
      </c>
      <c r="D187" s="114"/>
    </row>
    <row r="188" spans="1:4" ht="15.75" outlineLevel="1">
      <c r="A188" s="40" t="s">
        <v>938</v>
      </c>
      <c r="B188" s="41" t="s">
        <v>20</v>
      </c>
      <c r="C188" s="40">
        <v>5.63</v>
      </c>
      <c r="D188" s="114"/>
    </row>
    <row r="189" spans="1:4" ht="15.75" outlineLevel="1">
      <c r="A189" s="40" t="s">
        <v>938</v>
      </c>
      <c r="B189" s="41" t="s">
        <v>23</v>
      </c>
      <c r="C189" s="40">
        <v>5.45</v>
      </c>
      <c r="D189" s="114"/>
    </row>
    <row r="190" spans="1:4" ht="15.75" outlineLevel="1">
      <c r="A190" s="40" t="s">
        <v>938</v>
      </c>
      <c r="B190" s="41" t="s">
        <v>24</v>
      </c>
      <c r="C190" s="40">
        <v>5.47</v>
      </c>
      <c r="D190" s="114"/>
    </row>
    <row r="191" spans="1:4" ht="15.75" outlineLevel="1">
      <c r="A191" s="40" t="s">
        <v>938</v>
      </c>
      <c r="B191" s="41" t="s">
        <v>25</v>
      </c>
      <c r="C191" s="40">
        <v>5.48</v>
      </c>
      <c r="D191" s="114"/>
    </row>
    <row r="192" spans="1:4" ht="15.75">
      <c r="A192" s="46" t="s">
        <v>938</v>
      </c>
      <c r="B192" s="41"/>
      <c r="C192" s="40"/>
      <c r="D192" s="114"/>
    </row>
    <row r="193" spans="1:4" ht="15.75" outlineLevel="1">
      <c r="A193" s="40" t="s">
        <v>1071</v>
      </c>
      <c r="B193" s="41" t="s">
        <v>0</v>
      </c>
      <c r="C193" s="40">
        <v>5.0999999999999996</v>
      </c>
      <c r="D193" s="114"/>
    </row>
    <row r="194" spans="1:4" ht="15.75" outlineLevel="1">
      <c r="A194" s="40" t="s">
        <v>1071</v>
      </c>
      <c r="B194" s="41" t="s">
        <v>1</v>
      </c>
      <c r="C194" s="40">
        <v>5.2</v>
      </c>
      <c r="D194" s="114"/>
    </row>
    <row r="195" spans="1:4" ht="15.75" outlineLevel="1">
      <c r="A195" s="40" t="s">
        <v>1071</v>
      </c>
      <c r="B195" s="41" t="s">
        <v>2</v>
      </c>
      <c r="C195" s="40">
        <v>5.3</v>
      </c>
      <c r="D195" s="114"/>
    </row>
    <row r="196" spans="1:4" ht="15.75" outlineLevel="1">
      <c r="A196" s="40" t="s">
        <v>1071</v>
      </c>
      <c r="B196" s="41" t="s">
        <v>97</v>
      </c>
      <c r="C196" s="40">
        <v>5.6</v>
      </c>
      <c r="D196" s="114"/>
    </row>
    <row r="197" spans="1:4" ht="15.75" outlineLevel="1">
      <c r="A197" s="40" t="s">
        <v>1071</v>
      </c>
      <c r="B197" s="41" t="s">
        <v>1067</v>
      </c>
      <c r="C197" s="42">
        <v>5.0999999999999996</v>
      </c>
      <c r="D197" s="114"/>
    </row>
    <row r="198" spans="1:4" ht="15.75" outlineLevel="1">
      <c r="A198" s="40" t="s">
        <v>1071</v>
      </c>
      <c r="B198" s="41" t="s">
        <v>1066</v>
      </c>
      <c r="C198" s="40">
        <v>5.14</v>
      </c>
      <c r="D198" s="114"/>
    </row>
    <row r="199" spans="1:4" ht="15.75" outlineLevel="1">
      <c r="A199" s="40" t="s">
        <v>1071</v>
      </c>
      <c r="B199" s="41" t="s">
        <v>4</v>
      </c>
      <c r="C199" s="40">
        <v>5.19</v>
      </c>
      <c r="D199" s="114"/>
    </row>
    <row r="200" spans="1:4" ht="15.75" outlineLevel="1">
      <c r="A200" s="40" t="s">
        <v>1071</v>
      </c>
      <c r="B200" s="41" t="s">
        <v>99</v>
      </c>
      <c r="C200" s="40">
        <v>5.24</v>
      </c>
      <c r="D200" s="114"/>
    </row>
    <row r="201" spans="1:4" ht="15.75" outlineLevel="1">
      <c r="A201" s="40" t="s">
        <v>1071</v>
      </c>
      <c r="B201" s="41" t="s">
        <v>6</v>
      </c>
      <c r="C201" s="40">
        <v>5.27</v>
      </c>
      <c r="D201" s="114"/>
    </row>
    <row r="202" spans="1:4" ht="15.75" outlineLevel="1">
      <c r="A202" s="40" t="s">
        <v>1071</v>
      </c>
      <c r="B202" s="41" t="s">
        <v>7</v>
      </c>
      <c r="C202" s="40">
        <v>5.28</v>
      </c>
      <c r="D202" s="114"/>
    </row>
    <row r="203" spans="1:4" ht="15.75" outlineLevel="1">
      <c r="A203" s="40" t="s">
        <v>1071</v>
      </c>
      <c r="B203" s="41" t="s">
        <v>274</v>
      </c>
      <c r="C203" s="40">
        <v>5.29</v>
      </c>
      <c r="D203" s="114"/>
    </row>
    <row r="204" spans="1:4" ht="15.75" outlineLevel="1">
      <c r="A204" s="40" t="s">
        <v>1071</v>
      </c>
      <c r="B204" s="41" t="s">
        <v>8</v>
      </c>
      <c r="C204" s="42">
        <v>5.3</v>
      </c>
      <c r="D204" s="114"/>
    </row>
    <row r="205" spans="1:4" ht="15.75" outlineLevel="1">
      <c r="A205" s="40" t="s">
        <v>1071</v>
      </c>
      <c r="B205" s="41" t="s">
        <v>1072</v>
      </c>
      <c r="C205" s="40">
        <v>5.34</v>
      </c>
      <c r="D205" s="114"/>
    </row>
    <row r="206" spans="1:4" ht="15.75" outlineLevel="1">
      <c r="A206" s="40" t="s">
        <v>1071</v>
      </c>
      <c r="B206" s="41" t="s">
        <v>100</v>
      </c>
      <c r="C206" s="40">
        <v>5.31</v>
      </c>
      <c r="D206" s="114"/>
    </row>
    <row r="207" spans="1:4" ht="15.75" outlineLevel="1">
      <c r="A207" s="40" t="s">
        <v>1071</v>
      </c>
      <c r="B207" s="41" t="s">
        <v>1073</v>
      </c>
      <c r="C207" s="40">
        <v>5.101</v>
      </c>
      <c r="D207" s="114"/>
    </row>
    <row r="208" spans="1:4" ht="15.75" outlineLevel="1">
      <c r="A208" s="40" t="s">
        <v>1071</v>
      </c>
      <c r="B208" s="41" t="s">
        <v>78</v>
      </c>
      <c r="C208" s="40">
        <v>5.36</v>
      </c>
      <c r="D208" s="114"/>
    </row>
    <row r="209" spans="1:4" ht="15.75" outlineLevel="1">
      <c r="A209" s="40" t="s">
        <v>1071</v>
      </c>
      <c r="B209" s="41" t="s">
        <v>11</v>
      </c>
      <c r="C209" s="40">
        <v>5.53</v>
      </c>
      <c r="D209" s="114"/>
    </row>
    <row r="210" spans="1:4" ht="15.75" outlineLevel="1">
      <c r="A210" s="40" t="s">
        <v>1071</v>
      </c>
      <c r="B210" s="41" t="s">
        <v>1074</v>
      </c>
      <c r="C210" s="40">
        <v>5.1020000000000003</v>
      </c>
      <c r="D210" s="114"/>
    </row>
    <row r="211" spans="1:4" ht="15.75" outlineLevel="1">
      <c r="A211" s="40" t="s">
        <v>1071</v>
      </c>
      <c r="B211" s="41" t="s">
        <v>1075</v>
      </c>
      <c r="C211" s="43">
        <v>5.0999999999999996</v>
      </c>
      <c r="D211" s="114"/>
    </row>
    <row r="212" spans="1:4" ht="15.75" outlineLevel="1">
      <c r="A212" s="40" t="s">
        <v>1071</v>
      </c>
      <c r="B212" s="41" t="s">
        <v>17</v>
      </c>
      <c r="C212" s="40">
        <v>5.58</v>
      </c>
      <c r="D212" s="114"/>
    </row>
    <row r="213" spans="1:4" ht="15.75" outlineLevel="1">
      <c r="A213" s="40" t="s">
        <v>1071</v>
      </c>
      <c r="B213" s="41" t="s">
        <v>18</v>
      </c>
      <c r="C213" s="40">
        <v>5.54</v>
      </c>
      <c r="D213" s="114"/>
    </row>
    <row r="214" spans="1:4" ht="15.75" outlineLevel="1">
      <c r="A214" s="40" t="s">
        <v>1071</v>
      </c>
      <c r="B214" s="41" t="s">
        <v>19</v>
      </c>
      <c r="C214" s="40">
        <v>5.55</v>
      </c>
      <c r="D214" s="114"/>
    </row>
    <row r="215" spans="1:4" ht="15.75" outlineLevel="1">
      <c r="A215" s="40" t="s">
        <v>1071</v>
      </c>
      <c r="B215" s="41" t="s">
        <v>20</v>
      </c>
      <c r="C215" s="40">
        <v>5.63</v>
      </c>
      <c r="D215" s="114"/>
    </row>
    <row r="216" spans="1:4" ht="15.75" outlineLevel="1">
      <c r="A216" s="40" t="s">
        <v>1071</v>
      </c>
      <c r="B216" s="41" t="s">
        <v>24</v>
      </c>
      <c r="C216" s="40">
        <v>5.47</v>
      </c>
      <c r="D216" s="114"/>
    </row>
    <row r="217" spans="1:4" ht="15.75" outlineLevel="1">
      <c r="A217" s="40" t="s">
        <v>1071</v>
      </c>
      <c r="B217" s="41" t="s">
        <v>25</v>
      </c>
      <c r="C217" s="40">
        <v>5.48</v>
      </c>
      <c r="D217" s="114"/>
    </row>
    <row r="218" spans="1:4" ht="15.75">
      <c r="A218" s="46" t="s">
        <v>1071</v>
      </c>
      <c r="B218" s="41"/>
      <c r="C218" s="40"/>
      <c r="D218" s="114"/>
    </row>
    <row r="219" spans="1:4" ht="15.75" outlineLevel="1">
      <c r="A219" s="40" t="s">
        <v>941</v>
      </c>
      <c r="B219" s="41" t="s">
        <v>0</v>
      </c>
      <c r="C219" s="40">
        <v>5.0999999999999996</v>
      </c>
      <c r="D219" s="114"/>
    </row>
    <row r="220" spans="1:4" ht="15.75" outlineLevel="1">
      <c r="A220" s="40" t="s">
        <v>941</v>
      </c>
      <c r="B220" s="41" t="s">
        <v>1</v>
      </c>
      <c r="C220" s="40">
        <v>5.2</v>
      </c>
      <c r="D220" s="114"/>
    </row>
    <row r="221" spans="1:4" ht="15.75" outlineLevel="1">
      <c r="A221" s="40" t="s">
        <v>941</v>
      </c>
      <c r="B221" s="41" t="s">
        <v>2</v>
      </c>
      <c r="C221" s="40">
        <v>5.3</v>
      </c>
      <c r="D221" s="114"/>
    </row>
    <row r="222" spans="1:4" ht="15.75" outlineLevel="1">
      <c r="A222" s="40" t="s">
        <v>941</v>
      </c>
      <c r="B222" s="41" t="s">
        <v>97</v>
      </c>
      <c r="C222" s="40">
        <v>5.6</v>
      </c>
      <c r="D222" s="114"/>
    </row>
    <row r="223" spans="1:4" ht="15.75" outlineLevel="1">
      <c r="A223" s="40" t="s">
        <v>941</v>
      </c>
      <c r="B223" s="41" t="s">
        <v>1067</v>
      </c>
      <c r="C223" s="42">
        <v>5.0999999999999996</v>
      </c>
      <c r="D223" s="114"/>
    </row>
    <row r="224" spans="1:4" ht="15.75" outlineLevel="1">
      <c r="A224" s="40" t="s">
        <v>941</v>
      </c>
      <c r="B224" s="41" t="s">
        <v>1066</v>
      </c>
      <c r="C224" s="40">
        <v>5.14</v>
      </c>
      <c r="D224" s="114"/>
    </row>
    <row r="225" spans="1:4" ht="15.75" outlineLevel="1">
      <c r="A225" s="40" t="s">
        <v>941</v>
      </c>
      <c r="B225" s="41" t="s">
        <v>4</v>
      </c>
      <c r="C225" s="40">
        <v>5.19</v>
      </c>
      <c r="D225" s="114"/>
    </row>
    <row r="226" spans="1:4" ht="15.75" outlineLevel="1">
      <c r="A226" s="40" t="s">
        <v>941</v>
      </c>
      <c r="B226" s="41" t="s">
        <v>99</v>
      </c>
      <c r="C226" s="40">
        <v>5.24</v>
      </c>
      <c r="D226" s="114"/>
    </row>
    <row r="227" spans="1:4" ht="15.75" outlineLevel="1">
      <c r="A227" s="40" t="s">
        <v>941</v>
      </c>
      <c r="B227" s="41" t="s">
        <v>5</v>
      </c>
      <c r="C227" s="40">
        <v>5.26</v>
      </c>
      <c r="D227" s="114"/>
    </row>
    <row r="228" spans="1:4" ht="15.75" outlineLevel="1">
      <c r="A228" s="40" t="s">
        <v>941</v>
      </c>
      <c r="B228" s="41" t="s">
        <v>6</v>
      </c>
      <c r="C228" s="40">
        <v>5.27</v>
      </c>
      <c r="D228" s="114"/>
    </row>
    <row r="229" spans="1:4" ht="15.75" outlineLevel="1">
      <c r="A229" s="40" t="s">
        <v>941</v>
      </c>
      <c r="B229" s="41" t="s">
        <v>7</v>
      </c>
      <c r="C229" s="40">
        <v>5.28</v>
      </c>
      <c r="D229" s="114"/>
    </row>
    <row r="230" spans="1:4" ht="15.75" outlineLevel="1">
      <c r="A230" s="40" t="s">
        <v>941</v>
      </c>
      <c r="B230" s="41" t="s">
        <v>274</v>
      </c>
      <c r="C230" s="40">
        <v>5.29</v>
      </c>
      <c r="D230" s="114"/>
    </row>
    <row r="231" spans="1:4" ht="15.75" outlineLevel="1">
      <c r="A231" s="40" t="s">
        <v>941</v>
      </c>
      <c r="B231" s="41" t="s">
        <v>8</v>
      </c>
      <c r="C231" s="42">
        <v>5.3</v>
      </c>
      <c r="D231" s="114"/>
    </row>
    <row r="232" spans="1:4" ht="15.75" outlineLevel="1">
      <c r="A232" s="40" t="s">
        <v>941</v>
      </c>
      <c r="B232" s="41" t="s">
        <v>100</v>
      </c>
      <c r="C232" s="40">
        <v>5.31</v>
      </c>
      <c r="D232" s="114"/>
    </row>
    <row r="233" spans="1:4" ht="15.75" outlineLevel="1">
      <c r="A233" s="40" t="s">
        <v>941</v>
      </c>
      <c r="B233" s="41" t="s">
        <v>123</v>
      </c>
      <c r="C233" s="40">
        <v>5.33</v>
      </c>
      <c r="D233" s="114"/>
    </row>
    <row r="234" spans="1:4" ht="15.75" outlineLevel="1">
      <c r="A234" s="40" t="s">
        <v>941</v>
      </c>
      <c r="B234" s="41" t="s">
        <v>1073</v>
      </c>
      <c r="C234" s="40">
        <v>5.101</v>
      </c>
      <c r="D234" s="114"/>
    </row>
    <row r="235" spans="1:4" ht="15.75" outlineLevel="1">
      <c r="A235" s="40" t="s">
        <v>941</v>
      </c>
      <c r="B235" s="41" t="s">
        <v>78</v>
      </c>
      <c r="C235" s="40">
        <v>5.36</v>
      </c>
      <c r="D235" s="114"/>
    </row>
    <row r="236" spans="1:4" ht="15.75" outlineLevel="1">
      <c r="A236" s="40" t="s">
        <v>941</v>
      </c>
      <c r="B236" s="41" t="s">
        <v>11</v>
      </c>
      <c r="C236" s="40">
        <v>5.53</v>
      </c>
      <c r="D236" s="114"/>
    </row>
    <row r="237" spans="1:4" ht="15.75" outlineLevel="1">
      <c r="A237" s="40" t="s">
        <v>941</v>
      </c>
      <c r="B237" s="41" t="s">
        <v>1074</v>
      </c>
      <c r="C237" s="40">
        <v>5.1020000000000003</v>
      </c>
      <c r="D237" s="114"/>
    </row>
    <row r="238" spans="1:4" ht="15.75" outlineLevel="1">
      <c r="A238" s="40" t="s">
        <v>941</v>
      </c>
      <c r="B238" s="41" t="s">
        <v>17</v>
      </c>
      <c r="C238" s="40">
        <v>5.58</v>
      </c>
      <c r="D238" s="114"/>
    </row>
    <row r="239" spans="1:4" ht="15.75" outlineLevel="1">
      <c r="A239" s="40" t="s">
        <v>941</v>
      </c>
      <c r="B239" s="41" t="s">
        <v>18</v>
      </c>
      <c r="C239" s="40">
        <v>5.54</v>
      </c>
      <c r="D239" s="114"/>
    </row>
    <row r="240" spans="1:4" ht="15.75" outlineLevel="1">
      <c r="A240" s="40" t="s">
        <v>941</v>
      </c>
      <c r="B240" s="41" t="s">
        <v>19</v>
      </c>
      <c r="C240" s="40">
        <v>5.55</v>
      </c>
      <c r="D240" s="114"/>
    </row>
    <row r="241" spans="1:4" ht="15.75" outlineLevel="1">
      <c r="A241" s="40" t="s">
        <v>941</v>
      </c>
      <c r="B241" s="41" t="s">
        <v>20</v>
      </c>
      <c r="C241" s="40">
        <v>5.63</v>
      </c>
      <c r="D241" s="114"/>
    </row>
    <row r="242" spans="1:4" ht="15.75" outlineLevel="1">
      <c r="A242" s="40" t="s">
        <v>941</v>
      </c>
      <c r="B242" s="41" t="s">
        <v>24</v>
      </c>
      <c r="C242" s="40">
        <v>5.47</v>
      </c>
      <c r="D242" s="114"/>
    </row>
    <row r="243" spans="1:4" ht="15.75" outlineLevel="1">
      <c r="A243" s="40" t="s">
        <v>941</v>
      </c>
      <c r="B243" s="41" t="s">
        <v>25</v>
      </c>
      <c r="C243" s="40">
        <v>5.48</v>
      </c>
      <c r="D243" s="114"/>
    </row>
    <row r="244" spans="1:4" ht="15.75">
      <c r="A244" s="46" t="s">
        <v>941</v>
      </c>
      <c r="B244" s="41"/>
      <c r="C244" s="40"/>
      <c r="D244" s="114"/>
    </row>
    <row r="245" spans="1:4" ht="15.75" outlineLevel="1">
      <c r="A245" s="40" t="s">
        <v>1076</v>
      </c>
      <c r="B245" s="41" t="s">
        <v>0</v>
      </c>
      <c r="C245" s="40">
        <v>5.0999999999999996</v>
      </c>
      <c r="D245" s="114"/>
    </row>
    <row r="246" spans="1:4" ht="15.75" outlineLevel="1">
      <c r="A246" s="40" t="s">
        <v>1076</v>
      </c>
      <c r="B246" s="41" t="s">
        <v>1</v>
      </c>
      <c r="C246" s="40">
        <v>5.2</v>
      </c>
      <c r="D246" s="114"/>
    </row>
    <row r="247" spans="1:4" ht="15.75" outlineLevel="1">
      <c r="A247" s="40" t="s">
        <v>1076</v>
      </c>
      <c r="B247" s="41" t="s">
        <v>2</v>
      </c>
      <c r="C247" s="40">
        <v>5.3</v>
      </c>
      <c r="D247" s="114"/>
    </row>
    <row r="248" spans="1:4" ht="15.75" outlineLevel="1">
      <c r="A248" s="40" t="s">
        <v>1076</v>
      </c>
      <c r="B248" s="41" t="s">
        <v>97</v>
      </c>
      <c r="C248" s="40">
        <v>5.6</v>
      </c>
      <c r="D248" s="114"/>
    </row>
    <row r="249" spans="1:4" ht="15.75" outlineLevel="1">
      <c r="A249" s="40" t="s">
        <v>1076</v>
      </c>
      <c r="B249" s="41" t="s">
        <v>1067</v>
      </c>
      <c r="C249" s="42">
        <v>5.0999999999999996</v>
      </c>
      <c r="D249" s="114"/>
    </row>
    <row r="250" spans="1:4" ht="15.75" outlineLevel="1">
      <c r="A250" s="40" t="s">
        <v>1076</v>
      </c>
      <c r="B250" s="41" t="s">
        <v>1066</v>
      </c>
      <c r="C250" s="40">
        <v>5.14</v>
      </c>
      <c r="D250" s="114"/>
    </row>
    <row r="251" spans="1:4" ht="15.75" outlineLevel="1">
      <c r="A251" s="40" t="s">
        <v>1076</v>
      </c>
      <c r="B251" s="41" t="s">
        <v>4</v>
      </c>
      <c r="C251" s="40">
        <v>5.19</v>
      </c>
      <c r="D251" s="114"/>
    </row>
    <row r="252" spans="1:4" ht="15.75" outlineLevel="1">
      <c r="A252" s="40" t="s">
        <v>1076</v>
      </c>
      <c r="B252" s="41" t="s">
        <v>99</v>
      </c>
      <c r="C252" s="40">
        <v>5.24</v>
      </c>
      <c r="D252" s="114"/>
    </row>
    <row r="253" spans="1:4" ht="15.75" outlineLevel="1">
      <c r="A253" s="40" t="s">
        <v>1076</v>
      </c>
      <c r="B253" s="41" t="s">
        <v>6</v>
      </c>
      <c r="C253" s="40">
        <v>5.27</v>
      </c>
      <c r="D253" s="114"/>
    </row>
    <row r="254" spans="1:4" ht="15.75" outlineLevel="1">
      <c r="A254" s="40" t="s">
        <v>1076</v>
      </c>
      <c r="B254" s="41" t="s">
        <v>7</v>
      </c>
      <c r="C254" s="40">
        <v>5.28</v>
      </c>
      <c r="D254" s="114"/>
    </row>
    <row r="255" spans="1:4" ht="15.75" outlineLevel="1">
      <c r="A255" s="40" t="s">
        <v>1076</v>
      </c>
      <c r="B255" s="41" t="s">
        <v>8</v>
      </c>
      <c r="C255" s="42">
        <v>5.3</v>
      </c>
      <c r="D255" s="114"/>
    </row>
    <row r="256" spans="1:4" ht="15.75" outlineLevel="1">
      <c r="A256" s="40" t="s">
        <v>1076</v>
      </c>
      <c r="B256" s="41" t="s">
        <v>123</v>
      </c>
      <c r="C256" s="40">
        <v>5.33</v>
      </c>
      <c r="D256" s="114"/>
    </row>
    <row r="257" spans="1:4" ht="15.75" outlineLevel="1">
      <c r="A257" s="40" t="s">
        <v>1076</v>
      </c>
      <c r="B257" s="41" t="s">
        <v>78</v>
      </c>
      <c r="C257" s="40">
        <v>5.36</v>
      </c>
      <c r="D257" s="114"/>
    </row>
    <row r="258" spans="1:4" ht="15.75" outlineLevel="1">
      <c r="A258" s="40" t="s">
        <v>1076</v>
      </c>
      <c r="B258" s="41" t="s">
        <v>11</v>
      </c>
      <c r="C258" s="40">
        <v>5.53</v>
      </c>
      <c r="D258" s="114"/>
    </row>
    <row r="259" spans="1:4" ht="15.75" outlineLevel="1">
      <c r="A259" s="40" t="s">
        <v>1076</v>
      </c>
      <c r="B259" s="41" t="s">
        <v>17</v>
      </c>
      <c r="C259" s="40">
        <v>5.58</v>
      </c>
      <c r="D259" s="114"/>
    </row>
    <row r="260" spans="1:4" ht="15.75" outlineLevel="1">
      <c r="A260" s="40" t="s">
        <v>1076</v>
      </c>
      <c r="B260" s="41" t="s">
        <v>18</v>
      </c>
      <c r="C260" s="40">
        <v>5.54</v>
      </c>
      <c r="D260" s="114"/>
    </row>
    <row r="261" spans="1:4" ht="15.75" outlineLevel="1">
      <c r="A261" s="40" t="s">
        <v>1076</v>
      </c>
      <c r="B261" s="41" t="s">
        <v>19</v>
      </c>
      <c r="C261" s="40">
        <v>5.55</v>
      </c>
      <c r="D261" s="114"/>
    </row>
    <row r="262" spans="1:4" ht="15.75" outlineLevel="1">
      <c r="A262" s="40" t="s">
        <v>1076</v>
      </c>
      <c r="B262" s="41" t="s">
        <v>20</v>
      </c>
      <c r="C262" s="40">
        <v>5.63</v>
      </c>
      <c r="D262" s="114"/>
    </row>
    <row r="263" spans="1:4" ht="15.75" outlineLevel="1">
      <c r="A263" s="40" t="s">
        <v>1076</v>
      </c>
      <c r="B263" s="41" t="s">
        <v>24</v>
      </c>
      <c r="C263" s="40">
        <v>5.47</v>
      </c>
      <c r="D263" s="114"/>
    </row>
    <row r="264" spans="1:4" ht="15.75" outlineLevel="1">
      <c r="A264" s="40" t="s">
        <v>1076</v>
      </c>
      <c r="B264" s="41" t="s">
        <v>25</v>
      </c>
      <c r="C264" s="40">
        <v>5.48</v>
      </c>
      <c r="D264" s="114"/>
    </row>
    <row r="265" spans="1:4" ht="15.75">
      <c r="A265" s="46" t="s">
        <v>1076</v>
      </c>
      <c r="B265" s="41"/>
      <c r="C265" s="40"/>
      <c r="D265" s="114"/>
    </row>
    <row r="266" spans="1:4" ht="15.75" outlineLevel="1">
      <c r="A266" s="40" t="s">
        <v>946</v>
      </c>
      <c r="B266" s="41" t="s">
        <v>0</v>
      </c>
      <c r="C266" s="40">
        <v>5.0999999999999996</v>
      </c>
      <c r="D266" s="114"/>
    </row>
    <row r="267" spans="1:4" ht="15.75" outlineLevel="1">
      <c r="A267" s="40" t="s">
        <v>946</v>
      </c>
      <c r="B267" s="41" t="s">
        <v>1</v>
      </c>
      <c r="C267" s="40">
        <v>5.2</v>
      </c>
      <c r="D267" s="114"/>
    </row>
    <row r="268" spans="1:4" ht="15.75" outlineLevel="1">
      <c r="A268" s="40" t="s">
        <v>946</v>
      </c>
      <c r="B268" s="41" t="s">
        <v>2</v>
      </c>
      <c r="C268" s="40">
        <v>5.3</v>
      </c>
      <c r="D268" s="114"/>
    </row>
    <row r="269" spans="1:4" ht="15.75" outlineLevel="1">
      <c r="A269" s="40" t="s">
        <v>946</v>
      </c>
      <c r="B269" s="41" t="s">
        <v>97</v>
      </c>
      <c r="C269" s="40">
        <v>5.6</v>
      </c>
      <c r="D269" s="114"/>
    </row>
    <row r="270" spans="1:4" ht="15.75" outlineLevel="1">
      <c r="A270" s="40" t="s">
        <v>946</v>
      </c>
      <c r="B270" s="41" t="s">
        <v>1067</v>
      </c>
      <c r="C270" s="42">
        <v>5.0999999999999996</v>
      </c>
      <c r="D270" s="114"/>
    </row>
    <row r="271" spans="1:4" ht="15.75" outlineLevel="1">
      <c r="A271" s="40" t="s">
        <v>946</v>
      </c>
      <c r="B271" s="41" t="s">
        <v>1066</v>
      </c>
      <c r="C271" s="40">
        <v>5.14</v>
      </c>
      <c r="D271" s="114"/>
    </row>
    <row r="272" spans="1:4" ht="15.75" outlineLevel="1">
      <c r="A272" s="40" t="s">
        <v>946</v>
      </c>
      <c r="B272" s="41" t="s">
        <v>4</v>
      </c>
      <c r="C272" s="40">
        <v>5.19</v>
      </c>
      <c r="D272" s="114"/>
    </row>
    <row r="273" spans="1:4" ht="15.75" outlineLevel="1">
      <c r="A273" s="40" t="s">
        <v>946</v>
      </c>
      <c r="B273" s="41" t="s">
        <v>99</v>
      </c>
      <c r="C273" s="40">
        <v>5.24</v>
      </c>
      <c r="D273" s="114"/>
    </row>
    <row r="274" spans="1:4" ht="15.75" outlineLevel="1">
      <c r="A274" s="40" t="s">
        <v>946</v>
      </c>
      <c r="B274" s="41" t="s">
        <v>5</v>
      </c>
      <c r="C274" s="40">
        <v>5.26</v>
      </c>
      <c r="D274" s="114"/>
    </row>
    <row r="275" spans="1:4" ht="15.75" outlineLevel="1">
      <c r="A275" s="40" t="s">
        <v>946</v>
      </c>
      <c r="B275" s="41" t="s">
        <v>6</v>
      </c>
      <c r="C275" s="40">
        <v>5.27</v>
      </c>
      <c r="D275" s="114"/>
    </row>
    <row r="276" spans="1:4" ht="15.75" outlineLevel="1">
      <c r="A276" s="40" t="s">
        <v>946</v>
      </c>
      <c r="B276" s="41" t="s">
        <v>7</v>
      </c>
      <c r="C276" s="40">
        <v>5.28</v>
      </c>
      <c r="D276" s="114"/>
    </row>
    <row r="277" spans="1:4" ht="15.75" outlineLevel="1">
      <c r="A277" s="40" t="s">
        <v>946</v>
      </c>
      <c r="B277" s="41" t="s">
        <v>274</v>
      </c>
      <c r="C277" s="40">
        <v>5.29</v>
      </c>
      <c r="D277" s="114"/>
    </row>
    <row r="278" spans="1:4" ht="15.75" outlineLevel="1">
      <c r="A278" s="40" t="s">
        <v>946</v>
      </c>
      <c r="B278" s="41" t="s">
        <v>8</v>
      </c>
      <c r="C278" s="42">
        <v>5.3</v>
      </c>
      <c r="D278" s="114"/>
    </row>
    <row r="279" spans="1:4" ht="15.75" outlineLevel="1">
      <c r="A279" s="40" t="s">
        <v>946</v>
      </c>
      <c r="B279" s="41" t="s">
        <v>123</v>
      </c>
      <c r="C279" s="40">
        <v>5.33</v>
      </c>
      <c r="D279" s="114"/>
    </row>
    <row r="280" spans="1:4" ht="15.75" outlineLevel="1">
      <c r="A280" s="40" t="s">
        <v>946</v>
      </c>
      <c r="B280" s="41" t="s">
        <v>78</v>
      </c>
      <c r="C280" s="40">
        <v>5.36</v>
      </c>
      <c r="D280" s="114"/>
    </row>
    <row r="281" spans="1:4" ht="15.75" outlineLevel="1">
      <c r="A281" s="40" t="s">
        <v>946</v>
      </c>
      <c r="B281" s="41" t="s">
        <v>12</v>
      </c>
      <c r="C281" s="40">
        <v>5.69</v>
      </c>
      <c r="D281" s="114"/>
    </row>
    <row r="282" spans="1:4" ht="15.75" outlineLevel="1">
      <c r="A282" s="40" t="s">
        <v>946</v>
      </c>
      <c r="B282" s="41" t="s">
        <v>14</v>
      </c>
      <c r="C282" s="42">
        <v>5.7</v>
      </c>
      <c r="D282" s="114"/>
    </row>
    <row r="283" spans="1:4" ht="15.75" outlineLevel="1">
      <c r="A283" s="40" t="s">
        <v>946</v>
      </c>
      <c r="B283" s="41" t="s">
        <v>15</v>
      </c>
      <c r="C283" s="40">
        <v>5.74</v>
      </c>
      <c r="D283" s="114"/>
    </row>
    <row r="284" spans="1:4" ht="15.75" outlineLevel="1">
      <c r="A284" s="40" t="s">
        <v>946</v>
      </c>
      <c r="B284" s="41" t="s">
        <v>9</v>
      </c>
      <c r="C284" s="40">
        <v>5.49</v>
      </c>
      <c r="D284" s="114"/>
    </row>
    <row r="285" spans="1:4" ht="15.75" outlineLevel="1">
      <c r="A285" s="40" t="s">
        <v>946</v>
      </c>
      <c r="B285" s="41" t="s">
        <v>10</v>
      </c>
      <c r="C285" s="40">
        <v>5.51</v>
      </c>
      <c r="D285" s="114"/>
    </row>
    <row r="286" spans="1:4" ht="15.75" outlineLevel="1">
      <c r="A286" s="40" t="s">
        <v>946</v>
      </c>
      <c r="B286" s="41" t="s">
        <v>1068</v>
      </c>
      <c r="C286" s="40">
        <v>5.52</v>
      </c>
      <c r="D286" s="114"/>
    </row>
    <row r="287" spans="1:4" ht="15.75" outlineLevel="1">
      <c r="A287" s="40" t="s">
        <v>946</v>
      </c>
      <c r="B287" s="41" t="s">
        <v>11</v>
      </c>
      <c r="C287" s="40">
        <v>5.53</v>
      </c>
      <c r="D287" s="114"/>
    </row>
    <row r="288" spans="1:4" ht="15.75" outlineLevel="1">
      <c r="A288" s="40" t="s">
        <v>946</v>
      </c>
      <c r="B288" s="41" t="s">
        <v>17</v>
      </c>
      <c r="C288" s="40">
        <v>5.58</v>
      </c>
      <c r="D288" s="114"/>
    </row>
    <row r="289" spans="1:4" ht="15.75" outlineLevel="1">
      <c r="A289" s="40" t="s">
        <v>946</v>
      </c>
      <c r="B289" s="41" t="s">
        <v>18</v>
      </c>
      <c r="C289" s="40">
        <v>5.54</v>
      </c>
      <c r="D289" s="114"/>
    </row>
    <row r="290" spans="1:4" ht="15.75" outlineLevel="1">
      <c r="A290" s="40" t="s">
        <v>946</v>
      </c>
      <c r="B290" s="41" t="s">
        <v>19</v>
      </c>
      <c r="C290" s="40">
        <v>5.55</v>
      </c>
      <c r="D290" s="114"/>
    </row>
    <row r="291" spans="1:4" ht="15.75" outlineLevel="1">
      <c r="A291" s="40" t="s">
        <v>946</v>
      </c>
      <c r="B291" s="41" t="s">
        <v>20</v>
      </c>
      <c r="C291" s="40">
        <v>5.63</v>
      </c>
      <c r="D291" s="114"/>
    </row>
    <row r="292" spans="1:4" ht="15.75" outlineLevel="1">
      <c r="A292" s="40" t="s">
        <v>946</v>
      </c>
      <c r="B292" s="41" t="s">
        <v>24</v>
      </c>
      <c r="C292" s="40">
        <v>5.47</v>
      </c>
      <c r="D292" s="114"/>
    </row>
    <row r="293" spans="1:4" ht="15.75" outlineLevel="1">
      <c r="A293" s="40" t="s">
        <v>946</v>
      </c>
      <c r="B293" s="41" t="s">
        <v>25</v>
      </c>
      <c r="C293" s="40">
        <v>5.48</v>
      </c>
      <c r="D293" s="114"/>
    </row>
    <row r="294" spans="1:4" ht="15.75">
      <c r="A294" s="46" t="s">
        <v>946</v>
      </c>
      <c r="B294" s="41"/>
      <c r="C294" s="40"/>
      <c r="D294" s="114"/>
    </row>
    <row r="295" spans="1:4" ht="31.5" outlineLevel="1">
      <c r="A295" s="40" t="s">
        <v>953</v>
      </c>
      <c r="B295" s="41" t="s">
        <v>0</v>
      </c>
      <c r="C295" s="40">
        <v>5.0999999999999996</v>
      </c>
      <c r="D295" s="114"/>
    </row>
    <row r="296" spans="1:4" ht="31.5" outlineLevel="1">
      <c r="A296" s="40" t="s">
        <v>953</v>
      </c>
      <c r="B296" s="41" t="s">
        <v>1</v>
      </c>
      <c r="C296" s="40">
        <v>5.2</v>
      </c>
      <c r="D296" s="114"/>
    </row>
    <row r="297" spans="1:4" ht="31.5" outlineLevel="1">
      <c r="A297" s="40" t="s">
        <v>953</v>
      </c>
      <c r="B297" s="41" t="s">
        <v>2</v>
      </c>
      <c r="C297" s="40">
        <v>5.3</v>
      </c>
      <c r="D297" s="114"/>
    </row>
    <row r="298" spans="1:4" ht="31.5" outlineLevel="1">
      <c r="A298" s="40" t="s">
        <v>953</v>
      </c>
      <c r="B298" s="41" t="s">
        <v>1066</v>
      </c>
      <c r="C298" s="40">
        <v>5.14</v>
      </c>
      <c r="D298" s="114"/>
    </row>
    <row r="299" spans="1:4" ht="31.5" outlineLevel="1">
      <c r="A299" s="40" t="s">
        <v>953</v>
      </c>
      <c r="B299" s="41" t="s">
        <v>4</v>
      </c>
      <c r="C299" s="40">
        <v>5.19</v>
      </c>
      <c r="D299" s="114"/>
    </row>
    <row r="300" spans="1:4" ht="31.5" outlineLevel="1">
      <c r="A300" s="40" t="s">
        <v>953</v>
      </c>
      <c r="B300" s="41" t="s">
        <v>99</v>
      </c>
      <c r="C300" s="40">
        <v>5.24</v>
      </c>
      <c r="D300" s="114"/>
    </row>
    <row r="301" spans="1:4" ht="31.5" outlineLevel="1">
      <c r="A301" s="40" t="s">
        <v>953</v>
      </c>
      <c r="B301" s="41" t="s">
        <v>5</v>
      </c>
      <c r="C301" s="40">
        <v>5.26</v>
      </c>
      <c r="D301" s="114"/>
    </row>
    <row r="302" spans="1:4" ht="31.5" outlineLevel="1">
      <c r="A302" s="40" t="s">
        <v>953</v>
      </c>
      <c r="B302" s="41" t="s">
        <v>6</v>
      </c>
      <c r="C302" s="40">
        <v>5.27</v>
      </c>
      <c r="D302" s="114"/>
    </row>
    <row r="303" spans="1:4" ht="31.5" outlineLevel="1">
      <c r="A303" s="40" t="s">
        <v>953</v>
      </c>
      <c r="B303" s="41" t="s">
        <v>7</v>
      </c>
      <c r="C303" s="40">
        <v>5.28</v>
      </c>
      <c r="D303" s="114"/>
    </row>
    <row r="304" spans="1:4" ht="31.5" outlineLevel="1">
      <c r="A304" s="40" t="s">
        <v>953</v>
      </c>
      <c r="B304" s="41" t="s">
        <v>108</v>
      </c>
      <c r="C304" s="40">
        <v>5.37</v>
      </c>
      <c r="D304" s="114"/>
    </row>
    <row r="305" spans="1:4" ht="31.5" outlineLevel="1">
      <c r="A305" s="40" t="s">
        <v>953</v>
      </c>
      <c r="B305" s="41" t="s">
        <v>9</v>
      </c>
      <c r="C305" s="40">
        <v>5.49</v>
      </c>
      <c r="D305" s="114"/>
    </row>
    <row r="306" spans="1:4" ht="31.5" outlineLevel="1">
      <c r="A306" s="40" t="s">
        <v>953</v>
      </c>
      <c r="B306" s="41" t="s">
        <v>10</v>
      </c>
      <c r="C306" s="40">
        <v>5.51</v>
      </c>
      <c r="D306" s="114"/>
    </row>
    <row r="307" spans="1:4" ht="31.5" outlineLevel="1">
      <c r="A307" s="40" t="s">
        <v>953</v>
      </c>
      <c r="B307" s="41" t="s">
        <v>11</v>
      </c>
      <c r="C307" s="40">
        <v>5.53</v>
      </c>
      <c r="D307" s="114"/>
    </row>
    <row r="308" spans="1:4" ht="31.5" outlineLevel="1">
      <c r="A308" s="40" t="s">
        <v>953</v>
      </c>
      <c r="B308" s="41" t="s">
        <v>12</v>
      </c>
      <c r="C308" s="40">
        <v>5.69</v>
      </c>
      <c r="D308" s="114"/>
    </row>
    <row r="309" spans="1:4" ht="31.5" outlineLevel="1">
      <c r="A309" s="40" t="s">
        <v>953</v>
      </c>
      <c r="B309" s="41" t="s">
        <v>13</v>
      </c>
      <c r="C309" s="40">
        <v>5.75</v>
      </c>
      <c r="D309" s="114"/>
    </row>
    <row r="310" spans="1:4" ht="31.5" outlineLevel="1">
      <c r="A310" s="40" t="s">
        <v>953</v>
      </c>
      <c r="B310" s="41" t="s">
        <v>14</v>
      </c>
      <c r="C310" s="42">
        <v>5.7</v>
      </c>
      <c r="D310" s="114"/>
    </row>
    <row r="311" spans="1:4" ht="31.5" outlineLevel="1">
      <c r="A311" s="40" t="s">
        <v>953</v>
      </c>
      <c r="B311" s="41" t="s">
        <v>15</v>
      </c>
      <c r="C311" s="40">
        <v>5.74</v>
      </c>
      <c r="D311" s="114"/>
    </row>
    <row r="312" spans="1:4" ht="31.5" outlineLevel="1">
      <c r="A312" s="40" t="s">
        <v>953</v>
      </c>
      <c r="B312" s="41" t="s">
        <v>17</v>
      </c>
      <c r="C312" s="40">
        <v>5.58</v>
      </c>
      <c r="D312" s="114"/>
    </row>
    <row r="313" spans="1:4" ht="31.5" outlineLevel="1">
      <c r="A313" s="40" t="s">
        <v>953</v>
      </c>
      <c r="B313" s="41" t="s">
        <v>18</v>
      </c>
      <c r="C313" s="40">
        <v>5.54</v>
      </c>
      <c r="D313" s="114"/>
    </row>
    <row r="314" spans="1:4" ht="31.5" outlineLevel="1">
      <c r="A314" s="40" t="s">
        <v>953</v>
      </c>
      <c r="B314" s="41" t="s">
        <v>19</v>
      </c>
      <c r="C314" s="40">
        <v>5.55</v>
      </c>
      <c r="D314" s="114"/>
    </row>
    <row r="315" spans="1:4" ht="31.5" outlineLevel="1">
      <c r="A315" s="40" t="s">
        <v>953</v>
      </c>
      <c r="B315" s="41" t="s">
        <v>20</v>
      </c>
      <c r="C315" s="40">
        <v>5.63</v>
      </c>
      <c r="D315" s="114"/>
    </row>
    <row r="316" spans="1:4" ht="31.5" outlineLevel="1">
      <c r="A316" s="40" t="s">
        <v>953</v>
      </c>
      <c r="B316" s="41" t="s">
        <v>21</v>
      </c>
      <c r="C316" s="40">
        <v>5.65</v>
      </c>
      <c r="D316" s="114"/>
    </row>
    <row r="317" spans="1:4" ht="31.5" outlineLevel="1">
      <c r="A317" s="40" t="s">
        <v>953</v>
      </c>
      <c r="B317" s="41" t="s">
        <v>22</v>
      </c>
      <c r="C317" s="40">
        <v>5.68</v>
      </c>
      <c r="D317" s="114"/>
    </row>
    <row r="318" spans="1:4" ht="31.5" outlineLevel="1">
      <c r="A318" s="40" t="s">
        <v>953</v>
      </c>
      <c r="B318" s="41" t="s">
        <v>24</v>
      </c>
      <c r="C318" s="40">
        <v>5.47</v>
      </c>
      <c r="D318" s="114"/>
    </row>
    <row r="319" spans="1:4" ht="31.5" outlineLevel="1">
      <c r="A319" s="40" t="s">
        <v>953</v>
      </c>
      <c r="B319" s="41" t="s">
        <v>25</v>
      </c>
      <c r="C319" s="40">
        <v>5.48</v>
      </c>
      <c r="D319" s="114"/>
    </row>
    <row r="320" spans="1:4" ht="31.5">
      <c r="A320" s="46" t="s">
        <v>953</v>
      </c>
      <c r="B320" s="41"/>
      <c r="C320" s="40"/>
      <c r="D320" s="114"/>
    </row>
    <row r="321" spans="1:4" ht="31.5" outlineLevel="1">
      <c r="A321" s="40" t="s">
        <v>954</v>
      </c>
      <c r="B321" s="41" t="s">
        <v>0</v>
      </c>
      <c r="C321" s="40">
        <v>5.0999999999999996</v>
      </c>
      <c r="D321" s="114"/>
    </row>
    <row r="322" spans="1:4" ht="31.5" outlineLevel="1">
      <c r="A322" s="40" t="s">
        <v>954</v>
      </c>
      <c r="B322" s="41" t="s">
        <v>1</v>
      </c>
      <c r="C322" s="40">
        <v>5.2</v>
      </c>
      <c r="D322" s="114"/>
    </row>
    <row r="323" spans="1:4" ht="31.5" outlineLevel="1">
      <c r="A323" s="40" t="s">
        <v>954</v>
      </c>
      <c r="B323" s="41" t="s">
        <v>5</v>
      </c>
      <c r="C323" s="40">
        <v>5.26</v>
      </c>
      <c r="D323" s="114"/>
    </row>
    <row r="324" spans="1:4" ht="31.5" outlineLevel="1">
      <c r="A324" s="40" t="s">
        <v>954</v>
      </c>
      <c r="B324" s="41" t="s">
        <v>1066</v>
      </c>
      <c r="C324" s="40">
        <v>5.14</v>
      </c>
      <c r="D324" s="114"/>
    </row>
    <row r="325" spans="1:4" ht="31.5" outlineLevel="1">
      <c r="A325" s="40" t="s">
        <v>954</v>
      </c>
      <c r="B325" s="41" t="s">
        <v>4</v>
      </c>
      <c r="C325" s="40">
        <v>5.19</v>
      </c>
      <c r="D325" s="114"/>
    </row>
    <row r="326" spans="1:4" ht="31.5" outlineLevel="1">
      <c r="A326" s="40" t="s">
        <v>954</v>
      </c>
      <c r="B326" s="41" t="s">
        <v>108</v>
      </c>
      <c r="C326" s="40">
        <v>5.37</v>
      </c>
      <c r="D326" s="114"/>
    </row>
    <row r="327" spans="1:4" ht="31.5" outlineLevel="1">
      <c r="A327" s="40" t="s">
        <v>954</v>
      </c>
      <c r="B327" s="41" t="s">
        <v>12</v>
      </c>
      <c r="C327" s="40">
        <v>5.69</v>
      </c>
      <c r="D327" s="114"/>
    </row>
    <row r="328" spans="1:4" ht="31.5" outlineLevel="1">
      <c r="A328" s="40" t="s">
        <v>954</v>
      </c>
      <c r="B328" s="41" t="s">
        <v>703</v>
      </c>
      <c r="C328" s="42">
        <v>5.8</v>
      </c>
      <c r="D328" s="114"/>
    </row>
    <row r="329" spans="1:4" ht="31.5" outlineLevel="1">
      <c r="A329" s="40" t="s">
        <v>954</v>
      </c>
      <c r="B329" s="41" t="s">
        <v>13</v>
      </c>
      <c r="C329" s="40">
        <v>5.75</v>
      </c>
      <c r="D329" s="114"/>
    </row>
    <row r="330" spans="1:4" ht="31.5" outlineLevel="1">
      <c r="A330" s="40" t="s">
        <v>954</v>
      </c>
      <c r="B330" s="41" t="s">
        <v>14</v>
      </c>
      <c r="C330" s="42">
        <v>5.7</v>
      </c>
      <c r="D330" s="114"/>
    </row>
    <row r="331" spans="1:4" ht="31.5" outlineLevel="1">
      <c r="A331" s="40" t="s">
        <v>954</v>
      </c>
      <c r="B331" s="41" t="s">
        <v>15</v>
      </c>
      <c r="C331" s="40">
        <v>5.74</v>
      </c>
      <c r="D331" s="114"/>
    </row>
    <row r="332" spans="1:4" ht="31.5" outlineLevel="1">
      <c r="A332" s="40" t="s">
        <v>954</v>
      </c>
      <c r="B332" s="41" t="s">
        <v>17</v>
      </c>
      <c r="C332" s="40">
        <v>5.58</v>
      </c>
      <c r="D332" s="114"/>
    </row>
    <row r="333" spans="1:4" ht="31.5" outlineLevel="1">
      <c r="A333" s="40" t="s">
        <v>954</v>
      </c>
      <c r="B333" s="41" t="s">
        <v>19</v>
      </c>
      <c r="C333" s="40">
        <v>5.55</v>
      </c>
      <c r="D333" s="114"/>
    </row>
    <row r="334" spans="1:4" ht="31.5" outlineLevel="1">
      <c r="A334" s="40" t="s">
        <v>954</v>
      </c>
      <c r="B334" s="41" t="s">
        <v>20</v>
      </c>
      <c r="C334" s="40">
        <v>5.63</v>
      </c>
      <c r="D334" s="114"/>
    </row>
    <row r="335" spans="1:4" ht="31.5" outlineLevel="1">
      <c r="A335" s="40" t="s">
        <v>954</v>
      </c>
      <c r="B335" s="41" t="s">
        <v>21</v>
      </c>
      <c r="C335" s="40">
        <v>5.65</v>
      </c>
      <c r="D335" s="114"/>
    </row>
    <row r="336" spans="1:4" ht="31.5" outlineLevel="1">
      <c r="A336" s="40" t="s">
        <v>954</v>
      </c>
      <c r="B336" s="41" t="s">
        <v>22</v>
      </c>
      <c r="C336" s="40">
        <v>5.68</v>
      </c>
      <c r="D336" s="114"/>
    </row>
    <row r="337" spans="1:4" ht="31.5" outlineLevel="1">
      <c r="A337" s="40" t="s">
        <v>954</v>
      </c>
      <c r="B337" s="41" t="s">
        <v>24</v>
      </c>
      <c r="C337" s="40">
        <v>5.47</v>
      </c>
      <c r="D337" s="114"/>
    </row>
    <row r="338" spans="1:4" ht="31.5" outlineLevel="1">
      <c r="A338" s="40" t="s">
        <v>954</v>
      </c>
      <c r="B338" s="41" t="s">
        <v>25</v>
      </c>
      <c r="C338" s="40">
        <v>5.48</v>
      </c>
      <c r="D338" s="114"/>
    </row>
    <row r="339" spans="1:4" ht="31.5">
      <c r="A339" s="46" t="s">
        <v>954</v>
      </c>
      <c r="B339" s="41"/>
      <c r="C339" s="40"/>
      <c r="D339" s="114"/>
    </row>
    <row r="340" spans="1:4" ht="31.5" outlineLevel="1">
      <c r="A340" s="40" t="s">
        <v>960</v>
      </c>
      <c r="B340" s="41" t="s">
        <v>1077</v>
      </c>
      <c r="C340" s="40">
        <v>5.0999999999999996</v>
      </c>
      <c r="D340" s="114"/>
    </row>
    <row r="341" spans="1:4" ht="31.5" outlineLevel="1">
      <c r="A341" s="40" t="s">
        <v>960</v>
      </c>
      <c r="B341" s="41" t="s">
        <v>1</v>
      </c>
      <c r="C341" s="40">
        <v>5.2</v>
      </c>
      <c r="D341" s="114"/>
    </row>
    <row r="342" spans="1:4" ht="31.5" outlineLevel="1">
      <c r="A342" s="40" t="s">
        <v>960</v>
      </c>
      <c r="B342" s="41" t="s">
        <v>5</v>
      </c>
      <c r="C342" s="40">
        <v>5.26</v>
      </c>
      <c r="D342" s="114"/>
    </row>
    <row r="343" spans="1:4" ht="31.5" outlineLevel="1">
      <c r="A343" s="40" t="s">
        <v>960</v>
      </c>
      <c r="B343" s="41" t="s">
        <v>1078</v>
      </c>
      <c r="C343" s="40">
        <v>5.38</v>
      </c>
      <c r="D343" s="114"/>
    </row>
    <row r="344" spans="1:4" ht="31.5" outlineLevel="1">
      <c r="A344" s="40" t="s">
        <v>960</v>
      </c>
      <c r="B344" s="41" t="s">
        <v>1079</v>
      </c>
      <c r="C344" s="40">
        <v>5.39</v>
      </c>
      <c r="D344" s="114"/>
    </row>
    <row r="345" spans="1:4" ht="31.5" outlineLevel="1">
      <c r="A345" s="40" t="s">
        <v>960</v>
      </c>
      <c r="B345" s="41" t="s">
        <v>1080</v>
      </c>
      <c r="C345" s="42">
        <v>5.6</v>
      </c>
      <c r="D345" s="114"/>
    </row>
    <row r="346" spans="1:4" ht="31.5" outlineLevel="1">
      <c r="A346" s="40" t="s">
        <v>960</v>
      </c>
      <c r="B346" s="41" t="s">
        <v>25</v>
      </c>
      <c r="C346" s="40">
        <v>5.48</v>
      </c>
      <c r="D346" s="114"/>
    </row>
    <row r="347" spans="1:4" ht="31.5">
      <c r="A347" s="46" t="s">
        <v>960</v>
      </c>
      <c r="B347" s="41"/>
      <c r="C347" s="40"/>
      <c r="D347" s="114"/>
    </row>
    <row r="348" spans="1:4" ht="31.5" outlineLevel="1">
      <c r="A348" s="40" t="s">
        <v>964</v>
      </c>
      <c r="B348" s="41" t="s">
        <v>0</v>
      </c>
      <c r="C348" s="40">
        <v>5.0999999999999996</v>
      </c>
      <c r="D348" s="114"/>
    </row>
    <row r="349" spans="1:4" ht="31.5" outlineLevel="1">
      <c r="A349" s="40" t="s">
        <v>964</v>
      </c>
      <c r="B349" s="41" t="s">
        <v>1</v>
      </c>
      <c r="C349" s="40">
        <v>5.2</v>
      </c>
      <c r="D349" s="114"/>
    </row>
    <row r="350" spans="1:4" ht="31.5" outlineLevel="1">
      <c r="A350" s="40" t="s">
        <v>964</v>
      </c>
      <c r="B350" s="41" t="s">
        <v>2</v>
      </c>
      <c r="C350" s="40">
        <v>5.3</v>
      </c>
      <c r="D350" s="114"/>
    </row>
    <row r="351" spans="1:4" ht="31.5" outlineLevel="1">
      <c r="A351" s="40" t="s">
        <v>964</v>
      </c>
      <c r="B351" s="41" t="s">
        <v>97</v>
      </c>
      <c r="C351" s="40">
        <v>5.6</v>
      </c>
      <c r="D351" s="114"/>
    </row>
    <row r="352" spans="1:4" ht="31.5" outlineLevel="1">
      <c r="A352" s="40" t="s">
        <v>964</v>
      </c>
      <c r="B352" s="41" t="s">
        <v>1067</v>
      </c>
      <c r="C352" s="42">
        <v>5.0999999999999996</v>
      </c>
      <c r="D352" s="114"/>
    </row>
    <row r="353" spans="1:4" ht="31.5" outlineLevel="1">
      <c r="A353" s="40" t="s">
        <v>964</v>
      </c>
      <c r="B353" s="41" t="s">
        <v>1066</v>
      </c>
      <c r="C353" s="40">
        <v>5.14</v>
      </c>
      <c r="D353" s="114"/>
    </row>
    <row r="354" spans="1:4" ht="31.5" outlineLevel="1">
      <c r="A354" s="40" t="s">
        <v>964</v>
      </c>
      <c r="B354" s="41" t="s">
        <v>4</v>
      </c>
      <c r="C354" s="40">
        <v>5.19</v>
      </c>
      <c r="D354" s="114"/>
    </row>
    <row r="355" spans="1:4" ht="31.5" outlineLevel="1">
      <c r="A355" s="40" t="s">
        <v>964</v>
      </c>
      <c r="B355" s="41" t="s">
        <v>99</v>
      </c>
      <c r="C355" s="40">
        <v>5.24</v>
      </c>
      <c r="D355" s="114"/>
    </row>
    <row r="356" spans="1:4" ht="31.5" outlineLevel="1">
      <c r="A356" s="40" t="s">
        <v>964</v>
      </c>
      <c r="B356" s="41" t="s">
        <v>5</v>
      </c>
      <c r="C356" s="40">
        <v>5.26</v>
      </c>
      <c r="D356" s="114"/>
    </row>
    <row r="357" spans="1:4" ht="31.5" outlineLevel="1">
      <c r="A357" s="40" t="s">
        <v>964</v>
      </c>
      <c r="B357" s="41" t="s">
        <v>6</v>
      </c>
      <c r="C357" s="40">
        <v>5.27</v>
      </c>
      <c r="D357" s="114"/>
    </row>
    <row r="358" spans="1:4" ht="31.5" outlineLevel="1">
      <c r="A358" s="40" t="s">
        <v>964</v>
      </c>
      <c r="B358" s="41" t="s">
        <v>7</v>
      </c>
      <c r="C358" s="40">
        <v>5.28</v>
      </c>
      <c r="D358" s="114"/>
    </row>
    <row r="359" spans="1:4" ht="31.5" outlineLevel="1">
      <c r="A359" s="40" t="s">
        <v>964</v>
      </c>
      <c r="B359" s="41" t="s">
        <v>100</v>
      </c>
      <c r="C359" s="40">
        <v>5.31</v>
      </c>
      <c r="D359" s="114"/>
    </row>
    <row r="360" spans="1:4" ht="31.5" outlineLevel="1">
      <c r="A360" s="40" t="s">
        <v>964</v>
      </c>
      <c r="B360" s="41" t="s">
        <v>78</v>
      </c>
      <c r="C360" s="40">
        <v>5.36</v>
      </c>
      <c r="D360" s="114"/>
    </row>
    <row r="361" spans="1:4" ht="31.5" outlineLevel="1">
      <c r="A361" s="40" t="s">
        <v>964</v>
      </c>
      <c r="B361" s="41" t="s">
        <v>108</v>
      </c>
      <c r="C361" s="40">
        <v>5.37</v>
      </c>
      <c r="D361" s="114"/>
    </row>
    <row r="362" spans="1:4" ht="31.5" outlineLevel="1">
      <c r="A362" s="40" t="s">
        <v>964</v>
      </c>
      <c r="B362" s="41" t="s">
        <v>9</v>
      </c>
      <c r="C362" s="40">
        <v>5.49</v>
      </c>
      <c r="D362" s="114"/>
    </row>
    <row r="363" spans="1:4" ht="31.5" outlineLevel="1">
      <c r="A363" s="40" t="s">
        <v>964</v>
      </c>
      <c r="B363" s="41" t="s">
        <v>10</v>
      </c>
      <c r="C363" s="40">
        <v>5.51</v>
      </c>
      <c r="D363" s="114"/>
    </row>
    <row r="364" spans="1:4" ht="31.5" outlineLevel="1">
      <c r="A364" s="40" t="s">
        <v>964</v>
      </c>
      <c r="B364" s="41" t="s">
        <v>1068</v>
      </c>
      <c r="C364" s="40">
        <v>5.52</v>
      </c>
      <c r="D364" s="114"/>
    </row>
    <row r="365" spans="1:4" ht="31.5" outlineLevel="1">
      <c r="A365" s="40" t="s">
        <v>964</v>
      </c>
      <c r="B365" s="41" t="s">
        <v>11</v>
      </c>
      <c r="C365" s="40">
        <v>5.53</v>
      </c>
      <c r="D365" s="114"/>
    </row>
    <row r="366" spans="1:4" ht="31.5" outlineLevel="1">
      <c r="A366" s="40" t="s">
        <v>964</v>
      </c>
      <c r="B366" s="41" t="s">
        <v>12</v>
      </c>
      <c r="C366" s="40">
        <v>5.69</v>
      </c>
      <c r="D366" s="114"/>
    </row>
    <row r="367" spans="1:4" ht="31.5" outlineLevel="1">
      <c r="A367" s="40" t="s">
        <v>964</v>
      </c>
      <c r="B367" s="41" t="s">
        <v>703</v>
      </c>
      <c r="C367" s="42">
        <v>5.8</v>
      </c>
      <c r="D367" s="114"/>
    </row>
    <row r="368" spans="1:4" ht="31.5" outlineLevel="1">
      <c r="A368" s="40" t="s">
        <v>964</v>
      </c>
      <c r="B368" s="41" t="s">
        <v>860</v>
      </c>
      <c r="C368" s="42">
        <v>5.72</v>
      </c>
      <c r="D368" s="114"/>
    </row>
    <row r="369" spans="1:4" ht="31.5" outlineLevel="1">
      <c r="A369" s="40" t="s">
        <v>964</v>
      </c>
      <c r="B369" s="41" t="s">
        <v>13</v>
      </c>
      <c r="C369" s="40">
        <v>5.75</v>
      </c>
      <c r="D369" s="114"/>
    </row>
    <row r="370" spans="1:4" ht="31.5" outlineLevel="1">
      <c r="A370" s="40" t="s">
        <v>964</v>
      </c>
      <c r="B370" s="41" t="s">
        <v>14</v>
      </c>
      <c r="C370" s="42">
        <v>5.7</v>
      </c>
      <c r="D370" s="114"/>
    </row>
    <row r="371" spans="1:4" ht="31.5" outlineLevel="1">
      <c r="A371" s="40" t="s">
        <v>964</v>
      </c>
      <c r="B371" s="41" t="s">
        <v>15</v>
      </c>
      <c r="C371" s="40">
        <v>5.74</v>
      </c>
      <c r="D371" s="114"/>
    </row>
    <row r="372" spans="1:4" ht="31.5" outlineLevel="1">
      <c r="A372" s="40" t="s">
        <v>964</v>
      </c>
      <c r="B372" s="41" t="s">
        <v>359</v>
      </c>
      <c r="C372" s="40">
        <v>5.76</v>
      </c>
      <c r="D372" s="114"/>
    </row>
    <row r="373" spans="1:4" ht="31.5" outlineLevel="1">
      <c r="A373" s="40" t="s">
        <v>964</v>
      </c>
      <c r="B373" s="41" t="s">
        <v>781</v>
      </c>
      <c r="C373" s="40">
        <v>5.89</v>
      </c>
      <c r="D373" s="113" t="s">
        <v>1065</v>
      </c>
    </row>
    <row r="374" spans="1:4" ht="31.5" outlineLevel="1">
      <c r="A374" s="40" t="s">
        <v>964</v>
      </c>
      <c r="B374" s="41" t="s">
        <v>101</v>
      </c>
      <c r="C374" s="40">
        <v>5.109</v>
      </c>
      <c r="D374" s="113"/>
    </row>
    <row r="375" spans="1:4" ht="31.5" outlineLevel="1">
      <c r="A375" s="40" t="s">
        <v>964</v>
      </c>
      <c r="B375" s="41" t="s">
        <v>102</v>
      </c>
      <c r="C375" s="40">
        <v>5.1109999999999998</v>
      </c>
      <c r="D375" s="114"/>
    </row>
    <row r="376" spans="1:4" ht="31.5" outlineLevel="1">
      <c r="A376" s="40" t="s">
        <v>964</v>
      </c>
      <c r="B376" s="41" t="s">
        <v>87</v>
      </c>
      <c r="C376" s="40">
        <v>5.1120000000000001</v>
      </c>
      <c r="D376" s="114"/>
    </row>
    <row r="377" spans="1:4" ht="31.5" outlineLevel="1">
      <c r="A377" s="40" t="s">
        <v>964</v>
      </c>
      <c r="B377" s="41" t="s">
        <v>1081</v>
      </c>
      <c r="C377" s="40">
        <v>5.1130000000000004</v>
      </c>
      <c r="D377" s="114"/>
    </row>
    <row r="378" spans="1:4" ht="31.5" outlineLevel="1">
      <c r="A378" s="40" t="s">
        <v>964</v>
      </c>
      <c r="B378" s="41" t="s">
        <v>17</v>
      </c>
      <c r="C378" s="40">
        <v>5.58</v>
      </c>
      <c r="D378" s="114"/>
    </row>
    <row r="379" spans="1:4" ht="31.5" outlineLevel="1">
      <c r="A379" s="40" t="s">
        <v>964</v>
      </c>
      <c r="B379" s="41" t="s">
        <v>18</v>
      </c>
      <c r="C379" s="40">
        <v>5.54</v>
      </c>
      <c r="D379" s="114"/>
    </row>
    <row r="380" spans="1:4" ht="31.5" outlineLevel="1">
      <c r="A380" s="40" t="s">
        <v>964</v>
      </c>
      <c r="B380" s="41" t="s">
        <v>19</v>
      </c>
      <c r="C380" s="40">
        <v>5.55</v>
      </c>
      <c r="D380" s="114"/>
    </row>
    <row r="381" spans="1:4" ht="31.5" outlineLevel="1">
      <c r="A381" s="40" t="s">
        <v>964</v>
      </c>
      <c r="B381" s="41" t="s">
        <v>20</v>
      </c>
      <c r="C381" s="40">
        <v>5.63</v>
      </c>
      <c r="D381" s="114"/>
    </row>
    <row r="382" spans="1:4" ht="31.5" outlineLevel="1">
      <c r="A382" s="40" t="s">
        <v>964</v>
      </c>
      <c r="B382" s="41" t="s">
        <v>21</v>
      </c>
      <c r="C382" s="40">
        <v>5.65</v>
      </c>
      <c r="D382" s="114"/>
    </row>
    <row r="383" spans="1:4" ht="31.5" outlineLevel="1">
      <c r="A383" s="40" t="s">
        <v>964</v>
      </c>
      <c r="B383" s="41" t="s">
        <v>116</v>
      </c>
      <c r="C383" s="40">
        <v>5.66</v>
      </c>
      <c r="D383" s="114"/>
    </row>
    <row r="384" spans="1:4" ht="31.5" outlineLevel="1">
      <c r="A384" s="40" t="s">
        <v>964</v>
      </c>
      <c r="B384" s="41" t="s">
        <v>22</v>
      </c>
      <c r="C384" s="40">
        <v>5.68</v>
      </c>
      <c r="D384" s="114"/>
    </row>
    <row r="385" spans="1:4" ht="31.5" outlineLevel="1">
      <c r="A385" s="40" t="s">
        <v>964</v>
      </c>
      <c r="B385" s="41" t="s">
        <v>24</v>
      </c>
      <c r="C385" s="40">
        <v>5.47</v>
      </c>
      <c r="D385" s="114"/>
    </row>
    <row r="386" spans="1:4" ht="31.5" outlineLevel="1">
      <c r="A386" s="40" t="s">
        <v>964</v>
      </c>
      <c r="B386" s="41" t="s">
        <v>25</v>
      </c>
      <c r="C386" s="40">
        <v>5.48</v>
      </c>
      <c r="D386" s="114"/>
    </row>
    <row r="387" spans="1:4" ht="31.5">
      <c r="A387" s="46" t="s">
        <v>964</v>
      </c>
      <c r="B387" s="41"/>
      <c r="C387" s="40"/>
      <c r="D387" s="114"/>
    </row>
    <row r="388" spans="1:4" ht="15.75" outlineLevel="1">
      <c r="A388" s="40" t="s">
        <v>966</v>
      </c>
      <c r="B388" s="41" t="s">
        <v>0</v>
      </c>
      <c r="C388" s="40">
        <v>5.0999999999999996</v>
      </c>
      <c r="D388" s="114"/>
    </row>
    <row r="389" spans="1:4" ht="15.75" outlineLevel="1">
      <c r="A389" s="40" t="s">
        <v>966</v>
      </c>
      <c r="B389" s="41" t="s">
        <v>1</v>
      </c>
      <c r="C389" s="40">
        <v>5.2</v>
      </c>
      <c r="D389" s="114"/>
    </row>
    <row r="390" spans="1:4" ht="15.75" outlineLevel="1">
      <c r="A390" s="40" t="s">
        <v>966</v>
      </c>
      <c r="B390" s="41" t="s">
        <v>2</v>
      </c>
      <c r="C390" s="40">
        <v>5.3</v>
      </c>
      <c r="D390" s="114"/>
    </row>
    <row r="391" spans="1:4" ht="15.75" outlineLevel="1">
      <c r="A391" s="40" t="s">
        <v>966</v>
      </c>
      <c r="B391" s="41" t="s">
        <v>97</v>
      </c>
      <c r="C391" s="40">
        <v>5.6</v>
      </c>
      <c r="D391" s="114"/>
    </row>
    <row r="392" spans="1:4" ht="15.75" outlineLevel="1">
      <c r="A392" s="40" t="s">
        <v>966</v>
      </c>
      <c r="B392" s="41" t="s">
        <v>1067</v>
      </c>
      <c r="C392" s="42">
        <v>5.0999999999999996</v>
      </c>
      <c r="D392" s="114"/>
    </row>
    <row r="393" spans="1:4" ht="15.75" outlineLevel="1">
      <c r="A393" s="40" t="s">
        <v>966</v>
      </c>
      <c r="B393" s="41" t="s">
        <v>1066</v>
      </c>
      <c r="C393" s="40">
        <v>5.14</v>
      </c>
      <c r="D393" s="114"/>
    </row>
    <row r="394" spans="1:4" ht="15.75" outlineLevel="1">
      <c r="A394" s="40" t="s">
        <v>966</v>
      </c>
      <c r="B394" s="41" t="s">
        <v>4</v>
      </c>
      <c r="C394" s="40">
        <v>5.19</v>
      </c>
      <c r="D394" s="114"/>
    </row>
    <row r="395" spans="1:4" ht="15.75" outlineLevel="1">
      <c r="A395" s="40" t="s">
        <v>966</v>
      </c>
      <c r="B395" s="41" t="s">
        <v>99</v>
      </c>
      <c r="C395" s="40">
        <v>5.24</v>
      </c>
      <c r="D395" s="114"/>
    </row>
    <row r="396" spans="1:4" ht="15.75" outlineLevel="1">
      <c r="A396" s="40" t="s">
        <v>966</v>
      </c>
      <c r="B396" s="41" t="s">
        <v>5</v>
      </c>
      <c r="C396" s="40">
        <v>5.26</v>
      </c>
      <c r="D396" s="114"/>
    </row>
    <row r="397" spans="1:4" ht="15.75" outlineLevel="1">
      <c r="A397" s="40" t="s">
        <v>966</v>
      </c>
      <c r="B397" s="41" t="s">
        <v>6</v>
      </c>
      <c r="C397" s="40">
        <v>5.27</v>
      </c>
      <c r="D397" s="114"/>
    </row>
    <row r="398" spans="1:4" ht="15.75" outlineLevel="1">
      <c r="A398" s="40" t="s">
        <v>966</v>
      </c>
      <c r="B398" s="41" t="s">
        <v>7</v>
      </c>
      <c r="C398" s="40">
        <v>5.28</v>
      </c>
      <c r="D398" s="114"/>
    </row>
    <row r="399" spans="1:4" ht="15.75" outlineLevel="1">
      <c r="A399" s="40" t="s">
        <v>966</v>
      </c>
      <c r="B399" s="41" t="s">
        <v>274</v>
      </c>
      <c r="C399" s="40">
        <v>5.29</v>
      </c>
      <c r="D399" s="114"/>
    </row>
    <row r="400" spans="1:4" ht="15.75" outlineLevel="1">
      <c r="A400" s="40" t="s">
        <v>966</v>
      </c>
      <c r="B400" s="41" t="s">
        <v>100</v>
      </c>
      <c r="C400" s="40">
        <v>5.31</v>
      </c>
      <c r="D400" s="114"/>
    </row>
    <row r="401" spans="1:4" ht="15.75" outlineLevel="1">
      <c r="A401" s="40" t="s">
        <v>966</v>
      </c>
      <c r="B401" s="41" t="s">
        <v>78</v>
      </c>
      <c r="C401" s="40">
        <v>5.36</v>
      </c>
      <c r="D401" s="114"/>
    </row>
    <row r="402" spans="1:4" ht="15.75" outlineLevel="1">
      <c r="A402" s="40" t="s">
        <v>966</v>
      </c>
      <c r="B402" s="41" t="s">
        <v>108</v>
      </c>
      <c r="C402" s="40">
        <v>5.37</v>
      </c>
      <c r="D402" s="114"/>
    </row>
    <row r="403" spans="1:4" ht="15.75" outlineLevel="1">
      <c r="A403" s="40" t="s">
        <v>966</v>
      </c>
      <c r="B403" s="41" t="s">
        <v>9</v>
      </c>
      <c r="C403" s="40">
        <v>5.49</v>
      </c>
      <c r="D403" s="114"/>
    </row>
    <row r="404" spans="1:4" ht="15.75" outlineLevel="1">
      <c r="A404" s="40" t="s">
        <v>966</v>
      </c>
      <c r="B404" s="41" t="s">
        <v>10</v>
      </c>
      <c r="C404" s="40">
        <v>5.51</v>
      </c>
      <c r="D404" s="114"/>
    </row>
    <row r="405" spans="1:4" ht="15.75" outlineLevel="1">
      <c r="A405" s="40" t="s">
        <v>966</v>
      </c>
      <c r="B405" s="41" t="s">
        <v>1068</v>
      </c>
      <c r="C405" s="40">
        <v>5.52</v>
      </c>
      <c r="D405" s="114"/>
    </row>
    <row r="406" spans="1:4" ht="15.75" outlineLevel="1">
      <c r="A406" s="40" t="s">
        <v>966</v>
      </c>
      <c r="B406" s="41" t="s">
        <v>11</v>
      </c>
      <c r="C406" s="40">
        <v>5.53</v>
      </c>
      <c r="D406" s="114"/>
    </row>
    <row r="407" spans="1:4" ht="15.75" outlineLevel="1">
      <c r="A407" s="40" t="s">
        <v>966</v>
      </c>
      <c r="B407" s="41" t="s">
        <v>12</v>
      </c>
      <c r="C407" s="40">
        <v>5.69</v>
      </c>
      <c r="D407" s="114"/>
    </row>
    <row r="408" spans="1:4" ht="15.75" outlineLevel="1">
      <c r="A408" s="40" t="s">
        <v>966</v>
      </c>
      <c r="B408" s="41" t="s">
        <v>13</v>
      </c>
      <c r="C408" s="40">
        <v>5.75</v>
      </c>
      <c r="D408" s="114"/>
    </row>
    <row r="409" spans="1:4" ht="15.75" outlineLevel="1">
      <c r="A409" s="40" t="s">
        <v>966</v>
      </c>
      <c r="B409" s="41" t="s">
        <v>15</v>
      </c>
      <c r="C409" s="40">
        <v>5.74</v>
      </c>
      <c r="D409" s="114"/>
    </row>
    <row r="410" spans="1:4" ht="15.75" outlineLevel="1">
      <c r="A410" s="40" t="s">
        <v>966</v>
      </c>
      <c r="B410" s="41" t="s">
        <v>14</v>
      </c>
      <c r="C410" s="42">
        <v>5.7</v>
      </c>
      <c r="D410" s="114"/>
    </row>
    <row r="411" spans="1:4" ht="15.75" outlineLevel="1">
      <c r="A411" s="40" t="s">
        <v>966</v>
      </c>
      <c r="B411" s="41" t="s">
        <v>359</v>
      </c>
      <c r="C411" s="40">
        <v>5.76</v>
      </c>
      <c r="D411" s="114"/>
    </row>
    <row r="412" spans="1:4" ht="15.75" outlineLevel="1">
      <c r="A412" s="40" t="s">
        <v>966</v>
      </c>
      <c r="B412" s="41" t="s">
        <v>781</v>
      </c>
      <c r="C412" s="40">
        <v>5.89</v>
      </c>
      <c r="D412" s="113" t="s">
        <v>1065</v>
      </c>
    </row>
    <row r="413" spans="1:4" ht="15.75" outlineLevel="1">
      <c r="A413" s="40" t="s">
        <v>966</v>
      </c>
      <c r="B413" s="41" t="s">
        <v>101</v>
      </c>
      <c r="C413" s="40">
        <v>5.109</v>
      </c>
      <c r="D413" s="114"/>
    </row>
    <row r="414" spans="1:4" ht="15.75" outlineLevel="1">
      <c r="A414" s="40" t="s">
        <v>966</v>
      </c>
      <c r="B414" s="41" t="s">
        <v>102</v>
      </c>
      <c r="C414" s="40">
        <v>5.1109999999999998</v>
      </c>
      <c r="D414" s="114"/>
    </row>
    <row r="415" spans="1:4" ht="15.75" outlineLevel="1">
      <c r="A415" s="40" t="s">
        <v>966</v>
      </c>
      <c r="B415" s="41" t="s">
        <v>87</v>
      </c>
      <c r="C415" s="40">
        <v>5.1120000000000001</v>
      </c>
      <c r="D415" s="114"/>
    </row>
    <row r="416" spans="1:4" ht="15.75" outlineLevel="1">
      <c r="A416" s="40" t="s">
        <v>966</v>
      </c>
      <c r="B416" s="41" t="s">
        <v>1081</v>
      </c>
      <c r="C416" s="40">
        <v>5.1130000000000004</v>
      </c>
      <c r="D416" s="114"/>
    </row>
    <row r="417" spans="1:4" ht="15.75" outlineLevel="1">
      <c r="A417" s="40" t="s">
        <v>966</v>
      </c>
      <c r="B417" s="41" t="s">
        <v>17</v>
      </c>
      <c r="C417" s="40">
        <v>5.58</v>
      </c>
      <c r="D417" s="114"/>
    </row>
    <row r="418" spans="1:4" ht="15.75" outlineLevel="1">
      <c r="A418" s="40" t="s">
        <v>966</v>
      </c>
      <c r="B418" s="41" t="s">
        <v>18</v>
      </c>
      <c r="C418" s="40">
        <v>5.54</v>
      </c>
      <c r="D418" s="114"/>
    </row>
    <row r="419" spans="1:4" ht="15.75" outlineLevel="1">
      <c r="A419" s="40" t="s">
        <v>966</v>
      </c>
      <c r="B419" s="41" t="s">
        <v>19</v>
      </c>
      <c r="C419" s="40">
        <v>5.55</v>
      </c>
      <c r="D419" s="114"/>
    </row>
    <row r="420" spans="1:4" ht="15.75" outlineLevel="1">
      <c r="A420" s="40" t="s">
        <v>966</v>
      </c>
      <c r="B420" s="41" t="s">
        <v>20</v>
      </c>
      <c r="C420" s="40">
        <v>5.63</v>
      </c>
      <c r="D420" s="114"/>
    </row>
    <row r="421" spans="1:4" ht="15.75" outlineLevel="1">
      <c r="A421" s="40" t="s">
        <v>966</v>
      </c>
      <c r="B421" s="41" t="s">
        <v>21</v>
      </c>
      <c r="C421" s="40">
        <v>5.65</v>
      </c>
      <c r="D421" s="114"/>
    </row>
    <row r="422" spans="1:4" ht="15.75" outlineLevel="1">
      <c r="A422" s="40" t="s">
        <v>966</v>
      </c>
      <c r="B422" s="41" t="s">
        <v>116</v>
      </c>
      <c r="C422" s="40">
        <v>5.66</v>
      </c>
      <c r="D422" s="114"/>
    </row>
    <row r="423" spans="1:4" ht="15.75" outlineLevel="1">
      <c r="A423" s="40" t="s">
        <v>966</v>
      </c>
      <c r="B423" s="41" t="s">
        <v>22</v>
      </c>
      <c r="C423" s="40">
        <v>5.68</v>
      </c>
      <c r="D423" s="114"/>
    </row>
    <row r="424" spans="1:4" ht="15.75" outlineLevel="1">
      <c r="A424" s="40" t="s">
        <v>966</v>
      </c>
      <c r="B424" s="41" t="s">
        <v>24</v>
      </c>
      <c r="C424" s="40">
        <v>5.47</v>
      </c>
      <c r="D424" s="114"/>
    </row>
    <row r="425" spans="1:4" ht="15.75" outlineLevel="1">
      <c r="A425" s="40" t="s">
        <v>966</v>
      </c>
      <c r="B425" s="41" t="s">
        <v>25</v>
      </c>
      <c r="C425" s="40">
        <v>5.48</v>
      </c>
      <c r="D425" s="114"/>
    </row>
    <row r="426" spans="1:4" ht="15.75">
      <c r="A426" s="46" t="s">
        <v>966</v>
      </c>
      <c r="B426" s="41"/>
      <c r="C426" s="40"/>
      <c r="D426" s="114"/>
    </row>
    <row r="427" spans="1:4" ht="15.75" outlineLevel="1">
      <c r="A427" s="40" t="s">
        <v>1082</v>
      </c>
      <c r="B427" s="41" t="s">
        <v>0</v>
      </c>
      <c r="C427" s="40">
        <v>5.0999999999999996</v>
      </c>
      <c r="D427" s="114"/>
    </row>
    <row r="428" spans="1:4" ht="15.75" outlineLevel="1">
      <c r="A428" s="40" t="s">
        <v>1082</v>
      </c>
      <c r="B428" s="41" t="s">
        <v>1</v>
      </c>
      <c r="C428" s="40">
        <v>5.2</v>
      </c>
      <c r="D428" s="114"/>
    </row>
    <row r="429" spans="1:4" ht="15.75" outlineLevel="1">
      <c r="A429" s="40" t="s">
        <v>1082</v>
      </c>
      <c r="B429" s="41" t="s">
        <v>2</v>
      </c>
      <c r="C429" s="40">
        <v>5.3</v>
      </c>
      <c r="D429" s="114"/>
    </row>
    <row r="430" spans="1:4" ht="15.75" outlineLevel="1">
      <c r="A430" s="40" t="s">
        <v>1082</v>
      </c>
      <c r="B430" s="41" t="s">
        <v>97</v>
      </c>
      <c r="C430" s="40">
        <v>5.6</v>
      </c>
      <c r="D430" s="114"/>
    </row>
    <row r="431" spans="1:4" ht="15.75" outlineLevel="1">
      <c r="A431" s="40" t="s">
        <v>1082</v>
      </c>
      <c r="B431" s="41" t="s">
        <v>1067</v>
      </c>
      <c r="C431" s="42">
        <v>5.0999999999999996</v>
      </c>
      <c r="D431" s="114"/>
    </row>
    <row r="432" spans="1:4" ht="15.75" outlineLevel="1">
      <c r="A432" s="40" t="s">
        <v>1082</v>
      </c>
      <c r="B432" s="41" t="s">
        <v>1066</v>
      </c>
      <c r="C432" s="40">
        <v>5.14</v>
      </c>
      <c r="D432" s="114"/>
    </row>
    <row r="433" spans="1:4" ht="15.75" outlineLevel="1">
      <c r="A433" s="40" t="s">
        <v>1082</v>
      </c>
      <c r="B433" s="41" t="s">
        <v>4</v>
      </c>
      <c r="C433" s="40">
        <v>5.19</v>
      </c>
      <c r="D433" s="114"/>
    </row>
    <row r="434" spans="1:4" ht="15.75" outlineLevel="1">
      <c r="A434" s="40" t="s">
        <v>1082</v>
      </c>
      <c r="B434" s="41" t="s">
        <v>99</v>
      </c>
      <c r="C434" s="40">
        <v>5.24</v>
      </c>
      <c r="D434" s="114"/>
    </row>
    <row r="435" spans="1:4" ht="15.75" outlineLevel="1">
      <c r="A435" s="40" t="s">
        <v>1082</v>
      </c>
      <c r="B435" s="41" t="s">
        <v>5</v>
      </c>
      <c r="C435" s="40">
        <v>5.26</v>
      </c>
      <c r="D435" s="114"/>
    </row>
    <row r="436" spans="1:4" ht="15.75" outlineLevel="1">
      <c r="A436" s="40" t="s">
        <v>1082</v>
      </c>
      <c r="B436" s="41" t="s">
        <v>6</v>
      </c>
      <c r="C436" s="40">
        <v>5.27</v>
      </c>
      <c r="D436" s="114"/>
    </row>
    <row r="437" spans="1:4" ht="15.75" outlineLevel="1">
      <c r="A437" s="40" t="s">
        <v>1082</v>
      </c>
      <c r="B437" s="41" t="s">
        <v>7</v>
      </c>
      <c r="C437" s="40">
        <v>5.28</v>
      </c>
      <c r="D437" s="114"/>
    </row>
    <row r="438" spans="1:4" ht="15.75" outlineLevel="1">
      <c r="A438" s="40" t="s">
        <v>1082</v>
      </c>
      <c r="B438" s="41" t="s">
        <v>274</v>
      </c>
      <c r="C438" s="40">
        <v>5.29</v>
      </c>
      <c r="D438" s="114"/>
    </row>
    <row r="439" spans="1:4" ht="15.75" outlineLevel="1">
      <c r="A439" s="40" t="s">
        <v>1082</v>
      </c>
      <c r="B439" s="41" t="s">
        <v>100</v>
      </c>
      <c r="C439" s="40">
        <v>5.31</v>
      </c>
      <c r="D439" s="114"/>
    </row>
    <row r="440" spans="1:4" ht="15.75" outlineLevel="1">
      <c r="A440" s="40" t="s">
        <v>1082</v>
      </c>
      <c r="B440" s="41" t="s">
        <v>78</v>
      </c>
      <c r="C440" s="40">
        <v>5.36</v>
      </c>
      <c r="D440" s="114"/>
    </row>
    <row r="441" spans="1:4" ht="15.75" outlineLevel="1">
      <c r="A441" s="40" t="s">
        <v>1082</v>
      </c>
      <c r="B441" s="41" t="s">
        <v>108</v>
      </c>
      <c r="C441" s="40">
        <v>5.37</v>
      </c>
      <c r="D441" s="114"/>
    </row>
    <row r="442" spans="1:4" ht="15.75" outlineLevel="1">
      <c r="A442" s="40" t="s">
        <v>1082</v>
      </c>
      <c r="B442" s="41" t="s">
        <v>11</v>
      </c>
      <c r="C442" s="40">
        <v>5.53</v>
      </c>
      <c r="D442" s="114"/>
    </row>
    <row r="443" spans="1:4" ht="15.75" outlineLevel="1">
      <c r="A443" s="40" t="s">
        <v>1082</v>
      </c>
      <c r="B443" s="41" t="s">
        <v>101</v>
      </c>
      <c r="C443" s="40">
        <v>5.109</v>
      </c>
      <c r="D443" s="114"/>
    </row>
    <row r="444" spans="1:4" ht="15.75" outlineLevel="1">
      <c r="A444" s="40" t="s">
        <v>1082</v>
      </c>
      <c r="B444" s="41" t="s">
        <v>102</v>
      </c>
      <c r="C444" s="40">
        <v>5.1109999999999998</v>
      </c>
      <c r="D444" s="114"/>
    </row>
    <row r="445" spans="1:4" ht="15.75" outlineLevel="1">
      <c r="A445" s="40" t="s">
        <v>1082</v>
      </c>
      <c r="B445" s="41" t="s">
        <v>87</v>
      </c>
      <c r="C445" s="40">
        <v>5.1120000000000001</v>
      </c>
      <c r="D445" s="114"/>
    </row>
    <row r="446" spans="1:4" ht="15.75" outlineLevel="1">
      <c r="A446" s="40" t="s">
        <v>1082</v>
      </c>
      <c r="B446" s="41" t="s">
        <v>1081</v>
      </c>
      <c r="C446" s="40">
        <v>5.1130000000000004</v>
      </c>
      <c r="D446" s="114"/>
    </row>
    <row r="447" spans="1:4" ht="15.75" outlineLevel="1">
      <c r="A447" s="40" t="s">
        <v>1082</v>
      </c>
      <c r="B447" s="41" t="s">
        <v>17</v>
      </c>
      <c r="C447" s="40">
        <v>5.58</v>
      </c>
      <c r="D447" s="114"/>
    </row>
    <row r="448" spans="1:4" ht="15.75" outlineLevel="1">
      <c r="A448" s="40" t="s">
        <v>1082</v>
      </c>
      <c r="B448" s="41" t="s">
        <v>18</v>
      </c>
      <c r="C448" s="40">
        <v>5.54</v>
      </c>
      <c r="D448" s="114"/>
    </row>
    <row r="449" spans="1:4" ht="15.75" outlineLevel="1">
      <c r="A449" s="40" t="s">
        <v>1082</v>
      </c>
      <c r="B449" s="41" t="s">
        <v>19</v>
      </c>
      <c r="C449" s="40">
        <v>5.55</v>
      </c>
      <c r="D449" s="114"/>
    </row>
    <row r="450" spans="1:4" ht="15.75" outlineLevel="1">
      <c r="A450" s="40" t="s">
        <v>1082</v>
      </c>
      <c r="B450" s="41" t="s">
        <v>20</v>
      </c>
      <c r="C450" s="40">
        <v>5.63</v>
      </c>
      <c r="D450" s="114"/>
    </row>
    <row r="451" spans="1:4" ht="15.75" outlineLevel="1">
      <c r="A451" s="40" t="s">
        <v>1082</v>
      </c>
      <c r="B451" s="41" t="s">
        <v>24</v>
      </c>
      <c r="C451" s="40">
        <v>5.47</v>
      </c>
      <c r="D451" s="114"/>
    </row>
    <row r="452" spans="1:4" ht="15.75" outlineLevel="1">
      <c r="A452" s="40" t="s">
        <v>1082</v>
      </c>
      <c r="B452" s="41" t="s">
        <v>25</v>
      </c>
      <c r="C452" s="40">
        <v>5.48</v>
      </c>
      <c r="D452" s="114"/>
    </row>
    <row r="453" spans="1:4" ht="31.5">
      <c r="A453" s="46" t="s">
        <v>1082</v>
      </c>
      <c r="B453" s="41"/>
      <c r="C453" s="40"/>
      <c r="D453" s="114"/>
    </row>
    <row r="454" spans="1:4" ht="15.75" outlineLevel="1">
      <c r="A454" s="40" t="s">
        <v>725</v>
      </c>
      <c r="B454" s="41" t="s">
        <v>0</v>
      </c>
      <c r="C454" s="40">
        <v>5.0999999999999996</v>
      </c>
      <c r="D454" s="114"/>
    </row>
    <row r="455" spans="1:4" ht="15.75" outlineLevel="1">
      <c r="A455" s="40" t="s">
        <v>725</v>
      </c>
      <c r="B455" s="41" t="s">
        <v>1</v>
      </c>
      <c r="C455" s="40">
        <v>5.2</v>
      </c>
      <c r="D455" s="114"/>
    </row>
    <row r="456" spans="1:4" ht="15.75" outlineLevel="1">
      <c r="A456" s="40" t="s">
        <v>725</v>
      </c>
      <c r="B456" s="41" t="s">
        <v>138</v>
      </c>
      <c r="C456" s="40">
        <v>5.5</v>
      </c>
      <c r="D456" s="114"/>
    </row>
    <row r="457" spans="1:4" ht="15.75" outlineLevel="1">
      <c r="A457" s="40" t="s">
        <v>725</v>
      </c>
      <c r="B457" s="41" t="s">
        <v>139</v>
      </c>
      <c r="C457" s="40">
        <v>5.8</v>
      </c>
      <c r="D457" s="113" t="s">
        <v>1065</v>
      </c>
    </row>
    <row r="458" spans="1:4" ht="15.75" outlineLevel="1">
      <c r="A458" s="40" t="s">
        <v>725</v>
      </c>
      <c r="B458" s="41" t="s">
        <v>140</v>
      </c>
      <c r="C458" s="40">
        <v>5.12</v>
      </c>
      <c r="D458" s="113" t="s">
        <v>1065</v>
      </c>
    </row>
    <row r="459" spans="1:4" ht="15.75" outlineLevel="1">
      <c r="A459" s="40" t="s">
        <v>725</v>
      </c>
      <c r="B459" s="41" t="s">
        <v>141</v>
      </c>
      <c r="C459" s="40">
        <v>5.15</v>
      </c>
      <c r="D459" s="114"/>
    </row>
    <row r="460" spans="1:4" ht="15.75" outlineLevel="1">
      <c r="A460" s="40" t="s">
        <v>725</v>
      </c>
      <c r="B460" s="41" t="s">
        <v>142</v>
      </c>
      <c r="C460" s="42">
        <v>5.2</v>
      </c>
      <c r="D460" s="113"/>
    </row>
    <row r="461" spans="1:4" ht="15.75" outlineLevel="1">
      <c r="A461" s="40" t="s">
        <v>725</v>
      </c>
      <c r="B461" s="41" t="s">
        <v>143</v>
      </c>
      <c r="C461" s="40">
        <v>5.25</v>
      </c>
      <c r="D461" s="114"/>
    </row>
    <row r="462" spans="1:4" ht="15.75" outlineLevel="1">
      <c r="A462" s="40" t="s">
        <v>725</v>
      </c>
      <c r="B462" s="41" t="s">
        <v>5</v>
      </c>
      <c r="C462" s="40">
        <v>5.26</v>
      </c>
      <c r="D462" s="114"/>
    </row>
    <row r="463" spans="1:4" ht="15.75" outlineLevel="1">
      <c r="A463" s="40" t="s">
        <v>725</v>
      </c>
      <c r="B463" s="41" t="s">
        <v>782</v>
      </c>
      <c r="C463" s="40">
        <v>5.1139999999999999</v>
      </c>
      <c r="D463" s="113" t="s">
        <v>1065</v>
      </c>
    </row>
    <row r="464" spans="1:4" ht="15.75" outlineLevel="1">
      <c r="A464" s="40" t="s">
        <v>725</v>
      </c>
      <c r="B464" s="41" t="s">
        <v>6</v>
      </c>
      <c r="C464" s="40">
        <v>5.27</v>
      </c>
      <c r="D464" s="114"/>
    </row>
    <row r="465" spans="1:4" ht="15.75" outlineLevel="1">
      <c r="A465" s="40" t="s">
        <v>725</v>
      </c>
      <c r="B465" s="41" t="s">
        <v>1083</v>
      </c>
      <c r="C465" s="40">
        <v>5.1150000000000002</v>
      </c>
      <c r="D465" s="113" t="s">
        <v>1065</v>
      </c>
    </row>
    <row r="466" spans="1:4" ht="15.75" outlineLevel="1">
      <c r="A466" s="40" t="s">
        <v>725</v>
      </c>
      <c r="B466" s="41" t="s">
        <v>1084</v>
      </c>
      <c r="C466" s="40">
        <v>5.1159999999999997</v>
      </c>
      <c r="D466" s="113" t="s">
        <v>1065</v>
      </c>
    </row>
    <row r="467" spans="1:4" ht="15.75" outlineLevel="1">
      <c r="A467" s="40" t="s">
        <v>725</v>
      </c>
      <c r="B467" s="41" t="s">
        <v>7</v>
      </c>
      <c r="C467" s="40">
        <v>5.28</v>
      </c>
      <c r="D467" s="114"/>
    </row>
    <row r="468" spans="1:4" ht="15.75" outlineLevel="1">
      <c r="A468" s="40" t="s">
        <v>725</v>
      </c>
      <c r="B468" s="41" t="s">
        <v>78</v>
      </c>
      <c r="C468" s="40">
        <v>5.36</v>
      </c>
      <c r="D468" s="114"/>
    </row>
    <row r="469" spans="1:4" ht="15.75" outlineLevel="1">
      <c r="A469" s="40" t="s">
        <v>725</v>
      </c>
      <c r="B469" s="41" t="s">
        <v>108</v>
      </c>
      <c r="C469" s="40">
        <v>5.37</v>
      </c>
      <c r="D469" s="114"/>
    </row>
    <row r="470" spans="1:4" ht="15.75" outlineLevel="1">
      <c r="A470" s="40" t="s">
        <v>725</v>
      </c>
      <c r="B470" s="41" t="s">
        <v>11</v>
      </c>
      <c r="C470" s="40">
        <v>5.53</v>
      </c>
      <c r="D470" s="114"/>
    </row>
    <row r="471" spans="1:4" ht="15.75" outlineLevel="1">
      <c r="A471" s="40" t="s">
        <v>725</v>
      </c>
      <c r="B471" s="41" t="s">
        <v>101</v>
      </c>
      <c r="C471" s="40">
        <v>5.109</v>
      </c>
      <c r="D471" s="114"/>
    </row>
    <row r="472" spans="1:4" ht="15.75" outlineLevel="1">
      <c r="A472" s="40" t="s">
        <v>725</v>
      </c>
      <c r="B472" s="41" t="s">
        <v>102</v>
      </c>
      <c r="C472" s="40">
        <v>5.1109999999999998</v>
      </c>
      <c r="D472" s="114"/>
    </row>
    <row r="473" spans="1:4" ht="15.75" outlineLevel="1">
      <c r="A473" s="40" t="s">
        <v>725</v>
      </c>
      <c r="B473" s="41" t="s">
        <v>87</v>
      </c>
      <c r="C473" s="40">
        <v>5.1120000000000001</v>
      </c>
      <c r="D473" s="114"/>
    </row>
    <row r="474" spans="1:4" ht="15.75" outlineLevel="1">
      <c r="A474" s="40" t="s">
        <v>725</v>
      </c>
      <c r="B474" s="41" t="s">
        <v>18</v>
      </c>
      <c r="C474" s="40">
        <v>5.54</v>
      </c>
      <c r="D474" s="114"/>
    </row>
    <row r="475" spans="1:4" ht="15.75" outlineLevel="1">
      <c r="A475" s="40" t="s">
        <v>725</v>
      </c>
      <c r="B475" s="41" t="s">
        <v>1085</v>
      </c>
      <c r="C475" s="40">
        <v>5.61</v>
      </c>
      <c r="D475" s="114"/>
    </row>
    <row r="476" spans="1:4" ht="15.75" outlineLevel="1">
      <c r="A476" s="40" t="s">
        <v>725</v>
      </c>
      <c r="B476" s="41" t="s">
        <v>20</v>
      </c>
      <c r="C476" s="40">
        <v>5.63</v>
      </c>
      <c r="D476" s="114"/>
    </row>
    <row r="477" spans="1:4" ht="15.75" outlineLevel="1">
      <c r="A477" s="40" t="s">
        <v>725</v>
      </c>
      <c r="B477" s="41" t="s">
        <v>1086</v>
      </c>
      <c r="C477" s="40">
        <v>5.46</v>
      </c>
      <c r="D477" s="114"/>
    </row>
    <row r="478" spans="1:4" ht="15.75" outlineLevel="1">
      <c r="A478" s="40" t="s">
        <v>725</v>
      </c>
      <c r="B478" s="41" t="s">
        <v>24</v>
      </c>
      <c r="C478" s="40">
        <v>5.47</v>
      </c>
      <c r="D478" s="114"/>
    </row>
    <row r="479" spans="1:4" ht="15.75" outlineLevel="1">
      <c r="A479" s="40" t="s">
        <v>725</v>
      </c>
      <c r="B479" s="41" t="s">
        <v>25</v>
      </c>
      <c r="C479" s="40">
        <v>5.48</v>
      </c>
      <c r="D479" s="114"/>
    </row>
    <row r="480" spans="1:4" ht="15.75">
      <c r="A480" s="46" t="s">
        <v>725</v>
      </c>
      <c r="B480" s="41"/>
      <c r="C480" s="40"/>
      <c r="D480" s="114"/>
    </row>
    <row r="481" spans="1:4" ht="15.75" outlineLevel="1">
      <c r="A481" s="40" t="s">
        <v>1087</v>
      </c>
      <c r="B481" s="41" t="s">
        <v>0</v>
      </c>
      <c r="C481" s="40">
        <v>5.0999999999999996</v>
      </c>
      <c r="D481" s="114"/>
    </row>
    <row r="482" spans="1:4" ht="15.75" outlineLevel="1">
      <c r="A482" s="40" t="s">
        <v>1087</v>
      </c>
      <c r="B482" s="41" t="s">
        <v>1</v>
      </c>
      <c r="C482" s="40">
        <v>5.2</v>
      </c>
      <c r="D482" s="114"/>
    </row>
    <row r="483" spans="1:4" ht="15.75" outlineLevel="1">
      <c r="A483" s="40" t="s">
        <v>1087</v>
      </c>
      <c r="B483" s="41" t="s">
        <v>2</v>
      </c>
      <c r="C483" s="40">
        <v>5.3</v>
      </c>
      <c r="D483" s="114"/>
    </row>
    <row r="484" spans="1:4" ht="15.75" outlineLevel="1">
      <c r="A484" s="40" t="s">
        <v>1087</v>
      </c>
      <c r="B484" s="41" t="s">
        <v>97</v>
      </c>
      <c r="C484" s="40">
        <v>5.6</v>
      </c>
      <c r="D484" s="114"/>
    </row>
    <row r="485" spans="1:4" ht="15.75" outlineLevel="1">
      <c r="A485" s="40" t="s">
        <v>1087</v>
      </c>
      <c r="B485" s="41" t="s">
        <v>1067</v>
      </c>
      <c r="C485" s="42">
        <v>5.0999999999999996</v>
      </c>
      <c r="D485" s="114"/>
    </row>
    <row r="486" spans="1:4" ht="15.75" outlineLevel="1">
      <c r="A486" s="40" t="s">
        <v>1087</v>
      </c>
      <c r="B486" s="41" t="s">
        <v>1066</v>
      </c>
      <c r="C486" s="40">
        <v>5.14</v>
      </c>
      <c r="D486" s="114"/>
    </row>
    <row r="487" spans="1:4" ht="15.75" outlineLevel="1">
      <c r="A487" s="40" t="s">
        <v>1087</v>
      </c>
      <c r="B487" s="41" t="s">
        <v>4</v>
      </c>
      <c r="C487" s="40">
        <v>5.19</v>
      </c>
      <c r="D487" s="114"/>
    </row>
    <row r="488" spans="1:4" ht="15.75" outlineLevel="1">
      <c r="A488" s="40" t="s">
        <v>1087</v>
      </c>
      <c r="B488" s="41" t="s">
        <v>99</v>
      </c>
      <c r="C488" s="40">
        <v>5.24</v>
      </c>
      <c r="D488" s="114"/>
    </row>
    <row r="489" spans="1:4" ht="15.75" outlineLevel="1">
      <c r="A489" s="40" t="s">
        <v>1087</v>
      </c>
      <c r="B489" s="41" t="s">
        <v>6</v>
      </c>
      <c r="C489" s="40">
        <v>5.27</v>
      </c>
      <c r="D489" s="114"/>
    </row>
    <row r="490" spans="1:4" ht="15.75" outlineLevel="1">
      <c r="A490" s="40" t="s">
        <v>1087</v>
      </c>
      <c r="B490" s="41" t="s">
        <v>7</v>
      </c>
      <c r="C490" s="40">
        <v>5.28</v>
      </c>
      <c r="D490" s="114"/>
    </row>
    <row r="491" spans="1:4" ht="15.75" outlineLevel="1">
      <c r="A491" s="40" t="s">
        <v>1087</v>
      </c>
      <c r="B491" s="41" t="s">
        <v>274</v>
      </c>
      <c r="C491" s="40">
        <v>5.29</v>
      </c>
      <c r="D491" s="114"/>
    </row>
    <row r="492" spans="1:4" ht="15.75" outlineLevel="1">
      <c r="A492" s="40" t="s">
        <v>1087</v>
      </c>
      <c r="B492" s="41" t="s">
        <v>1072</v>
      </c>
      <c r="C492" s="40">
        <v>5.34</v>
      </c>
      <c r="D492" s="114"/>
    </row>
    <row r="493" spans="1:4" ht="15.75" outlineLevel="1">
      <c r="A493" s="40" t="s">
        <v>1087</v>
      </c>
      <c r="B493" s="41" t="s">
        <v>100</v>
      </c>
      <c r="C493" s="40">
        <v>5.31</v>
      </c>
      <c r="D493" s="114"/>
    </row>
    <row r="494" spans="1:4" ht="15.75" outlineLevel="1">
      <c r="A494" s="40" t="s">
        <v>1087</v>
      </c>
      <c r="B494" s="41" t="s">
        <v>1073</v>
      </c>
      <c r="C494" s="40">
        <v>5.101</v>
      </c>
      <c r="D494" s="114"/>
    </row>
    <row r="495" spans="1:4" ht="15.75" outlineLevel="1">
      <c r="A495" s="40" t="s">
        <v>1087</v>
      </c>
      <c r="B495" s="41" t="s">
        <v>78</v>
      </c>
      <c r="C495" s="40">
        <v>5.36</v>
      </c>
      <c r="D495" s="114"/>
    </row>
    <row r="496" spans="1:4" ht="15.75" outlineLevel="1">
      <c r="A496" s="40" t="s">
        <v>1087</v>
      </c>
      <c r="B496" s="41" t="s">
        <v>108</v>
      </c>
      <c r="C496" s="40">
        <v>5.37</v>
      </c>
      <c r="D496" s="114"/>
    </row>
    <row r="497" spans="1:4" ht="15.75" outlineLevel="1">
      <c r="A497" s="40" t="s">
        <v>1087</v>
      </c>
      <c r="B497" s="41" t="s">
        <v>11</v>
      </c>
      <c r="C497" s="40">
        <v>5.53</v>
      </c>
      <c r="D497" s="114"/>
    </row>
    <row r="498" spans="1:4" ht="15.75" outlineLevel="1">
      <c r="A498" s="40" t="s">
        <v>1087</v>
      </c>
      <c r="B498" s="41" t="s">
        <v>101</v>
      </c>
      <c r="C498" s="40">
        <v>5.109</v>
      </c>
      <c r="D498" s="114"/>
    </row>
    <row r="499" spans="1:4" ht="15.75" outlineLevel="1">
      <c r="A499" s="40" t="s">
        <v>1087</v>
      </c>
      <c r="B499" s="41" t="s">
        <v>102</v>
      </c>
      <c r="C499" s="40">
        <v>5.1109999999999998</v>
      </c>
      <c r="D499" s="114"/>
    </row>
    <row r="500" spans="1:4" ht="15.75" outlineLevel="1">
      <c r="A500" s="40" t="s">
        <v>1087</v>
      </c>
      <c r="B500" s="41" t="s">
        <v>87</v>
      </c>
      <c r="C500" s="40">
        <v>5.1120000000000001</v>
      </c>
      <c r="D500" s="114"/>
    </row>
    <row r="501" spans="1:4" ht="15.75" outlineLevel="1">
      <c r="A501" s="40" t="s">
        <v>1087</v>
      </c>
      <c r="B501" s="41" t="s">
        <v>1074</v>
      </c>
      <c r="C501" s="40">
        <v>5.1020000000000003</v>
      </c>
      <c r="D501" s="114"/>
    </row>
    <row r="502" spans="1:4" ht="15.75" outlineLevel="1">
      <c r="A502" s="40" t="s">
        <v>1087</v>
      </c>
      <c r="B502" s="41" t="s">
        <v>1075</v>
      </c>
      <c r="C502" s="43">
        <v>5.0999999999999996</v>
      </c>
      <c r="D502" s="114"/>
    </row>
    <row r="503" spans="1:4" ht="15.75" outlineLevel="1">
      <c r="A503" s="40" t="s">
        <v>1087</v>
      </c>
      <c r="B503" s="41" t="s">
        <v>17</v>
      </c>
      <c r="C503" s="40">
        <v>5.58</v>
      </c>
      <c r="D503" s="114"/>
    </row>
    <row r="504" spans="1:4" ht="15.75" outlineLevel="1">
      <c r="A504" s="40" t="s">
        <v>1087</v>
      </c>
      <c r="B504" s="41" t="s">
        <v>19</v>
      </c>
      <c r="C504" s="40">
        <v>5.55</v>
      </c>
      <c r="D504" s="114"/>
    </row>
    <row r="505" spans="1:4" ht="15.75" outlineLevel="1">
      <c r="A505" s="40" t="s">
        <v>1087</v>
      </c>
      <c r="B505" s="41" t="s">
        <v>18</v>
      </c>
      <c r="C505" s="40">
        <v>5.54</v>
      </c>
      <c r="D505" s="114"/>
    </row>
    <row r="506" spans="1:4" ht="15.75" outlineLevel="1">
      <c r="A506" s="40" t="s">
        <v>1087</v>
      </c>
      <c r="B506" s="41" t="s">
        <v>20</v>
      </c>
      <c r="C506" s="40">
        <v>5.63</v>
      </c>
      <c r="D506" s="114"/>
    </row>
    <row r="507" spans="1:4" ht="15.75" outlineLevel="1">
      <c r="A507" s="40" t="s">
        <v>1087</v>
      </c>
      <c r="B507" s="41" t="s">
        <v>24</v>
      </c>
      <c r="C507" s="40">
        <v>5.47</v>
      </c>
      <c r="D507" s="114"/>
    </row>
    <row r="508" spans="1:4" ht="15.75" outlineLevel="1">
      <c r="A508" s="40" t="s">
        <v>1087</v>
      </c>
      <c r="B508" s="41" t="s">
        <v>25</v>
      </c>
      <c r="C508" s="40">
        <v>5.48</v>
      </c>
      <c r="D508" s="114"/>
    </row>
    <row r="509" spans="1:4" ht="15.75">
      <c r="A509" s="46" t="s">
        <v>1087</v>
      </c>
      <c r="B509" s="41"/>
      <c r="C509" s="40"/>
      <c r="D509" s="114"/>
    </row>
    <row r="510" spans="1:4" ht="15.75" outlineLevel="1">
      <c r="A510" s="40" t="s">
        <v>984</v>
      </c>
      <c r="B510" s="41" t="s">
        <v>0</v>
      </c>
      <c r="C510" s="40">
        <v>5.0999999999999996</v>
      </c>
      <c r="D510" s="114"/>
    </row>
    <row r="511" spans="1:4" ht="15.75" outlineLevel="1">
      <c r="A511" s="40" t="s">
        <v>984</v>
      </c>
      <c r="B511" s="41" t="s">
        <v>1</v>
      </c>
      <c r="C511" s="40">
        <v>5.2</v>
      </c>
      <c r="D511" s="114"/>
    </row>
    <row r="512" spans="1:4" ht="15.75" outlineLevel="1">
      <c r="A512" s="40" t="s">
        <v>984</v>
      </c>
      <c r="B512" s="41" t="s">
        <v>2</v>
      </c>
      <c r="C512" s="40">
        <v>5.3</v>
      </c>
      <c r="D512" s="114"/>
    </row>
    <row r="513" spans="1:4" ht="15.75" outlineLevel="1">
      <c r="A513" s="40" t="s">
        <v>984</v>
      </c>
      <c r="B513" s="41" t="s">
        <v>97</v>
      </c>
      <c r="C513" s="40">
        <v>5.6</v>
      </c>
      <c r="D513" s="114"/>
    </row>
    <row r="514" spans="1:4" ht="15.75" outlineLevel="1">
      <c r="A514" s="40" t="s">
        <v>984</v>
      </c>
      <c r="B514" s="41" t="s">
        <v>1067</v>
      </c>
      <c r="C514" s="42">
        <v>5.0999999999999996</v>
      </c>
      <c r="D514" s="114"/>
    </row>
    <row r="515" spans="1:4" ht="15.75" outlineLevel="1">
      <c r="A515" s="40" t="s">
        <v>984</v>
      </c>
      <c r="B515" s="41" t="s">
        <v>1066</v>
      </c>
      <c r="C515" s="40">
        <v>5.14</v>
      </c>
      <c r="D515" s="114"/>
    </row>
    <row r="516" spans="1:4" ht="15.75" outlineLevel="1">
      <c r="A516" s="40" t="s">
        <v>984</v>
      </c>
      <c r="B516" s="41" t="s">
        <v>4</v>
      </c>
      <c r="C516" s="40">
        <v>5.19</v>
      </c>
      <c r="D516" s="114"/>
    </row>
    <row r="517" spans="1:4" ht="15.75" outlineLevel="1">
      <c r="A517" s="40" t="s">
        <v>984</v>
      </c>
      <c r="B517" s="41" t="s">
        <v>99</v>
      </c>
      <c r="C517" s="40">
        <v>5.24</v>
      </c>
      <c r="D517" s="114"/>
    </row>
    <row r="518" spans="1:4" ht="15.75" outlineLevel="1">
      <c r="A518" s="40" t="s">
        <v>984</v>
      </c>
      <c r="B518" s="41" t="s">
        <v>5</v>
      </c>
      <c r="C518" s="40">
        <v>5.26</v>
      </c>
      <c r="D518" s="114"/>
    </row>
    <row r="519" spans="1:4" ht="15.75" outlineLevel="1">
      <c r="A519" s="40" t="s">
        <v>984</v>
      </c>
      <c r="B519" s="41" t="s">
        <v>6</v>
      </c>
      <c r="C519" s="40">
        <v>5.27</v>
      </c>
      <c r="D519" s="114"/>
    </row>
    <row r="520" spans="1:4" ht="15.75" outlineLevel="1">
      <c r="A520" s="40" t="s">
        <v>984</v>
      </c>
      <c r="B520" s="41" t="s">
        <v>7</v>
      </c>
      <c r="C520" s="40">
        <v>5.28</v>
      </c>
      <c r="D520" s="114"/>
    </row>
    <row r="521" spans="1:4" ht="15.75" outlineLevel="1">
      <c r="A521" s="40" t="s">
        <v>984</v>
      </c>
      <c r="B521" s="41" t="s">
        <v>100</v>
      </c>
      <c r="C521" s="40">
        <v>5.31</v>
      </c>
      <c r="D521" s="114"/>
    </row>
    <row r="522" spans="1:4" ht="15.75" outlineLevel="1">
      <c r="A522" s="40" t="s">
        <v>984</v>
      </c>
      <c r="B522" s="41" t="s">
        <v>123</v>
      </c>
      <c r="C522" s="40">
        <v>5.33</v>
      </c>
      <c r="D522" s="114"/>
    </row>
    <row r="523" spans="1:4" ht="15.75" outlineLevel="1">
      <c r="A523" s="40" t="s">
        <v>984</v>
      </c>
      <c r="B523" s="41" t="s">
        <v>1073</v>
      </c>
      <c r="C523" s="40">
        <v>5.101</v>
      </c>
      <c r="D523" s="114"/>
    </row>
    <row r="524" spans="1:4" ht="15.75" outlineLevel="1">
      <c r="A524" s="40" t="s">
        <v>984</v>
      </c>
      <c r="B524" s="41" t="s">
        <v>78</v>
      </c>
      <c r="C524" s="40">
        <v>5.36</v>
      </c>
      <c r="D524" s="114"/>
    </row>
    <row r="525" spans="1:4" ht="15.75" outlineLevel="1">
      <c r="A525" s="40" t="s">
        <v>984</v>
      </c>
      <c r="B525" s="41" t="s">
        <v>108</v>
      </c>
      <c r="C525" s="40">
        <v>5.37</v>
      </c>
      <c r="D525" s="114"/>
    </row>
    <row r="526" spans="1:4" ht="15.75" outlineLevel="1">
      <c r="A526" s="40" t="s">
        <v>984</v>
      </c>
      <c r="B526" s="41" t="s">
        <v>11</v>
      </c>
      <c r="C526" s="40">
        <v>5.53</v>
      </c>
      <c r="D526" s="114"/>
    </row>
    <row r="527" spans="1:4" ht="15.75" outlineLevel="1">
      <c r="A527" s="40" t="s">
        <v>984</v>
      </c>
      <c r="B527" s="41" t="s">
        <v>101</v>
      </c>
      <c r="C527" s="40">
        <v>5.109</v>
      </c>
      <c r="D527" s="114"/>
    </row>
    <row r="528" spans="1:4" ht="15.75" outlineLevel="1">
      <c r="A528" s="40" t="s">
        <v>984</v>
      </c>
      <c r="B528" s="41" t="s">
        <v>102</v>
      </c>
      <c r="C528" s="40">
        <v>5.1109999999999998</v>
      </c>
      <c r="D528" s="114"/>
    </row>
    <row r="529" spans="1:4" ht="15.75" outlineLevel="1">
      <c r="A529" s="40" t="s">
        <v>984</v>
      </c>
      <c r="B529" s="41" t="s">
        <v>87</v>
      </c>
      <c r="C529" s="40">
        <v>5.1120000000000001</v>
      </c>
      <c r="D529" s="114"/>
    </row>
    <row r="530" spans="1:4" ht="15.75" outlineLevel="1">
      <c r="A530" s="40" t="s">
        <v>984</v>
      </c>
      <c r="B530" s="41" t="s">
        <v>1074</v>
      </c>
      <c r="C530" s="40">
        <v>5.1020000000000003</v>
      </c>
      <c r="D530" s="114"/>
    </row>
    <row r="531" spans="1:4" ht="15.75" outlineLevel="1">
      <c r="A531" s="40" t="s">
        <v>984</v>
      </c>
      <c r="B531" s="41" t="s">
        <v>1075</v>
      </c>
      <c r="C531" s="43">
        <v>5.0999999999999996</v>
      </c>
      <c r="D531" s="114"/>
    </row>
    <row r="532" spans="1:4" ht="15.75" outlineLevel="1">
      <c r="A532" s="40" t="s">
        <v>984</v>
      </c>
      <c r="B532" s="41" t="s">
        <v>17</v>
      </c>
      <c r="C532" s="40">
        <v>5.58</v>
      </c>
      <c r="D532" s="114"/>
    </row>
    <row r="533" spans="1:4" ht="15.75" outlineLevel="1">
      <c r="A533" s="40" t="s">
        <v>984</v>
      </c>
      <c r="B533" s="41" t="s">
        <v>19</v>
      </c>
      <c r="C533" s="40">
        <v>5.55</v>
      </c>
      <c r="D533" s="114"/>
    </row>
    <row r="534" spans="1:4" ht="15.75" outlineLevel="1">
      <c r="A534" s="40" t="s">
        <v>984</v>
      </c>
      <c r="B534" s="41" t="s">
        <v>18</v>
      </c>
      <c r="C534" s="40">
        <v>5.54</v>
      </c>
      <c r="D534" s="114"/>
    </row>
    <row r="535" spans="1:4" ht="15.75" outlineLevel="1">
      <c r="A535" s="40" t="s">
        <v>984</v>
      </c>
      <c r="B535" s="41" t="s">
        <v>20</v>
      </c>
      <c r="C535" s="40">
        <v>5.63</v>
      </c>
      <c r="D535" s="114"/>
    </row>
    <row r="536" spans="1:4" ht="15.75" outlineLevel="1">
      <c r="A536" s="40" t="s">
        <v>984</v>
      </c>
      <c r="B536" s="41" t="s">
        <v>24</v>
      </c>
      <c r="C536" s="40">
        <v>5.47</v>
      </c>
      <c r="D536" s="114"/>
    </row>
    <row r="537" spans="1:4" ht="15.75" outlineLevel="1">
      <c r="A537" s="40" t="s">
        <v>984</v>
      </c>
      <c r="B537" s="41" t="s">
        <v>25</v>
      </c>
      <c r="C537" s="40">
        <v>5.48</v>
      </c>
      <c r="D537" s="114"/>
    </row>
    <row r="538" spans="1:4" ht="15.75">
      <c r="A538" s="46" t="s">
        <v>984</v>
      </c>
      <c r="B538" s="41"/>
      <c r="C538" s="40"/>
      <c r="D538" s="114"/>
    </row>
    <row r="539" spans="1:4" ht="15.75" outlineLevel="1">
      <c r="A539" s="40" t="s">
        <v>993</v>
      </c>
      <c r="B539" s="41" t="s">
        <v>0</v>
      </c>
      <c r="C539" s="40">
        <v>5.0999999999999996</v>
      </c>
      <c r="D539" s="114"/>
    </row>
    <row r="540" spans="1:4" ht="15.75" outlineLevel="1">
      <c r="A540" s="40" t="s">
        <v>993</v>
      </c>
      <c r="B540" s="41" t="s">
        <v>1</v>
      </c>
      <c r="C540" s="40">
        <v>5.2</v>
      </c>
      <c r="D540" s="114"/>
    </row>
    <row r="541" spans="1:4" ht="15.75" outlineLevel="1">
      <c r="A541" s="40" t="s">
        <v>993</v>
      </c>
      <c r="B541" s="41" t="s">
        <v>5</v>
      </c>
      <c r="C541" s="40">
        <v>5.26</v>
      </c>
      <c r="D541" s="114"/>
    </row>
    <row r="542" spans="1:4" ht="15.75" outlineLevel="1">
      <c r="A542" s="40" t="s">
        <v>993</v>
      </c>
      <c r="B542" s="41" t="s">
        <v>1088</v>
      </c>
      <c r="C542" s="40">
        <v>5.21</v>
      </c>
      <c r="D542" s="114"/>
    </row>
    <row r="543" spans="1:4" ht="15.75" outlineLevel="1">
      <c r="A543" s="40" t="s">
        <v>993</v>
      </c>
      <c r="B543" s="41" t="s">
        <v>1089</v>
      </c>
      <c r="C543" s="40">
        <v>5.53</v>
      </c>
      <c r="D543" s="114"/>
    </row>
    <row r="544" spans="1:4" ht="15.75" outlineLevel="1">
      <c r="A544" s="40" t="s">
        <v>993</v>
      </c>
      <c r="B544" s="41" t="s">
        <v>18</v>
      </c>
      <c r="C544" s="40">
        <v>5.54</v>
      </c>
      <c r="D544" s="114"/>
    </row>
    <row r="545" spans="1:4" ht="15.75" outlineLevel="1">
      <c r="A545" s="40" t="s">
        <v>993</v>
      </c>
      <c r="B545" s="41" t="s">
        <v>1090</v>
      </c>
      <c r="C545" s="40">
        <v>5.58</v>
      </c>
      <c r="D545" s="114"/>
    </row>
    <row r="546" spans="1:4" ht="15.75" outlineLevel="1">
      <c r="A546" s="40" t="s">
        <v>993</v>
      </c>
      <c r="B546" s="41" t="s">
        <v>1091</v>
      </c>
      <c r="C546" s="40">
        <v>5.1180000000000003</v>
      </c>
      <c r="D546" s="114"/>
    </row>
    <row r="547" spans="1:4" ht="15.75" outlineLevel="1">
      <c r="A547" s="40" t="s">
        <v>993</v>
      </c>
      <c r="B547" s="41" t="s">
        <v>1092</v>
      </c>
      <c r="C547" s="40">
        <v>5.47</v>
      </c>
      <c r="D547" s="114"/>
    </row>
    <row r="548" spans="1:4" ht="15.75" outlineLevel="1">
      <c r="A548" s="40" t="s">
        <v>993</v>
      </c>
      <c r="B548" s="41" t="s">
        <v>1093</v>
      </c>
      <c r="C548" s="40">
        <v>5.48</v>
      </c>
      <c r="D548" s="114"/>
    </row>
    <row r="549" spans="1:4" ht="15.75" outlineLevel="1">
      <c r="A549" s="40" t="s">
        <v>993</v>
      </c>
      <c r="B549" s="41" t="s">
        <v>1094</v>
      </c>
      <c r="C549" s="40">
        <v>5.21</v>
      </c>
      <c r="D549" s="114"/>
    </row>
    <row r="550" spans="1:4" ht="15.75" outlineLevel="1">
      <c r="A550" s="40" t="s">
        <v>993</v>
      </c>
      <c r="B550" s="41" t="s">
        <v>1095</v>
      </c>
      <c r="C550" s="40">
        <v>5.53</v>
      </c>
      <c r="D550" s="114"/>
    </row>
    <row r="551" spans="1:4" ht="15.75" outlineLevel="1">
      <c r="A551" s="40" t="s">
        <v>993</v>
      </c>
      <c r="B551" s="41" t="s">
        <v>18</v>
      </c>
      <c r="C551" s="40">
        <v>5.54</v>
      </c>
      <c r="D551" s="114"/>
    </row>
    <row r="552" spans="1:4" ht="15.75" outlineLevel="1">
      <c r="A552" s="40" t="s">
        <v>993</v>
      </c>
      <c r="B552" s="41" t="s">
        <v>1096</v>
      </c>
      <c r="C552" s="40">
        <v>5.58</v>
      </c>
      <c r="D552" s="114"/>
    </row>
    <row r="553" spans="1:4" ht="15.75" outlineLevel="1">
      <c r="A553" s="40" t="s">
        <v>993</v>
      </c>
      <c r="B553" s="41" t="s">
        <v>1097</v>
      </c>
      <c r="C553" s="40">
        <v>5.1180000000000003</v>
      </c>
      <c r="D553" s="114"/>
    </row>
    <row r="554" spans="1:4" ht="15.75" outlineLevel="1">
      <c r="A554" s="40" t="s">
        <v>993</v>
      </c>
      <c r="B554" s="41" t="s">
        <v>1098</v>
      </c>
      <c r="C554" s="40">
        <v>5.47</v>
      </c>
      <c r="D554" s="114"/>
    </row>
    <row r="555" spans="1:4" ht="15.75" outlineLevel="1">
      <c r="A555" s="40" t="s">
        <v>993</v>
      </c>
      <c r="B555" s="41" t="s">
        <v>1099</v>
      </c>
      <c r="C555" s="40">
        <v>5.48</v>
      </c>
      <c r="D555" s="114"/>
    </row>
    <row r="556" spans="1:4" ht="15.75" outlineLevel="1">
      <c r="A556" s="40" t="s">
        <v>993</v>
      </c>
      <c r="B556" s="41" t="s">
        <v>1100</v>
      </c>
      <c r="C556" s="40">
        <v>5.63</v>
      </c>
      <c r="D556" s="114"/>
    </row>
    <row r="557" spans="1:4" ht="15.75" outlineLevel="1">
      <c r="A557" s="40" t="s">
        <v>993</v>
      </c>
      <c r="B557" s="41" t="s">
        <v>6</v>
      </c>
      <c r="C557" s="40">
        <v>5.27</v>
      </c>
      <c r="D557" s="114"/>
    </row>
    <row r="558" spans="1:4" ht="15.75" outlineLevel="1">
      <c r="A558" s="40" t="s">
        <v>993</v>
      </c>
      <c r="B558" s="41" t="s">
        <v>7</v>
      </c>
      <c r="C558" s="40">
        <v>5.28</v>
      </c>
      <c r="D558" s="114"/>
    </row>
    <row r="559" spans="1:4" ht="15.75" outlineLevel="1">
      <c r="A559" s="40" t="s">
        <v>993</v>
      </c>
      <c r="B559" s="41" t="s">
        <v>1101</v>
      </c>
      <c r="C559" s="40">
        <v>5.35</v>
      </c>
      <c r="D559" s="114"/>
    </row>
    <row r="560" spans="1:4" ht="15.75" outlineLevel="1">
      <c r="A560" s="40" t="s">
        <v>993</v>
      </c>
      <c r="B560" s="41" t="s">
        <v>878</v>
      </c>
      <c r="C560" s="40">
        <v>5.1189999999999998</v>
      </c>
      <c r="D560" s="114"/>
    </row>
    <row r="561" spans="1:4" ht="15.75" outlineLevel="1">
      <c r="A561" s="40" t="s">
        <v>993</v>
      </c>
      <c r="B561" s="41" t="s">
        <v>885</v>
      </c>
      <c r="C561" s="43">
        <v>5.12</v>
      </c>
      <c r="D561" s="114"/>
    </row>
    <row r="562" spans="1:4" ht="15.75" outlineLevel="1">
      <c r="A562" s="40" t="s">
        <v>993</v>
      </c>
      <c r="B562" s="41" t="s">
        <v>272</v>
      </c>
      <c r="C562" s="40">
        <v>5.1210000000000004</v>
      </c>
      <c r="D562" s="114"/>
    </row>
    <row r="563" spans="1:4" ht="15.75" outlineLevel="1">
      <c r="A563" s="40" t="s">
        <v>993</v>
      </c>
      <c r="B563" s="41" t="s">
        <v>78</v>
      </c>
      <c r="C563" s="40">
        <v>5.36</v>
      </c>
      <c r="D563" s="114"/>
    </row>
    <row r="564" spans="1:4" ht="15.75" outlineLevel="1">
      <c r="A564" s="40" t="s">
        <v>993</v>
      </c>
      <c r="B564" s="41" t="s">
        <v>1102</v>
      </c>
      <c r="C564" s="40">
        <v>5.1219999999999999</v>
      </c>
      <c r="D564" s="114"/>
    </row>
    <row r="565" spans="1:4" ht="15.75" outlineLevel="1">
      <c r="A565" s="40" t="s">
        <v>993</v>
      </c>
      <c r="B565" s="41" t="s">
        <v>1103</v>
      </c>
      <c r="C565" s="40">
        <v>5.1230000000000002</v>
      </c>
      <c r="D565" s="114"/>
    </row>
    <row r="566" spans="1:4" ht="15.75" outlineLevel="1">
      <c r="A566" s="40" t="s">
        <v>993</v>
      </c>
      <c r="B566" s="41" t="s">
        <v>849</v>
      </c>
      <c r="C566" s="40">
        <v>5.1239999999999997</v>
      </c>
      <c r="D566" s="114"/>
    </row>
    <row r="567" spans="1:4" ht="15.75" outlineLevel="1">
      <c r="A567" s="40" t="s">
        <v>993</v>
      </c>
      <c r="B567" s="41" t="s">
        <v>857</v>
      </c>
      <c r="C567" s="40">
        <v>5.125</v>
      </c>
      <c r="D567" s="114"/>
    </row>
    <row r="568" spans="1:4" ht="15.75" outlineLevel="1">
      <c r="A568" s="40" t="s">
        <v>993</v>
      </c>
      <c r="B568" s="41" t="s">
        <v>1104</v>
      </c>
      <c r="C568" s="40">
        <v>5.1260000000000003</v>
      </c>
      <c r="D568" s="114"/>
    </row>
    <row r="569" spans="1:4" ht="15.75" outlineLevel="1">
      <c r="A569" s="40" t="s">
        <v>993</v>
      </c>
      <c r="B569" s="41" t="s">
        <v>875</v>
      </c>
      <c r="C569" s="40">
        <v>5.1269999999999998</v>
      </c>
      <c r="D569" s="114"/>
    </row>
    <row r="570" spans="1:4" ht="15.75" outlineLevel="1">
      <c r="A570" s="40" t="s">
        <v>993</v>
      </c>
      <c r="B570" s="41" t="s">
        <v>860</v>
      </c>
      <c r="C570" s="42">
        <v>5.72</v>
      </c>
      <c r="D570" s="114"/>
    </row>
    <row r="571" spans="1:4" ht="15.75" outlineLevel="1">
      <c r="A571" s="40" t="s">
        <v>993</v>
      </c>
      <c r="B571" s="41" t="s">
        <v>871</v>
      </c>
      <c r="C571" s="40">
        <v>5.1280000000000001</v>
      </c>
      <c r="D571" s="114"/>
    </row>
    <row r="572" spans="1:4" ht="15.75" outlineLevel="1">
      <c r="A572" s="40" t="s">
        <v>993</v>
      </c>
      <c r="B572" s="41" t="s">
        <v>1105</v>
      </c>
      <c r="C572" s="40">
        <v>5.1289999999999996</v>
      </c>
      <c r="D572" s="113" t="s">
        <v>1065</v>
      </c>
    </row>
    <row r="573" spans="1:4" ht="15.75" outlineLevel="1">
      <c r="A573" s="40" t="s">
        <v>993</v>
      </c>
      <c r="B573" s="41" t="s">
        <v>1106</v>
      </c>
      <c r="C573" s="40">
        <v>5.1310000000000002</v>
      </c>
      <c r="D573" s="114"/>
    </row>
    <row r="574" spans="1:4" ht="15.75" outlineLevel="1">
      <c r="A574" s="40" t="s">
        <v>993</v>
      </c>
      <c r="B574" s="41" t="s">
        <v>1107</v>
      </c>
      <c r="C574" s="40">
        <v>5.1319999999999997</v>
      </c>
      <c r="D574" s="113" t="s">
        <v>1065</v>
      </c>
    </row>
    <row r="575" spans="1:4" ht="15.75" outlineLevel="1">
      <c r="A575" s="40" t="s">
        <v>993</v>
      </c>
      <c r="B575" s="41" t="s">
        <v>900</v>
      </c>
      <c r="C575" s="40">
        <v>5.133</v>
      </c>
      <c r="D575" s="113" t="s">
        <v>1065</v>
      </c>
    </row>
    <row r="576" spans="1:4" ht="15.75" outlineLevel="1">
      <c r="A576" s="40" t="s">
        <v>993</v>
      </c>
      <c r="B576" s="41" t="s">
        <v>1108</v>
      </c>
      <c r="C576" s="40">
        <v>5.1340000000000003</v>
      </c>
      <c r="D576" s="113" t="s">
        <v>1065</v>
      </c>
    </row>
    <row r="577" spans="1:4" ht="15.75" outlineLevel="1">
      <c r="A577" s="40" t="s">
        <v>993</v>
      </c>
      <c r="B577" s="41" t="s">
        <v>1109</v>
      </c>
      <c r="C577" s="43">
        <v>5.13</v>
      </c>
      <c r="D577" s="114"/>
    </row>
    <row r="578" spans="1:4" ht="15.75" outlineLevel="1">
      <c r="A578" s="40" t="s">
        <v>993</v>
      </c>
      <c r="B578" s="41" t="s">
        <v>24</v>
      </c>
      <c r="C578" s="40">
        <v>5.47</v>
      </c>
      <c r="D578" s="114"/>
    </row>
    <row r="579" spans="1:4" ht="15.75" outlineLevel="1">
      <c r="A579" s="40" t="s">
        <v>993</v>
      </c>
      <c r="B579" s="41" t="s">
        <v>25</v>
      </c>
      <c r="C579" s="40">
        <v>5.48</v>
      </c>
      <c r="D579" s="114"/>
    </row>
    <row r="580" spans="1:4" ht="15.75">
      <c r="A580" s="46" t="s">
        <v>993</v>
      </c>
      <c r="B580" s="41"/>
      <c r="C580" s="40"/>
      <c r="D580" s="114"/>
    </row>
    <row r="581" spans="1:4" ht="15.75" outlineLevel="1">
      <c r="A581" s="40" t="s">
        <v>986</v>
      </c>
      <c r="B581" s="41" t="s">
        <v>0</v>
      </c>
      <c r="C581" s="40">
        <v>5.0999999999999996</v>
      </c>
      <c r="D581" s="114"/>
    </row>
    <row r="582" spans="1:4" ht="15.75" outlineLevel="1">
      <c r="A582" s="40" t="s">
        <v>986</v>
      </c>
      <c r="B582" s="41" t="s">
        <v>1</v>
      </c>
      <c r="C582" s="40">
        <v>5.2</v>
      </c>
      <c r="D582" s="114"/>
    </row>
    <row r="583" spans="1:4" ht="15.75" outlineLevel="1">
      <c r="A583" s="40" t="s">
        <v>986</v>
      </c>
      <c r="B583" s="41" t="s">
        <v>73</v>
      </c>
      <c r="C583" s="40">
        <v>5.9</v>
      </c>
      <c r="D583" s="113" t="s">
        <v>1065</v>
      </c>
    </row>
    <row r="584" spans="1:4" ht="15.75" outlineLevel="1">
      <c r="A584" s="40" t="s">
        <v>986</v>
      </c>
      <c r="B584" s="41" t="s">
        <v>74</v>
      </c>
      <c r="C584" s="40">
        <v>5.13</v>
      </c>
      <c r="D584" s="113" t="s">
        <v>1065</v>
      </c>
    </row>
    <row r="585" spans="1:4" ht="15.75" outlineLevel="1">
      <c r="A585" s="40" t="s">
        <v>986</v>
      </c>
      <c r="B585" s="41" t="s">
        <v>75</v>
      </c>
      <c r="C585" s="40">
        <v>5.16</v>
      </c>
      <c r="D585" s="113" t="s">
        <v>1065</v>
      </c>
    </row>
    <row r="586" spans="1:4" ht="15.75" outlineLevel="1">
      <c r="A586" s="40" t="s">
        <v>986</v>
      </c>
      <c r="B586" s="41" t="s">
        <v>76</v>
      </c>
      <c r="C586" s="40">
        <v>5.22</v>
      </c>
      <c r="D586" s="113"/>
    </row>
    <row r="587" spans="1:4" ht="15.75" outlineLevel="1">
      <c r="A587" s="40" t="s">
        <v>986</v>
      </c>
      <c r="B587" s="41" t="s">
        <v>5</v>
      </c>
      <c r="C587" s="40">
        <v>5.26</v>
      </c>
      <c r="D587" s="114"/>
    </row>
    <row r="588" spans="1:4" ht="15.75" outlineLevel="1">
      <c r="A588" s="40" t="s">
        <v>986</v>
      </c>
      <c r="B588" s="41" t="s">
        <v>1110</v>
      </c>
      <c r="C588" s="40">
        <v>5.77</v>
      </c>
      <c r="D588" s="114"/>
    </row>
    <row r="589" spans="1:4" ht="15.75" outlineLevel="1">
      <c r="A589" s="40" t="s">
        <v>986</v>
      </c>
      <c r="B589" s="41" t="s">
        <v>6</v>
      </c>
      <c r="C589" s="40">
        <v>5.27</v>
      </c>
      <c r="D589" s="114"/>
    </row>
    <row r="590" spans="1:4" ht="15.75" outlineLevel="1">
      <c r="A590" s="40" t="s">
        <v>986</v>
      </c>
      <c r="B590" s="41" t="s">
        <v>7</v>
      </c>
      <c r="C590" s="40">
        <v>5.28</v>
      </c>
      <c r="D590" s="113" t="s">
        <v>1065</v>
      </c>
    </row>
    <row r="591" spans="1:4" ht="15.75" outlineLevel="1">
      <c r="A591" s="40" t="s">
        <v>986</v>
      </c>
      <c r="B591" s="41" t="s">
        <v>100</v>
      </c>
      <c r="C591" s="40">
        <v>5.31</v>
      </c>
      <c r="D591" s="114"/>
    </row>
    <row r="592" spans="1:4" ht="15.75" outlineLevel="1">
      <c r="A592" s="40" t="s">
        <v>986</v>
      </c>
      <c r="B592" s="41" t="s">
        <v>78</v>
      </c>
      <c r="C592" s="40">
        <v>5.36</v>
      </c>
      <c r="D592" s="114"/>
    </row>
    <row r="593" spans="1:4" ht="15.75" outlineLevel="1">
      <c r="A593" s="40" t="s">
        <v>986</v>
      </c>
      <c r="B593" s="41" t="s">
        <v>1111</v>
      </c>
      <c r="C593" s="40">
        <v>5.78</v>
      </c>
      <c r="D593" s="114"/>
    </row>
    <row r="594" spans="1:4" ht="15.75" outlineLevel="1">
      <c r="A594" s="40" t="s">
        <v>986</v>
      </c>
      <c r="B594" s="41" t="s">
        <v>1112</v>
      </c>
      <c r="C594" s="40">
        <v>5.79</v>
      </c>
      <c r="D594" s="113" t="s">
        <v>1065</v>
      </c>
    </row>
    <row r="595" spans="1:4" ht="15.75" outlineLevel="1">
      <c r="A595" s="40" t="s">
        <v>986</v>
      </c>
      <c r="B595" s="41" t="s">
        <v>1113</v>
      </c>
      <c r="C595" s="40">
        <v>5.41</v>
      </c>
      <c r="D595" s="114"/>
    </row>
    <row r="596" spans="1:4" ht="15.75" outlineLevel="1">
      <c r="A596" s="40" t="s">
        <v>986</v>
      </c>
      <c r="B596" s="41" t="s">
        <v>9</v>
      </c>
      <c r="C596" s="40">
        <v>5.49</v>
      </c>
      <c r="D596" s="114"/>
    </row>
    <row r="597" spans="1:4" ht="15.75" outlineLevel="1">
      <c r="A597" s="40" t="s">
        <v>986</v>
      </c>
      <c r="B597" s="41" t="s">
        <v>10</v>
      </c>
      <c r="C597" s="40">
        <v>5.51</v>
      </c>
      <c r="D597" s="114"/>
    </row>
    <row r="598" spans="1:4" ht="15.75" outlineLevel="1">
      <c r="A598" s="40" t="s">
        <v>986</v>
      </c>
      <c r="B598" s="41" t="s">
        <v>1114</v>
      </c>
      <c r="C598" s="40">
        <v>5.52</v>
      </c>
      <c r="D598" s="114"/>
    </row>
    <row r="599" spans="1:4" ht="15.75" outlineLevel="1">
      <c r="A599" s="40" t="s">
        <v>986</v>
      </c>
      <c r="B599" s="41" t="s">
        <v>11</v>
      </c>
      <c r="C599" s="40">
        <v>5.53</v>
      </c>
      <c r="D599" s="114"/>
    </row>
    <row r="600" spans="1:4" ht="15.75" outlineLevel="1">
      <c r="A600" s="40" t="s">
        <v>986</v>
      </c>
      <c r="B600" s="41" t="s">
        <v>12</v>
      </c>
      <c r="C600" s="40">
        <v>5.69</v>
      </c>
      <c r="D600" s="114"/>
    </row>
    <row r="601" spans="1:4" ht="15.75" outlineLevel="1">
      <c r="A601" s="40" t="s">
        <v>986</v>
      </c>
      <c r="B601" s="41" t="s">
        <v>80</v>
      </c>
      <c r="C601" s="40">
        <v>5.71</v>
      </c>
      <c r="D601" s="114"/>
    </row>
    <row r="602" spans="1:4" ht="15.75" outlineLevel="1">
      <c r="A602" s="40" t="s">
        <v>986</v>
      </c>
      <c r="B602" s="41" t="s">
        <v>14</v>
      </c>
      <c r="C602" s="42">
        <v>5.7</v>
      </c>
      <c r="D602" s="114"/>
    </row>
    <row r="603" spans="1:4" ht="15.75" outlineLevel="1">
      <c r="A603" s="40" t="s">
        <v>986</v>
      </c>
      <c r="B603" s="41" t="s">
        <v>703</v>
      </c>
      <c r="C603" s="42">
        <v>5.8</v>
      </c>
      <c r="D603" s="113" t="s">
        <v>1065</v>
      </c>
    </row>
    <row r="604" spans="1:4" ht="15.75" outlineLevel="1">
      <c r="A604" s="40" t="s">
        <v>986</v>
      </c>
      <c r="B604" s="41" t="s">
        <v>860</v>
      </c>
      <c r="C604" s="42">
        <v>5.72</v>
      </c>
      <c r="D604" s="113" t="s">
        <v>1065</v>
      </c>
    </row>
    <row r="605" spans="1:4" ht="15.75" outlineLevel="1">
      <c r="A605" s="40" t="s">
        <v>986</v>
      </c>
      <c r="B605" s="41" t="s">
        <v>1115</v>
      </c>
      <c r="C605" s="40">
        <v>5.73</v>
      </c>
      <c r="D605" s="113" t="s">
        <v>1065</v>
      </c>
    </row>
    <row r="606" spans="1:4" ht="15.75" outlineLevel="1">
      <c r="A606" s="40" t="s">
        <v>986</v>
      </c>
      <c r="B606" s="41" t="s">
        <v>15</v>
      </c>
      <c r="C606" s="40">
        <v>5.74</v>
      </c>
      <c r="D606" s="114"/>
    </row>
    <row r="607" spans="1:4" ht="15.75" outlineLevel="1">
      <c r="A607" s="40" t="s">
        <v>986</v>
      </c>
      <c r="B607" s="41" t="s">
        <v>13</v>
      </c>
      <c r="C607" s="40">
        <v>5.75</v>
      </c>
      <c r="D607" s="114"/>
    </row>
    <row r="608" spans="1:4" ht="15.75" outlineLevel="1">
      <c r="A608" s="40" t="s">
        <v>986</v>
      </c>
      <c r="B608" s="41" t="s">
        <v>359</v>
      </c>
      <c r="C608" s="40">
        <v>5.76</v>
      </c>
      <c r="D608" s="114"/>
    </row>
    <row r="609" spans="1:4" ht="15.75" outlineLevel="1">
      <c r="A609" s="40" t="s">
        <v>986</v>
      </c>
      <c r="B609" s="41" t="s">
        <v>708</v>
      </c>
      <c r="C609" s="40">
        <v>5.81</v>
      </c>
      <c r="D609" s="113" t="s">
        <v>1065</v>
      </c>
    </row>
    <row r="610" spans="1:4" ht="15.75" outlineLevel="1">
      <c r="A610" s="40" t="s">
        <v>986</v>
      </c>
      <c r="B610" s="41" t="s">
        <v>1116</v>
      </c>
      <c r="C610" s="40">
        <v>5.82</v>
      </c>
      <c r="D610" s="113" t="s">
        <v>1065</v>
      </c>
    </row>
    <row r="611" spans="1:4" ht="15.75" outlineLevel="1">
      <c r="A611" s="40" t="s">
        <v>986</v>
      </c>
      <c r="B611" s="41" t="s">
        <v>1117</v>
      </c>
      <c r="C611" s="40">
        <v>5.83</v>
      </c>
      <c r="D611" s="113" t="s">
        <v>1065</v>
      </c>
    </row>
    <row r="612" spans="1:4" ht="15.75" outlineLevel="1">
      <c r="A612" s="40" t="s">
        <v>986</v>
      </c>
      <c r="B612" s="41" t="s">
        <v>1118</v>
      </c>
      <c r="C612" s="40">
        <v>5.84</v>
      </c>
      <c r="D612" s="114"/>
    </row>
    <row r="613" spans="1:4" ht="15.75" outlineLevel="1">
      <c r="A613" s="40" t="s">
        <v>986</v>
      </c>
      <c r="B613" s="41" t="s">
        <v>731</v>
      </c>
      <c r="C613" s="40">
        <v>5.85</v>
      </c>
      <c r="D613" s="113" t="s">
        <v>1065</v>
      </c>
    </row>
    <row r="614" spans="1:4" ht="15.75" outlineLevel="1">
      <c r="A614" s="40" t="s">
        <v>986</v>
      </c>
      <c r="B614" s="41" t="s">
        <v>732</v>
      </c>
      <c r="C614" s="40">
        <v>5.86</v>
      </c>
      <c r="D614" s="113" t="s">
        <v>1065</v>
      </c>
    </row>
    <row r="615" spans="1:4" ht="15.75" outlineLevel="1">
      <c r="A615" s="40" t="s">
        <v>986</v>
      </c>
      <c r="B615" s="41" t="s">
        <v>1119</v>
      </c>
      <c r="C615" s="40">
        <v>5.88</v>
      </c>
      <c r="D615" s="113" t="s">
        <v>1065</v>
      </c>
    </row>
    <row r="616" spans="1:4" ht="15.75" outlineLevel="1">
      <c r="A616" s="40" t="s">
        <v>986</v>
      </c>
      <c r="B616" s="41" t="s">
        <v>738</v>
      </c>
      <c r="C616" s="40">
        <v>5.87</v>
      </c>
      <c r="D616" s="114"/>
    </row>
    <row r="617" spans="1:4" ht="15.75" outlineLevel="1">
      <c r="A617" s="40" t="s">
        <v>986</v>
      </c>
      <c r="B617" s="41" t="s">
        <v>101</v>
      </c>
      <c r="C617" s="40">
        <v>5.109</v>
      </c>
      <c r="D617" s="114"/>
    </row>
    <row r="618" spans="1:4" ht="15.75" outlineLevel="1">
      <c r="A618" s="40" t="s">
        <v>986</v>
      </c>
      <c r="B618" s="41" t="s">
        <v>114</v>
      </c>
      <c r="C618" s="43">
        <v>5.1100000000000003</v>
      </c>
      <c r="D618" s="113" t="s">
        <v>1065</v>
      </c>
    </row>
    <row r="619" spans="1:4" ht="15.75" outlineLevel="1">
      <c r="A619" s="40" t="s">
        <v>986</v>
      </c>
      <c r="B619" s="41" t="s">
        <v>102</v>
      </c>
      <c r="C619" s="40">
        <v>5.1109999999999998</v>
      </c>
      <c r="D619" s="114"/>
    </row>
    <row r="620" spans="1:4" ht="15.75" outlineLevel="1">
      <c r="A620" s="40" t="s">
        <v>986</v>
      </c>
      <c r="B620" s="41" t="s">
        <v>87</v>
      </c>
      <c r="C620" s="40">
        <v>5.1120000000000001</v>
      </c>
      <c r="D620" s="114"/>
    </row>
    <row r="621" spans="1:4" ht="15.75" outlineLevel="1">
      <c r="A621" s="40" t="s">
        <v>986</v>
      </c>
      <c r="B621" s="41" t="s">
        <v>1081</v>
      </c>
      <c r="C621" s="40">
        <v>5.1130000000000004</v>
      </c>
      <c r="D621" s="114"/>
    </row>
    <row r="622" spans="1:4" ht="15.75" outlineLevel="1">
      <c r="A622" s="40" t="s">
        <v>986</v>
      </c>
      <c r="B622" s="41" t="s">
        <v>1120</v>
      </c>
      <c r="C622" s="40">
        <v>5.99</v>
      </c>
      <c r="D622" s="113" t="s">
        <v>1065</v>
      </c>
    </row>
    <row r="623" spans="1:4" ht="15.75" outlineLevel="1">
      <c r="A623" s="40" t="s">
        <v>986</v>
      </c>
      <c r="B623" s="41" t="s">
        <v>1121</v>
      </c>
      <c r="C623" s="40">
        <v>5.58</v>
      </c>
      <c r="D623" s="113"/>
    </row>
    <row r="624" spans="1:4" ht="15.75" outlineLevel="1">
      <c r="A624" s="40" t="s">
        <v>986</v>
      </c>
      <c r="B624" s="41" t="s">
        <v>18</v>
      </c>
      <c r="C624" s="40">
        <v>5.54</v>
      </c>
      <c r="D624" s="114"/>
    </row>
    <row r="625" spans="1:4" ht="15.75" outlineLevel="1">
      <c r="A625" s="40" t="s">
        <v>986</v>
      </c>
      <c r="B625" s="41" t="s">
        <v>1122</v>
      </c>
      <c r="C625" s="40">
        <v>5.56</v>
      </c>
      <c r="D625" s="114"/>
    </row>
    <row r="626" spans="1:4" ht="15.75" outlineLevel="1">
      <c r="A626" s="40" t="s">
        <v>986</v>
      </c>
      <c r="B626" s="41" t="s">
        <v>20</v>
      </c>
      <c r="C626" s="40">
        <v>5.63</v>
      </c>
      <c r="D626" s="114"/>
    </row>
    <row r="627" spans="1:4" ht="15.75" outlineLevel="1">
      <c r="A627" s="40" t="s">
        <v>986</v>
      </c>
      <c r="B627" s="41" t="s">
        <v>115</v>
      </c>
      <c r="C627" s="40">
        <v>5.64</v>
      </c>
      <c r="D627" s="114"/>
    </row>
    <row r="628" spans="1:4" ht="15.75" outlineLevel="1">
      <c r="A628" s="40" t="s">
        <v>986</v>
      </c>
      <c r="B628" s="41" t="s">
        <v>21</v>
      </c>
      <c r="C628" s="40">
        <v>5.65</v>
      </c>
      <c r="D628" s="114"/>
    </row>
    <row r="629" spans="1:4" ht="15.75" outlineLevel="1">
      <c r="A629" s="40" t="s">
        <v>986</v>
      </c>
      <c r="B629" s="41" t="s">
        <v>116</v>
      </c>
      <c r="C629" s="40">
        <v>5.66</v>
      </c>
      <c r="D629" s="114"/>
    </row>
    <row r="630" spans="1:4" ht="15.75" outlineLevel="1">
      <c r="A630" s="40" t="s">
        <v>986</v>
      </c>
      <c r="B630" s="41" t="s">
        <v>781</v>
      </c>
      <c r="C630" s="40">
        <v>5.89</v>
      </c>
      <c r="D630" s="113" t="s">
        <v>1065</v>
      </c>
    </row>
    <row r="631" spans="1:4" ht="15.75" outlineLevel="1">
      <c r="A631" s="40" t="s">
        <v>986</v>
      </c>
      <c r="B631" s="41" t="s">
        <v>22</v>
      </c>
      <c r="C631" s="40">
        <v>5.68</v>
      </c>
      <c r="D631" s="114"/>
    </row>
    <row r="632" spans="1:4" ht="15.75" outlineLevel="1">
      <c r="A632" s="40" t="s">
        <v>986</v>
      </c>
      <c r="B632" s="41" t="s">
        <v>24</v>
      </c>
      <c r="C632" s="40">
        <v>5.47</v>
      </c>
      <c r="D632" s="114"/>
    </row>
    <row r="633" spans="1:4" ht="15.75" outlineLevel="1">
      <c r="A633" s="40" t="s">
        <v>986</v>
      </c>
      <c r="B633" s="41" t="s">
        <v>25</v>
      </c>
      <c r="C633" s="40">
        <v>5.48</v>
      </c>
      <c r="D633" s="114"/>
    </row>
    <row r="634" spans="1:4" ht="15.75">
      <c r="A634" s="46" t="s">
        <v>986</v>
      </c>
      <c r="B634" s="41"/>
      <c r="C634" s="40"/>
      <c r="D634" s="114"/>
    </row>
    <row r="635" spans="1:4" ht="15.75" outlineLevel="1">
      <c r="A635" s="40" t="s">
        <v>1005</v>
      </c>
      <c r="B635" s="41" t="s">
        <v>0</v>
      </c>
      <c r="C635" s="40">
        <v>5.0999999999999996</v>
      </c>
      <c r="D635" s="114"/>
    </row>
    <row r="636" spans="1:4" ht="15.75" outlineLevel="1">
      <c r="A636" s="40" t="s">
        <v>1005</v>
      </c>
      <c r="B636" s="41" t="s">
        <v>1</v>
      </c>
      <c r="C636" s="40">
        <v>5.2</v>
      </c>
      <c r="D636" s="114"/>
    </row>
    <row r="637" spans="1:4" ht="15.75" outlineLevel="1">
      <c r="A637" s="40" t="s">
        <v>1005</v>
      </c>
      <c r="B637" s="41" t="s">
        <v>2</v>
      </c>
      <c r="C637" s="40">
        <v>5.3</v>
      </c>
      <c r="D637" s="114"/>
    </row>
    <row r="638" spans="1:4" ht="15.75" outlineLevel="1">
      <c r="A638" s="40" t="s">
        <v>1005</v>
      </c>
      <c r="B638" s="41" t="s">
        <v>97</v>
      </c>
      <c r="C638" s="40">
        <v>5.6</v>
      </c>
      <c r="D638" s="114"/>
    </row>
    <row r="639" spans="1:4" ht="15.75" outlineLevel="1">
      <c r="A639" s="40" t="s">
        <v>1005</v>
      </c>
      <c r="B639" s="41" t="s">
        <v>1067</v>
      </c>
      <c r="C639" s="42">
        <v>5.0999999999999996</v>
      </c>
      <c r="D639" s="114"/>
    </row>
    <row r="640" spans="1:4" ht="15.75" outlineLevel="1">
      <c r="A640" s="40" t="s">
        <v>1005</v>
      </c>
      <c r="B640" s="41" t="s">
        <v>1066</v>
      </c>
      <c r="C640" s="40">
        <v>5.14</v>
      </c>
      <c r="D640" s="114"/>
    </row>
    <row r="641" spans="1:4" ht="15.75" outlineLevel="1">
      <c r="A641" s="40" t="s">
        <v>1005</v>
      </c>
      <c r="B641" s="41" t="s">
        <v>4</v>
      </c>
      <c r="C641" s="40">
        <v>5.19</v>
      </c>
      <c r="D641" s="114"/>
    </row>
    <row r="642" spans="1:4" ht="15.75" outlineLevel="1">
      <c r="A642" s="40" t="s">
        <v>1005</v>
      </c>
      <c r="B642" s="41" t="s">
        <v>99</v>
      </c>
      <c r="C642" s="40">
        <v>5.24</v>
      </c>
      <c r="D642" s="114"/>
    </row>
    <row r="643" spans="1:4" ht="15.75" outlineLevel="1">
      <c r="A643" s="40" t="s">
        <v>1005</v>
      </c>
      <c r="B643" s="41" t="s">
        <v>5</v>
      </c>
      <c r="C643" s="40">
        <v>5.26</v>
      </c>
      <c r="D643" s="114"/>
    </row>
    <row r="644" spans="1:4" ht="15.75" outlineLevel="1">
      <c r="A644" s="40" t="s">
        <v>1005</v>
      </c>
      <c r="B644" s="41" t="s">
        <v>6</v>
      </c>
      <c r="C644" s="40">
        <v>5.27</v>
      </c>
      <c r="D644" s="114"/>
    </row>
    <row r="645" spans="1:4" ht="15.75" outlineLevel="1">
      <c r="A645" s="40" t="s">
        <v>1005</v>
      </c>
      <c r="B645" s="41" t="s">
        <v>7</v>
      </c>
      <c r="C645" s="40">
        <v>5.28</v>
      </c>
      <c r="D645" s="114"/>
    </row>
    <row r="646" spans="1:4" ht="15.75" outlineLevel="1">
      <c r="A646" s="40" t="s">
        <v>1005</v>
      </c>
      <c r="B646" s="41" t="s">
        <v>78</v>
      </c>
      <c r="C646" s="40">
        <v>5.36</v>
      </c>
      <c r="D646" s="114"/>
    </row>
    <row r="647" spans="1:4" ht="15.75" outlineLevel="1">
      <c r="A647" s="40" t="s">
        <v>1005</v>
      </c>
      <c r="B647" s="41" t="s">
        <v>123</v>
      </c>
      <c r="C647" s="40">
        <v>5.33</v>
      </c>
      <c r="D647" s="114"/>
    </row>
    <row r="648" spans="1:4" ht="15.75" outlineLevel="1">
      <c r="A648" s="40" t="s">
        <v>1005</v>
      </c>
      <c r="B648" s="41" t="s">
        <v>108</v>
      </c>
      <c r="C648" s="40">
        <v>5.37</v>
      </c>
      <c r="D648" s="114"/>
    </row>
    <row r="649" spans="1:4" ht="15.75" outlineLevel="1">
      <c r="A649" s="40" t="s">
        <v>1005</v>
      </c>
      <c r="B649" s="41" t="s">
        <v>9</v>
      </c>
      <c r="C649" s="40">
        <v>5.49</v>
      </c>
      <c r="D649" s="114"/>
    </row>
    <row r="650" spans="1:4" ht="15.75" outlineLevel="1">
      <c r="A650" s="40" t="s">
        <v>1005</v>
      </c>
      <c r="B650" s="41" t="s">
        <v>10</v>
      </c>
      <c r="C650" s="40">
        <v>5.51</v>
      </c>
      <c r="D650" s="114"/>
    </row>
    <row r="651" spans="1:4" ht="15.75" outlineLevel="1">
      <c r="A651" s="40" t="s">
        <v>1005</v>
      </c>
      <c r="B651" s="41" t="s">
        <v>1068</v>
      </c>
      <c r="C651" s="40">
        <v>5.52</v>
      </c>
      <c r="D651" s="114"/>
    </row>
    <row r="652" spans="1:4" ht="15.75" outlineLevel="1">
      <c r="A652" s="40" t="s">
        <v>1005</v>
      </c>
      <c r="B652" s="41" t="s">
        <v>11</v>
      </c>
      <c r="C652" s="40">
        <v>5.53</v>
      </c>
      <c r="D652" s="114"/>
    </row>
    <row r="653" spans="1:4" ht="15.75" outlineLevel="1">
      <c r="A653" s="40" t="s">
        <v>1005</v>
      </c>
      <c r="B653" s="41" t="s">
        <v>12</v>
      </c>
      <c r="C653" s="40">
        <v>5.69</v>
      </c>
      <c r="D653" s="114"/>
    </row>
    <row r="654" spans="1:4" ht="15.75" outlineLevel="1">
      <c r="A654" s="40" t="s">
        <v>1005</v>
      </c>
      <c r="B654" s="41" t="s">
        <v>14</v>
      </c>
      <c r="C654" s="42">
        <v>5.7</v>
      </c>
      <c r="D654" s="114"/>
    </row>
    <row r="655" spans="1:4" ht="15.75" outlineLevel="1">
      <c r="A655" s="40" t="s">
        <v>1005</v>
      </c>
      <c r="B655" s="41" t="s">
        <v>15</v>
      </c>
      <c r="C655" s="40">
        <v>5.74</v>
      </c>
      <c r="D655" s="114"/>
    </row>
    <row r="656" spans="1:4" ht="15.75" outlineLevel="1">
      <c r="A656" s="40" t="s">
        <v>1005</v>
      </c>
      <c r="B656" s="41" t="s">
        <v>101</v>
      </c>
      <c r="C656" s="40">
        <v>5.109</v>
      </c>
      <c r="D656" s="114"/>
    </row>
    <row r="657" spans="1:4" ht="15.75" outlineLevel="1">
      <c r="A657" s="40" t="s">
        <v>1005</v>
      </c>
      <c r="B657" s="41" t="s">
        <v>102</v>
      </c>
      <c r="C657" s="40">
        <v>5.1109999999999998</v>
      </c>
      <c r="D657" s="114"/>
    </row>
    <row r="658" spans="1:4" ht="15.75" outlineLevel="1">
      <c r="A658" s="40" t="s">
        <v>1005</v>
      </c>
      <c r="B658" s="41" t="s">
        <v>87</v>
      </c>
      <c r="C658" s="40">
        <v>5.1120000000000001</v>
      </c>
      <c r="D658" s="114"/>
    </row>
    <row r="659" spans="1:4" ht="15.75" outlineLevel="1">
      <c r="A659" s="40" t="s">
        <v>1005</v>
      </c>
      <c r="B659" s="41" t="s">
        <v>17</v>
      </c>
      <c r="C659" s="40">
        <v>5.58</v>
      </c>
      <c r="D659" s="114"/>
    </row>
    <row r="660" spans="1:4" ht="15.75" outlineLevel="1">
      <c r="A660" s="40" t="s">
        <v>1005</v>
      </c>
      <c r="B660" s="41" t="s">
        <v>18</v>
      </c>
      <c r="C660" s="40">
        <v>5.54</v>
      </c>
      <c r="D660" s="114"/>
    </row>
    <row r="661" spans="1:4" ht="15.75" outlineLevel="1">
      <c r="A661" s="40" t="s">
        <v>1005</v>
      </c>
      <c r="B661" s="41" t="s">
        <v>19</v>
      </c>
      <c r="C661" s="40">
        <v>5.55</v>
      </c>
      <c r="D661" s="114"/>
    </row>
    <row r="662" spans="1:4" ht="15.75" outlineLevel="1">
      <c r="A662" s="40" t="s">
        <v>1005</v>
      </c>
      <c r="B662" s="41" t="s">
        <v>20</v>
      </c>
      <c r="C662" s="40">
        <v>5.63</v>
      </c>
      <c r="D662" s="114"/>
    </row>
    <row r="663" spans="1:4" ht="15.75" outlineLevel="1">
      <c r="A663" s="40" t="s">
        <v>1005</v>
      </c>
      <c r="B663" s="41" t="s">
        <v>24</v>
      </c>
      <c r="C663" s="40">
        <v>5.47</v>
      </c>
      <c r="D663" s="114"/>
    </row>
    <row r="664" spans="1:4" ht="15.75" outlineLevel="1">
      <c r="A664" s="40" t="s">
        <v>1005</v>
      </c>
      <c r="B664" s="41" t="s">
        <v>25</v>
      </c>
      <c r="C664" s="40">
        <v>5.48</v>
      </c>
      <c r="D664" s="114"/>
    </row>
    <row r="665" spans="1:4" ht="15.75">
      <c r="A665" s="46" t="s">
        <v>1005</v>
      </c>
      <c r="B665" s="41"/>
      <c r="C665" s="40"/>
      <c r="D665" s="114"/>
    </row>
    <row r="666" spans="1:4" ht="15.75" outlineLevel="1">
      <c r="A666" s="40" t="s">
        <v>1010</v>
      </c>
      <c r="B666" s="41" t="s">
        <v>0</v>
      </c>
      <c r="C666" s="40">
        <v>5.0999999999999996</v>
      </c>
      <c r="D666" s="114"/>
    </row>
    <row r="667" spans="1:4" ht="15.75" outlineLevel="1">
      <c r="A667" s="40" t="s">
        <v>1010</v>
      </c>
      <c r="B667" s="41" t="s">
        <v>1</v>
      </c>
      <c r="C667" s="40">
        <v>5.2</v>
      </c>
      <c r="D667" s="114"/>
    </row>
    <row r="668" spans="1:4" ht="15.75" outlineLevel="1">
      <c r="A668" s="40" t="s">
        <v>1010</v>
      </c>
      <c r="B668" s="41" t="s">
        <v>117</v>
      </c>
      <c r="C668" s="40">
        <v>5.4</v>
      </c>
      <c r="D668" s="114"/>
    </row>
    <row r="669" spans="1:4" ht="15.75" outlineLevel="1">
      <c r="A669" s="40" t="s">
        <v>1010</v>
      </c>
      <c r="B669" s="41" t="s">
        <v>118</v>
      </c>
      <c r="C669" s="40">
        <v>5.7</v>
      </c>
      <c r="D669" s="114"/>
    </row>
    <row r="670" spans="1:4" ht="15.75" outlineLevel="1">
      <c r="A670" s="40" t="s">
        <v>1010</v>
      </c>
      <c r="B670" s="41" t="s">
        <v>119</v>
      </c>
      <c r="C670" s="40">
        <v>5.1100000000000003</v>
      </c>
      <c r="D670" s="114"/>
    </row>
    <row r="671" spans="1:4" ht="15.75" outlineLevel="1">
      <c r="A671" s="40" t="s">
        <v>1010</v>
      </c>
      <c r="B671" s="41" t="s">
        <v>5</v>
      </c>
      <c r="C671" s="40">
        <v>5.26</v>
      </c>
      <c r="D671" s="114"/>
    </row>
    <row r="672" spans="1:4" ht="15.75" outlineLevel="1">
      <c r="A672" s="40" t="s">
        <v>1010</v>
      </c>
      <c r="B672" s="41" t="s">
        <v>120</v>
      </c>
      <c r="C672" s="40">
        <v>5.43</v>
      </c>
      <c r="D672" s="114"/>
    </row>
    <row r="673" spans="1:4" ht="15.75" outlineLevel="1">
      <c r="A673" s="40" t="s">
        <v>1010</v>
      </c>
      <c r="B673" s="41" t="s">
        <v>6</v>
      </c>
      <c r="C673" s="40">
        <v>5.27</v>
      </c>
      <c r="D673" s="114"/>
    </row>
    <row r="674" spans="1:4" ht="15.75" outlineLevel="1">
      <c r="A674" s="40" t="s">
        <v>1010</v>
      </c>
      <c r="B674" s="41" t="s">
        <v>7</v>
      </c>
      <c r="C674" s="40">
        <v>5.28</v>
      </c>
      <c r="D674" s="114"/>
    </row>
    <row r="675" spans="1:4" ht="15.75" outlineLevel="1">
      <c r="A675" s="40" t="s">
        <v>1010</v>
      </c>
      <c r="B675" s="41" t="s">
        <v>78</v>
      </c>
      <c r="C675" s="40">
        <v>5.36</v>
      </c>
      <c r="D675" s="114"/>
    </row>
    <row r="676" spans="1:4" ht="15.75" outlineLevel="1">
      <c r="A676" s="40" t="s">
        <v>1010</v>
      </c>
      <c r="B676" s="41" t="s">
        <v>121</v>
      </c>
      <c r="C676" s="42">
        <v>5.5</v>
      </c>
      <c r="D676" s="114"/>
    </row>
    <row r="677" spans="1:4" ht="15.75" outlineLevel="1">
      <c r="A677" s="40" t="s">
        <v>1010</v>
      </c>
      <c r="B677" s="41" t="s">
        <v>10</v>
      </c>
      <c r="C677" s="40">
        <v>5.51</v>
      </c>
      <c r="D677" s="114"/>
    </row>
    <row r="678" spans="1:4" ht="15.75" outlineLevel="1">
      <c r="A678" s="40" t="s">
        <v>1010</v>
      </c>
      <c r="B678" s="41" t="s">
        <v>11</v>
      </c>
      <c r="C678" s="40">
        <v>5.53</v>
      </c>
      <c r="D678" s="114"/>
    </row>
    <row r="679" spans="1:4" ht="15.75" outlineLevel="1">
      <c r="A679" s="40" t="s">
        <v>1010</v>
      </c>
      <c r="B679" s="41" t="s">
        <v>12</v>
      </c>
      <c r="C679" s="40">
        <v>5.69</v>
      </c>
      <c r="D679" s="114"/>
    </row>
    <row r="680" spans="1:4" ht="15.75" outlineLevel="1">
      <c r="A680" s="40" t="s">
        <v>1010</v>
      </c>
      <c r="B680" s="41" t="s">
        <v>14</v>
      </c>
      <c r="C680" s="42">
        <v>5.7</v>
      </c>
      <c r="D680" s="113" t="s">
        <v>1065</v>
      </c>
    </row>
    <row r="681" spans="1:4" ht="15.75" outlineLevel="1">
      <c r="A681" s="40" t="s">
        <v>1010</v>
      </c>
      <c r="B681" s="41" t="s">
        <v>15</v>
      </c>
      <c r="C681" s="40">
        <v>5.74</v>
      </c>
      <c r="D681" s="114"/>
    </row>
    <row r="682" spans="1:4" ht="15.75" outlineLevel="1">
      <c r="A682" s="40" t="s">
        <v>1010</v>
      </c>
      <c r="B682" s="41" t="s">
        <v>88</v>
      </c>
      <c r="C682" s="40">
        <v>5.59</v>
      </c>
      <c r="D682" s="114"/>
    </row>
    <row r="683" spans="1:4" ht="15.75" outlineLevel="1">
      <c r="A683" s="40" t="s">
        <v>1010</v>
      </c>
      <c r="B683" s="41" t="s">
        <v>18</v>
      </c>
      <c r="C683" s="40">
        <v>5.54</v>
      </c>
      <c r="D683" s="114"/>
    </row>
    <row r="684" spans="1:4" ht="15.75" outlineLevel="1">
      <c r="A684" s="40" t="s">
        <v>1010</v>
      </c>
      <c r="B684" s="41" t="s">
        <v>122</v>
      </c>
      <c r="C684" s="40">
        <v>5.57</v>
      </c>
      <c r="D684" s="114"/>
    </row>
    <row r="685" spans="1:4" ht="15.75" outlineLevel="1">
      <c r="A685" s="40" t="s">
        <v>1010</v>
      </c>
      <c r="B685" s="41" t="s">
        <v>20</v>
      </c>
      <c r="C685" s="40">
        <v>5.63</v>
      </c>
      <c r="D685" s="114"/>
    </row>
    <row r="686" spans="1:4" ht="15.75" outlineLevel="1">
      <c r="A686" s="40" t="s">
        <v>1010</v>
      </c>
      <c r="B686" s="41" t="s">
        <v>24</v>
      </c>
      <c r="C686" s="40">
        <v>5.47</v>
      </c>
      <c r="D686" s="114"/>
    </row>
    <row r="687" spans="1:4" ht="15.75" outlineLevel="1">
      <c r="A687" s="40" t="s">
        <v>1010</v>
      </c>
      <c r="B687" s="41" t="s">
        <v>25</v>
      </c>
      <c r="C687" s="40">
        <v>5.48</v>
      </c>
      <c r="D687" s="114"/>
    </row>
    <row r="688" spans="1:4" ht="15.75">
      <c r="A688" s="46" t="s">
        <v>1010</v>
      </c>
      <c r="B688" s="41"/>
      <c r="C688" s="40"/>
      <c r="D688" s="114"/>
    </row>
    <row r="689" spans="1:4" ht="15.75" outlineLevel="1">
      <c r="A689" s="40" t="s">
        <v>1013</v>
      </c>
      <c r="B689" s="41" t="s">
        <v>0</v>
      </c>
      <c r="C689" s="40">
        <v>5.0999999999999996</v>
      </c>
      <c r="D689" s="114"/>
    </row>
    <row r="690" spans="1:4" ht="15.75" outlineLevel="1">
      <c r="A690" s="40" t="s">
        <v>1013</v>
      </c>
      <c r="B690" s="41" t="s">
        <v>1</v>
      </c>
      <c r="C690" s="40">
        <v>5.2</v>
      </c>
      <c r="D690" s="114"/>
    </row>
    <row r="691" spans="1:4" ht="15.75" outlineLevel="1">
      <c r="A691" s="40" t="s">
        <v>1013</v>
      </c>
      <c r="B691" s="41" t="s">
        <v>106</v>
      </c>
      <c r="C691" s="40">
        <v>5.17</v>
      </c>
      <c r="D691" s="114"/>
    </row>
    <row r="692" spans="1:4" ht="15.75" outlineLevel="1">
      <c r="A692" s="40" t="s">
        <v>1013</v>
      </c>
      <c r="B692" s="41" t="s">
        <v>5</v>
      </c>
      <c r="C692" s="40">
        <v>5.26</v>
      </c>
      <c r="D692" s="114"/>
    </row>
    <row r="693" spans="1:4" ht="15.75" outlineLevel="1">
      <c r="A693" s="40" t="s">
        <v>1013</v>
      </c>
      <c r="B693" s="41" t="s">
        <v>107</v>
      </c>
      <c r="C693" s="40">
        <v>5.1029999999999998</v>
      </c>
      <c r="D693" s="114"/>
    </row>
    <row r="694" spans="1:4" ht="15.75" outlineLevel="1">
      <c r="A694" s="40" t="s">
        <v>1013</v>
      </c>
      <c r="B694" s="41" t="s">
        <v>78</v>
      </c>
      <c r="C694" s="40">
        <v>5.36</v>
      </c>
      <c r="D694" s="114"/>
    </row>
    <row r="695" spans="1:4" ht="15.75" outlineLevel="1">
      <c r="A695" s="40" t="s">
        <v>1013</v>
      </c>
      <c r="B695" s="41" t="s">
        <v>108</v>
      </c>
      <c r="C695" s="40">
        <v>5.37</v>
      </c>
      <c r="D695" s="114"/>
    </row>
    <row r="696" spans="1:4" ht="15.75" outlineLevel="1">
      <c r="A696" s="40" t="s">
        <v>1013</v>
      </c>
      <c r="B696" s="41" t="s">
        <v>109</v>
      </c>
      <c r="C696" s="40">
        <v>5.1040000000000001</v>
      </c>
      <c r="D696" s="114"/>
    </row>
    <row r="697" spans="1:4" ht="15.75" outlineLevel="1">
      <c r="A697" s="40" t="s">
        <v>1013</v>
      </c>
      <c r="B697" s="41" t="s">
        <v>110</v>
      </c>
      <c r="C697" s="40">
        <v>5.1050000000000004</v>
      </c>
      <c r="D697" s="114"/>
    </row>
    <row r="698" spans="1:4" ht="15.75" outlineLevel="1">
      <c r="A698" s="40" t="s">
        <v>1013</v>
      </c>
      <c r="B698" s="41" t="s">
        <v>111</v>
      </c>
      <c r="C698" s="40">
        <v>5.1059999999999999</v>
      </c>
      <c r="D698" s="114"/>
    </row>
    <row r="699" spans="1:4" ht="15.75" outlineLevel="1">
      <c r="A699" s="40" t="s">
        <v>1013</v>
      </c>
      <c r="B699" s="41" t="s">
        <v>112</v>
      </c>
      <c r="C699" s="40">
        <v>5.1070000000000002</v>
      </c>
      <c r="D699" s="114"/>
    </row>
    <row r="700" spans="1:4" ht="15.75" outlineLevel="1">
      <c r="A700" s="40" t="s">
        <v>1013</v>
      </c>
      <c r="B700" s="41" t="s">
        <v>832</v>
      </c>
      <c r="C700" s="40">
        <v>5.1079999999999997</v>
      </c>
      <c r="D700" s="113" t="s">
        <v>1065</v>
      </c>
    </row>
    <row r="701" spans="1:4" ht="15.75" outlineLevel="1">
      <c r="A701" s="40" t="s">
        <v>1013</v>
      </c>
      <c r="B701" s="41" t="s">
        <v>101</v>
      </c>
      <c r="C701" s="40">
        <v>5.109</v>
      </c>
      <c r="D701" s="114"/>
    </row>
    <row r="702" spans="1:4" ht="15.75" outlineLevel="1">
      <c r="A702" s="40" t="s">
        <v>1013</v>
      </c>
      <c r="B702" s="41" t="s">
        <v>114</v>
      </c>
      <c r="C702" s="43">
        <v>5.1100000000000003</v>
      </c>
      <c r="D702" s="113" t="s">
        <v>1065</v>
      </c>
    </row>
    <row r="703" spans="1:4" ht="15.75" outlineLevel="1">
      <c r="A703" s="40" t="s">
        <v>1013</v>
      </c>
      <c r="B703" s="41" t="s">
        <v>102</v>
      </c>
      <c r="C703" s="40">
        <v>5.1109999999999998</v>
      </c>
      <c r="D703" s="114"/>
    </row>
    <row r="704" spans="1:4" ht="15.75" outlineLevel="1">
      <c r="A704" s="40" t="s">
        <v>1013</v>
      </c>
      <c r="B704" s="41" t="s">
        <v>87</v>
      </c>
      <c r="C704" s="40">
        <v>5.1120000000000001</v>
      </c>
      <c r="D704" s="114"/>
    </row>
    <row r="705" spans="1:4" ht="15.75" outlineLevel="1">
      <c r="A705" s="40" t="s">
        <v>1013</v>
      </c>
      <c r="B705" s="41" t="s">
        <v>11</v>
      </c>
      <c r="C705" s="40">
        <v>5.53</v>
      </c>
      <c r="D705" s="114"/>
    </row>
    <row r="706" spans="1:4" ht="15.75" outlineLevel="1">
      <c r="A706" s="40" t="s">
        <v>1013</v>
      </c>
      <c r="B706" s="41" t="s">
        <v>115</v>
      </c>
      <c r="C706" s="40">
        <v>5.64</v>
      </c>
      <c r="D706" s="114"/>
    </row>
    <row r="707" spans="1:4" ht="15.75" outlineLevel="1">
      <c r="A707" s="40" t="s">
        <v>1013</v>
      </c>
      <c r="B707" s="41" t="s">
        <v>20</v>
      </c>
      <c r="C707" s="40">
        <v>5.63</v>
      </c>
      <c r="D707" s="114"/>
    </row>
    <row r="708" spans="1:4" ht="15.75" outlineLevel="1">
      <c r="A708" s="40" t="s">
        <v>1013</v>
      </c>
      <c r="B708" s="41" t="s">
        <v>21</v>
      </c>
      <c r="C708" s="40">
        <v>5.65</v>
      </c>
      <c r="D708" s="114"/>
    </row>
    <row r="709" spans="1:4" ht="15.75" outlineLevel="1">
      <c r="A709" s="40" t="s">
        <v>1013</v>
      </c>
      <c r="B709" s="41" t="s">
        <v>116</v>
      </c>
      <c r="C709" s="40">
        <v>5.66</v>
      </c>
      <c r="D709" s="114"/>
    </row>
    <row r="710" spans="1:4" ht="15.75" outlineLevel="1">
      <c r="A710" s="40" t="s">
        <v>1013</v>
      </c>
      <c r="B710" s="41" t="s">
        <v>22</v>
      </c>
      <c r="C710" s="40">
        <v>5.68</v>
      </c>
      <c r="D710" s="114"/>
    </row>
    <row r="711" spans="1:4" ht="15.75" outlineLevel="1">
      <c r="A711" s="40" t="s">
        <v>1013</v>
      </c>
      <c r="B711" s="41" t="s">
        <v>24</v>
      </c>
      <c r="C711" s="40">
        <v>5.47</v>
      </c>
      <c r="D711" s="114"/>
    </row>
    <row r="712" spans="1:4" ht="15.75" outlineLevel="1">
      <c r="A712" s="40" t="s">
        <v>1013</v>
      </c>
      <c r="B712" s="41" t="s">
        <v>25</v>
      </c>
      <c r="C712" s="40">
        <v>5.48</v>
      </c>
      <c r="D712" s="114"/>
    </row>
    <row r="713" spans="1:4" ht="15.75">
      <c r="A713" s="46" t="s">
        <v>1013</v>
      </c>
      <c r="B713" s="41"/>
      <c r="C713" s="40"/>
      <c r="D713" s="114"/>
    </row>
    <row r="714" spans="1:4" ht="15.75" outlineLevel="1">
      <c r="A714" s="40" t="s">
        <v>1123</v>
      </c>
      <c r="B714" s="41" t="s">
        <v>0</v>
      </c>
      <c r="C714" s="40">
        <v>5.0999999999999996</v>
      </c>
      <c r="D714" s="114"/>
    </row>
    <row r="715" spans="1:4" ht="15.75" outlineLevel="1">
      <c r="A715" s="40" t="s">
        <v>1123</v>
      </c>
      <c r="B715" s="41" t="s">
        <v>1</v>
      </c>
      <c r="C715" s="40">
        <v>5.2</v>
      </c>
      <c r="D715" s="114"/>
    </row>
    <row r="716" spans="1:4" ht="15.75" outlineLevel="1">
      <c r="A716" s="40" t="s">
        <v>1123</v>
      </c>
      <c r="B716" s="41" t="s">
        <v>2</v>
      </c>
      <c r="C716" s="40">
        <v>5.3</v>
      </c>
      <c r="D716" s="114"/>
    </row>
    <row r="717" spans="1:4" ht="15.75" outlineLevel="1">
      <c r="A717" s="40" t="s">
        <v>1123</v>
      </c>
      <c r="B717" s="41" t="s">
        <v>97</v>
      </c>
      <c r="C717" s="40">
        <v>5.6</v>
      </c>
      <c r="D717" s="114"/>
    </row>
    <row r="718" spans="1:4" ht="15.75" outlineLevel="1">
      <c r="A718" s="40" t="s">
        <v>1123</v>
      </c>
      <c r="B718" s="41" t="s">
        <v>1067</v>
      </c>
      <c r="C718" s="42">
        <v>5.0999999999999996</v>
      </c>
      <c r="D718" s="114"/>
    </row>
    <row r="719" spans="1:4" ht="15.75" outlineLevel="1">
      <c r="A719" s="40" t="s">
        <v>1123</v>
      </c>
      <c r="B719" s="41" t="s">
        <v>1066</v>
      </c>
      <c r="C719" s="40">
        <v>5.14</v>
      </c>
      <c r="D719" s="114"/>
    </row>
    <row r="720" spans="1:4" ht="15.75" outlineLevel="1">
      <c r="A720" s="40" t="s">
        <v>1123</v>
      </c>
      <c r="B720" s="41" t="s">
        <v>4</v>
      </c>
      <c r="C720" s="40">
        <v>5.19</v>
      </c>
      <c r="D720" s="114"/>
    </row>
    <row r="721" spans="1:4" ht="15.75" outlineLevel="1">
      <c r="A721" s="40" t="s">
        <v>1123</v>
      </c>
      <c r="B721" s="41" t="s">
        <v>99</v>
      </c>
      <c r="C721" s="40">
        <v>5.24</v>
      </c>
      <c r="D721" s="114"/>
    </row>
    <row r="722" spans="1:4" ht="15.75" outlineLevel="1">
      <c r="A722" s="40" t="s">
        <v>1123</v>
      </c>
      <c r="B722" s="41" t="s">
        <v>5</v>
      </c>
      <c r="C722" s="40">
        <v>5.26</v>
      </c>
      <c r="D722" s="114"/>
    </row>
    <row r="723" spans="1:4" ht="15.75" outlineLevel="1">
      <c r="A723" s="40" t="s">
        <v>1123</v>
      </c>
      <c r="B723" s="41" t="s">
        <v>6</v>
      </c>
      <c r="C723" s="40">
        <v>5.27</v>
      </c>
      <c r="D723" s="114"/>
    </row>
    <row r="724" spans="1:4" ht="15.75" outlineLevel="1">
      <c r="A724" s="40" t="s">
        <v>1123</v>
      </c>
      <c r="B724" s="41" t="s">
        <v>7</v>
      </c>
      <c r="C724" s="40">
        <v>5.28</v>
      </c>
      <c r="D724" s="114"/>
    </row>
    <row r="725" spans="1:4" ht="15.75" outlineLevel="1">
      <c r="A725" s="40" t="s">
        <v>1123</v>
      </c>
      <c r="B725" s="41" t="s">
        <v>100</v>
      </c>
      <c r="C725" s="40">
        <v>5.31</v>
      </c>
      <c r="D725" s="114"/>
    </row>
    <row r="726" spans="1:4" ht="15.75" outlineLevel="1">
      <c r="A726" s="40" t="s">
        <v>1123</v>
      </c>
      <c r="B726" s="41" t="s">
        <v>78</v>
      </c>
      <c r="C726" s="40">
        <v>5.36</v>
      </c>
      <c r="D726" s="114"/>
    </row>
    <row r="727" spans="1:4" ht="15.75" outlineLevel="1">
      <c r="A727" s="40" t="s">
        <v>1123</v>
      </c>
      <c r="B727" s="41" t="s">
        <v>11</v>
      </c>
      <c r="C727" s="40">
        <v>5.53</v>
      </c>
      <c r="D727" s="114"/>
    </row>
    <row r="728" spans="1:4" ht="15.75" outlineLevel="1">
      <c r="A728" s="40" t="s">
        <v>1123</v>
      </c>
      <c r="B728" s="41" t="s">
        <v>101</v>
      </c>
      <c r="C728" s="40">
        <v>5.109</v>
      </c>
      <c r="D728" s="114"/>
    </row>
    <row r="729" spans="1:4" ht="15.75" outlineLevel="1">
      <c r="A729" s="40" t="s">
        <v>1123</v>
      </c>
      <c r="B729" s="41" t="s">
        <v>102</v>
      </c>
      <c r="C729" s="40">
        <v>5.1109999999999998</v>
      </c>
      <c r="D729" s="114"/>
    </row>
    <row r="730" spans="1:4" ht="15.75" outlineLevel="1">
      <c r="A730" s="40" t="s">
        <v>1123</v>
      </c>
      <c r="B730" s="41" t="s">
        <v>87</v>
      </c>
      <c r="C730" s="40">
        <v>5.1120000000000001</v>
      </c>
      <c r="D730" s="114"/>
    </row>
    <row r="731" spans="1:4" ht="15.75" outlineLevel="1">
      <c r="A731" s="40" t="s">
        <v>1123</v>
      </c>
      <c r="B731" s="41" t="s">
        <v>1081</v>
      </c>
      <c r="C731" s="40">
        <v>5.1130000000000004</v>
      </c>
      <c r="D731" s="114"/>
    </row>
    <row r="732" spans="1:4" ht="15.75" outlineLevel="1">
      <c r="A732" s="40" t="s">
        <v>1123</v>
      </c>
      <c r="B732" s="41" t="s">
        <v>104</v>
      </c>
      <c r="C732" s="40">
        <v>5.117</v>
      </c>
      <c r="D732" s="114"/>
    </row>
    <row r="733" spans="1:4" ht="15.75" outlineLevel="1">
      <c r="A733" s="40" t="s">
        <v>1123</v>
      </c>
      <c r="B733" s="41" t="s">
        <v>105</v>
      </c>
      <c r="C733" s="40">
        <v>5.67</v>
      </c>
      <c r="D733" s="114"/>
    </row>
    <row r="734" spans="1:4" ht="15.75" outlineLevel="1">
      <c r="A734" s="40" t="s">
        <v>1123</v>
      </c>
      <c r="B734" s="41" t="s">
        <v>20</v>
      </c>
      <c r="C734" s="40">
        <v>5.63</v>
      </c>
      <c r="D734" s="114"/>
    </row>
    <row r="735" spans="1:4" ht="15.75" outlineLevel="1">
      <c r="A735" s="40" t="s">
        <v>1123</v>
      </c>
      <c r="B735" s="41" t="s">
        <v>24</v>
      </c>
      <c r="C735" s="40">
        <v>5.47</v>
      </c>
      <c r="D735" s="114"/>
    </row>
    <row r="736" spans="1:4" ht="15.75" outlineLevel="1">
      <c r="A736" s="40" t="s">
        <v>1123</v>
      </c>
      <c r="B736" s="41" t="s">
        <v>25</v>
      </c>
      <c r="C736" s="40">
        <v>5.48</v>
      </c>
      <c r="D736" s="114"/>
    </row>
    <row r="737" spans="1:4" ht="15.75">
      <c r="A737" s="46" t="s">
        <v>1124</v>
      </c>
      <c r="B737" s="41"/>
      <c r="C737" s="40"/>
      <c r="D737" s="114"/>
    </row>
    <row r="738" spans="1:4" ht="15.75" outlineLevel="1">
      <c r="A738" s="40" t="s">
        <v>1016</v>
      </c>
      <c r="B738" s="41" t="s">
        <v>0</v>
      </c>
      <c r="C738" s="40">
        <v>5.0999999999999996</v>
      </c>
      <c r="D738" s="114"/>
    </row>
    <row r="739" spans="1:4" ht="15.75" outlineLevel="1">
      <c r="A739" s="40" t="s">
        <v>1016</v>
      </c>
      <c r="B739" s="41" t="s">
        <v>1</v>
      </c>
      <c r="C739" s="40">
        <v>5.2</v>
      </c>
      <c r="D739" s="114"/>
    </row>
    <row r="740" spans="1:4" ht="15.75" outlineLevel="1">
      <c r="A740" s="40" t="s">
        <v>1016</v>
      </c>
      <c r="B740" s="41" t="s">
        <v>84</v>
      </c>
      <c r="C740" s="40">
        <v>5.18</v>
      </c>
      <c r="D740" s="114"/>
    </row>
    <row r="741" spans="1:4" ht="15.75" outlineLevel="1">
      <c r="A741" s="40" t="s">
        <v>1016</v>
      </c>
      <c r="B741" s="41" t="s">
        <v>85</v>
      </c>
      <c r="C741" s="40">
        <v>5.23</v>
      </c>
      <c r="D741" s="114"/>
    </row>
    <row r="742" spans="1:4" ht="15.75" outlineLevel="1">
      <c r="A742" s="40" t="s">
        <v>1016</v>
      </c>
      <c r="B742" s="41" t="s">
        <v>5</v>
      </c>
      <c r="C742" s="40">
        <v>5.26</v>
      </c>
      <c r="D742" s="114"/>
    </row>
    <row r="743" spans="1:4" ht="15.75" outlineLevel="1">
      <c r="A743" s="40" t="s">
        <v>1016</v>
      </c>
      <c r="B743" s="41" t="s">
        <v>6</v>
      </c>
      <c r="C743" s="40">
        <v>5.27</v>
      </c>
      <c r="D743" s="114"/>
    </row>
    <row r="744" spans="1:4" ht="15.75" outlineLevel="1">
      <c r="A744" s="40" t="s">
        <v>1016</v>
      </c>
      <c r="B744" s="41" t="s">
        <v>7</v>
      </c>
      <c r="C744" s="40">
        <v>5.28</v>
      </c>
      <c r="D744" s="114"/>
    </row>
    <row r="745" spans="1:4" ht="15.75" outlineLevel="1">
      <c r="A745" s="40" t="s">
        <v>1016</v>
      </c>
      <c r="B745" s="41" t="s">
        <v>78</v>
      </c>
      <c r="C745" s="40">
        <v>5.36</v>
      </c>
      <c r="D745" s="114"/>
    </row>
    <row r="746" spans="1:4" ht="15.75" outlineLevel="1">
      <c r="A746" s="40" t="s">
        <v>1016</v>
      </c>
      <c r="B746" s="41" t="s">
        <v>86</v>
      </c>
      <c r="C746" s="40">
        <v>5.44</v>
      </c>
      <c r="D746" s="114"/>
    </row>
    <row r="747" spans="1:4" ht="15.75" outlineLevel="1">
      <c r="A747" s="40" t="s">
        <v>1016</v>
      </c>
      <c r="B747" s="41" t="s">
        <v>11</v>
      </c>
      <c r="C747" s="40">
        <v>5.53</v>
      </c>
      <c r="D747" s="114"/>
    </row>
    <row r="748" spans="1:4" ht="15.75" outlineLevel="1">
      <c r="A748" s="40" t="s">
        <v>1016</v>
      </c>
      <c r="B748" s="41" t="s">
        <v>87</v>
      </c>
      <c r="C748" s="40">
        <v>5.1120000000000001</v>
      </c>
      <c r="D748" s="114"/>
    </row>
    <row r="749" spans="1:4" ht="15.75" outlineLevel="1">
      <c r="A749" s="40" t="s">
        <v>1016</v>
      </c>
      <c r="B749" s="41" t="s">
        <v>88</v>
      </c>
      <c r="C749" s="40">
        <v>5.59</v>
      </c>
      <c r="D749" s="114"/>
    </row>
    <row r="750" spans="1:4" ht="15.75" outlineLevel="1">
      <c r="A750" s="40" t="s">
        <v>1016</v>
      </c>
      <c r="B750" s="41" t="s">
        <v>18</v>
      </c>
      <c r="C750" s="40">
        <v>5.54</v>
      </c>
      <c r="D750" s="114"/>
    </row>
    <row r="751" spans="1:4" ht="15.75" outlineLevel="1">
      <c r="A751" s="40" t="s">
        <v>1016</v>
      </c>
      <c r="B751" s="41" t="s">
        <v>20</v>
      </c>
      <c r="C751" s="40">
        <v>5.63</v>
      </c>
      <c r="D751" s="114"/>
    </row>
    <row r="752" spans="1:4" ht="15.75" outlineLevel="1">
      <c r="A752" s="40" t="s">
        <v>1016</v>
      </c>
      <c r="B752" s="41" t="s">
        <v>21</v>
      </c>
      <c r="C752" s="40">
        <v>5.65</v>
      </c>
      <c r="D752" s="114"/>
    </row>
    <row r="753" spans="1:4" ht="15.75" outlineLevel="1">
      <c r="A753" s="40" t="s">
        <v>1016</v>
      </c>
      <c r="B753" s="41" t="s">
        <v>22</v>
      </c>
      <c r="C753" s="40">
        <v>5.68</v>
      </c>
      <c r="D753" s="114"/>
    </row>
    <row r="754" spans="1:4" ht="15.75" outlineLevel="1">
      <c r="A754" s="40" t="s">
        <v>1016</v>
      </c>
      <c r="B754" s="41" t="s">
        <v>24</v>
      </c>
      <c r="C754" s="40">
        <v>5.47</v>
      </c>
      <c r="D754" s="114"/>
    </row>
    <row r="755" spans="1:4" ht="15.75" outlineLevel="1">
      <c r="A755" s="40" t="s">
        <v>1016</v>
      </c>
      <c r="B755" s="41" t="s">
        <v>25</v>
      </c>
      <c r="C755" s="40">
        <v>5.48</v>
      </c>
      <c r="D755" s="114"/>
    </row>
    <row r="756" spans="1:4" ht="15.75">
      <c r="A756" s="46" t="s">
        <v>1016</v>
      </c>
      <c r="B756" s="41"/>
      <c r="C756" s="40"/>
      <c r="D756" s="114"/>
    </row>
    <row r="757" spans="1:4" ht="15.75" outlineLevel="1">
      <c r="A757" s="40" t="s">
        <v>1125</v>
      </c>
      <c r="B757" s="41" t="s">
        <v>0</v>
      </c>
      <c r="C757" s="40">
        <v>5.0999999999999996</v>
      </c>
      <c r="D757" s="114"/>
    </row>
    <row r="758" spans="1:4" ht="15.75" outlineLevel="1">
      <c r="A758" s="40" t="s">
        <v>1125</v>
      </c>
      <c r="B758" s="41" t="s">
        <v>1</v>
      </c>
      <c r="C758" s="40">
        <v>5.2</v>
      </c>
      <c r="D758" s="114"/>
    </row>
    <row r="759" spans="1:4" ht="15.75" outlineLevel="1">
      <c r="A759" s="40" t="s">
        <v>1125</v>
      </c>
      <c r="B759" s="41" t="s">
        <v>73</v>
      </c>
      <c r="C759" s="40">
        <v>5.9</v>
      </c>
      <c r="D759" s="113" t="s">
        <v>1065</v>
      </c>
    </row>
    <row r="760" spans="1:4" ht="15.75" outlineLevel="1">
      <c r="A760" s="40" t="s">
        <v>1125</v>
      </c>
      <c r="B760" s="41" t="s">
        <v>74</v>
      </c>
      <c r="C760" s="40">
        <v>5.13</v>
      </c>
      <c r="D760" s="114"/>
    </row>
    <row r="761" spans="1:4" ht="15.75" outlineLevel="1">
      <c r="A761" s="40" t="s">
        <v>1125</v>
      </c>
      <c r="B761" s="41" t="s">
        <v>75</v>
      </c>
      <c r="C761" s="40">
        <v>5.16</v>
      </c>
      <c r="D761" s="113" t="s">
        <v>1065</v>
      </c>
    </row>
    <row r="762" spans="1:4" ht="15.75" outlineLevel="1">
      <c r="A762" s="40" t="s">
        <v>1125</v>
      </c>
      <c r="B762" s="41" t="s">
        <v>76</v>
      </c>
      <c r="C762" s="40">
        <v>5.22</v>
      </c>
      <c r="D762" s="113"/>
    </row>
    <row r="763" spans="1:4" ht="15.75" outlineLevel="1">
      <c r="A763" s="40" t="s">
        <v>1125</v>
      </c>
      <c r="B763" s="41" t="s">
        <v>77</v>
      </c>
      <c r="C763" s="40">
        <v>5.42</v>
      </c>
      <c r="D763" s="114"/>
    </row>
    <row r="764" spans="1:4" ht="15.75" outlineLevel="1">
      <c r="A764" s="40" t="s">
        <v>1125</v>
      </c>
      <c r="B764" s="41" t="s">
        <v>6</v>
      </c>
      <c r="C764" s="40">
        <v>5.27</v>
      </c>
      <c r="D764" s="114"/>
    </row>
    <row r="765" spans="1:4" ht="15.75" outlineLevel="1">
      <c r="A765" s="40" t="s">
        <v>1125</v>
      </c>
      <c r="B765" s="41" t="s">
        <v>7</v>
      </c>
      <c r="C765" s="40">
        <v>5.28</v>
      </c>
      <c r="D765" s="113" t="s">
        <v>1065</v>
      </c>
    </row>
    <row r="766" spans="1:4" ht="15.75" outlineLevel="1">
      <c r="A766" s="40" t="s">
        <v>1125</v>
      </c>
      <c r="B766" s="41" t="s">
        <v>78</v>
      </c>
      <c r="C766" s="40">
        <v>5.36</v>
      </c>
      <c r="D766" s="114"/>
    </row>
    <row r="767" spans="1:4" ht="15.75" outlineLevel="1">
      <c r="A767" s="40" t="s">
        <v>1125</v>
      </c>
      <c r="B767" s="41" t="s">
        <v>9</v>
      </c>
      <c r="C767" s="40">
        <v>5.49</v>
      </c>
      <c r="D767" s="114"/>
    </row>
    <row r="768" spans="1:4" ht="15.75" outlineLevel="1">
      <c r="A768" s="40" t="s">
        <v>1125</v>
      </c>
      <c r="B768" s="41" t="s">
        <v>10</v>
      </c>
      <c r="C768" s="40">
        <v>5.51</v>
      </c>
      <c r="D768" s="114"/>
    </row>
    <row r="769" spans="1:4" ht="15.75" outlineLevel="1">
      <c r="A769" s="40" t="s">
        <v>1125</v>
      </c>
      <c r="B769" s="41" t="s">
        <v>1114</v>
      </c>
      <c r="C769" s="40">
        <v>5.52</v>
      </c>
      <c r="D769" s="114"/>
    </row>
    <row r="770" spans="1:4" ht="15.75" outlineLevel="1">
      <c r="A770" s="40" t="s">
        <v>1125</v>
      </c>
      <c r="B770" s="41" t="s">
        <v>11</v>
      </c>
      <c r="C770" s="40">
        <v>5.53</v>
      </c>
      <c r="D770" s="114"/>
    </row>
    <row r="771" spans="1:4" ht="15.75" outlineLevel="1">
      <c r="A771" s="40" t="s">
        <v>1125</v>
      </c>
      <c r="B771" s="41" t="s">
        <v>18</v>
      </c>
      <c r="C771" s="40">
        <v>5.54</v>
      </c>
      <c r="D771" s="114"/>
    </row>
    <row r="772" spans="1:4" ht="15.75" outlineLevel="1">
      <c r="A772" s="40" t="s">
        <v>1125</v>
      </c>
      <c r="B772" s="41" t="s">
        <v>14</v>
      </c>
      <c r="C772" s="42">
        <v>5.7</v>
      </c>
      <c r="D772" s="114"/>
    </row>
    <row r="773" spans="1:4" ht="15.75" outlineLevel="1">
      <c r="A773" s="40" t="s">
        <v>1125</v>
      </c>
      <c r="B773" s="41" t="s">
        <v>80</v>
      </c>
      <c r="C773" s="40">
        <v>5.71</v>
      </c>
      <c r="D773" s="114"/>
    </row>
    <row r="774" spans="1:4" ht="15.75" outlineLevel="1">
      <c r="A774" s="40" t="s">
        <v>1125</v>
      </c>
      <c r="B774" s="41" t="s">
        <v>81</v>
      </c>
      <c r="C774" s="42">
        <v>5.9</v>
      </c>
      <c r="D774" s="114"/>
    </row>
    <row r="775" spans="1:4" ht="15.75" outlineLevel="1">
      <c r="A775" s="40" t="s">
        <v>1125</v>
      </c>
      <c r="B775" s="41" t="s">
        <v>82</v>
      </c>
      <c r="C775" s="40">
        <v>5.91</v>
      </c>
      <c r="D775" s="114"/>
    </row>
    <row r="776" spans="1:4" ht="15.75" outlineLevel="1">
      <c r="A776" s="40" t="s">
        <v>1125</v>
      </c>
      <c r="B776" s="41" t="s">
        <v>83</v>
      </c>
      <c r="C776" s="40">
        <v>5.97</v>
      </c>
      <c r="D776" s="114"/>
    </row>
    <row r="777" spans="1:4" ht="15.75">
      <c r="A777" s="46" t="s">
        <v>1125</v>
      </c>
      <c r="B777" s="41"/>
      <c r="C777" s="40"/>
      <c r="D777" s="114"/>
    </row>
    <row r="778" spans="1:4" ht="15.75" outlineLevel="1">
      <c r="A778" s="40" t="s">
        <v>1052</v>
      </c>
      <c r="B778" s="41" t="s">
        <v>0</v>
      </c>
      <c r="C778" s="40">
        <v>5.0999999999999996</v>
      </c>
      <c r="D778" s="114"/>
    </row>
    <row r="779" spans="1:4" ht="15.75" outlineLevel="1">
      <c r="A779" s="40" t="s">
        <v>1052</v>
      </c>
      <c r="B779" s="41" t="s">
        <v>1</v>
      </c>
      <c r="C779" s="40">
        <v>5.2</v>
      </c>
      <c r="D779" s="114"/>
    </row>
    <row r="780" spans="1:4" ht="15.75" outlineLevel="1">
      <c r="A780" s="40" t="s">
        <v>1052</v>
      </c>
      <c r="B780" s="41" t="s">
        <v>5</v>
      </c>
      <c r="C780" s="40">
        <v>5.26</v>
      </c>
      <c r="D780" s="114"/>
    </row>
    <row r="781" spans="1:4" ht="15.75" outlineLevel="1">
      <c r="A781" s="40" t="s">
        <v>1052</v>
      </c>
      <c r="B781" s="41" t="s">
        <v>138</v>
      </c>
      <c r="C781" s="40">
        <v>5.5</v>
      </c>
      <c r="D781" s="114"/>
    </row>
    <row r="782" spans="1:4" ht="15.75" outlineLevel="1">
      <c r="A782" s="40" t="s">
        <v>1052</v>
      </c>
      <c r="B782" s="41" t="s">
        <v>139</v>
      </c>
      <c r="C782" s="40">
        <v>5.8</v>
      </c>
      <c r="D782" s="113" t="s">
        <v>1065</v>
      </c>
    </row>
    <row r="783" spans="1:4" ht="15.75" outlineLevel="1">
      <c r="A783" s="40" t="s">
        <v>1052</v>
      </c>
      <c r="B783" s="41" t="s">
        <v>140</v>
      </c>
      <c r="C783" s="40">
        <v>5.12</v>
      </c>
      <c r="D783" s="40"/>
    </row>
    <row r="784" spans="1:4" ht="15.75" outlineLevel="1">
      <c r="A784" s="40" t="s">
        <v>1052</v>
      </c>
      <c r="B784" s="41" t="s">
        <v>141</v>
      </c>
      <c r="C784" s="40">
        <v>5.15</v>
      </c>
      <c r="D784" s="40"/>
    </row>
    <row r="785" spans="1:4" ht="15.75" outlineLevel="1">
      <c r="A785" s="40" t="s">
        <v>1052</v>
      </c>
      <c r="B785" s="41" t="s">
        <v>142</v>
      </c>
      <c r="C785" s="42">
        <v>5.2</v>
      </c>
      <c r="D785" s="113"/>
    </row>
    <row r="786" spans="1:4" ht="15.75" outlineLevel="1">
      <c r="A786" s="40" t="s">
        <v>1052</v>
      </c>
      <c r="B786" s="41" t="s">
        <v>143</v>
      </c>
      <c r="C786" s="40">
        <v>5.25</v>
      </c>
      <c r="D786" s="40"/>
    </row>
    <row r="787" spans="1:4" ht="15.75" outlineLevel="1">
      <c r="A787" s="40" t="s">
        <v>1052</v>
      </c>
      <c r="B787" s="41" t="s">
        <v>11</v>
      </c>
      <c r="C787" s="40">
        <v>5.53</v>
      </c>
      <c r="D787" s="40"/>
    </row>
    <row r="788" spans="1:4" ht="15.75" outlineLevel="1">
      <c r="A788" s="40" t="s">
        <v>1052</v>
      </c>
      <c r="B788" s="41" t="s">
        <v>144</v>
      </c>
      <c r="C788" s="42">
        <v>5.4</v>
      </c>
      <c r="D788" s="40"/>
    </row>
    <row r="789" spans="1:4" ht="31.5" outlineLevel="1">
      <c r="A789" s="40" t="s">
        <v>1052</v>
      </c>
      <c r="B789" s="41" t="s">
        <v>145</v>
      </c>
      <c r="C789" s="40">
        <v>5.92</v>
      </c>
      <c r="D789" s="40"/>
    </row>
    <row r="790" spans="1:4" ht="15.75" outlineLevel="1">
      <c r="A790" s="40" t="s">
        <v>1052</v>
      </c>
      <c r="B790" s="41" t="s">
        <v>146</v>
      </c>
      <c r="C790" s="40">
        <v>5.93</v>
      </c>
      <c r="D790" s="40"/>
    </row>
    <row r="791" spans="1:4" ht="31.5" outlineLevel="1">
      <c r="A791" s="40" t="s">
        <v>1052</v>
      </c>
      <c r="B791" s="41" t="s">
        <v>147</v>
      </c>
      <c r="C791" s="40">
        <v>5.94</v>
      </c>
      <c r="D791" s="40"/>
    </row>
    <row r="792" spans="1:4" ht="15.75" outlineLevel="1">
      <c r="A792" s="40" t="s">
        <v>1052</v>
      </c>
      <c r="B792" s="41" t="s">
        <v>148</v>
      </c>
      <c r="C792" s="40">
        <v>5.95</v>
      </c>
      <c r="D792" s="40"/>
    </row>
    <row r="793" spans="1:4" ht="15.75" outlineLevel="1">
      <c r="A793" s="40" t="s">
        <v>1052</v>
      </c>
      <c r="B793" s="41" t="s">
        <v>149</v>
      </c>
      <c r="C793" s="40">
        <v>5.98</v>
      </c>
      <c r="D793" s="40"/>
    </row>
    <row r="794" spans="1:4" ht="15.75" outlineLevel="1">
      <c r="A794" s="40" t="s">
        <v>1052</v>
      </c>
      <c r="B794" s="41" t="s">
        <v>150</v>
      </c>
      <c r="C794" s="40">
        <v>5.96</v>
      </c>
      <c r="D794" s="40"/>
    </row>
    <row r="795" spans="1:4" ht="31.5">
      <c r="A795" s="46" t="s">
        <v>1052</v>
      </c>
      <c r="B795" s="41"/>
      <c r="C795" s="40"/>
      <c r="D795" s="40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26" t="s">
        <v>1139</v>
      </c>
    </row>
    <row r="3" spans="1:2">
      <c r="A3" t="s">
        <v>1140</v>
      </c>
      <c r="B3" t="s">
        <v>1141</v>
      </c>
    </row>
    <row r="4" spans="1:2">
      <c r="A4" t="s">
        <v>127</v>
      </c>
      <c r="B4" t="s">
        <v>1142</v>
      </c>
    </row>
    <row r="5" spans="1:2">
      <c r="A5" t="s">
        <v>1143</v>
      </c>
      <c r="B5" t="s">
        <v>1144</v>
      </c>
    </row>
    <row r="6" spans="1:2">
      <c r="A6" t="s">
        <v>1145</v>
      </c>
      <c r="B6" t="s">
        <v>1146</v>
      </c>
    </row>
    <row r="7" spans="1:2">
      <c r="A7" t="s">
        <v>1147</v>
      </c>
      <c r="B7" t="s">
        <v>1148</v>
      </c>
    </row>
    <row r="8" spans="1:2">
      <c r="A8" t="s">
        <v>1149</v>
      </c>
      <c r="B8" t="s">
        <v>1150</v>
      </c>
    </row>
    <row r="10" spans="1:2" ht="15">
      <c r="A10" s="26" t="s">
        <v>1151</v>
      </c>
    </row>
    <row r="11" spans="1:2">
      <c r="A11" t="s">
        <v>1152</v>
      </c>
    </row>
    <row r="12" spans="1:2">
      <c r="A12" t="s">
        <v>1153</v>
      </c>
      <c r="B12" t="s">
        <v>1154</v>
      </c>
    </row>
    <row r="14" spans="1:2">
      <c r="A14" s="39"/>
    </row>
    <row r="15" spans="1:2" ht="15">
      <c r="A15" s="26" t="s">
        <v>1155</v>
      </c>
    </row>
    <row r="16" spans="1:2">
      <c r="A16" s="37" t="s">
        <v>1156</v>
      </c>
    </row>
    <row r="17" spans="1:2">
      <c r="A17" s="37" t="s">
        <v>1157</v>
      </c>
    </row>
    <row r="18" spans="1:2">
      <c r="A18" s="37" t="s">
        <v>1158</v>
      </c>
    </row>
    <row r="19" spans="1:2">
      <c r="A19" s="37" t="s">
        <v>1159</v>
      </c>
    </row>
    <row r="21" spans="1:2" ht="15">
      <c r="A21" s="38" t="s">
        <v>1160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6" t="s">
        <v>1161</v>
      </c>
      <c r="B34" s="26" t="s">
        <v>259</v>
      </c>
    </row>
    <row r="35" spans="1:2">
      <c r="A35" s="18" t="s">
        <v>1162</v>
      </c>
      <c r="B35" s="45">
        <v>512310509</v>
      </c>
    </row>
    <row r="36" spans="1:2">
      <c r="A36" t="s">
        <v>1163</v>
      </c>
      <c r="B36" s="45">
        <v>513910703</v>
      </c>
    </row>
    <row r="37" spans="1:2">
      <c r="A37" t="s">
        <v>1164</v>
      </c>
      <c r="B37" s="45">
        <v>512304882</v>
      </c>
    </row>
    <row r="38" spans="1:2">
      <c r="A38" t="s">
        <v>1165</v>
      </c>
      <c r="B38" s="45">
        <v>520030677</v>
      </c>
    </row>
    <row r="39" spans="1:2">
      <c r="A39" t="s">
        <v>1166</v>
      </c>
      <c r="B39" s="45">
        <v>513621110</v>
      </c>
    </row>
    <row r="40" spans="1:2">
      <c r="A40" t="s">
        <v>1167</v>
      </c>
      <c r="B40" s="18">
        <v>513173393</v>
      </c>
    </row>
    <row r="41" spans="1:2">
      <c r="A41" t="s">
        <v>1168</v>
      </c>
      <c r="B41" s="18">
        <v>511880460</v>
      </c>
    </row>
    <row r="42" spans="1:2">
      <c r="A42" t="s">
        <v>1169</v>
      </c>
      <c r="B42" s="18">
        <v>510773922</v>
      </c>
    </row>
    <row r="43" spans="1:2">
      <c r="A43" t="s">
        <v>1170</v>
      </c>
      <c r="B43">
        <v>520021916</v>
      </c>
    </row>
    <row r="44" spans="1:2">
      <c r="A44" t="s">
        <v>1171</v>
      </c>
      <c r="B44">
        <v>520044025</v>
      </c>
    </row>
    <row r="45" spans="1:2">
      <c r="A45" t="s">
        <v>1172</v>
      </c>
      <c r="B45">
        <v>570003152</v>
      </c>
    </row>
    <row r="46" spans="1:2">
      <c r="A46" t="s">
        <v>1173</v>
      </c>
      <c r="B46" s="18">
        <v>520023094</v>
      </c>
    </row>
    <row r="47" spans="1:2">
      <c r="A47" t="s">
        <v>1174</v>
      </c>
      <c r="B47" s="18">
        <v>512711409</v>
      </c>
    </row>
    <row r="48" spans="1:2">
      <c r="A48" t="s">
        <v>1175</v>
      </c>
      <c r="B48">
        <v>515859379</v>
      </c>
    </row>
    <row r="49" spans="1:2">
      <c r="A49" t="s">
        <v>1176</v>
      </c>
      <c r="B49" s="18">
        <v>520030990</v>
      </c>
    </row>
    <row r="50" spans="1:2">
      <c r="A50" t="s">
        <v>1177</v>
      </c>
      <c r="B50" s="18">
        <v>520028812</v>
      </c>
    </row>
    <row r="51" spans="1:2">
      <c r="A51" t="s">
        <v>1178</v>
      </c>
      <c r="B51" s="18">
        <v>520034968</v>
      </c>
    </row>
    <row r="52" spans="1:2">
      <c r="A52" t="s">
        <v>1179</v>
      </c>
      <c r="B52" s="18">
        <v>520031824</v>
      </c>
    </row>
    <row r="53" spans="1:2">
      <c r="A53" t="s">
        <v>1180</v>
      </c>
      <c r="B53" s="18">
        <v>520005497</v>
      </c>
    </row>
    <row r="54" spans="1:2">
      <c r="A54" t="s">
        <v>1181</v>
      </c>
      <c r="B54" s="18">
        <v>520022518</v>
      </c>
    </row>
    <row r="55" spans="1:2">
      <c r="A55" t="s">
        <v>1182</v>
      </c>
      <c r="B55" s="18">
        <v>520028556</v>
      </c>
    </row>
    <row r="56" spans="1:2">
      <c r="A56" t="s">
        <v>1183</v>
      </c>
      <c r="B56" s="18">
        <v>520032269</v>
      </c>
    </row>
    <row r="57" spans="1:2">
      <c r="A57" t="s">
        <v>1184</v>
      </c>
      <c r="B57" s="18">
        <v>520027954</v>
      </c>
    </row>
    <row r="58" spans="1:2">
      <c r="A58" t="s">
        <v>1185</v>
      </c>
      <c r="B58">
        <v>520029620</v>
      </c>
    </row>
    <row r="59" spans="1:2">
      <c r="A59" t="s">
        <v>1186</v>
      </c>
      <c r="B59" s="18">
        <v>520028861</v>
      </c>
    </row>
    <row r="60" spans="1:2">
      <c r="A60" t="s">
        <v>1187</v>
      </c>
      <c r="B60" s="18">
        <v>520030743</v>
      </c>
    </row>
    <row r="61" spans="1:2">
      <c r="A61" t="s">
        <v>1188</v>
      </c>
      <c r="B61">
        <v>520042177</v>
      </c>
    </row>
    <row r="62" spans="1:2">
      <c r="A62" t="s">
        <v>1189</v>
      </c>
      <c r="B62" s="18">
        <v>515447035</v>
      </c>
    </row>
    <row r="63" spans="1:2">
      <c r="A63" t="s">
        <v>1190</v>
      </c>
      <c r="B63" s="18">
        <v>520042607</v>
      </c>
    </row>
    <row r="64" spans="1:2">
      <c r="A64" t="s">
        <v>1191</v>
      </c>
      <c r="B64" s="18">
        <v>513026484</v>
      </c>
    </row>
    <row r="65" spans="1:2">
      <c r="A65" t="s">
        <v>1192</v>
      </c>
      <c r="B65">
        <v>520023185</v>
      </c>
    </row>
    <row r="66" spans="1:2">
      <c r="A66" t="s">
        <v>1193</v>
      </c>
      <c r="B66">
        <v>520004078</v>
      </c>
    </row>
    <row r="67" spans="1:2">
      <c r="A67" t="s">
        <v>1194</v>
      </c>
      <c r="B67" s="18">
        <v>512267592</v>
      </c>
    </row>
    <row r="68" spans="1:2">
      <c r="A68" t="s">
        <v>1195</v>
      </c>
      <c r="B68">
        <v>515764868</v>
      </c>
    </row>
    <row r="69" spans="1:2">
      <c r="A69" t="s">
        <v>1196</v>
      </c>
      <c r="B69" s="18">
        <v>513452003</v>
      </c>
    </row>
    <row r="70" spans="1:2">
      <c r="A70" t="s">
        <v>1197</v>
      </c>
      <c r="B70" s="18">
        <v>510142789</v>
      </c>
    </row>
    <row r="71" spans="1:2">
      <c r="A71" t="s">
        <v>1198</v>
      </c>
      <c r="B71" s="18">
        <v>510960586</v>
      </c>
    </row>
    <row r="72" spans="1:2">
      <c r="A72" t="s">
        <v>1199</v>
      </c>
      <c r="B72" s="18">
        <v>510930670</v>
      </c>
    </row>
    <row r="73" spans="1:2">
      <c r="A73" t="s">
        <v>1200</v>
      </c>
      <c r="B73" s="18">
        <v>510927536</v>
      </c>
    </row>
    <row r="74" spans="1:2">
      <c r="A74" t="s">
        <v>1201</v>
      </c>
      <c r="B74" s="18">
        <v>510930654</v>
      </c>
    </row>
    <row r="75" spans="1:2">
      <c r="A75" t="s">
        <v>1202</v>
      </c>
      <c r="B75" s="18">
        <v>520032566</v>
      </c>
    </row>
    <row r="76" spans="1:2">
      <c r="A76" t="s">
        <v>1203</v>
      </c>
      <c r="B76" s="18">
        <v>513611509</v>
      </c>
    </row>
    <row r="77" spans="1:2">
      <c r="A77" t="s">
        <v>1204</v>
      </c>
      <c r="B77">
        <v>510888985</v>
      </c>
    </row>
    <row r="78" spans="1:2">
      <c r="A78" t="s">
        <v>1205</v>
      </c>
      <c r="B78">
        <v>520024647</v>
      </c>
    </row>
    <row r="79" spans="1:2">
      <c r="A79" t="s">
        <v>1206</v>
      </c>
      <c r="B79" s="18">
        <v>512244146</v>
      </c>
    </row>
    <row r="80" spans="1:2">
      <c r="A80" t="s">
        <v>1207</v>
      </c>
      <c r="B80" s="18">
        <v>510694821</v>
      </c>
    </row>
    <row r="81" spans="1:2">
      <c r="A81" t="s">
        <v>1208</v>
      </c>
      <c r="B81">
        <v>515761625</v>
      </c>
    </row>
    <row r="82" spans="1:2">
      <c r="A82" t="s">
        <v>1209</v>
      </c>
      <c r="B82" s="18">
        <v>511423048</v>
      </c>
    </row>
    <row r="83" spans="1:2">
      <c r="A83" t="s">
        <v>1210</v>
      </c>
      <c r="B83" s="18">
        <v>520019688</v>
      </c>
    </row>
    <row r="84" spans="1:2">
      <c r="A84" t="s">
        <v>1211</v>
      </c>
      <c r="B84">
        <v>520004896</v>
      </c>
    </row>
    <row r="85" spans="1:2">
      <c r="A85" t="s">
        <v>1212</v>
      </c>
      <c r="B85" s="18">
        <v>512237744</v>
      </c>
    </row>
    <row r="86" spans="1:2">
      <c r="A86" t="s">
        <v>1213</v>
      </c>
      <c r="B86" s="18">
        <v>514956465</v>
      </c>
    </row>
    <row r="87" spans="1:2">
      <c r="A87" t="s">
        <v>1214</v>
      </c>
      <c r="B87" s="18">
        <v>512362914</v>
      </c>
    </row>
    <row r="88" spans="1:2">
      <c r="A88" t="s">
        <v>1215</v>
      </c>
      <c r="B88" s="18">
        <v>520042615</v>
      </c>
    </row>
    <row r="89" spans="1:2">
      <c r="A89" t="s">
        <v>1216</v>
      </c>
      <c r="B89" s="18">
        <v>512065202</v>
      </c>
    </row>
    <row r="90" spans="1:2">
      <c r="A90" t="s">
        <v>1217</v>
      </c>
      <c r="B90">
        <v>520042540</v>
      </c>
    </row>
    <row r="91" spans="1:2">
      <c r="A91" t="s">
        <v>1218</v>
      </c>
      <c r="B91" s="18">
        <v>520027715</v>
      </c>
    </row>
    <row r="92" spans="1:2">
      <c r="A92" t="s">
        <v>1219</v>
      </c>
      <c r="B92" s="18">
        <v>512245812</v>
      </c>
    </row>
    <row r="93" spans="1:2">
      <c r="A93" t="s">
        <v>1220</v>
      </c>
      <c r="B93" s="18">
        <v>520022351</v>
      </c>
    </row>
    <row r="94" spans="1:2">
      <c r="A94" t="s">
        <v>1221</v>
      </c>
      <c r="B94" s="18">
        <v>514767490</v>
      </c>
    </row>
    <row r="95" spans="1:2">
      <c r="A95" t="s">
        <v>1222</v>
      </c>
      <c r="B95" s="18">
        <v>520024985</v>
      </c>
    </row>
    <row r="96" spans="1:2">
      <c r="A96" t="s">
        <v>1223</v>
      </c>
      <c r="B96" s="18">
        <v>520042573</v>
      </c>
    </row>
    <row r="97" spans="1:2">
      <c r="A97" t="s">
        <v>1224</v>
      </c>
      <c r="B97" s="18">
        <v>570009449</v>
      </c>
    </row>
    <row r="98" spans="1:2">
      <c r="A98" t="s">
        <v>1225</v>
      </c>
      <c r="B98" s="18">
        <v>520031659</v>
      </c>
    </row>
    <row r="99" spans="1:2">
      <c r="A99" t="s">
        <v>1226</v>
      </c>
      <c r="B99" s="18">
        <v>520042581</v>
      </c>
    </row>
    <row r="100" spans="1:2">
      <c r="A100" t="s">
        <v>1227</v>
      </c>
      <c r="B100">
        <v>520031030</v>
      </c>
    </row>
    <row r="101" spans="1:2">
      <c r="A101" t="s">
        <v>1228</v>
      </c>
      <c r="B101" s="18">
        <v>520030941</v>
      </c>
    </row>
    <row r="102" spans="1:2">
      <c r="A102" t="s">
        <v>1229</v>
      </c>
      <c r="B102" s="18">
        <v>512008335</v>
      </c>
    </row>
    <row r="103" spans="1:2">
      <c r="A103" t="s">
        <v>1230</v>
      </c>
      <c r="B103" s="18">
        <v>520022963</v>
      </c>
    </row>
    <row r="104" spans="1:2">
      <c r="A104" t="s">
        <v>1231</v>
      </c>
      <c r="B104" s="18">
        <v>570011767</v>
      </c>
    </row>
    <row r="105" spans="1:2">
      <c r="A105" t="s">
        <v>1232</v>
      </c>
      <c r="B105" s="18">
        <v>570014928</v>
      </c>
    </row>
    <row r="106" spans="1:2">
      <c r="A106" t="s">
        <v>1233</v>
      </c>
      <c r="B106" s="18">
        <v>570005959</v>
      </c>
    </row>
    <row r="107" spans="1:2">
      <c r="A107" t="s">
        <v>1234</v>
      </c>
      <c r="B107" s="18">
        <v>510800402</v>
      </c>
    </row>
    <row r="108" spans="1:2">
      <c r="A108" t="s">
        <v>1235</v>
      </c>
      <c r="B108" s="18">
        <v>570007476</v>
      </c>
    </row>
    <row r="109" spans="1:2">
      <c r="A109" t="s">
        <v>1236</v>
      </c>
      <c r="B109" s="18">
        <v>570005850</v>
      </c>
    </row>
    <row r="110" spans="1:2">
      <c r="A110" t="s">
        <v>1237</v>
      </c>
      <c r="B110" s="18">
        <v>520020504</v>
      </c>
    </row>
    <row r="111" spans="1:2">
      <c r="A111" t="s">
        <v>1238</v>
      </c>
      <c r="B111" s="18">
        <v>520020447</v>
      </c>
    </row>
    <row r="112" spans="1:2">
      <c r="A112" t="s">
        <v>1239</v>
      </c>
      <c r="B112" s="18">
        <v>511033060</v>
      </c>
    </row>
    <row r="113" spans="1:2">
      <c r="A113" t="s">
        <v>1240</v>
      </c>
      <c r="B113">
        <v>520027848</v>
      </c>
    </row>
    <row r="114" spans="1:2">
      <c r="A114" t="s">
        <v>1241</v>
      </c>
      <c r="B114" s="18">
        <v>570009852</v>
      </c>
    </row>
    <row r="115" spans="1:2">
      <c r="A115" t="s">
        <v>1242</v>
      </c>
      <c r="B115" s="18">
        <v>520027251</v>
      </c>
    </row>
    <row r="116" spans="1:2">
      <c r="A116" t="s">
        <v>1243</v>
      </c>
      <c r="B116" s="18">
        <v>520028390</v>
      </c>
    </row>
    <row r="117" spans="1:2">
      <c r="A117" t="s">
        <v>1244</v>
      </c>
      <c r="B117" s="18">
        <v>510806870</v>
      </c>
    </row>
    <row r="118" spans="1:2">
      <c r="A118" t="s">
        <v>1245</v>
      </c>
      <c r="B118">
        <v>513879189</v>
      </c>
    </row>
    <row r="119" spans="1:2">
      <c r="A119" t="s">
        <v>1246</v>
      </c>
      <c r="B119">
        <v>510015951</v>
      </c>
    </row>
    <row r="120" spans="1:2">
      <c r="A120" t="s">
        <v>1247</v>
      </c>
      <c r="B120" s="18">
        <v>520030693</v>
      </c>
    </row>
    <row r="121" spans="1:2">
      <c r="A121" t="s">
        <v>1248</v>
      </c>
      <c r="B121" s="18">
        <v>570002618</v>
      </c>
    </row>
  </sheetData>
  <sortState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Refaeli Eli</cp:lastModifiedBy>
  <cp:lastPrinted>2022-08-08T09:16:18Z</cp:lastPrinted>
  <dcterms:created xsi:type="dcterms:W3CDTF">2021-05-03T04:41:48Z</dcterms:created>
  <dcterms:modified xsi:type="dcterms:W3CDTF">2024-11-27T12:49:57Z</dcterms:modified>
</cp:coreProperties>
</file>